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ReadMe" sheetId="1" state="visible" r:id="rId1"/>
    <sheet xmlns:r="http://schemas.openxmlformats.org/officeDocument/2006/relationships" name="1_GICS_Structure" sheetId="2" state="visible" r:id="rId2"/>
    <sheet xmlns:r="http://schemas.openxmlformats.org/officeDocument/2006/relationships" name="2_Damodaran_Betas" sheetId="3" state="visible" r:id="rId3"/>
    <sheet xmlns:r="http://schemas.openxmlformats.org/officeDocument/2006/relationships" name="3_UK_Bloomberg_Data" sheetId="4" state="visible" r:id="rId4"/>
    <sheet xmlns:r="http://schemas.openxmlformats.org/officeDocument/2006/relationships" name="4_UK_L1_Input" sheetId="5" state="visible" r:id="rId5"/>
    <sheet xmlns:r="http://schemas.openxmlformats.org/officeDocument/2006/relationships" name="5_Cascade_Engine" sheetId="6" state="visible" r:id="rId6"/>
    <sheet xmlns:r="http://schemas.openxmlformats.org/officeDocument/2006/relationships" name="6_Control_Check" sheetId="7" state="visible" r:id="rId7"/>
    <sheet xmlns:r="http://schemas.openxmlformats.org/officeDocument/2006/relationships" name="7_Outpu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%"/>
  </numFmts>
  <fonts count="11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555555"/>
      <sz val="11"/>
    </font>
    <font>
      <sz val="10"/>
    </font>
    <font>
      <b val="1"/>
      <color rgb="001F4E79"/>
      <sz val="11"/>
    </font>
    <font>
      <b val="1"/>
      <color rgb="00FFFFFF"/>
    </font>
    <font>
      <i val="1"/>
      <color rgb="00666666"/>
      <sz val="9"/>
    </font>
    <font>
      <b val="1"/>
    </font>
    <font>
      <i val="1"/>
      <color rgb="00C00000"/>
      <sz val="8.5"/>
    </font>
    <font>
      <b val="1"/>
      <color rgb="008a6d1a"/>
    </font>
    <font>
      <b val="1"/>
      <color rgb="001F4E79"/>
      <sz val="10.5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2" fontId="0" fillId="0" borderId="1" pivotButton="0" quotePrefix="0" xfId="0"/>
    <xf numFmtId="164" fontId="0" fillId="3" borderId="1" pivotButton="0" quotePrefix="0" xfId="0"/>
    <xf numFmtId="0" fontId="7" fillId="0" borderId="0" pivotButton="0" quotePrefix="0" xfId="0"/>
    <xf numFmtId="0" fontId="7" fillId="4" borderId="0" pivotButton="0" quotePrefix="0" xfId="0"/>
    <xf numFmtId="0" fontId="0" fillId="5" borderId="1" pivotButton="0" quotePrefix="0" xfId="0"/>
    <xf numFmtId="3" fontId="0" fillId="5" borderId="1" pivotButton="0" quotePrefix="0" xfId="0"/>
    <xf numFmtId="2" fontId="0" fillId="5" borderId="1" pivotButton="0" quotePrefix="0" xfId="0"/>
    <xf numFmtId="165" fontId="0" fillId="5" borderId="1" pivotButton="0" quotePrefix="0" xfId="0"/>
    <xf numFmtId="0" fontId="8" fillId="0" borderId="1" pivotButton="0" quotePrefix="0" xfId="0"/>
    <xf numFmtId="0" fontId="9" fillId="0" borderId="0" pivotButton="0" quotePrefix="0" xfId="0"/>
    <xf numFmtId="166" fontId="0" fillId="4" borderId="1" pivotButton="0" quotePrefix="0" xfId="0"/>
    <xf numFmtId="2" fontId="0" fillId="3" borderId="1" pivotButton="0" quotePrefix="0" xfId="0"/>
    <xf numFmtId="166" fontId="0" fillId="3" borderId="1" pivotButton="0" quotePrefix="0" xfId="0"/>
    <xf numFmtId="10" fontId="0" fillId="6" borderId="1" pivotButton="0" quotePrefix="0" xfId="0"/>
    <xf numFmtId="0" fontId="10" fillId="0" borderId="0" pivotButton="0" quotePrefix="0" xfId="0"/>
    <xf numFmtId="166" fontId="0" fillId="0" borderId="1" pivotButton="0" quotePrefix="0" xfId="0"/>
    <xf numFmtId="166" fontId="0" fillId="5" borderId="1" pivotButton="0" quotePrefix="0" xfId="0"/>
    <xf numFmtId="1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4"/>
  <sheetViews>
    <sheetView showGridLines="0"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UK REVENUE &amp; EV/EBITDA SHOCK PROPAGATION — BETA vs REAL-DATA, SIDE BY SIDE</t>
        </is>
      </c>
    </row>
    <row r="2">
      <c r="A2" s="2" t="inlineStr">
        <is>
          <t>GICS Level 1 (Sector) -&gt; Level 4 (Sub-Industry), UK only, both metrics, both methods compared</t>
        </is>
      </c>
    </row>
    <row r="4">
      <c r="A4" s="3" t="inlineStr"/>
    </row>
    <row r="5">
      <c r="A5" s="4" t="inlineStr">
        <is>
          <t>SCOPE</t>
        </is>
      </c>
    </row>
    <row r="6">
      <c r="A6" s="3" t="inlineStr">
        <is>
          <t>This workbook is UK-only (US removed) and covers both PRA SWES metrics: Revenue and EV/EBITDA multiple.</t>
        </is>
      </c>
    </row>
    <row r="7">
      <c r="A7" s="3" t="inlineStr">
        <is>
          <t>For each of 163 GICS sub-industries, both a Damodaran-beta-based estimate AND a real-Bloomberg-data-based</t>
        </is>
      </c>
    </row>
    <row r="8">
      <c r="A8" s="3" t="inlineStr">
        <is>
          <t>estimate are computed side by side, with the divergence between them shown explicitly. Companion to</t>
        </is>
      </c>
    </row>
    <row r="9">
      <c r="A9" s="3" t="inlineStr">
        <is>
          <t>GICS_Shock_Propagation_L1_to_L4.xlsx (the original, broader US+UK build) and</t>
        </is>
      </c>
    </row>
    <row r="10">
      <c r="A10" s="3" t="inlineStr">
        <is>
          <t>UK_EVEBITDA_Methodology_Change.pdf (the first-principles rationale for the real-data substitution).</t>
        </is>
      </c>
    </row>
    <row r="11">
      <c r="A11" s="3" t="inlineStr"/>
    </row>
    <row r="12">
      <c r="A12" s="4" t="inlineStr">
        <is>
          <t>A BUG FIXED FROM THE PREVIOUS FILE</t>
        </is>
      </c>
    </row>
    <row r="13">
      <c r="A13" s="3" t="inlineStr">
        <is>
          <t>The prior workbook showed #VALUE! errors in the live cascade once opened in real Excel, despite passing</t>
        </is>
      </c>
    </row>
    <row r="14">
      <c r="A14" s="3" t="inlineStr">
        <is>
          <t>every structural check I could run without a live Excel engine. Most likely cause: a chain of formulas</t>
        </is>
      </c>
    </row>
    <row r="15">
      <c r="A15" s="3" t="inlineStr">
        <is>
          <t>referencing formulas across sheets (a helper column computed by INDEX/MATCH, itself fed into a SUMPRODUCT</t>
        </is>
      </c>
    </row>
    <row r="16">
      <c r="A16" s="3" t="inlineStr">
        <is>
          <t>elsewhere) — fragile in practice even when individually correct. Fix in this build: every lookup or</t>
        </is>
      </c>
    </row>
    <row r="17">
      <c r="A17" s="3" t="inlineStr">
        <is>
          <t>classification value (which sector a sub-industry belongs to, which multiple/revenue figure to use after</t>
        </is>
      </c>
    </row>
    <row r="18">
      <c r="A18" s="3" t="inlineStr">
        <is>
          <t>the outlier correction) is computed ONCE in Python and written as a plain number — sheet 3 has no formulas</t>
        </is>
      </c>
    </row>
    <row r="19">
      <c r="A19" s="3" t="inlineStr">
        <is>
          <t>at all. Only the actual cascade ratios (relative sensitivity, shock) are live formulas, and they reference</t>
        </is>
      </c>
    </row>
    <row r="20">
      <c r="A20" s="3" t="inlineStr">
        <is>
          <t>plain-value columns only, never another formula. wb.calculation.fullCalcOnLoad is also set, forcing Excel</t>
        </is>
      </c>
    </row>
    <row r="21">
      <c r="A21" s="3" t="inlineStr">
        <is>
          <t>to recalculate on open regardless of your manual/automatic calculation setting — the other likely cause of</t>
        </is>
      </c>
    </row>
    <row r="22">
      <c r="A22" s="3" t="inlineStr">
        <is>
          <t>cells reading 0 (a stale or absent cached value that Excel didn't refresh).</t>
        </is>
      </c>
    </row>
    <row r="23">
      <c r="A23" s="3" t="inlineStr"/>
    </row>
    <row r="24">
      <c r="A24" s="4" t="inlineStr">
        <is>
          <t>METHOD — EV/EBITDA (unchanged from the prior file, see the companion PDF for the full derivation)</t>
        </is>
      </c>
    </row>
    <row r="25">
      <c r="A25" s="3" t="inlineStr">
        <is>
          <t>Beta approach: Damodaran unlevered beta (credibility-shrunk) as the differentiator, equal-weighted rollup.</t>
        </is>
      </c>
    </row>
    <row r="26">
      <c r="A26" s="3" t="inlineStr">
        <is>
          <t>Real-data approach: the real UK current EV/EBITDA multiple relative to its sector's real, market-cap-</t>
        </is>
      </c>
    </row>
    <row r="27">
      <c r="A27" s="3" t="inlineStr">
        <is>
          <t>weighted average multiple — the actual thing being shocked, not a proxy. 125 of 163 sub-industries have a</t>
        </is>
      </c>
    </row>
    <row r="28">
      <c r="A28" s="3" t="inlineStr">
        <is>
          <t>usable UK multiple; the other 38 keep the beta estimate. Two multiples that were near-zero-EBITDA data</t>
        </is>
      </c>
    </row>
    <row r="29">
      <c r="A29" s="3" t="inlineStr">
        <is>
          <t>artifacts (213x, 59x) were corrected to Bloomberg's own forward multiple before use, at the source.</t>
        </is>
      </c>
    </row>
    <row r="30">
      <c r="A30" s="3" t="inlineStr"/>
    </row>
    <row r="31">
      <c r="A31" s="4" t="inlineStr">
        <is>
          <t>METHOD — REVENUE (new in this file)</t>
        </is>
      </c>
    </row>
    <row r="32">
      <c r="A32" s="3" t="inlineStr">
        <is>
          <t>The PRA's own revenue figure is a 3-tier severity label, not a genuine per-sector calculation (proven in</t>
        </is>
      </c>
    </row>
    <row r="33">
      <c r="A33" s="3" t="inlineStr">
        <is>
          <t>the companion PDF via exact floating-point duplication across sectors) — so there is no finer REVENUE</t>
        </is>
      </c>
    </row>
    <row r="34">
      <c r="A34" s="3" t="inlineStr">
        <is>
          <t>SENSITIVITY signal to inherit from real data the way there was for EV/EBITDA. Beta therefore remains the</t>
        </is>
      </c>
    </row>
    <row r="35">
      <c r="A35" s="3" t="inlineStr">
        <is>
          <t>differentiator for revenue in BOTH approaches. What changes is the WEIGHTING: the beta approach equal-</t>
        </is>
      </c>
    </row>
    <row r="36">
      <c r="A36" s="3" t="inlineStr">
        <is>
          <t>weights every sub-industry; the real-data approach weights by real UK Revenue T12M (Bloomberg EQS&lt;GO&gt;,</t>
        </is>
      </c>
    </row>
    <row r="37">
      <c r="A37" s="3" t="inlineStr">
        <is>
          <t>GICS Sub-Industry, 8 Aug 2026) — the natural, metric-appropriate weight for a revenue-shock rollup, and</t>
        </is>
      </c>
    </row>
    <row r="38">
      <c r="A38" s="3" t="inlineStr">
        <is>
          <t>the same principle already applied to EV/EBITDA with market-cap weights.</t>
        </is>
      </c>
    </row>
    <row r="39">
      <c r="A39" s="3" t="inlineStr"/>
    </row>
    <row r="40">
      <c r="A40" s="4" t="inlineStr">
        <is>
          <t>DATA QUALITY</t>
        </is>
      </c>
    </row>
    <row r="41">
      <c r="A41" s="3" t="inlineStr">
        <is>
          <t>139 UK sub-industries were transcribed across two independent Bloomberg exports (EV/EBITDA and Revenue),</t>
        </is>
      </c>
    </row>
    <row r="42">
      <c r="A42" s="3" t="inlineStr">
        <is>
          <t>read on different screens at different times. All 139 names matched exactly, and all 139 market-cap figures</t>
        </is>
      </c>
    </row>
    <row r="43">
      <c r="A43" s="3" t="inlineStr">
        <is>
          <t>matched exactly between the two exports (0 mismatches) — strong cross-validation that the transcription is</t>
        </is>
      </c>
    </row>
    <row r="44">
      <c r="A44" s="3" t="inlineStr">
        <is>
          <t>accurate. 4 sub-industries show revenue as a literal 0.00 in the source (Coal &amp; Consumable Fuels, Drug</t>
        </is>
      </c>
    </row>
    <row r="45">
      <c r="A45" s="3" t="inlineStr">
        <is>
          <t>Retail, Industrial Gases, Motorcycle Manufacturers) and are treated as no-data for revenue weighting.</t>
        </is>
      </c>
    </row>
    <row r="46">
      <c r="A46" s="3" t="inlineStr"/>
    </row>
    <row r="47">
      <c r="A47" s="4" t="inlineStr">
        <is>
          <t>SHEET GUIDE</t>
        </is>
      </c>
    </row>
    <row r="48">
      <c r="A48" s="3" t="inlineStr">
        <is>
          <t>1_GICS_Structure     163 sub-industries, 4-level hierarchy, Damodaran crosswalk (reference, unchanged)</t>
        </is>
      </c>
    </row>
    <row r="49">
      <c r="A49" s="3" t="inlineStr">
        <is>
          <t>2_Damodaran_Betas    95 industries, shrunk beta (reference, unchanged)</t>
        </is>
      </c>
    </row>
    <row r="50">
      <c r="A50" s="3" t="inlineStr">
        <is>
          <t>3_UK_Bloomberg_Data  139 sub-industries: market cap, revenue, EV/EBITDA (raw + outlier-corrected). Values only.</t>
        </is>
      </c>
    </row>
    <row r="51">
      <c r="A51" s="3" t="inlineStr">
        <is>
          <t>4_UK_L1_Input        PASTE ZONE: UK Revenue and EV/EBITDA Year-1 shocks by sector (11 rows)</t>
        </is>
      </c>
    </row>
    <row r="52">
      <c r="A52" s="3" t="inlineStr">
        <is>
          <t>5_Cascade_Engine     163 rows: beta estimate, real-data estimate, and divergence, for BOTH metrics</t>
        </is>
      </c>
    </row>
    <row r="53">
      <c r="A53" s="3" t="inlineStr">
        <is>
          <t>6_Control_Check      reconciliation, both metrics, both methods (4 blocks x 11 sectors)</t>
        </is>
      </c>
    </row>
    <row r="54">
      <c r="A54" s="3" t="inlineStr">
        <is>
          <t>7_Output             clean flat table for lookup against a loan tape's GICS sub-industry code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8" customWidth="1" min="3" max="3"/>
    <col width="26" customWidth="1" min="4" max="4"/>
    <col width="10" customWidth="1" min="5" max="5"/>
    <col width="34" customWidth="1" min="6" max="6"/>
    <col width="12" customWidth="1" min="7" max="7"/>
    <col width="34" customWidth="1" min="8" max="8"/>
    <col width="26" customWidth="1" min="9" max="9"/>
    <col width="9" customWidth="1" min="10" max="10"/>
  </cols>
  <sheetData>
    <row r="1">
      <c r="A1" s="5" t="inlineStr">
        <is>
          <t>Reference sheet, unchanged from GICS_Shock_Propagation_L1_to_L4.xlsx. All 163 GICS sub-industries, crosswalked to a Damodaran industry. Weight defaults to 1 (equal-weight).</t>
        </is>
      </c>
    </row>
    <row r="2">
      <c r="A2" s="6" t="inlineStr">
        <is>
          <t>Sector Code</t>
        </is>
      </c>
      <c r="B2" s="6" t="inlineStr">
        <is>
          <t>Sector</t>
        </is>
      </c>
      <c r="C2" s="6" t="inlineStr">
        <is>
          <t>IG Code</t>
        </is>
      </c>
      <c r="D2" s="6" t="inlineStr">
        <is>
          <t>Industry Group</t>
        </is>
      </c>
      <c r="E2" s="6" t="inlineStr">
        <is>
          <t>Industry Code</t>
        </is>
      </c>
      <c r="F2" s="6" t="inlineStr">
        <is>
          <t>Industry</t>
        </is>
      </c>
      <c r="G2" s="6" t="inlineStr">
        <is>
          <t>Sub-Ind Code</t>
        </is>
      </c>
      <c r="H2" s="6" t="inlineStr">
        <is>
          <t>Sub-Industry</t>
        </is>
      </c>
      <c r="I2" s="6" t="inlineStr">
        <is>
          <t>Damodaran Industry (crosswalk)</t>
        </is>
      </c>
      <c r="J2" s="6" t="inlineStr">
        <is>
          <t>Weight</t>
        </is>
      </c>
    </row>
    <row r="3">
      <c r="A3" s="7" t="n">
        <v>10</v>
      </c>
      <c r="B3" s="7" t="inlineStr">
        <is>
          <t>Energy</t>
        </is>
      </c>
      <c r="C3" s="7" t="n">
        <v>1010</v>
      </c>
      <c r="D3" s="7" t="inlineStr">
        <is>
          <t>Energy</t>
        </is>
      </c>
      <c r="E3" s="7" t="n">
        <v>101010</v>
      </c>
      <c r="F3" s="7" t="inlineStr">
        <is>
          <t>Energy Equipment &amp; Services</t>
        </is>
      </c>
      <c r="G3" s="7" t="n">
        <v>10101010</v>
      </c>
      <c r="H3" s="7" t="inlineStr">
        <is>
          <t>Oil &amp; Gas Drilling</t>
        </is>
      </c>
      <c r="I3" s="8" t="inlineStr">
        <is>
          <t>Oilfield Svcs/Equip.</t>
        </is>
      </c>
      <c r="J3" s="9" t="n">
        <v>1</v>
      </c>
    </row>
    <row r="4">
      <c r="A4" s="7" t="n">
        <v>10</v>
      </c>
      <c r="B4" s="7" t="inlineStr">
        <is>
          <t>Energy</t>
        </is>
      </c>
      <c r="C4" s="7" t="n">
        <v>1010</v>
      </c>
      <c r="D4" s="7" t="inlineStr">
        <is>
          <t>Energy</t>
        </is>
      </c>
      <c r="E4" s="7" t="n">
        <v>101010</v>
      </c>
      <c r="F4" s="7" t="inlineStr">
        <is>
          <t>Energy Equipment &amp; Services</t>
        </is>
      </c>
      <c r="G4" s="7" t="n">
        <v>10101020</v>
      </c>
      <c r="H4" s="7" t="inlineStr">
        <is>
          <t>Oil &amp; Gas Equipment &amp; Services</t>
        </is>
      </c>
      <c r="I4" s="8" t="inlineStr">
        <is>
          <t>Oilfield Svcs/Equip.</t>
        </is>
      </c>
      <c r="J4" s="9" t="n">
        <v>1</v>
      </c>
    </row>
    <row r="5">
      <c r="A5" s="7" t="n">
        <v>10</v>
      </c>
      <c r="B5" s="7" t="inlineStr">
        <is>
          <t>Energy</t>
        </is>
      </c>
      <c r="C5" s="7" t="n">
        <v>1010</v>
      </c>
      <c r="D5" s="7" t="inlineStr">
        <is>
          <t>Energy</t>
        </is>
      </c>
      <c r="E5" s="7" t="n">
        <v>101020</v>
      </c>
      <c r="F5" s="7" t="inlineStr">
        <is>
          <t>Oil, Gas &amp; Consumable Fuels</t>
        </is>
      </c>
      <c r="G5" s="7" t="n">
        <v>10102010</v>
      </c>
      <c r="H5" s="7" t="inlineStr">
        <is>
          <t>Integrated Oil &amp; Gas</t>
        </is>
      </c>
      <c r="I5" s="8" t="inlineStr">
        <is>
          <t>Oil/Gas (Integrated)</t>
        </is>
      </c>
      <c r="J5" s="9" t="n">
        <v>1</v>
      </c>
    </row>
    <row r="6">
      <c r="A6" s="7" t="n">
        <v>10</v>
      </c>
      <c r="B6" s="7" t="inlineStr">
        <is>
          <t>Energy</t>
        </is>
      </c>
      <c r="C6" s="7" t="n">
        <v>1010</v>
      </c>
      <c r="D6" s="7" t="inlineStr">
        <is>
          <t>Energy</t>
        </is>
      </c>
      <c r="E6" s="7" t="n">
        <v>101020</v>
      </c>
      <c r="F6" s="7" t="inlineStr">
        <is>
          <t>Oil, Gas &amp; Consumable Fuels</t>
        </is>
      </c>
      <c r="G6" s="7" t="n">
        <v>10102020</v>
      </c>
      <c r="H6" s="7" t="inlineStr">
        <is>
          <t>Oil &amp; Gas Exploration &amp; Production</t>
        </is>
      </c>
      <c r="I6" s="8" t="inlineStr">
        <is>
          <t>Oil/Gas (Production and Exploration)</t>
        </is>
      </c>
      <c r="J6" s="9" t="n">
        <v>1</v>
      </c>
    </row>
    <row r="7">
      <c r="A7" s="7" t="n">
        <v>10</v>
      </c>
      <c r="B7" s="7" t="inlineStr">
        <is>
          <t>Energy</t>
        </is>
      </c>
      <c r="C7" s="7" t="n">
        <v>1010</v>
      </c>
      <c r="D7" s="7" t="inlineStr">
        <is>
          <t>Energy</t>
        </is>
      </c>
      <c r="E7" s="7" t="n">
        <v>101020</v>
      </c>
      <c r="F7" s="7" t="inlineStr">
        <is>
          <t>Oil, Gas &amp; Consumable Fuels</t>
        </is>
      </c>
      <c r="G7" s="7" t="n">
        <v>10102030</v>
      </c>
      <c r="H7" s="7" t="inlineStr">
        <is>
          <t>Oil &amp; Gas Refining &amp; Marketing</t>
        </is>
      </c>
      <c r="I7" s="8" t="inlineStr">
        <is>
          <t>Oil/Gas Distribution</t>
        </is>
      </c>
      <c r="J7" s="9" t="n">
        <v>1</v>
      </c>
    </row>
    <row r="8">
      <c r="A8" s="7" t="n">
        <v>10</v>
      </c>
      <c r="B8" s="7" t="inlineStr">
        <is>
          <t>Energy</t>
        </is>
      </c>
      <c r="C8" s="7" t="n">
        <v>1010</v>
      </c>
      <c r="D8" s="7" t="inlineStr">
        <is>
          <t>Energy</t>
        </is>
      </c>
      <c r="E8" s="7" t="n">
        <v>101020</v>
      </c>
      <c r="F8" s="7" t="inlineStr">
        <is>
          <t>Oil, Gas &amp; Consumable Fuels</t>
        </is>
      </c>
      <c r="G8" s="7" t="n">
        <v>10102040</v>
      </c>
      <c r="H8" s="7" t="inlineStr">
        <is>
          <t>Oil &amp; Gas Storage &amp; Transportation</t>
        </is>
      </c>
      <c r="I8" s="8" t="inlineStr">
        <is>
          <t>Oil/Gas Distribution</t>
        </is>
      </c>
      <c r="J8" s="9" t="n">
        <v>1</v>
      </c>
    </row>
    <row r="9">
      <c r="A9" s="7" t="n">
        <v>10</v>
      </c>
      <c r="B9" s="7" t="inlineStr">
        <is>
          <t>Energy</t>
        </is>
      </c>
      <c r="C9" s="7" t="n">
        <v>1010</v>
      </c>
      <c r="D9" s="7" t="inlineStr">
        <is>
          <t>Energy</t>
        </is>
      </c>
      <c r="E9" s="7" t="n">
        <v>101020</v>
      </c>
      <c r="F9" s="7" t="inlineStr">
        <is>
          <t>Oil, Gas &amp; Consumable Fuels</t>
        </is>
      </c>
      <c r="G9" s="7" t="n">
        <v>10102050</v>
      </c>
      <c r="H9" s="7" t="inlineStr">
        <is>
          <t>Coal &amp; Consumable Fuels</t>
        </is>
      </c>
      <c r="I9" s="8" t="inlineStr">
        <is>
          <t>Coal &amp; Related Energy</t>
        </is>
      </c>
      <c r="J9" s="9" t="n">
        <v>1</v>
      </c>
    </row>
    <row r="10">
      <c r="A10" s="7" t="n">
        <v>15</v>
      </c>
      <c r="B10" s="7" t="inlineStr">
        <is>
          <t>Materials</t>
        </is>
      </c>
      <c r="C10" s="7" t="n">
        <v>1510</v>
      </c>
      <c r="D10" s="7" t="inlineStr">
        <is>
          <t>Materials</t>
        </is>
      </c>
      <c r="E10" s="7" t="n">
        <v>151010</v>
      </c>
      <c r="F10" s="7" t="inlineStr">
        <is>
          <t>Chemicals</t>
        </is>
      </c>
      <c r="G10" s="7" t="n">
        <v>15101010</v>
      </c>
      <c r="H10" s="7" t="inlineStr">
        <is>
          <t>Commodity Chemicals</t>
        </is>
      </c>
      <c r="I10" s="8" t="inlineStr">
        <is>
          <t>Chemical (Basic)</t>
        </is>
      </c>
      <c r="J10" s="9" t="n">
        <v>1</v>
      </c>
    </row>
    <row r="11">
      <c r="A11" s="7" t="n">
        <v>15</v>
      </c>
      <c r="B11" s="7" t="inlineStr">
        <is>
          <t>Materials</t>
        </is>
      </c>
      <c r="C11" s="7" t="n">
        <v>1510</v>
      </c>
      <c r="D11" s="7" t="inlineStr">
        <is>
          <t>Materials</t>
        </is>
      </c>
      <c r="E11" s="7" t="n">
        <v>151010</v>
      </c>
      <c r="F11" s="7" t="inlineStr">
        <is>
          <t>Chemicals</t>
        </is>
      </c>
      <c r="G11" s="7" t="n">
        <v>15101020</v>
      </c>
      <c r="H11" s="7" t="inlineStr">
        <is>
          <t>Diversified Chemicals</t>
        </is>
      </c>
      <c r="I11" s="8" t="inlineStr">
        <is>
          <t>Chemical (Diversified)</t>
        </is>
      </c>
      <c r="J11" s="9" t="n">
        <v>1</v>
      </c>
    </row>
    <row r="12">
      <c r="A12" s="7" t="n">
        <v>15</v>
      </c>
      <c r="B12" s="7" t="inlineStr">
        <is>
          <t>Materials</t>
        </is>
      </c>
      <c r="C12" s="7" t="n">
        <v>1510</v>
      </c>
      <c r="D12" s="7" t="inlineStr">
        <is>
          <t>Materials</t>
        </is>
      </c>
      <c r="E12" s="7" t="n">
        <v>151010</v>
      </c>
      <c r="F12" s="7" t="inlineStr">
        <is>
          <t>Chemicals</t>
        </is>
      </c>
      <c r="G12" s="7" t="n">
        <v>15101030</v>
      </c>
      <c r="H12" s="7" t="inlineStr">
        <is>
          <t>Fertilizers &amp; Agricultural Chemicals</t>
        </is>
      </c>
      <c r="I12" s="8" t="inlineStr">
        <is>
          <t>Chemical (Basic)</t>
        </is>
      </c>
      <c r="J12" s="9" t="n">
        <v>1</v>
      </c>
    </row>
    <row r="13">
      <c r="A13" s="7" t="n">
        <v>15</v>
      </c>
      <c r="B13" s="7" t="inlineStr">
        <is>
          <t>Materials</t>
        </is>
      </c>
      <c r="C13" s="7" t="n">
        <v>1510</v>
      </c>
      <c r="D13" s="7" t="inlineStr">
        <is>
          <t>Materials</t>
        </is>
      </c>
      <c r="E13" s="7" t="n">
        <v>151010</v>
      </c>
      <c r="F13" s="7" t="inlineStr">
        <is>
          <t>Chemicals</t>
        </is>
      </c>
      <c r="G13" s="7" t="n">
        <v>15101040</v>
      </c>
      <c r="H13" s="7" t="inlineStr">
        <is>
          <t>Industrial Gases</t>
        </is>
      </c>
      <c r="I13" s="8" t="inlineStr">
        <is>
          <t>Chemical (Specialty)</t>
        </is>
      </c>
      <c r="J13" s="9" t="n">
        <v>1</v>
      </c>
    </row>
    <row r="14">
      <c r="A14" s="7" t="n">
        <v>15</v>
      </c>
      <c r="B14" s="7" t="inlineStr">
        <is>
          <t>Materials</t>
        </is>
      </c>
      <c r="C14" s="7" t="n">
        <v>1510</v>
      </c>
      <c r="D14" s="7" t="inlineStr">
        <is>
          <t>Materials</t>
        </is>
      </c>
      <c r="E14" s="7" t="n">
        <v>151010</v>
      </c>
      <c r="F14" s="7" t="inlineStr">
        <is>
          <t>Chemicals</t>
        </is>
      </c>
      <c r="G14" s="7" t="n">
        <v>15101050</v>
      </c>
      <c r="H14" s="7" t="inlineStr">
        <is>
          <t>Specialty Chemicals</t>
        </is>
      </c>
      <c r="I14" s="8" t="inlineStr">
        <is>
          <t>Chemical (Specialty)</t>
        </is>
      </c>
      <c r="J14" s="9" t="n">
        <v>1</v>
      </c>
    </row>
    <row r="15">
      <c r="A15" s="7" t="n">
        <v>15</v>
      </c>
      <c r="B15" s="7" t="inlineStr">
        <is>
          <t>Materials</t>
        </is>
      </c>
      <c r="C15" s="7" t="n">
        <v>1510</v>
      </c>
      <c r="D15" s="7" t="inlineStr">
        <is>
          <t>Materials</t>
        </is>
      </c>
      <c r="E15" s="7" t="n">
        <v>151020</v>
      </c>
      <c r="F15" s="7" t="inlineStr">
        <is>
          <t>Construction Materials</t>
        </is>
      </c>
      <c r="G15" s="7" t="n">
        <v>15102010</v>
      </c>
      <c r="H15" s="7" t="inlineStr">
        <is>
          <t>Construction Materials</t>
        </is>
      </c>
      <c r="I15" s="8" t="inlineStr">
        <is>
          <t>Construction Supplies</t>
        </is>
      </c>
      <c r="J15" s="9" t="n">
        <v>1</v>
      </c>
    </row>
    <row r="16">
      <c r="A16" s="7" t="n">
        <v>15</v>
      </c>
      <c r="B16" s="7" t="inlineStr">
        <is>
          <t>Materials</t>
        </is>
      </c>
      <c r="C16" s="7" t="n">
        <v>1510</v>
      </c>
      <c r="D16" s="7" t="inlineStr">
        <is>
          <t>Materials</t>
        </is>
      </c>
      <c r="E16" s="7" t="n">
        <v>151030</v>
      </c>
      <c r="F16" s="7" t="inlineStr">
        <is>
          <t>Containers &amp; Packaging</t>
        </is>
      </c>
      <c r="G16" s="7" t="n">
        <v>15103010</v>
      </c>
      <c r="H16" s="7" t="inlineStr">
        <is>
          <t>Metal, Glass &amp; Plastic Containers</t>
        </is>
      </c>
      <c r="I16" s="8" t="inlineStr">
        <is>
          <t>Packaging &amp; Container</t>
        </is>
      </c>
      <c r="J16" s="9" t="n">
        <v>1</v>
      </c>
    </row>
    <row r="17">
      <c r="A17" s="7" t="n">
        <v>15</v>
      </c>
      <c r="B17" s="7" t="inlineStr">
        <is>
          <t>Materials</t>
        </is>
      </c>
      <c r="C17" s="7" t="n">
        <v>1510</v>
      </c>
      <c r="D17" s="7" t="inlineStr">
        <is>
          <t>Materials</t>
        </is>
      </c>
      <c r="E17" s="7" t="n">
        <v>151030</v>
      </c>
      <c r="F17" s="7" t="inlineStr">
        <is>
          <t>Containers &amp; Packaging</t>
        </is>
      </c>
      <c r="G17" s="7" t="n">
        <v>15103020</v>
      </c>
      <c r="H17" s="7" t="inlineStr">
        <is>
          <t>Paper &amp; Plastic Packaging Products &amp; Materials</t>
        </is>
      </c>
      <c r="I17" s="8" t="inlineStr">
        <is>
          <t>Packaging &amp; Container</t>
        </is>
      </c>
      <c r="J17" s="9" t="n">
        <v>1</v>
      </c>
    </row>
    <row r="18">
      <c r="A18" s="7" t="n">
        <v>15</v>
      </c>
      <c r="B18" s="7" t="inlineStr">
        <is>
          <t>Materials</t>
        </is>
      </c>
      <c r="C18" s="7" t="n">
        <v>1510</v>
      </c>
      <c r="D18" s="7" t="inlineStr">
        <is>
          <t>Materials</t>
        </is>
      </c>
      <c r="E18" s="7" t="n">
        <v>151040</v>
      </c>
      <c r="F18" s="7" t="inlineStr">
        <is>
          <t>Metals &amp; Mining</t>
        </is>
      </c>
      <c r="G18" s="7" t="n">
        <v>15104010</v>
      </c>
      <c r="H18" s="7" t="inlineStr">
        <is>
          <t>Aluminum</t>
        </is>
      </c>
      <c r="I18" s="8" t="inlineStr">
        <is>
          <t>Metals &amp; Mining</t>
        </is>
      </c>
      <c r="J18" s="9" t="n">
        <v>1</v>
      </c>
    </row>
    <row r="19">
      <c r="A19" s="7" t="n">
        <v>15</v>
      </c>
      <c r="B19" s="7" t="inlineStr">
        <is>
          <t>Materials</t>
        </is>
      </c>
      <c r="C19" s="7" t="n">
        <v>1510</v>
      </c>
      <c r="D19" s="7" t="inlineStr">
        <is>
          <t>Materials</t>
        </is>
      </c>
      <c r="E19" s="7" t="n">
        <v>151040</v>
      </c>
      <c r="F19" s="7" t="inlineStr">
        <is>
          <t>Metals &amp; Mining</t>
        </is>
      </c>
      <c r="G19" s="7" t="n">
        <v>15104020</v>
      </c>
      <c r="H19" s="7" t="inlineStr">
        <is>
          <t>Diversified Metals &amp; Mining</t>
        </is>
      </c>
      <c r="I19" s="8" t="inlineStr">
        <is>
          <t>Metals &amp; Mining</t>
        </is>
      </c>
      <c r="J19" s="9" t="n">
        <v>1</v>
      </c>
    </row>
    <row r="20">
      <c r="A20" s="7" t="n">
        <v>15</v>
      </c>
      <c r="B20" s="7" t="inlineStr">
        <is>
          <t>Materials</t>
        </is>
      </c>
      <c r="C20" s="7" t="n">
        <v>1510</v>
      </c>
      <c r="D20" s="7" t="inlineStr">
        <is>
          <t>Materials</t>
        </is>
      </c>
      <c r="E20" s="7" t="n">
        <v>151040</v>
      </c>
      <c r="F20" s="7" t="inlineStr">
        <is>
          <t>Metals &amp; Mining</t>
        </is>
      </c>
      <c r="G20" s="7" t="n">
        <v>15104025</v>
      </c>
      <c r="H20" s="7" t="inlineStr">
        <is>
          <t>Copper</t>
        </is>
      </c>
      <c r="I20" s="8" t="inlineStr">
        <is>
          <t>Metals &amp; Mining</t>
        </is>
      </c>
      <c r="J20" s="9" t="n">
        <v>1</v>
      </c>
    </row>
    <row r="21">
      <c r="A21" s="7" t="n">
        <v>15</v>
      </c>
      <c r="B21" s="7" t="inlineStr">
        <is>
          <t>Materials</t>
        </is>
      </c>
      <c r="C21" s="7" t="n">
        <v>1510</v>
      </c>
      <c r="D21" s="7" t="inlineStr">
        <is>
          <t>Materials</t>
        </is>
      </c>
      <c r="E21" s="7" t="n">
        <v>151040</v>
      </c>
      <c r="F21" s="7" t="inlineStr">
        <is>
          <t>Metals &amp; Mining</t>
        </is>
      </c>
      <c r="G21" s="7" t="n">
        <v>15104030</v>
      </c>
      <c r="H21" s="7" t="inlineStr">
        <is>
          <t>Gold</t>
        </is>
      </c>
      <c r="I21" s="8" t="inlineStr">
        <is>
          <t>Precious Metals</t>
        </is>
      </c>
      <c r="J21" s="9" t="n">
        <v>1</v>
      </c>
    </row>
    <row r="22">
      <c r="A22" s="7" t="n">
        <v>15</v>
      </c>
      <c r="B22" s="7" t="inlineStr">
        <is>
          <t>Materials</t>
        </is>
      </c>
      <c r="C22" s="7" t="n">
        <v>1510</v>
      </c>
      <c r="D22" s="7" t="inlineStr">
        <is>
          <t>Materials</t>
        </is>
      </c>
      <c r="E22" s="7" t="n">
        <v>151040</v>
      </c>
      <c r="F22" s="7" t="inlineStr">
        <is>
          <t>Metals &amp; Mining</t>
        </is>
      </c>
      <c r="G22" s="7" t="n">
        <v>15104040</v>
      </c>
      <c r="H22" s="7" t="inlineStr">
        <is>
          <t>Precious Metals &amp; Minerals</t>
        </is>
      </c>
      <c r="I22" s="8" t="inlineStr">
        <is>
          <t>Precious Metals</t>
        </is>
      </c>
      <c r="J22" s="9" t="n">
        <v>1</v>
      </c>
    </row>
    <row r="23">
      <c r="A23" s="7" t="n">
        <v>15</v>
      </c>
      <c r="B23" s="7" t="inlineStr">
        <is>
          <t>Materials</t>
        </is>
      </c>
      <c r="C23" s="7" t="n">
        <v>1510</v>
      </c>
      <c r="D23" s="7" t="inlineStr">
        <is>
          <t>Materials</t>
        </is>
      </c>
      <c r="E23" s="7" t="n">
        <v>151040</v>
      </c>
      <c r="F23" s="7" t="inlineStr">
        <is>
          <t>Metals &amp; Mining</t>
        </is>
      </c>
      <c r="G23" s="7" t="n">
        <v>15104045</v>
      </c>
      <c r="H23" s="7" t="inlineStr">
        <is>
          <t>Silver</t>
        </is>
      </c>
      <c r="I23" s="8" t="inlineStr">
        <is>
          <t>Precious Metals</t>
        </is>
      </c>
      <c r="J23" s="9" t="n">
        <v>1</v>
      </c>
    </row>
    <row r="24">
      <c r="A24" s="7" t="n">
        <v>15</v>
      </c>
      <c r="B24" s="7" t="inlineStr">
        <is>
          <t>Materials</t>
        </is>
      </c>
      <c r="C24" s="7" t="n">
        <v>1510</v>
      </c>
      <c r="D24" s="7" t="inlineStr">
        <is>
          <t>Materials</t>
        </is>
      </c>
      <c r="E24" s="7" t="n">
        <v>151040</v>
      </c>
      <c r="F24" s="7" t="inlineStr">
        <is>
          <t>Metals &amp; Mining</t>
        </is>
      </c>
      <c r="G24" s="7" t="n">
        <v>15104050</v>
      </c>
      <c r="H24" s="7" t="inlineStr">
        <is>
          <t>Steel</t>
        </is>
      </c>
      <c r="I24" s="8" t="inlineStr">
        <is>
          <t>Steel</t>
        </is>
      </c>
      <c r="J24" s="9" t="n">
        <v>1</v>
      </c>
    </row>
    <row r="25">
      <c r="A25" s="7" t="n">
        <v>15</v>
      </c>
      <c r="B25" s="7" t="inlineStr">
        <is>
          <t>Materials</t>
        </is>
      </c>
      <c r="C25" s="7" t="n">
        <v>1510</v>
      </c>
      <c r="D25" s="7" t="inlineStr">
        <is>
          <t>Materials</t>
        </is>
      </c>
      <c r="E25" s="7" t="n">
        <v>151050</v>
      </c>
      <c r="F25" s="7" t="inlineStr">
        <is>
          <t>Paper &amp; Forest Products</t>
        </is>
      </c>
      <c r="G25" s="7" t="n">
        <v>15105010</v>
      </c>
      <c r="H25" s="7" t="inlineStr">
        <is>
          <t>Forest Products</t>
        </is>
      </c>
      <c r="I25" s="8" t="inlineStr">
        <is>
          <t>Paper/Forest Products</t>
        </is>
      </c>
      <c r="J25" s="9" t="n">
        <v>1</v>
      </c>
    </row>
    <row r="26">
      <c r="A26" s="7" t="n">
        <v>15</v>
      </c>
      <c r="B26" s="7" t="inlineStr">
        <is>
          <t>Materials</t>
        </is>
      </c>
      <c r="C26" s="7" t="n">
        <v>1510</v>
      </c>
      <c r="D26" s="7" t="inlineStr">
        <is>
          <t>Materials</t>
        </is>
      </c>
      <c r="E26" s="7" t="n">
        <v>151050</v>
      </c>
      <c r="F26" s="7" t="inlineStr">
        <is>
          <t>Paper &amp; Forest Products</t>
        </is>
      </c>
      <c r="G26" s="7" t="n">
        <v>15105020</v>
      </c>
      <c r="H26" s="7" t="inlineStr">
        <is>
          <t>Paper Products</t>
        </is>
      </c>
      <c r="I26" s="8" t="inlineStr">
        <is>
          <t>Paper/Forest Products</t>
        </is>
      </c>
      <c r="J26" s="9" t="n">
        <v>1</v>
      </c>
    </row>
    <row r="27">
      <c r="A27" s="7" t="n">
        <v>20</v>
      </c>
      <c r="B27" s="7" t="inlineStr">
        <is>
          <t>Industrials</t>
        </is>
      </c>
      <c r="C27" s="7" t="n">
        <v>2010</v>
      </c>
      <c r="D27" s="7" t="inlineStr">
        <is>
          <t>Capital Goods</t>
        </is>
      </c>
      <c r="E27" s="7" t="n">
        <v>201010</v>
      </c>
      <c r="F27" s="7" t="inlineStr">
        <is>
          <t>Aerospace &amp; Defense</t>
        </is>
      </c>
      <c r="G27" s="7" t="n">
        <v>20101010</v>
      </c>
      <c r="H27" s="7" t="inlineStr">
        <is>
          <t>Aerospace &amp; Defense</t>
        </is>
      </c>
      <c r="I27" s="8" t="inlineStr">
        <is>
          <t>Aerospace/Defense</t>
        </is>
      </c>
      <c r="J27" s="9" t="n">
        <v>1</v>
      </c>
    </row>
    <row r="28">
      <c r="A28" s="7" t="n">
        <v>20</v>
      </c>
      <c r="B28" s="7" t="inlineStr">
        <is>
          <t>Industrials</t>
        </is>
      </c>
      <c r="C28" s="7" t="n">
        <v>2010</v>
      </c>
      <c r="D28" s="7" t="inlineStr">
        <is>
          <t>Capital Goods</t>
        </is>
      </c>
      <c r="E28" s="7" t="n">
        <v>201020</v>
      </c>
      <c r="F28" s="7" t="inlineStr">
        <is>
          <t>Building Products</t>
        </is>
      </c>
      <c r="G28" s="7" t="n">
        <v>20102010</v>
      </c>
      <c r="H28" s="7" t="inlineStr">
        <is>
          <t>Building Products</t>
        </is>
      </c>
      <c r="I28" s="8" t="inlineStr">
        <is>
          <t>Building Materials</t>
        </is>
      </c>
      <c r="J28" s="9" t="n">
        <v>1</v>
      </c>
    </row>
    <row r="29">
      <c r="A29" s="7" t="n">
        <v>20</v>
      </c>
      <c r="B29" s="7" t="inlineStr">
        <is>
          <t>Industrials</t>
        </is>
      </c>
      <c r="C29" s="7" t="n">
        <v>2010</v>
      </c>
      <c r="D29" s="7" t="inlineStr">
        <is>
          <t>Capital Goods</t>
        </is>
      </c>
      <c r="E29" s="7" t="n">
        <v>201030</v>
      </c>
      <c r="F29" s="7" t="inlineStr">
        <is>
          <t>Construction &amp; Engineering</t>
        </is>
      </c>
      <c r="G29" s="7" t="n">
        <v>20103010</v>
      </c>
      <c r="H29" s="7" t="inlineStr">
        <is>
          <t>Construction &amp; Engineering</t>
        </is>
      </c>
      <c r="I29" s="8" t="inlineStr">
        <is>
          <t>Engineering/Construction</t>
        </is>
      </c>
      <c r="J29" s="9" t="n">
        <v>1</v>
      </c>
    </row>
    <row r="30">
      <c r="A30" s="7" t="n">
        <v>20</v>
      </c>
      <c r="B30" s="7" t="inlineStr">
        <is>
          <t>Industrials</t>
        </is>
      </c>
      <c r="C30" s="7" t="n">
        <v>2010</v>
      </c>
      <c r="D30" s="7" t="inlineStr">
        <is>
          <t>Capital Goods</t>
        </is>
      </c>
      <c r="E30" s="7" t="n">
        <v>201040</v>
      </c>
      <c r="F30" s="7" t="inlineStr">
        <is>
          <t>Electrical Equipment</t>
        </is>
      </c>
      <c r="G30" s="7" t="n">
        <v>20104010</v>
      </c>
      <c r="H30" s="7" t="inlineStr">
        <is>
          <t>Electrical Components &amp; Equipment</t>
        </is>
      </c>
      <c r="I30" s="8" t="inlineStr">
        <is>
          <t>Electrical Equipment</t>
        </is>
      </c>
      <c r="J30" s="9" t="n">
        <v>1</v>
      </c>
    </row>
    <row r="31">
      <c r="A31" s="7" t="n">
        <v>20</v>
      </c>
      <c r="B31" s="7" t="inlineStr">
        <is>
          <t>Industrials</t>
        </is>
      </c>
      <c r="C31" s="7" t="n">
        <v>2010</v>
      </c>
      <c r="D31" s="7" t="inlineStr">
        <is>
          <t>Capital Goods</t>
        </is>
      </c>
      <c r="E31" s="7" t="n">
        <v>201040</v>
      </c>
      <c r="F31" s="7" t="inlineStr">
        <is>
          <t>Electrical Equipment</t>
        </is>
      </c>
      <c r="G31" s="7" t="n">
        <v>20104020</v>
      </c>
      <c r="H31" s="7" t="inlineStr">
        <is>
          <t>Heavy Electrical Equipment</t>
        </is>
      </c>
      <c r="I31" s="8" t="inlineStr">
        <is>
          <t>Electrical Equipment</t>
        </is>
      </c>
      <c r="J31" s="9" t="n">
        <v>1</v>
      </c>
    </row>
    <row r="32">
      <c r="A32" s="7" t="n">
        <v>20</v>
      </c>
      <c r="B32" s="7" t="inlineStr">
        <is>
          <t>Industrials</t>
        </is>
      </c>
      <c r="C32" s="7" t="n">
        <v>2010</v>
      </c>
      <c r="D32" s="7" t="inlineStr">
        <is>
          <t>Capital Goods</t>
        </is>
      </c>
      <c r="E32" s="7" t="n">
        <v>201050</v>
      </c>
      <c r="F32" s="7" t="inlineStr">
        <is>
          <t>Industrial Conglomerates</t>
        </is>
      </c>
      <c r="G32" s="7" t="n">
        <v>20105010</v>
      </c>
      <c r="H32" s="7" t="inlineStr">
        <is>
          <t>Industrial Conglomerates</t>
        </is>
      </c>
      <c r="I32" s="8" t="inlineStr">
        <is>
          <t>Diversified</t>
        </is>
      </c>
      <c r="J32" s="9" t="n">
        <v>1</v>
      </c>
    </row>
    <row r="33">
      <c r="A33" s="7" t="n">
        <v>20</v>
      </c>
      <c r="B33" s="7" t="inlineStr">
        <is>
          <t>Industrials</t>
        </is>
      </c>
      <c r="C33" s="7" t="n">
        <v>2010</v>
      </c>
      <c r="D33" s="7" t="inlineStr">
        <is>
          <t>Capital Goods</t>
        </is>
      </c>
      <c r="E33" s="7" t="n">
        <v>201060</v>
      </c>
      <c r="F33" s="7" t="inlineStr">
        <is>
          <t>Machinery</t>
        </is>
      </c>
      <c r="G33" s="7" t="n">
        <v>20106010</v>
      </c>
      <c r="H33" s="7" t="inlineStr">
        <is>
          <t>Construction Machinery &amp; Heavy Transportation Equipment</t>
        </is>
      </c>
      <c r="I33" s="8" t="inlineStr">
        <is>
          <t>Machinery</t>
        </is>
      </c>
      <c r="J33" s="9" t="n">
        <v>1</v>
      </c>
    </row>
    <row r="34">
      <c r="A34" s="7" t="n">
        <v>20</v>
      </c>
      <c r="B34" s="7" t="inlineStr">
        <is>
          <t>Industrials</t>
        </is>
      </c>
      <c r="C34" s="7" t="n">
        <v>2010</v>
      </c>
      <c r="D34" s="7" t="inlineStr">
        <is>
          <t>Capital Goods</t>
        </is>
      </c>
      <c r="E34" s="7" t="n">
        <v>201060</v>
      </c>
      <c r="F34" s="7" t="inlineStr">
        <is>
          <t>Machinery</t>
        </is>
      </c>
      <c r="G34" s="7" t="n">
        <v>20106015</v>
      </c>
      <c r="H34" s="7" t="inlineStr">
        <is>
          <t>Agricultural &amp; Farm Machinery</t>
        </is>
      </c>
      <c r="I34" s="8" t="inlineStr">
        <is>
          <t>Machinery</t>
        </is>
      </c>
      <c r="J34" s="9" t="n">
        <v>1</v>
      </c>
    </row>
    <row r="35">
      <c r="A35" s="7" t="n">
        <v>20</v>
      </c>
      <c r="B35" s="7" t="inlineStr">
        <is>
          <t>Industrials</t>
        </is>
      </c>
      <c r="C35" s="7" t="n">
        <v>2010</v>
      </c>
      <c r="D35" s="7" t="inlineStr">
        <is>
          <t>Capital Goods</t>
        </is>
      </c>
      <c r="E35" s="7" t="n">
        <v>201060</v>
      </c>
      <c r="F35" s="7" t="inlineStr">
        <is>
          <t>Machinery</t>
        </is>
      </c>
      <c r="G35" s="7" t="n">
        <v>20106020</v>
      </c>
      <c r="H35" s="7" t="inlineStr">
        <is>
          <t>Industrial Machinery &amp; Supplies &amp; Components</t>
        </is>
      </c>
      <c r="I35" s="8" t="inlineStr">
        <is>
          <t>Machinery</t>
        </is>
      </c>
      <c r="J35" s="9" t="n">
        <v>1</v>
      </c>
    </row>
    <row r="36">
      <c r="A36" s="7" t="n">
        <v>20</v>
      </c>
      <c r="B36" s="7" t="inlineStr">
        <is>
          <t>Industrials</t>
        </is>
      </c>
      <c r="C36" s="7" t="n">
        <v>2010</v>
      </c>
      <c r="D36" s="7" t="inlineStr">
        <is>
          <t>Capital Goods</t>
        </is>
      </c>
      <c r="E36" s="7" t="n">
        <v>201070</v>
      </c>
      <c r="F36" s="7" t="inlineStr">
        <is>
          <t>Trading Companies &amp; Distributors</t>
        </is>
      </c>
      <c r="G36" s="7" t="n">
        <v>20107010</v>
      </c>
      <c r="H36" s="7" t="inlineStr">
        <is>
          <t>Trading Companies &amp; Distributors</t>
        </is>
      </c>
      <c r="I36" s="8" t="inlineStr">
        <is>
          <t>Retail (Distributors)</t>
        </is>
      </c>
      <c r="J36" s="9" t="n">
        <v>1</v>
      </c>
    </row>
    <row r="37">
      <c r="A37" s="7" t="n">
        <v>20</v>
      </c>
      <c r="B37" s="7" t="inlineStr">
        <is>
          <t>Industrials</t>
        </is>
      </c>
      <c r="C37" s="7" t="n">
        <v>2020</v>
      </c>
      <c r="D37" s="7" t="inlineStr">
        <is>
          <t>Commercial  &amp; Professional Services</t>
        </is>
      </c>
      <c r="E37" s="7" t="n">
        <v>202010</v>
      </c>
      <c r="F37" s="7" t="inlineStr">
        <is>
          <t>Commercial Services &amp; Supplies</t>
        </is>
      </c>
      <c r="G37" s="7" t="n">
        <v>20201010</v>
      </c>
      <c r="H37" s="7" t="inlineStr">
        <is>
          <t>Commercial Printing</t>
        </is>
      </c>
      <c r="I37" s="8" t="inlineStr">
        <is>
          <t>Business &amp; Consumer Services</t>
        </is>
      </c>
      <c r="J37" s="9" t="n">
        <v>1</v>
      </c>
    </row>
    <row r="38">
      <c r="A38" s="7" t="n">
        <v>20</v>
      </c>
      <c r="B38" s="7" t="inlineStr">
        <is>
          <t>Industrials</t>
        </is>
      </c>
      <c r="C38" s="7" t="n">
        <v>2020</v>
      </c>
      <c r="D38" s="7" t="inlineStr">
        <is>
          <t>Commercial  &amp; Professional Services</t>
        </is>
      </c>
      <c r="E38" s="7" t="n">
        <v>202010</v>
      </c>
      <c r="F38" s="7" t="inlineStr">
        <is>
          <t>Commercial Services &amp; Supplies</t>
        </is>
      </c>
      <c r="G38" s="7" t="n">
        <v>20201050</v>
      </c>
      <c r="H38" s="7" t="inlineStr">
        <is>
          <t>Environmental &amp; Facilities Services</t>
        </is>
      </c>
      <c r="I38" s="8" t="inlineStr">
        <is>
          <t>Environmental &amp; Waste Services</t>
        </is>
      </c>
      <c r="J38" s="9" t="n">
        <v>1</v>
      </c>
    </row>
    <row r="39">
      <c r="A39" s="7" t="n">
        <v>20</v>
      </c>
      <c r="B39" s="7" t="inlineStr">
        <is>
          <t>Industrials</t>
        </is>
      </c>
      <c r="C39" s="7" t="n">
        <v>2020</v>
      </c>
      <c r="D39" s="7" t="inlineStr">
        <is>
          <t>Commercial  &amp; Professional Services</t>
        </is>
      </c>
      <c r="E39" s="7" t="n">
        <v>202010</v>
      </c>
      <c r="F39" s="7" t="inlineStr">
        <is>
          <t>Commercial Services &amp; Supplies</t>
        </is>
      </c>
      <c r="G39" s="7" t="n">
        <v>20201060</v>
      </c>
      <c r="H39" s="7" t="inlineStr">
        <is>
          <t>Office Services &amp; Supplies</t>
        </is>
      </c>
      <c r="I39" s="8" t="inlineStr">
        <is>
          <t>Office Equipment &amp; Services</t>
        </is>
      </c>
      <c r="J39" s="9" t="n">
        <v>1</v>
      </c>
    </row>
    <row r="40">
      <c r="A40" s="7" t="n">
        <v>20</v>
      </c>
      <c r="B40" s="7" t="inlineStr">
        <is>
          <t>Industrials</t>
        </is>
      </c>
      <c r="C40" s="7" t="n">
        <v>2020</v>
      </c>
      <c r="D40" s="7" t="inlineStr">
        <is>
          <t>Commercial  &amp; Professional Services</t>
        </is>
      </c>
      <c r="E40" s="7" t="n">
        <v>202010</v>
      </c>
      <c r="F40" s="7" t="inlineStr">
        <is>
          <t>Commercial Services &amp; Supplies</t>
        </is>
      </c>
      <c r="G40" s="7" t="n">
        <v>20201070</v>
      </c>
      <c r="H40" s="7" t="inlineStr">
        <is>
          <t>Diversified Support Services</t>
        </is>
      </c>
      <c r="I40" s="8" t="inlineStr">
        <is>
          <t>Business &amp; Consumer Services</t>
        </is>
      </c>
      <c r="J40" s="9" t="n">
        <v>1</v>
      </c>
    </row>
    <row r="41">
      <c r="A41" s="7" t="n">
        <v>20</v>
      </c>
      <c r="B41" s="7" t="inlineStr">
        <is>
          <t>Industrials</t>
        </is>
      </c>
      <c r="C41" s="7" t="n">
        <v>2020</v>
      </c>
      <c r="D41" s="7" t="inlineStr">
        <is>
          <t>Commercial  &amp; Professional Services</t>
        </is>
      </c>
      <c r="E41" s="7" t="n">
        <v>202010</v>
      </c>
      <c r="F41" s="7" t="inlineStr">
        <is>
          <t>Commercial Services &amp; Supplies</t>
        </is>
      </c>
      <c r="G41" s="7" t="n">
        <v>20201080</v>
      </c>
      <c r="H41" s="7" t="inlineStr">
        <is>
          <t>Security &amp; Alarm Services</t>
        </is>
      </c>
      <c r="I41" s="8" t="inlineStr">
        <is>
          <t>Business &amp; Consumer Services</t>
        </is>
      </c>
      <c r="J41" s="9" t="n">
        <v>1</v>
      </c>
    </row>
    <row r="42">
      <c r="A42" s="7" t="n">
        <v>20</v>
      </c>
      <c r="B42" s="7" t="inlineStr">
        <is>
          <t>Industrials</t>
        </is>
      </c>
      <c r="C42" s="7" t="n">
        <v>2020</v>
      </c>
      <c r="D42" s="7" t="inlineStr">
        <is>
          <t>Commercial  &amp; Professional Services</t>
        </is>
      </c>
      <c r="E42" s="7" t="n">
        <v>202020</v>
      </c>
      <c r="F42" s="7" t="inlineStr">
        <is>
          <t>Professional Services</t>
        </is>
      </c>
      <c r="G42" s="7" t="n">
        <v>20202010</v>
      </c>
      <c r="H42" s="7" t="inlineStr">
        <is>
          <t>Human Resource &amp; Employment Services</t>
        </is>
      </c>
      <c r="I42" s="8" t="inlineStr">
        <is>
          <t>Business &amp; Consumer Services</t>
        </is>
      </c>
      <c r="J42" s="9" t="n">
        <v>1</v>
      </c>
    </row>
    <row r="43">
      <c r="A43" s="7" t="n">
        <v>20</v>
      </c>
      <c r="B43" s="7" t="inlineStr">
        <is>
          <t>Industrials</t>
        </is>
      </c>
      <c r="C43" s="7" t="n">
        <v>2020</v>
      </c>
      <c r="D43" s="7" t="inlineStr">
        <is>
          <t>Commercial  &amp; Professional Services</t>
        </is>
      </c>
      <c r="E43" s="7" t="n">
        <v>202020</v>
      </c>
      <c r="F43" s="7" t="inlineStr">
        <is>
          <t>Professional Services</t>
        </is>
      </c>
      <c r="G43" s="7" t="n">
        <v>20202020</v>
      </c>
      <c r="H43" s="7" t="inlineStr">
        <is>
          <t>Research &amp; Consulting Services</t>
        </is>
      </c>
      <c r="I43" s="8" t="inlineStr">
        <is>
          <t>Business &amp; Consumer Services</t>
        </is>
      </c>
      <c r="J43" s="9" t="n">
        <v>1</v>
      </c>
    </row>
    <row r="44">
      <c r="A44" s="7" t="n">
        <v>20</v>
      </c>
      <c r="B44" s="7" t="inlineStr">
        <is>
          <t>Industrials</t>
        </is>
      </c>
      <c r="C44" s="7" t="n">
        <v>2020</v>
      </c>
      <c r="D44" s="7" t="inlineStr">
        <is>
          <t>Commercial  &amp; Professional Services</t>
        </is>
      </c>
      <c r="E44" s="7" t="n">
        <v>202020</v>
      </c>
      <c r="F44" s="7" t="inlineStr">
        <is>
          <t>Professional Services</t>
        </is>
      </c>
      <c r="G44" s="7" t="n">
        <v>20202030</v>
      </c>
      <c r="H44" s="7" t="inlineStr">
        <is>
          <t>Data Processing &amp; Outsourced Services</t>
        </is>
      </c>
      <c r="I44" s="8" t="inlineStr">
        <is>
          <t>Computer Services</t>
        </is>
      </c>
      <c r="J44" s="9" t="n">
        <v>1</v>
      </c>
    </row>
    <row r="45">
      <c r="A45" s="7" t="n">
        <v>20</v>
      </c>
      <c r="B45" s="7" t="inlineStr">
        <is>
          <t>Industrials</t>
        </is>
      </c>
      <c r="C45" s="7" t="n">
        <v>2030</v>
      </c>
      <c r="D45" s="7" t="inlineStr">
        <is>
          <t>Transportation</t>
        </is>
      </c>
      <c r="E45" s="7" t="n">
        <v>203010</v>
      </c>
      <c r="F45" s="7" t="inlineStr">
        <is>
          <t>Air Freight &amp; Logistics</t>
        </is>
      </c>
      <c r="G45" s="7" t="n">
        <v>20301010</v>
      </c>
      <c r="H45" s="7" t="inlineStr">
        <is>
          <t>Air Freight &amp; Logistics</t>
        </is>
      </c>
      <c r="I45" s="8" t="inlineStr">
        <is>
          <t>Transportation</t>
        </is>
      </c>
      <c r="J45" s="9" t="n">
        <v>1</v>
      </c>
    </row>
    <row r="46">
      <c r="A46" s="7" t="n">
        <v>20</v>
      </c>
      <c r="B46" s="7" t="inlineStr">
        <is>
          <t>Industrials</t>
        </is>
      </c>
      <c r="C46" s="7" t="n">
        <v>2030</v>
      </c>
      <c r="D46" s="7" t="inlineStr">
        <is>
          <t>Transportation</t>
        </is>
      </c>
      <c r="E46" s="7" t="n">
        <v>203020</v>
      </c>
      <c r="F46" s="7" t="inlineStr">
        <is>
          <t>Passenger Airlines</t>
        </is>
      </c>
      <c r="G46" s="7" t="n">
        <v>20302010</v>
      </c>
      <c r="H46" s="7" t="inlineStr">
        <is>
          <t>Passenger Airlines</t>
        </is>
      </c>
      <c r="I46" s="8" t="inlineStr">
        <is>
          <t>Air Transport</t>
        </is>
      </c>
      <c r="J46" s="9" t="n">
        <v>1</v>
      </c>
    </row>
    <row r="47">
      <c r="A47" s="7" t="n">
        <v>20</v>
      </c>
      <c r="B47" s="7" t="inlineStr">
        <is>
          <t>Industrials</t>
        </is>
      </c>
      <c r="C47" s="7" t="n">
        <v>2030</v>
      </c>
      <c r="D47" s="7" t="inlineStr">
        <is>
          <t>Transportation</t>
        </is>
      </c>
      <c r="E47" s="7" t="n">
        <v>203030</v>
      </c>
      <c r="F47" s="7" t="inlineStr">
        <is>
          <t>Marine Transportation</t>
        </is>
      </c>
      <c r="G47" s="7" t="n">
        <v>20303010</v>
      </c>
      <c r="H47" s="7" t="inlineStr">
        <is>
          <t>Marine Transportation</t>
        </is>
      </c>
      <c r="I47" s="8" t="inlineStr">
        <is>
          <t>Shipbuilding &amp; Marine</t>
        </is>
      </c>
      <c r="J47" s="9" t="n">
        <v>1</v>
      </c>
    </row>
    <row r="48">
      <c r="A48" s="7" t="n">
        <v>20</v>
      </c>
      <c r="B48" s="7" t="inlineStr">
        <is>
          <t>Industrials</t>
        </is>
      </c>
      <c r="C48" s="7" t="n">
        <v>2030</v>
      </c>
      <c r="D48" s="7" t="inlineStr">
        <is>
          <t>Transportation</t>
        </is>
      </c>
      <c r="E48" s="7" t="n">
        <v>203040</v>
      </c>
      <c r="F48" s="7" t="inlineStr">
        <is>
          <t>Ground Transportation</t>
        </is>
      </c>
      <c r="G48" s="7" t="n">
        <v>20304010</v>
      </c>
      <c r="H48" s="7" t="inlineStr">
        <is>
          <t>Rail Transportation</t>
        </is>
      </c>
      <c r="I48" s="8" t="inlineStr">
        <is>
          <t>Transportation (Railroads)</t>
        </is>
      </c>
      <c r="J48" s="9" t="n">
        <v>1</v>
      </c>
    </row>
    <row r="49">
      <c r="A49" s="7" t="n">
        <v>20</v>
      </c>
      <c r="B49" s="7" t="inlineStr">
        <is>
          <t>Industrials</t>
        </is>
      </c>
      <c r="C49" s="7" t="n">
        <v>2030</v>
      </c>
      <c r="D49" s="7" t="inlineStr">
        <is>
          <t>Transportation</t>
        </is>
      </c>
      <c r="E49" s="7" t="n">
        <v>203040</v>
      </c>
      <c r="F49" s="7" t="inlineStr">
        <is>
          <t>Ground Transportation</t>
        </is>
      </c>
      <c r="G49" s="7" t="n">
        <v>20304030</v>
      </c>
      <c r="H49" s="7" t="inlineStr">
        <is>
          <t>Cargo Ground Transportation</t>
        </is>
      </c>
      <c r="I49" s="8" t="inlineStr">
        <is>
          <t>Trucking</t>
        </is>
      </c>
      <c r="J49" s="9" t="n">
        <v>1</v>
      </c>
    </row>
    <row r="50">
      <c r="A50" s="7" t="n">
        <v>20</v>
      </c>
      <c r="B50" s="7" t="inlineStr">
        <is>
          <t>Industrials</t>
        </is>
      </c>
      <c r="C50" s="7" t="n">
        <v>2030</v>
      </c>
      <c r="D50" s="7" t="inlineStr">
        <is>
          <t>Transportation</t>
        </is>
      </c>
      <c r="E50" s="7" t="n">
        <v>203040</v>
      </c>
      <c r="F50" s="7" t="inlineStr">
        <is>
          <t>Ground Transportation</t>
        </is>
      </c>
      <c r="G50" s="7" t="n">
        <v>20304040</v>
      </c>
      <c r="H50" s="7" t="inlineStr">
        <is>
          <t>Passenger Ground Transportation</t>
        </is>
      </c>
      <c r="I50" s="8" t="inlineStr">
        <is>
          <t>Transportation</t>
        </is>
      </c>
      <c r="J50" s="9" t="n">
        <v>1</v>
      </c>
    </row>
    <row r="51">
      <c r="A51" s="7" t="n">
        <v>20</v>
      </c>
      <c r="B51" s="7" t="inlineStr">
        <is>
          <t>Industrials</t>
        </is>
      </c>
      <c r="C51" s="7" t="n">
        <v>2030</v>
      </c>
      <c r="D51" s="7" t="inlineStr">
        <is>
          <t>Transportation</t>
        </is>
      </c>
      <c r="E51" s="7" t="n">
        <v>203050</v>
      </c>
      <c r="F51" s="7" t="inlineStr">
        <is>
          <t>Transportation Infrastructure</t>
        </is>
      </c>
      <c r="G51" s="7" t="n">
        <v>20305010</v>
      </c>
      <c r="H51" s="7" t="inlineStr">
        <is>
          <t>Airport Services</t>
        </is>
      </c>
      <c r="I51" s="8" t="inlineStr">
        <is>
          <t>Transportation</t>
        </is>
      </c>
      <c r="J51" s="9" t="n">
        <v>1</v>
      </c>
    </row>
    <row r="52">
      <c r="A52" s="7" t="n">
        <v>20</v>
      </c>
      <c r="B52" s="7" t="inlineStr">
        <is>
          <t>Industrials</t>
        </is>
      </c>
      <c r="C52" s="7" t="n">
        <v>2030</v>
      </c>
      <c r="D52" s="7" t="inlineStr">
        <is>
          <t>Transportation</t>
        </is>
      </c>
      <c r="E52" s="7" t="n">
        <v>203050</v>
      </c>
      <c r="F52" s="7" t="inlineStr">
        <is>
          <t>Transportation Infrastructure</t>
        </is>
      </c>
      <c r="G52" s="7" t="n">
        <v>20305020</v>
      </c>
      <c r="H52" s="7" t="inlineStr">
        <is>
          <t>Highways &amp; Railtracks</t>
        </is>
      </c>
      <c r="I52" s="8" t="inlineStr">
        <is>
          <t>Transportation (Railroads)</t>
        </is>
      </c>
      <c r="J52" s="9" t="n">
        <v>1</v>
      </c>
    </row>
    <row r="53">
      <c r="A53" s="7" t="n">
        <v>20</v>
      </c>
      <c r="B53" s="7" t="inlineStr">
        <is>
          <t>Industrials</t>
        </is>
      </c>
      <c r="C53" s="7" t="n">
        <v>2030</v>
      </c>
      <c r="D53" s="7" t="inlineStr">
        <is>
          <t>Transportation</t>
        </is>
      </c>
      <c r="E53" s="7" t="n">
        <v>203050</v>
      </c>
      <c r="F53" s="7" t="inlineStr">
        <is>
          <t>Transportation Infrastructure</t>
        </is>
      </c>
      <c r="G53" s="7" t="n">
        <v>20305030</v>
      </c>
      <c r="H53" s="7" t="inlineStr">
        <is>
          <t>Marine Ports &amp; Services</t>
        </is>
      </c>
      <c r="I53" s="8" t="inlineStr">
        <is>
          <t>Transportation</t>
        </is>
      </c>
      <c r="J53" s="9" t="n">
        <v>1</v>
      </c>
    </row>
    <row r="54">
      <c r="A54" s="7" t="n">
        <v>25</v>
      </c>
      <c r="B54" s="7" t="inlineStr">
        <is>
          <t>Consumer Discretionary</t>
        </is>
      </c>
      <c r="C54" s="7" t="n">
        <v>2510</v>
      </c>
      <c r="D54" s="7" t="inlineStr">
        <is>
          <t>Automobiles &amp; Components</t>
        </is>
      </c>
      <c r="E54" s="7" t="n">
        <v>251010</v>
      </c>
      <c r="F54" s="7" t="inlineStr">
        <is>
          <t>Automobile Components</t>
        </is>
      </c>
      <c r="G54" s="7" t="n">
        <v>25101010</v>
      </c>
      <c r="H54" s="7" t="inlineStr">
        <is>
          <t>Automotive Parts &amp; Equipment</t>
        </is>
      </c>
      <c r="I54" s="8" t="inlineStr">
        <is>
          <t>Auto Parts</t>
        </is>
      </c>
      <c r="J54" s="9" t="n">
        <v>1</v>
      </c>
    </row>
    <row r="55">
      <c r="A55" s="7" t="n">
        <v>25</v>
      </c>
      <c r="B55" s="7" t="inlineStr">
        <is>
          <t>Consumer Discretionary</t>
        </is>
      </c>
      <c r="C55" s="7" t="n">
        <v>2510</v>
      </c>
      <c r="D55" s="7" t="inlineStr">
        <is>
          <t>Automobiles &amp; Components</t>
        </is>
      </c>
      <c r="E55" s="7" t="n">
        <v>251010</v>
      </c>
      <c r="F55" s="7" t="inlineStr">
        <is>
          <t>Automobile Components</t>
        </is>
      </c>
      <c r="G55" s="7" t="n">
        <v>25101020</v>
      </c>
      <c r="H55" s="7" t="inlineStr">
        <is>
          <t>Tires &amp; Rubber</t>
        </is>
      </c>
      <c r="I55" s="8" t="inlineStr">
        <is>
          <t>Rubber&amp; Tires</t>
        </is>
      </c>
      <c r="J55" s="9" t="n">
        <v>1</v>
      </c>
    </row>
    <row r="56">
      <c r="A56" s="7" t="n">
        <v>25</v>
      </c>
      <c r="B56" s="7" t="inlineStr">
        <is>
          <t>Consumer Discretionary</t>
        </is>
      </c>
      <c r="C56" s="7" t="n">
        <v>2510</v>
      </c>
      <c r="D56" s="7" t="inlineStr">
        <is>
          <t>Automobiles &amp; Components</t>
        </is>
      </c>
      <c r="E56" s="7" t="n">
        <v>251020</v>
      </c>
      <c r="F56" s="7" t="inlineStr">
        <is>
          <t>Automobiles</t>
        </is>
      </c>
      <c r="G56" s="7" t="n">
        <v>25102010</v>
      </c>
      <c r="H56" s="7" t="inlineStr">
        <is>
          <t>Automobile Manufacturers</t>
        </is>
      </c>
      <c r="I56" s="8" t="inlineStr">
        <is>
          <t>Auto &amp; Truck</t>
        </is>
      </c>
      <c r="J56" s="9" t="n">
        <v>1</v>
      </c>
    </row>
    <row r="57">
      <c r="A57" s="7" t="n">
        <v>25</v>
      </c>
      <c r="B57" s="7" t="inlineStr">
        <is>
          <t>Consumer Discretionary</t>
        </is>
      </c>
      <c r="C57" s="7" t="n">
        <v>2510</v>
      </c>
      <c r="D57" s="7" t="inlineStr">
        <is>
          <t>Automobiles &amp; Components</t>
        </is>
      </c>
      <c r="E57" s="7" t="n">
        <v>251020</v>
      </c>
      <c r="F57" s="7" t="inlineStr">
        <is>
          <t>Automobiles</t>
        </is>
      </c>
      <c r="G57" s="7" t="n">
        <v>25102020</v>
      </c>
      <c r="H57" s="7" t="inlineStr">
        <is>
          <t>Motorcycle Manufacturers</t>
        </is>
      </c>
      <c r="I57" s="8" t="inlineStr">
        <is>
          <t>Auto &amp; Truck</t>
        </is>
      </c>
      <c r="J57" s="9" t="n">
        <v>1</v>
      </c>
    </row>
    <row r="58">
      <c r="A58" s="7" t="n">
        <v>25</v>
      </c>
      <c r="B58" s="7" t="inlineStr">
        <is>
          <t>Consumer Discretionary</t>
        </is>
      </c>
      <c r="C58" s="7" t="n">
        <v>2520</v>
      </c>
      <c r="D58" s="7" t="inlineStr">
        <is>
          <t>Consumer Durables &amp; Apparel</t>
        </is>
      </c>
      <c r="E58" s="7" t="n">
        <v>252010</v>
      </c>
      <c r="F58" s="7" t="inlineStr">
        <is>
          <t>Household Durables</t>
        </is>
      </c>
      <c r="G58" s="7" t="n">
        <v>25201010</v>
      </c>
      <c r="H58" s="7" t="inlineStr">
        <is>
          <t>Consumer Electronics</t>
        </is>
      </c>
      <c r="I58" s="8" t="inlineStr">
        <is>
          <t>Electronics (Consumer &amp; Office)</t>
        </is>
      </c>
      <c r="J58" s="9" t="n">
        <v>1</v>
      </c>
    </row>
    <row r="59">
      <c r="A59" s="7" t="n">
        <v>25</v>
      </c>
      <c r="B59" s="7" t="inlineStr">
        <is>
          <t>Consumer Discretionary</t>
        </is>
      </c>
      <c r="C59" s="7" t="n">
        <v>2520</v>
      </c>
      <c r="D59" s="7" t="inlineStr">
        <is>
          <t>Consumer Durables &amp; Apparel</t>
        </is>
      </c>
      <c r="E59" s="7" t="n">
        <v>252010</v>
      </c>
      <c r="F59" s="7" t="inlineStr">
        <is>
          <t>Household Durables</t>
        </is>
      </c>
      <c r="G59" s="7" t="n">
        <v>25201020</v>
      </c>
      <c r="H59" s="7" t="inlineStr">
        <is>
          <t>Home Furnishings</t>
        </is>
      </c>
      <c r="I59" s="8" t="inlineStr">
        <is>
          <t>Furn/Home Furnishings</t>
        </is>
      </c>
      <c r="J59" s="9" t="n">
        <v>1</v>
      </c>
    </row>
    <row r="60">
      <c r="A60" s="7" t="n">
        <v>25</v>
      </c>
      <c r="B60" s="7" t="inlineStr">
        <is>
          <t>Consumer Discretionary</t>
        </is>
      </c>
      <c r="C60" s="7" t="n">
        <v>2520</v>
      </c>
      <c r="D60" s="7" t="inlineStr">
        <is>
          <t>Consumer Durables &amp; Apparel</t>
        </is>
      </c>
      <c r="E60" s="7" t="n">
        <v>252010</v>
      </c>
      <c r="F60" s="7" t="inlineStr">
        <is>
          <t>Household Durables</t>
        </is>
      </c>
      <c r="G60" s="7" t="n">
        <v>25201030</v>
      </c>
      <c r="H60" s="7" t="inlineStr">
        <is>
          <t>Homebuilding</t>
        </is>
      </c>
      <c r="I60" s="8" t="inlineStr">
        <is>
          <t>Homebuilding</t>
        </is>
      </c>
      <c r="J60" s="9" t="n">
        <v>1</v>
      </c>
    </row>
    <row r="61">
      <c r="A61" s="7" t="n">
        <v>25</v>
      </c>
      <c r="B61" s="7" t="inlineStr">
        <is>
          <t>Consumer Discretionary</t>
        </is>
      </c>
      <c r="C61" s="7" t="n">
        <v>2520</v>
      </c>
      <c r="D61" s="7" t="inlineStr">
        <is>
          <t>Consumer Durables &amp; Apparel</t>
        </is>
      </c>
      <c r="E61" s="7" t="n">
        <v>252010</v>
      </c>
      <c r="F61" s="7" t="inlineStr">
        <is>
          <t>Household Durables</t>
        </is>
      </c>
      <c r="G61" s="7" t="n">
        <v>25201040</v>
      </c>
      <c r="H61" s="7" t="inlineStr">
        <is>
          <t>Household Appliances</t>
        </is>
      </c>
      <c r="I61" s="8" t="inlineStr">
        <is>
          <t>Furn/Home Furnishings</t>
        </is>
      </c>
      <c r="J61" s="9" t="n">
        <v>1</v>
      </c>
    </row>
    <row r="62">
      <c r="A62" s="7" t="n">
        <v>25</v>
      </c>
      <c r="B62" s="7" t="inlineStr">
        <is>
          <t>Consumer Discretionary</t>
        </is>
      </c>
      <c r="C62" s="7" t="n">
        <v>2520</v>
      </c>
      <c r="D62" s="7" t="inlineStr">
        <is>
          <t>Consumer Durables &amp; Apparel</t>
        </is>
      </c>
      <c r="E62" s="7" t="n">
        <v>252010</v>
      </c>
      <c r="F62" s="7" t="inlineStr">
        <is>
          <t>Household Durables</t>
        </is>
      </c>
      <c r="G62" s="7" t="n">
        <v>25201050</v>
      </c>
      <c r="H62" s="7" t="inlineStr">
        <is>
          <t>Housewares &amp; Specialties</t>
        </is>
      </c>
      <c r="I62" s="8" t="inlineStr">
        <is>
          <t>Furn/Home Furnishings</t>
        </is>
      </c>
      <c r="J62" s="9" t="n">
        <v>1</v>
      </c>
    </row>
    <row r="63">
      <c r="A63" s="7" t="n">
        <v>25</v>
      </c>
      <c r="B63" s="7" t="inlineStr">
        <is>
          <t>Consumer Discretionary</t>
        </is>
      </c>
      <c r="C63" s="7" t="n">
        <v>2520</v>
      </c>
      <c r="D63" s="7" t="inlineStr">
        <is>
          <t>Consumer Durables &amp; Apparel</t>
        </is>
      </c>
      <c r="E63" s="7" t="n">
        <v>252020</v>
      </c>
      <c r="F63" s="7" t="inlineStr">
        <is>
          <t>Leisure Products</t>
        </is>
      </c>
      <c r="G63" s="7" t="n">
        <v>25202010</v>
      </c>
      <c r="H63" s="7" t="inlineStr">
        <is>
          <t>Leisure Products</t>
        </is>
      </c>
      <c r="I63" s="8" t="inlineStr">
        <is>
          <t>Recreation</t>
        </is>
      </c>
      <c r="J63" s="9" t="n">
        <v>1</v>
      </c>
    </row>
    <row r="64">
      <c r="A64" s="7" t="n">
        <v>25</v>
      </c>
      <c r="B64" s="7" t="inlineStr">
        <is>
          <t>Consumer Discretionary</t>
        </is>
      </c>
      <c r="C64" s="7" t="n">
        <v>2520</v>
      </c>
      <c r="D64" s="7" t="inlineStr">
        <is>
          <t>Consumer Durables &amp; Apparel</t>
        </is>
      </c>
      <c r="E64" s="7" t="n">
        <v>252030</v>
      </c>
      <c r="F64" s="7" t="inlineStr">
        <is>
          <t>Textiles, Apparel &amp; Luxury Goods</t>
        </is>
      </c>
      <c r="G64" s="7" t="n">
        <v>25203010</v>
      </c>
      <c r="H64" s="7" t="inlineStr">
        <is>
          <t>Apparel, Accessories &amp; Luxury Goods</t>
        </is>
      </c>
      <c r="I64" s="8" t="inlineStr">
        <is>
          <t>Apparel</t>
        </is>
      </c>
      <c r="J64" s="9" t="n">
        <v>1</v>
      </c>
    </row>
    <row r="65">
      <c r="A65" s="7" t="n">
        <v>25</v>
      </c>
      <c r="B65" s="7" t="inlineStr">
        <is>
          <t>Consumer Discretionary</t>
        </is>
      </c>
      <c r="C65" s="7" t="n">
        <v>2520</v>
      </c>
      <c r="D65" s="7" t="inlineStr">
        <is>
          <t>Consumer Durables &amp; Apparel</t>
        </is>
      </c>
      <c r="E65" s="7" t="n">
        <v>252030</v>
      </c>
      <c r="F65" s="7" t="inlineStr">
        <is>
          <t>Textiles, Apparel &amp; Luxury Goods</t>
        </is>
      </c>
      <c r="G65" s="7" t="n">
        <v>25203020</v>
      </c>
      <c r="H65" s="7" t="inlineStr">
        <is>
          <t>Footwear</t>
        </is>
      </c>
      <c r="I65" s="8" t="inlineStr">
        <is>
          <t>Shoe</t>
        </is>
      </c>
      <c r="J65" s="9" t="n">
        <v>1</v>
      </c>
    </row>
    <row r="66">
      <c r="A66" s="7" t="n">
        <v>25</v>
      </c>
      <c r="B66" s="7" t="inlineStr">
        <is>
          <t>Consumer Discretionary</t>
        </is>
      </c>
      <c r="C66" s="7" t="n">
        <v>2520</v>
      </c>
      <c r="D66" s="7" t="inlineStr">
        <is>
          <t>Consumer Durables &amp; Apparel</t>
        </is>
      </c>
      <c r="E66" s="7" t="n">
        <v>252030</v>
      </c>
      <c r="F66" s="7" t="inlineStr">
        <is>
          <t>Textiles, Apparel &amp; Luxury Goods</t>
        </is>
      </c>
      <c r="G66" s="7" t="n">
        <v>25203030</v>
      </c>
      <c r="H66" s="7" t="inlineStr">
        <is>
          <t>Textiles</t>
        </is>
      </c>
      <c r="I66" s="8" t="inlineStr">
        <is>
          <t>Apparel</t>
        </is>
      </c>
      <c r="J66" s="9" t="n">
        <v>1</v>
      </c>
    </row>
    <row r="67">
      <c r="A67" s="7" t="n">
        <v>25</v>
      </c>
      <c r="B67" s="7" t="inlineStr">
        <is>
          <t>Consumer Discretionary</t>
        </is>
      </c>
      <c r="C67" s="7" t="n">
        <v>2530</v>
      </c>
      <c r="D67" s="7" t="inlineStr">
        <is>
          <t>Consumer Services</t>
        </is>
      </c>
      <c r="E67" s="7" t="n">
        <v>253010</v>
      </c>
      <c r="F67" s="7" t="inlineStr">
        <is>
          <t>Hotels, Restaurants &amp; Leisure</t>
        </is>
      </c>
      <c r="G67" s="7" t="n">
        <v>25301010</v>
      </c>
      <c r="H67" s="7" t="inlineStr">
        <is>
          <t>Casinos &amp; Gaming</t>
        </is>
      </c>
      <c r="I67" s="8" t="inlineStr">
        <is>
          <t>Hotel/Gaming</t>
        </is>
      </c>
      <c r="J67" s="9" t="n">
        <v>1</v>
      </c>
    </row>
    <row r="68">
      <c r="A68" s="7" t="n">
        <v>25</v>
      </c>
      <c r="B68" s="7" t="inlineStr">
        <is>
          <t>Consumer Discretionary</t>
        </is>
      </c>
      <c r="C68" s="7" t="n">
        <v>2530</v>
      </c>
      <c r="D68" s="7" t="inlineStr">
        <is>
          <t>Consumer Services</t>
        </is>
      </c>
      <c r="E68" s="7" t="n">
        <v>253010</v>
      </c>
      <c r="F68" s="7" t="inlineStr">
        <is>
          <t>Hotels, Restaurants &amp; Leisure</t>
        </is>
      </c>
      <c r="G68" s="7" t="n">
        <v>25301020</v>
      </c>
      <c r="H68" s="7" t="inlineStr">
        <is>
          <t>Hotels, Resorts &amp; Cruise Lines</t>
        </is>
      </c>
      <c r="I68" s="8" t="inlineStr">
        <is>
          <t>Hotel/Gaming</t>
        </is>
      </c>
      <c r="J68" s="9" t="n">
        <v>1</v>
      </c>
    </row>
    <row r="69">
      <c r="A69" s="7" t="n">
        <v>25</v>
      </c>
      <c r="B69" s="7" t="inlineStr">
        <is>
          <t>Consumer Discretionary</t>
        </is>
      </c>
      <c r="C69" s="7" t="n">
        <v>2530</v>
      </c>
      <c r="D69" s="7" t="inlineStr">
        <is>
          <t>Consumer Services</t>
        </is>
      </c>
      <c r="E69" s="7" t="n">
        <v>253010</v>
      </c>
      <c r="F69" s="7" t="inlineStr">
        <is>
          <t>Hotels, Restaurants &amp; Leisure</t>
        </is>
      </c>
      <c r="G69" s="7" t="n">
        <v>25301030</v>
      </c>
      <c r="H69" s="7" t="inlineStr">
        <is>
          <t>Leisure Facilities</t>
        </is>
      </c>
      <c r="I69" s="8" t="inlineStr">
        <is>
          <t>Recreation</t>
        </is>
      </c>
      <c r="J69" s="9" t="n">
        <v>1</v>
      </c>
    </row>
    <row r="70">
      <c r="A70" s="7" t="n">
        <v>25</v>
      </c>
      <c r="B70" s="7" t="inlineStr">
        <is>
          <t>Consumer Discretionary</t>
        </is>
      </c>
      <c r="C70" s="7" t="n">
        <v>2530</v>
      </c>
      <c r="D70" s="7" t="inlineStr">
        <is>
          <t>Consumer Services</t>
        </is>
      </c>
      <c r="E70" s="7" t="n">
        <v>253010</v>
      </c>
      <c r="F70" s="7" t="inlineStr">
        <is>
          <t>Hotels, Restaurants &amp; Leisure</t>
        </is>
      </c>
      <c r="G70" s="7" t="n">
        <v>25301040</v>
      </c>
      <c r="H70" s="7" t="inlineStr">
        <is>
          <t>Restaurants</t>
        </is>
      </c>
      <c r="I70" s="8" t="inlineStr">
        <is>
          <t>Restaurant/Dining</t>
        </is>
      </c>
      <c r="J70" s="9" t="n">
        <v>1</v>
      </c>
    </row>
    <row r="71">
      <c r="A71" s="7" t="n">
        <v>25</v>
      </c>
      <c r="B71" s="7" t="inlineStr">
        <is>
          <t>Consumer Discretionary</t>
        </is>
      </c>
      <c r="C71" s="7" t="n">
        <v>2530</v>
      </c>
      <c r="D71" s="7" t="inlineStr">
        <is>
          <t>Consumer Services</t>
        </is>
      </c>
      <c r="E71" s="7" t="n">
        <v>253020</v>
      </c>
      <c r="F71" s="7" t="inlineStr">
        <is>
          <t>Diversified Consumer Services</t>
        </is>
      </c>
      <c r="G71" s="7" t="n">
        <v>25302010</v>
      </c>
      <c r="H71" s="7" t="inlineStr">
        <is>
          <t>Education Services</t>
        </is>
      </c>
      <c r="I71" s="8" t="inlineStr">
        <is>
          <t>Education</t>
        </is>
      </c>
      <c r="J71" s="9" t="n">
        <v>1</v>
      </c>
    </row>
    <row r="72">
      <c r="A72" s="7" t="n">
        <v>25</v>
      </c>
      <c r="B72" s="7" t="inlineStr">
        <is>
          <t>Consumer Discretionary</t>
        </is>
      </c>
      <c r="C72" s="7" t="n">
        <v>2530</v>
      </c>
      <c r="D72" s="7" t="inlineStr">
        <is>
          <t>Consumer Services</t>
        </is>
      </c>
      <c r="E72" s="7" t="n">
        <v>253020</v>
      </c>
      <c r="F72" s="7" t="inlineStr">
        <is>
          <t>Diversified Consumer Services</t>
        </is>
      </c>
      <c r="G72" s="7" t="n">
        <v>25302020</v>
      </c>
      <c r="H72" s="7" t="inlineStr">
        <is>
          <t>Specialized Consumer Services</t>
        </is>
      </c>
      <c r="I72" s="8" t="inlineStr">
        <is>
          <t>Business &amp; Consumer Services</t>
        </is>
      </c>
      <c r="J72" s="9" t="n">
        <v>1</v>
      </c>
    </row>
    <row r="73">
      <c r="A73" s="7" t="n">
        <v>25</v>
      </c>
      <c r="B73" s="7" t="inlineStr">
        <is>
          <t>Consumer Discretionary</t>
        </is>
      </c>
      <c r="C73" s="7" t="n">
        <v>2550</v>
      </c>
      <c r="D73" s="7" t="inlineStr">
        <is>
          <t>Consumer Discretionary Distribution &amp; Retail</t>
        </is>
      </c>
      <c r="E73" s="7" t="n">
        <v>255010</v>
      </c>
      <c r="F73" s="7" t="inlineStr">
        <is>
          <t>Distributors</t>
        </is>
      </c>
      <c r="G73" s="7" t="n">
        <v>25501010</v>
      </c>
      <c r="H73" s="7" t="inlineStr">
        <is>
          <t>Distributors</t>
        </is>
      </c>
      <c r="I73" s="8" t="inlineStr">
        <is>
          <t>Retail (Distributors)</t>
        </is>
      </c>
      <c r="J73" s="9" t="n">
        <v>1</v>
      </c>
    </row>
    <row r="74">
      <c r="A74" s="7" t="n">
        <v>25</v>
      </c>
      <c r="B74" s="7" t="inlineStr">
        <is>
          <t>Consumer Discretionary</t>
        </is>
      </c>
      <c r="C74" s="7" t="n">
        <v>2550</v>
      </c>
      <c r="D74" s="7" t="inlineStr">
        <is>
          <t>Consumer Discretionary Distribution &amp; Retail</t>
        </is>
      </c>
      <c r="E74" s="7" t="n">
        <v>255030</v>
      </c>
      <c r="F74" s="7" t="inlineStr">
        <is>
          <t>Broadline Retail</t>
        </is>
      </c>
      <c r="G74" s="7" t="n">
        <v>25503030</v>
      </c>
      <c r="H74" s="7" t="inlineStr">
        <is>
          <t>Broadline Retail</t>
        </is>
      </c>
      <c r="I74" s="8" t="inlineStr">
        <is>
          <t>Retail (General)</t>
        </is>
      </c>
      <c r="J74" s="9" t="n">
        <v>1</v>
      </c>
    </row>
    <row r="75">
      <c r="A75" s="7" t="n">
        <v>25</v>
      </c>
      <c r="B75" s="7" t="inlineStr">
        <is>
          <t>Consumer Discretionary</t>
        </is>
      </c>
      <c r="C75" s="7" t="n">
        <v>2550</v>
      </c>
      <c r="D75" s="7" t="inlineStr">
        <is>
          <t>Consumer Discretionary Distribution &amp; Retail</t>
        </is>
      </c>
      <c r="E75" s="7" t="n">
        <v>255040</v>
      </c>
      <c r="F75" s="7" t="inlineStr">
        <is>
          <t>Specialty Retail</t>
        </is>
      </c>
      <c r="G75" s="7" t="n">
        <v>25504010</v>
      </c>
      <c r="H75" s="7" t="inlineStr">
        <is>
          <t>Apparel Retail</t>
        </is>
      </c>
      <c r="I75" s="8" t="inlineStr">
        <is>
          <t>Retail (Special Lines)</t>
        </is>
      </c>
      <c r="J75" s="9" t="n">
        <v>1</v>
      </c>
    </row>
    <row r="76">
      <c r="A76" s="7" t="n">
        <v>25</v>
      </c>
      <c r="B76" s="7" t="inlineStr">
        <is>
          <t>Consumer Discretionary</t>
        </is>
      </c>
      <c r="C76" s="7" t="n">
        <v>2550</v>
      </c>
      <c r="D76" s="7" t="inlineStr">
        <is>
          <t>Consumer Discretionary Distribution &amp; Retail</t>
        </is>
      </c>
      <c r="E76" s="7" t="n">
        <v>255040</v>
      </c>
      <c r="F76" s="7" t="inlineStr">
        <is>
          <t>Specialty Retail</t>
        </is>
      </c>
      <c r="G76" s="7" t="n">
        <v>25504020</v>
      </c>
      <c r="H76" s="7" t="inlineStr">
        <is>
          <t>Computer &amp; Electronics Retail</t>
        </is>
      </c>
      <c r="I76" s="8" t="inlineStr">
        <is>
          <t>Retail (Special Lines)</t>
        </is>
      </c>
      <c r="J76" s="9" t="n">
        <v>1</v>
      </c>
    </row>
    <row r="77">
      <c r="A77" s="7" t="n">
        <v>25</v>
      </c>
      <c r="B77" s="7" t="inlineStr">
        <is>
          <t>Consumer Discretionary</t>
        </is>
      </c>
      <c r="C77" s="7" t="n">
        <v>2550</v>
      </c>
      <c r="D77" s="7" t="inlineStr">
        <is>
          <t>Consumer Discretionary Distribution &amp; Retail</t>
        </is>
      </c>
      <c r="E77" s="7" t="n">
        <v>255040</v>
      </c>
      <c r="F77" s="7" t="inlineStr">
        <is>
          <t>Specialty Retail</t>
        </is>
      </c>
      <c r="G77" s="7" t="n">
        <v>25504030</v>
      </c>
      <c r="H77" s="7" t="inlineStr">
        <is>
          <t>Home Improvement Retail</t>
        </is>
      </c>
      <c r="I77" s="8" t="inlineStr">
        <is>
          <t>Retail (Building Supply)</t>
        </is>
      </c>
      <c r="J77" s="9" t="n">
        <v>1</v>
      </c>
    </row>
    <row r="78">
      <c r="A78" s="7" t="n">
        <v>25</v>
      </c>
      <c r="B78" s="7" t="inlineStr">
        <is>
          <t>Consumer Discretionary</t>
        </is>
      </c>
      <c r="C78" s="7" t="n">
        <v>2550</v>
      </c>
      <c r="D78" s="7" t="inlineStr">
        <is>
          <t>Consumer Discretionary Distribution &amp; Retail</t>
        </is>
      </c>
      <c r="E78" s="7" t="n">
        <v>255040</v>
      </c>
      <c r="F78" s="7" t="inlineStr">
        <is>
          <t>Specialty Retail</t>
        </is>
      </c>
      <c r="G78" s="7" t="n">
        <v>25504040</v>
      </c>
      <c r="H78" s="7" t="inlineStr">
        <is>
          <t>Other Specialty Retail</t>
        </is>
      </c>
      <c r="I78" s="8" t="inlineStr">
        <is>
          <t>Retail (Special Lines)</t>
        </is>
      </c>
      <c r="J78" s="9" t="n">
        <v>1</v>
      </c>
    </row>
    <row r="79">
      <c r="A79" s="7" t="n">
        <v>25</v>
      </c>
      <c r="B79" s="7" t="inlineStr">
        <is>
          <t>Consumer Discretionary</t>
        </is>
      </c>
      <c r="C79" s="7" t="n">
        <v>2550</v>
      </c>
      <c r="D79" s="7" t="inlineStr">
        <is>
          <t>Consumer Discretionary Distribution &amp; Retail</t>
        </is>
      </c>
      <c r="E79" s="7" t="n">
        <v>255040</v>
      </c>
      <c r="F79" s="7" t="inlineStr">
        <is>
          <t>Specialty Retail</t>
        </is>
      </c>
      <c r="G79" s="7" t="n">
        <v>25504050</v>
      </c>
      <c r="H79" s="7" t="inlineStr">
        <is>
          <t>Automotive Retail</t>
        </is>
      </c>
      <c r="I79" s="8" t="inlineStr">
        <is>
          <t>Retail (Automotive)</t>
        </is>
      </c>
      <c r="J79" s="9" t="n">
        <v>1</v>
      </c>
    </row>
    <row r="80">
      <c r="A80" s="7" t="n">
        <v>25</v>
      </c>
      <c r="B80" s="7" t="inlineStr">
        <is>
          <t>Consumer Discretionary</t>
        </is>
      </c>
      <c r="C80" s="7" t="n">
        <v>2550</v>
      </c>
      <c r="D80" s="7" t="inlineStr">
        <is>
          <t>Consumer Discretionary Distribution &amp; Retail</t>
        </is>
      </c>
      <c r="E80" s="7" t="n">
        <v>255040</v>
      </c>
      <c r="F80" s="7" t="inlineStr">
        <is>
          <t>Specialty Retail</t>
        </is>
      </c>
      <c r="G80" s="7" t="n">
        <v>25504060</v>
      </c>
      <c r="H80" s="7" t="inlineStr">
        <is>
          <t>Homefurnishing Retail</t>
        </is>
      </c>
      <c r="I80" s="8" t="inlineStr">
        <is>
          <t>Retail (Special Lines)</t>
        </is>
      </c>
      <c r="J80" s="9" t="n">
        <v>1</v>
      </c>
    </row>
    <row r="81">
      <c r="A81" s="7" t="n">
        <v>30</v>
      </c>
      <c r="B81" s="7" t="inlineStr">
        <is>
          <t>Consumer Staples</t>
        </is>
      </c>
      <c r="C81" s="7" t="n">
        <v>3010</v>
      </c>
      <c r="D81" s="7" t="inlineStr">
        <is>
          <t>Consumer Staples Distribution &amp; Retail</t>
        </is>
      </c>
      <c r="E81" s="7" t="n">
        <v>301010</v>
      </c>
      <c r="F81" s="7" t="inlineStr">
        <is>
          <t>Consumer Staples Distribution &amp; Retail</t>
        </is>
      </c>
      <c r="G81" s="7" t="n">
        <v>30101010</v>
      </c>
      <c r="H81" s="7" t="inlineStr">
        <is>
          <t>Drug Retail</t>
        </is>
      </c>
      <c r="I81" s="8" t="inlineStr">
        <is>
          <t>Retail (Grocery and Food)</t>
        </is>
      </c>
      <c r="J81" s="9" t="n">
        <v>1</v>
      </c>
    </row>
    <row r="82">
      <c r="A82" s="7" t="n">
        <v>30</v>
      </c>
      <c r="B82" s="7" t="inlineStr">
        <is>
          <t>Consumer Staples</t>
        </is>
      </c>
      <c r="C82" s="7" t="n">
        <v>3010</v>
      </c>
      <c r="D82" s="7" t="inlineStr">
        <is>
          <t>Consumer Staples Distribution &amp; Retail</t>
        </is>
      </c>
      <c r="E82" s="7" t="n">
        <v>301010</v>
      </c>
      <c r="F82" s="7" t="inlineStr">
        <is>
          <t>Consumer Staples Distribution &amp; Retail</t>
        </is>
      </c>
      <c r="G82" s="7" t="n">
        <v>30101020</v>
      </c>
      <c r="H82" s="7" t="inlineStr">
        <is>
          <t>Food Distributors</t>
        </is>
      </c>
      <c r="I82" s="8" t="inlineStr">
        <is>
          <t>Food Wholesalers</t>
        </is>
      </c>
      <c r="J82" s="9" t="n">
        <v>1</v>
      </c>
    </row>
    <row r="83">
      <c r="A83" s="7" t="n">
        <v>30</v>
      </c>
      <c r="B83" s="7" t="inlineStr">
        <is>
          <t>Consumer Staples</t>
        </is>
      </c>
      <c r="C83" s="7" t="n">
        <v>3010</v>
      </c>
      <c r="D83" s="7" t="inlineStr">
        <is>
          <t>Consumer Staples Distribution &amp; Retail</t>
        </is>
      </c>
      <c r="E83" s="7" t="n">
        <v>301010</v>
      </c>
      <c r="F83" s="7" t="inlineStr">
        <is>
          <t>Consumer Staples Distribution &amp; Retail</t>
        </is>
      </c>
      <c r="G83" s="7" t="n">
        <v>30101030</v>
      </c>
      <c r="H83" s="7" t="inlineStr">
        <is>
          <t>Food Retail</t>
        </is>
      </c>
      <c r="I83" s="8" t="inlineStr">
        <is>
          <t>Retail (Grocery and Food)</t>
        </is>
      </c>
      <c r="J83" s="9" t="n">
        <v>1</v>
      </c>
    </row>
    <row r="84">
      <c r="A84" s="7" t="n">
        <v>30</v>
      </c>
      <c r="B84" s="7" t="inlineStr">
        <is>
          <t>Consumer Staples</t>
        </is>
      </c>
      <c r="C84" s="7" t="n">
        <v>3010</v>
      </c>
      <c r="D84" s="7" t="inlineStr">
        <is>
          <t>Consumer Staples Distribution &amp; Retail</t>
        </is>
      </c>
      <c r="E84" s="7" t="n">
        <v>301010</v>
      </c>
      <c r="F84" s="7" t="inlineStr">
        <is>
          <t>Consumer Staples Distribution &amp; Retail</t>
        </is>
      </c>
      <c r="G84" s="7" t="n">
        <v>30101040</v>
      </c>
      <c r="H84" s="7" t="inlineStr">
        <is>
          <t>Consumer Staples Merchandise Retail</t>
        </is>
      </c>
      <c r="I84" s="8" t="inlineStr">
        <is>
          <t>Retail (Grocery and Food)</t>
        </is>
      </c>
      <c r="J84" s="9" t="n">
        <v>1</v>
      </c>
    </row>
    <row r="85">
      <c r="A85" s="7" t="n">
        <v>30</v>
      </c>
      <c r="B85" s="7" t="inlineStr">
        <is>
          <t>Consumer Staples</t>
        </is>
      </c>
      <c r="C85" s="7" t="n">
        <v>3020</v>
      </c>
      <c r="D85" s="7" t="inlineStr">
        <is>
          <t>Food, Beverage &amp; Tobacco</t>
        </is>
      </c>
      <c r="E85" s="7" t="n">
        <v>302010</v>
      </c>
      <c r="F85" s="7" t="inlineStr">
        <is>
          <t>Beverages</t>
        </is>
      </c>
      <c r="G85" s="7" t="n">
        <v>30201010</v>
      </c>
      <c r="H85" s="7" t="inlineStr">
        <is>
          <t>Brewers</t>
        </is>
      </c>
      <c r="I85" s="8" t="inlineStr">
        <is>
          <t>Beverage (Alcoholic)</t>
        </is>
      </c>
      <c r="J85" s="9" t="n">
        <v>1</v>
      </c>
    </row>
    <row r="86">
      <c r="A86" s="7" t="n">
        <v>30</v>
      </c>
      <c r="B86" s="7" t="inlineStr">
        <is>
          <t>Consumer Staples</t>
        </is>
      </c>
      <c r="C86" s="7" t="n">
        <v>3020</v>
      </c>
      <c r="D86" s="7" t="inlineStr">
        <is>
          <t>Food, Beverage &amp; Tobacco</t>
        </is>
      </c>
      <c r="E86" s="7" t="n">
        <v>302010</v>
      </c>
      <c r="F86" s="7" t="inlineStr">
        <is>
          <t>Beverages</t>
        </is>
      </c>
      <c r="G86" s="7" t="n">
        <v>30201020</v>
      </c>
      <c r="H86" s="7" t="inlineStr">
        <is>
          <t>Distillers &amp; Vintners</t>
        </is>
      </c>
      <c r="I86" s="8" t="inlineStr">
        <is>
          <t>Beverage (Alcoholic)</t>
        </is>
      </c>
      <c r="J86" s="9" t="n">
        <v>1</v>
      </c>
    </row>
    <row r="87">
      <c r="A87" s="7" t="n">
        <v>30</v>
      </c>
      <c r="B87" s="7" t="inlineStr">
        <is>
          <t>Consumer Staples</t>
        </is>
      </c>
      <c r="C87" s="7" t="n">
        <v>3020</v>
      </c>
      <c r="D87" s="7" t="inlineStr">
        <is>
          <t>Food, Beverage &amp; Tobacco</t>
        </is>
      </c>
      <c r="E87" s="7" t="n">
        <v>302010</v>
      </c>
      <c r="F87" s="7" t="inlineStr">
        <is>
          <t>Beverages</t>
        </is>
      </c>
      <c r="G87" s="7" t="n">
        <v>30201030</v>
      </c>
      <c r="H87" s="7" t="inlineStr">
        <is>
          <t>Soft Drinks &amp; Non-alcoholic Beverages</t>
        </is>
      </c>
      <c r="I87" s="8" t="inlineStr">
        <is>
          <t>Beverage (Soft)</t>
        </is>
      </c>
      <c r="J87" s="9" t="n">
        <v>1</v>
      </c>
    </row>
    <row r="88">
      <c r="A88" s="7" t="n">
        <v>30</v>
      </c>
      <c r="B88" s="7" t="inlineStr">
        <is>
          <t>Consumer Staples</t>
        </is>
      </c>
      <c r="C88" s="7" t="n">
        <v>3020</v>
      </c>
      <c r="D88" s="7" t="inlineStr">
        <is>
          <t>Food, Beverage &amp; Tobacco</t>
        </is>
      </c>
      <c r="E88" s="7" t="n">
        <v>302020</v>
      </c>
      <c r="F88" s="7" t="inlineStr">
        <is>
          <t>Food Products</t>
        </is>
      </c>
      <c r="G88" s="7" t="n">
        <v>30202010</v>
      </c>
      <c r="H88" s="7" t="inlineStr">
        <is>
          <t>Agricultural Products &amp; Services</t>
        </is>
      </c>
      <c r="I88" s="8" t="inlineStr">
        <is>
          <t>Farming/Agriculture</t>
        </is>
      </c>
      <c r="J88" s="9" t="n">
        <v>1</v>
      </c>
    </row>
    <row r="89">
      <c r="A89" s="7" t="n">
        <v>30</v>
      </c>
      <c r="B89" s="7" t="inlineStr">
        <is>
          <t>Consumer Staples</t>
        </is>
      </c>
      <c r="C89" s="7" t="n">
        <v>3020</v>
      </c>
      <c r="D89" s="7" t="inlineStr">
        <is>
          <t>Food, Beverage &amp; Tobacco</t>
        </is>
      </c>
      <c r="E89" s="7" t="n">
        <v>302020</v>
      </c>
      <c r="F89" s="7" t="inlineStr">
        <is>
          <t>Food Products</t>
        </is>
      </c>
      <c r="G89" s="7" t="n">
        <v>30202030</v>
      </c>
      <c r="H89" s="7" t="inlineStr">
        <is>
          <t>Packaged Foods &amp; Meats</t>
        </is>
      </c>
      <c r="I89" s="8" t="inlineStr">
        <is>
          <t>Food Processing</t>
        </is>
      </c>
      <c r="J89" s="9" t="n">
        <v>1</v>
      </c>
    </row>
    <row r="90">
      <c r="A90" s="7" t="n">
        <v>30</v>
      </c>
      <c r="B90" s="7" t="inlineStr">
        <is>
          <t>Consumer Staples</t>
        </is>
      </c>
      <c r="C90" s="7" t="n">
        <v>3020</v>
      </c>
      <c r="D90" s="7" t="inlineStr">
        <is>
          <t>Food, Beverage &amp; Tobacco</t>
        </is>
      </c>
      <c r="E90" s="7" t="n">
        <v>302030</v>
      </c>
      <c r="F90" s="7" t="inlineStr">
        <is>
          <t>Tobacco</t>
        </is>
      </c>
      <c r="G90" s="7" t="n">
        <v>30203010</v>
      </c>
      <c r="H90" s="7" t="inlineStr">
        <is>
          <t>Tobacco</t>
        </is>
      </c>
      <c r="I90" s="8" t="inlineStr">
        <is>
          <t>Tobacco</t>
        </is>
      </c>
      <c r="J90" s="9" t="n">
        <v>1</v>
      </c>
    </row>
    <row r="91">
      <c r="A91" s="7" t="n">
        <v>30</v>
      </c>
      <c r="B91" s="7" t="inlineStr">
        <is>
          <t>Consumer Staples</t>
        </is>
      </c>
      <c r="C91" s="7" t="n">
        <v>3030</v>
      </c>
      <c r="D91" s="7" t="inlineStr">
        <is>
          <t>Household &amp; Personal Products</t>
        </is>
      </c>
      <c r="E91" s="7" t="n">
        <v>303010</v>
      </c>
      <c r="F91" s="7" t="inlineStr">
        <is>
          <t>Household Products</t>
        </is>
      </c>
      <c r="G91" s="7" t="n">
        <v>30301010</v>
      </c>
      <c r="H91" s="7" t="inlineStr">
        <is>
          <t>Household Products</t>
        </is>
      </c>
      <c r="I91" s="8" t="inlineStr">
        <is>
          <t>Household Products</t>
        </is>
      </c>
      <c r="J91" s="9" t="n">
        <v>1</v>
      </c>
    </row>
    <row r="92">
      <c r="A92" s="7" t="n">
        <v>30</v>
      </c>
      <c r="B92" s="7" t="inlineStr">
        <is>
          <t>Consumer Staples</t>
        </is>
      </c>
      <c r="C92" s="7" t="n">
        <v>3030</v>
      </c>
      <c r="D92" s="7" t="inlineStr">
        <is>
          <t>Household &amp; Personal Products</t>
        </is>
      </c>
      <c r="E92" s="7" t="n">
        <v>303020</v>
      </c>
      <c r="F92" s="7" t="inlineStr">
        <is>
          <t>Personal Care Products</t>
        </is>
      </c>
      <c r="G92" s="7" t="n">
        <v>30302010</v>
      </c>
      <c r="H92" s="7" t="inlineStr">
        <is>
          <t>Personal Care Products</t>
        </is>
      </c>
      <c r="I92" s="8" t="inlineStr">
        <is>
          <t>Household Products</t>
        </is>
      </c>
      <c r="J92" s="9" t="n">
        <v>1</v>
      </c>
    </row>
    <row r="93">
      <c r="A93" s="7" t="n">
        <v>35</v>
      </c>
      <c r="B93" s="7" t="inlineStr">
        <is>
          <t>Health Care</t>
        </is>
      </c>
      <c r="C93" s="7" t="n">
        <v>3510</v>
      </c>
      <c r="D93" s="7" t="inlineStr">
        <is>
          <t>Health Care Equipment &amp; Services</t>
        </is>
      </c>
      <c r="E93" s="7" t="n">
        <v>351010</v>
      </c>
      <c r="F93" s="7" t="inlineStr">
        <is>
          <t>Health Care Equipment &amp; Supplies</t>
        </is>
      </c>
      <c r="G93" s="7" t="n">
        <v>35101010</v>
      </c>
      <c r="H93" s="7" t="inlineStr">
        <is>
          <t>Health Care Equipment</t>
        </is>
      </c>
      <c r="I93" s="8" t="inlineStr">
        <is>
          <t>Healthcare Products</t>
        </is>
      </c>
      <c r="J93" s="9" t="n">
        <v>1</v>
      </c>
    </row>
    <row r="94">
      <c r="A94" s="7" t="n">
        <v>35</v>
      </c>
      <c r="B94" s="7" t="inlineStr">
        <is>
          <t>Health Care</t>
        </is>
      </c>
      <c r="C94" s="7" t="n">
        <v>3510</v>
      </c>
      <c r="D94" s="7" t="inlineStr">
        <is>
          <t>Health Care Equipment &amp; Services</t>
        </is>
      </c>
      <c r="E94" s="7" t="n">
        <v>351010</v>
      </c>
      <c r="F94" s="7" t="inlineStr">
        <is>
          <t>Health Care Equipment &amp; Supplies</t>
        </is>
      </c>
      <c r="G94" s="7" t="n">
        <v>35101020</v>
      </c>
      <c r="H94" s="7" t="inlineStr">
        <is>
          <t>Health Care Supplies</t>
        </is>
      </c>
      <c r="I94" s="8" t="inlineStr">
        <is>
          <t>Healthcare Products</t>
        </is>
      </c>
      <c r="J94" s="9" t="n">
        <v>1</v>
      </c>
    </row>
    <row r="95">
      <c r="A95" s="7" t="n">
        <v>35</v>
      </c>
      <c r="B95" s="7" t="inlineStr">
        <is>
          <t>Health Care</t>
        </is>
      </c>
      <c r="C95" s="7" t="n">
        <v>3510</v>
      </c>
      <c r="D95" s="7" t="inlineStr">
        <is>
          <t>Health Care Equipment &amp; Services</t>
        </is>
      </c>
      <c r="E95" s="7" t="n">
        <v>351020</v>
      </c>
      <c r="F95" s="7" t="inlineStr">
        <is>
          <t>Health Care Providers &amp; Services</t>
        </is>
      </c>
      <c r="G95" s="7" t="n">
        <v>35102010</v>
      </c>
      <c r="H95" s="7" t="inlineStr">
        <is>
          <t>Health Care Distributors</t>
        </is>
      </c>
      <c r="I95" s="8" t="inlineStr">
        <is>
          <t>Healthcare Support Services</t>
        </is>
      </c>
      <c r="J95" s="9" t="n">
        <v>1</v>
      </c>
    </row>
    <row r="96">
      <c r="A96" s="7" t="n">
        <v>35</v>
      </c>
      <c r="B96" s="7" t="inlineStr">
        <is>
          <t>Health Care</t>
        </is>
      </c>
      <c r="C96" s="7" t="n">
        <v>3510</v>
      </c>
      <c r="D96" s="7" t="inlineStr">
        <is>
          <t>Health Care Equipment &amp; Services</t>
        </is>
      </c>
      <c r="E96" s="7" t="n">
        <v>351020</v>
      </c>
      <c r="F96" s="7" t="inlineStr">
        <is>
          <t>Health Care Providers &amp; Services</t>
        </is>
      </c>
      <c r="G96" s="7" t="n">
        <v>35102015</v>
      </c>
      <c r="H96" s="7" t="inlineStr">
        <is>
          <t>Health Care Services</t>
        </is>
      </c>
      <c r="I96" s="8" t="inlineStr">
        <is>
          <t>Healthcare Support Services</t>
        </is>
      </c>
      <c r="J96" s="9" t="n">
        <v>1</v>
      </c>
    </row>
    <row r="97">
      <c r="A97" s="7" t="n">
        <v>35</v>
      </c>
      <c r="B97" s="7" t="inlineStr">
        <is>
          <t>Health Care</t>
        </is>
      </c>
      <c r="C97" s="7" t="n">
        <v>3510</v>
      </c>
      <c r="D97" s="7" t="inlineStr">
        <is>
          <t>Health Care Equipment &amp; Services</t>
        </is>
      </c>
      <c r="E97" s="7" t="n">
        <v>351020</v>
      </c>
      <c r="F97" s="7" t="inlineStr">
        <is>
          <t>Health Care Providers &amp; Services</t>
        </is>
      </c>
      <c r="G97" s="7" t="n">
        <v>35102020</v>
      </c>
      <c r="H97" s="7" t="inlineStr">
        <is>
          <t>Health Care Facilities</t>
        </is>
      </c>
      <c r="I97" s="8" t="inlineStr">
        <is>
          <t>Hospitals/Healthcare Facilities</t>
        </is>
      </c>
      <c r="J97" s="9" t="n">
        <v>1</v>
      </c>
    </row>
    <row r="98">
      <c r="A98" s="7" t="n">
        <v>35</v>
      </c>
      <c r="B98" s="7" t="inlineStr">
        <is>
          <t>Health Care</t>
        </is>
      </c>
      <c r="C98" s="7" t="n">
        <v>3510</v>
      </c>
      <c r="D98" s="7" t="inlineStr">
        <is>
          <t>Health Care Equipment &amp; Services</t>
        </is>
      </c>
      <c r="E98" s="7" t="n">
        <v>351020</v>
      </c>
      <c r="F98" s="7" t="inlineStr">
        <is>
          <t>Health Care Providers &amp; Services</t>
        </is>
      </c>
      <c r="G98" s="7" t="n">
        <v>35102030</v>
      </c>
      <c r="H98" s="7" t="inlineStr">
        <is>
          <t>Managed Health Care</t>
        </is>
      </c>
      <c r="I98" s="8" t="inlineStr">
        <is>
          <t>Healthcare Support Services</t>
        </is>
      </c>
      <c r="J98" s="9" t="n">
        <v>1</v>
      </c>
    </row>
    <row r="99">
      <c r="A99" s="7" t="n">
        <v>35</v>
      </c>
      <c r="B99" s="7" t="inlineStr">
        <is>
          <t>Health Care</t>
        </is>
      </c>
      <c r="C99" s="7" t="n">
        <v>3510</v>
      </c>
      <c r="D99" s="7" t="inlineStr">
        <is>
          <t>Health Care Equipment &amp; Services</t>
        </is>
      </c>
      <c r="E99" s="7" t="n">
        <v>351030</v>
      </c>
      <c r="F99" s="7" t="inlineStr">
        <is>
          <t>Health Care Technology</t>
        </is>
      </c>
      <c r="G99" s="7" t="n">
        <v>35103010</v>
      </c>
      <c r="H99" s="7" t="inlineStr">
        <is>
          <t>Health Care Technology</t>
        </is>
      </c>
      <c r="I99" s="8" t="inlineStr">
        <is>
          <t>Heathcare Information and Technology</t>
        </is>
      </c>
      <c r="J99" s="9" t="n">
        <v>1</v>
      </c>
    </row>
    <row r="100">
      <c r="A100" s="7" t="n">
        <v>35</v>
      </c>
      <c r="B100" s="7" t="inlineStr">
        <is>
          <t>Health Care</t>
        </is>
      </c>
      <c r="C100" s="7" t="n">
        <v>3520</v>
      </c>
      <c r="D100" s="7" t="inlineStr">
        <is>
          <t>Pharmaceuticals, Biotechnology &amp; Life Sciences</t>
        </is>
      </c>
      <c r="E100" s="7" t="n">
        <v>352010</v>
      </c>
      <c r="F100" s="7" t="inlineStr">
        <is>
          <t>Biotechnology</t>
        </is>
      </c>
      <c r="G100" s="7" t="n">
        <v>35201010</v>
      </c>
      <c r="H100" s="7" t="inlineStr">
        <is>
          <t>Biotechnology</t>
        </is>
      </c>
      <c r="I100" s="8" t="inlineStr">
        <is>
          <t>Drugs (Biotechnology)</t>
        </is>
      </c>
      <c r="J100" s="9" t="n">
        <v>1</v>
      </c>
    </row>
    <row r="101">
      <c r="A101" s="7" t="n">
        <v>35</v>
      </c>
      <c r="B101" s="7" t="inlineStr">
        <is>
          <t>Health Care</t>
        </is>
      </c>
      <c r="C101" s="7" t="n">
        <v>3520</v>
      </c>
      <c r="D101" s="7" t="inlineStr">
        <is>
          <t>Pharmaceuticals, Biotechnology &amp; Life Sciences</t>
        </is>
      </c>
      <c r="E101" s="7" t="n">
        <v>352020</v>
      </c>
      <c r="F101" s="7" t="inlineStr">
        <is>
          <t>Pharmaceuticals</t>
        </is>
      </c>
      <c r="G101" s="7" t="n">
        <v>35202010</v>
      </c>
      <c r="H101" s="7" t="inlineStr">
        <is>
          <t>Pharmaceuticals</t>
        </is>
      </c>
      <c r="I101" s="8" t="inlineStr">
        <is>
          <t>Drugs (Pharmaceutical)</t>
        </is>
      </c>
      <c r="J101" s="9" t="n">
        <v>1</v>
      </c>
    </row>
    <row r="102">
      <c r="A102" s="7" t="n">
        <v>35</v>
      </c>
      <c r="B102" s="7" t="inlineStr">
        <is>
          <t>Health Care</t>
        </is>
      </c>
      <c r="C102" s="7" t="n">
        <v>3520</v>
      </c>
      <c r="D102" s="7" t="inlineStr">
        <is>
          <t>Pharmaceuticals, Biotechnology &amp; Life Sciences</t>
        </is>
      </c>
      <c r="E102" s="7" t="n">
        <v>352030</v>
      </c>
      <c r="F102" s="7" t="inlineStr">
        <is>
          <t>Life Sciences Tools &amp; Services</t>
        </is>
      </c>
      <c r="G102" s="7" t="n">
        <v>35203010</v>
      </c>
      <c r="H102" s="7" t="inlineStr">
        <is>
          <t>Life Sciences Tools &amp; Services</t>
        </is>
      </c>
      <c r="I102" s="8" t="inlineStr">
        <is>
          <t>Healthcare Products</t>
        </is>
      </c>
      <c r="J102" s="9" t="n">
        <v>1</v>
      </c>
    </row>
    <row r="103">
      <c r="A103" s="7" t="n">
        <v>40</v>
      </c>
      <c r="B103" s="7" t="inlineStr">
        <is>
          <t>Financials</t>
        </is>
      </c>
      <c r="C103" s="7" t="n">
        <v>4010</v>
      </c>
      <c r="D103" s="7" t="inlineStr">
        <is>
          <t>Banks</t>
        </is>
      </c>
      <c r="E103" s="7" t="n">
        <v>401010</v>
      </c>
      <c r="F103" s="7" t="inlineStr">
        <is>
          <t>Banks</t>
        </is>
      </c>
      <c r="G103" s="7" t="n">
        <v>40101010</v>
      </c>
      <c r="H103" s="7" t="inlineStr">
        <is>
          <t>Diversified Banks</t>
        </is>
      </c>
      <c r="I103" s="8" t="inlineStr">
        <is>
          <t>Bank (Money Center)</t>
        </is>
      </c>
      <c r="J103" s="9" t="n">
        <v>1</v>
      </c>
    </row>
    <row r="104">
      <c r="A104" s="7" t="n">
        <v>40</v>
      </c>
      <c r="B104" s="7" t="inlineStr">
        <is>
          <t>Financials</t>
        </is>
      </c>
      <c r="C104" s="7" t="n">
        <v>4010</v>
      </c>
      <c r="D104" s="7" t="inlineStr">
        <is>
          <t>Banks</t>
        </is>
      </c>
      <c r="E104" s="7" t="n">
        <v>401010</v>
      </c>
      <c r="F104" s="7" t="inlineStr">
        <is>
          <t>Banks</t>
        </is>
      </c>
      <c r="G104" s="7" t="n">
        <v>40101015</v>
      </c>
      <c r="H104" s="7" t="inlineStr">
        <is>
          <t>Regional Banks</t>
        </is>
      </c>
      <c r="I104" s="8" t="inlineStr">
        <is>
          <t>Banks (Regional)</t>
        </is>
      </c>
      <c r="J104" s="9" t="n">
        <v>1</v>
      </c>
    </row>
    <row r="105">
      <c r="A105" s="7" t="n">
        <v>40</v>
      </c>
      <c r="B105" s="7" t="inlineStr">
        <is>
          <t>Financials</t>
        </is>
      </c>
      <c r="C105" s="7" t="n">
        <v>4020</v>
      </c>
      <c r="D105" s="7" t="inlineStr">
        <is>
          <t>Financial Services</t>
        </is>
      </c>
      <c r="E105" s="7" t="n">
        <v>402010</v>
      </c>
      <c r="F105" s="7" t="inlineStr">
        <is>
          <t>Financial Services</t>
        </is>
      </c>
      <c r="G105" s="7" t="n">
        <v>40201020</v>
      </c>
      <c r="H105" s="7" t="inlineStr">
        <is>
          <t>Diversified Financial Services</t>
        </is>
      </c>
      <c r="I105" s="8" t="inlineStr">
        <is>
          <t>Financial Svcs. (Non-bank &amp; Insurance)</t>
        </is>
      </c>
      <c r="J105" s="9" t="n">
        <v>1</v>
      </c>
    </row>
    <row r="106">
      <c r="A106" s="7" t="n">
        <v>40</v>
      </c>
      <c r="B106" s="7" t="inlineStr">
        <is>
          <t>Financials</t>
        </is>
      </c>
      <c r="C106" s="7" t="n">
        <v>4020</v>
      </c>
      <c r="D106" s="7" t="inlineStr">
        <is>
          <t>Financial Services</t>
        </is>
      </c>
      <c r="E106" s="7" t="n">
        <v>402010</v>
      </c>
      <c r="F106" s="7" t="inlineStr">
        <is>
          <t>Financial Services</t>
        </is>
      </c>
      <c r="G106" s="7" t="n">
        <v>40201030</v>
      </c>
      <c r="H106" s="7" t="inlineStr">
        <is>
          <t>Multi-Sector Holdings</t>
        </is>
      </c>
      <c r="I106" s="8" t="inlineStr">
        <is>
          <t>Financial Svcs. (Non-bank &amp; Insurance)</t>
        </is>
      </c>
      <c r="J106" s="9" t="n">
        <v>1</v>
      </c>
    </row>
    <row r="107">
      <c r="A107" s="7" t="n">
        <v>40</v>
      </c>
      <c r="B107" s="7" t="inlineStr">
        <is>
          <t>Financials</t>
        </is>
      </c>
      <c r="C107" s="7" t="n">
        <v>4020</v>
      </c>
      <c r="D107" s="7" t="inlineStr">
        <is>
          <t>Financial Services</t>
        </is>
      </c>
      <c r="E107" s="7" t="n">
        <v>402010</v>
      </c>
      <c r="F107" s="7" t="inlineStr">
        <is>
          <t>Financial Services</t>
        </is>
      </c>
      <c r="G107" s="7" t="n">
        <v>40201040</v>
      </c>
      <c r="H107" s="7" t="inlineStr">
        <is>
          <t>Specialized Finance</t>
        </is>
      </c>
      <c r="I107" s="8" t="inlineStr">
        <is>
          <t>Financial Svcs. (Non-bank &amp; Insurance)</t>
        </is>
      </c>
      <c r="J107" s="9" t="n">
        <v>1</v>
      </c>
    </row>
    <row r="108">
      <c r="A108" s="7" t="n">
        <v>40</v>
      </c>
      <c r="B108" s="7" t="inlineStr">
        <is>
          <t>Financials</t>
        </is>
      </c>
      <c r="C108" s="7" t="n">
        <v>4020</v>
      </c>
      <c r="D108" s="7" t="inlineStr">
        <is>
          <t>Financial Services</t>
        </is>
      </c>
      <c r="E108" s="7" t="n">
        <v>402010</v>
      </c>
      <c r="F108" s="7" t="inlineStr">
        <is>
          <t>Financial Services</t>
        </is>
      </c>
      <c r="G108" s="7" t="n">
        <v>40201050</v>
      </c>
      <c r="H108" s="7" t="inlineStr">
        <is>
          <t>Commercial &amp; Residential Mortgage Finance</t>
        </is>
      </c>
      <c r="I108" s="8" t="inlineStr">
        <is>
          <t>Financial Svcs. (Non-bank &amp; Insurance)</t>
        </is>
      </c>
      <c r="J108" s="9" t="n">
        <v>1</v>
      </c>
    </row>
    <row r="109">
      <c r="A109" s="7" t="n">
        <v>40</v>
      </c>
      <c r="B109" s="7" t="inlineStr">
        <is>
          <t>Financials</t>
        </is>
      </c>
      <c r="C109" s="7" t="n">
        <v>4020</v>
      </c>
      <c r="D109" s="7" t="inlineStr">
        <is>
          <t>Financial Services</t>
        </is>
      </c>
      <c r="E109" s="7" t="n">
        <v>402010</v>
      </c>
      <c r="F109" s="7" t="inlineStr">
        <is>
          <t>Financial Services</t>
        </is>
      </c>
      <c r="G109" s="7" t="n">
        <v>40201060</v>
      </c>
      <c r="H109" s="7" t="inlineStr">
        <is>
          <t>Transaction &amp; Payment Processing Services</t>
        </is>
      </c>
      <c r="I109" s="8" t="inlineStr">
        <is>
          <t>Information Services</t>
        </is>
      </c>
      <c r="J109" s="9" t="n">
        <v>1</v>
      </c>
    </row>
    <row r="110">
      <c r="A110" s="7" t="n">
        <v>40</v>
      </c>
      <c r="B110" s="7" t="inlineStr">
        <is>
          <t>Financials</t>
        </is>
      </c>
      <c r="C110" s="7" t="n">
        <v>4020</v>
      </c>
      <c r="D110" s="7" t="inlineStr">
        <is>
          <t>Financial Services</t>
        </is>
      </c>
      <c r="E110" s="7" t="n">
        <v>402020</v>
      </c>
      <c r="F110" s="7" t="inlineStr">
        <is>
          <t>Consumer Finance</t>
        </is>
      </c>
      <c r="G110" s="7" t="n">
        <v>40202010</v>
      </c>
      <c r="H110" s="7" t="inlineStr">
        <is>
          <t>Consumer Finance</t>
        </is>
      </c>
      <c r="I110" s="8" t="inlineStr">
        <is>
          <t>Financial Svcs. (Non-bank &amp; Insurance)</t>
        </is>
      </c>
      <c r="J110" s="9" t="n">
        <v>1</v>
      </c>
    </row>
    <row r="111">
      <c r="A111" s="7" t="n">
        <v>40</v>
      </c>
      <c r="B111" s="7" t="inlineStr">
        <is>
          <t>Financials</t>
        </is>
      </c>
      <c r="C111" s="7" t="n">
        <v>4020</v>
      </c>
      <c r="D111" s="7" t="inlineStr">
        <is>
          <t>Financial Services</t>
        </is>
      </c>
      <c r="E111" s="7" t="n">
        <v>402030</v>
      </c>
      <c r="F111" s="7" t="inlineStr">
        <is>
          <t>Capital Markets</t>
        </is>
      </c>
      <c r="G111" s="7" t="n">
        <v>40203010</v>
      </c>
      <c r="H111" s="7" t="inlineStr">
        <is>
          <t>Asset Management &amp; Custody Banks</t>
        </is>
      </c>
      <c r="I111" s="8" t="inlineStr">
        <is>
          <t>Investments &amp; Asset Management</t>
        </is>
      </c>
      <c r="J111" s="9" t="n">
        <v>1</v>
      </c>
    </row>
    <row r="112">
      <c r="A112" s="7" t="n">
        <v>40</v>
      </c>
      <c r="B112" s="7" t="inlineStr">
        <is>
          <t>Financials</t>
        </is>
      </c>
      <c r="C112" s="7" t="n">
        <v>4020</v>
      </c>
      <c r="D112" s="7" t="inlineStr">
        <is>
          <t>Financial Services</t>
        </is>
      </c>
      <c r="E112" s="7" t="n">
        <v>402030</v>
      </c>
      <c r="F112" s="7" t="inlineStr">
        <is>
          <t>Capital Markets</t>
        </is>
      </c>
      <c r="G112" s="7" t="n">
        <v>40203020</v>
      </c>
      <c r="H112" s="7" t="inlineStr">
        <is>
          <t>Investment Banking &amp; Brokerage</t>
        </is>
      </c>
      <c r="I112" s="8" t="inlineStr">
        <is>
          <t>Brokerage &amp; Investment Banking</t>
        </is>
      </c>
      <c r="J112" s="9" t="n">
        <v>1</v>
      </c>
    </row>
    <row r="113">
      <c r="A113" s="7" t="n">
        <v>40</v>
      </c>
      <c r="B113" s="7" t="inlineStr">
        <is>
          <t>Financials</t>
        </is>
      </c>
      <c r="C113" s="7" t="n">
        <v>4020</v>
      </c>
      <c r="D113" s="7" t="inlineStr">
        <is>
          <t>Financial Services</t>
        </is>
      </c>
      <c r="E113" s="7" t="n">
        <v>402030</v>
      </c>
      <c r="F113" s="7" t="inlineStr">
        <is>
          <t>Capital Markets</t>
        </is>
      </c>
      <c r="G113" s="7" t="n">
        <v>40203030</v>
      </c>
      <c r="H113" s="7" t="inlineStr">
        <is>
          <t>Diversified Capital Markets</t>
        </is>
      </c>
      <c r="I113" s="8" t="inlineStr">
        <is>
          <t>Brokerage &amp; Investment Banking</t>
        </is>
      </c>
      <c r="J113" s="9" t="n">
        <v>1</v>
      </c>
    </row>
    <row r="114">
      <c r="A114" s="7" t="n">
        <v>40</v>
      </c>
      <c r="B114" s="7" t="inlineStr">
        <is>
          <t>Financials</t>
        </is>
      </c>
      <c r="C114" s="7" t="n">
        <v>4020</v>
      </c>
      <c r="D114" s="7" t="inlineStr">
        <is>
          <t>Financial Services</t>
        </is>
      </c>
      <c r="E114" s="7" t="n">
        <v>402030</v>
      </c>
      <c r="F114" s="7" t="inlineStr">
        <is>
          <t>Capital Markets</t>
        </is>
      </c>
      <c r="G114" s="7" t="n">
        <v>40203040</v>
      </c>
      <c r="H114" s="7" t="inlineStr">
        <is>
          <t>Financial Exchanges &amp; Data</t>
        </is>
      </c>
      <c r="I114" s="8" t="inlineStr">
        <is>
          <t>Information Services</t>
        </is>
      </c>
      <c r="J114" s="9" t="n">
        <v>1</v>
      </c>
    </row>
    <row r="115">
      <c r="A115" s="7" t="n">
        <v>40</v>
      </c>
      <c r="B115" s="7" t="inlineStr">
        <is>
          <t>Financials</t>
        </is>
      </c>
      <c r="C115" s="7" t="n">
        <v>4020</v>
      </c>
      <c r="D115" s="7" t="inlineStr">
        <is>
          <t>Financial Services</t>
        </is>
      </c>
      <c r="E115" s="7" t="n">
        <v>402040</v>
      </c>
      <c r="F115" s="7" t="inlineStr">
        <is>
          <t>Mortgage Real Estate Investment Trusts (REITs)</t>
        </is>
      </c>
      <c r="G115" s="7" t="n">
        <v>40204010</v>
      </c>
      <c r="H115" s="7" t="inlineStr">
        <is>
          <t>Mortgage REITs*</t>
        </is>
      </c>
      <c r="I115" s="8" t="inlineStr">
        <is>
          <t>R.E.I.T.</t>
        </is>
      </c>
      <c r="J115" s="9" t="n">
        <v>1</v>
      </c>
    </row>
    <row r="116">
      <c r="A116" s="7" t="n">
        <v>40</v>
      </c>
      <c r="B116" s="7" t="inlineStr">
        <is>
          <t>Financials</t>
        </is>
      </c>
      <c r="C116" s="7" t="n">
        <v>4030</v>
      </c>
      <c r="D116" s="7" t="inlineStr">
        <is>
          <t>Insurance</t>
        </is>
      </c>
      <c r="E116" s="7" t="n">
        <v>403010</v>
      </c>
      <c r="F116" s="7" t="inlineStr">
        <is>
          <t>Insurance</t>
        </is>
      </c>
      <c r="G116" s="7" t="n">
        <v>40301010</v>
      </c>
      <c r="H116" s="7" t="inlineStr">
        <is>
          <t>Insurance Brokers</t>
        </is>
      </c>
      <c r="I116" s="8" t="inlineStr">
        <is>
          <t>Insurance (General)</t>
        </is>
      </c>
      <c r="J116" s="9" t="n">
        <v>1</v>
      </c>
    </row>
    <row r="117">
      <c r="A117" s="7" t="n">
        <v>40</v>
      </c>
      <c r="B117" s="7" t="inlineStr">
        <is>
          <t>Financials</t>
        </is>
      </c>
      <c r="C117" s="7" t="n">
        <v>4030</v>
      </c>
      <c r="D117" s="7" t="inlineStr">
        <is>
          <t>Insurance</t>
        </is>
      </c>
      <c r="E117" s="7" t="n">
        <v>403010</v>
      </c>
      <c r="F117" s="7" t="inlineStr">
        <is>
          <t>Insurance</t>
        </is>
      </c>
      <c r="G117" s="7" t="n">
        <v>40301020</v>
      </c>
      <c r="H117" s="7" t="inlineStr">
        <is>
          <t>Life &amp; Health Insurance</t>
        </is>
      </c>
      <c r="I117" s="8" t="inlineStr">
        <is>
          <t>Insurance (Life)</t>
        </is>
      </c>
      <c r="J117" s="9" t="n">
        <v>1</v>
      </c>
    </row>
    <row r="118">
      <c r="A118" s="7" t="n">
        <v>40</v>
      </c>
      <c r="B118" s="7" t="inlineStr">
        <is>
          <t>Financials</t>
        </is>
      </c>
      <c r="C118" s="7" t="n">
        <v>4030</v>
      </c>
      <c r="D118" s="7" t="inlineStr">
        <is>
          <t>Insurance</t>
        </is>
      </c>
      <c r="E118" s="7" t="n">
        <v>403010</v>
      </c>
      <c r="F118" s="7" t="inlineStr">
        <is>
          <t>Insurance</t>
        </is>
      </c>
      <c r="G118" s="7" t="n">
        <v>40301030</v>
      </c>
      <c r="H118" s="7" t="inlineStr">
        <is>
          <t>Multi-line Insurance</t>
        </is>
      </c>
      <c r="I118" s="8" t="inlineStr">
        <is>
          <t>Insurance (General)</t>
        </is>
      </c>
      <c r="J118" s="9" t="n">
        <v>1</v>
      </c>
    </row>
    <row r="119">
      <c r="A119" s="7" t="n">
        <v>40</v>
      </c>
      <c r="B119" s="7" t="inlineStr">
        <is>
          <t>Financials</t>
        </is>
      </c>
      <c r="C119" s="7" t="n">
        <v>4030</v>
      </c>
      <c r="D119" s="7" t="inlineStr">
        <is>
          <t>Insurance</t>
        </is>
      </c>
      <c r="E119" s="7" t="n">
        <v>403010</v>
      </c>
      <c r="F119" s="7" t="inlineStr">
        <is>
          <t>Insurance</t>
        </is>
      </c>
      <c r="G119" s="7" t="n">
        <v>40301040</v>
      </c>
      <c r="H119" s="7" t="inlineStr">
        <is>
          <t>Property &amp; Casualty Insurance</t>
        </is>
      </c>
      <c r="I119" s="8" t="inlineStr">
        <is>
          <t>Insurance (Prop/Cas.)</t>
        </is>
      </c>
      <c r="J119" s="9" t="n">
        <v>1</v>
      </c>
    </row>
    <row r="120">
      <c r="A120" s="7" t="n">
        <v>40</v>
      </c>
      <c r="B120" s="7" t="inlineStr">
        <is>
          <t>Financials</t>
        </is>
      </c>
      <c r="C120" s="7" t="n">
        <v>4030</v>
      </c>
      <c r="D120" s="7" t="inlineStr">
        <is>
          <t>Insurance</t>
        </is>
      </c>
      <c r="E120" s="7" t="n">
        <v>403010</v>
      </c>
      <c r="F120" s="7" t="inlineStr">
        <is>
          <t>Insurance</t>
        </is>
      </c>
      <c r="G120" s="7" t="n">
        <v>40301050</v>
      </c>
      <c r="H120" s="7" t="inlineStr">
        <is>
          <t>Reinsurance</t>
        </is>
      </c>
      <c r="I120" s="8" t="inlineStr">
        <is>
          <t>Reinsurance</t>
        </is>
      </c>
      <c r="J120" s="9" t="n">
        <v>1</v>
      </c>
    </row>
    <row r="121">
      <c r="A121" s="7" t="n">
        <v>45</v>
      </c>
      <c r="B121" s="7" t="inlineStr">
        <is>
          <t>Information Technology</t>
        </is>
      </c>
      <c r="C121" s="7" t="n">
        <v>4510</v>
      </c>
      <c r="D121" s="7" t="inlineStr">
        <is>
          <t>Software &amp; Services</t>
        </is>
      </c>
      <c r="E121" s="7" t="n">
        <v>451020</v>
      </c>
      <c r="F121" s="7" t="inlineStr">
        <is>
          <t>IT Services</t>
        </is>
      </c>
      <c r="G121" s="7" t="n">
        <v>45102010</v>
      </c>
      <c r="H121" s="7" t="inlineStr">
        <is>
          <t>IT Consulting &amp; Other Services</t>
        </is>
      </c>
      <c r="I121" s="8" t="inlineStr">
        <is>
          <t>Computer Services</t>
        </is>
      </c>
      <c r="J121" s="9" t="n">
        <v>1</v>
      </c>
    </row>
    <row r="122">
      <c r="A122" s="7" t="n">
        <v>45</v>
      </c>
      <c r="B122" s="7" t="inlineStr">
        <is>
          <t>Information Technology</t>
        </is>
      </c>
      <c r="C122" s="7" t="n">
        <v>4510</v>
      </c>
      <c r="D122" s="7" t="inlineStr">
        <is>
          <t>Software &amp; Services</t>
        </is>
      </c>
      <c r="E122" s="7" t="n">
        <v>451020</v>
      </c>
      <c r="F122" s="7" t="inlineStr">
        <is>
          <t>IT Services</t>
        </is>
      </c>
      <c r="G122" s="7" t="n">
        <v>45102030</v>
      </c>
      <c r="H122" s="7" t="inlineStr">
        <is>
          <t>Internet Services &amp; Infrastructure</t>
        </is>
      </c>
      <c r="I122" s="8" t="inlineStr">
        <is>
          <t>Software (Internet)</t>
        </is>
      </c>
      <c r="J122" s="9" t="n">
        <v>1</v>
      </c>
    </row>
    <row r="123">
      <c r="A123" s="7" t="n">
        <v>45</v>
      </c>
      <c r="B123" s="7" t="inlineStr">
        <is>
          <t>Information Technology</t>
        </is>
      </c>
      <c r="C123" s="7" t="n">
        <v>4510</v>
      </c>
      <c r="D123" s="7" t="inlineStr">
        <is>
          <t>Software &amp; Services</t>
        </is>
      </c>
      <c r="E123" s="7" t="n">
        <v>451030</v>
      </c>
      <c r="F123" s="7" t="inlineStr">
        <is>
          <t>Software</t>
        </is>
      </c>
      <c r="G123" s="7" t="n">
        <v>45103010</v>
      </c>
      <c r="H123" s="7" t="inlineStr">
        <is>
          <t>Application Software</t>
        </is>
      </c>
      <c r="I123" s="8" t="inlineStr">
        <is>
          <t>Software (System &amp; Application)</t>
        </is>
      </c>
      <c r="J123" s="9" t="n">
        <v>1</v>
      </c>
    </row>
    <row r="124">
      <c r="A124" s="7" t="n">
        <v>45</v>
      </c>
      <c r="B124" s="7" t="inlineStr">
        <is>
          <t>Information Technology</t>
        </is>
      </c>
      <c r="C124" s="7" t="n">
        <v>4510</v>
      </c>
      <c r="D124" s="7" t="inlineStr">
        <is>
          <t>Software &amp; Services</t>
        </is>
      </c>
      <c r="E124" s="7" t="n">
        <v>451030</v>
      </c>
      <c r="F124" s="7" t="inlineStr">
        <is>
          <t>Software</t>
        </is>
      </c>
      <c r="G124" s="7" t="n">
        <v>45103020</v>
      </c>
      <c r="H124" s="7" t="inlineStr">
        <is>
          <t>Systems Software</t>
        </is>
      </c>
      <c r="I124" s="8" t="inlineStr">
        <is>
          <t>Software (System &amp; Application)</t>
        </is>
      </c>
      <c r="J124" s="9" t="n">
        <v>1</v>
      </c>
    </row>
    <row r="125">
      <c r="A125" s="7" t="n">
        <v>45</v>
      </c>
      <c r="B125" s="7" t="inlineStr">
        <is>
          <t>Information Technology</t>
        </is>
      </c>
      <c r="C125" s="7" t="n">
        <v>4520</v>
      </c>
      <c r="D125" s="7" t="inlineStr">
        <is>
          <t>Technology Hardware &amp; Equipment</t>
        </is>
      </c>
      <c r="E125" s="7" t="n">
        <v>452010</v>
      </c>
      <c r="F125" s="7" t="inlineStr">
        <is>
          <t>Communications Equipment</t>
        </is>
      </c>
      <c r="G125" s="7" t="n">
        <v>45201020</v>
      </c>
      <c r="H125" s="7" t="inlineStr">
        <is>
          <t>Communications Equipment</t>
        </is>
      </c>
      <c r="I125" s="8" t="inlineStr">
        <is>
          <t>Telecom. Equipment</t>
        </is>
      </c>
      <c r="J125" s="9" t="n">
        <v>1</v>
      </c>
    </row>
    <row r="126">
      <c r="A126" s="7" t="n">
        <v>45</v>
      </c>
      <c r="B126" s="7" t="inlineStr">
        <is>
          <t>Information Technology</t>
        </is>
      </c>
      <c r="C126" s="7" t="n">
        <v>4520</v>
      </c>
      <c r="D126" s="7" t="inlineStr">
        <is>
          <t>Technology Hardware &amp; Equipment</t>
        </is>
      </c>
      <c r="E126" s="7" t="n">
        <v>452020</v>
      </c>
      <c r="F126" s="7" t="inlineStr">
        <is>
          <t>Technology Hardware, Storage &amp; Peripherals</t>
        </is>
      </c>
      <c r="G126" s="7" t="n">
        <v>45202030</v>
      </c>
      <c r="H126" s="7" t="inlineStr">
        <is>
          <t>Technology Hardware, Storage &amp; Peripherals</t>
        </is>
      </c>
      <c r="I126" s="8" t="inlineStr">
        <is>
          <t>Computers/Peripherals</t>
        </is>
      </c>
      <c r="J126" s="9" t="n">
        <v>1</v>
      </c>
    </row>
    <row r="127">
      <c r="A127" s="7" t="n">
        <v>45</v>
      </c>
      <c r="B127" s="7" t="inlineStr">
        <is>
          <t>Information Technology</t>
        </is>
      </c>
      <c r="C127" s="7" t="n">
        <v>4520</v>
      </c>
      <c r="D127" s="7" t="inlineStr">
        <is>
          <t>Technology Hardware &amp; Equipment</t>
        </is>
      </c>
      <c r="E127" s="7" t="n">
        <v>452030</v>
      </c>
      <c r="F127" s="7" t="inlineStr">
        <is>
          <t>Electronic Equipment, Instruments &amp; Components</t>
        </is>
      </c>
      <c r="G127" s="7" t="n">
        <v>45203010</v>
      </c>
      <c r="H127" s="7" t="inlineStr">
        <is>
          <t>Electronic Equipment &amp; Instruments</t>
        </is>
      </c>
      <c r="I127" s="8" t="inlineStr">
        <is>
          <t>Electronics (General)</t>
        </is>
      </c>
      <c r="J127" s="9" t="n">
        <v>1</v>
      </c>
    </row>
    <row r="128">
      <c r="A128" s="7" t="n">
        <v>45</v>
      </c>
      <c r="B128" s="7" t="inlineStr">
        <is>
          <t>Information Technology</t>
        </is>
      </c>
      <c r="C128" s="7" t="n">
        <v>4520</v>
      </c>
      <c r="D128" s="7" t="inlineStr">
        <is>
          <t>Technology Hardware &amp; Equipment</t>
        </is>
      </c>
      <c r="E128" s="7" t="n">
        <v>452030</v>
      </c>
      <c r="F128" s="7" t="inlineStr">
        <is>
          <t>Electronic Equipment, Instruments &amp; Components</t>
        </is>
      </c>
      <c r="G128" s="7" t="n">
        <v>45203015</v>
      </c>
      <c r="H128" s="7" t="inlineStr">
        <is>
          <t>Electronic Components</t>
        </is>
      </c>
      <c r="I128" s="8" t="inlineStr">
        <is>
          <t>Electronics (General)</t>
        </is>
      </c>
      <c r="J128" s="9" t="n">
        <v>1</v>
      </c>
    </row>
    <row r="129">
      <c r="A129" s="7" t="n">
        <v>45</v>
      </c>
      <c r="B129" s="7" t="inlineStr">
        <is>
          <t>Information Technology</t>
        </is>
      </c>
      <c r="C129" s="7" t="n">
        <v>4520</v>
      </c>
      <c r="D129" s="7" t="inlineStr">
        <is>
          <t>Technology Hardware &amp; Equipment</t>
        </is>
      </c>
      <c r="E129" s="7" t="n">
        <v>452030</v>
      </c>
      <c r="F129" s="7" t="inlineStr">
        <is>
          <t>Electronic Equipment, Instruments &amp; Components</t>
        </is>
      </c>
      <c r="G129" s="7" t="n">
        <v>45203020</v>
      </c>
      <c r="H129" s="7" t="inlineStr">
        <is>
          <t>Electronic Manufacturing Services</t>
        </is>
      </c>
      <c r="I129" s="8" t="inlineStr">
        <is>
          <t>Electronics (General)</t>
        </is>
      </c>
      <c r="J129" s="9" t="n">
        <v>1</v>
      </c>
    </row>
    <row r="130">
      <c r="A130" s="7" t="n">
        <v>45</v>
      </c>
      <c r="B130" s="7" t="inlineStr">
        <is>
          <t>Information Technology</t>
        </is>
      </c>
      <c r="C130" s="7" t="n">
        <v>4520</v>
      </c>
      <c r="D130" s="7" t="inlineStr">
        <is>
          <t>Technology Hardware &amp; Equipment</t>
        </is>
      </c>
      <c r="E130" s="7" t="n">
        <v>452030</v>
      </c>
      <c r="F130" s="7" t="inlineStr">
        <is>
          <t>Electronic Equipment, Instruments &amp; Components</t>
        </is>
      </c>
      <c r="G130" s="7" t="n">
        <v>45203030</v>
      </c>
      <c r="H130" s="7" t="inlineStr">
        <is>
          <t>Technology Distributors</t>
        </is>
      </c>
      <c r="I130" s="8" t="inlineStr">
        <is>
          <t>Electronics (General)</t>
        </is>
      </c>
      <c r="J130" s="9" t="n">
        <v>1</v>
      </c>
    </row>
    <row r="131">
      <c r="A131" s="7" t="n">
        <v>45</v>
      </c>
      <c r="B131" s="7" t="inlineStr">
        <is>
          <t>Information Technology</t>
        </is>
      </c>
      <c r="C131" s="7" t="n">
        <v>4530</v>
      </c>
      <c r="D131" s="7" t="inlineStr">
        <is>
          <t>Semiconductors &amp; Semiconductor Equipment</t>
        </is>
      </c>
      <c r="E131" s="7" t="n">
        <v>453010</v>
      </c>
      <c r="F131" s="7" t="inlineStr">
        <is>
          <t>Semiconductors &amp; Semiconductor Equipment</t>
        </is>
      </c>
      <c r="G131" s="7" t="n">
        <v>45301010</v>
      </c>
      <c r="H131" s="7" t="inlineStr">
        <is>
          <t>Semiconductor Materials &amp; Equipment</t>
        </is>
      </c>
      <c r="I131" s="8" t="inlineStr">
        <is>
          <t>Semiconductor Equip</t>
        </is>
      </c>
      <c r="J131" s="9" t="n">
        <v>1</v>
      </c>
    </row>
    <row r="132">
      <c r="A132" s="7" t="n">
        <v>45</v>
      </c>
      <c r="B132" s="7" t="inlineStr">
        <is>
          <t>Information Technology</t>
        </is>
      </c>
      <c r="C132" s="7" t="n">
        <v>4530</v>
      </c>
      <c r="D132" s="7" t="inlineStr">
        <is>
          <t>Semiconductors &amp; Semiconductor Equipment</t>
        </is>
      </c>
      <c r="E132" s="7" t="n">
        <v>453010</v>
      </c>
      <c r="F132" s="7" t="inlineStr">
        <is>
          <t>Semiconductors &amp; Semiconductor Equipment</t>
        </is>
      </c>
      <c r="G132" s="7" t="n">
        <v>45301020</v>
      </c>
      <c r="H132" s="7" t="inlineStr">
        <is>
          <t>Semiconductors</t>
        </is>
      </c>
      <c r="I132" s="8" t="inlineStr">
        <is>
          <t>Semiconductor</t>
        </is>
      </c>
      <c r="J132" s="9" t="n">
        <v>1</v>
      </c>
    </row>
    <row r="133">
      <c r="A133" s="7" t="n">
        <v>50</v>
      </c>
      <c r="B133" s="7" t="inlineStr">
        <is>
          <t>Communication Services</t>
        </is>
      </c>
      <c r="C133" s="7" t="n">
        <v>5010</v>
      </c>
      <c r="D133" s="7" t="inlineStr">
        <is>
          <t>Telecommunication Services</t>
        </is>
      </c>
      <c r="E133" s="7" t="n">
        <v>501010</v>
      </c>
      <c r="F133" s="7" t="inlineStr">
        <is>
          <t>Diversified Telecommunication Services</t>
        </is>
      </c>
      <c r="G133" s="7" t="n">
        <v>50101010</v>
      </c>
      <c r="H133" s="7" t="inlineStr">
        <is>
          <t>Alternative Carriers</t>
        </is>
      </c>
      <c r="I133" s="8" t="inlineStr">
        <is>
          <t>Telecom. Services</t>
        </is>
      </c>
      <c r="J133" s="9" t="n">
        <v>1</v>
      </c>
    </row>
    <row r="134">
      <c r="A134" s="7" t="n">
        <v>50</v>
      </c>
      <c r="B134" s="7" t="inlineStr">
        <is>
          <t>Communication Services</t>
        </is>
      </c>
      <c r="C134" s="7" t="n">
        <v>5010</v>
      </c>
      <c r="D134" s="7" t="inlineStr">
        <is>
          <t>Telecommunication Services</t>
        </is>
      </c>
      <c r="E134" s="7" t="n">
        <v>501010</v>
      </c>
      <c r="F134" s="7" t="inlineStr">
        <is>
          <t>Diversified Telecommunication Services</t>
        </is>
      </c>
      <c r="G134" s="7" t="n">
        <v>50101020</v>
      </c>
      <c r="H134" s="7" t="inlineStr">
        <is>
          <t>Integrated Telecommunication Services</t>
        </is>
      </c>
      <c r="I134" s="8" t="inlineStr">
        <is>
          <t>Telecom. Services</t>
        </is>
      </c>
      <c r="J134" s="9" t="n">
        <v>1</v>
      </c>
    </row>
    <row r="135">
      <c r="A135" s="7" t="n">
        <v>50</v>
      </c>
      <c r="B135" s="7" t="inlineStr">
        <is>
          <t>Communication Services</t>
        </is>
      </c>
      <c r="C135" s="7" t="n">
        <v>5010</v>
      </c>
      <c r="D135" s="7" t="inlineStr">
        <is>
          <t>Telecommunication Services</t>
        </is>
      </c>
      <c r="E135" s="7" t="n">
        <v>501020</v>
      </c>
      <c r="F135" s="7" t="inlineStr">
        <is>
          <t>Wireless Telecommunication Services</t>
        </is>
      </c>
      <c r="G135" s="7" t="n">
        <v>50102010</v>
      </c>
      <c r="H135" s="7" t="inlineStr">
        <is>
          <t>Wireless Telecommunication Services</t>
        </is>
      </c>
      <c r="I135" s="8" t="inlineStr">
        <is>
          <t>Telecom (Wireless)</t>
        </is>
      </c>
      <c r="J135" s="9" t="n">
        <v>1</v>
      </c>
    </row>
    <row r="136">
      <c r="A136" s="7" t="n">
        <v>50</v>
      </c>
      <c r="B136" s="7" t="inlineStr">
        <is>
          <t>Communication Services</t>
        </is>
      </c>
      <c r="C136" s="7" t="n">
        <v>5020</v>
      </c>
      <c r="D136" s="7" t="inlineStr">
        <is>
          <t>Media &amp; Entertainment</t>
        </is>
      </c>
      <c r="E136" s="7" t="n">
        <v>502010</v>
      </c>
      <c r="F136" s="7" t="inlineStr">
        <is>
          <t>Media</t>
        </is>
      </c>
      <c r="G136" s="7" t="n">
        <v>50201010</v>
      </c>
      <c r="H136" s="7" t="inlineStr">
        <is>
          <t>Advertising</t>
        </is>
      </c>
      <c r="I136" s="8" t="inlineStr">
        <is>
          <t>Advertising</t>
        </is>
      </c>
      <c r="J136" s="9" t="n">
        <v>1</v>
      </c>
    </row>
    <row r="137">
      <c r="A137" s="7" t="n">
        <v>50</v>
      </c>
      <c r="B137" s="7" t="inlineStr">
        <is>
          <t>Communication Services</t>
        </is>
      </c>
      <c r="C137" s="7" t="n">
        <v>5020</v>
      </c>
      <c r="D137" s="7" t="inlineStr">
        <is>
          <t>Media &amp; Entertainment</t>
        </is>
      </c>
      <c r="E137" s="7" t="n">
        <v>502010</v>
      </c>
      <c r="F137" s="7" t="inlineStr">
        <is>
          <t>Media</t>
        </is>
      </c>
      <c r="G137" s="7" t="n">
        <v>50201020</v>
      </c>
      <c r="H137" s="7" t="inlineStr">
        <is>
          <t>Broadcasting</t>
        </is>
      </c>
      <c r="I137" s="8" t="inlineStr">
        <is>
          <t>Broadcasting</t>
        </is>
      </c>
      <c r="J137" s="9" t="n">
        <v>1</v>
      </c>
    </row>
    <row r="138">
      <c r="A138" s="7" t="n">
        <v>50</v>
      </c>
      <c r="B138" s="7" t="inlineStr">
        <is>
          <t>Communication Services</t>
        </is>
      </c>
      <c r="C138" s="7" t="n">
        <v>5020</v>
      </c>
      <c r="D138" s="7" t="inlineStr">
        <is>
          <t>Media &amp; Entertainment</t>
        </is>
      </c>
      <c r="E138" s="7" t="n">
        <v>502010</v>
      </c>
      <c r="F138" s="7" t="inlineStr">
        <is>
          <t>Media</t>
        </is>
      </c>
      <c r="G138" s="7" t="n">
        <v>50201030</v>
      </c>
      <c r="H138" s="7" t="inlineStr">
        <is>
          <t>Cable &amp; Satellite</t>
        </is>
      </c>
      <c r="I138" s="8" t="inlineStr">
        <is>
          <t>Cable TV</t>
        </is>
      </c>
      <c r="J138" s="9" t="n">
        <v>1</v>
      </c>
    </row>
    <row r="139">
      <c r="A139" s="7" t="n">
        <v>50</v>
      </c>
      <c r="B139" s="7" t="inlineStr">
        <is>
          <t>Communication Services</t>
        </is>
      </c>
      <c r="C139" s="7" t="n">
        <v>5020</v>
      </c>
      <c r="D139" s="7" t="inlineStr">
        <is>
          <t>Media &amp; Entertainment</t>
        </is>
      </c>
      <c r="E139" s="7" t="n">
        <v>502010</v>
      </c>
      <c r="F139" s="7" t="inlineStr">
        <is>
          <t>Media</t>
        </is>
      </c>
      <c r="G139" s="7" t="n">
        <v>50201040</v>
      </c>
      <c r="H139" s="7" t="inlineStr">
        <is>
          <t>Publishing</t>
        </is>
      </c>
      <c r="I139" s="8" t="inlineStr">
        <is>
          <t>Publishing &amp; Newspapers</t>
        </is>
      </c>
      <c r="J139" s="9" t="n">
        <v>1</v>
      </c>
    </row>
    <row r="140">
      <c r="A140" s="7" t="n">
        <v>50</v>
      </c>
      <c r="B140" s="7" t="inlineStr">
        <is>
          <t>Communication Services</t>
        </is>
      </c>
      <c r="C140" s="7" t="n">
        <v>5020</v>
      </c>
      <c r="D140" s="7" t="inlineStr">
        <is>
          <t>Media &amp; Entertainment</t>
        </is>
      </c>
      <c r="E140" s="7" t="n">
        <v>502020</v>
      </c>
      <c r="F140" s="7" t="inlineStr">
        <is>
          <t>Entertainment</t>
        </is>
      </c>
      <c r="G140" s="7" t="n">
        <v>50202010</v>
      </c>
      <c r="H140" s="7" t="inlineStr">
        <is>
          <t>Movies &amp; Entertainment</t>
        </is>
      </c>
      <c r="I140" s="8" t="inlineStr">
        <is>
          <t>Entertainment</t>
        </is>
      </c>
      <c r="J140" s="9" t="n">
        <v>1</v>
      </c>
    </row>
    <row r="141">
      <c r="A141" s="7" t="n">
        <v>50</v>
      </c>
      <c r="B141" s="7" t="inlineStr">
        <is>
          <t>Communication Services</t>
        </is>
      </c>
      <c r="C141" s="7" t="n">
        <v>5020</v>
      </c>
      <c r="D141" s="7" t="inlineStr">
        <is>
          <t>Media &amp; Entertainment</t>
        </is>
      </c>
      <c r="E141" s="7" t="n">
        <v>502020</v>
      </c>
      <c r="F141" s="7" t="inlineStr">
        <is>
          <t>Entertainment</t>
        </is>
      </c>
      <c r="G141" s="7" t="n">
        <v>50202020</v>
      </c>
      <c r="H141" s="7" t="inlineStr">
        <is>
          <t>Interactive Home Entertainment</t>
        </is>
      </c>
      <c r="I141" s="8" t="inlineStr">
        <is>
          <t>Software (Entertainment)</t>
        </is>
      </c>
      <c r="J141" s="9" t="n">
        <v>1</v>
      </c>
    </row>
    <row r="142">
      <c r="A142" s="7" t="n">
        <v>50</v>
      </c>
      <c r="B142" s="7" t="inlineStr">
        <is>
          <t>Communication Services</t>
        </is>
      </c>
      <c r="C142" s="7" t="n">
        <v>5020</v>
      </c>
      <c r="D142" s="7" t="inlineStr">
        <is>
          <t>Media &amp; Entertainment</t>
        </is>
      </c>
      <c r="E142" s="7" t="n">
        <v>502030</v>
      </c>
      <c r="F142" s="7" t="inlineStr">
        <is>
          <t>Interactive Media &amp; Services</t>
        </is>
      </c>
      <c r="G142" s="7" t="n">
        <v>50203010</v>
      </c>
      <c r="H142" s="7" t="inlineStr">
        <is>
          <t>Interactive Media &amp; Services</t>
        </is>
      </c>
      <c r="I142" s="8" t="inlineStr">
        <is>
          <t>Software (Internet)</t>
        </is>
      </c>
      <c r="J142" s="9" t="n">
        <v>1</v>
      </c>
    </row>
    <row r="143">
      <c r="A143" s="7" t="n">
        <v>55</v>
      </c>
      <c r="B143" s="7" t="inlineStr">
        <is>
          <t>Utilities</t>
        </is>
      </c>
      <c r="C143" s="7" t="n">
        <v>5510</v>
      </c>
      <c r="D143" s="7" t="inlineStr">
        <is>
          <t>Utilities</t>
        </is>
      </c>
      <c r="E143" s="7" t="n">
        <v>551010</v>
      </c>
      <c r="F143" s="7" t="inlineStr">
        <is>
          <t>Electric Utilities</t>
        </is>
      </c>
      <c r="G143" s="7" t="n">
        <v>55101010</v>
      </c>
      <c r="H143" s="7" t="inlineStr">
        <is>
          <t>Electric Utilities</t>
        </is>
      </c>
      <c r="I143" s="8" t="inlineStr">
        <is>
          <t>Utility (General)</t>
        </is>
      </c>
      <c r="J143" s="9" t="n">
        <v>1</v>
      </c>
    </row>
    <row r="144">
      <c r="A144" s="7" t="n">
        <v>55</v>
      </c>
      <c r="B144" s="7" t="inlineStr">
        <is>
          <t>Utilities</t>
        </is>
      </c>
      <c r="C144" s="7" t="n">
        <v>5510</v>
      </c>
      <c r="D144" s="7" t="inlineStr">
        <is>
          <t>Utilities</t>
        </is>
      </c>
      <c r="E144" s="7" t="n">
        <v>551020</v>
      </c>
      <c r="F144" s="7" t="inlineStr">
        <is>
          <t>Gas Utilities</t>
        </is>
      </c>
      <c r="G144" s="7" t="n">
        <v>55102010</v>
      </c>
      <c r="H144" s="7" t="inlineStr">
        <is>
          <t>Gas Utilities</t>
        </is>
      </c>
      <c r="I144" s="8" t="inlineStr">
        <is>
          <t>Utility (General)</t>
        </is>
      </c>
      <c r="J144" s="9" t="n">
        <v>1</v>
      </c>
    </row>
    <row r="145">
      <c r="A145" s="7" t="n">
        <v>55</v>
      </c>
      <c r="B145" s="7" t="inlineStr">
        <is>
          <t>Utilities</t>
        </is>
      </c>
      <c r="C145" s="7" t="n">
        <v>5510</v>
      </c>
      <c r="D145" s="7" t="inlineStr">
        <is>
          <t>Utilities</t>
        </is>
      </c>
      <c r="E145" s="7" t="n">
        <v>551030</v>
      </c>
      <c r="F145" s="7" t="inlineStr">
        <is>
          <t>Multi-Utilities</t>
        </is>
      </c>
      <c r="G145" s="7" t="n">
        <v>55103010</v>
      </c>
      <c r="H145" s="7" t="inlineStr">
        <is>
          <t>Multi-Utilities</t>
        </is>
      </c>
      <c r="I145" s="8" t="inlineStr">
        <is>
          <t>Utility (General)</t>
        </is>
      </c>
      <c r="J145" s="9" t="n">
        <v>1</v>
      </c>
    </row>
    <row r="146">
      <c r="A146" s="7" t="n">
        <v>55</v>
      </c>
      <c r="B146" s="7" t="inlineStr">
        <is>
          <t>Utilities</t>
        </is>
      </c>
      <c r="C146" s="7" t="n">
        <v>5510</v>
      </c>
      <c r="D146" s="7" t="inlineStr">
        <is>
          <t>Utilities</t>
        </is>
      </c>
      <c r="E146" s="7" t="n">
        <v>551040</v>
      </c>
      <c r="F146" s="7" t="inlineStr">
        <is>
          <t>Water Utilities</t>
        </is>
      </c>
      <c r="G146" s="7" t="n">
        <v>55104010</v>
      </c>
      <c r="H146" s="7" t="inlineStr">
        <is>
          <t>Water Utilities</t>
        </is>
      </c>
      <c r="I146" s="8" t="inlineStr">
        <is>
          <t>Utility (Water)</t>
        </is>
      </c>
      <c r="J146" s="9" t="n">
        <v>1</v>
      </c>
    </row>
    <row r="147">
      <c r="A147" s="7" t="n">
        <v>55</v>
      </c>
      <c r="B147" s="7" t="inlineStr">
        <is>
          <t>Utilities</t>
        </is>
      </c>
      <c r="C147" s="7" t="n">
        <v>5510</v>
      </c>
      <c r="D147" s="7" t="inlineStr">
        <is>
          <t>Utilities</t>
        </is>
      </c>
      <c r="E147" s="7" t="n">
        <v>551050</v>
      </c>
      <c r="F147" s="7" t="inlineStr">
        <is>
          <t>Independent Power and Renewable Electricity Producers</t>
        </is>
      </c>
      <c r="G147" s="7" t="n">
        <v>55105010</v>
      </c>
      <c r="H147" s="7" t="inlineStr">
        <is>
          <t>Independent Power Producers &amp; Energy Traders</t>
        </is>
      </c>
      <c r="I147" s="8" t="inlineStr">
        <is>
          <t>Power</t>
        </is>
      </c>
      <c r="J147" s="9" t="n">
        <v>1</v>
      </c>
    </row>
    <row r="148">
      <c r="A148" s="7" t="n">
        <v>55</v>
      </c>
      <c r="B148" s="7" t="inlineStr">
        <is>
          <t>Utilities</t>
        </is>
      </c>
      <c r="C148" s="7" t="n">
        <v>5510</v>
      </c>
      <c r="D148" s="7" t="inlineStr">
        <is>
          <t>Utilities</t>
        </is>
      </c>
      <c r="E148" s="7" t="n">
        <v>551050</v>
      </c>
      <c r="F148" s="7" t="inlineStr">
        <is>
          <t>Independent Power and Renewable Electricity Producers</t>
        </is>
      </c>
      <c r="G148" s="7" t="n">
        <v>55105020</v>
      </c>
      <c r="H148" s="7" t="inlineStr">
        <is>
          <t>Renewable Electricity</t>
        </is>
      </c>
      <c r="I148" s="8" t="inlineStr">
        <is>
          <t>Green &amp; Renewable Energy</t>
        </is>
      </c>
      <c r="J148" s="9" t="n">
        <v>1</v>
      </c>
    </row>
    <row r="149">
      <c r="A149" s="7" t="n">
        <v>60</v>
      </c>
      <c r="B149" s="7" t="inlineStr">
        <is>
          <t>Real Estate</t>
        </is>
      </c>
      <c r="C149" s="7" t="n">
        <v>6010</v>
      </c>
      <c r="D149" s="7" t="inlineStr">
        <is>
          <t>Equity Real Estate Investment Trusts (REITs)</t>
        </is>
      </c>
      <c r="E149" s="7" t="n">
        <v>601010</v>
      </c>
      <c r="F149" s="7" t="inlineStr">
        <is>
          <t>Diversified REITs</t>
        </is>
      </c>
      <c r="G149" s="7" t="n">
        <v>60101010</v>
      </c>
      <c r="H149" s="7" t="inlineStr">
        <is>
          <t>Diversified REITs*</t>
        </is>
      </c>
      <c r="I149" s="8" t="inlineStr">
        <is>
          <t>Real Estate (General/Diversified)</t>
        </is>
      </c>
      <c r="J149" s="9" t="n">
        <v>1</v>
      </c>
    </row>
    <row r="150">
      <c r="A150" s="7" t="n">
        <v>60</v>
      </c>
      <c r="B150" s="7" t="inlineStr">
        <is>
          <t>Real Estate</t>
        </is>
      </c>
      <c r="C150" s="7" t="n">
        <v>6010</v>
      </c>
      <c r="D150" s="7" t="inlineStr">
        <is>
          <t>Equity Real Estate Investment Trusts (REITs)</t>
        </is>
      </c>
      <c r="E150" s="7" t="n">
        <v>601025</v>
      </c>
      <c r="F150" s="7" t="inlineStr">
        <is>
          <t>Industrial REITs</t>
        </is>
      </c>
      <c r="G150" s="7" t="n">
        <v>60102510</v>
      </c>
      <c r="H150" s="7" t="inlineStr">
        <is>
          <t>Industrial REITs*</t>
        </is>
      </c>
      <c r="I150" s="8" t="inlineStr">
        <is>
          <t>R.E.I.T.</t>
        </is>
      </c>
      <c r="J150" s="9" t="n">
        <v>1</v>
      </c>
    </row>
    <row r="151">
      <c r="A151" s="7" t="n">
        <v>60</v>
      </c>
      <c r="B151" s="7" t="inlineStr">
        <is>
          <t>Real Estate</t>
        </is>
      </c>
      <c r="C151" s="7" t="n">
        <v>6010</v>
      </c>
      <c r="D151" s="7" t="inlineStr">
        <is>
          <t>Equity Real Estate Investment Trusts (REITs)</t>
        </is>
      </c>
      <c r="E151" s="7" t="n">
        <v>601030</v>
      </c>
      <c r="F151" s="7" t="inlineStr">
        <is>
          <t>Hotel &amp; Resort REITs</t>
        </is>
      </c>
      <c r="G151" s="7" t="n">
        <v>60103010</v>
      </c>
      <c r="H151" s="7" t="inlineStr">
        <is>
          <t>Hotel &amp; Resort REITs*</t>
        </is>
      </c>
      <c r="I151" s="8" t="inlineStr">
        <is>
          <t>R.E.I.T.</t>
        </is>
      </c>
      <c r="J151" s="9" t="n">
        <v>1</v>
      </c>
    </row>
    <row r="152">
      <c r="A152" s="7" t="n">
        <v>60</v>
      </c>
      <c r="B152" s="7" t="inlineStr">
        <is>
          <t>Real Estate</t>
        </is>
      </c>
      <c r="C152" s="7" t="n">
        <v>6010</v>
      </c>
      <c r="D152" s="7" t="inlineStr">
        <is>
          <t>Equity Real Estate Investment Trusts (REITs)</t>
        </is>
      </c>
      <c r="E152" s="7" t="n">
        <v>601040</v>
      </c>
      <c r="F152" s="7" t="inlineStr">
        <is>
          <t>Office REITs</t>
        </is>
      </c>
      <c r="G152" s="7" t="n">
        <v>60104010</v>
      </c>
      <c r="H152" s="7" t="inlineStr">
        <is>
          <t>Office REITs*</t>
        </is>
      </c>
      <c r="I152" s="8" t="inlineStr">
        <is>
          <t>R.E.I.T.</t>
        </is>
      </c>
      <c r="J152" s="9" t="n">
        <v>1</v>
      </c>
    </row>
    <row r="153">
      <c r="A153" s="7" t="n">
        <v>60</v>
      </c>
      <c r="B153" s="7" t="inlineStr">
        <is>
          <t>Real Estate</t>
        </is>
      </c>
      <c r="C153" s="7" t="n">
        <v>6010</v>
      </c>
      <c r="D153" s="7" t="inlineStr">
        <is>
          <t>Equity Real Estate Investment Trusts (REITs)</t>
        </is>
      </c>
      <c r="E153" s="7" t="n">
        <v>601050</v>
      </c>
      <c r="F153" s="7" t="inlineStr">
        <is>
          <t>Health Care REITs</t>
        </is>
      </c>
      <c r="G153" s="7" t="n">
        <v>60105010</v>
      </c>
      <c r="H153" s="7" t="inlineStr">
        <is>
          <t>Health Care REITs*</t>
        </is>
      </c>
      <c r="I153" s="8" t="inlineStr">
        <is>
          <t>R.E.I.T.</t>
        </is>
      </c>
      <c r="J153" s="9" t="n">
        <v>1</v>
      </c>
    </row>
    <row r="154">
      <c r="A154" s="7" t="n">
        <v>60</v>
      </c>
      <c r="B154" s="7" t="inlineStr">
        <is>
          <t>Real Estate</t>
        </is>
      </c>
      <c r="C154" s="7" t="n">
        <v>6010</v>
      </c>
      <c r="D154" s="7" t="inlineStr">
        <is>
          <t>Equity Real Estate Investment Trusts (REITs)</t>
        </is>
      </c>
      <c r="E154" s="7" t="n">
        <v>601060</v>
      </c>
      <c r="F154" s="7" t="inlineStr">
        <is>
          <t>Residential REITs</t>
        </is>
      </c>
      <c r="G154" s="7" t="n">
        <v>60106010</v>
      </c>
      <c r="H154" s="7" t="inlineStr">
        <is>
          <t>Multi-Family Residential REITs*</t>
        </is>
      </c>
      <c r="I154" s="8" t="inlineStr">
        <is>
          <t>R.E.I.T.</t>
        </is>
      </c>
      <c r="J154" s="9" t="n">
        <v>1</v>
      </c>
    </row>
    <row r="155">
      <c r="A155" s="7" t="n">
        <v>60</v>
      </c>
      <c r="B155" s="7" t="inlineStr">
        <is>
          <t>Real Estate</t>
        </is>
      </c>
      <c r="C155" s="7" t="n">
        <v>6010</v>
      </c>
      <c r="D155" s="7" t="inlineStr">
        <is>
          <t>Equity Real Estate Investment Trusts (REITs)</t>
        </is>
      </c>
      <c r="E155" s="7" t="n">
        <v>601060</v>
      </c>
      <c r="F155" s="7" t="inlineStr">
        <is>
          <t>Residential REITs</t>
        </is>
      </c>
      <c r="G155" s="7" t="n">
        <v>60106020</v>
      </c>
      <c r="H155" s="7" t="inlineStr">
        <is>
          <t>Single-Family Residential REITs*</t>
        </is>
      </c>
      <c r="I155" s="8" t="inlineStr">
        <is>
          <t>R.E.I.T.</t>
        </is>
      </c>
      <c r="J155" s="9" t="n">
        <v>1</v>
      </c>
    </row>
    <row r="156">
      <c r="A156" s="7" t="n">
        <v>60</v>
      </c>
      <c r="B156" s="7" t="inlineStr">
        <is>
          <t>Real Estate</t>
        </is>
      </c>
      <c r="C156" s="7" t="n">
        <v>6010</v>
      </c>
      <c r="D156" s="7" t="inlineStr">
        <is>
          <t>Equity Real Estate Investment Trusts (REITs)</t>
        </is>
      </c>
      <c r="E156" s="7" t="n">
        <v>601070</v>
      </c>
      <c r="F156" s="7" t="inlineStr">
        <is>
          <t>Retail REITs</t>
        </is>
      </c>
      <c r="G156" s="7" t="n">
        <v>60107010</v>
      </c>
      <c r="H156" s="7" t="inlineStr">
        <is>
          <t>Retail REITs*</t>
        </is>
      </c>
      <c r="I156" s="8" t="inlineStr">
        <is>
          <t>Retail (REITs)</t>
        </is>
      </c>
      <c r="J156" s="9" t="n">
        <v>1</v>
      </c>
    </row>
    <row r="157">
      <c r="A157" s="7" t="n">
        <v>60</v>
      </c>
      <c r="B157" s="7" t="inlineStr">
        <is>
          <t>Real Estate</t>
        </is>
      </c>
      <c r="C157" s="7" t="n">
        <v>6010</v>
      </c>
      <c r="D157" s="7" t="inlineStr">
        <is>
          <t>Equity Real Estate Investment Trusts (REITs)</t>
        </is>
      </c>
      <c r="E157" s="7" t="n">
        <v>601080</v>
      </c>
      <c r="F157" s="7" t="inlineStr">
        <is>
          <t>Specialized REITs</t>
        </is>
      </c>
      <c r="G157" s="7" t="n">
        <v>60108010</v>
      </c>
      <c r="H157" s="7" t="inlineStr">
        <is>
          <t>Other Specialized REITs*</t>
        </is>
      </c>
      <c r="I157" s="8" t="inlineStr">
        <is>
          <t>R.E.I.T.</t>
        </is>
      </c>
      <c r="J157" s="9" t="n">
        <v>1</v>
      </c>
    </row>
    <row r="158">
      <c r="A158" s="7" t="n">
        <v>60</v>
      </c>
      <c r="B158" s="7" t="inlineStr">
        <is>
          <t>Real Estate</t>
        </is>
      </c>
      <c r="C158" s="7" t="n">
        <v>6010</v>
      </c>
      <c r="D158" s="7" t="inlineStr">
        <is>
          <t>Equity Real Estate Investment Trusts (REITs)</t>
        </is>
      </c>
      <c r="E158" s="7" t="n">
        <v>601080</v>
      </c>
      <c r="F158" s="7" t="inlineStr">
        <is>
          <t>Specialized REITs</t>
        </is>
      </c>
      <c r="G158" s="7" t="n">
        <v>60108020</v>
      </c>
      <c r="H158" s="7" t="inlineStr">
        <is>
          <t>Self-Storage REITs*</t>
        </is>
      </c>
      <c r="I158" s="8" t="inlineStr">
        <is>
          <t>R.E.I.T.</t>
        </is>
      </c>
      <c r="J158" s="9" t="n">
        <v>1</v>
      </c>
    </row>
    <row r="159">
      <c r="A159" s="7" t="n">
        <v>60</v>
      </c>
      <c r="B159" s="7" t="inlineStr">
        <is>
          <t>Real Estate</t>
        </is>
      </c>
      <c r="C159" s="7" t="n">
        <v>6010</v>
      </c>
      <c r="D159" s="7" t="inlineStr">
        <is>
          <t>Equity Real Estate Investment Trusts (REITs)</t>
        </is>
      </c>
      <c r="E159" s="7" t="n">
        <v>601080</v>
      </c>
      <c r="F159" s="7" t="inlineStr">
        <is>
          <t>Specialized REITs</t>
        </is>
      </c>
      <c r="G159" s="7" t="n">
        <v>60108030</v>
      </c>
      <c r="H159" s="7" t="inlineStr">
        <is>
          <t>Telecom Tower REITs*</t>
        </is>
      </c>
      <c r="I159" s="8" t="inlineStr">
        <is>
          <t>R.E.I.T.</t>
        </is>
      </c>
      <c r="J159" s="9" t="n">
        <v>1</v>
      </c>
    </row>
    <row r="160">
      <c r="A160" s="7" t="n">
        <v>60</v>
      </c>
      <c r="B160" s="7" t="inlineStr">
        <is>
          <t>Real Estate</t>
        </is>
      </c>
      <c r="C160" s="7" t="n">
        <v>6010</v>
      </c>
      <c r="D160" s="7" t="inlineStr">
        <is>
          <t>Equity Real Estate Investment Trusts (REITs)</t>
        </is>
      </c>
      <c r="E160" s="7" t="n">
        <v>601080</v>
      </c>
      <c r="F160" s="7" t="inlineStr">
        <is>
          <t>Specialized REITs</t>
        </is>
      </c>
      <c r="G160" s="7" t="n">
        <v>60108040</v>
      </c>
      <c r="H160" s="7" t="inlineStr">
        <is>
          <t>Timber REITs*</t>
        </is>
      </c>
      <c r="I160" s="8" t="inlineStr">
        <is>
          <t>R.E.I.T.</t>
        </is>
      </c>
      <c r="J160" s="9" t="n">
        <v>1</v>
      </c>
    </row>
    <row r="161">
      <c r="A161" s="7" t="n">
        <v>60</v>
      </c>
      <c r="B161" s="7" t="inlineStr">
        <is>
          <t>Real Estate</t>
        </is>
      </c>
      <c r="C161" s="7" t="n">
        <v>6010</v>
      </c>
      <c r="D161" s="7" t="inlineStr">
        <is>
          <t>Equity Real Estate Investment Trusts (REITs)</t>
        </is>
      </c>
      <c r="E161" s="7" t="n">
        <v>601080</v>
      </c>
      <c r="F161" s="7" t="inlineStr">
        <is>
          <t>Specialized REITs</t>
        </is>
      </c>
      <c r="G161" s="7" t="n">
        <v>60108050</v>
      </c>
      <c r="H161" s="7" t="inlineStr">
        <is>
          <t>Data Center REITs*</t>
        </is>
      </c>
      <c r="I161" s="8" t="inlineStr">
        <is>
          <t>R.E.I.T.</t>
        </is>
      </c>
      <c r="J161" s="9" t="n">
        <v>1</v>
      </c>
    </row>
    <row r="162">
      <c r="A162" s="7" t="n">
        <v>60</v>
      </c>
      <c r="B162" s="7" t="inlineStr">
        <is>
          <t>Real Estate</t>
        </is>
      </c>
      <c r="C162" s="7" t="n">
        <v>6020</v>
      </c>
      <c r="D162" s="7" t="inlineStr">
        <is>
          <t>Real Estate Management &amp; Development</t>
        </is>
      </c>
      <c r="E162" s="7" t="n">
        <v>602010</v>
      </c>
      <c r="F162" s="7" t="inlineStr">
        <is>
          <t>Real Estate Management &amp; Development</t>
        </is>
      </c>
      <c r="G162" s="7" t="n">
        <v>60201010</v>
      </c>
      <c r="H162" s="7" t="inlineStr">
        <is>
          <t>Diversified Real Estate Activities</t>
        </is>
      </c>
      <c r="I162" s="8" t="inlineStr">
        <is>
          <t>Real Estate (General/Diversified)</t>
        </is>
      </c>
      <c r="J162" s="9" t="n">
        <v>1</v>
      </c>
    </row>
    <row r="163">
      <c r="A163" s="7" t="n">
        <v>60</v>
      </c>
      <c r="B163" s="7" t="inlineStr">
        <is>
          <t>Real Estate</t>
        </is>
      </c>
      <c r="C163" s="7" t="n">
        <v>6020</v>
      </c>
      <c r="D163" s="7" t="inlineStr">
        <is>
          <t>Real Estate Management &amp; Development</t>
        </is>
      </c>
      <c r="E163" s="7" t="n">
        <v>602010</v>
      </c>
      <c r="F163" s="7" t="inlineStr">
        <is>
          <t>Real Estate Management &amp; Development</t>
        </is>
      </c>
      <c r="G163" s="7" t="n">
        <v>60201020</v>
      </c>
      <c r="H163" s="7" t="inlineStr">
        <is>
          <t>Real Estate Operating Companies</t>
        </is>
      </c>
      <c r="I163" s="8" t="inlineStr">
        <is>
          <t>Real Estate (Operations &amp; Services)</t>
        </is>
      </c>
      <c r="J163" s="9" t="n">
        <v>1</v>
      </c>
    </row>
    <row r="164">
      <c r="A164" s="7" t="n">
        <v>60</v>
      </c>
      <c r="B164" s="7" t="inlineStr">
        <is>
          <t>Real Estate</t>
        </is>
      </c>
      <c r="C164" s="7" t="n">
        <v>6020</v>
      </c>
      <c r="D164" s="7" t="inlineStr">
        <is>
          <t>Real Estate Management &amp; Development</t>
        </is>
      </c>
      <c r="E164" s="7" t="n">
        <v>602010</v>
      </c>
      <c r="F164" s="7" t="inlineStr">
        <is>
          <t>Real Estate Management &amp; Development</t>
        </is>
      </c>
      <c r="G164" s="7" t="n">
        <v>60201030</v>
      </c>
      <c r="H164" s="7" t="inlineStr">
        <is>
          <t>Real Estate Development</t>
        </is>
      </c>
      <c r="I164" s="8" t="inlineStr">
        <is>
          <t>Real Estate (Development)</t>
        </is>
      </c>
      <c r="J164" s="9" t="n">
        <v>1</v>
      </c>
    </row>
    <row r="165">
      <c r="A165" s="7" t="n">
        <v>60</v>
      </c>
      <c r="B165" s="7" t="inlineStr">
        <is>
          <t>Real Estate</t>
        </is>
      </c>
      <c r="C165" s="7" t="n">
        <v>6020</v>
      </c>
      <c r="D165" s="7" t="inlineStr">
        <is>
          <t>Real Estate Management &amp; Development</t>
        </is>
      </c>
      <c r="E165" s="7" t="n">
        <v>602010</v>
      </c>
      <c r="F165" s="7" t="inlineStr">
        <is>
          <t>Real Estate Management &amp; Development</t>
        </is>
      </c>
      <c r="G165" s="7" t="n">
        <v>60201040</v>
      </c>
      <c r="H165" s="7" t="inlineStr">
        <is>
          <t>Real Estate Services</t>
        </is>
      </c>
      <c r="I165" s="8" t="inlineStr">
        <is>
          <t>Real Estate (Operations &amp; Services)</t>
        </is>
      </c>
      <c r="J165" s="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0" customWidth="1" min="3" max="3"/>
    <col width="26" customWidth="1" min="4" max="4"/>
    <col width="12" customWidth="1" min="5" max="5"/>
    <col width="12" customWidth="1" min="6" max="6"/>
  </cols>
  <sheetData>
    <row r="1">
      <c r="A1" s="5" t="inlineStr">
        <is>
          <t>Reference sheet, unchanged. Damodaran industry betas (NYU Stern, updated 5 Jan 2026, US companies), credibility-shrunk toward the ex-financials market mean.</t>
        </is>
      </c>
    </row>
    <row r="2">
      <c r="A2" s="6" t="inlineStr">
        <is>
          <t>Industry Name</t>
        </is>
      </c>
      <c r="B2" s="6" t="inlineStr">
        <is>
          <t>Number of firms</t>
        </is>
      </c>
      <c r="C2" s="6" t="inlineStr">
        <is>
          <t>Raw Beta</t>
        </is>
      </c>
      <c r="D2" s="6" t="inlineStr">
        <is>
          <t>Unlevered Beta (corrected for cash)</t>
        </is>
      </c>
      <c r="E2" s="6" t="inlineStr">
        <is>
          <t>Credibility n/(n+10)</t>
        </is>
      </c>
      <c r="F2" s="6" t="inlineStr">
        <is>
          <t>Shrunk Beta (used in cascade)</t>
        </is>
      </c>
    </row>
    <row r="3">
      <c r="A3" s="7" t="inlineStr">
        <is>
          <t>Advertising</t>
        </is>
      </c>
      <c r="B3" s="7" t="n">
        <v>52</v>
      </c>
      <c r="C3" s="7" t="n">
        <v>1.2105</v>
      </c>
      <c r="D3" s="7" t="n">
        <v>1.008</v>
      </c>
      <c r="E3" s="10">
        <f>B3/(B3+10)</f>
        <v/>
      </c>
      <c r="F3" s="11">
        <f>E3*D3+(1-E3)*$F$100</f>
        <v/>
      </c>
    </row>
    <row r="4">
      <c r="A4" s="7" t="inlineStr">
        <is>
          <t>Aerospace/Defense</t>
        </is>
      </c>
      <c r="B4" s="7" t="n">
        <v>79</v>
      </c>
      <c r="C4" s="7" t="n">
        <v>0.9455</v>
      </c>
      <c r="D4" s="7" t="n">
        <v>0.8694</v>
      </c>
      <c r="E4" s="10">
        <f>B4/(B4+10)</f>
        <v/>
      </c>
      <c r="F4" s="11">
        <f>E4*D4+(1-E4)*$F$100</f>
        <v/>
      </c>
    </row>
    <row r="5">
      <c r="A5" s="7" t="inlineStr">
        <is>
          <t>Air Transport</t>
        </is>
      </c>
      <c r="B5" s="7" t="n">
        <v>23</v>
      </c>
      <c r="C5" s="7" t="n">
        <v>1.1855</v>
      </c>
      <c r="D5" s="7" t="n">
        <v>0.7579</v>
      </c>
      <c r="E5" s="10">
        <f>B5/(B5+10)</f>
        <v/>
      </c>
      <c r="F5" s="11">
        <f>E5*D5+(1-E5)*$F$100</f>
        <v/>
      </c>
    </row>
    <row r="6">
      <c r="A6" s="7" t="inlineStr">
        <is>
          <t>Apparel</t>
        </is>
      </c>
      <c r="B6" s="7" t="n">
        <v>35</v>
      </c>
      <c r="C6" s="7" t="n">
        <v>0.9359</v>
      </c>
      <c r="D6" s="7" t="n">
        <v>0.7946</v>
      </c>
      <c r="E6" s="10">
        <f>B6/(B6+10)</f>
        <v/>
      </c>
      <c r="F6" s="11">
        <f>E6*D6+(1-E6)*$F$100</f>
        <v/>
      </c>
    </row>
    <row r="7">
      <c r="A7" s="7" t="inlineStr">
        <is>
          <t>Auto &amp; Truck</t>
        </is>
      </c>
      <c r="B7" s="7" t="n">
        <v>33</v>
      </c>
      <c r="C7" s="7" t="n">
        <v>1.4565</v>
      </c>
      <c r="D7" s="7" t="n">
        <v>1.3082</v>
      </c>
      <c r="E7" s="10">
        <f>B7/(B7+10)</f>
        <v/>
      </c>
      <c r="F7" s="11">
        <f>E7*D7+(1-E7)*$F$100</f>
        <v/>
      </c>
    </row>
    <row r="8">
      <c r="A8" s="7" t="inlineStr">
        <is>
          <t>Auto Parts</t>
        </is>
      </c>
      <c r="B8" s="7" t="n">
        <v>35</v>
      </c>
      <c r="C8" s="7" t="n">
        <v>1.3394</v>
      </c>
      <c r="D8" s="7" t="n">
        <v>1.1283</v>
      </c>
      <c r="E8" s="10">
        <f>B8/(B8+10)</f>
        <v/>
      </c>
      <c r="F8" s="11">
        <f>E8*D8+(1-E8)*$F$100</f>
        <v/>
      </c>
    </row>
    <row r="9">
      <c r="A9" s="7" t="inlineStr">
        <is>
          <t>Bank (Money Center)</t>
        </is>
      </c>
      <c r="B9" s="7" t="n">
        <v>15</v>
      </c>
      <c r="C9" s="7" t="n">
        <v>0.761</v>
      </c>
      <c r="D9" s="7" t="n">
        <v>0.4439</v>
      </c>
      <c r="E9" s="10">
        <f>B9/(B9+10)</f>
        <v/>
      </c>
      <c r="F9" s="11">
        <f>E9*D9+(1-E9)*$F$100</f>
        <v/>
      </c>
    </row>
    <row r="10">
      <c r="A10" s="7" t="inlineStr">
        <is>
          <t>Banks (Regional)</t>
        </is>
      </c>
      <c r="B10" s="7" t="n">
        <v>568</v>
      </c>
      <c r="C10" s="7" t="n">
        <v>0.3985</v>
      </c>
      <c r="D10" s="7" t="n">
        <v>0.3744</v>
      </c>
      <c r="E10" s="10">
        <f>B10/(B10+10)</f>
        <v/>
      </c>
      <c r="F10" s="11">
        <f>E10*D10+(1-E10)*$F$100</f>
        <v/>
      </c>
    </row>
    <row r="11">
      <c r="A11" s="7" t="inlineStr">
        <is>
          <t>Beverage (Alcoholic)</t>
        </is>
      </c>
      <c r="B11" s="7" t="n">
        <v>14</v>
      </c>
      <c r="C11" s="7" t="n">
        <v>0.8125</v>
      </c>
      <c r="D11" s="7" t="n">
        <v>0.628</v>
      </c>
      <c r="E11" s="10">
        <f>B11/(B11+10)</f>
        <v/>
      </c>
      <c r="F11" s="11">
        <f>E11*D11+(1-E11)*$F$100</f>
        <v/>
      </c>
    </row>
    <row r="12">
      <c r="A12" s="7" t="inlineStr">
        <is>
          <t>Beverage (Soft)</t>
        </is>
      </c>
      <c r="B12" s="7" t="n">
        <v>27</v>
      </c>
      <c r="C12" s="7" t="n">
        <v>0.6415</v>
      </c>
      <c r="D12" s="7" t="n">
        <v>0.5755</v>
      </c>
      <c r="E12" s="10">
        <f>B12/(B12+10)</f>
        <v/>
      </c>
      <c r="F12" s="11">
        <f>E12*D12+(1-E12)*$F$100</f>
        <v/>
      </c>
    </row>
    <row r="13">
      <c r="A13" s="7" t="inlineStr">
        <is>
          <t>Broadcasting</t>
        </is>
      </c>
      <c r="B13" s="7" t="n">
        <v>24</v>
      </c>
      <c r="C13" s="7" t="n">
        <v>0.4708</v>
      </c>
      <c r="D13" s="7" t="n">
        <v>0.3153</v>
      </c>
      <c r="E13" s="10">
        <f>B13/(B13+10)</f>
        <v/>
      </c>
      <c r="F13" s="11">
        <f>E13*D13+(1-E13)*$F$100</f>
        <v/>
      </c>
    </row>
    <row r="14">
      <c r="A14" s="7" t="inlineStr">
        <is>
          <t>Brokerage &amp; Investment Banking</t>
        </is>
      </c>
      <c r="B14" s="7" t="n">
        <v>32</v>
      </c>
      <c r="C14" s="7" t="n">
        <v>1.1715</v>
      </c>
      <c r="D14" s="7" t="n">
        <v>0.6794</v>
      </c>
      <c r="E14" s="10">
        <f>B14/(B14+10)</f>
        <v/>
      </c>
      <c r="F14" s="11">
        <f>E14*D14+(1-E14)*$F$100</f>
        <v/>
      </c>
    </row>
    <row r="15">
      <c r="A15" s="7" t="inlineStr">
        <is>
          <t>Building Materials</t>
        </is>
      </c>
      <c r="B15" s="7" t="n">
        <v>41</v>
      </c>
      <c r="C15" s="7" t="n">
        <v>1.1115</v>
      </c>
      <c r="D15" s="7" t="n">
        <v>0.9605</v>
      </c>
      <c r="E15" s="10">
        <f>B15/(B15+10)</f>
        <v/>
      </c>
      <c r="F15" s="11">
        <f>E15*D15+(1-E15)*$F$100</f>
        <v/>
      </c>
    </row>
    <row r="16">
      <c r="A16" s="7" t="inlineStr">
        <is>
          <t>Business &amp; Consumer Services</t>
        </is>
      </c>
      <c r="B16" s="7" t="n">
        <v>155</v>
      </c>
      <c r="C16" s="7" t="n">
        <v>0.888</v>
      </c>
      <c r="D16" s="7" t="n">
        <v>0.806</v>
      </c>
      <c r="E16" s="10">
        <f>B16/(B16+10)</f>
        <v/>
      </c>
      <c r="F16" s="11">
        <f>E16*D16+(1-E16)*$F$100</f>
        <v/>
      </c>
    </row>
    <row r="17">
      <c r="A17" s="7" t="inlineStr">
        <is>
          <t>Cable TV</t>
        </is>
      </c>
      <c r="B17" s="7" t="n">
        <v>9</v>
      </c>
      <c r="C17" s="7" t="n">
        <v>0.7407</v>
      </c>
      <c r="D17" s="7" t="n">
        <v>0.3629</v>
      </c>
      <c r="E17" s="10">
        <f>B17/(B17+10)</f>
        <v/>
      </c>
      <c r="F17" s="11">
        <f>E17*D17+(1-E17)*$F$100</f>
        <v/>
      </c>
    </row>
    <row r="18">
      <c r="A18" s="7" t="inlineStr">
        <is>
          <t>Chemical (Basic)</t>
        </is>
      </c>
      <c r="B18" s="7" t="n">
        <v>29</v>
      </c>
      <c r="C18" s="7" t="n">
        <v>1.0122</v>
      </c>
      <c r="D18" s="7" t="n">
        <v>0.6368</v>
      </c>
      <c r="E18" s="10">
        <f>B18/(B18+10)</f>
        <v/>
      </c>
      <c r="F18" s="11">
        <f>E18*D18+(1-E18)*$F$100</f>
        <v/>
      </c>
    </row>
    <row r="19">
      <c r="A19" s="7" t="inlineStr">
        <is>
          <t>Chemical (Diversified)</t>
        </is>
      </c>
      <c r="B19" s="7" t="n">
        <v>4</v>
      </c>
      <c r="C19" s="7" t="n">
        <v>0.8507</v>
      </c>
      <c r="D19" s="7" t="n">
        <v>0.4061</v>
      </c>
      <c r="E19" s="10">
        <f>B19/(B19+10)</f>
        <v/>
      </c>
      <c r="F19" s="11">
        <f>E19*D19+(1-E19)*$F$100</f>
        <v/>
      </c>
    </row>
    <row r="20">
      <c r="A20" s="7" t="inlineStr">
        <is>
          <t>Chemical (Specialty)</t>
        </is>
      </c>
      <c r="B20" s="7" t="n">
        <v>59</v>
      </c>
      <c r="C20" s="7" t="n">
        <v>0.9698</v>
      </c>
      <c r="D20" s="7" t="n">
        <v>0.8245</v>
      </c>
      <c r="E20" s="10">
        <f>B20/(B20+10)</f>
        <v/>
      </c>
      <c r="F20" s="11">
        <f>E20*D20+(1-E20)*$F$100</f>
        <v/>
      </c>
    </row>
    <row r="21">
      <c r="A21" s="7" t="inlineStr">
        <is>
          <t>Coal &amp; Related Energy</t>
        </is>
      </c>
      <c r="B21" s="7" t="n">
        <v>16</v>
      </c>
      <c r="C21" s="7" t="n">
        <v>1.071</v>
      </c>
      <c r="D21" s="7" t="n">
        <v>1.1824</v>
      </c>
      <c r="E21" s="10">
        <f>B21/(B21+10)</f>
        <v/>
      </c>
      <c r="F21" s="11">
        <f>E21*D21+(1-E21)*$F$100</f>
        <v/>
      </c>
    </row>
    <row r="22">
      <c r="A22" s="7" t="inlineStr">
        <is>
          <t>Computer Services</t>
        </is>
      </c>
      <c r="B22" s="7" t="n">
        <v>64</v>
      </c>
      <c r="C22" s="7" t="n">
        <v>1.0879</v>
      </c>
      <c r="D22" s="7" t="n">
        <v>0.9617</v>
      </c>
      <c r="E22" s="10">
        <f>B22/(B22+10)</f>
        <v/>
      </c>
      <c r="F22" s="11">
        <f>E22*D22+(1-E22)*$F$100</f>
        <v/>
      </c>
    </row>
    <row r="23">
      <c r="A23" s="7" t="inlineStr">
        <is>
          <t>Computers/Peripherals</t>
        </is>
      </c>
      <c r="B23" s="7" t="n">
        <v>36</v>
      </c>
      <c r="C23" s="7" t="n">
        <v>1.3503</v>
      </c>
      <c r="D23" s="7" t="n">
        <v>1.3246</v>
      </c>
      <c r="E23" s="10">
        <f>B23/(B23+10)</f>
        <v/>
      </c>
      <c r="F23" s="11">
        <f>E23*D23+(1-E23)*$F$100</f>
        <v/>
      </c>
    </row>
    <row r="24">
      <c r="A24" s="7" t="inlineStr">
        <is>
          <t>Construction Supplies</t>
        </is>
      </c>
      <c r="B24" s="7" t="n">
        <v>40</v>
      </c>
      <c r="C24" s="7" t="n">
        <v>1.1504</v>
      </c>
      <c r="D24" s="7" t="n">
        <v>1.0468</v>
      </c>
      <c r="E24" s="10">
        <f>B24/(B24+10)</f>
        <v/>
      </c>
      <c r="F24" s="11">
        <f>E24*D24+(1-E24)*$F$100</f>
        <v/>
      </c>
    </row>
    <row r="25">
      <c r="A25" s="7" t="inlineStr">
        <is>
          <t>Diversified</t>
        </is>
      </c>
      <c r="B25" s="7" t="n">
        <v>20</v>
      </c>
      <c r="C25" s="7" t="n">
        <v>0.881</v>
      </c>
      <c r="D25" s="7" t="n">
        <v>0.8431</v>
      </c>
      <c r="E25" s="10">
        <f>B25/(B25+10)</f>
        <v/>
      </c>
      <c r="F25" s="11">
        <f>E25*D25+(1-E25)*$F$100</f>
        <v/>
      </c>
    </row>
    <row r="26">
      <c r="A26" s="7" t="inlineStr">
        <is>
          <t>Drugs (Biotechnology)</t>
        </is>
      </c>
      <c r="B26" s="7" t="n">
        <v>496</v>
      </c>
      <c r="C26" s="7" t="n">
        <v>1.1353</v>
      </c>
      <c r="D26" s="7" t="n">
        <v>1.0795</v>
      </c>
      <c r="E26" s="10">
        <f>B26/(B26+10)</f>
        <v/>
      </c>
      <c r="F26" s="11">
        <f>E26*D26+(1-E26)*$F$100</f>
        <v/>
      </c>
    </row>
    <row r="27">
      <c r="A27" s="7" t="inlineStr">
        <is>
          <t>Drugs (Pharmaceutical)</t>
        </is>
      </c>
      <c r="B27" s="7" t="n">
        <v>228</v>
      </c>
      <c r="C27" s="7" t="n">
        <v>0.9828</v>
      </c>
      <c r="D27" s="7" t="n">
        <v>0.9151</v>
      </c>
      <c r="E27" s="10">
        <f>B27/(B27+10)</f>
        <v/>
      </c>
      <c r="F27" s="11">
        <f>E27*D27+(1-E27)*$F$100</f>
        <v/>
      </c>
    </row>
    <row r="28">
      <c r="A28" s="7" t="inlineStr">
        <is>
          <t>Education</t>
        </is>
      </c>
      <c r="B28" s="7" t="n">
        <v>32</v>
      </c>
      <c r="C28" s="7" t="n">
        <v>0.7809</v>
      </c>
      <c r="D28" s="7" t="n">
        <v>0.7196</v>
      </c>
      <c r="E28" s="10">
        <f>B28/(B28+10)</f>
        <v/>
      </c>
      <c r="F28" s="11">
        <f>E28*D28+(1-E28)*$F$100</f>
        <v/>
      </c>
    </row>
    <row r="29">
      <c r="A29" s="7" t="inlineStr">
        <is>
          <t>Electrical Equipment</t>
        </is>
      </c>
      <c r="B29" s="7" t="n">
        <v>112</v>
      </c>
      <c r="C29" s="7" t="n">
        <v>1.2511</v>
      </c>
      <c r="D29" s="7" t="n">
        <v>1.1898</v>
      </c>
      <c r="E29" s="10">
        <f>B29/(B29+10)</f>
        <v/>
      </c>
      <c r="F29" s="11">
        <f>E29*D29+(1-E29)*$F$100</f>
        <v/>
      </c>
    </row>
    <row r="30">
      <c r="A30" s="7" t="inlineStr">
        <is>
          <t>Electronics (Consumer &amp; Office)</t>
        </is>
      </c>
      <c r="B30" s="7" t="n">
        <v>8</v>
      </c>
      <c r="C30" s="7" t="n">
        <v>0.866</v>
      </c>
      <c r="D30" s="7" t="n">
        <v>0.9274</v>
      </c>
      <c r="E30" s="10">
        <f>B30/(B30+10)</f>
        <v/>
      </c>
      <c r="F30" s="11">
        <f>E30*D30+(1-E30)*$F$100</f>
        <v/>
      </c>
    </row>
    <row r="31">
      <c r="A31" s="7" t="inlineStr">
        <is>
          <t>Electronics (General)</t>
        </is>
      </c>
      <c r="B31" s="7" t="n">
        <v>114</v>
      </c>
      <c r="C31" s="7" t="n">
        <v>0.9715</v>
      </c>
      <c r="D31" s="7" t="n">
        <v>0.9375</v>
      </c>
      <c r="E31" s="10">
        <f>B31/(B31+10)</f>
        <v/>
      </c>
      <c r="F31" s="11">
        <f>E31*D31+(1-E31)*$F$100</f>
        <v/>
      </c>
    </row>
    <row r="32">
      <c r="A32" s="7" t="inlineStr">
        <is>
          <t>Engineering/Construction</t>
        </is>
      </c>
      <c r="B32" s="7" t="n">
        <v>48</v>
      </c>
      <c r="C32" s="7" t="n">
        <v>1.21</v>
      </c>
      <c r="D32" s="7" t="n">
        <v>1.1374</v>
      </c>
      <c r="E32" s="10">
        <f>B32/(B32+10)</f>
        <v/>
      </c>
      <c r="F32" s="11">
        <f>E32*D32+(1-E32)*$F$100</f>
        <v/>
      </c>
    </row>
    <row r="33">
      <c r="A33" s="7" t="inlineStr">
        <is>
          <t>Entertainment</t>
        </is>
      </c>
      <c r="B33" s="7" t="n">
        <v>92</v>
      </c>
      <c r="C33" s="7" t="n">
        <v>0.8252</v>
      </c>
      <c r="D33" s="7" t="n">
        <v>0.7628</v>
      </c>
      <c r="E33" s="10">
        <f>B33/(B33+10)</f>
        <v/>
      </c>
      <c r="F33" s="11">
        <f>E33*D33+(1-E33)*$F$100</f>
        <v/>
      </c>
    </row>
    <row r="34">
      <c r="A34" s="7" t="inlineStr">
        <is>
          <t>Environmental &amp; Waste Services</t>
        </is>
      </c>
      <c r="B34" s="7" t="n">
        <v>53</v>
      </c>
      <c r="C34" s="7" t="n">
        <v>0.9455</v>
      </c>
      <c r="D34" s="7" t="n">
        <v>0.8248</v>
      </c>
      <c r="E34" s="10">
        <f>B34/(B34+10)</f>
        <v/>
      </c>
      <c r="F34" s="11">
        <f>E34*D34+(1-E34)*$F$100</f>
        <v/>
      </c>
    </row>
    <row r="35">
      <c r="A35" s="7" t="inlineStr">
        <is>
          <t>Farming/Agriculture</t>
        </is>
      </c>
      <c r="B35" s="7" t="n">
        <v>35</v>
      </c>
      <c r="C35" s="7" t="n">
        <v>1.1292</v>
      </c>
      <c r="D35" s="7" t="n">
        <v>0.8458</v>
      </c>
      <c r="E35" s="10">
        <f>B35/(B35+10)</f>
        <v/>
      </c>
      <c r="F35" s="11">
        <f>E35*D35+(1-E35)*$F$100</f>
        <v/>
      </c>
    </row>
    <row r="36">
      <c r="A36" s="7" t="inlineStr">
        <is>
          <t>Financial Svcs. (Non-bank &amp; Insurance)</t>
        </is>
      </c>
      <c r="B36" s="7" t="n">
        <v>176</v>
      </c>
      <c r="C36" s="7" t="n">
        <v>0.9697</v>
      </c>
      <c r="D36" s="7" t="n">
        <v>0.3277</v>
      </c>
      <c r="E36" s="10">
        <f>B36/(B36+10)</f>
        <v/>
      </c>
      <c r="F36" s="11">
        <f>E36*D36+(1-E36)*$F$100</f>
        <v/>
      </c>
    </row>
    <row r="37">
      <c r="A37" s="7" t="inlineStr">
        <is>
          <t>Food Processing</t>
        </is>
      </c>
      <c r="B37" s="7" t="n">
        <v>78</v>
      </c>
      <c r="C37" s="7" t="n">
        <v>0.6075</v>
      </c>
      <c r="D37" s="7" t="n">
        <v>0.4694</v>
      </c>
      <c r="E37" s="10">
        <f>B37/(B37+10)</f>
        <v/>
      </c>
      <c r="F37" s="11">
        <f>E37*D37+(1-E37)*$F$100</f>
        <v/>
      </c>
    </row>
    <row r="38">
      <c r="A38" s="7" t="inlineStr">
        <is>
          <t>Food Wholesalers</t>
        </is>
      </c>
      <c r="B38" s="7" t="n">
        <v>13</v>
      </c>
      <c r="C38" s="7" t="n">
        <v>0.8666</v>
      </c>
      <c r="D38" s="7" t="n">
        <v>0.6478</v>
      </c>
      <c r="E38" s="10">
        <f>B38/(B38+10)</f>
        <v/>
      </c>
      <c r="F38" s="11">
        <f>E38*D38+(1-E38)*$F$100</f>
        <v/>
      </c>
    </row>
    <row r="39">
      <c r="A39" s="7" t="inlineStr">
        <is>
          <t>Furn/Home Furnishings</t>
        </is>
      </c>
      <c r="B39" s="7" t="n">
        <v>27</v>
      </c>
      <c r="C39" s="7" t="n">
        <v>0.8232</v>
      </c>
      <c r="D39" s="7" t="n">
        <v>0.6521</v>
      </c>
      <c r="E39" s="10">
        <f>B39/(B39+10)</f>
        <v/>
      </c>
      <c r="F39" s="11">
        <f>E39*D39+(1-E39)*$F$100</f>
        <v/>
      </c>
    </row>
    <row r="40">
      <c r="A40" s="7" t="inlineStr">
        <is>
          <t>Green &amp; Renewable Energy</t>
        </is>
      </c>
      <c r="B40" s="7" t="n">
        <v>15</v>
      </c>
      <c r="C40" s="7" t="n">
        <v>0.8563</v>
      </c>
      <c r="D40" s="7" t="n">
        <v>0.4723</v>
      </c>
      <c r="E40" s="10">
        <f>B40/(B40+10)</f>
        <v/>
      </c>
      <c r="F40" s="11">
        <f>E40*D40+(1-E40)*$F$100</f>
        <v/>
      </c>
    </row>
    <row r="41">
      <c r="A41" s="7" t="inlineStr">
        <is>
          <t>Healthcare Products</t>
        </is>
      </c>
      <c r="B41" s="7" t="n">
        <v>204</v>
      </c>
      <c r="C41" s="7" t="n">
        <v>0.9086</v>
      </c>
      <c r="D41" s="7" t="n">
        <v>0.8569</v>
      </c>
      <c r="E41" s="10">
        <f>B41/(B41+10)</f>
        <v/>
      </c>
      <c r="F41" s="11">
        <f>E41*D41+(1-E41)*$F$100</f>
        <v/>
      </c>
    </row>
    <row r="42">
      <c r="A42" s="7" t="inlineStr">
        <is>
          <t>Healthcare Support Services</t>
        </is>
      </c>
      <c r="B42" s="7" t="n">
        <v>104</v>
      </c>
      <c r="C42" s="7" t="n">
        <v>0.872</v>
      </c>
      <c r="D42" s="7" t="n">
        <v>0.7449</v>
      </c>
      <c r="E42" s="10">
        <f>B42/(B42+10)</f>
        <v/>
      </c>
      <c r="F42" s="11">
        <f>E42*D42+(1-E42)*$F$100</f>
        <v/>
      </c>
    </row>
    <row r="43">
      <c r="A43" s="7" t="inlineStr">
        <is>
          <t>Heathcare Information and Technology</t>
        </is>
      </c>
      <c r="B43" s="7" t="n">
        <v>115</v>
      </c>
      <c r="C43" s="7" t="n">
        <v>1.1083</v>
      </c>
      <c r="D43" s="7" t="n">
        <v>1.0163</v>
      </c>
      <c r="E43" s="10">
        <f>B43/(B43+10)</f>
        <v/>
      </c>
      <c r="F43" s="11">
        <f>E43*D43+(1-E43)*$F$100</f>
        <v/>
      </c>
    </row>
    <row r="44">
      <c r="A44" s="7" t="inlineStr">
        <is>
          <t>Homebuilding</t>
        </is>
      </c>
      <c r="B44" s="7" t="n">
        <v>30</v>
      </c>
      <c r="C44" s="7" t="n">
        <v>0.9106</v>
      </c>
      <c r="D44" s="7" t="n">
        <v>0.8532</v>
      </c>
      <c r="E44" s="10">
        <f>B44/(B44+10)</f>
        <v/>
      </c>
      <c r="F44" s="11">
        <f>E44*D44+(1-E44)*$F$100</f>
        <v/>
      </c>
    </row>
    <row r="45">
      <c r="A45" s="7" t="inlineStr">
        <is>
          <t>Hospitals/Healthcare Facilities</t>
        </is>
      </c>
      <c r="B45" s="7" t="n">
        <v>31</v>
      </c>
      <c r="C45" s="7" t="n">
        <v>0.7997</v>
      </c>
      <c r="D45" s="7" t="n">
        <v>0.5649</v>
      </c>
      <c r="E45" s="10">
        <f>B45/(B45+10)</f>
        <v/>
      </c>
      <c r="F45" s="11">
        <f>E45*D45+(1-E45)*$F$100</f>
        <v/>
      </c>
    </row>
    <row r="46">
      <c r="A46" s="7" t="inlineStr">
        <is>
          <t>Hotel/Gaming</t>
        </is>
      </c>
      <c r="B46" s="7" t="n">
        <v>63</v>
      </c>
      <c r="C46" s="7" t="n">
        <v>1.0804</v>
      </c>
      <c r="D46" s="7" t="n">
        <v>0.8757</v>
      </c>
      <c r="E46" s="10">
        <f>B46/(B46+10)</f>
        <v/>
      </c>
      <c r="F46" s="11">
        <f>E46*D46+(1-E46)*$F$100</f>
        <v/>
      </c>
    </row>
    <row r="47">
      <c r="A47" s="7" t="inlineStr">
        <is>
          <t>Household Products</t>
        </is>
      </c>
      <c r="B47" s="7" t="n">
        <v>110</v>
      </c>
      <c r="C47" s="7" t="n">
        <v>0.8155</v>
      </c>
      <c r="D47" s="7" t="n">
        <v>0.7411</v>
      </c>
      <c r="E47" s="10">
        <f>B47/(B47+10)</f>
        <v/>
      </c>
      <c r="F47" s="11">
        <f>E47*D47+(1-E47)*$F$100</f>
        <v/>
      </c>
    </row>
    <row r="48">
      <c r="A48" s="7" t="inlineStr">
        <is>
          <t>Information Services</t>
        </is>
      </c>
      <c r="B48" s="7" t="n">
        <v>15</v>
      </c>
      <c r="C48" s="7" t="n">
        <v>0.9206</v>
      </c>
      <c r="D48" s="7" t="n">
        <v>0.7564</v>
      </c>
      <c r="E48" s="10">
        <f>B48/(B48+10)</f>
        <v/>
      </c>
      <c r="F48" s="11">
        <f>E48*D48+(1-E48)*$F$100</f>
        <v/>
      </c>
    </row>
    <row r="49">
      <c r="A49" s="7" t="inlineStr">
        <is>
          <t>Insurance (General)</t>
        </is>
      </c>
      <c r="B49" s="7" t="n">
        <v>21</v>
      </c>
      <c r="C49" s="7" t="n">
        <v>0.672</v>
      </c>
      <c r="D49" s="7" t="n">
        <v>0.5780999999999999</v>
      </c>
      <c r="E49" s="10">
        <f>B49/(B49+10)</f>
        <v/>
      </c>
      <c r="F49" s="11">
        <f>E49*D49+(1-E49)*$F$100</f>
        <v/>
      </c>
    </row>
    <row r="50">
      <c r="A50" s="7" t="inlineStr">
        <is>
          <t>Insurance (Life)</t>
        </is>
      </c>
      <c r="B50" s="7" t="n">
        <v>20</v>
      </c>
      <c r="C50" s="7" t="n">
        <v>0.6445</v>
      </c>
      <c r="D50" s="7" t="n">
        <v>0.5317</v>
      </c>
      <c r="E50" s="10">
        <f>B50/(B50+10)</f>
        <v/>
      </c>
      <c r="F50" s="11">
        <f>E50*D50+(1-E50)*$F$100</f>
        <v/>
      </c>
    </row>
    <row r="51">
      <c r="A51" s="7" t="inlineStr">
        <is>
          <t>Insurance (Prop/Cas.)</t>
        </is>
      </c>
      <c r="B51" s="7" t="n">
        <v>57</v>
      </c>
      <c r="C51" s="7" t="n">
        <v>0.4841</v>
      </c>
      <c r="D51" s="7" t="n">
        <v>0.457</v>
      </c>
      <c r="E51" s="10">
        <f>B51/(B51+10)</f>
        <v/>
      </c>
      <c r="F51" s="11">
        <f>E51*D51+(1-E51)*$F$100</f>
        <v/>
      </c>
    </row>
    <row r="52">
      <c r="A52" s="7" t="inlineStr">
        <is>
          <t>Investments &amp; Asset Management</t>
        </is>
      </c>
      <c r="B52" s="7" t="n">
        <v>283</v>
      </c>
      <c r="C52" s="7" t="n">
        <v>0.6596</v>
      </c>
      <c r="D52" s="7" t="n">
        <v>0.5881</v>
      </c>
      <c r="E52" s="10">
        <f>B52/(B52+10)</f>
        <v/>
      </c>
      <c r="F52" s="11">
        <f>E52*D52+(1-E52)*$F$100</f>
        <v/>
      </c>
    </row>
    <row r="53">
      <c r="A53" s="7" t="inlineStr">
        <is>
          <t>Machinery</t>
        </is>
      </c>
      <c r="B53" s="7" t="n">
        <v>105</v>
      </c>
      <c r="C53" s="7" t="n">
        <v>0.9636</v>
      </c>
      <c r="D53" s="7" t="n">
        <v>0.894</v>
      </c>
      <c r="E53" s="10">
        <f>B53/(B53+10)</f>
        <v/>
      </c>
      <c r="F53" s="11">
        <f>E53*D53+(1-E53)*$F$100</f>
        <v/>
      </c>
    </row>
    <row r="54">
      <c r="A54" s="7" t="inlineStr">
        <is>
          <t>Metals &amp; Mining</t>
        </is>
      </c>
      <c r="B54" s="7" t="n">
        <v>73</v>
      </c>
      <c r="C54" s="7" t="n">
        <v>1.043</v>
      </c>
      <c r="D54" s="7" t="n">
        <v>1.0104</v>
      </c>
      <c r="E54" s="10">
        <f>B54/(B54+10)</f>
        <v/>
      </c>
      <c r="F54" s="11">
        <f>E54*D54+(1-E54)*$F$100</f>
        <v/>
      </c>
    </row>
    <row r="55">
      <c r="A55" s="7" t="inlineStr">
        <is>
          <t>Office Equipment &amp; Services</t>
        </is>
      </c>
      <c r="B55" s="7" t="n">
        <v>14</v>
      </c>
      <c r="C55" s="7" t="n">
        <v>1.3344</v>
      </c>
      <c r="D55" s="7" t="n">
        <v>1.0382</v>
      </c>
      <c r="E55" s="10">
        <f>B55/(B55+10)</f>
        <v/>
      </c>
      <c r="F55" s="11">
        <f>E55*D55+(1-E55)*$F$100</f>
        <v/>
      </c>
    </row>
    <row r="56">
      <c r="A56" s="7" t="inlineStr">
        <is>
          <t>Oil/Gas (Integrated)</t>
        </is>
      </c>
      <c r="B56" s="7" t="n">
        <v>4</v>
      </c>
      <c r="C56" s="7" t="n">
        <v>0.2994</v>
      </c>
      <c r="D56" s="7" t="n">
        <v>0.278</v>
      </c>
      <c r="E56" s="10">
        <f>B56/(B56+10)</f>
        <v/>
      </c>
      <c r="F56" s="11">
        <f>E56*D56+(1-E56)*$F$100</f>
        <v/>
      </c>
    </row>
    <row r="57">
      <c r="A57" s="7" t="inlineStr">
        <is>
          <t>Oil/Gas (Production and Exploration)</t>
        </is>
      </c>
      <c r="B57" s="7" t="n">
        <v>142</v>
      </c>
      <c r="C57" s="7" t="n">
        <v>0.7214</v>
      </c>
      <c r="D57" s="7" t="n">
        <v>0.5785</v>
      </c>
      <c r="E57" s="10">
        <f>B57/(B57+10)</f>
        <v/>
      </c>
      <c r="F57" s="11">
        <f>E57*D57+(1-E57)*$F$100</f>
        <v/>
      </c>
    </row>
    <row r="58">
      <c r="A58" s="7" t="inlineStr">
        <is>
          <t>Oil/Gas Distribution</t>
        </is>
      </c>
      <c r="B58" s="7" t="n">
        <v>23</v>
      </c>
      <c r="C58" s="7" t="n">
        <v>0.6692</v>
      </c>
      <c r="D58" s="7" t="n">
        <v>0.4693</v>
      </c>
      <c r="E58" s="10">
        <f>B58/(B58+10)</f>
        <v/>
      </c>
      <c r="F58" s="11">
        <f>E58*D58+(1-E58)*$F$100</f>
        <v/>
      </c>
    </row>
    <row r="59">
      <c r="A59" s="7" t="inlineStr">
        <is>
          <t>Oilfield Svcs/Equip.</t>
        </is>
      </c>
      <c r="B59" s="7" t="n">
        <v>97</v>
      </c>
      <c r="C59" s="7" t="n">
        <v>0.9512</v>
      </c>
      <c r="D59" s="7" t="n">
        <v>0.7871</v>
      </c>
      <c r="E59" s="10">
        <f>B59/(B59+10)</f>
        <v/>
      </c>
      <c r="F59" s="11">
        <f>E59*D59+(1-E59)*$F$100</f>
        <v/>
      </c>
    </row>
    <row r="60">
      <c r="A60" s="7" t="inlineStr">
        <is>
          <t>Packaging &amp; Container</t>
        </is>
      </c>
      <c r="B60" s="7" t="n">
        <v>19</v>
      </c>
      <c r="C60" s="7" t="n">
        <v>1.0219</v>
      </c>
      <c r="D60" s="7" t="n">
        <v>0.749</v>
      </c>
      <c r="E60" s="10">
        <f>B60/(B60+10)</f>
        <v/>
      </c>
      <c r="F60" s="11">
        <f>E60*D60+(1-E60)*$F$100</f>
        <v/>
      </c>
    </row>
    <row r="61">
      <c r="A61" s="7" t="inlineStr">
        <is>
          <t>Paper/Forest Products</t>
        </is>
      </c>
      <c r="B61" s="7" t="n">
        <v>6</v>
      </c>
      <c r="C61" s="7" t="n">
        <v>0.958</v>
      </c>
      <c r="D61" s="7" t="n">
        <v>0.7697000000000001</v>
      </c>
      <c r="E61" s="10">
        <f>B61/(B61+10)</f>
        <v/>
      </c>
      <c r="F61" s="11">
        <f>E61*D61+(1-E61)*$F$100</f>
        <v/>
      </c>
    </row>
    <row r="62">
      <c r="A62" s="7" t="inlineStr">
        <is>
          <t>Power</t>
        </is>
      </c>
      <c r="B62" s="7" t="n">
        <v>46</v>
      </c>
      <c r="C62" s="7" t="n">
        <v>0.4824</v>
      </c>
      <c r="D62" s="7" t="n">
        <v>0.3146</v>
      </c>
      <c r="E62" s="10">
        <f>B62/(B62+10)</f>
        <v/>
      </c>
      <c r="F62" s="11">
        <f>E62*D62+(1-E62)*$F$100</f>
        <v/>
      </c>
    </row>
    <row r="63">
      <c r="A63" s="7" t="inlineStr">
        <is>
          <t>Precious Metals</t>
        </is>
      </c>
      <c r="B63" s="7" t="n">
        <v>56</v>
      </c>
      <c r="C63" s="7" t="n">
        <v>0.8366</v>
      </c>
      <c r="D63" s="7" t="n">
        <v>0.8309</v>
      </c>
      <c r="E63" s="10">
        <f>B63/(B63+10)</f>
        <v/>
      </c>
      <c r="F63" s="11">
        <f>E63*D63+(1-E63)*$F$100</f>
        <v/>
      </c>
    </row>
    <row r="64">
      <c r="A64" s="7" t="inlineStr">
        <is>
          <t>Publishing &amp; Newspapers</t>
        </is>
      </c>
      <c r="B64" s="7" t="n">
        <v>19</v>
      </c>
      <c r="C64" s="7" t="n">
        <v>0.5629999999999999</v>
      </c>
      <c r="D64" s="7" t="n">
        <v>0.5119</v>
      </c>
      <c r="E64" s="10">
        <f>B64/(B64+10)</f>
        <v/>
      </c>
      <c r="F64" s="11">
        <f>E64*D64+(1-E64)*$F$100</f>
        <v/>
      </c>
    </row>
    <row r="65">
      <c r="A65" s="7" t="inlineStr">
        <is>
          <t>R.E.I.T.</t>
        </is>
      </c>
      <c r="B65" s="7" t="n">
        <v>190</v>
      </c>
      <c r="C65" s="7" t="n">
        <v>0.6418</v>
      </c>
      <c r="D65" s="7" t="n">
        <v>0.4005</v>
      </c>
      <c r="E65" s="10">
        <f>B65/(B65+10)</f>
        <v/>
      </c>
      <c r="F65" s="11">
        <f>E65*D65+(1-E65)*$F$100</f>
        <v/>
      </c>
    </row>
    <row r="66">
      <c r="A66" s="7" t="inlineStr">
        <is>
          <t>Real Estate (Development)</t>
        </is>
      </c>
      <c r="B66" s="7" t="n">
        <v>14</v>
      </c>
      <c r="C66" s="7" t="n">
        <v>0.8436</v>
      </c>
      <c r="D66" s="7" t="n">
        <v>0.5641</v>
      </c>
      <c r="E66" s="10">
        <f>B66/(B66+10)</f>
        <v/>
      </c>
      <c r="F66" s="11">
        <f>E66*D66+(1-E66)*$F$100</f>
        <v/>
      </c>
    </row>
    <row r="67">
      <c r="A67" s="7" t="inlineStr">
        <is>
          <t>Real Estate (General/Diversified)</t>
        </is>
      </c>
      <c r="B67" s="7" t="n">
        <v>12</v>
      </c>
      <c r="C67" s="7" t="n">
        <v>0.8100000000000001</v>
      </c>
      <c r="D67" s="7" t="n">
        <v>0.627</v>
      </c>
      <c r="E67" s="10">
        <f>B67/(B67+10)</f>
        <v/>
      </c>
      <c r="F67" s="11">
        <f>E67*D67+(1-E67)*$F$100</f>
        <v/>
      </c>
    </row>
    <row r="68">
      <c r="A68" s="7" t="inlineStr">
        <is>
          <t>Real Estate (Operations &amp; Services)</t>
        </is>
      </c>
      <c r="B68" s="7" t="n">
        <v>54</v>
      </c>
      <c r="C68" s="7" t="n">
        <v>0.9655</v>
      </c>
      <c r="D68" s="7" t="n">
        <v>0.8576</v>
      </c>
      <c r="E68" s="10">
        <f>B68/(B68+10)</f>
        <v/>
      </c>
      <c r="F68" s="11">
        <f>E68*D68+(1-E68)*$F$100</f>
        <v/>
      </c>
    </row>
    <row r="69">
      <c r="A69" s="7" t="inlineStr">
        <is>
          <t>Recreation</t>
        </is>
      </c>
      <c r="B69" s="7" t="n">
        <v>49</v>
      </c>
      <c r="C69" s="7" t="n">
        <v>1.0235</v>
      </c>
      <c r="D69" s="7" t="n">
        <v>0.7365</v>
      </c>
      <c r="E69" s="10">
        <f>B69/(B69+10)</f>
        <v/>
      </c>
      <c r="F69" s="11">
        <f>E69*D69+(1-E69)*$F$100</f>
        <v/>
      </c>
    </row>
    <row r="70">
      <c r="A70" s="7" t="inlineStr">
        <is>
          <t>Reinsurance</t>
        </is>
      </c>
      <c r="B70" s="7" t="n">
        <v>1</v>
      </c>
      <c r="C70" s="7" t="n">
        <v>0.5813</v>
      </c>
      <c r="D70" s="7" t="n">
        <v>0.5777</v>
      </c>
      <c r="E70" s="10">
        <f>B70/(B70+10)</f>
        <v/>
      </c>
      <c r="F70" s="11">
        <f>E70*D70+(1-E70)*$F$100</f>
        <v/>
      </c>
    </row>
    <row r="71">
      <c r="A71" s="7" t="inlineStr">
        <is>
          <t>Restaurant/Dining</t>
        </is>
      </c>
      <c r="B71" s="7" t="n">
        <v>64</v>
      </c>
      <c r="C71" s="7" t="n">
        <v>0.9241</v>
      </c>
      <c r="D71" s="7" t="n">
        <v>0.783</v>
      </c>
      <c r="E71" s="10">
        <f>B71/(B71+10)</f>
        <v/>
      </c>
      <c r="F71" s="11">
        <f>E71*D71+(1-E71)*$F$100</f>
        <v/>
      </c>
    </row>
    <row r="72">
      <c r="A72" s="7" t="inlineStr">
        <is>
          <t>Retail (Automotive)</t>
        </is>
      </c>
      <c r="B72" s="7" t="n">
        <v>34</v>
      </c>
      <c r="C72" s="7" t="n">
        <v>0.9360000000000001</v>
      </c>
      <c r="D72" s="7" t="n">
        <v>0.7131999999999999</v>
      </c>
      <c r="E72" s="10">
        <f>B72/(B72+10)</f>
        <v/>
      </c>
      <c r="F72" s="11">
        <f>E72*D72+(1-E72)*$F$100</f>
        <v/>
      </c>
    </row>
    <row r="73">
      <c r="A73" s="7" t="inlineStr">
        <is>
          <t>Retail (Building Supply)</t>
        </is>
      </c>
      <c r="B73" s="7" t="n">
        <v>14</v>
      </c>
      <c r="C73" s="7" t="n">
        <v>1.5353</v>
      </c>
      <c r="D73" s="7" t="n">
        <v>1.3177</v>
      </c>
      <c r="E73" s="10">
        <f>B73/(B73+10)</f>
        <v/>
      </c>
      <c r="F73" s="11">
        <f>E73*D73+(1-E73)*$F$100</f>
        <v/>
      </c>
    </row>
    <row r="74">
      <c r="A74" s="7" t="inlineStr">
        <is>
          <t>Retail (Distributors)</t>
        </is>
      </c>
      <c r="B74" s="7" t="n">
        <v>62</v>
      </c>
      <c r="C74" s="7" t="n">
        <v>0.9484</v>
      </c>
      <c r="D74" s="7" t="n">
        <v>0.8016</v>
      </c>
      <c r="E74" s="10">
        <f>B74/(B74+10)</f>
        <v/>
      </c>
      <c r="F74" s="11">
        <f>E74*D74+(1-E74)*$F$100</f>
        <v/>
      </c>
    </row>
    <row r="75">
      <c r="A75" s="7" t="inlineStr">
        <is>
          <t>Retail (General)</t>
        </is>
      </c>
      <c r="B75" s="7" t="n">
        <v>23</v>
      </c>
      <c r="C75" s="7" t="n">
        <v>0.8052</v>
      </c>
      <c r="D75" s="7" t="n">
        <v>0.7809</v>
      </c>
      <c r="E75" s="10">
        <f>B75/(B75+10)</f>
        <v/>
      </c>
      <c r="F75" s="11">
        <f>E75*D75+(1-E75)*$F$100</f>
        <v/>
      </c>
    </row>
    <row r="76">
      <c r="A76" s="7" t="inlineStr">
        <is>
          <t>Retail (Grocery and Food)</t>
        </is>
      </c>
      <c r="B76" s="7" t="n">
        <v>15</v>
      </c>
      <c r="C76" s="7" t="n">
        <v>1.1183</v>
      </c>
      <c r="D76" s="7" t="n">
        <v>0.8484</v>
      </c>
      <c r="E76" s="10">
        <f>B76/(B76+10)</f>
        <v/>
      </c>
      <c r="F76" s="11">
        <f>E76*D76+(1-E76)*$F$100</f>
        <v/>
      </c>
    </row>
    <row r="77">
      <c r="A77" s="7" t="inlineStr">
        <is>
          <t>Retail (REITs)</t>
        </is>
      </c>
      <c r="B77" s="7" t="n">
        <v>26</v>
      </c>
      <c r="C77" s="7" t="n">
        <v>0.6207</v>
      </c>
      <c r="D77" s="7" t="n">
        <v>0.4427</v>
      </c>
      <c r="E77" s="10">
        <f>B77/(B77+10)</f>
        <v/>
      </c>
      <c r="F77" s="11">
        <f>E77*D77+(1-E77)*$F$100</f>
        <v/>
      </c>
    </row>
    <row r="78">
      <c r="A78" s="7" t="inlineStr">
        <is>
          <t>Retail (Special Lines)</t>
        </is>
      </c>
      <c r="B78" s="7" t="n">
        <v>94</v>
      </c>
      <c r="C78" s="7" t="n">
        <v>1.0894</v>
      </c>
      <c r="D78" s="7" t="n">
        <v>1.0019</v>
      </c>
      <c r="E78" s="10">
        <f>B78/(B78+10)</f>
        <v/>
      </c>
      <c r="F78" s="11">
        <f>E78*D78+(1-E78)*$F$100</f>
        <v/>
      </c>
    </row>
    <row r="79">
      <c r="A79" s="7" t="inlineStr">
        <is>
          <t>Rubber&amp; Tires</t>
        </is>
      </c>
      <c r="B79" s="7" t="n">
        <v>3</v>
      </c>
      <c r="C79" s="7" t="n">
        <v>0.5294</v>
      </c>
      <c r="D79" s="7" t="n">
        <v>0.1544</v>
      </c>
      <c r="E79" s="10">
        <f>B79/(B79+10)</f>
        <v/>
      </c>
      <c r="F79" s="11">
        <f>E79*D79+(1-E79)*$F$100</f>
        <v/>
      </c>
    </row>
    <row r="80">
      <c r="A80" s="7" t="inlineStr">
        <is>
          <t>Semiconductor</t>
        </is>
      </c>
      <c r="B80" s="7" t="n">
        <v>66</v>
      </c>
      <c r="C80" s="7" t="n">
        <v>1.5182</v>
      </c>
      <c r="D80" s="7" t="n">
        <v>1.5046</v>
      </c>
      <c r="E80" s="10">
        <f>B80/(B80+10)</f>
        <v/>
      </c>
      <c r="F80" s="11">
        <f>E80*D80+(1-E80)*$F$100</f>
        <v/>
      </c>
    </row>
    <row r="81">
      <c r="A81" s="7" t="inlineStr">
        <is>
          <t>Semiconductor Equip</t>
        </is>
      </c>
      <c r="B81" s="7" t="n">
        <v>31</v>
      </c>
      <c r="C81" s="7" t="n">
        <v>1.3972</v>
      </c>
      <c r="D81" s="7" t="n">
        <v>1.3917</v>
      </c>
      <c r="E81" s="10">
        <f>B81/(B81+10)</f>
        <v/>
      </c>
      <c r="F81" s="11">
        <f>E81*D81+(1-E81)*$F$100</f>
        <v/>
      </c>
    </row>
    <row r="82">
      <c r="A82" s="7" t="inlineStr">
        <is>
          <t>Shipbuilding &amp; Marine</t>
        </is>
      </c>
      <c r="B82" s="7" t="n">
        <v>8</v>
      </c>
      <c r="C82" s="7" t="n">
        <v>0.7529</v>
      </c>
      <c r="D82" s="7" t="n">
        <v>0.6608000000000001</v>
      </c>
      <c r="E82" s="10">
        <f>B82/(B82+10)</f>
        <v/>
      </c>
      <c r="F82" s="11">
        <f>E82*D82+(1-E82)*$F$100</f>
        <v/>
      </c>
    </row>
    <row r="83">
      <c r="A83" s="7" t="inlineStr">
        <is>
          <t>Shoe</t>
        </is>
      </c>
      <c r="B83" s="7" t="n">
        <v>11</v>
      </c>
      <c r="C83" s="7" t="n">
        <v>1.0173</v>
      </c>
      <c r="D83" s="7" t="n">
        <v>1.0002</v>
      </c>
      <c r="E83" s="10">
        <f>B83/(B83+10)</f>
        <v/>
      </c>
      <c r="F83" s="11">
        <f>E83*D83+(1-E83)*$F$100</f>
        <v/>
      </c>
    </row>
    <row r="84">
      <c r="A84" s="7" t="inlineStr">
        <is>
          <t>Software (Entertainment)</t>
        </is>
      </c>
      <c r="B84" s="7" t="n">
        <v>77</v>
      </c>
      <c r="C84" s="7" t="n">
        <v>1.0283</v>
      </c>
      <c r="D84" s="7" t="n">
        <v>1.0207</v>
      </c>
      <c r="E84" s="10">
        <f>B84/(B84+10)</f>
        <v/>
      </c>
      <c r="F84" s="11">
        <f>E84*D84+(1-E84)*$F$100</f>
        <v/>
      </c>
    </row>
    <row r="85">
      <c r="A85" s="7" t="inlineStr">
        <is>
          <t>Software (Internet)</t>
        </is>
      </c>
      <c r="B85" s="7" t="n">
        <v>29</v>
      </c>
      <c r="C85" s="7" t="n">
        <v>1.6887</v>
      </c>
      <c r="D85" s="7" t="n">
        <v>1.5905</v>
      </c>
      <c r="E85" s="10">
        <f>B85/(B85+10)</f>
        <v/>
      </c>
      <c r="F85" s="11">
        <f>E85*D85+(1-E85)*$F$100</f>
        <v/>
      </c>
    </row>
    <row r="86">
      <c r="A86" s="7" t="inlineStr">
        <is>
          <t>Software (System &amp; Application)</t>
        </is>
      </c>
      <c r="B86" s="7" t="n">
        <v>309</v>
      </c>
      <c r="C86" s="7" t="n">
        <v>1.2766</v>
      </c>
      <c r="D86" s="7" t="n">
        <v>1.2482</v>
      </c>
      <c r="E86" s="10">
        <f>B86/(B86+10)</f>
        <v/>
      </c>
      <c r="F86" s="11">
        <f>E86*D86+(1-E86)*$F$100</f>
        <v/>
      </c>
    </row>
    <row r="87">
      <c r="A87" s="7" t="inlineStr">
        <is>
          <t>Steel</t>
        </is>
      </c>
      <c r="B87" s="7" t="n">
        <v>19</v>
      </c>
      <c r="C87" s="7" t="n">
        <v>1.0628</v>
      </c>
      <c r="D87" s="7" t="n">
        <v>0.9449</v>
      </c>
      <c r="E87" s="10">
        <f>B87/(B87+10)</f>
        <v/>
      </c>
      <c r="F87" s="11">
        <f>E87*D87+(1-E87)*$F$100</f>
        <v/>
      </c>
    </row>
    <row r="88">
      <c r="A88" s="7" t="inlineStr">
        <is>
          <t>Telecom (Wireless)</t>
        </is>
      </c>
      <c r="B88" s="7" t="n">
        <v>12</v>
      </c>
      <c r="C88" s="7" t="n">
        <v>0.5381</v>
      </c>
      <c r="D88" s="7" t="n">
        <v>0.3924</v>
      </c>
      <c r="E88" s="10">
        <f>B88/(B88+10)</f>
        <v/>
      </c>
      <c r="F88" s="11">
        <f>E88*D88+(1-E88)*$F$100</f>
        <v/>
      </c>
    </row>
    <row r="89">
      <c r="A89" s="7" t="inlineStr">
        <is>
          <t>Telecom. Equipment</t>
        </is>
      </c>
      <c r="B89" s="7" t="n">
        <v>57</v>
      </c>
      <c r="C89" s="7" t="n">
        <v>0.9232</v>
      </c>
      <c r="D89" s="7" t="n">
        <v>0.8873</v>
      </c>
      <c r="E89" s="10">
        <f>B89/(B89+10)</f>
        <v/>
      </c>
      <c r="F89" s="11">
        <f>E89*D89+(1-E89)*$F$100</f>
        <v/>
      </c>
    </row>
    <row r="90">
      <c r="A90" s="7" t="inlineStr">
        <is>
          <t>Telecom. Services</t>
        </is>
      </c>
      <c r="B90" s="7" t="n">
        <v>39</v>
      </c>
      <c r="C90" s="7" t="n">
        <v>0.6287</v>
      </c>
      <c r="D90" s="7" t="n">
        <v>0.3815</v>
      </c>
      <c r="E90" s="10">
        <f>B90/(B90+10)</f>
        <v/>
      </c>
      <c r="F90" s="11">
        <f>E90*D90+(1-E90)*$F$100</f>
        <v/>
      </c>
    </row>
    <row r="91">
      <c r="A91" s="7" t="inlineStr">
        <is>
          <t>Tobacco</t>
        </is>
      </c>
      <c r="B91" s="7" t="n">
        <v>10</v>
      </c>
      <c r="C91" s="7" t="n">
        <v>0.7943</v>
      </c>
      <c r="D91" s="7" t="n">
        <v>0.6903</v>
      </c>
      <c r="E91" s="10">
        <f>B91/(B91+10)</f>
        <v/>
      </c>
      <c r="F91" s="11">
        <f>E91*D91+(1-E91)*$F$100</f>
        <v/>
      </c>
    </row>
    <row r="92">
      <c r="A92" s="7" t="inlineStr">
        <is>
          <t>Transportation</t>
        </is>
      </c>
      <c r="B92" s="7" t="n">
        <v>19</v>
      </c>
      <c r="C92" s="7" t="n">
        <v>0.8599</v>
      </c>
      <c r="D92" s="7" t="n">
        <v>0.7115</v>
      </c>
      <c r="E92" s="10">
        <f>B92/(B92+10)</f>
        <v/>
      </c>
      <c r="F92" s="11">
        <f>E92*D92+(1-E92)*$F$100</f>
        <v/>
      </c>
    </row>
    <row r="93">
      <c r="A93" s="7" t="inlineStr">
        <is>
          <t>Transportation (Railroads)</t>
        </is>
      </c>
      <c r="B93" s="7" t="n">
        <v>4</v>
      </c>
      <c r="C93" s="7" t="n">
        <v>0.9751</v>
      </c>
      <c r="D93" s="7" t="n">
        <v>0.8137</v>
      </c>
      <c r="E93" s="10">
        <f>B93/(B93+10)</f>
        <v/>
      </c>
      <c r="F93" s="11">
        <f>E93*D93+(1-E93)*$F$100</f>
        <v/>
      </c>
    </row>
    <row r="94">
      <c r="A94" s="7" t="inlineStr">
        <is>
          <t>Trucking</t>
        </is>
      </c>
      <c r="B94" s="7" t="n">
        <v>26</v>
      </c>
      <c r="C94" s="7" t="n">
        <v>1.0113</v>
      </c>
      <c r="D94" s="7" t="n">
        <v>0.8689</v>
      </c>
      <c r="E94" s="10">
        <f>B94/(B94+10)</f>
        <v/>
      </c>
      <c r="F94" s="11">
        <f>E94*D94+(1-E94)*$F$100</f>
        <v/>
      </c>
    </row>
    <row r="95">
      <c r="A95" s="7" t="inlineStr">
        <is>
          <t>Utility (General)</t>
        </is>
      </c>
      <c r="B95" s="7" t="n">
        <v>14</v>
      </c>
      <c r="C95" s="7" t="n">
        <v>0.2394</v>
      </c>
      <c r="D95" s="7" t="n">
        <v>0.1491</v>
      </c>
      <c r="E95" s="10">
        <f>B95/(B95+10)</f>
        <v/>
      </c>
      <c r="F95" s="11">
        <f>E95*D95+(1-E95)*$F$100</f>
        <v/>
      </c>
    </row>
    <row r="96">
      <c r="A96" s="7" t="inlineStr">
        <is>
          <t>Utility (Water)</t>
        </is>
      </c>
      <c r="B96" s="7" t="n">
        <v>14</v>
      </c>
      <c r="C96" s="7" t="n">
        <v>0.4127</v>
      </c>
      <c r="D96" s="7" t="n">
        <v>0.2825</v>
      </c>
      <c r="E96" s="10">
        <f>B96/(B96+10)</f>
        <v/>
      </c>
      <c r="F96" s="11">
        <f>E96*D96+(1-E96)*$F$100</f>
        <v/>
      </c>
    </row>
    <row r="97">
      <c r="A97" s="7" t="inlineStr">
        <is>
          <t>Total Market (without financials)</t>
        </is>
      </c>
      <c r="B97" s="7" t="n">
        <v>4822</v>
      </c>
      <c r="C97" s="7" t="n">
        <v>0.9913</v>
      </c>
      <c r="D97" s="7" t="n">
        <v>0.901</v>
      </c>
      <c r="E97" s="10">
        <f>B97/(B97+10)</f>
        <v/>
      </c>
      <c r="F97" s="11">
        <f>E97*D97+(1-E97)*$F$100</f>
        <v/>
      </c>
    </row>
    <row r="99">
      <c r="A99" s="5" t="inlineStr">
        <is>
          <t>Reference:</t>
        </is>
      </c>
    </row>
    <row r="100">
      <c r="A100" s="12" t="inlineStr">
        <is>
          <t>Total Market unlevered beta (ex-financials) — shrinkage target</t>
        </is>
      </c>
      <c r="F100" s="13" t="n">
        <v>0.901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8" customWidth="1" min="3" max="3"/>
    <col width="10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0" customWidth="1" min="10" max="10"/>
  </cols>
  <sheetData>
    <row r="1" ht="40" customHeight="1">
      <c r="A1" t="inlineStr">
        <is>
          <t>REAL DATA, VALUES ONLY (no formulas in this sheet — see 0_ReadMe for why). Bloomberg EQS&lt;GO&gt;, UK Refined/Investable Universe (1,298 companies), GICS Sub-Industry level, two independent exports (EV/EBITDA and Revenue) cross-validated against each other: 139/139 names and market caps matched exactly. Read 8 Aug 2026.</t>
        </is>
      </c>
    </row>
    <row r="3" ht="28" customHeight="1">
      <c r="A3" s="6" t="inlineStr">
        <is>
          <t>Sub-Ind Code</t>
        </is>
      </c>
      <c r="B3" s="6" t="inlineStr">
        <is>
          <t>Sub-Industry</t>
        </is>
      </c>
      <c r="C3" s="6" t="inlineStr">
        <is>
          <t>N Cos</t>
        </is>
      </c>
      <c r="D3" s="6" t="inlineStr">
        <is>
          <t>Sector Code</t>
        </is>
      </c>
      <c r="E3" s="6" t="inlineStr">
        <is>
          <t>Market Cap (GBP)</t>
        </is>
      </c>
      <c r="F3" s="6" t="inlineStr">
        <is>
          <t>Revenue T12M (GBP)</t>
        </is>
      </c>
      <c r="G3" s="6" t="inlineStr">
        <is>
          <t>Current EV/EBITDA</t>
        </is>
      </c>
      <c r="H3" s="6" t="inlineStr">
        <is>
          <t>BF EV/EBITDA</t>
        </is>
      </c>
      <c r="I3" s="6" t="inlineStr">
        <is>
          <t>Multiple Used
(outlier-corrected)</t>
        </is>
      </c>
      <c r="J3" s="6" t="inlineStr">
        <is>
          <t>Note</t>
        </is>
      </c>
    </row>
    <row r="4">
      <c r="A4" s="14" t="n">
        <v>10101010</v>
      </c>
      <c r="B4" s="14" t="inlineStr">
        <is>
          <t>Oil &amp; Gas Drilling</t>
        </is>
      </c>
      <c r="C4" s="14" t="n">
        <v>1</v>
      </c>
      <c r="D4" s="14" t="n">
        <v>10</v>
      </c>
      <c r="E4" s="15" t="n">
        <v>2270000000</v>
      </c>
      <c r="F4" s="15" t="n">
        <v>554970000</v>
      </c>
      <c r="G4" s="16" t="n">
        <v>3.74</v>
      </c>
      <c r="H4" s="17" t="n">
        <v>3.3</v>
      </c>
      <c r="I4" s="16" t="n">
        <v>3.74</v>
      </c>
      <c r="J4" s="18" t="inlineStr"/>
    </row>
    <row r="5">
      <c r="A5" s="14" t="n">
        <v>10101020</v>
      </c>
      <c r="B5" s="14" t="inlineStr">
        <is>
          <t>Oil &amp; Gas Equipment &amp; Services</t>
        </is>
      </c>
      <c r="C5" s="14" t="n">
        <v>7</v>
      </c>
      <c r="D5" s="14" t="n">
        <v>10</v>
      </c>
      <c r="E5" s="15" t="n">
        <v>18050000000</v>
      </c>
      <c r="F5" s="15" t="n">
        <v>2690000000</v>
      </c>
      <c r="G5" s="16" t="n">
        <v>8.220000000000001</v>
      </c>
      <c r="H5" s="17" t="n">
        <v>6.7</v>
      </c>
      <c r="I5" s="16" t="n">
        <v>8.220000000000001</v>
      </c>
      <c r="J5" s="18" t="inlineStr"/>
    </row>
    <row r="6">
      <c r="A6" s="14" t="n">
        <v>10102010</v>
      </c>
      <c r="B6" s="14" t="inlineStr">
        <is>
          <t>Integrated Oil &amp; Gas</t>
        </is>
      </c>
      <c r="C6" s="14" t="n">
        <v>2</v>
      </c>
      <c r="D6" s="14" t="n">
        <v>10</v>
      </c>
      <c r="E6" s="15" t="n">
        <v>131690000000</v>
      </c>
      <c r="F6" s="15" t="n">
        <v>256880000000</v>
      </c>
      <c r="G6" s="16" t="n">
        <v>3.39</v>
      </c>
      <c r="H6" s="17" t="n">
        <v>3.6</v>
      </c>
      <c r="I6" s="16" t="n">
        <v>3.39</v>
      </c>
      <c r="J6" s="18" t="inlineStr"/>
    </row>
    <row r="7">
      <c r="A7" s="14" t="n">
        <v>10102020</v>
      </c>
      <c r="B7" s="14" t="inlineStr">
        <is>
          <t>Oil &amp; Gas Exploration &amp; Production</t>
        </is>
      </c>
      <c r="C7" s="14" t="n">
        <v>48</v>
      </c>
      <c r="D7" s="14" t="n">
        <v>10</v>
      </c>
      <c r="E7" s="15" t="n">
        <v>288850000</v>
      </c>
      <c r="F7" s="15" t="n">
        <v>217770000</v>
      </c>
      <c r="G7" s="16" t="n">
        <v>3.17</v>
      </c>
      <c r="H7" s="17" t="n">
        <v>2.1</v>
      </c>
      <c r="I7" s="16" t="n">
        <v>3.17</v>
      </c>
      <c r="J7" s="18" t="inlineStr"/>
    </row>
    <row r="8">
      <c r="A8" s="14" t="n">
        <v>10102030</v>
      </c>
      <c r="B8" s="14" t="inlineStr">
        <is>
          <t>Oil &amp; Gas Refining &amp; Marketing</t>
        </is>
      </c>
      <c r="C8" s="14" t="n">
        <v>1</v>
      </c>
      <c r="D8" s="14" t="n">
        <v>10</v>
      </c>
      <c r="E8" s="15" t="n">
        <v>22750000</v>
      </c>
      <c r="F8" s="15" t="n">
        <v>87000</v>
      </c>
      <c r="G8" s="14" t="n"/>
      <c r="H8" s="14" t="n"/>
      <c r="I8" s="14" t="n"/>
      <c r="J8" s="18" t="inlineStr"/>
    </row>
    <row r="9">
      <c r="A9" s="14" t="n">
        <v>10102040</v>
      </c>
      <c r="B9" s="14" t="inlineStr">
        <is>
          <t>Oil &amp; Gas Storage &amp; Transportation</t>
        </is>
      </c>
      <c r="C9" s="14" t="n">
        <v>3</v>
      </c>
      <c r="D9" s="14" t="n">
        <v>10</v>
      </c>
      <c r="E9" s="15" t="n">
        <v>6580000000</v>
      </c>
      <c r="F9" s="15" t="n">
        <v>901710000</v>
      </c>
      <c r="G9" s="16" t="n">
        <v>3.94</v>
      </c>
      <c r="H9" s="17" t="n">
        <v>4.2</v>
      </c>
      <c r="I9" s="16" t="n">
        <v>3.94</v>
      </c>
      <c r="J9" s="18" t="inlineStr"/>
    </row>
    <row r="10">
      <c r="A10" s="14" t="n">
        <v>10102050</v>
      </c>
      <c r="B10" s="14" t="inlineStr">
        <is>
          <t>Coal &amp; Consumable Fuels</t>
        </is>
      </c>
      <c r="C10" s="14" t="n">
        <v>8</v>
      </c>
      <c r="D10" s="14" t="n">
        <v>10</v>
      </c>
      <c r="E10" s="15" t="n">
        <v>210400000</v>
      </c>
      <c r="F10" s="14" t="n"/>
      <c r="G10" s="16" t="n">
        <v>9.470000000000001</v>
      </c>
      <c r="H10" s="17" t="n">
        <v>16</v>
      </c>
      <c r="I10" s="16" t="n">
        <v>9.470000000000001</v>
      </c>
      <c r="J10" s="18" t="inlineStr">
        <is>
          <t>Revenue shows 0.00 in source — treated as no-data</t>
        </is>
      </c>
    </row>
    <row r="11">
      <c r="A11" s="14" t="n">
        <v>15101010</v>
      </c>
      <c r="B11" s="14" t="inlineStr">
        <is>
          <t>Commodity Chemicals</t>
        </is>
      </c>
      <c r="C11" s="14" t="n">
        <v>2</v>
      </c>
      <c r="D11" s="14" t="n">
        <v>15</v>
      </c>
      <c r="E11" s="15" t="n">
        <v>266070000</v>
      </c>
      <c r="F11" s="15" t="n">
        <v>246000000</v>
      </c>
      <c r="G11" s="16" t="n">
        <v>5.64</v>
      </c>
      <c r="H11" s="17" t="n">
        <v>5.5</v>
      </c>
      <c r="I11" s="16" t="n">
        <v>5.64</v>
      </c>
      <c r="J11" s="18" t="inlineStr"/>
    </row>
    <row r="12">
      <c r="A12" s="14" t="n">
        <v>15101030</v>
      </c>
      <c r="B12" s="14" t="inlineStr">
        <is>
          <t>Fertilizers &amp; Agricultural Chemicals</t>
        </is>
      </c>
      <c r="C12" s="14" t="n">
        <v>3</v>
      </c>
      <c r="D12" s="14" t="n">
        <v>15</v>
      </c>
      <c r="E12" s="15" t="n">
        <v>20780000</v>
      </c>
      <c r="F12" s="15" t="n">
        <v>21070000</v>
      </c>
      <c r="G12" s="14" t="n"/>
      <c r="H12" s="14" t="n"/>
      <c r="I12" s="14" t="n"/>
      <c r="J12" s="18" t="inlineStr"/>
    </row>
    <row r="13">
      <c r="A13" s="14" t="n">
        <v>15101040</v>
      </c>
      <c r="B13" s="14" t="inlineStr">
        <is>
          <t>Industrial Gases</t>
        </is>
      </c>
      <c r="C13" s="14" t="n">
        <v>2</v>
      </c>
      <c r="D13" s="14" t="n">
        <v>15</v>
      </c>
      <c r="E13" s="15" t="n">
        <v>44030000</v>
      </c>
      <c r="F13" s="14" t="n"/>
      <c r="G13" s="14" t="n"/>
      <c r="H13" s="14" t="n"/>
      <c r="I13" s="14" t="n"/>
      <c r="J13" s="18" t="inlineStr">
        <is>
          <t>Revenue shows 0.00 in source — treated as no-data</t>
        </is>
      </c>
    </row>
    <row r="14">
      <c r="A14" s="14" t="n">
        <v>15101050</v>
      </c>
      <c r="B14" s="14" t="inlineStr">
        <is>
          <t>Specialty Chemicals</t>
        </is>
      </c>
      <c r="C14" s="14" t="n">
        <v>13</v>
      </c>
      <c r="D14" s="14" t="n">
        <v>15</v>
      </c>
      <c r="E14" s="15" t="n">
        <v>876550000</v>
      </c>
      <c r="F14" s="15" t="n">
        <v>1590000000</v>
      </c>
      <c r="G14" s="16" t="n">
        <v>8.869999999999999</v>
      </c>
      <c r="H14" s="17" t="n">
        <v>15.9</v>
      </c>
      <c r="I14" s="16" t="n">
        <v>8.869999999999999</v>
      </c>
      <c r="J14" s="18" t="inlineStr"/>
    </row>
    <row r="15">
      <c r="A15" s="14" t="n">
        <v>15102010</v>
      </c>
      <c r="B15" s="14" t="inlineStr">
        <is>
          <t>Construction Materials</t>
        </is>
      </c>
      <c r="C15" s="14" t="n">
        <v>6</v>
      </c>
      <c r="D15" s="14" t="n">
        <v>15</v>
      </c>
      <c r="E15" s="15" t="n">
        <v>655910000</v>
      </c>
      <c r="F15" s="15" t="n">
        <v>699210000</v>
      </c>
      <c r="G15" s="16" t="n">
        <v>6.57</v>
      </c>
      <c r="H15" s="17" t="n">
        <v>6.1</v>
      </c>
      <c r="I15" s="16" t="n">
        <v>6.57</v>
      </c>
      <c r="J15" s="18" t="inlineStr"/>
    </row>
    <row r="16">
      <c r="A16" s="14" t="n">
        <v>15103010</v>
      </c>
      <c r="B16" s="14" t="inlineStr">
        <is>
          <t>Metal, Glass &amp; Plastic Containers</t>
        </is>
      </c>
      <c r="C16" s="14" t="n">
        <v>1</v>
      </c>
      <c r="D16" s="14" t="n">
        <v>15</v>
      </c>
      <c r="E16" s="15" t="n">
        <v>5110000</v>
      </c>
      <c r="F16" s="15" t="n">
        <v>33260000</v>
      </c>
      <c r="G16" s="14" t="n"/>
      <c r="H16" s="14" t="n"/>
      <c r="I16" s="14" t="n"/>
      <c r="J16" s="18" t="inlineStr"/>
    </row>
    <row r="17">
      <c r="A17" s="14" t="n">
        <v>15103020</v>
      </c>
      <c r="B17" s="14" t="inlineStr">
        <is>
          <t>Paper &amp; Plastic Packaging Products &amp; Materials</t>
        </is>
      </c>
      <c r="C17" s="14" t="n">
        <v>1</v>
      </c>
      <c r="D17" s="14" t="n">
        <v>15</v>
      </c>
      <c r="E17" s="15" t="n">
        <v>20940000</v>
      </c>
      <c r="F17" s="15" t="n">
        <v>56210000</v>
      </c>
      <c r="G17" s="16" t="n">
        <v>3.38</v>
      </c>
      <c r="H17" s="17" t="n">
        <v>3.2</v>
      </c>
      <c r="I17" s="16" t="n">
        <v>3.38</v>
      </c>
      <c r="J17" s="18" t="inlineStr"/>
    </row>
    <row r="18">
      <c r="A18" s="14" t="n">
        <v>15104020</v>
      </c>
      <c r="B18" s="14" t="inlineStr">
        <is>
          <t>Diversified Metals &amp; Mining</t>
        </is>
      </c>
      <c r="C18" s="14" t="n">
        <v>47</v>
      </c>
      <c r="D18" s="14" t="n">
        <v>15</v>
      </c>
      <c r="E18" s="15" t="n">
        <v>3860000000</v>
      </c>
      <c r="F18" s="15" t="n">
        <v>1930000000</v>
      </c>
      <c r="G18" s="16" t="n">
        <v>5.94</v>
      </c>
      <c r="H18" s="17" t="n">
        <v>5</v>
      </c>
      <c r="I18" s="16" t="n">
        <v>5.94</v>
      </c>
      <c r="J18" s="18" t="inlineStr"/>
    </row>
    <row r="19">
      <c r="A19" s="14" t="n">
        <v>15104025</v>
      </c>
      <c r="B19" s="14" t="inlineStr">
        <is>
          <t>Copper</t>
        </is>
      </c>
      <c r="C19" s="14" t="n">
        <v>3</v>
      </c>
      <c r="D19" s="14" t="n">
        <v>15</v>
      </c>
      <c r="E19" s="15" t="n">
        <v>98500000</v>
      </c>
      <c r="F19" s="15" t="n">
        <v>76620000</v>
      </c>
      <c r="G19" s="16" t="n">
        <v>1.5</v>
      </c>
      <c r="H19" s="17" t="n">
        <v>1.3</v>
      </c>
      <c r="I19" s="16" t="n">
        <v>1.5</v>
      </c>
      <c r="J19" s="18" t="inlineStr"/>
    </row>
    <row r="20">
      <c r="A20" s="14" t="n">
        <v>15104030</v>
      </c>
      <c r="B20" s="14" t="inlineStr">
        <is>
          <t>Gold</t>
        </is>
      </c>
      <c r="C20" s="14" t="n">
        <v>14</v>
      </c>
      <c r="D20" s="14" t="n">
        <v>15</v>
      </c>
      <c r="E20" s="15" t="n">
        <v>1430000000</v>
      </c>
      <c r="F20" s="15" t="n">
        <v>410600000</v>
      </c>
      <c r="G20" s="16" t="n">
        <v>4.23</v>
      </c>
      <c r="H20" s="17" t="n">
        <v>3.2</v>
      </c>
      <c r="I20" s="16" t="n">
        <v>4.23</v>
      </c>
      <c r="J20" s="18" t="inlineStr"/>
    </row>
    <row r="21">
      <c r="A21" s="14" t="n">
        <v>15104040</v>
      </c>
      <c r="B21" s="14" t="inlineStr">
        <is>
          <t>Precious Metals &amp; Minerals</t>
        </is>
      </c>
      <c r="C21" s="14" t="n">
        <v>6</v>
      </c>
      <c r="D21" s="14" t="n">
        <v>15</v>
      </c>
      <c r="E21" s="15" t="n">
        <v>32640000</v>
      </c>
      <c r="F21" s="15" t="n">
        <v>20970000</v>
      </c>
      <c r="G21" s="14" t="n"/>
      <c r="H21" s="14" t="n"/>
      <c r="I21" s="14" t="n"/>
      <c r="J21" s="18" t="inlineStr"/>
    </row>
    <row r="22">
      <c r="A22" s="14" t="n">
        <v>15104050</v>
      </c>
      <c r="B22" s="14" t="inlineStr">
        <is>
          <t>Steel</t>
        </is>
      </c>
      <c r="C22" s="14" t="n">
        <v>6</v>
      </c>
      <c r="D22" s="14" t="n">
        <v>15</v>
      </c>
      <c r="E22" s="15" t="n">
        <v>509320000</v>
      </c>
      <c r="F22" s="15" t="n">
        <v>229700000</v>
      </c>
      <c r="G22" s="16" t="n">
        <v>10.16</v>
      </c>
      <c r="H22" s="17" t="n">
        <v>10</v>
      </c>
      <c r="I22" s="16" t="n">
        <v>10.16</v>
      </c>
      <c r="J22" s="18" t="inlineStr"/>
    </row>
    <row r="23">
      <c r="A23" s="14" t="n">
        <v>15105010</v>
      </c>
      <c r="B23" s="14" t="inlineStr">
        <is>
          <t>Forest Products</t>
        </is>
      </c>
      <c r="C23" s="14" t="n">
        <v>1</v>
      </c>
      <c r="D23" s="14" t="n">
        <v>15</v>
      </c>
      <c r="E23" s="15" t="n">
        <v>170210000</v>
      </c>
      <c r="F23" s="15" t="n">
        <v>153280000</v>
      </c>
      <c r="G23" s="16" t="n">
        <v>9.59</v>
      </c>
      <c r="H23" s="17" t="n">
        <v>8.699999999999999</v>
      </c>
      <c r="I23" s="16" t="n">
        <v>9.59</v>
      </c>
      <c r="J23" s="18" t="inlineStr"/>
    </row>
    <row r="24">
      <c r="A24" s="14" t="n">
        <v>15105020</v>
      </c>
      <c r="B24" s="14" t="inlineStr">
        <is>
          <t>Paper Products</t>
        </is>
      </c>
      <c r="C24" s="14" t="n">
        <v>2</v>
      </c>
      <c r="D24" s="14" t="n">
        <v>15</v>
      </c>
      <c r="E24" s="15" t="n">
        <v>2060000000</v>
      </c>
      <c r="F24" s="15" t="n">
        <v>3920000000</v>
      </c>
      <c r="G24" s="16" t="n">
        <v>6.56</v>
      </c>
      <c r="H24" s="17" t="n">
        <v>6</v>
      </c>
      <c r="I24" s="16" t="n">
        <v>6.56</v>
      </c>
      <c r="J24" s="18" t="inlineStr"/>
    </row>
    <row r="25">
      <c r="A25" s="14" t="n">
        <v>20101010</v>
      </c>
      <c r="B25" s="14" t="inlineStr">
        <is>
          <t>Aerospace &amp; Defense</t>
        </is>
      </c>
      <c r="C25" s="14" t="n">
        <v>14</v>
      </c>
      <c r="D25" s="14" t="n">
        <v>20</v>
      </c>
      <c r="E25" s="15" t="n">
        <v>15250000000</v>
      </c>
      <c r="F25" s="15" t="n">
        <v>4670000000</v>
      </c>
      <c r="G25" s="16" t="n">
        <v>13.03</v>
      </c>
      <c r="H25" s="17" t="n">
        <v>11.4</v>
      </c>
      <c r="I25" s="16" t="n">
        <v>13.03</v>
      </c>
      <c r="J25" s="18" t="inlineStr"/>
    </row>
    <row r="26">
      <c r="A26" s="14" t="n">
        <v>20102010</v>
      </c>
      <c r="B26" s="14" t="inlineStr">
        <is>
          <t>Building Products</t>
        </is>
      </c>
      <c r="C26" s="14" t="n">
        <v>9</v>
      </c>
      <c r="D26" s="14" t="n">
        <v>20</v>
      </c>
      <c r="E26" s="15" t="n">
        <v>358510000</v>
      </c>
      <c r="F26" s="15" t="n">
        <v>250880000</v>
      </c>
      <c r="G26" s="16" t="n">
        <v>7.16</v>
      </c>
      <c r="H26" s="17" t="n">
        <v>6.5</v>
      </c>
      <c r="I26" s="16" t="n">
        <v>7.16</v>
      </c>
      <c r="J26" s="18" t="inlineStr"/>
    </row>
    <row r="27">
      <c r="A27" s="14" t="n">
        <v>20103010</v>
      </c>
      <c r="B27" s="14" t="inlineStr">
        <is>
          <t>Construction &amp; Engineering</t>
        </is>
      </c>
      <c r="C27" s="14" t="n">
        <v>14</v>
      </c>
      <c r="D27" s="14" t="n">
        <v>20</v>
      </c>
      <c r="E27" s="15" t="n">
        <v>850040000</v>
      </c>
      <c r="F27" s="15" t="n">
        <v>1920000000</v>
      </c>
      <c r="G27" s="16" t="n">
        <v>6.91</v>
      </c>
      <c r="H27" s="17" t="n">
        <v>5.9</v>
      </c>
      <c r="I27" s="16" t="n">
        <v>6.91</v>
      </c>
      <c r="J27" s="18" t="inlineStr"/>
    </row>
    <row r="28">
      <c r="A28" s="14" t="n">
        <v>20104010</v>
      </c>
      <c r="B28" s="14" t="inlineStr">
        <is>
          <t>Electrical Components &amp; Equipment</t>
        </is>
      </c>
      <c r="C28" s="14" t="n">
        <v>16</v>
      </c>
      <c r="D28" s="14" t="n">
        <v>20</v>
      </c>
      <c r="E28" s="15" t="n">
        <v>2040000000</v>
      </c>
      <c r="F28" s="15" t="n">
        <v>480480000</v>
      </c>
      <c r="G28" s="16" t="n">
        <v>213.01</v>
      </c>
      <c r="H28" s="17" t="n">
        <v>9.800000000000001</v>
      </c>
      <c r="I28" s="16" t="n">
        <v>9.800000000000001</v>
      </c>
      <c r="J28" s="18" t="inlineStr">
        <is>
          <t>Current EV/EBITDA (213.01x) is a near-zero-EBITDA artifact — using BF instead</t>
        </is>
      </c>
    </row>
    <row r="29">
      <c r="A29" s="14" t="n">
        <v>20104020</v>
      </c>
      <c r="B29" s="14" t="inlineStr">
        <is>
          <t>Heavy Electrical Equipment</t>
        </is>
      </c>
      <c r="C29" s="14" t="n">
        <v>4</v>
      </c>
      <c r="D29" s="14" t="n">
        <v>20</v>
      </c>
      <c r="E29" s="15" t="n">
        <v>2180000000</v>
      </c>
      <c r="F29" s="15" t="n">
        <v>229090000</v>
      </c>
      <c r="G29" s="16" t="n">
        <v>38.05</v>
      </c>
      <c r="H29" s="17" t="n">
        <v>32.3</v>
      </c>
      <c r="I29" s="16" t="n">
        <v>38.05</v>
      </c>
      <c r="J29" s="18" t="inlineStr"/>
    </row>
    <row r="30">
      <c r="A30" s="14" t="n">
        <v>20105010</v>
      </c>
      <c r="B30" s="14" t="inlineStr">
        <is>
          <t>Industrial Conglomerates</t>
        </is>
      </c>
      <c r="C30" s="14" t="n">
        <v>2</v>
      </c>
      <c r="D30" s="14" t="n">
        <v>20</v>
      </c>
      <c r="E30" s="15" t="n">
        <v>3980000000</v>
      </c>
      <c r="F30" s="15" t="n">
        <v>1130000000</v>
      </c>
      <c r="G30" s="16" t="n">
        <v>12.91</v>
      </c>
      <c r="H30" s="17" t="n">
        <v>12.9</v>
      </c>
      <c r="I30" s="16" t="n">
        <v>12.91</v>
      </c>
      <c r="J30" s="18" t="inlineStr"/>
    </row>
    <row r="31">
      <c r="A31" s="14" t="n">
        <v>20106015</v>
      </c>
      <c r="B31" s="14" t="inlineStr">
        <is>
          <t>Agricultural &amp; Farm Machinery</t>
        </is>
      </c>
      <c r="C31" s="14" t="n">
        <v>1</v>
      </c>
      <c r="D31" s="14" t="n">
        <v>20</v>
      </c>
      <c r="E31" s="15" t="n">
        <v>13500000000</v>
      </c>
      <c r="F31" s="15" t="n">
        <v>18180000000</v>
      </c>
      <c r="G31" s="16" t="n">
        <v>27.38</v>
      </c>
      <c r="H31" s="17" t="n">
        <v>23.7</v>
      </c>
      <c r="I31" s="16" t="n">
        <v>27.38</v>
      </c>
      <c r="J31" s="18" t="inlineStr"/>
    </row>
    <row r="32">
      <c r="A32" s="14" t="n">
        <v>20106020</v>
      </c>
      <c r="B32" s="14" t="inlineStr">
        <is>
          <t>Industrial Machinery &amp; Supplies &amp; Components</t>
        </is>
      </c>
      <c r="C32" s="14" t="n">
        <v>17</v>
      </c>
      <c r="D32" s="14" t="n">
        <v>20</v>
      </c>
      <c r="E32" s="15" t="n">
        <v>2440000000</v>
      </c>
      <c r="F32" s="15" t="n">
        <v>966980000</v>
      </c>
      <c r="G32" s="16" t="n">
        <v>10.77</v>
      </c>
      <c r="H32" s="17" t="n">
        <v>10.1</v>
      </c>
      <c r="I32" s="16" t="n">
        <v>10.77</v>
      </c>
      <c r="J32" s="18" t="inlineStr"/>
    </row>
    <row r="33">
      <c r="A33" s="14" t="n">
        <v>20107010</v>
      </c>
      <c r="B33" s="14" t="inlineStr">
        <is>
          <t>Trading Companies &amp; Distributors</t>
        </is>
      </c>
      <c r="C33" s="14" t="n">
        <v>18</v>
      </c>
      <c r="D33" s="14" t="n">
        <v>20</v>
      </c>
      <c r="E33" s="15" t="n">
        <v>1790000000</v>
      </c>
      <c r="F33" s="15" t="n">
        <v>1710000000</v>
      </c>
      <c r="G33" s="16" t="n">
        <v>7.57</v>
      </c>
      <c r="H33" s="17" t="n">
        <v>7.2</v>
      </c>
      <c r="I33" s="16" t="n">
        <v>7.57</v>
      </c>
      <c r="J33" s="18" t="inlineStr"/>
    </row>
    <row r="34">
      <c r="A34" s="14" t="n">
        <v>20201010</v>
      </c>
      <c r="B34" s="14" t="inlineStr">
        <is>
          <t>Commercial Printing</t>
        </is>
      </c>
      <c r="C34" s="14" t="n">
        <v>1</v>
      </c>
      <c r="D34" s="14" t="n">
        <v>20</v>
      </c>
      <c r="E34" s="15" t="n">
        <v>62410000</v>
      </c>
      <c r="F34" s="15" t="n">
        <v>22260000</v>
      </c>
      <c r="G34" s="14" t="n"/>
      <c r="H34" s="14" t="n"/>
      <c r="I34" s="14" t="n"/>
      <c r="J34" s="18" t="inlineStr"/>
    </row>
    <row r="35">
      <c r="A35" s="14" t="n">
        <v>20201050</v>
      </c>
      <c r="B35" s="14" t="inlineStr">
        <is>
          <t>Environmental &amp; Facilities Services</t>
        </is>
      </c>
      <c r="C35" s="14" t="n">
        <v>6</v>
      </c>
      <c r="D35" s="14" t="n">
        <v>20</v>
      </c>
      <c r="E35" s="15" t="n">
        <v>2410000000</v>
      </c>
      <c r="F35" s="15" t="n">
        <v>2970000000</v>
      </c>
      <c r="G35" s="16" t="n">
        <v>8.34</v>
      </c>
      <c r="H35" s="17" t="n">
        <v>7.9</v>
      </c>
      <c r="I35" s="16" t="n">
        <v>8.34</v>
      </c>
      <c r="J35" s="18" t="inlineStr"/>
    </row>
    <row r="36">
      <c r="A36" s="14" t="n">
        <v>20201070</v>
      </c>
      <c r="B36" s="14" t="inlineStr">
        <is>
          <t>Diversified Support Services</t>
        </is>
      </c>
      <c r="C36" s="14" t="n">
        <v>10</v>
      </c>
      <c r="D36" s="14" t="n">
        <v>20</v>
      </c>
      <c r="E36" s="15" t="n">
        <v>221420000</v>
      </c>
      <c r="F36" s="15" t="n">
        <v>272250000</v>
      </c>
      <c r="G36" s="16" t="n">
        <v>5.61</v>
      </c>
      <c r="H36" s="17" t="n">
        <v>5.5</v>
      </c>
      <c r="I36" s="16" t="n">
        <v>5.61</v>
      </c>
      <c r="J36" s="18" t="inlineStr"/>
    </row>
    <row r="37">
      <c r="A37" s="14" t="n">
        <v>20201080</v>
      </c>
      <c r="B37" s="14" t="inlineStr">
        <is>
          <t>Security &amp; Alarm Services</t>
        </is>
      </c>
      <c r="C37" s="14" t="n">
        <v>1</v>
      </c>
      <c r="D37" s="14" t="n">
        <v>20</v>
      </c>
      <c r="E37" s="15" t="n">
        <v>9930000000</v>
      </c>
      <c r="F37" s="15" t="n">
        <v>13500000000</v>
      </c>
      <c r="G37" s="16" t="n">
        <v>8.49</v>
      </c>
      <c r="H37" s="17" t="n">
        <v>8</v>
      </c>
      <c r="I37" s="16" t="n">
        <v>8.49</v>
      </c>
      <c r="J37" s="18" t="inlineStr"/>
    </row>
    <row r="38">
      <c r="A38" s="14" t="n">
        <v>20202010</v>
      </c>
      <c r="B38" s="14" t="inlineStr">
        <is>
          <t>Human Resource &amp; Employment Services</t>
        </is>
      </c>
      <c r="C38" s="14" t="n">
        <v>10</v>
      </c>
      <c r="D38" s="14" t="n">
        <v>20</v>
      </c>
      <c r="E38" s="15" t="n">
        <v>225530000</v>
      </c>
      <c r="F38" s="15" t="n">
        <v>1210000000</v>
      </c>
      <c r="G38" s="16" t="n">
        <v>9.43</v>
      </c>
      <c r="H38" s="17" t="n">
        <v>6.1</v>
      </c>
      <c r="I38" s="16" t="n">
        <v>9.43</v>
      </c>
      <c r="J38" s="18" t="inlineStr"/>
    </row>
    <row r="39">
      <c r="A39" s="14" t="n">
        <v>20202020</v>
      </c>
      <c r="B39" s="14" t="inlineStr">
        <is>
          <t>Research &amp; Consulting Services</t>
        </is>
      </c>
      <c r="C39" s="14" t="n">
        <v>25</v>
      </c>
      <c r="D39" s="14" t="n">
        <v>20</v>
      </c>
      <c r="E39" s="15" t="n">
        <v>2380000000</v>
      </c>
      <c r="F39" s="15" t="n">
        <v>760740000</v>
      </c>
      <c r="G39" s="16" t="n">
        <v>7.31</v>
      </c>
      <c r="H39" s="17" t="n">
        <v>6.7</v>
      </c>
      <c r="I39" s="16" t="n">
        <v>7.31</v>
      </c>
      <c r="J39" s="18" t="inlineStr"/>
    </row>
    <row r="40">
      <c r="A40" s="14" t="n">
        <v>20202030</v>
      </c>
      <c r="B40" s="14" t="inlineStr">
        <is>
          <t>Data Processing &amp; Outsourced Services</t>
        </is>
      </c>
      <c r="C40" s="14" t="n">
        <v>1</v>
      </c>
      <c r="D40" s="14" t="n">
        <v>20</v>
      </c>
      <c r="E40" s="15" t="n">
        <v>318990000</v>
      </c>
      <c r="F40" s="15" t="n">
        <v>279910000</v>
      </c>
      <c r="G40" s="16" t="n">
        <v>6.59</v>
      </c>
      <c r="H40" s="17" t="n">
        <v>5.1</v>
      </c>
      <c r="I40" s="16" t="n">
        <v>6.59</v>
      </c>
      <c r="J40" s="18" t="inlineStr"/>
    </row>
    <row r="41">
      <c r="A41" s="14" t="n">
        <v>20301010</v>
      </c>
      <c r="B41" s="14" t="inlineStr">
        <is>
          <t>Air Freight &amp; Logistics</t>
        </is>
      </c>
      <c r="C41" s="14" t="n">
        <v>1</v>
      </c>
      <c r="D41" s="14" t="n">
        <v>20</v>
      </c>
      <c r="E41" s="15" t="n">
        <v>731310000</v>
      </c>
      <c r="F41" s="15" t="n">
        <v>137040000</v>
      </c>
      <c r="G41" s="16" t="n">
        <v>6.05</v>
      </c>
      <c r="H41" s="17" t="n">
        <v>5.7</v>
      </c>
      <c r="I41" s="16" t="n">
        <v>6.05</v>
      </c>
      <c r="J41" s="18" t="inlineStr"/>
    </row>
    <row r="42">
      <c r="A42" s="14" t="n">
        <v>20302010</v>
      </c>
      <c r="B42" s="14" t="inlineStr">
        <is>
          <t>Passenger Airlines</t>
        </is>
      </c>
      <c r="C42" s="14" t="n">
        <v>3</v>
      </c>
      <c r="D42" s="14" t="n">
        <v>20</v>
      </c>
      <c r="E42" s="15" t="n">
        <v>9190000000</v>
      </c>
      <c r="F42" s="15" t="n">
        <v>17130000000</v>
      </c>
      <c r="G42" s="16" t="n">
        <v>3.69</v>
      </c>
      <c r="H42" s="17" t="n">
        <v>3.3</v>
      </c>
      <c r="I42" s="16" t="n">
        <v>3.69</v>
      </c>
      <c r="J42" s="18" t="inlineStr"/>
    </row>
    <row r="43">
      <c r="A43" s="14" t="n">
        <v>20303010</v>
      </c>
      <c r="B43" s="14" t="inlineStr">
        <is>
          <t>Marine Transportation</t>
        </is>
      </c>
      <c r="C43" s="14" t="n">
        <v>3</v>
      </c>
      <c r="D43" s="14" t="n">
        <v>20</v>
      </c>
      <c r="E43" s="15" t="n">
        <v>7130000000</v>
      </c>
      <c r="F43" s="15" t="n">
        <v>1460000000</v>
      </c>
      <c r="G43" s="16" t="n">
        <v>6</v>
      </c>
      <c r="H43" s="17" t="n">
        <v>5.8</v>
      </c>
      <c r="I43" s="16" t="n">
        <v>6</v>
      </c>
      <c r="J43" s="18" t="inlineStr"/>
    </row>
    <row r="44">
      <c r="A44" s="14" t="n">
        <v>20304010</v>
      </c>
      <c r="B44" s="14" t="inlineStr">
        <is>
          <t>Rail Transportation</t>
        </is>
      </c>
      <c r="C44" s="14" t="n">
        <v>1</v>
      </c>
      <c r="D44" s="14" t="n">
        <v>20</v>
      </c>
      <c r="E44" s="15" t="n">
        <v>1010000000</v>
      </c>
      <c r="F44" s="15" t="n">
        <v>4750000000</v>
      </c>
      <c r="G44" s="16" t="n">
        <v>2.53</v>
      </c>
      <c r="H44" s="17" t="n">
        <v>2.9</v>
      </c>
      <c r="I44" s="16" t="n">
        <v>2.53</v>
      </c>
      <c r="J44" s="18" t="inlineStr"/>
    </row>
    <row r="45">
      <c r="A45" s="14" t="n">
        <v>20304040</v>
      </c>
      <c r="B45" s="14" t="inlineStr">
        <is>
          <t>Passenger Ground Transportation</t>
        </is>
      </c>
      <c r="C45" s="14" t="n">
        <v>2</v>
      </c>
      <c r="D45" s="14" t="n">
        <v>20</v>
      </c>
      <c r="E45" s="15" t="n">
        <v>613190000</v>
      </c>
      <c r="F45" s="15" t="n">
        <v>2300000000</v>
      </c>
      <c r="G45" s="16" t="n">
        <v>3.68</v>
      </c>
      <c r="H45" s="17" t="n">
        <v>3.6</v>
      </c>
      <c r="I45" s="16" t="n">
        <v>3.68</v>
      </c>
      <c r="J45" s="18" t="inlineStr"/>
    </row>
    <row r="46">
      <c r="A46" s="14" t="n">
        <v>20305030</v>
      </c>
      <c r="B46" s="14" t="inlineStr">
        <is>
          <t>Marine Ports &amp; Services</t>
        </is>
      </c>
      <c r="C46" s="14" t="n">
        <v>3</v>
      </c>
      <c r="D46" s="14" t="n">
        <v>20</v>
      </c>
      <c r="E46" s="15" t="n">
        <v>107990000</v>
      </c>
      <c r="F46" s="15" t="n">
        <v>180500000</v>
      </c>
      <c r="G46" s="16" t="n">
        <v>4.85</v>
      </c>
      <c r="H46" s="17" t="n">
        <v>4.5</v>
      </c>
      <c r="I46" s="16" t="n">
        <v>4.85</v>
      </c>
      <c r="J46" s="18" t="inlineStr"/>
    </row>
    <row r="47">
      <c r="A47" s="14" t="n">
        <v>25101010</v>
      </c>
      <c r="B47" s="14" t="inlineStr">
        <is>
          <t>Automotive Parts &amp; Equipment</t>
        </is>
      </c>
      <c r="C47" s="14" t="n">
        <v>10</v>
      </c>
      <c r="D47" s="14" t="n">
        <v>25</v>
      </c>
      <c r="E47" s="15" t="n">
        <v>86990000</v>
      </c>
      <c r="F47" s="15" t="n">
        <v>127580000</v>
      </c>
      <c r="G47" s="16" t="n">
        <v>8.119999999999999</v>
      </c>
      <c r="H47" s="17" t="n">
        <v>4.6</v>
      </c>
      <c r="I47" s="16" t="n">
        <v>8.119999999999999</v>
      </c>
      <c r="J47" s="18" t="inlineStr"/>
    </row>
    <row r="48">
      <c r="A48" s="14" t="n">
        <v>25102010</v>
      </c>
      <c r="B48" s="14" t="inlineStr">
        <is>
          <t>Automobile Manufacturers</t>
        </is>
      </c>
      <c r="C48" s="14" t="n">
        <v>1</v>
      </c>
      <c r="D48" s="14" t="n">
        <v>25</v>
      </c>
      <c r="E48" s="15" t="n">
        <v>357390000</v>
      </c>
      <c r="F48" s="15" t="n">
        <v>1430000000</v>
      </c>
      <c r="G48" s="16" t="n">
        <v>6.3</v>
      </c>
      <c r="H48" s="17" t="n">
        <v>5.6</v>
      </c>
      <c r="I48" s="16" t="n">
        <v>6.3</v>
      </c>
      <c r="J48" s="18" t="inlineStr"/>
    </row>
    <row r="49">
      <c r="A49" s="14" t="n">
        <v>25102020</v>
      </c>
      <c r="B49" s="14" t="inlineStr">
        <is>
          <t>Motorcycle Manufacturers</t>
        </is>
      </c>
      <c r="C49" s="14" t="n">
        <v>1</v>
      </c>
      <c r="D49" s="14" t="n">
        <v>25</v>
      </c>
      <c r="E49" s="15" t="n">
        <v>651000</v>
      </c>
      <c r="F49" s="14" t="n"/>
      <c r="G49" s="14" t="n"/>
      <c r="H49" s="14" t="n"/>
      <c r="I49" s="14" t="n"/>
      <c r="J49" s="18" t="inlineStr">
        <is>
          <t>Revenue shows 0.00 in source — treated as no-data</t>
        </is>
      </c>
    </row>
    <row r="50">
      <c r="A50" s="14" t="n">
        <v>25201010</v>
      </c>
      <c r="B50" s="14" t="inlineStr">
        <is>
          <t>Consumer Electronics</t>
        </is>
      </c>
      <c r="C50" s="14" t="n">
        <v>2</v>
      </c>
      <c r="D50" s="14" t="n">
        <v>25</v>
      </c>
      <c r="E50" s="15" t="n">
        <v>117000000</v>
      </c>
      <c r="F50" s="15" t="n">
        <v>196060000</v>
      </c>
      <c r="G50" s="16" t="n">
        <v>7.26</v>
      </c>
      <c r="H50" s="17" t="n">
        <v>5.7</v>
      </c>
      <c r="I50" s="16" t="n">
        <v>7.26</v>
      </c>
      <c r="J50" s="18" t="inlineStr"/>
    </row>
    <row r="51">
      <c r="A51" s="14" t="n">
        <v>25201020</v>
      </c>
      <c r="B51" s="14" t="inlineStr">
        <is>
          <t>Home Furnishings</t>
        </is>
      </c>
      <c r="C51" s="14" t="n">
        <v>4</v>
      </c>
      <c r="D51" s="14" t="n">
        <v>25</v>
      </c>
      <c r="E51" s="15" t="n">
        <v>52820000</v>
      </c>
      <c r="F51" s="15" t="n">
        <v>321410000</v>
      </c>
      <c r="G51" s="16" t="n">
        <v>6.76</v>
      </c>
      <c r="H51" s="17" t="n">
        <v>6.3</v>
      </c>
      <c r="I51" s="16" t="n">
        <v>6.76</v>
      </c>
      <c r="J51" s="18" t="inlineStr"/>
    </row>
    <row r="52">
      <c r="A52" s="14" t="n">
        <v>25201030</v>
      </c>
      <c r="B52" s="14" t="inlineStr">
        <is>
          <t>Homebuilding</t>
        </is>
      </c>
      <c r="C52" s="14" t="n">
        <v>12</v>
      </c>
      <c r="D52" s="14" t="n">
        <v>25</v>
      </c>
      <c r="E52" s="15" t="n">
        <v>1550000000</v>
      </c>
      <c r="F52" s="15" t="n">
        <v>2020000000</v>
      </c>
      <c r="G52" s="16" t="n">
        <v>7.39</v>
      </c>
      <c r="H52" s="17" t="n">
        <v>6.7</v>
      </c>
      <c r="I52" s="16" t="n">
        <v>7.39</v>
      </c>
      <c r="J52" s="18" t="inlineStr"/>
    </row>
    <row r="53">
      <c r="A53" s="14" t="n">
        <v>25201040</v>
      </c>
      <c r="B53" s="14" t="inlineStr">
        <is>
          <t>Household Appliances</t>
        </is>
      </c>
      <c r="C53" s="14" t="n">
        <v>2</v>
      </c>
      <c r="D53" s="14" t="n">
        <v>25</v>
      </c>
      <c r="E53" s="15" t="n">
        <v>300730000</v>
      </c>
      <c r="F53" s="15" t="n">
        <v>426540000</v>
      </c>
      <c r="G53" s="16" t="n">
        <v>7.75</v>
      </c>
      <c r="H53" s="17" t="n">
        <v>7.4</v>
      </c>
      <c r="I53" s="16" t="n">
        <v>7.75</v>
      </c>
      <c r="J53" s="18" t="inlineStr"/>
    </row>
    <row r="54">
      <c r="A54" s="14" t="n">
        <v>25201050</v>
      </c>
      <c r="B54" s="14" t="inlineStr">
        <is>
          <t>Housewares &amp; Specialties</t>
        </is>
      </c>
      <c r="C54" s="14" t="n">
        <v>3</v>
      </c>
      <c r="D54" s="14" t="n">
        <v>25</v>
      </c>
      <c r="E54" s="15" t="n">
        <v>55210000</v>
      </c>
      <c r="F54" s="15" t="n">
        <v>128400000</v>
      </c>
      <c r="G54" s="16" t="n">
        <v>6.28</v>
      </c>
      <c r="H54" s="17" t="n">
        <v>6.2</v>
      </c>
      <c r="I54" s="16" t="n">
        <v>6.28</v>
      </c>
      <c r="J54" s="18" t="inlineStr"/>
    </row>
    <row r="55">
      <c r="A55" s="14" t="n">
        <v>25202010</v>
      </c>
      <c r="B55" s="14" t="inlineStr">
        <is>
          <t>Leisure Products</t>
        </is>
      </c>
      <c r="C55" s="14" t="n">
        <v>3</v>
      </c>
      <c r="D55" s="14" t="n">
        <v>25</v>
      </c>
      <c r="E55" s="15" t="n">
        <v>2100000000</v>
      </c>
      <c r="F55" s="15" t="n">
        <v>260530000</v>
      </c>
      <c r="G55" s="16" t="n">
        <v>11.68</v>
      </c>
      <c r="H55" s="17" t="n">
        <v>13.1</v>
      </c>
      <c r="I55" s="16" t="n">
        <v>11.68</v>
      </c>
      <c r="J55" s="18" t="inlineStr"/>
    </row>
    <row r="56">
      <c r="A56" s="14" t="n">
        <v>25203010</v>
      </c>
      <c r="B56" s="14" t="inlineStr">
        <is>
          <t>Apparel, Accessories &amp; Luxury Goods</t>
        </is>
      </c>
      <c r="C56" s="14" t="n">
        <v>6</v>
      </c>
      <c r="D56" s="14" t="n">
        <v>25</v>
      </c>
      <c r="E56" s="15" t="n">
        <v>1020000000</v>
      </c>
      <c r="F56" s="15" t="n">
        <v>1210000000</v>
      </c>
      <c r="G56" s="16" t="n">
        <v>7.24</v>
      </c>
      <c r="H56" s="17" t="n">
        <v>7</v>
      </c>
      <c r="I56" s="16" t="n">
        <v>7.24</v>
      </c>
      <c r="J56" s="18" t="inlineStr"/>
    </row>
    <row r="57">
      <c r="A57" s="14" t="n">
        <v>25203020</v>
      </c>
      <c r="B57" s="14" t="inlineStr">
        <is>
          <t>Footwear</t>
        </is>
      </c>
      <c r="C57" s="14" t="n">
        <v>2</v>
      </c>
      <c r="D57" s="14" t="n">
        <v>25</v>
      </c>
      <c r="E57" s="15" t="n">
        <v>3940000000</v>
      </c>
      <c r="F57" s="15" t="n">
        <v>1470000000</v>
      </c>
      <c r="G57" s="16" t="n">
        <v>7.46</v>
      </c>
      <c r="H57" s="17" t="n">
        <v>6.6</v>
      </c>
      <c r="I57" s="16" t="n">
        <v>7.46</v>
      </c>
      <c r="J57" s="18" t="inlineStr"/>
    </row>
    <row r="58">
      <c r="A58" s="14" t="n">
        <v>25203030</v>
      </c>
      <c r="B58" s="14" t="inlineStr">
        <is>
          <t>Textiles</t>
        </is>
      </c>
      <c r="C58" s="14" t="n">
        <v>1</v>
      </c>
      <c r="D58" s="14" t="n">
        <v>25</v>
      </c>
      <c r="E58" s="15" t="n">
        <v>1660000000</v>
      </c>
      <c r="F58" s="15" t="n">
        <v>1600000000</v>
      </c>
      <c r="G58" s="16" t="n">
        <v>7.15</v>
      </c>
      <c r="H58" s="17" t="n">
        <v>6.6</v>
      </c>
      <c r="I58" s="16" t="n">
        <v>7.15</v>
      </c>
      <c r="J58" s="18" t="inlineStr"/>
    </row>
    <row r="59">
      <c r="A59" s="14" t="n">
        <v>25301010</v>
      </c>
      <c r="B59" s="14" t="inlineStr">
        <is>
          <t>Casinos &amp; Gaming</t>
        </is>
      </c>
      <c r="C59" s="14" t="n">
        <v>5</v>
      </c>
      <c r="D59" s="14" t="n">
        <v>25</v>
      </c>
      <c r="E59" s="15" t="n">
        <v>1610000000</v>
      </c>
      <c r="F59" s="15" t="n">
        <v>1740000000</v>
      </c>
      <c r="G59" s="16" t="n">
        <v>7.29</v>
      </c>
      <c r="H59" s="17" t="n">
        <v>5.9</v>
      </c>
      <c r="I59" s="16" t="n">
        <v>7.29</v>
      </c>
      <c r="J59" s="18" t="inlineStr"/>
    </row>
    <row r="60">
      <c r="A60" s="14" t="n">
        <v>25301020</v>
      </c>
      <c r="B60" s="14" t="inlineStr">
        <is>
          <t>Hotels, Resorts &amp; Cruise Lines</t>
        </is>
      </c>
      <c r="C60" s="14" t="n">
        <v>7</v>
      </c>
      <c r="D60" s="14" t="n">
        <v>25</v>
      </c>
      <c r="E60" s="15" t="n">
        <v>4130000000</v>
      </c>
      <c r="F60" s="15" t="n">
        <v>1270000000</v>
      </c>
      <c r="G60" s="16" t="n">
        <v>9.210000000000001</v>
      </c>
      <c r="H60" s="17" t="n">
        <v>8.1</v>
      </c>
      <c r="I60" s="16" t="n">
        <v>9.210000000000001</v>
      </c>
      <c r="J60" s="18" t="inlineStr"/>
    </row>
    <row r="61">
      <c r="A61" s="14" t="n">
        <v>25301030</v>
      </c>
      <c r="B61" s="14" t="inlineStr">
        <is>
          <t>Leisure Facilities</t>
        </is>
      </c>
      <c r="C61" s="14" t="n">
        <v>4</v>
      </c>
      <c r="D61" s="14" t="n">
        <v>25</v>
      </c>
      <c r="E61" s="15" t="n">
        <v>223280000</v>
      </c>
      <c r="F61" s="15" t="n">
        <v>148090000</v>
      </c>
      <c r="G61" s="16" t="n">
        <v>6.4</v>
      </c>
      <c r="H61" s="17" t="n">
        <v>6.1</v>
      </c>
      <c r="I61" s="16" t="n">
        <v>6.4</v>
      </c>
      <c r="J61" s="18" t="inlineStr"/>
    </row>
    <row r="62">
      <c r="A62" s="14" t="n">
        <v>25301040</v>
      </c>
      <c r="B62" s="14" t="inlineStr">
        <is>
          <t>Restaurants</t>
        </is>
      </c>
      <c r="C62" s="14" t="n">
        <v>17</v>
      </c>
      <c r="D62" s="14" t="n">
        <v>25</v>
      </c>
      <c r="E62" s="15" t="n">
        <v>3710000000</v>
      </c>
      <c r="F62" s="15" t="n">
        <v>3670000000</v>
      </c>
      <c r="G62" s="16" t="n">
        <v>6.78</v>
      </c>
      <c r="H62" s="17" t="n">
        <v>6.2</v>
      </c>
      <c r="I62" s="16" t="n">
        <v>6.78</v>
      </c>
      <c r="J62" s="18" t="inlineStr"/>
    </row>
    <row r="63">
      <c r="A63" s="14" t="n">
        <v>25302010</v>
      </c>
      <c r="B63" s="14" t="inlineStr">
        <is>
          <t>Education Services</t>
        </is>
      </c>
      <c r="C63" s="14" t="n">
        <v>5</v>
      </c>
      <c r="D63" s="14" t="n">
        <v>25</v>
      </c>
      <c r="E63" s="15" t="n">
        <v>1510000000</v>
      </c>
      <c r="F63" s="15" t="n">
        <v>934250000</v>
      </c>
      <c r="G63" s="16" t="n">
        <v>8.85</v>
      </c>
      <c r="H63" s="17" t="n">
        <v>8.699999999999999</v>
      </c>
      <c r="I63" s="16" t="n">
        <v>8.85</v>
      </c>
      <c r="J63" s="18" t="inlineStr"/>
    </row>
    <row r="64">
      <c r="A64" s="14" t="n">
        <v>25302020</v>
      </c>
      <c r="B64" s="14" t="inlineStr">
        <is>
          <t>Specialized Consumer Services</t>
        </is>
      </c>
      <c r="C64" s="14" t="n">
        <v>2</v>
      </c>
      <c r="D64" s="14" t="n">
        <v>25</v>
      </c>
      <c r="E64" s="15" t="n">
        <v>505790000</v>
      </c>
      <c r="F64" s="15" t="n">
        <v>271610000</v>
      </c>
      <c r="G64" s="16" t="n">
        <v>6.89</v>
      </c>
      <c r="H64" s="17" t="n">
        <v>5.5</v>
      </c>
      <c r="I64" s="16" t="n">
        <v>6.89</v>
      </c>
      <c r="J64" s="18" t="inlineStr"/>
    </row>
    <row r="65">
      <c r="A65" s="14" t="n">
        <v>25501010</v>
      </c>
      <c r="B65" s="14" t="inlineStr">
        <is>
          <t>Distributors</t>
        </is>
      </c>
      <c r="C65" s="14" t="n">
        <v>7</v>
      </c>
      <c r="D65" s="14" t="n">
        <v>25</v>
      </c>
      <c r="E65" s="15" t="n">
        <v>490100000</v>
      </c>
      <c r="F65" s="15" t="n">
        <v>1670000000</v>
      </c>
      <c r="G65" s="16" t="n">
        <v>5.05</v>
      </c>
      <c r="H65" s="17" t="n">
        <v>3.9</v>
      </c>
      <c r="I65" s="16" t="n">
        <v>5.05</v>
      </c>
      <c r="J65" s="18" t="inlineStr"/>
    </row>
    <row r="66">
      <c r="A66" s="14" t="n">
        <v>25503030</v>
      </c>
      <c r="B66" s="14" t="inlineStr">
        <is>
          <t>Broadline Retail</t>
        </is>
      </c>
      <c r="C66" s="14" t="n">
        <v>4</v>
      </c>
      <c r="D66" s="14" t="n">
        <v>25</v>
      </c>
      <c r="E66" s="15" t="n">
        <v>12160000000</v>
      </c>
      <c r="F66" s="15" t="n">
        <v>4510000000</v>
      </c>
      <c r="G66" s="16" t="n">
        <v>7.87</v>
      </c>
      <c r="H66" s="17" t="n">
        <v>7.4</v>
      </c>
      <c r="I66" s="16" t="n">
        <v>7.87</v>
      </c>
      <c r="J66" s="18" t="inlineStr"/>
    </row>
    <row r="67">
      <c r="A67" s="14" t="n">
        <v>25504010</v>
      </c>
      <c r="B67" s="14" t="inlineStr">
        <is>
          <t>Apparel Retail</t>
        </is>
      </c>
      <c r="C67" s="14" t="n">
        <v>5</v>
      </c>
      <c r="D67" s="14" t="n">
        <v>25</v>
      </c>
      <c r="E67" s="15" t="n">
        <v>214680000</v>
      </c>
      <c r="F67" s="15" t="n">
        <v>1150000000</v>
      </c>
      <c r="G67" s="16" t="n">
        <v>5.56</v>
      </c>
      <c r="H67" s="17" t="n">
        <v>6.1</v>
      </c>
      <c r="I67" s="16" t="n">
        <v>5.56</v>
      </c>
      <c r="J67" s="18" t="inlineStr"/>
    </row>
    <row r="68">
      <c r="A68" s="14" t="n">
        <v>25504020</v>
      </c>
      <c r="B68" s="14" t="inlineStr">
        <is>
          <t>Computer &amp; Electronics Retail</t>
        </is>
      </c>
      <c r="C68" s="14" t="n">
        <v>2</v>
      </c>
      <c r="D68" s="14" t="n">
        <v>25</v>
      </c>
      <c r="E68" s="15" t="n">
        <v>1160000000</v>
      </c>
      <c r="F68" s="15" t="n">
        <v>5260000000</v>
      </c>
      <c r="G68" s="16" t="n">
        <v>5.19</v>
      </c>
      <c r="H68" s="17" t="n">
        <v>5</v>
      </c>
      <c r="I68" s="16" t="n">
        <v>5.19</v>
      </c>
      <c r="J68" s="18" t="inlineStr"/>
    </row>
    <row r="69">
      <c r="A69" s="14" t="n">
        <v>25504030</v>
      </c>
      <c r="B69" s="14" t="inlineStr">
        <is>
          <t>Home Improvement Retail</t>
        </is>
      </c>
      <c r="C69" s="14" t="n">
        <v>5</v>
      </c>
      <c r="D69" s="14" t="n">
        <v>25</v>
      </c>
      <c r="E69" s="15" t="n">
        <v>1250000000</v>
      </c>
      <c r="F69" s="15" t="n">
        <v>3060000000</v>
      </c>
      <c r="G69" s="16" t="n">
        <v>7.86</v>
      </c>
      <c r="H69" s="17" t="n">
        <v>7.3</v>
      </c>
      <c r="I69" s="16" t="n">
        <v>7.86</v>
      </c>
      <c r="J69" s="18" t="inlineStr"/>
    </row>
    <row r="70">
      <c r="A70" s="14" t="n">
        <v>25504040</v>
      </c>
      <c r="B70" s="14" t="inlineStr">
        <is>
          <t>Other Specialty Retail</t>
        </is>
      </c>
      <c r="C70" s="14" t="n">
        <v>12</v>
      </c>
      <c r="D70" s="14" t="n">
        <v>25</v>
      </c>
      <c r="E70" s="15" t="n">
        <v>1170000000</v>
      </c>
      <c r="F70" s="15" t="n">
        <v>2200000000</v>
      </c>
      <c r="G70" s="16" t="n">
        <v>5.13</v>
      </c>
      <c r="H70" s="17" t="n">
        <v>5</v>
      </c>
      <c r="I70" s="16" t="n">
        <v>5.13</v>
      </c>
      <c r="J70" s="18" t="inlineStr"/>
    </row>
    <row r="71">
      <c r="A71" s="14" t="n">
        <v>25504050</v>
      </c>
      <c r="B71" s="14" t="inlineStr">
        <is>
          <t>Automotive Retail</t>
        </is>
      </c>
      <c r="C71" s="14" t="n">
        <v>5</v>
      </c>
      <c r="D71" s="14" t="n">
        <v>25</v>
      </c>
      <c r="E71" s="15" t="n">
        <v>228880000</v>
      </c>
      <c r="F71" s="15" t="n">
        <v>1830000000</v>
      </c>
      <c r="G71" s="16" t="n">
        <v>3.55</v>
      </c>
      <c r="H71" s="17" t="n">
        <v>3.5</v>
      </c>
      <c r="I71" s="16" t="n">
        <v>3.55</v>
      </c>
      <c r="J71" s="18" t="inlineStr"/>
    </row>
    <row r="72">
      <c r="A72" s="14" t="n">
        <v>25504060</v>
      </c>
      <c r="B72" s="14" t="inlineStr">
        <is>
          <t>Homefurnishing Retail</t>
        </is>
      </c>
      <c r="C72" s="14" t="n">
        <v>3</v>
      </c>
      <c r="D72" s="14" t="n">
        <v>25</v>
      </c>
      <c r="E72" s="15" t="n">
        <v>740720000</v>
      </c>
      <c r="F72" s="15" t="n">
        <v>359370000</v>
      </c>
      <c r="G72" s="16" t="n">
        <v>4.6</v>
      </c>
      <c r="H72" s="17" t="n">
        <v>4.4</v>
      </c>
      <c r="I72" s="16" t="n">
        <v>4.6</v>
      </c>
      <c r="J72" s="18" t="inlineStr"/>
    </row>
    <row r="73">
      <c r="A73" s="14" t="n">
        <v>30101010</v>
      </c>
      <c r="B73" s="14" t="inlineStr">
        <is>
          <t>Drug Retail</t>
        </is>
      </c>
      <c r="C73" s="14" t="n">
        <v>1</v>
      </c>
      <c r="D73" s="14" t="n">
        <v>30</v>
      </c>
      <c r="E73" s="15" t="n">
        <v>55230000</v>
      </c>
      <c r="F73" s="14" t="n"/>
      <c r="G73" s="14" t="n"/>
      <c r="H73" s="14" t="n"/>
      <c r="I73" s="14" t="n"/>
      <c r="J73" s="18" t="inlineStr">
        <is>
          <t>Revenue shows 0.00 in source — treated as no-data</t>
        </is>
      </c>
    </row>
    <row r="74">
      <c r="A74" s="14" t="n">
        <v>30101030</v>
      </c>
      <c r="B74" s="14" t="inlineStr">
        <is>
          <t>Food Retail</t>
        </is>
      </c>
      <c r="C74" s="14" t="n">
        <v>7</v>
      </c>
      <c r="D74" s="14" t="n">
        <v>30</v>
      </c>
      <c r="E74" s="15" t="n">
        <v>6860000000</v>
      </c>
      <c r="F74" s="15" t="n">
        <v>18100000000</v>
      </c>
      <c r="G74" s="16" t="n">
        <v>5.77</v>
      </c>
      <c r="H74" s="17" t="n">
        <v>6.2</v>
      </c>
      <c r="I74" s="16" t="n">
        <v>5.77</v>
      </c>
      <c r="J74" s="18" t="inlineStr"/>
    </row>
    <row r="75">
      <c r="A75" s="14" t="n">
        <v>30201010</v>
      </c>
      <c r="B75" s="14" t="inlineStr">
        <is>
          <t>Brewers</t>
        </is>
      </c>
      <c r="C75" s="14" t="n">
        <v>2</v>
      </c>
      <c r="D75" s="14" t="n">
        <v>30</v>
      </c>
      <c r="E75" s="15" t="n">
        <v>44350000</v>
      </c>
      <c r="F75" s="15" t="n">
        <v>113830000</v>
      </c>
      <c r="G75" s="16" t="n">
        <v>6.18</v>
      </c>
      <c r="H75" s="17" t="n">
        <v>6</v>
      </c>
      <c r="I75" s="16" t="n">
        <v>6.18</v>
      </c>
      <c r="J75" s="18" t="inlineStr"/>
    </row>
    <row r="76">
      <c r="A76" s="14" t="n">
        <v>30201020</v>
      </c>
      <c r="B76" s="14" t="inlineStr">
        <is>
          <t>Distillers &amp; Vintners</t>
        </is>
      </c>
      <c r="C76" s="14" t="n">
        <v>4</v>
      </c>
      <c r="D76" s="14" t="n">
        <v>30</v>
      </c>
      <c r="E76" s="15" t="n">
        <v>9990000000</v>
      </c>
      <c r="F76" s="15" t="n">
        <v>4920000000</v>
      </c>
      <c r="G76" s="16" t="n">
        <v>19.57</v>
      </c>
      <c r="H76" s="17" t="n">
        <v>17.8</v>
      </c>
      <c r="I76" s="16" t="n">
        <v>19.57</v>
      </c>
      <c r="J76" s="18" t="inlineStr"/>
    </row>
    <row r="77">
      <c r="A77" s="14" t="n">
        <v>30201030</v>
      </c>
      <c r="B77" s="14" t="inlineStr">
        <is>
          <t>Soft Drinks &amp; Non-alcoholic Beverages</t>
        </is>
      </c>
      <c r="C77" s="14" t="n">
        <v>4</v>
      </c>
      <c r="D77" s="14" t="n">
        <v>30</v>
      </c>
      <c r="E77" s="15" t="n">
        <v>12510000000</v>
      </c>
      <c r="F77" s="15" t="n">
        <v>5570000000</v>
      </c>
      <c r="G77" s="16" t="n">
        <v>11.96</v>
      </c>
      <c r="H77" s="17" t="n">
        <v>10.9</v>
      </c>
      <c r="I77" s="16" t="n">
        <v>11.96</v>
      </c>
      <c r="J77" s="18" t="inlineStr"/>
    </row>
    <row r="78">
      <c r="A78" s="14" t="n">
        <v>30202010</v>
      </c>
      <c r="B78" s="14" t="inlineStr">
        <is>
          <t>Agricultural Products &amp; Services</t>
        </is>
      </c>
      <c r="C78" s="14" t="n">
        <v>7</v>
      </c>
      <c r="D78" s="14" t="n">
        <v>30</v>
      </c>
      <c r="E78" s="15" t="n">
        <v>316950000</v>
      </c>
      <c r="F78" s="15" t="n">
        <v>700400000</v>
      </c>
      <c r="G78" s="16" t="n">
        <v>5.8</v>
      </c>
      <c r="H78" s="17" t="n">
        <v>5.4</v>
      </c>
      <c r="I78" s="16" t="n">
        <v>5.8</v>
      </c>
      <c r="J78" s="18" t="inlineStr"/>
    </row>
    <row r="79">
      <c r="A79" s="14" t="n">
        <v>30202030</v>
      </c>
      <c r="B79" s="14" t="inlineStr">
        <is>
          <t>Packaged Foods &amp; Meats</t>
        </is>
      </c>
      <c r="C79" s="14" t="n">
        <v>10</v>
      </c>
      <c r="D79" s="14" t="n">
        <v>30</v>
      </c>
      <c r="E79" s="15" t="n">
        <v>2520000000</v>
      </c>
      <c r="F79" s="15" t="n">
        <v>3470000000</v>
      </c>
      <c r="G79" s="16" t="n">
        <v>7.49</v>
      </c>
      <c r="H79" s="17" t="n">
        <v>7.2</v>
      </c>
      <c r="I79" s="16" t="n">
        <v>7.49</v>
      </c>
      <c r="J79" s="18" t="inlineStr"/>
    </row>
    <row r="80">
      <c r="A80" s="14" t="n">
        <v>30203010</v>
      </c>
      <c r="B80" s="14" t="inlineStr">
        <is>
          <t>Tobacco</t>
        </is>
      </c>
      <c r="C80" s="14" t="n">
        <v>2</v>
      </c>
      <c r="D80" s="14" t="n">
        <v>30</v>
      </c>
      <c r="E80" s="15" t="n">
        <v>58530000000</v>
      </c>
      <c r="F80" s="15" t="n">
        <v>26210000000</v>
      </c>
      <c r="G80" s="16" t="n">
        <v>8.57</v>
      </c>
      <c r="H80" s="17" t="n">
        <v>8.300000000000001</v>
      </c>
      <c r="I80" s="16" t="n">
        <v>8.57</v>
      </c>
      <c r="J80" s="18" t="inlineStr"/>
    </row>
    <row r="81">
      <c r="A81" s="14" t="n">
        <v>30301010</v>
      </c>
      <c r="B81" s="14" t="inlineStr">
        <is>
          <t>Household Products</t>
        </is>
      </c>
      <c r="C81" s="14" t="n">
        <v>2</v>
      </c>
      <c r="D81" s="14" t="n">
        <v>30</v>
      </c>
      <c r="E81" s="15" t="n">
        <v>16990000000</v>
      </c>
      <c r="F81" s="15" t="n">
        <v>7280000000</v>
      </c>
      <c r="G81" s="16" t="n">
        <v>8.119999999999999</v>
      </c>
      <c r="H81" s="17" t="n">
        <v>7.8</v>
      </c>
      <c r="I81" s="16" t="n">
        <v>8.119999999999999</v>
      </c>
      <c r="J81" s="18" t="inlineStr"/>
    </row>
    <row r="82">
      <c r="A82" s="14" t="n">
        <v>30302010</v>
      </c>
      <c r="B82" s="14" t="inlineStr">
        <is>
          <t>Personal Care Products</t>
        </is>
      </c>
      <c r="C82" s="14" t="n">
        <v>11</v>
      </c>
      <c r="D82" s="14" t="n">
        <v>30</v>
      </c>
      <c r="E82" s="15" t="n">
        <v>10240000000</v>
      </c>
      <c r="F82" s="15" t="n">
        <v>4710000000</v>
      </c>
      <c r="G82" s="16" t="n">
        <v>10.41</v>
      </c>
      <c r="H82" s="17" t="n">
        <v>9.199999999999999</v>
      </c>
      <c r="I82" s="16" t="n">
        <v>10.41</v>
      </c>
      <c r="J82" s="18" t="inlineStr"/>
    </row>
    <row r="83">
      <c r="A83" s="14" t="n">
        <v>35101010</v>
      </c>
      <c r="B83" s="14" t="inlineStr">
        <is>
          <t>Health Care Equipment</t>
        </is>
      </c>
      <c r="C83" s="14" t="n">
        <v>11</v>
      </c>
      <c r="D83" s="14" t="n">
        <v>35</v>
      </c>
      <c r="E83" s="15" t="n">
        <v>1400000000</v>
      </c>
      <c r="F83" s="15" t="n">
        <v>795190000</v>
      </c>
      <c r="G83" s="16" t="n">
        <v>13.59</v>
      </c>
      <c r="H83" s="17" t="n">
        <v>12.4</v>
      </c>
      <c r="I83" s="16" t="n">
        <v>13.59</v>
      </c>
      <c r="J83" s="18" t="inlineStr"/>
    </row>
    <row r="84">
      <c r="A84" s="14" t="n">
        <v>35101020</v>
      </c>
      <c r="B84" s="14" t="inlineStr">
        <is>
          <t>Health Care Supplies</t>
        </is>
      </c>
      <c r="C84" s="14" t="n">
        <v>8</v>
      </c>
      <c r="D84" s="14" t="n">
        <v>35</v>
      </c>
      <c r="E84" s="15" t="n">
        <v>787430000</v>
      </c>
      <c r="F84" s="15" t="n">
        <v>112670000</v>
      </c>
      <c r="G84" s="16" t="n">
        <v>12.07</v>
      </c>
      <c r="H84" s="17" t="n">
        <v>10.8</v>
      </c>
      <c r="I84" s="16" t="n">
        <v>12.07</v>
      </c>
      <c r="J84" s="18" t="inlineStr"/>
    </row>
    <row r="85">
      <c r="A85" s="14" t="n">
        <v>35102010</v>
      </c>
      <c r="B85" s="14" t="inlineStr">
        <is>
          <t>Health Care Distributors</t>
        </is>
      </c>
      <c r="C85" s="14" t="n">
        <v>1</v>
      </c>
      <c r="D85" s="14" t="n">
        <v>35</v>
      </c>
      <c r="E85" s="15" t="n">
        <v>2380000</v>
      </c>
      <c r="F85" s="15" t="n">
        <v>12420</v>
      </c>
      <c r="G85" s="14" t="n"/>
      <c r="H85" s="14" t="n"/>
      <c r="I85" s="14" t="n"/>
      <c r="J85" s="18" t="inlineStr"/>
    </row>
    <row r="86">
      <c r="A86" s="14" t="n">
        <v>35102015</v>
      </c>
      <c r="B86" s="14" t="inlineStr">
        <is>
          <t>Health Care Services</t>
        </is>
      </c>
      <c r="C86" s="14" t="n">
        <v>9</v>
      </c>
      <c r="D86" s="14" t="n">
        <v>35</v>
      </c>
      <c r="E86" s="15" t="n">
        <v>57660000</v>
      </c>
      <c r="F86" s="15" t="n">
        <v>26960000</v>
      </c>
      <c r="G86" s="16" t="n">
        <v>4.62</v>
      </c>
      <c r="H86" s="17" t="n">
        <v>3.7</v>
      </c>
      <c r="I86" s="16" t="n">
        <v>4.62</v>
      </c>
      <c r="J86" s="18" t="inlineStr"/>
    </row>
    <row r="87">
      <c r="A87" s="14" t="n">
        <v>35102020</v>
      </c>
      <c r="B87" s="14" t="inlineStr">
        <is>
          <t>Health Care Facilities</t>
        </is>
      </c>
      <c r="C87" s="14" t="n">
        <v>3</v>
      </c>
      <c r="D87" s="14" t="n">
        <v>35</v>
      </c>
      <c r="E87" s="15" t="n">
        <v>610570000</v>
      </c>
      <c r="F87" s="15" t="n">
        <v>756150000</v>
      </c>
      <c r="G87" s="16" t="n">
        <v>7.33</v>
      </c>
      <c r="H87" s="17" t="n">
        <v>6.7</v>
      </c>
      <c r="I87" s="16" t="n">
        <v>7.33</v>
      </c>
      <c r="J87" s="18" t="inlineStr"/>
    </row>
    <row r="88">
      <c r="A88" s="14" t="n">
        <v>35103010</v>
      </c>
      <c r="B88" s="14" t="inlineStr">
        <is>
          <t>Health Care Technology</t>
        </is>
      </c>
      <c r="C88" s="14" t="n">
        <v>8</v>
      </c>
      <c r="D88" s="14" t="n">
        <v>35</v>
      </c>
      <c r="E88" s="15" t="n">
        <v>82100000</v>
      </c>
      <c r="F88" s="15" t="n">
        <v>173230000</v>
      </c>
      <c r="G88" s="16" t="n">
        <v>8.130000000000001</v>
      </c>
      <c r="H88" s="17" t="n">
        <v>32.7</v>
      </c>
      <c r="I88" s="16" t="n">
        <v>8.130000000000001</v>
      </c>
      <c r="J88" s="18" t="inlineStr"/>
    </row>
    <row r="89">
      <c r="A89" s="14" t="n">
        <v>35201010</v>
      </c>
      <c r="B89" s="14" t="inlineStr">
        <is>
          <t>Biotechnology</t>
        </is>
      </c>
      <c r="C89" s="14" t="n">
        <v>35</v>
      </c>
      <c r="D89" s="14" t="n">
        <v>35</v>
      </c>
      <c r="E89" s="15" t="n">
        <v>407840000</v>
      </c>
      <c r="F89" s="15" t="n">
        <v>72750000</v>
      </c>
      <c r="G89" s="16" t="n">
        <v>25.22</v>
      </c>
      <c r="H89" s="17" t="n">
        <v>22.9</v>
      </c>
      <c r="I89" s="16" t="n">
        <v>25.22</v>
      </c>
      <c r="J89" s="18" t="inlineStr"/>
    </row>
    <row r="90">
      <c r="A90" s="14" t="n">
        <v>35202010</v>
      </c>
      <c r="B90" s="14" t="inlineStr">
        <is>
          <t>Pharmaceuticals</t>
        </is>
      </c>
      <c r="C90" s="14" t="n">
        <v>15</v>
      </c>
      <c r="D90" s="14" t="n">
        <v>35</v>
      </c>
      <c r="E90" s="15" t="n">
        <v>21460000000</v>
      </c>
      <c r="F90" s="15" t="n">
        <v>7290000000</v>
      </c>
      <c r="G90" s="16" t="n">
        <v>9.18</v>
      </c>
      <c r="H90" s="17" t="n">
        <v>8.699999999999999</v>
      </c>
      <c r="I90" s="16" t="n">
        <v>9.18</v>
      </c>
      <c r="J90" s="18" t="inlineStr"/>
    </row>
    <row r="91">
      <c r="A91" s="14" t="n">
        <v>35203010</v>
      </c>
      <c r="B91" s="14" t="inlineStr">
        <is>
          <t>Life Sciences Tools &amp; Services</t>
        </is>
      </c>
      <c r="C91" s="14" t="n">
        <v>9</v>
      </c>
      <c r="D91" s="14" t="n">
        <v>35</v>
      </c>
      <c r="E91" s="15" t="n">
        <v>162120000</v>
      </c>
      <c r="F91" s="15" t="n">
        <v>36120000</v>
      </c>
      <c r="G91" s="16" t="n">
        <v>58.62</v>
      </c>
      <c r="H91" s="17" t="n">
        <v>16.2</v>
      </c>
      <c r="I91" s="16" t="n">
        <v>16.2</v>
      </c>
      <c r="J91" s="18" t="inlineStr">
        <is>
          <t>Current EV/EBITDA (58.62x) is a near-zero-EBITDA artifact — using BF instead</t>
        </is>
      </c>
    </row>
    <row r="92">
      <c r="A92" s="14" t="n">
        <v>40101010</v>
      </c>
      <c r="B92" s="14" t="inlineStr">
        <is>
          <t>Diversified Banks</t>
        </is>
      </c>
      <c r="C92" s="14" t="n">
        <v>9</v>
      </c>
      <c r="D92" s="14" t="n">
        <v>40</v>
      </c>
      <c r="E92" s="15" t="n">
        <v>56790000000</v>
      </c>
      <c r="F92" s="15" t="n">
        <v>28150000000</v>
      </c>
      <c r="G92" s="14" t="n"/>
      <c r="H92" s="14" t="n"/>
      <c r="I92" s="14" t="n"/>
      <c r="J92" s="18" t="inlineStr"/>
    </row>
    <row r="93">
      <c r="A93" s="14" t="n">
        <v>40101015</v>
      </c>
      <c r="B93" s="14" t="inlineStr">
        <is>
          <t>Regional Banks</t>
        </is>
      </c>
      <c r="C93" s="14" t="n">
        <v>2</v>
      </c>
      <c r="D93" s="14" t="n">
        <v>40</v>
      </c>
      <c r="E93" s="15" t="n">
        <v>1450000000</v>
      </c>
      <c r="F93" s="15" t="n">
        <v>410600000</v>
      </c>
      <c r="G93" s="14" t="n"/>
      <c r="H93" s="14" t="n"/>
      <c r="I93" s="14" t="n"/>
      <c r="J93" s="18" t="inlineStr"/>
    </row>
    <row r="94">
      <c r="A94" s="14" t="n">
        <v>40201020</v>
      </c>
      <c r="B94" s="14" t="inlineStr">
        <is>
          <t>Diversified Financial Services</t>
        </is>
      </c>
      <c r="C94" s="14" t="n">
        <v>1</v>
      </c>
      <c r="D94" s="14" t="n">
        <v>40</v>
      </c>
      <c r="E94" s="15" t="n">
        <v>8750000000</v>
      </c>
      <c r="F94" s="15" t="n">
        <v>18230000000</v>
      </c>
      <c r="G94" s="14" t="n"/>
      <c r="H94" s="14" t="n"/>
      <c r="I94" s="14" t="n"/>
      <c r="J94" s="18" t="inlineStr"/>
    </row>
    <row r="95">
      <c r="A95" s="14" t="n">
        <v>40201040</v>
      </c>
      <c r="B95" s="14" t="inlineStr">
        <is>
          <t>Specialized Finance</t>
        </is>
      </c>
      <c r="C95" s="14" t="n">
        <v>6</v>
      </c>
      <c r="D95" s="14" t="n">
        <v>40</v>
      </c>
      <c r="E95" s="15" t="n">
        <v>41070000</v>
      </c>
      <c r="F95" s="15" t="n">
        <v>41090000</v>
      </c>
      <c r="G95" s="16" t="n">
        <v>6.17</v>
      </c>
      <c r="H95" s="17" t="n">
        <v>5.4</v>
      </c>
      <c r="I95" s="16" t="n">
        <v>6.17</v>
      </c>
      <c r="J95" s="18" t="inlineStr"/>
    </row>
    <row r="96">
      <c r="A96" s="14" t="n">
        <v>40201050</v>
      </c>
      <c r="B96" s="14" t="inlineStr">
        <is>
          <t>Commercial &amp; Residential Mortgage Finance</t>
        </is>
      </c>
      <c r="C96" s="14" t="n">
        <v>6</v>
      </c>
      <c r="D96" s="14" t="n">
        <v>40</v>
      </c>
      <c r="E96" s="15" t="n">
        <v>1010000000</v>
      </c>
      <c r="F96" s="15" t="n">
        <v>3880000000</v>
      </c>
      <c r="G96" s="16" t="n">
        <v>5.95</v>
      </c>
      <c r="H96" s="17" t="n">
        <v>5.5</v>
      </c>
      <c r="I96" s="16" t="n">
        <v>5.95</v>
      </c>
      <c r="J96" s="18" t="inlineStr"/>
    </row>
    <row r="97">
      <c r="A97" s="14" t="n">
        <v>40201060</v>
      </c>
      <c r="B97" s="14" t="inlineStr">
        <is>
          <t>Transaction &amp; Payment Processing Services</t>
        </is>
      </c>
      <c r="C97" s="14" t="n">
        <v>9</v>
      </c>
      <c r="D97" s="14" t="n">
        <v>40</v>
      </c>
      <c r="E97" s="15" t="n">
        <v>2980000000</v>
      </c>
      <c r="F97" s="15" t="n">
        <v>1010000000</v>
      </c>
      <c r="G97" s="16" t="n">
        <v>15.31</v>
      </c>
      <c r="H97" s="17" t="n">
        <v>9.6</v>
      </c>
      <c r="I97" s="16" t="n">
        <v>15.31</v>
      </c>
      <c r="J97" s="18" t="inlineStr"/>
    </row>
    <row r="98">
      <c r="A98" s="14" t="n">
        <v>40202010</v>
      </c>
      <c r="B98" s="14" t="inlineStr">
        <is>
          <t>Consumer Finance</t>
        </is>
      </c>
      <c r="C98" s="14" t="n">
        <v>5</v>
      </c>
      <c r="D98" s="14" t="n">
        <v>40</v>
      </c>
      <c r="E98" s="15" t="n">
        <v>276710000</v>
      </c>
      <c r="F98" s="15" t="n">
        <v>246000000</v>
      </c>
      <c r="G98" s="16" t="n">
        <v>5.59</v>
      </c>
      <c r="H98" s="17" t="n">
        <v>4.6</v>
      </c>
      <c r="I98" s="16" t="n">
        <v>5.59</v>
      </c>
      <c r="J98" s="18" t="inlineStr"/>
    </row>
    <row r="99">
      <c r="A99" s="14" t="n">
        <v>40203010</v>
      </c>
      <c r="B99" s="14" t="inlineStr">
        <is>
          <t>Asset Management &amp; Custody Banks</t>
        </is>
      </c>
      <c r="C99" s="14" t="n">
        <v>75</v>
      </c>
      <c r="D99" s="14" t="n">
        <v>40</v>
      </c>
      <c r="E99" s="15" t="n">
        <v>1280000000</v>
      </c>
      <c r="F99" s="15" t="n">
        <v>3060000000</v>
      </c>
      <c r="G99" s="16" t="n">
        <v>11.61</v>
      </c>
      <c r="H99" s="17" t="n">
        <v>9.4</v>
      </c>
      <c r="I99" s="16" t="n">
        <v>11.61</v>
      </c>
      <c r="J99" s="18" t="inlineStr"/>
    </row>
    <row r="100">
      <c r="A100" s="14" t="n">
        <v>40203020</v>
      </c>
      <c r="B100" s="14" t="inlineStr">
        <is>
          <t>Investment Banking &amp; Brokerage</t>
        </is>
      </c>
      <c r="C100" s="14" t="n">
        <v>11</v>
      </c>
      <c r="D100" s="14" t="n">
        <v>40</v>
      </c>
      <c r="E100" s="15" t="n">
        <v>1060000000</v>
      </c>
      <c r="F100" s="15" t="n">
        <v>421470000</v>
      </c>
      <c r="G100" s="16" t="n">
        <v>10.49</v>
      </c>
      <c r="H100" s="17" t="n">
        <v>10.1</v>
      </c>
      <c r="I100" s="16" t="n">
        <v>10.49</v>
      </c>
      <c r="J100" s="18" t="inlineStr"/>
    </row>
    <row r="101">
      <c r="A101" s="14" t="n">
        <v>40203040</v>
      </c>
      <c r="B101" s="14" t="inlineStr">
        <is>
          <t>Financial Exchanges &amp; Data</t>
        </is>
      </c>
      <c r="C101" s="14" t="n">
        <v>4</v>
      </c>
      <c r="D101" s="14" t="n">
        <v>40</v>
      </c>
      <c r="E101" s="15" t="n">
        <v>12530000000</v>
      </c>
      <c r="F101" s="15" t="n">
        <v>2630000000</v>
      </c>
      <c r="G101" s="16" t="n">
        <v>11.47</v>
      </c>
      <c r="H101" s="17" t="n">
        <v>10.4</v>
      </c>
      <c r="I101" s="16" t="n">
        <v>11.47</v>
      </c>
      <c r="J101" s="18" t="inlineStr"/>
    </row>
    <row r="102">
      <c r="A102" s="14" t="n">
        <v>40301010</v>
      </c>
      <c r="B102" s="14" t="inlineStr">
        <is>
          <t>Insurance Brokers</t>
        </is>
      </c>
      <c r="C102" s="14" t="n">
        <v>2</v>
      </c>
      <c r="D102" s="14" t="n">
        <v>40</v>
      </c>
      <c r="E102" s="15" t="n">
        <v>54010000000</v>
      </c>
      <c r="F102" s="15" t="n">
        <v>13840000000</v>
      </c>
      <c r="G102" s="16" t="n">
        <v>13.45</v>
      </c>
      <c r="H102" s="17" t="n">
        <v>12.6</v>
      </c>
      <c r="I102" s="16" t="n">
        <v>13.45</v>
      </c>
      <c r="J102" s="18" t="inlineStr"/>
    </row>
    <row r="103">
      <c r="A103" s="14" t="n">
        <v>40301020</v>
      </c>
      <c r="B103" s="14" t="inlineStr">
        <is>
          <t>Life &amp; Health Insurance</t>
        </is>
      </c>
      <c r="C103" s="14" t="n">
        <v>3</v>
      </c>
      <c r="D103" s="14" t="n">
        <v>40</v>
      </c>
      <c r="E103" s="15" t="n">
        <v>9250000000</v>
      </c>
      <c r="F103" s="15" t="n">
        <v>13500000000</v>
      </c>
      <c r="G103" s="14" t="n"/>
      <c r="H103" s="14" t="n"/>
      <c r="I103" s="14" t="n"/>
      <c r="J103" s="18" t="inlineStr"/>
    </row>
    <row r="104">
      <c r="A104" s="14" t="n">
        <v>40301030</v>
      </c>
      <c r="B104" s="14" t="inlineStr">
        <is>
          <t>Multi-line Insurance</t>
        </is>
      </c>
      <c r="C104" s="14" t="n">
        <v>3</v>
      </c>
      <c r="D104" s="14" t="n">
        <v>40</v>
      </c>
      <c r="E104" s="15" t="n">
        <v>7540000000</v>
      </c>
      <c r="F104" s="15" t="n">
        <v>9240000000</v>
      </c>
      <c r="G104" s="16" t="n">
        <v>9.529999999999999</v>
      </c>
      <c r="H104" s="17" t="n">
        <v>8.9</v>
      </c>
      <c r="I104" s="16" t="n">
        <v>9.529999999999999</v>
      </c>
      <c r="J104" s="18" t="inlineStr"/>
    </row>
    <row r="105">
      <c r="A105" s="14" t="n">
        <v>40301040</v>
      </c>
      <c r="B105" s="14" t="inlineStr">
        <is>
          <t>Property &amp; Casualty Insurance</t>
        </is>
      </c>
      <c r="C105" s="14" t="n">
        <v>5</v>
      </c>
      <c r="D105" s="14" t="n">
        <v>40</v>
      </c>
      <c r="E105" s="15" t="n">
        <v>4340000000</v>
      </c>
      <c r="F105" s="15" t="n">
        <v>2690000000</v>
      </c>
      <c r="G105" s="14" t="n"/>
      <c r="H105" s="14" t="n"/>
      <c r="I105" s="14" t="n"/>
      <c r="J105" s="18" t="inlineStr"/>
    </row>
    <row r="106">
      <c r="A106" s="14" t="n">
        <v>45102010</v>
      </c>
      <c r="B106" s="14" t="inlineStr">
        <is>
          <t>IT Consulting &amp; Other Services</t>
        </is>
      </c>
      <c r="C106" s="14" t="n">
        <v>15</v>
      </c>
      <c r="D106" s="14" t="n">
        <v>45</v>
      </c>
      <c r="E106" s="15" t="n">
        <v>745840000</v>
      </c>
      <c r="F106" s="15" t="n">
        <v>845570000</v>
      </c>
      <c r="G106" s="16" t="n">
        <v>9.31</v>
      </c>
      <c r="H106" s="17" t="n">
        <v>8.5</v>
      </c>
      <c r="I106" s="16" t="n">
        <v>9.31</v>
      </c>
      <c r="J106" s="18" t="inlineStr"/>
    </row>
    <row r="107">
      <c r="A107" s="14" t="n">
        <v>45102030</v>
      </c>
      <c r="B107" s="14" t="inlineStr">
        <is>
          <t>Internet Services &amp; Infrastructure</t>
        </is>
      </c>
      <c r="C107" s="14" t="n">
        <v>7</v>
      </c>
      <c r="D107" s="14" t="n">
        <v>45</v>
      </c>
      <c r="E107" s="15" t="n">
        <v>144280000</v>
      </c>
      <c r="F107" s="15" t="n">
        <v>85470000</v>
      </c>
      <c r="G107" s="16" t="n">
        <v>7.59</v>
      </c>
      <c r="H107" s="17" t="n">
        <v>6.1</v>
      </c>
      <c r="I107" s="16" t="n">
        <v>7.59</v>
      </c>
      <c r="J107" s="18" t="inlineStr"/>
    </row>
    <row r="108">
      <c r="A108" s="14" t="n">
        <v>45103010</v>
      </c>
      <c r="B108" s="14" t="inlineStr">
        <is>
          <t>Application Software</t>
        </is>
      </c>
      <c r="C108" s="14" t="n">
        <v>49</v>
      </c>
      <c r="D108" s="14" t="n">
        <v>45</v>
      </c>
      <c r="E108" s="15" t="n">
        <v>354900000</v>
      </c>
      <c r="F108" s="15" t="n">
        <v>100060000</v>
      </c>
      <c r="G108" s="16" t="n">
        <v>12.1</v>
      </c>
      <c r="H108" s="17" t="n">
        <v>8.800000000000001</v>
      </c>
      <c r="I108" s="16" t="n">
        <v>12.1</v>
      </c>
      <c r="J108" s="18" t="inlineStr"/>
    </row>
    <row r="109">
      <c r="A109" s="14" t="n">
        <v>45103020</v>
      </c>
      <c r="B109" s="14" t="inlineStr">
        <is>
          <t>Systems Software</t>
        </is>
      </c>
      <c r="C109" s="14" t="n">
        <v>5</v>
      </c>
      <c r="D109" s="14" t="n">
        <v>45</v>
      </c>
      <c r="E109" s="15" t="n">
        <v>27190000</v>
      </c>
      <c r="F109" s="15" t="n">
        <v>14860000</v>
      </c>
      <c r="G109" s="16" t="n">
        <v>19.39</v>
      </c>
      <c r="H109" s="17" t="n">
        <v>15.6</v>
      </c>
      <c r="I109" s="16" t="n">
        <v>19.39</v>
      </c>
      <c r="J109" s="18" t="inlineStr"/>
    </row>
    <row r="110">
      <c r="A110" s="14" t="n">
        <v>45201020</v>
      </c>
      <c r="B110" s="14" t="inlineStr">
        <is>
          <t>Communications Equipment</t>
        </is>
      </c>
      <c r="C110" s="14" t="n">
        <v>4</v>
      </c>
      <c r="D110" s="14" t="n">
        <v>45</v>
      </c>
      <c r="E110" s="15" t="n">
        <v>203930000</v>
      </c>
      <c r="F110" s="15" t="n">
        <v>46790000</v>
      </c>
      <c r="G110" s="16" t="n">
        <v>20.73</v>
      </c>
      <c r="H110" s="17" t="n">
        <v>22.6</v>
      </c>
      <c r="I110" s="16" t="n">
        <v>20.73</v>
      </c>
      <c r="J110" s="18" t="inlineStr"/>
    </row>
    <row r="111">
      <c r="A111" s="14" t="n">
        <v>45202030</v>
      </c>
      <c r="B111" s="14" t="inlineStr">
        <is>
          <t>Technology Hardware, Storage &amp; Peripherals</t>
        </is>
      </c>
      <c r="C111" s="14" t="n">
        <v>3</v>
      </c>
      <c r="D111" s="14" t="n">
        <v>45</v>
      </c>
      <c r="E111" s="15" t="n">
        <v>554470000</v>
      </c>
      <c r="F111" s="15" t="n">
        <v>143870000</v>
      </c>
      <c r="G111" s="16" t="n">
        <v>25.1</v>
      </c>
      <c r="H111" s="17" t="n">
        <v>22.1</v>
      </c>
      <c r="I111" s="16" t="n">
        <v>25.1</v>
      </c>
      <c r="J111" s="18" t="inlineStr"/>
    </row>
    <row r="112">
      <c r="A112" s="14" t="n">
        <v>45203010</v>
      </c>
      <c r="B112" s="14" t="inlineStr">
        <is>
          <t>Electronic Equipment &amp; Instruments</t>
        </is>
      </c>
      <c r="C112" s="14" t="n">
        <v>15</v>
      </c>
      <c r="D112" s="14" t="n">
        <v>45</v>
      </c>
      <c r="E112" s="15" t="n">
        <v>1350000000</v>
      </c>
      <c r="F112" s="15" t="n">
        <v>1190000000</v>
      </c>
      <c r="G112" s="16" t="n">
        <v>10.82</v>
      </c>
      <c r="H112" s="17" t="n">
        <v>10.7</v>
      </c>
      <c r="I112" s="16" t="n">
        <v>10.82</v>
      </c>
      <c r="J112" s="18" t="inlineStr"/>
    </row>
    <row r="113">
      <c r="A113" s="14" t="n">
        <v>45203015</v>
      </c>
      <c r="B113" s="14" t="inlineStr">
        <is>
          <t>Electronic Components</t>
        </is>
      </c>
      <c r="C113" s="14" t="n">
        <v>2</v>
      </c>
      <c r="D113" s="14" t="n">
        <v>45</v>
      </c>
      <c r="E113" s="15" t="n">
        <v>177880000</v>
      </c>
      <c r="F113" s="15" t="n">
        <v>317770000</v>
      </c>
      <c r="G113" s="16" t="n">
        <v>6.98</v>
      </c>
      <c r="H113" s="17" t="n">
        <v>6.6</v>
      </c>
      <c r="I113" s="16" t="n">
        <v>6.98</v>
      </c>
      <c r="J113" s="18" t="inlineStr"/>
    </row>
    <row r="114">
      <c r="A114" s="14" t="n">
        <v>45203020</v>
      </c>
      <c r="B114" s="14" t="inlineStr">
        <is>
          <t>Electronic Manufacturing Services</t>
        </is>
      </c>
      <c r="C114" s="14" t="n">
        <v>1</v>
      </c>
      <c r="D114" s="14" t="n">
        <v>45</v>
      </c>
      <c r="E114" s="15" t="n">
        <v>333920000</v>
      </c>
      <c r="F114" s="15" t="n">
        <v>161480000</v>
      </c>
      <c r="G114" s="16" t="n">
        <v>13.61</v>
      </c>
      <c r="H114" s="17" t="n">
        <v>12</v>
      </c>
      <c r="I114" s="16" t="n">
        <v>13.61</v>
      </c>
      <c r="J114" s="18" t="inlineStr"/>
    </row>
    <row r="115">
      <c r="A115" s="14" t="n">
        <v>45203030</v>
      </c>
      <c r="B115" s="14" t="inlineStr">
        <is>
          <t>Technology Distributors</t>
        </is>
      </c>
      <c r="C115" s="14" t="n">
        <v>2</v>
      </c>
      <c r="D115" s="14" t="n">
        <v>45</v>
      </c>
      <c r="E115" s="15" t="n">
        <v>79450000</v>
      </c>
      <c r="F115" s="15" t="n">
        <v>681150000</v>
      </c>
      <c r="G115" s="16" t="n">
        <v>5</v>
      </c>
      <c r="H115" s="17" t="n">
        <v>4.7</v>
      </c>
      <c r="I115" s="16" t="n">
        <v>5</v>
      </c>
      <c r="J115" s="18" t="inlineStr"/>
    </row>
    <row r="116">
      <c r="A116" s="14" t="n">
        <v>45301010</v>
      </c>
      <c r="B116" s="14" t="inlineStr">
        <is>
          <t>Semiconductor Materials &amp; Equipment</t>
        </is>
      </c>
      <c r="C116" s="14" t="n">
        <v>2</v>
      </c>
      <c r="D116" s="14" t="n">
        <v>45</v>
      </c>
      <c r="E116" s="15" t="n">
        <v>42220000000</v>
      </c>
      <c r="F116" s="15" t="n">
        <v>51220000</v>
      </c>
      <c r="G116" s="16" t="n">
        <v>56.45</v>
      </c>
      <c r="H116" s="17" t="n">
        <v>36.6</v>
      </c>
      <c r="I116" s="16" t="n">
        <v>56.45</v>
      </c>
      <c r="J116" s="18" t="inlineStr"/>
    </row>
    <row r="117">
      <c r="A117" s="14" t="n">
        <v>45301020</v>
      </c>
      <c r="B117" s="14" t="inlineStr">
        <is>
          <t>Semiconductors</t>
        </is>
      </c>
      <c r="C117" s="14" t="n">
        <v>7</v>
      </c>
      <c r="D117" s="14" t="n">
        <v>45</v>
      </c>
      <c r="E117" s="15" t="n">
        <v>43150000000</v>
      </c>
      <c r="F117" s="15" t="n">
        <v>752070000</v>
      </c>
      <c r="G117" s="16" t="n">
        <v>43.11</v>
      </c>
      <c r="H117" s="17" t="n">
        <v>51.2</v>
      </c>
      <c r="I117" s="16" t="n">
        <v>43.11</v>
      </c>
      <c r="J117" s="18" t="inlineStr"/>
    </row>
    <row r="118">
      <c r="A118" s="14" t="n">
        <v>50101010</v>
      </c>
      <c r="B118" s="14" t="inlineStr">
        <is>
          <t>Alternative Carriers</t>
        </is>
      </c>
      <c r="C118" s="14" t="n">
        <v>2</v>
      </c>
      <c r="D118" s="14" t="n">
        <v>50</v>
      </c>
      <c r="E118" s="15" t="n">
        <v>2230000000</v>
      </c>
      <c r="F118" s="15" t="n">
        <v>2770000000</v>
      </c>
      <c r="G118" s="16" t="n">
        <v>6.31</v>
      </c>
      <c r="H118" s="17" t="n">
        <v>6.3</v>
      </c>
      <c r="I118" s="16" t="n">
        <v>6.31</v>
      </c>
      <c r="J118" s="18" t="inlineStr"/>
    </row>
    <row r="119">
      <c r="A119" s="14" t="n">
        <v>50101020</v>
      </c>
      <c r="B119" s="14" t="inlineStr">
        <is>
          <t>Integrated Telecommunication Services</t>
        </is>
      </c>
      <c r="C119" s="14" t="n">
        <v>5</v>
      </c>
      <c r="D119" s="14" t="n">
        <v>50</v>
      </c>
      <c r="E119" s="15" t="n">
        <v>5640000000</v>
      </c>
      <c r="F119" s="15" t="n">
        <v>5180000000</v>
      </c>
      <c r="G119" s="16" t="n">
        <v>5.63</v>
      </c>
      <c r="H119" s="17" t="n">
        <v>5.4</v>
      </c>
      <c r="I119" s="16" t="n">
        <v>5.63</v>
      </c>
      <c r="J119" s="18" t="inlineStr"/>
    </row>
    <row r="120">
      <c r="A120" s="14" t="n">
        <v>50102010</v>
      </c>
      <c r="B120" s="14" t="inlineStr">
        <is>
          <t>Wireless Telecommunication Services</t>
        </is>
      </c>
      <c r="C120" s="14" t="n">
        <v>2</v>
      </c>
      <c r="D120" s="14" t="n">
        <v>50</v>
      </c>
      <c r="E120" s="15" t="n">
        <v>19910000000</v>
      </c>
      <c r="F120" s="15" t="n">
        <v>23660000000</v>
      </c>
      <c r="G120" s="16" t="n">
        <v>5.13</v>
      </c>
      <c r="H120" s="17" t="n">
        <v>4.9</v>
      </c>
      <c r="I120" s="16" t="n">
        <v>5.13</v>
      </c>
      <c r="J120" s="18" t="inlineStr"/>
    </row>
    <row r="121">
      <c r="A121" s="14" t="n">
        <v>50201010</v>
      </c>
      <c r="B121" s="14" t="inlineStr">
        <is>
          <t>Advertising</t>
        </is>
      </c>
      <c r="C121" s="14" t="n">
        <v>20</v>
      </c>
      <c r="D121" s="14" t="n">
        <v>50</v>
      </c>
      <c r="E121" s="15" t="n">
        <v>990000000</v>
      </c>
      <c r="F121" s="15" t="n">
        <v>1100000000</v>
      </c>
      <c r="G121" s="16" t="n">
        <v>6.25</v>
      </c>
      <c r="H121" s="17" t="n">
        <v>6</v>
      </c>
      <c r="I121" s="16" t="n">
        <v>6.25</v>
      </c>
      <c r="J121" s="18" t="inlineStr"/>
    </row>
    <row r="122">
      <c r="A122" s="14" t="n">
        <v>50201020</v>
      </c>
      <c r="B122" s="14" t="inlineStr">
        <is>
          <t>Broadcasting</t>
        </is>
      </c>
      <c r="C122" s="14" t="n">
        <v>2</v>
      </c>
      <c r="D122" s="14" t="n">
        <v>50</v>
      </c>
      <c r="E122" s="15" t="n">
        <v>1410000000</v>
      </c>
      <c r="F122" s="15" t="n">
        <v>1850000000</v>
      </c>
      <c r="G122" s="16" t="n">
        <v>5.32</v>
      </c>
      <c r="H122" s="17" t="n">
        <v>5.4</v>
      </c>
      <c r="I122" s="16" t="n">
        <v>5.32</v>
      </c>
      <c r="J122" s="18" t="inlineStr"/>
    </row>
    <row r="123">
      <c r="A123" s="14" t="n">
        <v>50201040</v>
      </c>
      <c r="B123" s="14" t="inlineStr">
        <is>
          <t>Publishing</t>
        </is>
      </c>
      <c r="C123" s="14" t="n">
        <v>3</v>
      </c>
      <c r="D123" s="14" t="n">
        <v>50</v>
      </c>
      <c r="E123" s="15" t="n">
        <v>321130000</v>
      </c>
      <c r="F123" s="15" t="n">
        <v>2100000000</v>
      </c>
      <c r="G123" s="16" t="n">
        <v>4.14</v>
      </c>
      <c r="H123" s="17" t="n">
        <v>4.2</v>
      </c>
      <c r="I123" s="16" t="n">
        <v>4.14</v>
      </c>
      <c r="J123" s="18" t="inlineStr"/>
    </row>
    <row r="124">
      <c r="A124" s="14" t="n">
        <v>50202010</v>
      </c>
      <c r="B124" s="14" t="inlineStr">
        <is>
          <t>Movies &amp; Entertainment</t>
        </is>
      </c>
      <c r="C124" s="14" t="n">
        <v>11</v>
      </c>
      <c r="D124" s="14" t="n">
        <v>50</v>
      </c>
      <c r="E124" s="15" t="n">
        <v>378510000</v>
      </c>
      <c r="F124" s="15" t="n">
        <v>109680000</v>
      </c>
      <c r="G124" s="16" t="n">
        <v>5.93</v>
      </c>
      <c r="H124" s="17" t="n">
        <v>4.4</v>
      </c>
      <c r="I124" s="16" t="n">
        <v>5.93</v>
      </c>
      <c r="J124" s="18" t="inlineStr"/>
    </row>
    <row r="125">
      <c r="A125" s="14" t="n">
        <v>50202020</v>
      </c>
      <c r="B125" s="14" t="inlineStr">
        <is>
          <t>Interactive Home Entertainment</t>
        </is>
      </c>
      <c r="C125" s="14" t="n">
        <v>6</v>
      </c>
      <c r="D125" s="14" t="n">
        <v>50</v>
      </c>
      <c r="E125" s="15" t="n">
        <v>130160000</v>
      </c>
      <c r="F125" s="15" t="n">
        <v>62650000</v>
      </c>
      <c r="G125" s="16" t="n">
        <v>4.49</v>
      </c>
      <c r="H125" s="17" t="n">
        <v>4.1</v>
      </c>
      <c r="I125" s="16" t="n">
        <v>4.49</v>
      </c>
      <c r="J125" s="18" t="inlineStr"/>
    </row>
    <row r="126">
      <c r="A126" s="14" t="n">
        <v>50203010</v>
      </c>
      <c r="B126" s="14" t="inlineStr">
        <is>
          <t>Interactive Media &amp; Services</t>
        </is>
      </c>
      <c r="C126" s="14" t="n">
        <v>8</v>
      </c>
      <c r="D126" s="14" t="n">
        <v>50</v>
      </c>
      <c r="E126" s="15" t="n">
        <v>1250000000</v>
      </c>
      <c r="F126" s="15" t="n">
        <v>237960000</v>
      </c>
      <c r="G126" s="16" t="n">
        <v>14.42</v>
      </c>
      <c r="H126" s="17" t="n">
        <v>13</v>
      </c>
      <c r="I126" s="16" t="n">
        <v>14.42</v>
      </c>
      <c r="J126" s="18" t="inlineStr"/>
    </row>
    <row r="127">
      <c r="A127" s="14" t="n">
        <v>55101010</v>
      </c>
      <c r="B127" s="14" t="inlineStr">
        <is>
          <t>Electric Utilities</t>
        </is>
      </c>
      <c r="C127" s="14" t="n">
        <v>3</v>
      </c>
      <c r="D127" s="14" t="n">
        <v>55</v>
      </c>
      <c r="E127" s="15" t="n">
        <v>14560000000</v>
      </c>
      <c r="F127" s="15" t="n">
        <v>3450000000</v>
      </c>
      <c r="G127" s="16" t="n">
        <v>10.21</v>
      </c>
      <c r="H127" s="17" t="n">
        <v>9.800000000000001</v>
      </c>
      <c r="I127" s="16" t="n">
        <v>10.21</v>
      </c>
      <c r="J127" s="18" t="inlineStr"/>
    </row>
    <row r="128">
      <c r="A128" s="14" t="n">
        <v>55103010</v>
      </c>
      <c r="B128" s="14" t="inlineStr">
        <is>
          <t>Multi-Utilities</t>
        </is>
      </c>
      <c r="C128" s="14" t="n">
        <v>3</v>
      </c>
      <c r="D128" s="14" t="n">
        <v>55</v>
      </c>
      <c r="E128" s="15" t="n">
        <v>22710000000</v>
      </c>
      <c r="F128" s="15" t="n">
        <v>13060000000</v>
      </c>
      <c r="G128" s="16" t="n">
        <v>8.119999999999999</v>
      </c>
      <c r="H128" s="17" t="n">
        <v>8</v>
      </c>
      <c r="I128" s="16" t="n">
        <v>8.119999999999999</v>
      </c>
      <c r="J128" s="18" t="inlineStr"/>
    </row>
    <row r="129">
      <c r="A129" s="14" t="n">
        <v>55104010</v>
      </c>
      <c r="B129" s="14" t="inlineStr">
        <is>
          <t>Water Utilities</t>
        </is>
      </c>
      <c r="C129" s="14" t="n">
        <v>3</v>
      </c>
      <c r="D129" s="14" t="n">
        <v>55</v>
      </c>
      <c r="E129" s="15" t="n">
        <v>7460000000</v>
      </c>
      <c r="F129" s="15" t="n">
        <v>2250000000</v>
      </c>
      <c r="G129" s="16" t="n">
        <v>12.92</v>
      </c>
      <c r="H129" s="17" t="n">
        <v>12.7</v>
      </c>
      <c r="I129" s="16" t="n">
        <v>12.92</v>
      </c>
      <c r="J129" s="18" t="inlineStr"/>
    </row>
    <row r="130">
      <c r="A130" s="14" t="n">
        <v>55105010</v>
      </c>
      <c r="B130" s="14" t="inlineStr">
        <is>
          <t>Independent Power Producers &amp; Energy Traders</t>
        </is>
      </c>
      <c r="C130" s="14" t="n">
        <v>1</v>
      </c>
      <c r="D130" s="14" t="n">
        <v>55</v>
      </c>
      <c r="E130" s="15" t="n">
        <v>304190000</v>
      </c>
      <c r="F130" s="15" t="n">
        <v>204040000</v>
      </c>
      <c r="G130" s="16" t="n">
        <v>4.83</v>
      </c>
      <c r="H130" s="17" t="n">
        <v>4.3</v>
      </c>
      <c r="I130" s="16" t="n">
        <v>4.83</v>
      </c>
      <c r="J130" s="18" t="inlineStr"/>
    </row>
    <row r="131">
      <c r="A131" s="14" t="n">
        <v>55105020</v>
      </c>
      <c r="B131" s="14" t="inlineStr">
        <is>
          <t>Renewable Electricity</t>
        </is>
      </c>
      <c r="C131" s="14" t="n">
        <v>3</v>
      </c>
      <c r="D131" s="14" t="n">
        <v>55</v>
      </c>
      <c r="E131" s="15" t="n">
        <v>844110000</v>
      </c>
      <c r="F131" s="15" t="n">
        <v>1740000000</v>
      </c>
      <c r="G131" s="16" t="n">
        <v>3.84</v>
      </c>
      <c r="H131" s="17" t="n">
        <v>5.2</v>
      </c>
      <c r="I131" s="16" t="n">
        <v>3.84</v>
      </c>
      <c r="J131" s="18" t="inlineStr"/>
    </row>
    <row r="132">
      <c r="A132" s="14" t="n">
        <v>60101010</v>
      </c>
      <c r="B132" s="14" t="inlineStr">
        <is>
          <t>Diversified REITs*</t>
        </is>
      </c>
      <c r="C132" s="14" t="n">
        <v>13</v>
      </c>
      <c r="D132" s="14" t="n">
        <v>60</v>
      </c>
      <c r="E132" s="15" t="n">
        <v>1090000000</v>
      </c>
      <c r="F132" s="15" t="n">
        <v>147210000</v>
      </c>
      <c r="G132" s="16" t="n">
        <v>17.7</v>
      </c>
      <c r="H132" s="17" t="n">
        <v>18.8</v>
      </c>
      <c r="I132" s="16" t="n">
        <v>17.7</v>
      </c>
      <c r="J132" s="18" t="inlineStr"/>
    </row>
    <row r="133">
      <c r="A133" s="14" t="n">
        <v>60102510</v>
      </c>
      <c r="B133" s="14" t="inlineStr">
        <is>
          <t>Industrial REITs*</t>
        </is>
      </c>
      <c r="C133" s="14" t="n">
        <v>3</v>
      </c>
      <c r="D133" s="14" t="n">
        <v>60</v>
      </c>
      <c r="E133" s="15" t="n">
        <v>7360000000</v>
      </c>
      <c r="F133" s="15" t="n">
        <v>528430000</v>
      </c>
      <c r="G133" s="16" t="n">
        <v>21.79</v>
      </c>
      <c r="H133" s="17" t="n">
        <v>21</v>
      </c>
      <c r="I133" s="16" t="n">
        <v>21.79</v>
      </c>
      <c r="J133" s="18" t="inlineStr"/>
    </row>
    <row r="134">
      <c r="A134" s="14" t="n">
        <v>60104010</v>
      </c>
      <c r="B134" s="14" t="inlineStr">
        <is>
          <t>Office REITs*</t>
        </is>
      </c>
      <c r="C134" s="14" t="n">
        <v>7</v>
      </c>
      <c r="D134" s="14" t="n">
        <v>60</v>
      </c>
      <c r="E134" s="15" t="n">
        <v>728150000</v>
      </c>
      <c r="F134" s="15" t="n">
        <v>786290000</v>
      </c>
      <c r="G134" s="16" t="n">
        <v>21.47</v>
      </c>
      <c r="H134" s="17" t="n">
        <v>16.9</v>
      </c>
      <c r="I134" s="16" t="n">
        <v>21.47</v>
      </c>
      <c r="J134" s="18" t="inlineStr"/>
    </row>
    <row r="135">
      <c r="A135" s="14" t="n">
        <v>60105010</v>
      </c>
      <c r="B135" s="14" t="inlineStr">
        <is>
          <t>Health Care REITs*</t>
        </is>
      </c>
      <c r="C135" s="14" t="n">
        <v>2</v>
      </c>
      <c r="D135" s="14" t="n">
        <v>60</v>
      </c>
      <c r="E135" s="15" t="n">
        <v>1590000000</v>
      </c>
      <c r="F135" s="15" t="n">
        <v>220460000</v>
      </c>
      <c r="G135" s="16" t="n">
        <v>16.71</v>
      </c>
      <c r="H135" s="17" t="n">
        <v>16.8</v>
      </c>
      <c r="I135" s="16" t="n">
        <v>16.71</v>
      </c>
      <c r="J135" s="18" t="inlineStr"/>
    </row>
    <row r="136">
      <c r="A136" s="14" t="n">
        <v>60106010</v>
      </c>
      <c r="B136" s="14" t="inlineStr">
        <is>
          <t>Multi-Family Residential REITs*</t>
        </is>
      </c>
      <c r="C136" s="14" t="n">
        <v>6</v>
      </c>
      <c r="D136" s="14" t="n">
        <v>60</v>
      </c>
      <c r="E136" s="15" t="n">
        <v>754780000</v>
      </c>
      <c r="F136" s="15" t="n">
        <v>112670000</v>
      </c>
      <c r="G136" s="16" t="n">
        <v>18.42</v>
      </c>
      <c r="H136" s="17" t="n">
        <v>17.7</v>
      </c>
      <c r="I136" s="16" t="n">
        <v>18.42</v>
      </c>
      <c r="J136" s="18" t="inlineStr"/>
    </row>
    <row r="137">
      <c r="A137" s="14" t="n">
        <v>60107010</v>
      </c>
      <c r="B137" s="14" t="inlineStr">
        <is>
          <t>Retail REITs*</t>
        </is>
      </c>
      <c r="C137" s="14" t="n">
        <v>3</v>
      </c>
      <c r="D137" s="14" t="n">
        <v>60</v>
      </c>
      <c r="E137" s="15" t="n">
        <v>1240000000</v>
      </c>
      <c r="F137" s="15" t="n">
        <v>151040000</v>
      </c>
      <c r="G137" s="16" t="n">
        <v>17</v>
      </c>
      <c r="H137" s="17" t="n">
        <v>16.1</v>
      </c>
      <c r="I137" s="16" t="n">
        <v>17</v>
      </c>
      <c r="J137" s="18" t="inlineStr"/>
    </row>
    <row r="138">
      <c r="A138" s="14" t="n">
        <v>60108020</v>
      </c>
      <c r="B138" s="14" t="inlineStr">
        <is>
          <t>Self-Storage REITs*</t>
        </is>
      </c>
      <c r="C138" s="14" t="n">
        <v>2</v>
      </c>
      <c r="D138" s="14" t="n">
        <v>60</v>
      </c>
      <c r="E138" s="15" t="n">
        <v>1570000000</v>
      </c>
      <c r="F138" s="15" t="n">
        <v>225590000</v>
      </c>
      <c r="G138" s="16" t="n">
        <v>16.98</v>
      </c>
      <c r="H138" s="17" t="n">
        <v>16.5</v>
      </c>
      <c r="I138" s="16" t="n">
        <v>16.98</v>
      </c>
      <c r="J138" s="18" t="inlineStr"/>
    </row>
    <row r="139">
      <c r="A139" s="14" t="n">
        <v>60201010</v>
      </c>
      <c r="B139" s="14" t="inlineStr">
        <is>
          <t>Diversified Real Estate Activities</t>
        </is>
      </c>
      <c r="C139" s="14" t="n">
        <v>2</v>
      </c>
      <c r="D139" s="14" t="n">
        <v>60</v>
      </c>
      <c r="E139" s="15" t="n">
        <v>20210000</v>
      </c>
      <c r="F139" s="15" t="n">
        <v>9730000</v>
      </c>
      <c r="G139" s="16" t="n">
        <v>6.6</v>
      </c>
      <c r="H139" s="17" t="n">
        <v>6.4</v>
      </c>
      <c r="I139" s="16" t="n">
        <v>6.6</v>
      </c>
      <c r="J139" s="18" t="inlineStr"/>
    </row>
    <row r="140">
      <c r="A140" s="14" t="n">
        <v>60201020</v>
      </c>
      <c r="B140" s="14" t="inlineStr">
        <is>
          <t>Real Estate Operating Companies</t>
        </is>
      </c>
      <c r="C140" s="14" t="n">
        <v>13</v>
      </c>
      <c r="D140" s="14" t="n">
        <v>60</v>
      </c>
      <c r="E140" s="15" t="n">
        <v>59010000</v>
      </c>
      <c r="F140" s="15" t="n">
        <v>71110000</v>
      </c>
      <c r="G140" s="16" t="n">
        <v>8.26</v>
      </c>
      <c r="H140" s="17" t="n">
        <v>7.9</v>
      </c>
      <c r="I140" s="16" t="n">
        <v>8.26</v>
      </c>
      <c r="J140" s="18" t="inlineStr"/>
    </row>
    <row r="141">
      <c r="A141" s="14" t="n">
        <v>60201030</v>
      </c>
      <c r="B141" s="14" t="inlineStr">
        <is>
          <t>Real Estate Development</t>
        </is>
      </c>
      <c r="C141" s="14" t="n">
        <v>3</v>
      </c>
      <c r="D141" s="14" t="n">
        <v>60</v>
      </c>
      <c r="E141" s="15" t="n">
        <v>700240000</v>
      </c>
      <c r="F141" s="15" t="n">
        <v>699210000</v>
      </c>
      <c r="G141" s="16" t="n">
        <v>45.19</v>
      </c>
      <c r="H141" s="17" t="n">
        <v>16.8</v>
      </c>
      <c r="I141" s="16" t="n">
        <v>45.19</v>
      </c>
      <c r="J141" s="18" t="inlineStr"/>
    </row>
    <row r="142">
      <c r="A142" s="14" t="n">
        <v>60201040</v>
      </c>
      <c r="B142" s="14" t="inlineStr">
        <is>
          <t>Real Estate Services</t>
        </is>
      </c>
      <c r="C142" s="14" t="n">
        <v>5</v>
      </c>
      <c r="D142" s="14" t="n">
        <v>60</v>
      </c>
      <c r="E142" s="15" t="n">
        <v>482530000</v>
      </c>
      <c r="F142" s="15" t="n">
        <v>595940000</v>
      </c>
      <c r="G142" s="16" t="n">
        <v>5.38</v>
      </c>
      <c r="H142" s="17" t="n">
        <v>4.8</v>
      </c>
      <c r="I142" s="16" t="n">
        <v>5.38</v>
      </c>
      <c r="J142" s="18" t="inlineStr"/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18" customWidth="1" min="3" max="3"/>
    <col width="20" customWidth="1" min="4" max="4"/>
  </cols>
  <sheetData>
    <row r="1" ht="20" customHeight="1">
      <c r="A1" s="19" t="inlineStr">
        <is>
          <t>STEP 4 — PASTE ZONE. PRA SWES Level-1 (GICS Sector) UK shocks, Year 1, from the BoE annex.</t>
        </is>
      </c>
    </row>
    <row r="3">
      <c r="A3" s="6" t="inlineStr">
        <is>
          <t>Sector Code</t>
        </is>
      </c>
      <c r="B3" s="6" t="inlineStr">
        <is>
          <t>GICS Sector</t>
        </is>
      </c>
      <c r="C3" s="6" t="inlineStr">
        <is>
          <t>UK Revenue
Shock %</t>
        </is>
      </c>
      <c r="D3" s="6" t="inlineStr">
        <is>
          <t>UK EV/EBITDA
Shock %</t>
        </is>
      </c>
    </row>
    <row r="4">
      <c r="A4" s="7" t="n">
        <v>10</v>
      </c>
      <c r="B4" s="7" t="inlineStr">
        <is>
          <t>Energy</t>
        </is>
      </c>
      <c r="C4" s="20" t="n">
        <v>0.08</v>
      </c>
      <c r="D4" s="20" t="n">
        <v>0</v>
      </c>
    </row>
    <row r="5">
      <c r="A5" s="7" t="n">
        <v>15</v>
      </c>
      <c r="B5" s="7" t="inlineStr">
        <is>
          <t>Materials</t>
        </is>
      </c>
      <c r="C5" s="20" t="n">
        <v>-0.05</v>
      </c>
      <c r="D5" s="20" t="n">
        <v>-0.28</v>
      </c>
    </row>
    <row r="6">
      <c r="A6" s="7" t="n">
        <v>20</v>
      </c>
      <c r="B6" s="7" t="inlineStr">
        <is>
          <t>Industrials</t>
        </is>
      </c>
      <c r="C6" s="20" t="n">
        <v>-0.1</v>
      </c>
      <c r="D6" s="20" t="n">
        <v>-0.32</v>
      </c>
    </row>
    <row r="7">
      <c r="A7" s="7" t="n">
        <v>25</v>
      </c>
      <c r="B7" s="7" t="inlineStr">
        <is>
          <t>Consumer Discretionary</t>
        </is>
      </c>
      <c r="C7" s="20" t="n">
        <v>-0.1</v>
      </c>
      <c r="D7" s="20" t="n">
        <v>-0.25</v>
      </c>
    </row>
    <row r="8">
      <c r="A8" s="7" t="n">
        <v>30</v>
      </c>
      <c r="B8" s="7" t="inlineStr">
        <is>
          <t>Consumer Staples</t>
        </is>
      </c>
      <c r="C8" s="20" t="n">
        <v>-0.05</v>
      </c>
      <c r="D8" s="20" t="n">
        <v>-0.25</v>
      </c>
    </row>
    <row r="9">
      <c r="A9" s="7" t="n">
        <v>35</v>
      </c>
      <c r="B9" s="7" t="inlineStr">
        <is>
          <t>Health Care</t>
        </is>
      </c>
      <c r="C9" s="20" t="n">
        <v>-0.05</v>
      </c>
      <c r="D9" s="20" t="n">
        <v>-0.25</v>
      </c>
    </row>
    <row r="10">
      <c r="A10" s="7" t="n">
        <v>40</v>
      </c>
      <c r="B10" s="7" t="inlineStr">
        <is>
          <t>Financials</t>
        </is>
      </c>
      <c r="C10" s="20" t="n">
        <v>-0.1</v>
      </c>
      <c r="D10" s="20" t="n">
        <v>-0.32</v>
      </c>
    </row>
    <row r="11">
      <c r="A11" s="7" t="n">
        <v>45</v>
      </c>
      <c r="B11" s="7" t="inlineStr">
        <is>
          <t>Information Technology</t>
        </is>
      </c>
      <c r="C11" s="20" t="n">
        <v>-0.1</v>
      </c>
      <c r="D11" s="20" t="n">
        <v>-0.36</v>
      </c>
    </row>
    <row r="12">
      <c r="A12" s="7" t="n">
        <v>50</v>
      </c>
      <c r="B12" s="7" t="inlineStr">
        <is>
          <t>Communication Services</t>
        </is>
      </c>
      <c r="C12" s="20" t="n">
        <v>-0.05</v>
      </c>
      <c r="D12" s="20" t="n">
        <v>-0.26</v>
      </c>
    </row>
    <row r="13">
      <c r="A13" s="7" t="n">
        <v>55</v>
      </c>
      <c r="B13" s="7" t="inlineStr">
        <is>
          <t>Utilities</t>
        </is>
      </c>
      <c r="C13" s="20" t="n">
        <v>0.02</v>
      </c>
      <c r="D13" s="20" t="n">
        <v>-0.01</v>
      </c>
    </row>
    <row r="14">
      <c r="A14" s="7" t="n">
        <v>60</v>
      </c>
      <c r="B14" s="7" t="inlineStr">
        <is>
          <t>Real Estate</t>
        </is>
      </c>
      <c r="C14" s="20" t="n">
        <v>-0.1</v>
      </c>
      <c r="D14" s="20" t="n">
        <v>-0.36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165"/>
  <sheetViews>
    <sheetView showGridLines="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10" customWidth="1" min="9" max="9"/>
    <col width="12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2" customWidth="1" min="34" max="34"/>
    <col width="12" customWidth="1" min="35" max="35"/>
  </cols>
  <sheetData>
    <row r="1" ht="40" customHeight="1">
      <c r="A1" t="inlineStr">
        <is>
          <t>STEP 5 — 163 sub-industries. Columns F-O: the ORIGINAL Damodaran-beta cascade, equal-weighted (unchanged method). Columns P-AD: the REAL-DATA cascade — Revenue keeps the beta DIFFERENTIATOR but reweights by real UK revenue; EV/EBITDA uses the real multiple as the differentiator outright, falling back to the beta estimate only where no UK listing exists. Columns AE-AF: the divergence between the two.</t>
        </is>
      </c>
    </row>
    <row r="2" ht="34" customHeight="1">
      <c r="A2" s="6" t="inlineStr">
        <is>
          <t>Sub-Ind
Code</t>
        </is>
      </c>
      <c r="B2" s="6" t="inlineStr">
        <is>
          <t>Sub-Industry</t>
        </is>
      </c>
      <c r="C2" s="6" t="inlineStr">
        <is>
          <t>Sector
Code</t>
        </is>
      </c>
      <c r="D2" s="6" t="inlineStr">
        <is>
          <t>IG
Code</t>
        </is>
      </c>
      <c r="E2" s="6" t="inlineStr">
        <is>
          <t>Ind
Code</t>
        </is>
      </c>
      <c r="F2" s="6" t="inlineStr">
        <is>
          <t>Shrunk
Beta L4</t>
        </is>
      </c>
      <c r="G2" s="6" t="inlineStr">
        <is>
          <t>Weight
(=1)</t>
        </is>
      </c>
      <c r="H2" s="6" t="inlineStr">
        <is>
          <t>AvgBeta
L3 (eq-wt)</t>
        </is>
      </c>
      <c r="I2" s="6" t="inlineStr">
        <is>
          <t>AvgBeta
L2 (eq-wt)</t>
        </is>
      </c>
      <c r="J2" s="6" t="inlineStr">
        <is>
          <t>AvgBeta
L1 (eq-wt)</t>
        </is>
      </c>
      <c r="K2" s="6" t="inlineStr">
        <is>
          <t>RelBeta
L2</t>
        </is>
      </c>
      <c r="L2" s="6" t="inlineStr">
        <is>
          <t>RelBeta
L3</t>
        </is>
      </c>
      <c r="M2" s="6" t="inlineStr">
        <is>
          <t>RelBeta
L4</t>
        </is>
      </c>
      <c r="N2" s="6" t="inlineStr">
        <is>
          <t>[BETA] Rev
Shock L4</t>
        </is>
      </c>
      <c r="O2" s="6" t="inlineStr">
        <is>
          <t>[BETA] EV/EBITDA
Shock L4</t>
        </is>
      </c>
      <c r="P2" s="6" t="inlineStr">
        <is>
          <t>Real UK
Revenue</t>
        </is>
      </c>
      <c r="Q2" s="6" t="inlineStr">
        <is>
          <t>Real UK
Market Cap</t>
        </is>
      </c>
      <c r="R2" s="6" t="inlineStr">
        <is>
          <t>Real UK
Multiple Used</t>
        </is>
      </c>
      <c r="S2" s="6" t="inlineStr">
        <is>
          <t>AvgBeta L3
(real-rev-wt)</t>
        </is>
      </c>
      <c r="T2" s="6" t="inlineStr">
        <is>
          <t>AvgBeta L2
(real-rev-wt)</t>
        </is>
      </c>
      <c r="U2" s="6" t="inlineStr">
        <is>
          <t>AvgBeta L1
(real-rev-wt)</t>
        </is>
      </c>
      <c r="V2" s="6" t="inlineStr">
        <is>
          <t>RelBeta L2
(real-rev-wt)</t>
        </is>
      </c>
      <c r="W2" s="6" t="inlineStr">
        <is>
          <t>RelBeta L3
(real-rev-wt)</t>
        </is>
      </c>
      <c r="X2" s="6" t="inlineStr">
        <is>
          <t>RelBeta L4
(real-rev-wt)</t>
        </is>
      </c>
      <c r="Y2" s="6" t="inlineStr">
        <is>
          <t>[REAL] Rev
Shock L4</t>
        </is>
      </c>
      <c r="Z2" s="6" t="inlineStr">
        <is>
          <t>Rev
Source</t>
        </is>
      </c>
      <c r="AA2" s="6" t="inlineStr">
        <is>
          <t>Real Sector Wtd-Avg
Multiple</t>
        </is>
      </c>
      <c r="AB2" s="6" t="inlineStr">
        <is>
          <t>RelMultiple
(real)</t>
        </is>
      </c>
      <c r="AC2" s="6" t="inlineStr">
        <is>
          <t>[REAL] EV/EBITDA
Shock L4</t>
        </is>
      </c>
      <c r="AD2" s="6" t="inlineStr">
        <is>
          <t>EV/EBITDA
Source</t>
        </is>
      </c>
      <c r="AE2" s="6" t="inlineStr">
        <is>
          <t>Rev
Divergence</t>
        </is>
      </c>
      <c r="AF2" s="6" t="inlineStr">
        <is>
          <t>EV/EBITDA
Divergence</t>
        </is>
      </c>
    </row>
    <row r="3">
      <c r="A3" s="7" t="n">
        <v>10101010</v>
      </c>
      <c r="B3" s="7" t="inlineStr">
        <is>
          <t>Oil &amp; Gas Drilling</t>
        </is>
      </c>
      <c r="C3" s="7" t="n">
        <v>10</v>
      </c>
      <c r="D3" s="7" t="n">
        <v>1010</v>
      </c>
      <c r="E3" s="7" t="n">
        <v>101010</v>
      </c>
      <c r="F3" s="7" t="n">
        <v>0.7977030000000001</v>
      </c>
      <c r="G3" s="7" t="n">
        <v>1</v>
      </c>
      <c r="H3" s="11">
        <f>SUMPRODUCT(($E$3:$E$165=E3)*$G$3:$G$165*$F$3:$F$165)/SUMPRODUCT(($E$3:$E$165=E3)*$G$3:$G$165)</f>
        <v/>
      </c>
      <c r="I3" s="11">
        <f>SUMPRODUCT(($D$3:$D$165=D3)*$G$3:$G$165*$F$3:$F$165)/SUMPRODUCT(($D$3:$D$165=D3)*$G$3:$G$165)</f>
        <v/>
      </c>
      <c r="J3" s="11">
        <f>SUMPRODUCT(($C$3:$C$165=C3)*$G$3:$G$165*$F$3:$F$165)/SUMPRODUCT(($C$3:$C$165=C3)*$G$3:$G$165)</f>
        <v/>
      </c>
      <c r="K3" s="21">
        <f>I3/J3</f>
        <v/>
      </c>
      <c r="L3" s="21">
        <f>H3/I3</f>
        <v/>
      </c>
      <c r="M3" s="21">
        <f>F3/H3</f>
        <v/>
      </c>
      <c r="N3" s="22">
        <f>INDEX('4_UK_L1_Input'!$C$4:$C$14,MATCH($C3,'4_UK_L1_Input'!$A$4:$A$14,0))*K3*L3*M3</f>
        <v/>
      </c>
      <c r="O3" s="22">
        <f>INDEX('4_UK_L1_Input'!$D$4:$D$14,MATCH($C3,'4_UK_L1_Input'!$A$4:$A$14,0))*K3*L3*M3</f>
        <v/>
      </c>
      <c r="P3" s="15" t="n">
        <v>554970000</v>
      </c>
      <c r="Q3" s="15" t="n">
        <v>2270000000</v>
      </c>
      <c r="R3" s="16" t="n">
        <v>3.74</v>
      </c>
      <c r="S3" s="11">
        <f>IFERROR(SUMPRODUCT(($E$3:$E$165=E3)*ISNUMBER($P$3:$P$165)*$P$3:$P$165*$F$3:$F$165)/SUMPRODUCT(($E$3:$E$165=E3)*ISNUMBER($P$3:$P$165)*$P$3:$P$165),"")</f>
        <v/>
      </c>
      <c r="T3" s="11">
        <f>IFERROR(SUMPRODUCT(($D$3:$D$165=D3)*ISNUMBER($P$3:$P$165)*$P$3:$P$165*$F$3:$F$165)/SUMPRODUCT(($D$3:$D$165=D3)*ISNUMBER($P$3:$P$165)*$P$3:$P$165),"")</f>
        <v/>
      </c>
      <c r="U3" s="11">
        <f>IFERROR(SUMPRODUCT(($C$3:$C$165=C3)*ISNUMBER($P$3:$P$165)*$P$3:$P$165*$F$3:$F$165)/SUMPRODUCT(($C$3:$C$165=C3)*ISNUMBER($P$3:$P$165)*$P$3:$P$165),"")</f>
        <v/>
      </c>
      <c r="V3" s="21">
        <f>IF(OR(T3="",U3=""),"",T3/U3)</f>
        <v/>
      </c>
      <c r="W3" s="21">
        <f>IF(OR(S3="",T3=""),"",S3/T3)</f>
        <v/>
      </c>
      <c r="X3" s="21">
        <f>IF(S3="","",F3/S3)</f>
        <v/>
      </c>
      <c r="Y3" s="22">
        <f>IF(V3="",N3,INDEX('4_UK_L1_Input'!$C$4:$C$14,MATCH($C3,'4_UK_L1_Input'!$A$4:$A$14,0))*V3*W3*X3)</f>
        <v/>
      </c>
      <c r="Z3" s="7">
        <f>IF(V3="","BETA FALLBACK","REAL (Bloomberg UK)")</f>
        <v/>
      </c>
      <c r="AA3" s="21">
        <f>IFERROR(SUMPRODUCT(($C$3:$C$165=C3)*ISNUMBER($R$3:$R$165)*$Q$3:$Q$165*IF(ISNUMBER($R$3:$R$165),$R$3:$R$165,0))/SUMPRODUCT(($C$3:$C$165=C3)*ISNUMBER($R$3:$R$165)*$Q$3:$Q$165),"")</f>
        <v/>
      </c>
      <c r="AB3" s="21">
        <f>IF(OR(R3="",AA3=""),"",R3/AA3)</f>
        <v/>
      </c>
      <c r="AC3" s="22">
        <f>IF(AB3="",O3,INDEX('4_UK_L1_Input'!$D$4:$D$14,MATCH($C3,'4_UK_L1_Input'!$A$4:$A$14,0))*AB3)</f>
        <v/>
      </c>
      <c r="AD3" s="7">
        <f>IF(AB3="","BETA FALLBACK","REAL (Bloomberg UK)")</f>
        <v/>
      </c>
      <c r="AE3" s="23">
        <f>Y3-N3</f>
        <v/>
      </c>
      <c r="AF3" s="23">
        <f>AC3-O3</f>
        <v/>
      </c>
    </row>
    <row r="4">
      <c r="A4" s="7" t="n">
        <v>10101020</v>
      </c>
      <c r="B4" s="7" t="inlineStr">
        <is>
          <t>Oil &amp; Gas Equipment &amp; Services</t>
        </is>
      </c>
      <c r="C4" s="7" t="n">
        <v>10</v>
      </c>
      <c r="D4" s="7" t="n">
        <v>1010</v>
      </c>
      <c r="E4" s="7" t="n">
        <v>101010</v>
      </c>
      <c r="F4" s="7" t="n">
        <v>0.7977030000000001</v>
      </c>
      <c r="G4" s="7" t="n">
        <v>1</v>
      </c>
      <c r="H4" s="11">
        <f>SUMPRODUCT(($E$3:$E$165=E4)*$G$3:$G$165*$F$3:$F$165)/SUMPRODUCT(($E$3:$E$165=E4)*$G$3:$G$165)</f>
        <v/>
      </c>
      <c r="I4" s="11">
        <f>SUMPRODUCT(($D$3:$D$165=D4)*$G$3:$G$165*$F$3:$F$165)/SUMPRODUCT(($D$3:$D$165=D4)*$G$3:$G$165)</f>
        <v/>
      </c>
      <c r="J4" s="11">
        <f>SUMPRODUCT(($C$3:$C$165=C4)*$G$3:$G$165*$F$3:$F$165)/SUMPRODUCT(($C$3:$C$165=C4)*$G$3:$G$165)</f>
        <v/>
      </c>
      <c r="K4" s="21">
        <f>I4/J4</f>
        <v/>
      </c>
      <c r="L4" s="21">
        <f>H4/I4</f>
        <v/>
      </c>
      <c r="M4" s="21">
        <f>F4/H4</f>
        <v/>
      </c>
      <c r="N4" s="22">
        <f>INDEX('4_UK_L1_Input'!$C$4:$C$14,MATCH($C4,'4_UK_L1_Input'!$A$4:$A$14,0))*K4*L4*M4</f>
        <v/>
      </c>
      <c r="O4" s="22">
        <f>INDEX('4_UK_L1_Input'!$D$4:$D$14,MATCH($C4,'4_UK_L1_Input'!$A$4:$A$14,0))*K4*L4*M4</f>
        <v/>
      </c>
      <c r="P4" s="15" t="n">
        <v>2690000000</v>
      </c>
      <c r="Q4" s="15" t="n">
        <v>18050000000</v>
      </c>
      <c r="R4" s="16" t="n">
        <v>8.220000000000001</v>
      </c>
      <c r="S4" s="11">
        <f>IFERROR(SUMPRODUCT(($E$3:$E$165=E4)*ISNUMBER($P$3:$P$165)*$P$3:$P$165*$F$3:$F$165)/SUMPRODUCT(($E$3:$E$165=E4)*ISNUMBER($P$3:$P$165)*$P$3:$P$165),"")</f>
        <v/>
      </c>
      <c r="T4" s="11">
        <f>IFERROR(SUMPRODUCT(($D$3:$D$165=D4)*ISNUMBER($P$3:$P$165)*$P$3:$P$165*$F$3:$F$165)/SUMPRODUCT(($D$3:$D$165=D4)*ISNUMBER($P$3:$P$165)*$P$3:$P$165),"")</f>
        <v/>
      </c>
      <c r="U4" s="11">
        <f>IFERROR(SUMPRODUCT(($C$3:$C$165=C4)*ISNUMBER($P$3:$P$165)*$P$3:$P$165*$F$3:$F$165)/SUMPRODUCT(($C$3:$C$165=C4)*ISNUMBER($P$3:$P$165)*$P$3:$P$165),"")</f>
        <v/>
      </c>
      <c r="V4" s="21">
        <f>IF(OR(T4="",U4=""),"",T4/U4)</f>
        <v/>
      </c>
      <c r="W4" s="21">
        <f>IF(OR(S4="",T4=""),"",S4/T4)</f>
        <v/>
      </c>
      <c r="X4" s="21">
        <f>IF(S4="","",F4/S4)</f>
        <v/>
      </c>
      <c r="Y4" s="22">
        <f>IF(V4="",N4,INDEX('4_UK_L1_Input'!$C$4:$C$14,MATCH($C4,'4_UK_L1_Input'!$A$4:$A$14,0))*V4*W4*X4)</f>
        <v/>
      </c>
      <c r="Z4" s="7">
        <f>IF(V4="","BETA FALLBACK","REAL (Bloomberg UK)")</f>
        <v/>
      </c>
      <c r="AA4" s="21">
        <f>IFERROR(SUMPRODUCT(($C$3:$C$165=C4)*ISNUMBER($R$3:$R$165)*$Q$3:$Q$165*IF(ISNUMBER($R$3:$R$165),$R$3:$R$165,0))/SUMPRODUCT(($C$3:$C$165=C4)*ISNUMBER($R$3:$R$165)*$Q$3:$Q$165),"")</f>
        <v/>
      </c>
      <c r="AB4" s="21">
        <f>IF(OR(R4="",AA4=""),"",R4/AA4)</f>
        <v/>
      </c>
      <c r="AC4" s="22">
        <f>IF(AB4="",O4,INDEX('4_UK_L1_Input'!$D$4:$D$14,MATCH($C4,'4_UK_L1_Input'!$A$4:$A$14,0))*AB4)</f>
        <v/>
      </c>
      <c r="AD4" s="7">
        <f>IF(AB4="","BETA FALLBACK","REAL (Bloomberg UK)")</f>
        <v/>
      </c>
      <c r="AE4" s="23">
        <f>Y4-N4</f>
        <v/>
      </c>
      <c r="AF4" s="23">
        <f>AC4-O4</f>
        <v/>
      </c>
    </row>
    <row r="5">
      <c r="A5" s="7" t="n">
        <v>10102010</v>
      </c>
      <c r="B5" s="7" t="inlineStr">
        <is>
          <t>Integrated Oil &amp; Gas</t>
        </is>
      </c>
      <c r="C5" s="7" t="n">
        <v>10</v>
      </c>
      <c r="D5" s="7" t="n">
        <v>1010</v>
      </c>
      <c r="E5" s="7" t="n">
        <v>101020</v>
      </c>
      <c r="F5" s="7" t="n">
        <v>0.722978</v>
      </c>
      <c r="G5" s="7" t="n">
        <v>1</v>
      </c>
      <c r="H5" s="11">
        <f>SUMPRODUCT(($E$3:$E$165=E5)*$G$3:$G$165*$F$3:$F$165)/SUMPRODUCT(($E$3:$E$165=E5)*$G$3:$G$165)</f>
        <v/>
      </c>
      <c r="I5" s="11">
        <f>SUMPRODUCT(($D$3:$D$165=D5)*$G$3:$G$165*$F$3:$F$165)/SUMPRODUCT(($D$3:$D$165=D5)*$G$3:$G$165)</f>
        <v/>
      </c>
      <c r="J5" s="11">
        <f>SUMPRODUCT(($C$3:$C$165=C5)*$G$3:$G$165*$F$3:$F$165)/SUMPRODUCT(($C$3:$C$165=C5)*$G$3:$G$165)</f>
        <v/>
      </c>
      <c r="K5" s="21">
        <f>I5/J5</f>
        <v/>
      </c>
      <c r="L5" s="21">
        <f>H5/I5</f>
        <v/>
      </c>
      <c r="M5" s="21">
        <f>F5/H5</f>
        <v/>
      </c>
      <c r="N5" s="22">
        <f>INDEX('4_UK_L1_Input'!$C$4:$C$14,MATCH($C5,'4_UK_L1_Input'!$A$4:$A$14,0))*K5*L5*M5</f>
        <v/>
      </c>
      <c r="O5" s="22">
        <f>INDEX('4_UK_L1_Input'!$D$4:$D$14,MATCH($C5,'4_UK_L1_Input'!$A$4:$A$14,0))*K5*L5*M5</f>
        <v/>
      </c>
      <c r="P5" s="15" t="n">
        <v>256880000000</v>
      </c>
      <c r="Q5" s="15" t="n">
        <v>131690000000</v>
      </c>
      <c r="R5" s="16" t="n">
        <v>3.39</v>
      </c>
      <c r="S5" s="11">
        <f>IFERROR(SUMPRODUCT(($E$3:$E$165=E5)*ISNUMBER($P$3:$P$165)*$P$3:$P$165*$F$3:$F$165)/SUMPRODUCT(($E$3:$E$165=E5)*ISNUMBER($P$3:$P$165)*$P$3:$P$165),"")</f>
        <v/>
      </c>
      <c r="T5" s="11">
        <f>IFERROR(SUMPRODUCT(($D$3:$D$165=D5)*ISNUMBER($P$3:$P$165)*$P$3:$P$165*$F$3:$F$165)/SUMPRODUCT(($D$3:$D$165=D5)*ISNUMBER($P$3:$P$165)*$P$3:$P$165),"")</f>
        <v/>
      </c>
      <c r="U5" s="11">
        <f>IFERROR(SUMPRODUCT(($C$3:$C$165=C5)*ISNUMBER($P$3:$P$165)*$P$3:$P$165*$F$3:$F$165)/SUMPRODUCT(($C$3:$C$165=C5)*ISNUMBER($P$3:$P$165)*$P$3:$P$165),"")</f>
        <v/>
      </c>
      <c r="V5" s="21">
        <f>IF(OR(T5="",U5=""),"",T5/U5)</f>
        <v/>
      </c>
      <c r="W5" s="21">
        <f>IF(OR(S5="",T5=""),"",S5/T5)</f>
        <v/>
      </c>
      <c r="X5" s="21">
        <f>IF(S5="","",F5/S5)</f>
        <v/>
      </c>
      <c r="Y5" s="22">
        <f>IF(V5="",N5,INDEX('4_UK_L1_Input'!$C$4:$C$14,MATCH($C5,'4_UK_L1_Input'!$A$4:$A$14,0))*V5*W5*X5)</f>
        <v/>
      </c>
      <c r="Z5" s="7">
        <f>IF(V5="","BETA FALLBACK","REAL (Bloomberg UK)")</f>
        <v/>
      </c>
      <c r="AA5" s="21">
        <f>IFERROR(SUMPRODUCT(($C$3:$C$165=C5)*ISNUMBER($R$3:$R$165)*$Q$3:$Q$165*IF(ISNUMBER($R$3:$R$165),$R$3:$R$165,0))/SUMPRODUCT(($C$3:$C$165=C5)*ISNUMBER($R$3:$R$165)*$Q$3:$Q$165),"")</f>
        <v/>
      </c>
      <c r="AB5" s="21">
        <f>IF(OR(R5="",AA5=""),"",R5/AA5)</f>
        <v/>
      </c>
      <c r="AC5" s="22">
        <f>IF(AB5="",O5,INDEX('4_UK_L1_Input'!$D$4:$D$14,MATCH($C5,'4_UK_L1_Input'!$A$4:$A$14,0))*AB5)</f>
        <v/>
      </c>
      <c r="AD5" s="7">
        <f>IF(AB5="","BETA FALLBACK","REAL (Bloomberg UK)")</f>
        <v/>
      </c>
      <c r="AE5" s="23">
        <f>Y5-N5</f>
        <v/>
      </c>
      <c r="AF5" s="23">
        <f>AC5-O5</f>
        <v/>
      </c>
    </row>
    <row r="6">
      <c r="A6" s="7" t="n">
        <v>10102020</v>
      </c>
      <c r="B6" s="7" t="inlineStr">
        <is>
          <t>Oil &amp; Gas Exploration &amp; Production</t>
        </is>
      </c>
      <c r="C6" s="7" t="n">
        <v>10</v>
      </c>
      <c r="D6" s="7" t="n">
        <v>1010</v>
      </c>
      <c r="E6" s="7" t="n">
        <v>101020</v>
      </c>
      <c r="F6" s="7" t="n">
        <v>0.599753</v>
      </c>
      <c r="G6" s="7" t="n">
        <v>1</v>
      </c>
      <c r="H6" s="11">
        <f>SUMPRODUCT(($E$3:$E$165=E6)*$G$3:$G$165*$F$3:$F$165)/SUMPRODUCT(($E$3:$E$165=E6)*$G$3:$G$165)</f>
        <v/>
      </c>
      <c r="I6" s="11">
        <f>SUMPRODUCT(($D$3:$D$165=D6)*$G$3:$G$165*$F$3:$F$165)/SUMPRODUCT(($D$3:$D$165=D6)*$G$3:$G$165)</f>
        <v/>
      </c>
      <c r="J6" s="11">
        <f>SUMPRODUCT(($C$3:$C$165=C6)*$G$3:$G$165*$F$3:$F$165)/SUMPRODUCT(($C$3:$C$165=C6)*$G$3:$G$165)</f>
        <v/>
      </c>
      <c r="K6" s="21">
        <f>I6/J6</f>
        <v/>
      </c>
      <c r="L6" s="21">
        <f>H6/I6</f>
        <v/>
      </c>
      <c r="M6" s="21">
        <f>F6/H6</f>
        <v/>
      </c>
      <c r="N6" s="22">
        <f>INDEX('4_UK_L1_Input'!$C$4:$C$14,MATCH($C6,'4_UK_L1_Input'!$A$4:$A$14,0))*K6*L6*M6</f>
        <v/>
      </c>
      <c r="O6" s="22">
        <f>INDEX('4_UK_L1_Input'!$D$4:$D$14,MATCH($C6,'4_UK_L1_Input'!$A$4:$A$14,0))*K6*L6*M6</f>
        <v/>
      </c>
      <c r="P6" s="15" t="n">
        <v>217770000</v>
      </c>
      <c r="Q6" s="15" t="n">
        <v>288850000</v>
      </c>
      <c r="R6" s="16" t="n">
        <v>3.17</v>
      </c>
      <c r="S6" s="11">
        <f>IFERROR(SUMPRODUCT(($E$3:$E$165=E6)*ISNUMBER($P$3:$P$165)*$P$3:$P$165*$F$3:$F$165)/SUMPRODUCT(($E$3:$E$165=E6)*ISNUMBER($P$3:$P$165)*$P$3:$P$165),"")</f>
        <v/>
      </c>
      <c r="T6" s="11">
        <f>IFERROR(SUMPRODUCT(($D$3:$D$165=D6)*ISNUMBER($P$3:$P$165)*$P$3:$P$165*$F$3:$F$165)/SUMPRODUCT(($D$3:$D$165=D6)*ISNUMBER($P$3:$P$165)*$P$3:$P$165),"")</f>
        <v/>
      </c>
      <c r="U6" s="11">
        <f>IFERROR(SUMPRODUCT(($C$3:$C$165=C6)*ISNUMBER($P$3:$P$165)*$P$3:$P$165*$F$3:$F$165)/SUMPRODUCT(($C$3:$C$165=C6)*ISNUMBER($P$3:$P$165)*$P$3:$P$165),"")</f>
        <v/>
      </c>
      <c r="V6" s="21">
        <f>IF(OR(T6="",U6=""),"",T6/U6)</f>
        <v/>
      </c>
      <c r="W6" s="21">
        <f>IF(OR(S6="",T6=""),"",S6/T6)</f>
        <v/>
      </c>
      <c r="X6" s="21">
        <f>IF(S6="","",F6/S6)</f>
        <v/>
      </c>
      <c r="Y6" s="22">
        <f>IF(V6="",N6,INDEX('4_UK_L1_Input'!$C$4:$C$14,MATCH($C6,'4_UK_L1_Input'!$A$4:$A$14,0))*V6*W6*X6)</f>
        <v/>
      </c>
      <c r="Z6" s="7">
        <f>IF(V6="","BETA FALLBACK","REAL (Bloomberg UK)")</f>
        <v/>
      </c>
      <c r="AA6" s="21">
        <f>IFERROR(SUMPRODUCT(($C$3:$C$165=C6)*ISNUMBER($R$3:$R$165)*$Q$3:$Q$165*IF(ISNUMBER($R$3:$R$165),$R$3:$R$165,0))/SUMPRODUCT(($C$3:$C$165=C6)*ISNUMBER($R$3:$R$165)*$Q$3:$Q$165),"")</f>
        <v/>
      </c>
      <c r="AB6" s="21">
        <f>IF(OR(R6="",AA6=""),"",R6/AA6)</f>
        <v/>
      </c>
      <c r="AC6" s="22">
        <f>IF(AB6="",O6,INDEX('4_UK_L1_Input'!$D$4:$D$14,MATCH($C6,'4_UK_L1_Input'!$A$4:$A$14,0))*AB6)</f>
        <v/>
      </c>
      <c r="AD6" s="7">
        <f>IF(AB6="","BETA FALLBACK","REAL (Bloomberg UK)")</f>
        <v/>
      </c>
      <c r="AE6" s="23">
        <f>Y6-N6</f>
        <v/>
      </c>
      <c r="AF6" s="23">
        <f>AC6-O6</f>
        <v/>
      </c>
    </row>
    <row r="7">
      <c r="A7" s="7" t="n">
        <v>10102030</v>
      </c>
      <c r="B7" s="7" t="inlineStr">
        <is>
          <t>Oil &amp; Gas Refining &amp; Marketing</t>
        </is>
      </c>
      <c r="C7" s="7" t="n">
        <v>10</v>
      </c>
      <c r="D7" s="7" t="n">
        <v>1010</v>
      </c>
      <c r="E7" s="7" t="n">
        <v>101020</v>
      </c>
      <c r="F7" s="7" t="n">
        <v>0.600078</v>
      </c>
      <c r="G7" s="7" t="n">
        <v>1</v>
      </c>
      <c r="H7" s="11">
        <f>SUMPRODUCT(($E$3:$E$165=E7)*$G$3:$G$165*$F$3:$F$165)/SUMPRODUCT(($E$3:$E$165=E7)*$G$3:$G$165)</f>
        <v/>
      </c>
      <c r="I7" s="11">
        <f>SUMPRODUCT(($D$3:$D$165=D7)*$G$3:$G$165*$F$3:$F$165)/SUMPRODUCT(($D$3:$D$165=D7)*$G$3:$G$165)</f>
        <v/>
      </c>
      <c r="J7" s="11">
        <f>SUMPRODUCT(($C$3:$C$165=C7)*$G$3:$G$165*$F$3:$F$165)/SUMPRODUCT(($C$3:$C$165=C7)*$G$3:$G$165)</f>
        <v/>
      </c>
      <c r="K7" s="21">
        <f>I7/J7</f>
        <v/>
      </c>
      <c r="L7" s="21">
        <f>H7/I7</f>
        <v/>
      </c>
      <c r="M7" s="21">
        <f>F7/H7</f>
        <v/>
      </c>
      <c r="N7" s="22">
        <f>INDEX('4_UK_L1_Input'!$C$4:$C$14,MATCH($C7,'4_UK_L1_Input'!$A$4:$A$14,0))*K7*L7*M7</f>
        <v/>
      </c>
      <c r="O7" s="22">
        <f>INDEX('4_UK_L1_Input'!$D$4:$D$14,MATCH($C7,'4_UK_L1_Input'!$A$4:$A$14,0))*K7*L7*M7</f>
        <v/>
      </c>
      <c r="P7" s="15" t="n">
        <v>87000</v>
      </c>
      <c r="Q7" s="15" t="n">
        <v>22750000</v>
      </c>
      <c r="R7" s="14" t="n"/>
      <c r="S7" s="11">
        <f>IFERROR(SUMPRODUCT(($E$3:$E$165=E7)*ISNUMBER($P$3:$P$165)*$P$3:$P$165*$F$3:$F$165)/SUMPRODUCT(($E$3:$E$165=E7)*ISNUMBER($P$3:$P$165)*$P$3:$P$165),"")</f>
        <v/>
      </c>
      <c r="T7" s="11">
        <f>IFERROR(SUMPRODUCT(($D$3:$D$165=D7)*ISNUMBER($P$3:$P$165)*$P$3:$P$165*$F$3:$F$165)/SUMPRODUCT(($D$3:$D$165=D7)*ISNUMBER($P$3:$P$165)*$P$3:$P$165),"")</f>
        <v/>
      </c>
      <c r="U7" s="11">
        <f>IFERROR(SUMPRODUCT(($C$3:$C$165=C7)*ISNUMBER($P$3:$P$165)*$P$3:$P$165*$F$3:$F$165)/SUMPRODUCT(($C$3:$C$165=C7)*ISNUMBER($P$3:$P$165)*$P$3:$P$165),"")</f>
        <v/>
      </c>
      <c r="V7" s="21">
        <f>IF(OR(T7="",U7=""),"",T7/U7)</f>
        <v/>
      </c>
      <c r="W7" s="21">
        <f>IF(OR(S7="",T7=""),"",S7/T7)</f>
        <v/>
      </c>
      <c r="X7" s="21">
        <f>IF(S7="","",F7/S7)</f>
        <v/>
      </c>
      <c r="Y7" s="22">
        <f>IF(V7="",N7,INDEX('4_UK_L1_Input'!$C$4:$C$14,MATCH($C7,'4_UK_L1_Input'!$A$4:$A$14,0))*V7*W7*X7)</f>
        <v/>
      </c>
      <c r="Z7" s="7">
        <f>IF(V7="","BETA FALLBACK","REAL (Bloomberg UK)")</f>
        <v/>
      </c>
      <c r="AA7" s="21">
        <f>IFERROR(SUMPRODUCT(($C$3:$C$165=C7)*ISNUMBER($R$3:$R$165)*$Q$3:$Q$165*IF(ISNUMBER($R$3:$R$165),$R$3:$R$165,0))/SUMPRODUCT(($C$3:$C$165=C7)*ISNUMBER($R$3:$R$165)*$Q$3:$Q$165),"")</f>
        <v/>
      </c>
      <c r="AB7" s="21">
        <f>IF(OR(R7="",AA7=""),"",R7/AA7)</f>
        <v/>
      </c>
      <c r="AC7" s="22">
        <f>IF(AB7="",O7,INDEX('4_UK_L1_Input'!$D$4:$D$14,MATCH($C7,'4_UK_L1_Input'!$A$4:$A$14,0))*AB7)</f>
        <v/>
      </c>
      <c r="AD7" s="7">
        <f>IF(AB7="","BETA FALLBACK","REAL (Bloomberg UK)")</f>
        <v/>
      </c>
      <c r="AE7" s="23">
        <f>Y7-N7</f>
        <v/>
      </c>
      <c r="AF7" s="23">
        <f>AC7-O7</f>
        <v/>
      </c>
    </row>
    <row r="8">
      <c r="A8" s="7" t="n">
        <v>10102040</v>
      </c>
      <c r="B8" s="7" t="inlineStr">
        <is>
          <t>Oil &amp; Gas Storage &amp; Transportation</t>
        </is>
      </c>
      <c r="C8" s="7" t="n">
        <v>10</v>
      </c>
      <c r="D8" s="7" t="n">
        <v>1010</v>
      </c>
      <c r="E8" s="7" t="n">
        <v>101020</v>
      </c>
      <c r="F8" s="7" t="n">
        <v>0.600078</v>
      </c>
      <c r="G8" s="7" t="n">
        <v>1</v>
      </c>
      <c r="H8" s="11">
        <f>SUMPRODUCT(($E$3:$E$165=E8)*$G$3:$G$165*$F$3:$F$165)/SUMPRODUCT(($E$3:$E$165=E8)*$G$3:$G$165)</f>
        <v/>
      </c>
      <c r="I8" s="11">
        <f>SUMPRODUCT(($D$3:$D$165=D8)*$G$3:$G$165*$F$3:$F$165)/SUMPRODUCT(($D$3:$D$165=D8)*$G$3:$G$165)</f>
        <v/>
      </c>
      <c r="J8" s="11">
        <f>SUMPRODUCT(($C$3:$C$165=C8)*$G$3:$G$165*$F$3:$F$165)/SUMPRODUCT(($C$3:$C$165=C8)*$G$3:$G$165)</f>
        <v/>
      </c>
      <c r="K8" s="21">
        <f>I8/J8</f>
        <v/>
      </c>
      <c r="L8" s="21">
        <f>H8/I8</f>
        <v/>
      </c>
      <c r="M8" s="21">
        <f>F8/H8</f>
        <v/>
      </c>
      <c r="N8" s="22">
        <f>INDEX('4_UK_L1_Input'!$C$4:$C$14,MATCH($C8,'4_UK_L1_Input'!$A$4:$A$14,0))*K8*L8*M8</f>
        <v/>
      </c>
      <c r="O8" s="22">
        <f>INDEX('4_UK_L1_Input'!$D$4:$D$14,MATCH($C8,'4_UK_L1_Input'!$A$4:$A$14,0))*K8*L8*M8</f>
        <v/>
      </c>
      <c r="P8" s="15" t="n">
        <v>901710000</v>
      </c>
      <c r="Q8" s="15" t="n">
        <v>6580000000</v>
      </c>
      <c r="R8" s="16" t="n">
        <v>3.94</v>
      </c>
      <c r="S8" s="11">
        <f>IFERROR(SUMPRODUCT(($E$3:$E$165=E8)*ISNUMBER($P$3:$P$165)*$P$3:$P$165*$F$3:$F$165)/SUMPRODUCT(($E$3:$E$165=E8)*ISNUMBER($P$3:$P$165)*$P$3:$P$165),"")</f>
        <v/>
      </c>
      <c r="T8" s="11">
        <f>IFERROR(SUMPRODUCT(($D$3:$D$165=D8)*ISNUMBER($P$3:$P$165)*$P$3:$P$165*$F$3:$F$165)/SUMPRODUCT(($D$3:$D$165=D8)*ISNUMBER($P$3:$P$165)*$P$3:$P$165),"")</f>
        <v/>
      </c>
      <c r="U8" s="11">
        <f>IFERROR(SUMPRODUCT(($C$3:$C$165=C8)*ISNUMBER($P$3:$P$165)*$P$3:$P$165*$F$3:$F$165)/SUMPRODUCT(($C$3:$C$165=C8)*ISNUMBER($P$3:$P$165)*$P$3:$P$165),"")</f>
        <v/>
      </c>
      <c r="V8" s="21">
        <f>IF(OR(T8="",U8=""),"",T8/U8)</f>
        <v/>
      </c>
      <c r="W8" s="21">
        <f>IF(OR(S8="",T8=""),"",S8/T8)</f>
        <v/>
      </c>
      <c r="X8" s="21">
        <f>IF(S8="","",F8/S8)</f>
        <v/>
      </c>
      <c r="Y8" s="22">
        <f>IF(V8="",N8,INDEX('4_UK_L1_Input'!$C$4:$C$14,MATCH($C8,'4_UK_L1_Input'!$A$4:$A$14,0))*V8*W8*X8)</f>
        <v/>
      </c>
      <c r="Z8" s="7">
        <f>IF(V8="","BETA FALLBACK","REAL (Bloomberg UK)")</f>
        <v/>
      </c>
      <c r="AA8" s="21">
        <f>IFERROR(SUMPRODUCT(($C$3:$C$165=C8)*ISNUMBER($R$3:$R$165)*$Q$3:$Q$165*IF(ISNUMBER($R$3:$R$165),$R$3:$R$165,0))/SUMPRODUCT(($C$3:$C$165=C8)*ISNUMBER($R$3:$R$165)*$Q$3:$Q$165),"")</f>
        <v/>
      </c>
      <c r="AB8" s="21">
        <f>IF(OR(R8="",AA8=""),"",R8/AA8)</f>
        <v/>
      </c>
      <c r="AC8" s="22">
        <f>IF(AB8="",O8,INDEX('4_UK_L1_Input'!$D$4:$D$14,MATCH($C8,'4_UK_L1_Input'!$A$4:$A$14,0))*AB8)</f>
        <v/>
      </c>
      <c r="AD8" s="7">
        <f>IF(AB8="","BETA FALLBACK","REAL (Bloomberg UK)")</f>
        <v/>
      </c>
      <c r="AE8" s="23">
        <f>Y8-N8</f>
        <v/>
      </c>
      <c r="AF8" s="23">
        <f>AC8-O8</f>
        <v/>
      </c>
    </row>
    <row r="9">
      <c r="A9" s="7" t="n">
        <v>10102050</v>
      </c>
      <c r="B9" s="7" t="inlineStr">
        <is>
          <t>Coal &amp; Consumable Fuels</t>
        </is>
      </c>
      <c r="C9" s="7" t="n">
        <v>10</v>
      </c>
      <c r="D9" s="7" t="n">
        <v>1010</v>
      </c>
      <c r="E9" s="7" t="n">
        <v>101020</v>
      </c>
      <c r="F9" s="7" t="n">
        <v>1.07418</v>
      </c>
      <c r="G9" s="7" t="n">
        <v>1</v>
      </c>
      <c r="H9" s="11">
        <f>SUMPRODUCT(($E$3:$E$165=E9)*$G$3:$G$165*$F$3:$F$165)/SUMPRODUCT(($E$3:$E$165=E9)*$G$3:$G$165)</f>
        <v/>
      </c>
      <c r="I9" s="11">
        <f>SUMPRODUCT(($D$3:$D$165=D9)*$G$3:$G$165*$F$3:$F$165)/SUMPRODUCT(($D$3:$D$165=D9)*$G$3:$G$165)</f>
        <v/>
      </c>
      <c r="J9" s="11">
        <f>SUMPRODUCT(($C$3:$C$165=C9)*$G$3:$G$165*$F$3:$F$165)/SUMPRODUCT(($C$3:$C$165=C9)*$G$3:$G$165)</f>
        <v/>
      </c>
      <c r="K9" s="21">
        <f>I9/J9</f>
        <v/>
      </c>
      <c r="L9" s="21">
        <f>H9/I9</f>
        <v/>
      </c>
      <c r="M9" s="21">
        <f>F9/H9</f>
        <v/>
      </c>
      <c r="N9" s="22">
        <f>INDEX('4_UK_L1_Input'!$C$4:$C$14,MATCH($C9,'4_UK_L1_Input'!$A$4:$A$14,0))*K9*L9*M9</f>
        <v/>
      </c>
      <c r="O9" s="22">
        <f>INDEX('4_UK_L1_Input'!$D$4:$D$14,MATCH($C9,'4_UK_L1_Input'!$A$4:$A$14,0))*K9*L9*M9</f>
        <v/>
      </c>
      <c r="P9" s="14" t="n"/>
      <c r="Q9" s="15" t="n">
        <v>210400000</v>
      </c>
      <c r="R9" s="16" t="n">
        <v>9.470000000000001</v>
      </c>
      <c r="S9" s="11">
        <f>IFERROR(SUMPRODUCT(($E$3:$E$165=E9)*ISNUMBER($P$3:$P$165)*$P$3:$P$165*$F$3:$F$165)/SUMPRODUCT(($E$3:$E$165=E9)*ISNUMBER($P$3:$P$165)*$P$3:$P$165),"")</f>
        <v/>
      </c>
      <c r="T9" s="11">
        <f>IFERROR(SUMPRODUCT(($D$3:$D$165=D9)*ISNUMBER($P$3:$P$165)*$P$3:$P$165*$F$3:$F$165)/SUMPRODUCT(($D$3:$D$165=D9)*ISNUMBER($P$3:$P$165)*$P$3:$P$165),"")</f>
        <v/>
      </c>
      <c r="U9" s="11">
        <f>IFERROR(SUMPRODUCT(($C$3:$C$165=C9)*ISNUMBER($P$3:$P$165)*$P$3:$P$165*$F$3:$F$165)/SUMPRODUCT(($C$3:$C$165=C9)*ISNUMBER($P$3:$P$165)*$P$3:$P$165),"")</f>
        <v/>
      </c>
      <c r="V9" s="21">
        <f>IF(OR(T9="",U9=""),"",T9/U9)</f>
        <v/>
      </c>
      <c r="W9" s="21">
        <f>IF(OR(S9="",T9=""),"",S9/T9)</f>
        <v/>
      </c>
      <c r="X9" s="21">
        <f>IF(S9="","",F9/S9)</f>
        <v/>
      </c>
      <c r="Y9" s="22">
        <f>IF(V9="",N9,INDEX('4_UK_L1_Input'!$C$4:$C$14,MATCH($C9,'4_UK_L1_Input'!$A$4:$A$14,0))*V9*W9*X9)</f>
        <v/>
      </c>
      <c r="Z9" s="7">
        <f>IF(V9="","BETA FALLBACK","REAL (Bloomberg UK)")</f>
        <v/>
      </c>
      <c r="AA9" s="21">
        <f>IFERROR(SUMPRODUCT(($C$3:$C$165=C9)*ISNUMBER($R$3:$R$165)*$Q$3:$Q$165*IF(ISNUMBER($R$3:$R$165),$R$3:$R$165,0))/SUMPRODUCT(($C$3:$C$165=C9)*ISNUMBER($R$3:$R$165)*$Q$3:$Q$165),"")</f>
        <v/>
      </c>
      <c r="AB9" s="21">
        <f>IF(OR(R9="",AA9=""),"",R9/AA9)</f>
        <v/>
      </c>
      <c r="AC9" s="22">
        <f>IF(AB9="",O9,INDEX('4_UK_L1_Input'!$D$4:$D$14,MATCH($C9,'4_UK_L1_Input'!$A$4:$A$14,0))*AB9)</f>
        <v/>
      </c>
      <c r="AD9" s="7">
        <f>IF(AB9="","BETA FALLBACK","REAL (Bloomberg UK)")</f>
        <v/>
      </c>
      <c r="AE9" s="23">
        <f>Y9-N9</f>
        <v/>
      </c>
      <c r="AF9" s="23">
        <f>AC9-O9</f>
        <v/>
      </c>
    </row>
    <row r="10">
      <c r="A10" s="7" t="n">
        <v>15101010</v>
      </c>
      <c r="B10" s="7" t="inlineStr">
        <is>
          <t>Commodity Chemicals</t>
        </is>
      </c>
      <c r="C10" s="7" t="n">
        <v>15</v>
      </c>
      <c r="D10" s="7" t="n">
        <v>1510</v>
      </c>
      <c r="E10" s="7" t="n">
        <v>151010</v>
      </c>
      <c r="F10" s="7" t="n">
        <v>0.704523</v>
      </c>
      <c r="G10" s="7" t="n">
        <v>1</v>
      </c>
      <c r="H10" s="11">
        <f>SUMPRODUCT(($E$3:$E$165=E10)*$G$3:$G$165*$F$3:$F$165)/SUMPRODUCT(($E$3:$E$165=E10)*$G$3:$G$165)</f>
        <v/>
      </c>
      <c r="I10" s="11">
        <f>SUMPRODUCT(($D$3:$D$165=D10)*$G$3:$G$165*$F$3:$F$165)/SUMPRODUCT(($D$3:$D$165=D10)*$G$3:$G$165)</f>
        <v/>
      </c>
      <c r="J10" s="11">
        <f>SUMPRODUCT(($C$3:$C$165=C10)*$G$3:$G$165*$F$3:$F$165)/SUMPRODUCT(($C$3:$C$165=C10)*$G$3:$G$165)</f>
        <v/>
      </c>
      <c r="K10" s="21">
        <f>I10/J10</f>
        <v/>
      </c>
      <c r="L10" s="21">
        <f>H10/I10</f>
        <v/>
      </c>
      <c r="M10" s="21">
        <f>F10/H10</f>
        <v/>
      </c>
      <c r="N10" s="22">
        <f>INDEX('4_UK_L1_Input'!$C$4:$C$14,MATCH($C10,'4_UK_L1_Input'!$A$4:$A$14,0))*K10*L10*M10</f>
        <v/>
      </c>
      <c r="O10" s="22">
        <f>INDEX('4_UK_L1_Input'!$D$4:$D$14,MATCH($C10,'4_UK_L1_Input'!$A$4:$A$14,0))*K10*L10*M10</f>
        <v/>
      </c>
      <c r="P10" s="15" t="n">
        <v>246000000</v>
      </c>
      <c r="Q10" s="15" t="n">
        <v>266070000</v>
      </c>
      <c r="R10" s="16" t="n">
        <v>5.64</v>
      </c>
      <c r="S10" s="11">
        <f>IFERROR(SUMPRODUCT(($E$3:$E$165=E10)*ISNUMBER($P$3:$P$165)*$P$3:$P$165*$F$3:$F$165)/SUMPRODUCT(($E$3:$E$165=E10)*ISNUMBER($P$3:$P$165)*$P$3:$P$165),"")</f>
        <v/>
      </c>
      <c r="T10" s="11">
        <f>IFERROR(SUMPRODUCT(($D$3:$D$165=D10)*ISNUMBER($P$3:$P$165)*$P$3:$P$165*$F$3:$F$165)/SUMPRODUCT(($D$3:$D$165=D10)*ISNUMBER($P$3:$P$165)*$P$3:$P$165),"")</f>
        <v/>
      </c>
      <c r="U10" s="11">
        <f>IFERROR(SUMPRODUCT(($C$3:$C$165=C10)*ISNUMBER($P$3:$P$165)*$P$3:$P$165*$F$3:$F$165)/SUMPRODUCT(($C$3:$C$165=C10)*ISNUMBER($P$3:$P$165)*$P$3:$P$165),"")</f>
        <v/>
      </c>
      <c r="V10" s="21">
        <f>IF(OR(T10="",U10=""),"",T10/U10)</f>
        <v/>
      </c>
      <c r="W10" s="21">
        <f>IF(OR(S10="",T10=""),"",S10/T10)</f>
        <v/>
      </c>
      <c r="X10" s="21">
        <f>IF(S10="","",F10/S10)</f>
        <v/>
      </c>
      <c r="Y10" s="22">
        <f>IF(V10="",N10,INDEX('4_UK_L1_Input'!$C$4:$C$14,MATCH($C10,'4_UK_L1_Input'!$A$4:$A$14,0))*V10*W10*X10)</f>
        <v/>
      </c>
      <c r="Z10" s="7">
        <f>IF(V10="","BETA FALLBACK","REAL (Bloomberg UK)")</f>
        <v/>
      </c>
      <c r="AA10" s="21">
        <f>IFERROR(SUMPRODUCT(($C$3:$C$165=C10)*ISNUMBER($R$3:$R$165)*$Q$3:$Q$165*IF(ISNUMBER($R$3:$R$165),$R$3:$R$165,0))/SUMPRODUCT(($C$3:$C$165=C10)*ISNUMBER($R$3:$R$165)*$Q$3:$Q$165),"")</f>
        <v/>
      </c>
      <c r="AB10" s="21">
        <f>IF(OR(R10="",AA10=""),"",R10/AA10)</f>
        <v/>
      </c>
      <c r="AC10" s="22">
        <f>IF(AB10="",O10,INDEX('4_UK_L1_Input'!$D$4:$D$14,MATCH($C10,'4_UK_L1_Input'!$A$4:$A$14,0))*AB10)</f>
        <v/>
      </c>
      <c r="AD10" s="7">
        <f>IF(AB10="","BETA FALLBACK","REAL (Bloomberg UK)")</f>
        <v/>
      </c>
      <c r="AE10" s="23">
        <f>Y10-N10</f>
        <v/>
      </c>
      <c r="AF10" s="23">
        <f>AC10-O10</f>
        <v/>
      </c>
    </row>
    <row r="11">
      <c r="A11" s="7" t="n">
        <v>15101020</v>
      </c>
      <c r="B11" s="7" t="inlineStr">
        <is>
          <t>Diversified Chemicals</t>
        </is>
      </c>
      <c r="C11" s="7" t="n">
        <v>15</v>
      </c>
      <c r="D11" s="7" t="n">
        <v>1510</v>
      </c>
      <c r="E11" s="7" t="n">
        <v>151010</v>
      </c>
      <c r="F11" s="7" t="n">
        <v>0.759589</v>
      </c>
      <c r="G11" s="7" t="n">
        <v>1</v>
      </c>
      <c r="H11" s="11">
        <f>SUMPRODUCT(($E$3:$E$165=E11)*$G$3:$G$165*$F$3:$F$165)/SUMPRODUCT(($E$3:$E$165=E11)*$G$3:$G$165)</f>
        <v/>
      </c>
      <c r="I11" s="11">
        <f>SUMPRODUCT(($D$3:$D$165=D11)*$G$3:$G$165*$F$3:$F$165)/SUMPRODUCT(($D$3:$D$165=D11)*$G$3:$G$165)</f>
        <v/>
      </c>
      <c r="J11" s="11">
        <f>SUMPRODUCT(($C$3:$C$165=C11)*$G$3:$G$165*$F$3:$F$165)/SUMPRODUCT(($C$3:$C$165=C11)*$G$3:$G$165)</f>
        <v/>
      </c>
      <c r="K11" s="21">
        <f>I11/J11</f>
        <v/>
      </c>
      <c r="L11" s="21">
        <f>H11/I11</f>
        <v/>
      </c>
      <c r="M11" s="21">
        <f>F11/H11</f>
        <v/>
      </c>
      <c r="N11" s="22">
        <f>INDEX('4_UK_L1_Input'!$C$4:$C$14,MATCH($C11,'4_UK_L1_Input'!$A$4:$A$14,0))*K11*L11*M11</f>
        <v/>
      </c>
      <c r="O11" s="22">
        <f>INDEX('4_UK_L1_Input'!$D$4:$D$14,MATCH($C11,'4_UK_L1_Input'!$A$4:$A$14,0))*K11*L11*M11</f>
        <v/>
      </c>
      <c r="P11" s="14" t="n"/>
      <c r="Q11" s="14" t="n"/>
      <c r="R11" s="14" t="n"/>
      <c r="S11" s="11">
        <f>IFERROR(SUMPRODUCT(($E$3:$E$165=E11)*ISNUMBER($P$3:$P$165)*$P$3:$P$165*$F$3:$F$165)/SUMPRODUCT(($E$3:$E$165=E11)*ISNUMBER($P$3:$P$165)*$P$3:$P$165),"")</f>
        <v/>
      </c>
      <c r="T11" s="11">
        <f>IFERROR(SUMPRODUCT(($D$3:$D$165=D11)*ISNUMBER($P$3:$P$165)*$P$3:$P$165*$F$3:$F$165)/SUMPRODUCT(($D$3:$D$165=D11)*ISNUMBER($P$3:$P$165)*$P$3:$P$165),"")</f>
        <v/>
      </c>
      <c r="U11" s="11">
        <f>IFERROR(SUMPRODUCT(($C$3:$C$165=C11)*ISNUMBER($P$3:$P$165)*$P$3:$P$165*$F$3:$F$165)/SUMPRODUCT(($C$3:$C$165=C11)*ISNUMBER($P$3:$P$165)*$P$3:$P$165),"")</f>
        <v/>
      </c>
      <c r="V11" s="21">
        <f>IF(OR(T11="",U11=""),"",T11/U11)</f>
        <v/>
      </c>
      <c r="W11" s="21">
        <f>IF(OR(S11="",T11=""),"",S11/T11)</f>
        <v/>
      </c>
      <c r="X11" s="21">
        <f>IF(S11="","",F11/S11)</f>
        <v/>
      </c>
      <c r="Y11" s="22">
        <f>IF(V11="",N11,INDEX('4_UK_L1_Input'!$C$4:$C$14,MATCH($C11,'4_UK_L1_Input'!$A$4:$A$14,0))*V11*W11*X11)</f>
        <v/>
      </c>
      <c r="Z11" s="7">
        <f>IF(V11="","BETA FALLBACK","REAL (Bloomberg UK)")</f>
        <v/>
      </c>
      <c r="AA11" s="21">
        <f>IFERROR(SUMPRODUCT(($C$3:$C$165=C11)*ISNUMBER($R$3:$R$165)*$Q$3:$Q$165*IF(ISNUMBER($R$3:$R$165),$R$3:$R$165,0))/SUMPRODUCT(($C$3:$C$165=C11)*ISNUMBER($R$3:$R$165)*$Q$3:$Q$165),"")</f>
        <v/>
      </c>
      <c r="AB11" s="21">
        <f>IF(OR(R11="",AA11=""),"",R11/AA11)</f>
        <v/>
      </c>
      <c r="AC11" s="22">
        <f>IF(AB11="",O11,INDEX('4_UK_L1_Input'!$D$4:$D$14,MATCH($C11,'4_UK_L1_Input'!$A$4:$A$14,0))*AB11)</f>
        <v/>
      </c>
      <c r="AD11" s="7">
        <f>IF(AB11="","BETA FALLBACK","REAL (Bloomberg UK)")</f>
        <v/>
      </c>
      <c r="AE11" s="23">
        <f>Y11-N11</f>
        <v/>
      </c>
      <c r="AF11" s="23">
        <f>AC11-O11</f>
        <v/>
      </c>
    </row>
    <row r="12">
      <c r="A12" s="7" t="n">
        <v>15101030</v>
      </c>
      <c r="B12" s="7" t="inlineStr">
        <is>
          <t>Fertilizers &amp; Agricultural Chemicals</t>
        </is>
      </c>
      <c r="C12" s="7" t="n">
        <v>15</v>
      </c>
      <c r="D12" s="7" t="n">
        <v>1510</v>
      </c>
      <c r="E12" s="7" t="n">
        <v>151010</v>
      </c>
      <c r="F12" s="7" t="n">
        <v>0.704523</v>
      </c>
      <c r="G12" s="7" t="n">
        <v>1</v>
      </c>
      <c r="H12" s="11">
        <f>SUMPRODUCT(($E$3:$E$165=E12)*$G$3:$G$165*$F$3:$F$165)/SUMPRODUCT(($E$3:$E$165=E12)*$G$3:$G$165)</f>
        <v/>
      </c>
      <c r="I12" s="11">
        <f>SUMPRODUCT(($D$3:$D$165=D12)*$G$3:$G$165*$F$3:$F$165)/SUMPRODUCT(($D$3:$D$165=D12)*$G$3:$G$165)</f>
        <v/>
      </c>
      <c r="J12" s="11">
        <f>SUMPRODUCT(($C$3:$C$165=C12)*$G$3:$G$165*$F$3:$F$165)/SUMPRODUCT(($C$3:$C$165=C12)*$G$3:$G$165)</f>
        <v/>
      </c>
      <c r="K12" s="21">
        <f>I12/J12</f>
        <v/>
      </c>
      <c r="L12" s="21">
        <f>H12/I12</f>
        <v/>
      </c>
      <c r="M12" s="21">
        <f>F12/H12</f>
        <v/>
      </c>
      <c r="N12" s="22">
        <f>INDEX('4_UK_L1_Input'!$C$4:$C$14,MATCH($C12,'4_UK_L1_Input'!$A$4:$A$14,0))*K12*L12*M12</f>
        <v/>
      </c>
      <c r="O12" s="22">
        <f>INDEX('4_UK_L1_Input'!$D$4:$D$14,MATCH($C12,'4_UK_L1_Input'!$A$4:$A$14,0))*K12*L12*M12</f>
        <v/>
      </c>
      <c r="P12" s="15" t="n">
        <v>21070000</v>
      </c>
      <c r="Q12" s="15" t="n">
        <v>20780000</v>
      </c>
      <c r="R12" s="14" t="n"/>
      <c r="S12" s="11">
        <f>IFERROR(SUMPRODUCT(($E$3:$E$165=E12)*ISNUMBER($P$3:$P$165)*$P$3:$P$165*$F$3:$F$165)/SUMPRODUCT(($E$3:$E$165=E12)*ISNUMBER($P$3:$P$165)*$P$3:$P$165),"")</f>
        <v/>
      </c>
      <c r="T12" s="11">
        <f>IFERROR(SUMPRODUCT(($D$3:$D$165=D12)*ISNUMBER($P$3:$P$165)*$P$3:$P$165*$F$3:$F$165)/SUMPRODUCT(($D$3:$D$165=D12)*ISNUMBER($P$3:$P$165)*$P$3:$P$165),"")</f>
        <v/>
      </c>
      <c r="U12" s="11">
        <f>IFERROR(SUMPRODUCT(($C$3:$C$165=C12)*ISNUMBER($P$3:$P$165)*$P$3:$P$165*$F$3:$F$165)/SUMPRODUCT(($C$3:$C$165=C12)*ISNUMBER($P$3:$P$165)*$P$3:$P$165),"")</f>
        <v/>
      </c>
      <c r="V12" s="21">
        <f>IF(OR(T12="",U12=""),"",T12/U12)</f>
        <v/>
      </c>
      <c r="W12" s="21">
        <f>IF(OR(S12="",T12=""),"",S12/T12)</f>
        <v/>
      </c>
      <c r="X12" s="21">
        <f>IF(S12="","",F12/S12)</f>
        <v/>
      </c>
      <c r="Y12" s="22">
        <f>IF(V12="",N12,INDEX('4_UK_L1_Input'!$C$4:$C$14,MATCH($C12,'4_UK_L1_Input'!$A$4:$A$14,0))*V12*W12*X12)</f>
        <v/>
      </c>
      <c r="Z12" s="7">
        <f>IF(V12="","BETA FALLBACK","REAL (Bloomberg UK)")</f>
        <v/>
      </c>
      <c r="AA12" s="21">
        <f>IFERROR(SUMPRODUCT(($C$3:$C$165=C12)*ISNUMBER($R$3:$R$165)*$Q$3:$Q$165*IF(ISNUMBER($R$3:$R$165),$R$3:$R$165,0))/SUMPRODUCT(($C$3:$C$165=C12)*ISNUMBER($R$3:$R$165)*$Q$3:$Q$165),"")</f>
        <v/>
      </c>
      <c r="AB12" s="21">
        <f>IF(OR(R12="",AA12=""),"",R12/AA12)</f>
        <v/>
      </c>
      <c r="AC12" s="22">
        <f>IF(AB12="",O12,INDEX('4_UK_L1_Input'!$D$4:$D$14,MATCH($C12,'4_UK_L1_Input'!$A$4:$A$14,0))*AB12)</f>
        <v/>
      </c>
      <c r="AD12" s="7">
        <f>IF(AB12="","BETA FALLBACK","REAL (Bloomberg UK)")</f>
        <v/>
      </c>
      <c r="AE12" s="23">
        <f>Y12-N12</f>
        <v/>
      </c>
      <c r="AF12" s="23">
        <f>AC12-O12</f>
        <v/>
      </c>
    </row>
    <row r="13">
      <c r="A13" s="7" t="n">
        <v>15101040</v>
      </c>
      <c r="B13" s="7" t="inlineStr">
        <is>
          <t>Industrial Gases</t>
        </is>
      </c>
      <c r="C13" s="7" t="n">
        <v>15</v>
      </c>
      <c r="D13" s="7" t="n">
        <v>1510</v>
      </c>
      <c r="E13" s="7" t="n">
        <v>151010</v>
      </c>
      <c r="F13" s="7" t="n">
        <v>0.835557</v>
      </c>
      <c r="G13" s="7" t="n">
        <v>1</v>
      </c>
      <c r="H13" s="11">
        <f>SUMPRODUCT(($E$3:$E$165=E13)*$G$3:$G$165*$F$3:$F$165)/SUMPRODUCT(($E$3:$E$165=E13)*$G$3:$G$165)</f>
        <v/>
      </c>
      <c r="I13" s="11">
        <f>SUMPRODUCT(($D$3:$D$165=D13)*$G$3:$G$165*$F$3:$F$165)/SUMPRODUCT(($D$3:$D$165=D13)*$G$3:$G$165)</f>
        <v/>
      </c>
      <c r="J13" s="11">
        <f>SUMPRODUCT(($C$3:$C$165=C13)*$G$3:$G$165*$F$3:$F$165)/SUMPRODUCT(($C$3:$C$165=C13)*$G$3:$G$165)</f>
        <v/>
      </c>
      <c r="K13" s="21">
        <f>I13/J13</f>
        <v/>
      </c>
      <c r="L13" s="21">
        <f>H13/I13</f>
        <v/>
      </c>
      <c r="M13" s="21">
        <f>F13/H13</f>
        <v/>
      </c>
      <c r="N13" s="22">
        <f>INDEX('4_UK_L1_Input'!$C$4:$C$14,MATCH($C13,'4_UK_L1_Input'!$A$4:$A$14,0))*K13*L13*M13</f>
        <v/>
      </c>
      <c r="O13" s="22">
        <f>INDEX('4_UK_L1_Input'!$D$4:$D$14,MATCH($C13,'4_UK_L1_Input'!$A$4:$A$14,0))*K13*L13*M13</f>
        <v/>
      </c>
      <c r="P13" s="14" t="n"/>
      <c r="Q13" s="15" t="n">
        <v>44030000</v>
      </c>
      <c r="R13" s="14" t="n"/>
      <c r="S13" s="11">
        <f>IFERROR(SUMPRODUCT(($E$3:$E$165=E13)*ISNUMBER($P$3:$P$165)*$P$3:$P$165*$F$3:$F$165)/SUMPRODUCT(($E$3:$E$165=E13)*ISNUMBER($P$3:$P$165)*$P$3:$P$165),"")</f>
        <v/>
      </c>
      <c r="T13" s="11">
        <f>IFERROR(SUMPRODUCT(($D$3:$D$165=D13)*ISNUMBER($P$3:$P$165)*$P$3:$P$165*$F$3:$F$165)/SUMPRODUCT(($D$3:$D$165=D13)*ISNUMBER($P$3:$P$165)*$P$3:$P$165),"")</f>
        <v/>
      </c>
      <c r="U13" s="11">
        <f>IFERROR(SUMPRODUCT(($C$3:$C$165=C13)*ISNUMBER($P$3:$P$165)*$P$3:$P$165*$F$3:$F$165)/SUMPRODUCT(($C$3:$C$165=C13)*ISNUMBER($P$3:$P$165)*$P$3:$P$165),"")</f>
        <v/>
      </c>
      <c r="V13" s="21">
        <f>IF(OR(T13="",U13=""),"",T13/U13)</f>
        <v/>
      </c>
      <c r="W13" s="21">
        <f>IF(OR(S13="",T13=""),"",S13/T13)</f>
        <v/>
      </c>
      <c r="X13" s="21">
        <f>IF(S13="","",F13/S13)</f>
        <v/>
      </c>
      <c r="Y13" s="22">
        <f>IF(V13="",N13,INDEX('4_UK_L1_Input'!$C$4:$C$14,MATCH($C13,'4_UK_L1_Input'!$A$4:$A$14,0))*V13*W13*X13)</f>
        <v/>
      </c>
      <c r="Z13" s="7">
        <f>IF(V13="","BETA FALLBACK","REAL (Bloomberg UK)")</f>
        <v/>
      </c>
      <c r="AA13" s="21">
        <f>IFERROR(SUMPRODUCT(($C$3:$C$165=C13)*ISNUMBER($R$3:$R$165)*$Q$3:$Q$165*IF(ISNUMBER($R$3:$R$165),$R$3:$R$165,0))/SUMPRODUCT(($C$3:$C$165=C13)*ISNUMBER($R$3:$R$165)*$Q$3:$Q$165),"")</f>
        <v/>
      </c>
      <c r="AB13" s="21">
        <f>IF(OR(R13="",AA13=""),"",R13/AA13)</f>
        <v/>
      </c>
      <c r="AC13" s="22">
        <f>IF(AB13="",O13,INDEX('4_UK_L1_Input'!$D$4:$D$14,MATCH($C13,'4_UK_L1_Input'!$A$4:$A$14,0))*AB13)</f>
        <v/>
      </c>
      <c r="AD13" s="7">
        <f>IF(AB13="","BETA FALLBACK","REAL (Bloomberg UK)")</f>
        <v/>
      </c>
      <c r="AE13" s="23">
        <f>Y13-N13</f>
        <v/>
      </c>
      <c r="AF13" s="23">
        <f>AC13-O13</f>
        <v/>
      </c>
    </row>
    <row r="14">
      <c r="A14" s="7" t="n">
        <v>15101050</v>
      </c>
      <c r="B14" s="7" t="inlineStr">
        <is>
          <t>Specialty Chemicals</t>
        </is>
      </c>
      <c r="C14" s="7" t="n">
        <v>15</v>
      </c>
      <c r="D14" s="7" t="n">
        <v>1510</v>
      </c>
      <c r="E14" s="7" t="n">
        <v>151010</v>
      </c>
      <c r="F14" s="7" t="n">
        <v>0.835557</v>
      </c>
      <c r="G14" s="7" t="n">
        <v>1</v>
      </c>
      <c r="H14" s="11">
        <f>SUMPRODUCT(($E$3:$E$165=E14)*$G$3:$G$165*$F$3:$F$165)/SUMPRODUCT(($E$3:$E$165=E14)*$G$3:$G$165)</f>
        <v/>
      </c>
      <c r="I14" s="11">
        <f>SUMPRODUCT(($D$3:$D$165=D14)*$G$3:$G$165*$F$3:$F$165)/SUMPRODUCT(($D$3:$D$165=D14)*$G$3:$G$165)</f>
        <v/>
      </c>
      <c r="J14" s="11">
        <f>SUMPRODUCT(($C$3:$C$165=C14)*$G$3:$G$165*$F$3:$F$165)/SUMPRODUCT(($C$3:$C$165=C14)*$G$3:$G$165)</f>
        <v/>
      </c>
      <c r="K14" s="21">
        <f>I14/J14</f>
        <v/>
      </c>
      <c r="L14" s="21">
        <f>H14/I14</f>
        <v/>
      </c>
      <c r="M14" s="21">
        <f>F14/H14</f>
        <v/>
      </c>
      <c r="N14" s="22">
        <f>INDEX('4_UK_L1_Input'!$C$4:$C$14,MATCH($C14,'4_UK_L1_Input'!$A$4:$A$14,0))*K14*L14*M14</f>
        <v/>
      </c>
      <c r="O14" s="22">
        <f>INDEX('4_UK_L1_Input'!$D$4:$D$14,MATCH($C14,'4_UK_L1_Input'!$A$4:$A$14,0))*K14*L14*M14</f>
        <v/>
      </c>
      <c r="P14" s="15" t="n">
        <v>1590000000</v>
      </c>
      <c r="Q14" s="15" t="n">
        <v>876550000</v>
      </c>
      <c r="R14" s="16" t="n">
        <v>8.869999999999999</v>
      </c>
      <c r="S14" s="11">
        <f>IFERROR(SUMPRODUCT(($E$3:$E$165=E14)*ISNUMBER($P$3:$P$165)*$P$3:$P$165*$F$3:$F$165)/SUMPRODUCT(($E$3:$E$165=E14)*ISNUMBER($P$3:$P$165)*$P$3:$P$165),"")</f>
        <v/>
      </c>
      <c r="T14" s="11">
        <f>IFERROR(SUMPRODUCT(($D$3:$D$165=D14)*ISNUMBER($P$3:$P$165)*$P$3:$P$165*$F$3:$F$165)/SUMPRODUCT(($D$3:$D$165=D14)*ISNUMBER($P$3:$P$165)*$P$3:$P$165),"")</f>
        <v/>
      </c>
      <c r="U14" s="11">
        <f>IFERROR(SUMPRODUCT(($C$3:$C$165=C14)*ISNUMBER($P$3:$P$165)*$P$3:$P$165*$F$3:$F$165)/SUMPRODUCT(($C$3:$C$165=C14)*ISNUMBER($P$3:$P$165)*$P$3:$P$165),"")</f>
        <v/>
      </c>
      <c r="V14" s="21">
        <f>IF(OR(T14="",U14=""),"",T14/U14)</f>
        <v/>
      </c>
      <c r="W14" s="21">
        <f>IF(OR(S14="",T14=""),"",S14/T14)</f>
        <v/>
      </c>
      <c r="X14" s="21">
        <f>IF(S14="","",F14/S14)</f>
        <v/>
      </c>
      <c r="Y14" s="22">
        <f>IF(V14="",N14,INDEX('4_UK_L1_Input'!$C$4:$C$14,MATCH($C14,'4_UK_L1_Input'!$A$4:$A$14,0))*V14*W14*X14)</f>
        <v/>
      </c>
      <c r="Z14" s="7">
        <f>IF(V14="","BETA FALLBACK","REAL (Bloomberg UK)")</f>
        <v/>
      </c>
      <c r="AA14" s="21">
        <f>IFERROR(SUMPRODUCT(($C$3:$C$165=C14)*ISNUMBER($R$3:$R$165)*$Q$3:$Q$165*IF(ISNUMBER($R$3:$R$165),$R$3:$R$165,0))/SUMPRODUCT(($C$3:$C$165=C14)*ISNUMBER($R$3:$R$165)*$Q$3:$Q$165),"")</f>
        <v/>
      </c>
      <c r="AB14" s="21">
        <f>IF(OR(R14="",AA14=""),"",R14/AA14)</f>
        <v/>
      </c>
      <c r="AC14" s="22">
        <f>IF(AB14="",O14,INDEX('4_UK_L1_Input'!$D$4:$D$14,MATCH($C14,'4_UK_L1_Input'!$A$4:$A$14,0))*AB14)</f>
        <v/>
      </c>
      <c r="AD14" s="7">
        <f>IF(AB14="","BETA FALLBACK","REAL (Bloomberg UK)")</f>
        <v/>
      </c>
      <c r="AE14" s="23">
        <f>Y14-N14</f>
        <v/>
      </c>
      <c r="AF14" s="23">
        <f>AC14-O14</f>
        <v/>
      </c>
    </row>
    <row r="15">
      <c r="A15" s="7" t="n">
        <v>15102010</v>
      </c>
      <c r="B15" s="7" t="inlineStr">
        <is>
          <t>Construction Materials</t>
        </is>
      </c>
      <c r="C15" s="7" t="n">
        <v>15</v>
      </c>
      <c r="D15" s="7" t="n">
        <v>1510</v>
      </c>
      <c r="E15" s="7" t="n">
        <v>151020</v>
      </c>
      <c r="F15" s="7" t="n">
        <v>1.017657</v>
      </c>
      <c r="G15" s="7" t="n">
        <v>1</v>
      </c>
      <c r="H15" s="11">
        <f>SUMPRODUCT(($E$3:$E$165=E15)*$G$3:$G$165*$F$3:$F$165)/SUMPRODUCT(($E$3:$E$165=E15)*$G$3:$G$165)</f>
        <v/>
      </c>
      <c r="I15" s="11">
        <f>SUMPRODUCT(($D$3:$D$165=D15)*$G$3:$G$165*$F$3:$F$165)/SUMPRODUCT(($D$3:$D$165=D15)*$G$3:$G$165)</f>
        <v/>
      </c>
      <c r="J15" s="11">
        <f>SUMPRODUCT(($C$3:$C$165=C15)*$G$3:$G$165*$F$3:$F$165)/SUMPRODUCT(($C$3:$C$165=C15)*$G$3:$G$165)</f>
        <v/>
      </c>
      <c r="K15" s="21">
        <f>I15/J15</f>
        <v/>
      </c>
      <c r="L15" s="21">
        <f>H15/I15</f>
        <v/>
      </c>
      <c r="M15" s="21">
        <f>F15/H15</f>
        <v/>
      </c>
      <c r="N15" s="22">
        <f>INDEX('4_UK_L1_Input'!$C$4:$C$14,MATCH($C15,'4_UK_L1_Input'!$A$4:$A$14,0))*K15*L15*M15</f>
        <v/>
      </c>
      <c r="O15" s="22">
        <f>INDEX('4_UK_L1_Input'!$D$4:$D$14,MATCH($C15,'4_UK_L1_Input'!$A$4:$A$14,0))*K15*L15*M15</f>
        <v/>
      </c>
      <c r="P15" s="15" t="n">
        <v>699210000</v>
      </c>
      <c r="Q15" s="15" t="n">
        <v>655910000</v>
      </c>
      <c r="R15" s="16" t="n">
        <v>6.57</v>
      </c>
      <c r="S15" s="11">
        <f>IFERROR(SUMPRODUCT(($E$3:$E$165=E15)*ISNUMBER($P$3:$P$165)*$P$3:$P$165*$F$3:$F$165)/SUMPRODUCT(($E$3:$E$165=E15)*ISNUMBER($P$3:$P$165)*$P$3:$P$165),"")</f>
        <v/>
      </c>
      <c r="T15" s="11">
        <f>IFERROR(SUMPRODUCT(($D$3:$D$165=D15)*ISNUMBER($P$3:$P$165)*$P$3:$P$165*$F$3:$F$165)/SUMPRODUCT(($D$3:$D$165=D15)*ISNUMBER($P$3:$P$165)*$P$3:$P$165),"")</f>
        <v/>
      </c>
      <c r="U15" s="11">
        <f>IFERROR(SUMPRODUCT(($C$3:$C$165=C15)*ISNUMBER($P$3:$P$165)*$P$3:$P$165*$F$3:$F$165)/SUMPRODUCT(($C$3:$C$165=C15)*ISNUMBER($P$3:$P$165)*$P$3:$P$165),"")</f>
        <v/>
      </c>
      <c r="V15" s="21">
        <f>IF(OR(T15="",U15=""),"",T15/U15)</f>
        <v/>
      </c>
      <c r="W15" s="21">
        <f>IF(OR(S15="",T15=""),"",S15/T15)</f>
        <v/>
      </c>
      <c r="X15" s="21">
        <f>IF(S15="","",F15/S15)</f>
        <v/>
      </c>
      <c r="Y15" s="22">
        <f>IF(V15="",N15,INDEX('4_UK_L1_Input'!$C$4:$C$14,MATCH($C15,'4_UK_L1_Input'!$A$4:$A$14,0))*V15*W15*X15)</f>
        <v/>
      </c>
      <c r="Z15" s="7">
        <f>IF(V15="","BETA FALLBACK","REAL (Bloomberg UK)")</f>
        <v/>
      </c>
      <c r="AA15" s="21">
        <f>IFERROR(SUMPRODUCT(($C$3:$C$165=C15)*ISNUMBER($R$3:$R$165)*$Q$3:$Q$165*IF(ISNUMBER($R$3:$R$165),$R$3:$R$165,0))/SUMPRODUCT(($C$3:$C$165=C15)*ISNUMBER($R$3:$R$165)*$Q$3:$Q$165),"")</f>
        <v/>
      </c>
      <c r="AB15" s="21">
        <f>IF(OR(R15="",AA15=""),"",R15/AA15)</f>
        <v/>
      </c>
      <c r="AC15" s="22">
        <f>IF(AB15="",O15,INDEX('4_UK_L1_Input'!$D$4:$D$14,MATCH($C15,'4_UK_L1_Input'!$A$4:$A$14,0))*AB15)</f>
        <v/>
      </c>
      <c r="AD15" s="7">
        <f>IF(AB15="","BETA FALLBACK","REAL (Bloomberg UK)")</f>
        <v/>
      </c>
      <c r="AE15" s="23">
        <f>Y15-N15</f>
        <v/>
      </c>
      <c r="AF15" s="23">
        <f>AC15-O15</f>
        <v/>
      </c>
    </row>
    <row r="16">
      <c r="A16" s="7" t="n">
        <v>15103010</v>
      </c>
      <c r="B16" s="7" t="inlineStr">
        <is>
          <t>Metal, Glass &amp; Plastic Containers</t>
        </is>
      </c>
      <c r="C16" s="7" t="n">
        <v>15</v>
      </c>
      <c r="D16" s="7" t="n">
        <v>1510</v>
      </c>
      <c r="E16" s="7" t="n">
        <v>151030</v>
      </c>
      <c r="F16" s="7" t="n">
        <v>0.801397</v>
      </c>
      <c r="G16" s="7" t="n">
        <v>1</v>
      </c>
      <c r="H16" s="11">
        <f>SUMPRODUCT(($E$3:$E$165=E16)*$G$3:$G$165*$F$3:$F$165)/SUMPRODUCT(($E$3:$E$165=E16)*$G$3:$G$165)</f>
        <v/>
      </c>
      <c r="I16" s="11">
        <f>SUMPRODUCT(($D$3:$D$165=D16)*$G$3:$G$165*$F$3:$F$165)/SUMPRODUCT(($D$3:$D$165=D16)*$G$3:$G$165)</f>
        <v/>
      </c>
      <c r="J16" s="11">
        <f>SUMPRODUCT(($C$3:$C$165=C16)*$G$3:$G$165*$F$3:$F$165)/SUMPRODUCT(($C$3:$C$165=C16)*$G$3:$G$165)</f>
        <v/>
      </c>
      <c r="K16" s="21">
        <f>I16/J16</f>
        <v/>
      </c>
      <c r="L16" s="21">
        <f>H16/I16</f>
        <v/>
      </c>
      <c r="M16" s="21">
        <f>F16/H16</f>
        <v/>
      </c>
      <c r="N16" s="22">
        <f>INDEX('4_UK_L1_Input'!$C$4:$C$14,MATCH($C16,'4_UK_L1_Input'!$A$4:$A$14,0))*K16*L16*M16</f>
        <v/>
      </c>
      <c r="O16" s="22">
        <f>INDEX('4_UK_L1_Input'!$D$4:$D$14,MATCH($C16,'4_UK_L1_Input'!$A$4:$A$14,0))*K16*L16*M16</f>
        <v/>
      </c>
      <c r="P16" s="15" t="n">
        <v>33260000</v>
      </c>
      <c r="Q16" s="15" t="n">
        <v>5110000</v>
      </c>
      <c r="R16" s="14" t="n"/>
      <c r="S16" s="11">
        <f>IFERROR(SUMPRODUCT(($E$3:$E$165=E16)*ISNUMBER($P$3:$P$165)*$P$3:$P$165*$F$3:$F$165)/SUMPRODUCT(($E$3:$E$165=E16)*ISNUMBER($P$3:$P$165)*$P$3:$P$165),"")</f>
        <v/>
      </c>
      <c r="T16" s="11">
        <f>IFERROR(SUMPRODUCT(($D$3:$D$165=D16)*ISNUMBER($P$3:$P$165)*$P$3:$P$165*$F$3:$F$165)/SUMPRODUCT(($D$3:$D$165=D16)*ISNUMBER($P$3:$P$165)*$P$3:$P$165),"")</f>
        <v/>
      </c>
      <c r="U16" s="11">
        <f>IFERROR(SUMPRODUCT(($C$3:$C$165=C16)*ISNUMBER($P$3:$P$165)*$P$3:$P$165*$F$3:$F$165)/SUMPRODUCT(($C$3:$C$165=C16)*ISNUMBER($P$3:$P$165)*$P$3:$P$165),"")</f>
        <v/>
      </c>
      <c r="V16" s="21">
        <f>IF(OR(T16="",U16=""),"",T16/U16)</f>
        <v/>
      </c>
      <c r="W16" s="21">
        <f>IF(OR(S16="",T16=""),"",S16/T16)</f>
        <v/>
      </c>
      <c r="X16" s="21">
        <f>IF(S16="","",F16/S16)</f>
        <v/>
      </c>
      <c r="Y16" s="22">
        <f>IF(V16="",N16,INDEX('4_UK_L1_Input'!$C$4:$C$14,MATCH($C16,'4_UK_L1_Input'!$A$4:$A$14,0))*V16*W16*X16)</f>
        <v/>
      </c>
      <c r="Z16" s="7">
        <f>IF(V16="","BETA FALLBACK","REAL (Bloomberg UK)")</f>
        <v/>
      </c>
      <c r="AA16" s="21">
        <f>IFERROR(SUMPRODUCT(($C$3:$C$165=C16)*ISNUMBER($R$3:$R$165)*$Q$3:$Q$165*IF(ISNUMBER($R$3:$R$165),$R$3:$R$165,0))/SUMPRODUCT(($C$3:$C$165=C16)*ISNUMBER($R$3:$R$165)*$Q$3:$Q$165),"")</f>
        <v/>
      </c>
      <c r="AB16" s="21">
        <f>IF(OR(R16="",AA16=""),"",R16/AA16)</f>
        <v/>
      </c>
      <c r="AC16" s="22">
        <f>IF(AB16="",O16,INDEX('4_UK_L1_Input'!$D$4:$D$14,MATCH($C16,'4_UK_L1_Input'!$A$4:$A$14,0))*AB16)</f>
        <v/>
      </c>
      <c r="AD16" s="7">
        <f>IF(AB16="","BETA FALLBACK","REAL (Bloomberg UK)")</f>
        <v/>
      </c>
      <c r="AE16" s="23">
        <f>Y16-N16</f>
        <v/>
      </c>
      <c r="AF16" s="23">
        <f>AC16-O16</f>
        <v/>
      </c>
    </row>
    <row r="17">
      <c r="A17" s="7" t="n">
        <v>15103020</v>
      </c>
      <c r="B17" s="7" t="inlineStr">
        <is>
          <t>Paper &amp; Plastic Packaging Products &amp; Materials</t>
        </is>
      </c>
      <c r="C17" s="7" t="n">
        <v>15</v>
      </c>
      <c r="D17" s="7" t="n">
        <v>1510</v>
      </c>
      <c r="E17" s="7" t="n">
        <v>151030</v>
      </c>
      <c r="F17" s="7" t="n">
        <v>0.801397</v>
      </c>
      <c r="G17" s="7" t="n">
        <v>1</v>
      </c>
      <c r="H17" s="11">
        <f>SUMPRODUCT(($E$3:$E$165=E17)*$G$3:$G$165*$F$3:$F$165)/SUMPRODUCT(($E$3:$E$165=E17)*$G$3:$G$165)</f>
        <v/>
      </c>
      <c r="I17" s="11">
        <f>SUMPRODUCT(($D$3:$D$165=D17)*$G$3:$G$165*$F$3:$F$165)/SUMPRODUCT(($D$3:$D$165=D17)*$G$3:$G$165)</f>
        <v/>
      </c>
      <c r="J17" s="11">
        <f>SUMPRODUCT(($C$3:$C$165=C17)*$G$3:$G$165*$F$3:$F$165)/SUMPRODUCT(($C$3:$C$165=C17)*$G$3:$G$165)</f>
        <v/>
      </c>
      <c r="K17" s="21">
        <f>I17/J17</f>
        <v/>
      </c>
      <c r="L17" s="21">
        <f>H17/I17</f>
        <v/>
      </c>
      <c r="M17" s="21">
        <f>F17/H17</f>
        <v/>
      </c>
      <c r="N17" s="22">
        <f>INDEX('4_UK_L1_Input'!$C$4:$C$14,MATCH($C17,'4_UK_L1_Input'!$A$4:$A$14,0))*K17*L17*M17</f>
        <v/>
      </c>
      <c r="O17" s="22">
        <f>INDEX('4_UK_L1_Input'!$D$4:$D$14,MATCH($C17,'4_UK_L1_Input'!$A$4:$A$14,0))*K17*L17*M17</f>
        <v/>
      </c>
      <c r="P17" s="15" t="n">
        <v>56210000</v>
      </c>
      <c r="Q17" s="15" t="n">
        <v>20940000</v>
      </c>
      <c r="R17" s="16" t="n">
        <v>3.38</v>
      </c>
      <c r="S17" s="11">
        <f>IFERROR(SUMPRODUCT(($E$3:$E$165=E17)*ISNUMBER($P$3:$P$165)*$P$3:$P$165*$F$3:$F$165)/SUMPRODUCT(($E$3:$E$165=E17)*ISNUMBER($P$3:$P$165)*$P$3:$P$165),"")</f>
        <v/>
      </c>
      <c r="T17" s="11">
        <f>IFERROR(SUMPRODUCT(($D$3:$D$165=D17)*ISNUMBER($P$3:$P$165)*$P$3:$P$165*$F$3:$F$165)/SUMPRODUCT(($D$3:$D$165=D17)*ISNUMBER($P$3:$P$165)*$P$3:$P$165),"")</f>
        <v/>
      </c>
      <c r="U17" s="11">
        <f>IFERROR(SUMPRODUCT(($C$3:$C$165=C17)*ISNUMBER($P$3:$P$165)*$P$3:$P$165*$F$3:$F$165)/SUMPRODUCT(($C$3:$C$165=C17)*ISNUMBER($P$3:$P$165)*$P$3:$P$165),"")</f>
        <v/>
      </c>
      <c r="V17" s="21">
        <f>IF(OR(T17="",U17=""),"",T17/U17)</f>
        <v/>
      </c>
      <c r="W17" s="21">
        <f>IF(OR(S17="",T17=""),"",S17/T17)</f>
        <v/>
      </c>
      <c r="X17" s="21">
        <f>IF(S17="","",F17/S17)</f>
        <v/>
      </c>
      <c r="Y17" s="22">
        <f>IF(V17="",N17,INDEX('4_UK_L1_Input'!$C$4:$C$14,MATCH($C17,'4_UK_L1_Input'!$A$4:$A$14,0))*V17*W17*X17)</f>
        <v/>
      </c>
      <c r="Z17" s="7">
        <f>IF(V17="","BETA FALLBACK","REAL (Bloomberg UK)")</f>
        <v/>
      </c>
      <c r="AA17" s="21">
        <f>IFERROR(SUMPRODUCT(($C$3:$C$165=C17)*ISNUMBER($R$3:$R$165)*$Q$3:$Q$165*IF(ISNUMBER($R$3:$R$165),$R$3:$R$165,0))/SUMPRODUCT(($C$3:$C$165=C17)*ISNUMBER($R$3:$R$165)*$Q$3:$Q$165),"")</f>
        <v/>
      </c>
      <c r="AB17" s="21">
        <f>IF(OR(R17="",AA17=""),"",R17/AA17)</f>
        <v/>
      </c>
      <c r="AC17" s="22">
        <f>IF(AB17="",O17,INDEX('4_UK_L1_Input'!$D$4:$D$14,MATCH($C17,'4_UK_L1_Input'!$A$4:$A$14,0))*AB17)</f>
        <v/>
      </c>
      <c r="AD17" s="7">
        <f>IF(AB17="","BETA FALLBACK","REAL (Bloomberg UK)")</f>
        <v/>
      </c>
      <c r="AE17" s="23">
        <f>Y17-N17</f>
        <v/>
      </c>
      <c r="AF17" s="23">
        <f>AC17-O17</f>
        <v/>
      </c>
    </row>
    <row r="18">
      <c r="A18" s="7" t="n">
        <v>15104010</v>
      </c>
      <c r="B18" s="7" t="inlineStr">
        <is>
          <t>Aluminum</t>
        </is>
      </c>
      <c r="C18" s="7" t="n">
        <v>15</v>
      </c>
      <c r="D18" s="7" t="n">
        <v>1510</v>
      </c>
      <c r="E18" s="7" t="n">
        <v>151040</v>
      </c>
      <c r="F18" s="7" t="n">
        <v>0.997259</v>
      </c>
      <c r="G18" s="7" t="n">
        <v>1</v>
      </c>
      <c r="H18" s="11">
        <f>SUMPRODUCT(($E$3:$E$165=E18)*$G$3:$G$165*$F$3:$F$165)/SUMPRODUCT(($E$3:$E$165=E18)*$G$3:$G$165)</f>
        <v/>
      </c>
      <c r="I18" s="11">
        <f>SUMPRODUCT(($D$3:$D$165=D18)*$G$3:$G$165*$F$3:$F$165)/SUMPRODUCT(($D$3:$D$165=D18)*$G$3:$G$165)</f>
        <v/>
      </c>
      <c r="J18" s="11">
        <f>SUMPRODUCT(($C$3:$C$165=C18)*$G$3:$G$165*$F$3:$F$165)/SUMPRODUCT(($C$3:$C$165=C18)*$G$3:$G$165)</f>
        <v/>
      </c>
      <c r="K18" s="21">
        <f>I18/J18</f>
        <v/>
      </c>
      <c r="L18" s="21">
        <f>H18/I18</f>
        <v/>
      </c>
      <c r="M18" s="21">
        <f>F18/H18</f>
        <v/>
      </c>
      <c r="N18" s="22">
        <f>INDEX('4_UK_L1_Input'!$C$4:$C$14,MATCH($C18,'4_UK_L1_Input'!$A$4:$A$14,0))*K18*L18*M18</f>
        <v/>
      </c>
      <c r="O18" s="22">
        <f>INDEX('4_UK_L1_Input'!$D$4:$D$14,MATCH($C18,'4_UK_L1_Input'!$A$4:$A$14,0))*K18*L18*M18</f>
        <v/>
      </c>
      <c r="P18" s="14" t="n"/>
      <c r="Q18" s="14" t="n"/>
      <c r="R18" s="14" t="n"/>
      <c r="S18" s="11">
        <f>IFERROR(SUMPRODUCT(($E$3:$E$165=E18)*ISNUMBER($P$3:$P$165)*$P$3:$P$165*$F$3:$F$165)/SUMPRODUCT(($E$3:$E$165=E18)*ISNUMBER($P$3:$P$165)*$P$3:$P$165),"")</f>
        <v/>
      </c>
      <c r="T18" s="11">
        <f>IFERROR(SUMPRODUCT(($D$3:$D$165=D18)*ISNUMBER($P$3:$P$165)*$P$3:$P$165*$F$3:$F$165)/SUMPRODUCT(($D$3:$D$165=D18)*ISNUMBER($P$3:$P$165)*$P$3:$P$165),"")</f>
        <v/>
      </c>
      <c r="U18" s="11">
        <f>IFERROR(SUMPRODUCT(($C$3:$C$165=C18)*ISNUMBER($P$3:$P$165)*$P$3:$P$165*$F$3:$F$165)/SUMPRODUCT(($C$3:$C$165=C18)*ISNUMBER($P$3:$P$165)*$P$3:$P$165),"")</f>
        <v/>
      </c>
      <c r="V18" s="21">
        <f>IF(OR(T18="",U18=""),"",T18/U18)</f>
        <v/>
      </c>
      <c r="W18" s="21">
        <f>IF(OR(S18="",T18=""),"",S18/T18)</f>
        <v/>
      </c>
      <c r="X18" s="21">
        <f>IF(S18="","",F18/S18)</f>
        <v/>
      </c>
      <c r="Y18" s="22">
        <f>IF(V18="",N18,INDEX('4_UK_L1_Input'!$C$4:$C$14,MATCH($C18,'4_UK_L1_Input'!$A$4:$A$14,0))*V18*W18*X18)</f>
        <v/>
      </c>
      <c r="Z18" s="7">
        <f>IF(V18="","BETA FALLBACK","REAL (Bloomberg UK)")</f>
        <v/>
      </c>
      <c r="AA18" s="21">
        <f>IFERROR(SUMPRODUCT(($C$3:$C$165=C18)*ISNUMBER($R$3:$R$165)*$Q$3:$Q$165*IF(ISNUMBER($R$3:$R$165),$R$3:$R$165,0))/SUMPRODUCT(($C$3:$C$165=C18)*ISNUMBER($R$3:$R$165)*$Q$3:$Q$165),"")</f>
        <v/>
      </c>
      <c r="AB18" s="21">
        <f>IF(OR(R18="",AA18=""),"",R18/AA18)</f>
        <v/>
      </c>
      <c r="AC18" s="22">
        <f>IF(AB18="",O18,INDEX('4_UK_L1_Input'!$D$4:$D$14,MATCH($C18,'4_UK_L1_Input'!$A$4:$A$14,0))*AB18)</f>
        <v/>
      </c>
      <c r="AD18" s="7">
        <f>IF(AB18="","BETA FALLBACK","REAL (Bloomberg UK)")</f>
        <v/>
      </c>
      <c r="AE18" s="23">
        <f>Y18-N18</f>
        <v/>
      </c>
      <c r="AF18" s="23">
        <f>AC18-O18</f>
        <v/>
      </c>
    </row>
    <row r="19">
      <c r="A19" s="7" t="n">
        <v>15104020</v>
      </c>
      <c r="B19" s="7" t="inlineStr">
        <is>
          <t>Diversified Metals &amp; Mining</t>
        </is>
      </c>
      <c r="C19" s="7" t="n">
        <v>15</v>
      </c>
      <c r="D19" s="7" t="n">
        <v>1510</v>
      </c>
      <c r="E19" s="7" t="n">
        <v>151040</v>
      </c>
      <c r="F19" s="7" t="n">
        <v>0.997259</v>
      </c>
      <c r="G19" s="7" t="n">
        <v>1</v>
      </c>
      <c r="H19" s="11">
        <f>SUMPRODUCT(($E$3:$E$165=E19)*$G$3:$G$165*$F$3:$F$165)/SUMPRODUCT(($E$3:$E$165=E19)*$G$3:$G$165)</f>
        <v/>
      </c>
      <c r="I19" s="11">
        <f>SUMPRODUCT(($D$3:$D$165=D19)*$G$3:$G$165*$F$3:$F$165)/SUMPRODUCT(($D$3:$D$165=D19)*$G$3:$G$165)</f>
        <v/>
      </c>
      <c r="J19" s="11">
        <f>SUMPRODUCT(($C$3:$C$165=C19)*$G$3:$G$165*$F$3:$F$165)/SUMPRODUCT(($C$3:$C$165=C19)*$G$3:$G$165)</f>
        <v/>
      </c>
      <c r="K19" s="21">
        <f>I19/J19</f>
        <v/>
      </c>
      <c r="L19" s="21">
        <f>H19/I19</f>
        <v/>
      </c>
      <c r="M19" s="21">
        <f>F19/H19</f>
        <v/>
      </c>
      <c r="N19" s="22">
        <f>INDEX('4_UK_L1_Input'!$C$4:$C$14,MATCH($C19,'4_UK_L1_Input'!$A$4:$A$14,0))*K19*L19*M19</f>
        <v/>
      </c>
      <c r="O19" s="22">
        <f>INDEX('4_UK_L1_Input'!$D$4:$D$14,MATCH($C19,'4_UK_L1_Input'!$A$4:$A$14,0))*K19*L19*M19</f>
        <v/>
      </c>
      <c r="P19" s="15" t="n">
        <v>1930000000</v>
      </c>
      <c r="Q19" s="15" t="n">
        <v>3860000000</v>
      </c>
      <c r="R19" s="16" t="n">
        <v>5.94</v>
      </c>
      <c r="S19" s="11">
        <f>IFERROR(SUMPRODUCT(($E$3:$E$165=E19)*ISNUMBER($P$3:$P$165)*$P$3:$P$165*$F$3:$F$165)/SUMPRODUCT(($E$3:$E$165=E19)*ISNUMBER($P$3:$P$165)*$P$3:$P$165),"")</f>
        <v/>
      </c>
      <c r="T19" s="11">
        <f>IFERROR(SUMPRODUCT(($D$3:$D$165=D19)*ISNUMBER($P$3:$P$165)*$P$3:$P$165*$F$3:$F$165)/SUMPRODUCT(($D$3:$D$165=D19)*ISNUMBER($P$3:$P$165)*$P$3:$P$165),"")</f>
        <v/>
      </c>
      <c r="U19" s="11">
        <f>IFERROR(SUMPRODUCT(($C$3:$C$165=C19)*ISNUMBER($P$3:$P$165)*$P$3:$P$165*$F$3:$F$165)/SUMPRODUCT(($C$3:$C$165=C19)*ISNUMBER($P$3:$P$165)*$P$3:$P$165),"")</f>
        <v/>
      </c>
      <c r="V19" s="21">
        <f>IF(OR(T19="",U19=""),"",T19/U19)</f>
        <v/>
      </c>
      <c r="W19" s="21">
        <f>IF(OR(S19="",T19=""),"",S19/T19)</f>
        <v/>
      </c>
      <c r="X19" s="21">
        <f>IF(S19="","",F19/S19)</f>
        <v/>
      </c>
      <c r="Y19" s="22">
        <f>IF(V19="",N19,INDEX('4_UK_L1_Input'!$C$4:$C$14,MATCH($C19,'4_UK_L1_Input'!$A$4:$A$14,0))*V19*W19*X19)</f>
        <v/>
      </c>
      <c r="Z19" s="7">
        <f>IF(V19="","BETA FALLBACK","REAL (Bloomberg UK)")</f>
        <v/>
      </c>
      <c r="AA19" s="21">
        <f>IFERROR(SUMPRODUCT(($C$3:$C$165=C19)*ISNUMBER($R$3:$R$165)*$Q$3:$Q$165*IF(ISNUMBER($R$3:$R$165),$R$3:$R$165,0))/SUMPRODUCT(($C$3:$C$165=C19)*ISNUMBER($R$3:$R$165)*$Q$3:$Q$165),"")</f>
        <v/>
      </c>
      <c r="AB19" s="21">
        <f>IF(OR(R19="",AA19=""),"",R19/AA19)</f>
        <v/>
      </c>
      <c r="AC19" s="22">
        <f>IF(AB19="",O19,INDEX('4_UK_L1_Input'!$D$4:$D$14,MATCH($C19,'4_UK_L1_Input'!$A$4:$A$14,0))*AB19)</f>
        <v/>
      </c>
      <c r="AD19" s="7">
        <f>IF(AB19="","BETA FALLBACK","REAL (Bloomberg UK)")</f>
        <v/>
      </c>
      <c r="AE19" s="23">
        <f>Y19-N19</f>
        <v/>
      </c>
      <c r="AF19" s="23">
        <f>AC19-O19</f>
        <v/>
      </c>
    </row>
    <row r="20">
      <c r="A20" s="7" t="n">
        <v>15104025</v>
      </c>
      <c r="B20" s="7" t="inlineStr">
        <is>
          <t>Copper</t>
        </is>
      </c>
      <c r="C20" s="7" t="n">
        <v>15</v>
      </c>
      <c r="D20" s="7" t="n">
        <v>1510</v>
      </c>
      <c r="E20" s="7" t="n">
        <v>151040</v>
      </c>
      <c r="F20" s="7" t="n">
        <v>0.997259</v>
      </c>
      <c r="G20" s="7" t="n">
        <v>1</v>
      </c>
      <c r="H20" s="11">
        <f>SUMPRODUCT(($E$3:$E$165=E20)*$G$3:$G$165*$F$3:$F$165)/SUMPRODUCT(($E$3:$E$165=E20)*$G$3:$G$165)</f>
        <v/>
      </c>
      <c r="I20" s="11">
        <f>SUMPRODUCT(($D$3:$D$165=D20)*$G$3:$G$165*$F$3:$F$165)/SUMPRODUCT(($D$3:$D$165=D20)*$G$3:$G$165)</f>
        <v/>
      </c>
      <c r="J20" s="11">
        <f>SUMPRODUCT(($C$3:$C$165=C20)*$G$3:$G$165*$F$3:$F$165)/SUMPRODUCT(($C$3:$C$165=C20)*$G$3:$G$165)</f>
        <v/>
      </c>
      <c r="K20" s="21">
        <f>I20/J20</f>
        <v/>
      </c>
      <c r="L20" s="21">
        <f>H20/I20</f>
        <v/>
      </c>
      <c r="M20" s="21">
        <f>F20/H20</f>
        <v/>
      </c>
      <c r="N20" s="22">
        <f>INDEX('4_UK_L1_Input'!$C$4:$C$14,MATCH($C20,'4_UK_L1_Input'!$A$4:$A$14,0))*K20*L20*M20</f>
        <v/>
      </c>
      <c r="O20" s="22">
        <f>INDEX('4_UK_L1_Input'!$D$4:$D$14,MATCH($C20,'4_UK_L1_Input'!$A$4:$A$14,0))*K20*L20*M20</f>
        <v/>
      </c>
      <c r="P20" s="15" t="n">
        <v>76620000</v>
      </c>
      <c r="Q20" s="15" t="n">
        <v>98500000</v>
      </c>
      <c r="R20" s="16" t="n">
        <v>1.5</v>
      </c>
      <c r="S20" s="11">
        <f>IFERROR(SUMPRODUCT(($E$3:$E$165=E20)*ISNUMBER($P$3:$P$165)*$P$3:$P$165*$F$3:$F$165)/SUMPRODUCT(($E$3:$E$165=E20)*ISNUMBER($P$3:$P$165)*$P$3:$P$165),"")</f>
        <v/>
      </c>
      <c r="T20" s="11">
        <f>IFERROR(SUMPRODUCT(($D$3:$D$165=D20)*ISNUMBER($P$3:$P$165)*$P$3:$P$165*$F$3:$F$165)/SUMPRODUCT(($D$3:$D$165=D20)*ISNUMBER($P$3:$P$165)*$P$3:$P$165),"")</f>
        <v/>
      </c>
      <c r="U20" s="11">
        <f>IFERROR(SUMPRODUCT(($C$3:$C$165=C20)*ISNUMBER($P$3:$P$165)*$P$3:$P$165*$F$3:$F$165)/SUMPRODUCT(($C$3:$C$165=C20)*ISNUMBER($P$3:$P$165)*$P$3:$P$165),"")</f>
        <v/>
      </c>
      <c r="V20" s="21">
        <f>IF(OR(T20="",U20=""),"",T20/U20)</f>
        <v/>
      </c>
      <c r="W20" s="21">
        <f>IF(OR(S20="",T20=""),"",S20/T20)</f>
        <v/>
      </c>
      <c r="X20" s="21">
        <f>IF(S20="","",F20/S20)</f>
        <v/>
      </c>
      <c r="Y20" s="22">
        <f>IF(V20="",N20,INDEX('4_UK_L1_Input'!$C$4:$C$14,MATCH($C20,'4_UK_L1_Input'!$A$4:$A$14,0))*V20*W20*X20)</f>
        <v/>
      </c>
      <c r="Z20" s="7">
        <f>IF(V20="","BETA FALLBACK","REAL (Bloomberg UK)")</f>
        <v/>
      </c>
      <c r="AA20" s="21">
        <f>IFERROR(SUMPRODUCT(($C$3:$C$165=C20)*ISNUMBER($R$3:$R$165)*$Q$3:$Q$165*IF(ISNUMBER($R$3:$R$165),$R$3:$R$165,0))/SUMPRODUCT(($C$3:$C$165=C20)*ISNUMBER($R$3:$R$165)*$Q$3:$Q$165),"")</f>
        <v/>
      </c>
      <c r="AB20" s="21">
        <f>IF(OR(R20="",AA20=""),"",R20/AA20)</f>
        <v/>
      </c>
      <c r="AC20" s="22">
        <f>IF(AB20="",O20,INDEX('4_UK_L1_Input'!$D$4:$D$14,MATCH($C20,'4_UK_L1_Input'!$A$4:$A$14,0))*AB20)</f>
        <v/>
      </c>
      <c r="AD20" s="7">
        <f>IF(AB20="","BETA FALLBACK","REAL (Bloomberg UK)")</f>
        <v/>
      </c>
      <c r="AE20" s="23">
        <f>Y20-N20</f>
        <v/>
      </c>
      <c r="AF20" s="23">
        <f>AC20-O20</f>
        <v/>
      </c>
    </row>
    <row r="21">
      <c r="A21" s="7" t="n">
        <v>15104030</v>
      </c>
      <c r="B21" s="7" t="inlineStr">
        <is>
          <t>Gold</t>
        </is>
      </c>
      <c r="C21" s="7" t="n">
        <v>15</v>
      </c>
      <c r="D21" s="7" t="n">
        <v>1510</v>
      </c>
      <c r="E21" s="7" t="n">
        <v>151040</v>
      </c>
      <c r="F21" s="7" t="n">
        <v>0.841513</v>
      </c>
      <c r="G21" s="7" t="n">
        <v>1</v>
      </c>
      <c r="H21" s="11">
        <f>SUMPRODUCT(($E$3:$E$165=E21)*$G$3:$G$165*$F$3:$F$165)/SUMPRODUCT(($E$3:$E$165=E21)*$G$3:$G$165)</f>
        <v/>
      </c>
      <c r="I21" s="11">
        <f>SUMPRODUCT(($D$3:$D$165=D21)*$G$3:$G$165*$F$3:$F$165)/SUMPRODUCT(($D$3:$D$165=D21)*$G$3:$G$165)</f>
        <v/>
      </c>
      <c r="J21" s="11">
        <f>SUMPRODUCT(($C$3:$C$165=C21)*$G$3:$G$165*$F$3:$F$165)/SUMPRODUCT(($C$3:$C$165=C21)*$G$3:$G$165)</f>
        <v/>
      </c>
      <c r="K21" s="21">
        <f>I21/J21</f>
        <v/>
      </c>
      <c r="L21" s="21">
        <f>H21/I21</f>
        <v/>
      </c>
      <c r="M21" s="21">
        <f>F21/H21</f>
        <v/>
      </c>
      <c r="N21" s="22">
        <f>INDEX('4_UK_L1_Input'!$C$4:$C$14,MATCH($C21,'4_UK_L1_Input'!$A$4:$A$14,0))*K21*L21*M21</f>
        <v/>
      </c>
      <c r="O21" s="22">
        <f>INDEX('4_UK_L1_Input'!$D$4:$D$14,MATCH($C21,'4_UK_L1_Input'!$A$4:$A$14,0))*K21*L21*M21</f>
        <v/>
      </c>
      <c r="P21" s="15" t="n">
        <v>410600000</v>
      </c>
      <c r="Q21" s="15" t="n">
        <v>1430000000</v>
      </c>
      <c r="R21" s="16" t="n">
        <v>4.23</v>
      </c>
      <c r="S21" s="11">
        <f>IFERROR(SUMPRODUCT(($E$3:$E$165=E21)*ISNUMBER($P$3:$P$165)*$P$3:$P$165*$F$3:$F$165)/SUMPRODUCT(($E$3:$E$165=E21)*ISNUMBER($P$3:$P$165)*$P$3:$P$165),"")</f>
        <v/>
      </c>
      <c r="T21" s="11">
        <f>IFERROR(SUMPRODUCT(($D$3:$D$165=D21)*ISNUMBER($P$3:$P$165)*$P$3:$P$165*$F$3:$F$165)/SUMPRODUCT(($D$3:$D$165=D21)*ISNUMBER($P$3:$P$165)*$P$3:$P$165),"")</f>
        <v/>
      </c>
      <c r="U21" s="11">
        <f>IFERROR(SUMPRODUCT(($C$3:$C$165=C21)*ISNUMBER($P$3:$P$165)*$P$3:$P$165*$F$3:$F$165)/SUMPRODUCT(($C$3:$C$165=C21)*ISNUMBER($P$3:$P$165)*$P$3:$P$165),"")</f>
        <v/>
      </c>
      <c r="V21" s="21">
        <f>IF(OR(T21="",U21=""),"",T21/U21)</f>
        <v/>
      </c>
      <c r="W21" s="21">
        <f>IF(OR(S21="",T21=""),"",S21/T21)</f>
        <v/>
      </c>
      <c r="X21" s="21">
        <f>IF(S21="","",F21/S21)</f>
        <v/>
      </c>
      <c r="Y21" s="22">
        <f>IF(V21="",N21,INDEX('4_UK_L1_Input'!$C$4:$C$14,MATCH($C21,'4_UK_L1_Input'!$A$4:$A$14,0))*V21*W21*X21)</f>
        <v/>
      </c>
      <c r="Z21" s="7">
        <f>IF(V21="","BETA FALLBACK","REAL (Bloomberg UK)")</f>
        <v/>
      </c>
      <c r="AA21" s="21">
        <f>IFERROR(SUMPRODUCT(($C$3:$C$165=C21)*ISNUMBER($R$3:$R$165)*$Q$3:$Q$165*IF(ISNUMBER($R$3:$R$165),$R$3:$R$165,0))/SUMPRODUCT(($C$3:$C$165=C21)*ISNUMBER($R$3:$R$165)*$Q$3:$Q$165),"")</f>
        <v/>
      </c>
      <c r="AB21" s="21">
        <f>IF(OR(R21="",AA21=""),"",R21/AA21)</f>
        <v/>
      </c>
      <c r="AC21" s="22">
        <f>IF(AB21="",O21,INDEX('4_UK_L1_Input'!$D$4:$D$14,MATCH($C21,'4_UK_L1_Input'!$A$4:$A$14,0))*AB21)</f>
        <v/>
      </c>
      <c r="AD21" s="7">
        <f>IF(AB21="","BETA FALLBACK","REAL (Bloomberg UK)")</f>
        <v/>
      </c>
      <c r="AE21" s="23">
        <f>Y21-N21</f>
        <v/>
      </c>
      <c r="AF21" s="23">
        <f>AC21-O21</f>
        <v/>
      </c>
    </row>
    <row r="22">
      <c r="A22" s="7" t="n">
        <v>15104040</v>
      </c>
      <c r="B22" s="7" t="inlineStr">
        <is>
          <t>Precious Metals &amp; Minerals</t>
        </is>
      </c>
      <c r="C22" s="7" t="n">
        <v>15</v>
      </c>
      <c r="D22" s="7" t="n">
        <v>1510</v>
      </c>
      <c r="E22" s="7" t="n">
        <v>151040</v>
      </c>
      <c r="F22" s="7" t="n">
        <v>0.841513</v>
      </c>
      <c r="G22" s="7" t="n">
        <v>1</v>
      </c>
      <c r="H22" s="11">
        <f>SUMPRODUCT(($E$3:$E$165=E22)*$G$3:$G$165*$F$3:$F$165)/SUMPRODUCT(($E$3:$E$165=E22)*$G$3:$G$165)</f>
        <v/>
      </c>
      <c r="I22" s="11">
        <f>SUMPRODUCT(($D$3:$D$165=D22)*$G$3:$G$165*$F$3:$F$165)/SUMPRODUCT(($D$3:$D$165=D22)*$G$3:$G$165)</f>
        <v/>
      </c>
      <c r="J22" s="11">
        <f>SUMPRODUCT(($C$3:$C$165=C22)*$G$3:$G$165*$F$3:$F$165)/SUMPRODUCT(($C$3:$C$165=C22)*$G$3:$G$165)</f>
        <v/>
      </c>
      <c r="K22" s="21">
        <f>I22/J22</f>
        <v/>
      </c>
      <c r="L22" s="21">
        <f>H22/I22</f>
        <v/>
      </c>
      <c r="M22" s="21">
        <f>F22/H22</f>
        <v/>
      </c>
      <c r="N22" s="22">
        <f>INDEX('4_UK_L1_Input'!$C$4:$C$14,MATCH($C22,'4_UK_L1_Input'!$A$4:$A$14,0))*K22*L22*M22</f>
        <v/>
      </c>
      <c r="O22" s="22">
        <f>INDEX('4_UK_L1_Input'!$D$4:$D$14,MATCH($C22,'4_UK_L1_Input'!$A$4:$A$14,0))*K22*L22*M22</f>
        <v/>
      </c>
      <c r="P22" s="15" t="n">
        <v>20970000</v>
      </c>
      <c r="Q22" s="15" t="n">
        <v>32640000</v>
      </c>
      <c r="R22" s="14" t="n"/>
      <c r="S22" s="11">
        <f>IFERROR(SUMPRODUCT(($E$3:$E$165=E22)*ISNUMBER($P$3:$P$165)*$P$3:$P$165*$F$3:$F$165)/SUMPRODUCT(($E$3:$E$165=E22)*ISNUMBER($P$3:$P$165)*$P$3:$P$165),"")</f>
        <v/>
      </c>
      <c r="T22" s="11">
        <f>IFERROR(SUMPRODUCT(($D$3:$D$165=D22)*ISNUMBER($P$3:$P$165)*$P$3:$P$165*$F$3:$F$165)/SUMPRODUCT(($D$3:$D$165=D22)*ISNUMBER($P$3:$P$165)*$P$3:$P$165),"")</f>
        <v/>
      </c>
      <c r="U22" s="11">
        <f>IFERROR(SUMPRODUCT(($C$3:$C$165=C22)*ISNUMBER($P$3:$P$165)*$P$3:$P$165*$F$3:$F$165)/SUMPRODUCT(($C$3:$C$165=C22)*ISNUMBER($P$3:$P$165)*$P$3:$P$165),"")</f>
        <v/>
      </c>
      <c r="V22" s="21">
        <f>IF(OR(T22="",U22=""),"",T22/U22)</f>
        <v/>
      </c>
      <c r="W22" s="21">
        <f>IF(OR(S22="",T22=""),"",S22/T22)</f>
        <v/>
      </c>
      <c r="X22" s="21">
        <f>IF(S22="","",F22/S22)</f>
        <v/>
      </c>
      <c r="Y22" s="22">
        <f>IF(V22="",N22,INDEX('4_UK_L1_Input'!$C$4:$C$14,MATCH($C22,'4_UK_L1_Input'!$A$4:$A$14,0))*V22*W22*X22)</f>
        <v/>
      </c>
      <c r="Z22" s="7">
        <f>IF(V22="","BETA FALLBACK","REAL (Bloomberg UK)")</f>
        <v/>
      </c>
      <c r="AA22" s="21">
        <f>IFERROR(SUMPRODUCT(($C$3:$C$165=C22)*ISNUMBER($R$3:$R$165)*$Q$3:$Q$165*IF(ISNUMBER($R$3:$R$165),$R$3:$R$165,0))/SUMPRODUCT(($C$3:$C$165=C22)*ISNUMBER($R$3:$R$165)*$Q$3:$Q$165),"")</f>
        <v/>
      </c>
      <c r="AB22" s="21">
        <f>IF(OR(R22="",AA22=""),"",R22/AA22)</f>
        <v/>
      </c>
      <c r="AC22" s="22">
        <f>IF(AB22="",O22,INDEX('4_UK_L1_Input'!$D$4:$D$14,MATCH($C22,'4_UK_L1_Input'!$A$4:$A$14,0))*AB22)</f>
        <v/>
      </c>
      <c r="AD22" s="7">
        <f>IF(AB22="","BETA FALLBACK","REAL (Bloomberg UK)")</f>
        <v/>
      </c>
      <c r="AE22" s="23">
        <f>Y22-N22</f>
        <v/>
      </c>
      <c r="AF22" s="23">
        <f>AC22-O22</f>
        <v/>
      </c>
    </row>
    <row r="23">
      <c r="A23" s="7" t="n">
        <v>15104045</v>
      </c>
      <c r="B23" s="7" t="inlineStr">
        <is>
          <t>Silver</t>
        </is>
      </c>
      <c r="C23" s="7" t="n">
        <v>15</v>
      </c>
      <c r="D23" s="7" t="n">
        <v>1510</v>
      </c>
      <c r="E23" s="7" t="n">
        <v>151040</v>
      </c>
      <c r="F23" s="7" t="n">
        <v>0.841513</v>
      </c>
      <c r="G23" s="7" t="n">
        <v>1</v>
      </c>
      <c r="H23" s="11">
        <f>SUMPRODUCT(($E$3:$E$165=E23)*$G$3:$G$165*$F$3:$F$165)/SUMPRODUCT(($E$3:$E$165=E23)*$G$3:$G$165)</f>
        <v/>
      </c>
      <c r="I23" s="11">
        <f>SUMPRODUCT(($D$3:$D$165=D23)*$G$3:$G$165*$F$3:$F$165)/SUMPRODUCT(($D$3:$D$165=D23)*$G$3:$G$165)</f>
        <v/>
      </c>
      <c r="J23" s="11">
        <f>SUMPRODUCT(($C$3:$C$165=C23)*$G$3:$G$165*$F$3:$F$165)/SUMPRODUCT(($C$3:$C$165=C23)*$G$3:$G$165)</f>
        <v/>
      </c>
      <c r="K23" s="21">
        <f>I23/J23</f>
        <v/>
      </c>
      <c r="L23" s="21">
        <f>H23/I23</f>
        <v/>
      </c>
      <c r="M23" s="21">
        <f>F23/H23</f>
        <v/>
      </c>
      <c r="N23" s="22">
        <f>INDEX('4_UK_L1_Input'!$C$4:$C$14,MATCH($C23,'4_UK_L1_Input'!$A$4:$A$14,0))*K23*L23*M23</f>
        <v/>
      </c>
      <c r="O23" s="22">
        <f>INDEX('4_UK_L1_Input'!$D$4:$D$14,MATCH($C23,'4_UK_L1_Input'!$A$4:$A$14,0))*K23*L23*M23</f>
        <v/>
      </c>
      <c r="P23" s="14" t="n"/>
      <c r="Q23" s="14" t="n"/>
      <c r="R23" s="14" t="n"/>
      <c r="S23" s="11">
        <f>IFERROR(SUMPRODUCT(($E$3:$E$165=E23)*ISNUMBER($P$3:$P$165)*$P$3:$P$165*$F$3:$F$165)/SUMPRODUCT(($E$3:$E$165=E23)*ISNUMBER($P$3:$P$165)*$P$3:$P$165),"")</f>
        <v/>
      </c>
      <c r="T23" s="11">
        <f>IFERROR(SUMPRODUCT(($D$3:$D$165=D23)*ISNUMBER($P$3:$P$165)*$P$3:$P$165*$F$3:$F$165)/SUMPRODUCT(($D$3:$D$165=D23)*ISNUMBER($P$3:$P$165)*$P$3:$P$165),"")</f>
        <v/>
      </c>
      <c r="U23" s="11">
        <f>IFERROR(SUMPRODUCT(($C$3:$C$165=C23)*ISNUMBER($P$3:$P$165)*$P$3:$P$165*$F$3:$F$165)/SUMPRODUCT(($C$3:$C$165=C23)*ISNUMBER($P$3:$P$165)*$P$3:$P$165),"")</f>
        <v/>
      </c>
      <c r="V23" s="21">
        <f>IF(OR(T23="",U23=""),"",T23/U23)</f>
        <v/>
      </c>
      <c r="W23" s="21">
        <f>IF(OR(S23="",T23=""),"",S23/T23)</f>
        <v/>
      </c>
      <c r="X23" s="21">
        <f>IF(S23="","",F23/S23)</f>
        <v/>
      </c>
      <c r="Y23" s="22">
        <f>IF(V23="",N23,INDEX('4_UK_L1_Input'!$C$4:$C$14,MATCH($C23,'4_UK_L1_Input'!$A$4:$A$14,0))*V23*W23*X23)</f>
        <v/>
      </c>
      <c r="Z23" s="7">
        <f>IF(V23="","BETA FALLBACK","REAL (Bloomberg UK)")</f>
        <v/>
      </c>
      <c r="AA23" s="21">
        <f>IFERROR(SUMPRODUCT(($C$3:$C$165=C23)*ISNUMBER($R$3:$R$165)*$Q$3:$Q$165*IF(ISNUMBER($R$3:$R$165),$R$3:$R$165,0))/SUMPRODUCT(($C$3:$C$165=C23)*ISNUMBER($R$3:$R$165)*$Q$3:$Q$165),"")</f>
        <v/>
      </c>
      <c r="AB23" s="21">
        <f>IF(OR(R23="",AA23=""),"",R23/AA23)</f>
        <v/>
      </c>
      <c r="AC23" s="22">
        <f>IF(AB23="",O23,INDEX('4_UK_L1_Input'!$D$4:$D$14,MATCH($C23,'4_UK_L1_Input'!$A$4:$A$14,0))*AB23)</f>
        <v/>
      </c>
      <c r="AD23" s="7">
        <f>IF(AB23="","BETA FALLBACK","REAL (Bloomberg UK)")</f>
        <v/>
      </c>
      <c r="AE23" s="23">
        <f>Y23-N23</f>
        <v/>
      </c>
      <c r="AF23" s="23">
        <f>AC23-O23</f>
        <v/>
      </c>
    </row>
    <row r="24">
      <c r="A24" s="7" t="n">
        <v>15104050</v>
      </c>
      <c r="B24" s="7" t="inlineStr">
        <is>
          <t>Steel</t>
        </is>
      </c>
      <c r="C24" s="7" t="n">
        <v>15</v>
      </c>
      <c r="D24" s="7" t="n">
        <v>1510</v>
      </c>
      <c r="E24" s="7" t="n">
        <v>151040</v>
      </c>
      <c r="F24" s="7" t="n">
        <v>0.929779</v>
      </c>
      <c r="G24" s="7" t="n">
        <v>1</v>
      </c>
      <c r="H24" s="11">
        <f>SUMPRODUCT(($E$3:$E$165=E24)*$G$3:$G$165*$F$3:$F$165)/SUMPRODUCT(($E$3:$E$165=E24)*$G$3:$G$165)</f>
        <v/>
      </c>
      <c r="I24" s="11">
        <f>SUMPRODUCT(($D$3:$D$165=D24)*$G$3:$G$165*$F$3:$F$165)/SUMPRODUCT(($D$3:$D$165=D24)*$G$3:$G$165)</f>
        <v/>
      </c>
      <c r="J24" s="11">
        <f>SUMPRODUCT(($C$3:$C$165=C24)*$G$3:$G$165*$F$3:$F$165)/SUMPRODUCT(($C$3:$C$165=C24)*$G$3:$G$165)</f>
        <v/>
      </c>
      <c r="K24" s="21">
        <f>I24/J24</f>
        <v/>
      </c>
      <c r="L24" s="21">
        <f>H24/I24</f>
        <v/>
      </c>
      <c r="M24" s="21">
        <f>F24/H24</f>
        <v/>
      </c>
      <c r="N24" s="22">
        <f>INDEX('4_UK_L1_Input'!$C$4:$C$14,MATCH($C24,'4_UK_L1_Input'!$A$4:$A$14,0))*K24*L24*M24</f>
        <v/>
      </c>
      <c r="O24" s="22">
        <f>INDEX('4_UK_L1_Input'!$D$4:$D$14,MATCH($C24,'4_UK_L1_Input'!$A$4:$A$14,0))*K24*L24*M24</f>
        <v/>
      </c>
      <c r="P24" s="15" t="n">
        <v>229700000</v>
      </c>
      <c r="Q24" s="15" t="n">
        <v>509320000</v>
      </c>
      <c r="R24" s="16" t="n">
        <v>10.16</v>
      </c>
      <c r="S24" s="11">
        <f>IFERROR(SUMPRODUCT(($E$3:$E$165=E24)*ISNUMBER($P$3:$P$165)*$P$3:$P$165*$F$3:$F$165)/SUMPRODUCT(($E$3:$E$165=E24)*ISNUMBER($P$3:$P$165)*$P$3:$P$165),"")</f>
        <v/>
      </c>
      <c r="T24" s="11">
        <f>IFERROR(SUMPRODUCT(($D$3:$D$165=D24)*ISNUMBER($P$3:$P$165)*$P$3:$P$165*$F$3:$F$165)/SUMPRODUCT(($D$3:$D$165=D24)*ISNUMBER($P$3:$P$165)*$P$3:$P$165),"")</f>
        <v/>
      </c>
      <c r="U24" s="11">
        <f>IFERROR(SUMPRODUCT(($C$3:$C$165=C24)*ISNUMBER($P$3:$P$165)*$P$3:$P$165*$F$3:$F$165)/SUMPRODUCT(($C$3:$C$165=C24)*ISNUMBER($P$3:$P$165)*$P$3:$P$165),"")</f>
        <v/>
      </c>
      <c r="V24" s="21">
        <f>IF(OR(T24="",U24=""),"",T24/U24)</f>
        <v/>
      </c>
      <c r="W24" s="21">
        <f>IF(OR(S24="",T24=""),"",S24/T24)</f>
        <v/>
      </c>
      <c r="X24" s="21">
        <f>IF(S24="","",F24/S24)</f>
        <v/>
      </c>
      <c r="Y24" s="22">
        <f>IF(V24="",N24,INDEX('4_UK_L1_Input'!$C$4:$C$14,MATCH($C24,'4_UK_L1_Input'!$A$4:$A$14,0))*V24*W24*X24)</f>
        <v/>
      </c>
      <c r="Z24" s="7">
        <f>IF(V24="","BETA FALLBACK","REAL (Bloomberg UK)")</f>
        <v/>
      </c>
      <c r="AA24" s="21">
        <f>IFERROR(SUMPRODUCT(($C$3:$C$165=C24)*ISNUMBER($R$3:$R$165)*$Q$3:$Q$165*IF(ISNUMBER($R$3:$R$165),$R$3:$R$165,0))/SUMPRODUCT(($C$3:$C$165=C24)*ISNUMBER($R$3:$R$165)*$Q$3:$Q$165),"")</f>
        <v/>
      </c>
      <c r="AB24" s="21">
        <f>IF(OR(R24="",AA24=""),"",R24/AA24)</f>
        <v/>
      </c>
      <c r="AC24" s="22">
        <f>IF(AB24="",O24,INDEX('4_UK_L1_Input'!$D$4:$D$14,MATCH($C24,'4_UK_L1_Input'!$A$4:$A$14,0))*AB24)</f>
        <v/>
      </c>
      <c r="AD24" s="7">
        <f>IF(AB24="","BETA FALLBACK","REAL (Bloomberg UK)")</f>
        <v/>
      </c>
      <c r="AE24" s="23">
        <f>Y24-N24</f>
        <v/>
      </c>
      <c r="AF24" s="23">
        <f>AC24-O24</f>
        <v/>
      </c>
    </row>
    <row r="25">
      <c r="A25" s="7" t="n">
        <v>15105010</v>
      </c>
      <c r="B25" s="7" t="inlineStr">
        <is>
          <t>Forest Products</t>
        </is>
      </c>
      <c r="C25" s="7" t="n">
        <v>15</v>
      </c>
      <c r="D25" s="7" t="n">
        <v>1510</v>
      </c>
      <c r="E25" s="7" t="n">
        <v>151050</v>
      </c>
      <c r="F25" s="7" t="n">
        <v>0.851733</v>
      </c>
      <c r="G25" s="7" t="n">
        <v>1</v>
      </c>
      <c r="H25" s="11">
        <f>SUMPRODUCT(($E$3:$E$165=E25)*$G$3:$G$165*$F$3:$F$165)/SUMPRODUCT(($E$3:$E$165=E25)*$G$3:$G$165)</f>
        <v/>
      </c>
      <c r="I25" s="11">
        <f>SUMPRODUCT(($D$3:$D$165=D25)*$G$3:$G$165*$F$3:$F$165)/SUMPRODUCT(($D$3:$D$165=D25)*$G$3:$G$165)</f>
        <v/>
      </c>
      <c r="J25" s="11">
        <f>SUMPRODUCT(($C$3:$C$165=C25)*$G$3:$G$165*$F$3:$F$165)/SUMPRODUCT(($C$3:$C$165=C25)*$G$3:$G$165)</f>
        <v/>
      </c>
      <c r="K25" s="21">
        <f>I25/J25</f>
        <v/>
      </c>
      <c r="L25" s="21">
        <f>H25/I25</f>
        <v/>
      </c>
      <c r="M25" s="21">
        <f>F25/H25</f>
        <v/>
      </c>
      <c r="N25" s="22">
        <f>INDEX('4_UK_L1_Input'!$C$4:$C$14,MATCH($C25,'4_UK_L1_Input'!$A$4:$A$14,0))*K25*L25*M25</f>
        <v/>
      </c>
      <c r="O25" s="22">
        <f>INDEX('4_UK_L1_Input'!$D$4:$D$14,MATCH($C25,'4_UK_L1_Input'!$A$4:$A$14,0))*K25*L25*M25</f>
        <v/>
      </c>
      <c r="P25" s="15" t="n">
        <v>153280000</v>
      </c>
      <c r="Q25" s="15" t="n">
        <v>170210000</v>
      </c>
      <c r="R25" s="16" t="n">
        <v>9.59</v>
      </c>
      <c r="S25" s="11">
        <f>IFERROR(SUMPRODUCT(($E$3:$E$165=E25)*ISNUMBER($P$3:$P$165)*$P$3:$P$165*$F$3:$F$165)/SUMPRODUCT(($E$3:$E$165=E25)*ISNUMBER($P$3:$P$165)*$P$3:$P$165),"")</f>
        <v/>
      </c>
      <c r="T25" s="11">
        <f>IFERROR(SUMPRODUCT(($D$3:$D$165=D25)*ISNUMBER($P$3:$P$165)*$P$3:$P$165*$F$3:$F$165)/SUMPRODUCT(($D$3:$D$165=D25)*ISNUMBER($P$3:$P$165)*$P$3:$P$165),"")</f>
        <v/>
      </c>
      <c r="U25" s="11">
        <f>IFERROR(SUMPRODUCT(($C$3:$C$165=C25)*ISNUMBER($P$3:$P$165)*$P$3:$P$165*$F$3:$F$165)/SUMPRODUCT(($C$3:$C$165=C25)*ISNUMBER($P$3:$P$165)*$P$3:$P$165),"")</f>
        <v/>
      </c>
      <c r="V25" s="21">
        <f>IF(OR(T25="",U25=""),"",T25/U25)</f>
        <v/>
      </c>
      <c r="W25" s="21">
        <f>IF(OR(S25="",T25=""),"",S25/T25)</f>
        <v/>
      </c>
      <c r="X25" s="21">
        <f>IF(S25="","",F25/S25)</f>
        <v/>
      </c>
      <c r="Y25" s="22">
        <f>IF(V25="",N25,INDEX('4_UK_L1_Input'!$C$4:$C$14,MATCH($C25,'4_UK_L1_Input'!$A$4:$A$14,0))*V25*W25*X25)</f>
        <v/>
      </c>
      <c r="Z25" s="7">
        <f>IF(V25="","BETA FALLBACK","REAL (Bloomberg UK)")</f>
        <v/>
      </c>
      <c r="AA25" s="21">
        <f>IFERROR(SUMPRODUCT(($C$3:$C$165=C25)*ISNUMBER($R$3:$R$165)*$Q$3:$Q$165*IF(ISNUMBER($R$3:$R$165),$R$3:$R$165,0))/SUMPRODUCT(($C$3:$C$165=C25)*ISNUMBER($R$3:$R$165)*$Q$3:$Q$165),"")</f>
        <v/>
      </c>
      <c r="AB25" s="21">
        <f>IF(OR(R25="",AA25=""),"",R25/AA25)</f>
        <v/>
      </c>
      <c r="AC25" s="22">
        <f>IF(AB25="",O25,INDEX('4_UK_L1_Input'!$D$4:$D$14,MATCH($C25,'4_UK_L1_Input'!$A$4:$A$14,0))*AB25)</f>
        <v/>
      </c>
      <c r="AD25" s="7">
        <f>IF(AB25="","BETA FALLBACK","REAL (Bloomberg UK)")</f>
        <v/>
      </c>
      <c r="AE25" s="23">
        <f>Y25-N25</f>
        <v/>
      </c>
      <c r="AF25" s="23">
        <f>AC25-O25</f>
        <v/>
      </c>
    </row>
    <row r="26">
      <c r="A26" s="7" t="n">
        <v>15105020</v>
      </c>
      <c r="B26" s="7" t="inlineStr">
        <is>
          <t>Paper Products</t>
        </is>
      </c>
      <c r="C26" s="7" t="n">
        <v>15</v>
      </c>
      <c r="D26" s="7" t="n">
        <v>1510</v>
      </c>
      <c r="E26" s="7" t="n">
        <v>151050</v>
      </c>
      <c r="F26" s="7" t="n">
        <v>0.851733</v>
      </c>
      <c r="G26" s="7" t="n">
        <v>1</v>
      </c>
      <c r="H26" s="11">
        <f>SUMPRODUCT(($E$3:$E$165=E26)*$G$3:$G$165*$F$3:$F$165)/SUMPRODUCT(($E$3:$E$165=E26)*$G$3:$G$165)</f>
        <v/>
      </c>
      <c r="I26" s="11">
        <f>SUMPRODUCT(($D$3:$D$165=D26)*$G$3:$G$165*$F$3:$F$165)/SUMPRODUCT(($D$3:$D$165=D26)*$G$3:$G$165)</f>
        <v/>
      </c>
      <c r="J26" s="11">
        <f>SUMPRODUCT(($C$3:$C$165=C26)*$G$3:$G$165*$F$3:$F$165)/SUMPRODUCT(($C$3:$C$165=C26)*$G$3:$G$165)</f>
        <v/>
      </c>
      <c r="K26" s="21">
        <f>I26/J26</f>
        <v/>
      </c>
      <c r="L26" s="21">
        <f>H26/I26</f>
        <v/>
      </c>
      <c r="M26" s="21">
        <f>F26/H26</f>
        <v/>
      </c>
      <c r="N26" s="22">
        <f>INDEX('4_UK_L1_Input'!$C$4:$C$14,MATCH($C26,'4_UK_L1_Input'!$A$4:$A$14,0))*K26*L26*M26</f>
        <v/>
      </c>
      <c r="O26" s="22">
        <f>INDEX('4_UK_L1_Input'!$D$4:$D$14,MATCH($C26,'4_UK_L1_Input'!$A$4:$A$14,0))*K26*L26*M26</f>
        <v/>
      </c>
      <c r="P26" s="15" t="n">
        <v>3920000000</v>
      </c>
      <c r="Q26" s="15" t="n">
        <v>2060000000</v>
      </c>
      <c r="R26" s="16" t="n">
        <v>6.56</v>
      </c>
      <c r="S26" s="11">
        <f>IFERROR(SUMPRODUCT(($E$3:$E$165=E26)*ISNUMBER($P$3:$P$165)*$P$3:$P$165*$F$3:$F$165)/SUMPRODUCT(($E$3:$E$165=E26)*ISNUMBER($P$3:$P$165)*$P$3:$P$165),"")</f>
        <v/>
      </c>
      <c r="T26" s="11">
        <f>IFERROR(SUMPRODUCT(($D$3:$D$165=D26)*ISNUMBER($P$3:$P$165)*$P$3:$P$165*$F$3:$F$165)/SUMPRODUCT(($D$3:$D$165=D26)*ISNUMBER($P$3:$P$165)*$P$3:$P$165),"")</f>
        <v/>
      </c>
      <c r="U26" s="11">
        <f>IFERROR(SUMPRODUCT(($C$3:$C$165=C26)*ISNUMBER($P$3:$P$165)*$P$3:$P$165*$F$3:$F$165)/SUMPRODUCT(($C$3:$C$165=C26)*ISNUMBER($P$3:$P$165)*$P$3:$P$165),"")</f>
        <v/>
      </c>
      <c r="V26" s="21">
        <f>IF(OR(T26="",U26=""),"",T26/U26)</f>
        <v/>
      </c>
      <c r="W26" s="21">
        <f>IF(OR(S26="",T26=""),"",S26/T26)</f>
        <v/>
      </c>
      <c r="X26" s="21">
        <f>IF(S26="","",F26/S26)</f>
        <v/>
      </c>
      <c r="Y26" s="22">
        <f>IF(V26="",N26,INDEX('4_UK_L1_Input'!$C$4:$C$14,MATCH($C26,'4_UK_L1_Input'!$A$4:$A$14,0))*V26*W26*X26)</f>
        <v/>
      </c>
      <c r="Z26" s="7">
        <f>IF(V26="","BETA FALLBACK","REAL (Bloomberg UK)")</f>
        <v/>
      </c>
      <c r="AA26" s="21">
        <f>IFERROR(SUMPRODUCT(($C$3:$C$165=C26)*ISNUMBER($R$3:$R$165)*$Q$3:$Q$165*IF(ISNUMBER($R$3:$R$165),$R$3:$R$165,0))/SUMPRODUCT(($C$3:$C$165=C26)*ISNUMBER($R$3:$R$165)*$Q$3:$Q$165),"")</f>
        <v/>
      </c>
      <c r="AB26" s="21">
        <f>IF(OR(R26="",AA26=""),"",R26/AA26)</f>
        <v/>
      </c>
      <c r="AC26" s="22">
        <f>IF(AB26="",O26,INDEX('4_UK_L1_Input'!$D$4:$D$14,MATCH($C26,'4_UK_L1_Input'!$A$4:$A$14,0))*AB26)</f>
        <v/>
      </c>
      <c r="AD26" s="7">
        <f>IF(AB26="","BETA FALLBACK","REAL (Bloomberg UK)")</f>
        <v/>
      </c>
      <c r="AE26" s="23">
        <f>Y26-N26</f>
        <v/>
      </c>
      <c r="AF26" s="23">
        <f>AC26-O26</f>
        <v/>
      </c>
    </row>
    <row r="27">
      <c r="A27" s="7" t="n">
        <v>20101010</v>
      </c>
      <c r="B27" s="7" t="inlineStr">
        <is>
          <t>Aerospace &amp; Defense</t>
        </is>
      </c>
      <c r="C27" s="7" t="n">
        <v>20</v>
      </c>
      <c r="D27" s="7" t="n">
        <v>2010</v>
      </c>
      <c r="E27" s="7" t="n">
        <v>201010</v>
      </c>
      <c r="F27" s="7" t="n">
        <v>0.872927</v>
      </c>
      <c r="G27" s="7" t="n">
        <v>1</v>
      </c>
      <c r="H27" s="11">
        <f>SUMPRODUCT(($E$3:$E$165=E27)*$G$3:$G$165*$F$3:$F$165)/SUMPRODUCT(($E$3:$E$165=E27)*$G$3:$G$165)</f>
        <v/>
      </c>
      <c r="I27" s="11">
        <f>SUMPRODUCT(($D$3:$D$165=D27)*$G$3:$G$165*$F$3:$F$165)/SUMPRODUCT(($D$3:$D$165=D27)*$G$3:$G$165)</f>
        <v/>
      </c>
      <c r="J27" s="11">
        <f>SUMPRODUCT(($C$3:$C$165=C27)*$G$3:$G$165*$F$3:$F$165)/SUMPRODUCT(($C$3:$C$165=C27)*$G$3:$G$165)</f>
        <v/>
      </c>
      <c r="K27" s="21">
        <f>I27/J27</f>
        <v/>
      </c>
      <c r="L27" s="21">
        <f>H27/I27</f>
        <v/>
      </c>
      <c r="M27" s="21">
        <f>F27/H27</f>
        <v/>
      </c>
      <c r="N27" s="22">
        <f>INDEX('4_UK_L1_Input'!$C$4:$C$14,MATCH($C27,'4_UK_L1_Input'!$A$4:$A$14,0))*K27*L27*M27</f>
        <v/>
      </c>
      <c r="O27" s="22">
        <f>INDEX('4_UK_L1_Input'!$D$4:$D$14,MATCH($C27,'4_UK_L1_Input'!$A$4:$A$14,0))*K27*L27*M27</f>
        <v/>
      </c>
      <c r="P27" s="15" t="n">
        <v>4670000000</v>
      </c>
      <c r="Q27" s="15" t="n">
        <v>15250000000</v>
      </c>
      <c r="R27" s="16" t="n">
        <v>13.03</v>
      </c>
      <c r="S27" s="11">
        <f>IFERROR(SUMPRODUCT(($E$3:$E$165=E27)*ISNUMBER($P$3:$P$165)*$P$3:$P$165*$F$3:$F$165)/SUMPRODUCT(($E$3:$E$165=E27)*ISNUMBER($P$3:$P$165)*$P$3:$P$165),"")</f>
        <v/>
      </c>
      <c r="T27" s="11">
        <f>IFERROR(SUMPRODUCT(($D$3:$D$165=D27)*ISNUMBER($P$3:$P$165)*$P$3:$P$165*$F$3:$F$165)/SUMPRODUCT(($D$3:$D$165=D27)*ISNUMBER($P$3:$P$165)*$P$3:$P$165),"")</f>
        <v/>
      </c>
      <c r="U27" s="11">
        <f>IFERROR(SUMPRODUCT(($C$3:$C$165=C27)*ISNUMBER($P$3:$P$165)*$P$3:$P$165*$F$3:$F$165)/SUMPRODUCT(($C$3:$C$165=C27)*ISNUMBER($P$3:$P$165)*$P$3:$P$165),"")</f>
        <v/>
      </c>
      <c r="V27" s="21">
        <f>IF(OR(T27="",U27=""),"",T27/U27)</f>
        <v/>
      </c>
      <c r="W27" s="21">
        <f>IF(OR(S27="",T27=""),"",S27/T27)</f>
        <v/>
      </c>
      <c r="X27" s="21">
        <f>IF(S27="","",F27/S27)</f>
        <v/>
      </c>
      <c r="Y27" s="22">
        <f>IF(V27="",N27,INDEX('4_UK_L1_Input'!$C$4:$C$14,MATCH($C27,'4_UK_L1_Input'!$A$4:$A$14,0))*V27*W27*X27)</f>
        <v/>
      </c>
      <c r="Z27" s="7">
        <f>IF(V27="","BETA FALLBACK","REAL (Bloomberg UK)")</f>
        <v/>
      </c>
      <c r="AA27" s="21">
        <f>IFERROR(SUMPRODUCT(($C$3:$C$165=C27)*ISNUMBER($R$3:$R$165)*$Q$3:$Q$165*IF(ISNUMBER($R$3:$R$165),$R$3:$R$165,0))/SUMPRODUCT(($C$3:$C$165=C27)*ISNUMBER($R$3:$R$165)*$Q$3:$Q$165),"")</f>
        <v/>
      </c>
      <c r="AB27" s="21">
        <f>IF(OR(R27="",AA27=""),"",R27/AA27)</f>
        <v/>
      </c>
      <c r="AC27" s="22">
        <f>IF(AB27="",O27,INDEX('4_UK_L1_Input'!$D$4:$D$14,MATCH($C27,'4_UK_L1_Input'!$A$4:$A$14,0))*AB27)</f>
        <v/>
      </c>
      <c r="AD27" s="7">
        <f>IF(AB27="","BETA FALLBACK","REAL (Bloomberg UK)")</f>
        <v/>
      </c>
      <c r="AE27" s="23">
        <f>Y27-N27</f>
        <v/>
      </c>
      <c r="AF27" s="23">
        <f>AC27-O27</f>
        <v/>
      </c>
    </row>
    <row r="28">
      <c r="A28" s="7" t="n">
        <v>20102010</v>
      </c>
      <c r="B28" s="7" t="inlineStr">
        <is>
          <t>Building Products</t>
        </is>
      </c>
      <c r="C28" s="7" t="n">
        <v>20</v>
      </c>
      <c r="D28" s="7" t="n">
        <v>2010</v>
      </c>
      <c r="E28" s="7" t="n">
        <v>201020</v>
      </c>
      <c r="F28" s="7" t="n">
        <v>0.9488490000000001</v>
      </c>
      <c r="G28" s="7" t="n">
        <v>1</v>
      </c>
      <c r="H28" s="11">
        <f>SUMPRODUCT(($E$3:$E$165=E28)*$G$3:$G$165*$F$3:$F$165)/SUMPRODUCT(($E$3:$E$165=E28)*$G$3:$G$165)</f>
        <v/>
      </c>
      <c r="I28" s="11">
        <f>SUMPRODUCT(($D$3:$D$165=D28)*$G$3:$G$165*$F$3:$F$165)/SUMPRODUCT(($D$3:$D$165=D28)*$G$3:$G$165)</f>
        <v/>
      </c>
      <c r="J28" s="11">
        <f>SUMPRODUCT(($C$3:$C$165=C28)*$G$3:$G$165*$F$3:$F$165)/SUMPRODUCT(($C$3:$C$165=C28)*$G$3:$G$165)</f>
        <v/>
      </c>
      <c r="K28" s="21">
        <f>I28/J28</f>
        <v/>
      </c>
      <c r="L28" s="21">
        <f>H28/I28</f>
        <v/>
      </c>
      <c r="M28" s="21">
        <f>F28/H28</f>
        <v/>
      </c>
      <c r="N28" s="22">
        <f>INDEX('4_UK_L1_Input'!$C$4:$C$14,MATCH($C28,'4_UK_L1_Input'!$A$4:$A$14,0))*K28*L28*M28</f>
        <v/>
      </c>
      <c r="O28" s="22">
        <f>INDEX('4_UK_L1_Input'!$D$4:$D$14,MATCH($C28,'4_UK_L1_Input'!$A$4:$A$14,0))*K28*L28*M28</f>
        <v/>
      </c>
      <c r="P28" s="15" t="n">
        <v>250880000</v>
      </c>
      <c r="Q28" s="15" t="n">
        <v>358510000</v>
      </c>
      <c r="R28" s="16" t="n">
        <v>7.16</v>
      </c>
      <c r="S28" s="11">
        <f>IFERROR(SUMPRODUCT(($E$3:$E$165=E28)*ISNUMBER($P$3:$P$165)*$P$3:$P$165*$F$3:$F$165)/SUMPRODUCT(($E$3:$E$165=E28)*ISNUMBER($P$3:$P$165)*$P$3:$P$165),"")</f>
        <v/>
      </c>
      <c r="T28" s="11">
        <f>IFERROR(SUMPRODUCT(($D$3:$D$165=D28)*ISNUMBER($P$3:$P$165)*$P$3:$P$165*$F$3:$F$165)/SUMPRODUCT(($D$3:$D$165=D28)*ISNUMBER($P$3:$P$165)*$P$3:$P$165),"")</f>
        <v/>
      </c>
      <c r="U28" s="11">
        <f>IFERROR(SUMPRODUCT(($C$3:$C$165=C28)*ISNUMBER($P$3:$P$165)*$P$3:$P$165*$F$3:$F$165)/SUMPRODUCT(($C$3:$C$165=C28)*ISNUMBER($P$3:$P$165)*$P$3:$P$165),"")</f>
        <v/>
      </c>
      <c r="V28" s="21">
        <f>IF(OR(T28="",U28=""),"",T28/U28)</f>
        <v/>
      </c>
      <c r="W28" s="21">
        <f>IF(OR(S28="",T28=""),"",S28/T28)</f>
        <v/>
      </c>
      <c r="X28" s="21">
        <f>IF(S28="","",F28/S28)</f>
        <v/>
      </c>
      <c r="Y28" s="22">
        <f>IF(V28="",N28,INDEX('4_UK_L1_Input'!$C$4:$C$14,MATCH($C28,'4_UK_L1_Input'!$A$4:$A$14,0))*V28*W28*X28)</f>
        <v/>
      </c>
      <c r="Z28" s="7">
        <f>IF(V28="","BETA FALLBACK","REAL (Bloomberg UK)")</f>
        <v/>
      </c>
      <c r="AA28" s="21">
        <f>IFERROR(SUMPRODUCT(($C$3:$C$165=C28)*ISNUMBER($R$3:$R$165)*$Q$3:$Q$165*IF(ISNUMBER($R$3:$R$165),$R$3:$R$165,0))/SUMPRODUCT(($C$3:$C$165=C28)*ISNUMBER($R$3:$R$165)*$Q$3:$Q$165),"")</f>
        <v/>
      </c>
      <c r="AB28" s="21">
        <f>IF(OR(R28="",AA28=""),"",R28/AA28)</f>
        <v/>
      </c>
      <c r="AC28" s="22">
        <f>IF(AB28="",O28,INDEX('4_UK_L1_Input'!$D$4:$D$14,MATCH($C28,'4_UK_L1_Input'!$A$4:$A$14,0))*AB28)</f>
        <v/>
      </c>
      <c r="AD28" s="7">
        <f>IF(AB28="","BETA FALLBACK","REAL (Bloomberg UK)")</f>
        <v/>
      </c>
      <c r="AE28" s="23">
        <f>Y28-N28</f>
        <v/>
      </c>
      <c r="AF28" s="23">
        <f>AC28-O28</f>
        <v/>
      </c>
    </row>
    <row r="29">
      <c r="A29" s="7" t="n">
        <v>20103010</v>
      </c>
      <c r="B29" s="7" t="inlineStr">
        <is>
          <t>Construction &amp; Engineering</t>
        </is>
      </c>
      <c r="C29" s="7" t="n">
        <v>20</v>
      </c>
      <c r="D29" s="7" t="n">
        <v>2010</v>
      </c>
      <c r="E29" s="7" t="n">
        <v>201030</v>
      </c>
      <c r="F29" s="7" t="n">
        <v>1.096666</v>
      </c>
      <c r="G29" s="7" t="n">
        <v>1</v>
      </c>
      <c r="H29" s="11">
        <f>SUMPRODUCT(($E$3:$E$165=E29)*$G$3:$G$165*$F$3:$F$165)/SUMPRODUCT(($E$3:$E$165=E29)*$G$3:$G$165)</f>
        <v/>
      </c>
      <c r="I29" s="11">
        <f>SUMPRODUCT(($D$3:$D$165=D29)*$G$3:$G$165*$F$3:$F$165)/SUMPRODUCT(($D$3:$D$165=D29)*$G$3:$G$165)</f>
        <v/>
      </c>
      <c r="J29" s="11">
        <f>SUMPRODUCT(($C$3:$C$165=C29)*$G$3:$G$165*$F$3:$F$165)/SUMPRODUCT(($C$3:$C$165=C29)*$G$3:$G$165)</f>
        <v/>
      </c>
      <c r="K29" s="21">
        <f>I29/J29</f>
        <v/>
      </c>
      <c r="L29" s="21">
        <f>H29/I29</f>
        <v/>
      </c>
      <c r="M29" s="21">
        <f>F29/H29</f>
        <v/>
      </c>
      <c r="N29" s="22">
        <f>INDEX('4_UK_L1_Input'!$C$4:$C$14,MATCH($C29,'4_UK_L1_Input'!$A$4:$A$14,0))*K29*L29*M29</f>
        <v/>
      </c>
      <c r="O29" s="22">
        <f>INDEX('4_UK_L1_Input'!$D$4:$D$14,MATCH($C29,'4_UK_L1_Input'!$A$4:$A$14,0))*K29*L29*M29</f>
        <v/>
      </c>
      <c r="P29" s="15" t="n">
        <v>1920000000</v>
      </c>
      <c r="Q29" s="15" t="n">
        <v>850040000</v>
      </c>
      <c r="R29" s="16" t="n">
        <v>6.91</v>
      </c>
      <c r="S29" s="11">
        <f>IFERROR(SUMPRODUCT(($E$3:$E$165=E29)*ISNUMBER($P$3:$P$165)*$P$3:$P$165*$F$3:$F$165)/SUMPRODUCT(($E$3:$E$165=E29)*ISNUMBER($P$3:$P$165)*$P$3:$P$165),"")</f>
        <v/>
      </c>
      <c r="T29" s="11">
        <f>IFERROR(SUMPRODUCT(($D$3:$D$165=D29)*ISNUMBER($P$3:$P$165)*$P$3:$P$165*$F$3:$F$165)/SUMPRODUCT(($D$3:$D$165=D29)*ISNUMBER($P$3:$P$165)*$P$3:$P$165),"")</f>
        <v/>
      </c>
      <c r="U29" s="11">
        <f>IFERROR(SUMPRODUCT(($C$3:$C$165=C29)*ISNUMBER($P$3:$P$165)*$P$3:$P$165*$F$3:$F$165)/SUMPRODUCT(($C$3:$C$165=C29)*ISNUMBER($P$3:$P$165)*$P$3:$P$165),"")</f>
        <v/>
      </c>
      <c r="V29" s="21">
        <f>IF(OR(T29="",U29=""),"",T29/U29)</f>
        <v/>
      </c>
      <c r="W29" s="21">
        <f>IF(OR(S29="",T29=""),"",S29/T29)</f>
        <v/>
      </c>
      <c r="X29" s="21">
        <f>IF(S29="","",F29/S29)</f>
        <v/>
      </c>
      <c r="Y29" s="22">
        <f>IF(V29="",N29,INDEX('4_UK_L1_Input'!$C$4:$C$14,MATCH($C29,'4_UK_L1_Input'!$A$4:$A$14,0))*V29*W29*X29)</f>
        <v/>
      </c>
      <c r="Z29" s="7">
        <f>IF(V29="","BETA FALLBACK","REAL (Bloomberg UK)")</f>
        <v/>
      </c>
      <c r="AA29" s="21">
        <f>IFERROR(SUMPRODUCT(($C$3:$C$165=C29)*ISNUMBER($R$3:$R$165)*$Q$3:$Q$165*IF(ISNUMBER($R$3:$R$165),$R$3:$R$165,0))/SUMPRODUCT(($C$3:$C$165=C29)*ISNUMBER($R$3:$R$165)*$Q$3:$Q$165),"")</f>
        <v/>
      </c>
      <c r="AB29" s="21">
        <f>IF(OR(R29="",AA29=""),"",R29/AA29)</f>
        <v/>
      </c>
      <c r="AC29" s="22">
        <f>IF(AB29="",O29,INDEX('4_UK_L1_Input'!$D$4:$D$14,MATCH($C29,'4_UK_L1_Input'!$A$4:$A$14,0))*AB29)</f>
        <v/>
      </c>
      <c r="AD29" s="7">
        <f>IF(AB29="","BETA FALLBACK","REAL (Bloomberg UK)")</f>
        <v/>
      </c>
      <c r="AE29" s="23">
        <f>Y29-N29</f>
        <v/>
      </c>
      <c r="AF29" s="23">
        <f>AC29-O29</f>
        <v/>
      </c>
    </row>
    <row r="30">
      <c r="A30" s="7" t="n">
        <v>20104010</v>
      </c>
      <c r="B30" s="7" t="inlineStr">
        <is>
          <t>Electrical Components &amp; Equipment</t>
        </is>
      </c>
      <c r="C30" s="7" t="n">
        <v>20</v>
      </c>
      <c r="D30" s="7" t="n">
        <v>2010</v>
      </c>
      <c r="E30" s="7" t="n">
        <v>201040</v>
      </c>
      <c r="F30" s="7" t="n">
        <v>1.166132</v>
      </c>
      <c r="G30" s="7" t="n">
        <v>1</v>
      </c>
      <c r="H30" s="11">
        <f>SUMPRODUCT(($E$3:$E$165=E30)*$G$3:$G$165*$F$3:$F$165)/SUMPRODUCT(($E$3:$E$165=E30)*$G$3:$G$165)</f>
        <v/>
      </c>
      <c r="I30" s="11">
        <f>SUMPRODUCT(($D$3:$D$165=D30)*$G$3:$G$165*$F$3:$F$165)/SUMPRODUCT(($D$3:$D$165=D30)*$G$3:$G$165)</f>
        <v/>
      </c>
      <c r="J30" s="11">
        <f>SUMPRODUCT(($C$3:$C$165=C30)*$G$3:$G$165*$F$3:$F$165)/SUMPRODUCT(($C$3:$C$165=C30)*$G$3:$G$165)</f>
        <v/>
      </c>
      <c r="K30" s="21">
        <f>I30/J30</f>
        <v/>
      </c>
      <c r="L30" s="21">
        <f>H30/I30</f>
        <v/>
      </c>
      <c r="M30" s="21">
        <f>F30/H30</f>
        <v/>
      </c>
      <c r="N30" s="22">
        <f>INDEX('4_UK_L1_Input'!$C$4:$C$14,MATCH($C30,'4_UK_L1_Input'!$A$4:$A$14,0))*K30*L30*M30</f>
        <v/>
      </c>
      <c r="O30" s="22">
        <f>INDEX('4_UK_L1_Input'!$D$4:$D$14,MATCH($C30,'4_UK_L1_Input'!$A$4:$A$14,0))*K30*L30*M30</f>
        <v/>
      </c>
      <c r="P30" s="15" t="n">
        <v>480480000</v>
      </c>
      <c r="Q30" s="15" t="n">
        <v>2040000000</v>
      </c>
      <c r="R30" s="16" t="n">
        <v>9.800000000000001</v>
      </c>
      <c r="S30" s="11">
        <f>IFERROR(SUMPRODUCT(($E$3:$E$165=E30)*ISNUMBER($P$3:$P$165)*$P$3:$P$165*$F$3:$F$165)/SUMPRODUCT(($E$3:$E$165=E30)*ISNUMBER($P$3:$P$165)*$P$3:$P$165),"")</f>
        <v/>
      </c>
      <c r="T30" s="11">
        <f>IFERROR(SUMPRODUCT(($D$3:$D$165=D30)*ISNUMBER($P$3:$P$165)*$P$3:$P$165*$F$3:$F$165)/SUMPRODUCT(($D$3:$D$165=D30)*ISNUMBER($P$3:$P$165)*$P$3:$P$165),"")</f>
        <v/>
      </c>
      <c r="U30" s="11">
        <f>IFERROR(SUMPRODUCT(($C$3:$C$165=C30)*ISNUMBER($P$3:$P$165)*$P$3:$P$165*$F$3:$F$165)/SUMPRODUCT(($C$3:$C$165=C30)*ISNUMBER($P$3:$P$165)*$P$3:$P$165),"")</f>
        <v/>
      </c>
      <c r="V30" s="21">
        <f>IF(OR(T30="",U30=""),"",T30/U30)</f>
        <v/>
      </c>
      <c r="W30" s="21">
        <f>IF(OR(S30="",T30=""),"",S30/T30)</f>
        <v/>
      </c>
      <c r="X30" s="21">
        <f>IF(S30="","",F30/S30)</f>
        <v/>
      </c>
      <c r="Y30" s="22">
        <f>IF(V30="",N30,INDEX('4_UK_L1_Input'!$C$4:$C$14,MATCH($C30,'4_UK_L1_Input'!$A$4:$A$14,0))*V30*W30*X30)</f>
        <v/>
      </c>
      <c r="Z30" s="7">
        <f>IF(V30="","BETA FALLBACK","REAL (Bloomberg UK)")</f>
        <v/>
      </c>
      <c r="AA30" s="21">
        <f>IFERROR(SUMPRODUCT(($C$3:$C$165=C30)*ISNUMBER($R$3:$R$165)*$Q$3:$Q$165*IF(ISNUMBER($R$3:$R$165),$R$3:$R$165,0))/SUMPRODUCT(($C$3:$C$165=C30)*ISNUMBER($R$3:$R$165)*$Q$3:$Q$165),"")</f>
        <v/>
      </c>
      <c r="AB30" s="21">
        <f>IF(OR(R30="",AA30=""),"",R30/AA30)</f>
        <v/>
      </c>
      <c r="AC30" s="22">
        <f>IF(AB30="",O30,INDEX('4_UK_L1_Input'!$D$4:$D$14,MATCH($C30,'4_UK_L1_Input'!$A$4:$A$14,0))*AB30)</f>
        <v/>
      </c>
      <c r="AD30" s="7">
        <f>IF(AB30="","BETA FALLBACK","REAL (Bloomberg UK)")</f>
        <v/>
      </c>
      <c r="AE30" s="23">
        <f>Y30-N30</f>
        <v/>
      </c>
      <c r="AF30" s="23">
        <f>AC30-O30</f>
        <v/>
      </c>
    </row>
    <row r="31">
      <c r="A31" s="7" t="n">
        <v>20104020</v>
      </c>
      <c r="B31" s="7" t="inlineStr">
        <is>
          <t>Heavy Electrical Equipment</t>
        </is>
      </c>
      <c r="C31" s="7" t="n">
        <v>20</v>
      </c>
      <c r="D31" s="7" t="n">
        <v>2010</v>
      </c>
      <c r="E31" s="7" t="n">
        <v>201040</v>
      </c>
      <c r="F31" s="7" t="n">
        <v>1.166132</v>
      </c>
      <c r="G31" s="7" t="n">
        <v>1</v>
      </c>
      <c r="H31" s="11">
        <f>SUMPRODUCT(($E$3:$E$165=E31)*$G$3:$G$165*$F$3:$F$165)/SUMPRODUCT(($E$3:$E$165=E31)*$G$3:$G$165)</f>
        <v/>
      </c>
      <c r="I31" s="11">
        <f>SUMPRODUCT(($D$3:$D$165=D31)*$G$3:$G$165*$F$3:$F$165)/SUMPRODUCT(($D$3:$D$165=D31)*$G$3:$G$165)</f>
        <v/>
      </c>
      <c r="J31" s="11">
        <f>SUMPRODUCT(($C$3:$C$165=C31)*$G$3:$G$165*$F$3:$F$165)/SUMPRODUCT(($C$3:$C$165=C31)*$G$3:$G$165)</f>
        <v/>
      </c>
      <c r="K31" s="21">
        <f>I31/J31</f>
        <v/>
      </c>
      <c r="L31" s="21">
        <f>H31/I31</f>
        <v/>
      </c>
      <c r="M31" s="21">
        <f>F31/H31</f>
        <v/>
      </c>
      <c r="N31" s="22">
        <f>INDEX('4_UK_L1_Input'!$C$4:$C$14,MATCH($C31,'4_UK_L1_Input'!$A$4:$A$14,0))*K31*L31*M31</f>
        <v/>
      </c>
      <c r="O31" s="22">
        <f>INDEX('4_UK_L1_Input'!$D$4:$D$14,MATCH($C31,'4_UK_L1_Input'!$A$4:$A$14,0))*K31*L31*M31</f>
        <v/>
      </c>
      <c r="P31" s="15" t="n">
        <v>229090000</v>
      </c>
      <c r="Q31" s="15" t="n">
        <v>2180000000</v>
      </c>
      <c r="R31" s="16" t="n">
        <v>38.05</v>
      </c>
      <c r="S31" s="11">
        <f>IFERROR(SUMPRODUCT(($E$3:$E$165=E31)*ISNUMBER($P$3:$P$165)*$P$3:$P$165*$F$3:$F$165)/SUMPRODUCT(($E$3:$E$165=E31)*ISNUMBER($P$3:$P$165)*$P$3:$P$165),"")</f>
        <v/>
      </c>
      <c r="T31" s="11">
        <f>IFERROR(SUMPRODUCT(($D$3:$D$165=D31)*ISNUMBER($P$3:$P$165)*$P$3:$P$165*$F$3:$F$165)/SUMPRODUCT(($D$3:$D$165=D31)*ISNUMBER($P$3:$P$165)*$P$3:$P$165),"")</f>
        <v/>
      </c>
      <c r="U31" s="11">
        <f>IFERROR(SUMPRODUCT(($C$3:$C$165=C31)*ISNUMBER($P$3:$P$165)*$P$3:$P$165*$F$3:$F$165)/SUMPRODUCT(($C$3:$C$165=C31)*ISNUMBER($P$3:$P$165)*$P$3:$P$165),"")</f>
        <v/>
      </c>
      <c r="V31" s="21">
        <f>IF(OR(T31="",U31=""),"",T31/U31)</f>
        <v/>
      </c>
      <c r="W31" s="21">
        <f>IF(OR(S31="",T31=""),"",S31/T31)</f>
        <v/>
      </c>
      <c r="X31" s="21">
        <f>IF(S31="","",F31/S31)</f>
        <v/>
      </c>
      <c r="Y31" s="22">
        <f>IF(V31="",N31,INDEX('4_UK_L1_Input'!$C$4:$C$14,MATCH($C31,'4_UK_L1_Input'!$A$4:$A$14,0))*V31*W31*X31)</f>
        <v/>
      </c>
      <c r="Z31" s="7">
        <f>IF(V31="","BETA FALLBACK","REAL (Bloomberg UK)")</f>
        <v/>
      </c>
      <c r="AA31" s="21">
        <f>IFERROR(SUMPRODUCT(($C$3:$C$165=C31)*ISNUMBER($R$3:$R$165)*$Q$3:$Q$165*IF(ISNUMBER($R$3:$R$165),$R$3:$R$165,0))/SUMPRODUCT(($C$3:$C$165=C31)*ISNUMBER($R$3:$R$165)*$Q$3:$Q$165),"")</f>
        <v/>
      </c>
      <c r="AB31" s="21">
        <f>IF(OR(R31="",AA31=""),"",R31/AA31)</f>
        <v/>
      </c>
      <c r="AC31" s="22">
        <f>IF(AB31="",O31,INDEX('4_UK_L1_Input'!$D$4:$D$14,MATCH($C31,'4_UK_L1_Input'!$A$4:$A$14,0))*AB31)</f>
        <v/>
      </c>
      <c r="AD31" s="7">
        <f>IF(AB31="","BETA FALLBACK","REAL (Bloomberg UK)")</f>
        <v/>
      </c>
      <c r="AE31" s="23">
        <f>Y31-N31</f>
        <v/>
      </c>
      <c r="AF31" s="23">
        <f>AC31-O31</f>
        <v/>
      </c>
    </row>
    <row r="32">
      <c r="A32" s="7" t="n">
        <v>20105010</v>
      </c>
      <c r="B32" s="7" t="inlineStr">
        <is>
          <t>Industrial Conglomerates</t>
        </is>
      </c>
      <c r="C32" s="7" t="n">
        <v>20</v>
      </c>
      <c r="D32" s="7" t="n">
        <v>2010</v>
      </c>
      <c r="E32" s="7" t="n">
        <v>201050</v>
      </c>
      <c r="F32" s="7" t="n">
        <v>0.862387</v>
      </c>
      <c r="G32" s="7" t="n">
        <v>1</v>
      </c>
      <c r="H32" s="11">
        <f>SUMPRODUCT(($E$3:$E$165=E32)*$G$3:$G$165*$F$3:$F$165)/SUMPRODUCT(($E$3:$E$165=E32)*$G$3:$G$165)</f>
        <v/>
      </c>
      <c r="I32" s="11">
        <f>SUMPRODUCT(($D$3:$D$165=D32)*$G$3:$G$165*$F$3:$F$165)/SUMPRODUCT(($D$3:$D$165=D32)*$G$3:$G$165)</f>
        <v/>
      </c>
      <c r="J32" s="11">
        <f>SUMPRODUCT(($C$3:$C$165=C32)*$G$3:$G$165*$F$3:$F$165)/SUMPRODUCT(($C$3:$C$165=C32)*$G$3:$G$165)</f>
        <v/>
      </c>
      <c r="K32" s="21">
        <f>I32/J32</f>
        <v/>
      </c>
      <c r="L32" s="21">
        <f>H32/I32</f>
        <v/>
      </c>
      <c r="M32" s="21">
        <f>F32/H32</f>
        <v/>
      </c>
      <c r="N32" s="22">
        <f>INDEX('4_UK_L1_Input'!$C$4:$C$14,MATCH($C32,'4_UK_L1_Input'!$A$4:$A$14,0))*K32*L32*M32</f>
        <v/>
      </c>
      <c r="O32" s="22">
        <f>INDEX('4_UK_L1_Input'!$D$4:$D$14,MATCH($C32,'4_UK_L1_Input'!$A$4:$A$14,0))*K32*L32*M32</f>
        <v/>
      </c>
      <c r="P32" s="15" t="n">
        <v>1130000000</v>
      </c>
      <c r="Q32" s="15" t="n">
        <v>3980000000</v>
      </c>
      <c r="R32" s="16" t="n">
        <v>12.91</v>
      </c>
      <c r="S32" s="11">
        <f>IFERROR(SUMPRODUCT(($E$3:$E$165=E32)*ISNUMBER($P$3:$P$165)*$P$3:$P$165*$F$3:$F$165)/SUMPRODUCT(($E$3:$E$165=E32)*ISNUMBER($P$3:$P$165)*$P$3:$P$165),"")</f>
        <v/>
      </c>
      <c r="T32" s="11">
        <f>IFERROR(SUMPRODUCT(($D$3:$D$165=D32)*ISNUMBER($P$3:$P$165)*$P$3:$P$165*$F$3:$F$165)/SUMPRODUCT(($D$3:$D$165=D32)*ISNUMBER($P$3:$P$165)*$P$3:$P$165),"")</f>
        <v/>
      </c>
      <c r="U32" s="11">
        <f>IFERROR(SUMPRODUCT(($C$3:$C$165=C32)*ISNUMBER($P$3:$P$165)*$P$3:$P$165*$F$3:$F$165)/SUMPRODUCT(($C$3:$C$165=C32)*ISNUMBER($P$3:$P$165)*$P$3:$P$165),"")</f>
        <v/>
      </c>
      <c r="V32" s="21">
        <f>IF(OR(T32="",U32=""),"",T32/U32)</f>
        <v/>
      </c>
      <c r="W32" s="21">
        <f>IF(OR(S32="",T32=""),"",S32/T32)</f>
        <v/>
      </c>
      <c r="X32" s="21">
        <f>IF(S32="","",F32/S32)</f>
        <v/>
      </c>
      <c r="Y32" s="22">
        <f>IF(V32="",N32,INDEX('4_UK_L1_Input'!$C$4:$C$14,MATCH($C32,'4_UK_L1_Input'!$A$4:$A$14,0))*V32*W32*X32)</f>
        <v/>
      </c>
      <c r="Z32" s="7">
        <f>IF(V32="","BETA FALLBACK","REAL (Bloomberg UK)")</f>
        <v/>
      </c>
      <c r="AA32" s="21">
        <f>IFERROR(SUMPRODUCT(($C$3:$C$165=C32)*ISNUMBER($R$3:$R$165)*$Q$3:$Q$165*IF(ISNUMBER($R$3:$R$165),$R$3:$R$165,0))/SUMPRODUCT(($C$3:$C$165=C32)*ISNUMBER($R$3:$R$165)*$Q$3:$Q$165),"")</f>
        <v/>
      </c>
      <c r="AB32" s="21">
        <f>IF(OR(R32="",AA32=""),"",R32/AA32)</f>
        <v/>
      </c>
      <c r="AC32" s="22">
        <f>IF(AB32="",O32,INDEX('4_UK_L1_Input'!$D$4:$D$14,MATCH($C32,'4_UK_L1_Input'!$A$4:$A$14,0))*AB32)</f>
        <v/>
      </c>
      <c r="AD32" s="7">
        <f>IF(AB32="","BETA FALLBACK","REAL (Bloomberg UK)")</f>
        <v/>
      </c>
      <c r="AE32" s="23">
        <f>Y32-N32</f>
        <v/>
      </c>
      <c r="AF32" s="23">
        <f>AC32-O32</f>
        <v/>
      </c>
    </row>
    <row r="33">
      <c r="A33" s="7" t="n">
        <v>20106010</v>
      </c>
      <c r="B33" s="7" t="inlineStr">
        <is>
          <t>Construction Machinery &amp; Heavy Transportation Equipment</t>
        </is>
      </c>
      <c r="C33" s="7" t="n">
        <v>20</v>
      </c>
      <c r="D33" s="7" t="n">
        <v>2010</v>
      </c>
      <c r="E33" s="7" t="n">
        <v>201060</v>
      </c>
      <c r="F33" s="7" t="n">
        <v>0.894633</v>
      </c>
      <c r="G33" s="7" t="n">
        <v>1</v>
      </c>
      <c r="H33" s="11">
        <f>SUMPRODUCT(($E$3:$E$165=E33)*$G$3:$G$165*$F$3:$F$165)/SUMPRODUCT(($E$3:$E$165=E33)*$G$3:$G$165)</f>
        <v/>
      </c>
      <c r="I33" s="11">
        <f>SUMPRODUCT(($D$3:$D$165=D33)*$G$3:$G$165*$F$3:$F$165)/SUMPRODUCT(($D$3:$D$165=D33)*$G$3:$G$165)</f>
        <v/>
      </c>
      <c r="J33" s="11">
        <f>SUMPRODUCT(($C$3:$C$165=C33)*$G$3:$G$165*$F$3:$F$165)/SUMPRODUCT(($C$3:$C$165=C33)*$G$3:$G$165)</f>
        <v/>
      </c>
      <c r="K33" s="21">
        <f>I33/J33</f>
        <v/>
      </c>
      <c r="L33" s="21">
        <f>H33/I33</f>
        <v/>
      </c>
      <c r="M33" s="21">
        <f>F33/H33</f>
        <v/>
      </c>
      <c r="N33" s="22">
        <f>INDEX('4_UK_L1_Input'!$C$4:$C$14,MATCH($C33,'4_UK_L1_Input'!$A$4:$A$14,0))*K33*L33*M33</f>
        <v/>
      </c>
      <c r="O33" s="22">
        <f>INDEX('4_UK_L1_Input'!$D$4:$D$14,MATCH($C33,'4_UK_L1_Input'!$A$4:$A$14,0))*K33*L33*M33</f>
        <v/>
      </c>
      <c r="P33" s="14" t="n"/>
      <c r="Q33" s="14" t="n"/>
      <c r="R33" s="14" t="n"/>
      <c r="S33" s="11">
        <f>IFERROR(SUMPRODUCT(($E$3:$E$165=E33)*ISNUMBER($P$3:$P$165)*$P$3:$P$165*$F$3:$F$165)/SUMPRODUCT(($E$3:$E$165=E33)*ISNUMBER($P$3:$P$165)*$P$3:$P$165),"")</f>
        <v/>
      </c>
      <c r="T33" s="11">
        <f>IFERROR(SUMPRODUCT(($D$3:$D$165=D33)*ISNUMBER($P$3:$P$165)*$P$3:$P$165*$F$3:$F$165)/SUMPRODUCT(($D$3:$D$165=D33)*ISNUMBER($P$3:$P$165)*$P$3:$P$165),"")</f>
        <v/>
      </c>
      <c r="U33" s="11">
        <f>IFERROR(SUMPRODUCT(($C$3:$C$165=C33)*ISNUMBER($P$3:$P$165)*$P$3:$P$165*$F$3:$F$165)/SUMPRODUCT(($C$3:$C$165=C33)*ISNUMBER($P$3:$P$165)*$P$3:$P$165),"")</f>
        <v/>
      </c>
      <c r="V33" s="21">
        <f>IF(OR(T33="",U33=""),"",T33/U33)</f>
        <v/>
      </c>
      <c r="W33" s="21">
        <f>IF(OR(S33="",T33=""),"",S33/T33)</f>
        <v/>
      </c>
      <c r="X33" s="21">
        <f>IF(S33="","",F33/S33)</f>
        <v/>
      </c>
      <c r="Y33" s="22">
        <f>IF(V33="",N33,INDEX('4_UK_L1_Input'!$C$4:$C$14,MATCH($C33,'4_UK_L1_Input'!$A$4:$A$14,0))*V33*W33*X33)</f>
        <v/>
      </c>
      <c r="Z33" s="7">
        <f>IF(V33="","BETA FALLBACK","REAL (Bloomberg UK)")</f>
        <v/>
      </c>
      <c r="AA33" s="21">
        <f>IFERROR(SUMPRODUCT(($C$3:$C$165=C33)*ISNUMBER($R$3:$R$165)*$Q$3:$Q$165*IF(ISNUMBER($R$3:$R$165),$R$3:$R$165,0))/SUMPRODUCT(($C$3:$C$165=C33)*ISNUMBER($R$3:$R$165)*$Q$3:$Q$165),"")</f>
        <v/>
      </c>
      <c r="AB33" s="21">
        <f>IF(OR(R33="",AA33=""),"",R33/AA33)</f>
        <v/>
      </c>
      <c r="AC33" s="22">
        <f>IF(AB33="",O33,INDEX('4_UK_L1_Input'!$D$4:$D$14,MATCH($C33,'4_UK_L1_Input'!$A$4:$A$14,0))*AB33)</f>
        <v/>
      </c>
      <c r="AD33" s="7">
        <f>IF(AB33="","BETA FALLBACK","REAL (Bloomberg UK)")</f>
        <v/>
      </c>
      <c r="AE33" s="23">
        <f>Y33-N33</f>
        <v/>
      </c>
      <c r="AF33" s="23">
        <f>AC33-O33</f>
        <v/>
      </c>
    </row>
    <row r="34">
      <c r="A34" s="7" t="n">
        <v>20106015</v>
      </c>
      <c r="B34" s="7" t="inlineStr">
        <is>
          <t>Agricultural &amp; Farm Machinery</t>
        </is>
      </c>
      <c r="C34" s="7" t="n">
        <v>20</v>
      </c>
      <c r="D34" s="7" t="n">
        <v>2010</v>
      </c>
      <c r="E34" s="7" t="n">
        <v>201060</v>
      </c>
      <c r="F34" s="7" t="n">
        <v>0.894633</v>
      </c>
      <c r="G34" s="7" t="n">
        <v>1</v>
      </c>
      <c r="H34" s="11">
        <f>SUMPRODUCT(($E$3:$E$165=E34)*$G$3:$G$165*$F$3:$F$165)/SUMPRODUCT(($E$3:$E$165=E34)*$G$3:$G$165)</f>
        <v/>
      </c>
      <c r="I34" s="11">
        <f>SUMPRODUCT(($D$3:$D$165=D34)*$G$3:$G$165*$F$3:$F$165)/SUMPRODUCT(($D$3:$D$165=D34)*$G$3:$G$165)</f>
        <v/>
      </c>
      <c r="J34" s="11">
        <f>SUMPRODUCT(($C$3:$C$165=C34)*$G$3:$G$165*$F$3:$F$165)/SUMPRODUCT(($C$3:$C$165=C34)*$G$3:$G$165)</f>
        <v/>
      </c>
      <c r="K34" s="21">
        <f>I34/J34</f>
        <v/>
      </c>
      <c r="L34" s="21">
        <f>H34/I34</f>
        <v/>
      </c>
      <c r="M34" s="21">
        <f>F34/H34</f>
        <v/>
      </c>
      <c r="N34" s="22">
        <f>INDEX('4_UK_L1_Input'!$C$4:$C$14,MATCH($C34,'4_UK_L1_Input'!$A$4:$A$14,0))*K34*L34*M34</f>
        <v/>
      </c>
      <c r="O34" s="22">
        <f>INDEX('4_UK_L1_Input'!$D$4:$D$14,MATCH($C34,'4_UK_L1_Input'!$A$4:$A$14,0))*K34*L34*M34</f>
        <v/>
      </c>
      <c r="P34" s="15" t="n">
        <v>18180000000</v>
      </c>
      <c r="Q34" s="15" t="n">
        <v>13500000000</v>
      </c>
      <c r="R34" s="16" t="n">
        <v>27.38</v>
      </c>
      <c r="S34" s="11">
        <f>IFERROR(SUMPRODUCT(($E$3:$E$165=E34)*ISNUMBER($P$3:$P$165)*$P$3:$P$165*$F$3:$F$165)/SUMPRODUCT(($E$3:$E$165=E34)*ISNUMBER($P$3:$P$165)*$P$3:$P$165),"")</f>
        <v/>
      </c>
      <c r="T34" s="11">
        <f>IFERROR(SUMPRODUCT(($D$3:$D$165=D34)*ISNUMBER($P$3:$P$165)*$P$3:$P$165*$F$3:$F$165)/SUMPRODUCT(($D$3:$D$165=D34)*ISNUMBER($P$3:$P$165)*$P$3:$P$165),"")</f>
        <v/>
      </c>
      <c r="U34" s="11">
        <f>IFERROR(SUMPRODUCT(($C$3:$C$165=C34)*ISNUMBER($P$3:$P$165)*$P$3:$P$165*$F$3:$F$165)/SUMPRODUCT(($C$3:$C$165=C34)*ISNUMBER($P$3:$P$165)*$P$3:$P$165),"")</f>
        <v/>
      </c>
      <c r="V34" s="21">
        <f>IF(OR(T34="",U34=""),"",T34/U34)</f>
        <v/>
      </c>
      <c r="W34" s="21">
        <f>IF(OR(S34="",T34=""),"",S34/T34)</f>
        <v/>
      </c>
      <c r="X34" s="21">
        <f>IF(S34="","",F34/S34)</f>
        <v/>
      </c>
      <c r="Y34" s="22">
        <f>IF(V34="",N34,INDEX('4_UK_L1_Input'!$C$4:$C$14,MATCH($C34,'4_UK_L1_Input'!$A$4:$A$14,0))*V34*W34*X34)</f>
        <v/>
      </c>
      <c r="Z34" s="7">
        <f>IF(V34="","BETA FALLBACK","REAL (Bloomberg UK)")</f>
        <v/>
      </c>
      <c r="AA34" s="21">
        <f>IFERROR(SUMPRODUCT(($C$3:$C$165=C34)*ISNUMBER($R$3:$R$165)*$Q$3:$Q$165*IF(ISNUMBER($R$3:$R$165),$R$3:$R$165,0))/SUMPRODUCT(($C$3:$C$165=C34)*ISNUMBER($R$3:$R$165)*$Q$3:$Q$165),"")</f>
        <v/>
      </c>
      <c r="AB34" s="21">
        <f>IF(OR(R34="",AA34=""),"",R34/AA34)</f>
        <v/>
      </c>
      <c r="AC34" s="22">
        <f>IF(AB34="",O34,INDEX('4_UK_L1_Input'!$D$4:$D$14,MATCH($C34,'4_UK_L1_Input'!$A$4:$A$14,0))*AB34)</f>
        <v/>
      </c>
      <c r="AD34" s="7">
        <f>IF(AB34="","BETA FALLBACK","REAL (Bloomberg UK)")</f>
        <v/>
      </c>
      <c r="AE34" s="23">
        <f>Y34-N34</f>
        <v/>
      </c>
      <c r="AF34" s="23">
        <f>AC34-O34</f>
        <v/>
      </c>
    </row>
    <row r="35">
      <c r="A35" s="7" t="n">
        <v>20106020</v>
      </c>
      <c r="B35" s="7" t="inlineStr">
        <is>
          <t>Industrial Machinery &amp; Supplies &amp; Components</t>
        </is>
      </c>
      <c r="C35" s="7" t="n">
        <v>20</v>
      </c>
      <c r="D35" s="7" t="n">
        <v>2010</v>
      </c>
      <c r="E35" s="7" t="n">
        <v>201060</v>
      </c>
      <c r="F35" s="7" t="n">
        <v>0.894633</v>
      </c>
      <c r="G35" s="7" t="n">
        <v>1</v>
      </c>
      <c r="H35" s="11">
        <f>SUMPRODUCT(($E$3:$E$165=E35)*$G$3:$G$165*$F$3:$F$165)/SUMPRODUCT(($E$3:$E$165=E35)*$G$3:$G$165)</f>
        <v/>
      </c>
      <c r="I35" s="11">
        <f>SUMPRODUCT(($D$3:$D$165=D35)*$G$3:$G$165*$F$3:$F$165)/SUMPRODUCT(($D$3:$D$165=D35)*$G$3:$G$165)</f>
        <v/>
      </c>
      <c r="J35" s="11">
        <f>SUMPRODUCT(($C$3:$C$165=C35)*$G$3:$G$165*$F$3:$F$165)/SUMPRODUCT(($C$3:$C$165=C35)*$G$3:$G$165)</f>
        <v/>
      </c>
      <c r="K35" s="21">
        <f>I35/J35</f>
        <v/>
      </c>
      <c r="L35" s="21">
        <f>H35/I35</f>
        <v/>
      </c>
      <c r="M35" s="21">
        <f>F35/H35</f>
        <v/>
      </c>
      <c r="N35" s="22">
        <f>INDEX('4_UK_L1_Input'!$C$4:$C$14,MATCH($C35,'4_UK_L1_Input'!$A$4:$A$14,0))*K35*L35*M35</f>
        <v/>
      </c>
      <c r="O35" s="22">
        <f>INDEX('4_UK_L1_Input'!$D$4:$D$14,MATCH($C35,'4_UK_L1_Input'!$A$4:$A$14,0))*K35*L35*M35</f>
        <v/>
      </c>
      <c r="P35" s="15" t="n">
        <v>966980000</v>
      </c>
      <c r="Q35" s="15" t="n">
        <v>2440000000</v>
      </c>
      <c r="R35" s="16" t="n">
        <v>10.77</v>
      </c>
      <c r="S35" s="11">
        <f>IFERROR(SUMPRODUCT(($E$3:$E$165=E35)*ISNUMBER($P$3:$P$165)*$P$3:$P$165*$F$3:$F$165)/SUMPRODUCT(($E$3:$E$165=E35)*ISNUMBER($P$3:$P$165)*$P$3:$P$165),"")</f>
        <v/>
      </c>
      <c r="T35" s="11">
        <f>IFERROR(SUMPRODUCT(($D$3:$D$165=D35)*ISNUMBER($P$3:$P$165)*$P$3:$P$165*$F$3:$F$165)/SUMPRODUCT(($D$3:$D$165=D35)*ISNUMBER($P$3:$P$165)*$P$3:$P$165),"")</f>
        <v/>
      </c>
      <c r="U35" s="11">
        <f>IFERROR(SUMPRODUCT(($C$3:$C$165=C35)*ISNUMBER($P$3:$P$165)*$P$3:$P$165*$F$3:$F$165)/SUMPRODUCT(($C$3:$C$165=C35)*ISNUMBER($P$3:$P$165)*$P$3:$P$165),"")</f>
        <v/>
      </c>
      <c r="V35" s="21">
        <f>IF(OR(T35="",U35=""),"",T35/U35)</f>
        <v/>
      </c>
      <c r="W35" s="21">
        <f>IF(OR(S35="",T35=""),"",S35/T35)</f>
        <v/>
      </c>
      <c r="X35" s="21">
        <f>IF(S35="","",F35/S35)</f>
        <v/>
      </c>
      <c r="Y35" s="22">
        <f>IF(V35="",N35,INDEX('4_UK_L1_Input'!$C$4:$C$14,MATCH($C35,'4_UK_L1_Input'!$A$4:$A$14,0))*V35*W35*X35)</f>
        <v/>
      </c>
      <c r="Z35" s="7">
        <f>IF(V35="","BETA FALLBACK","REAL (Bloomberg UK)")</f>
        <v/>
      </c>
      <c r="AA35" s="21">
        <f>IFERROR(SUMPRODUCT(($C$3:$C$165=C35)*ISNUMBER($R$3:$R$165)*$Q$3:$Q$165*IF(ISNUMBER($R$3:$R$165),$R$3:$R$165,0))/SUMPRODUCT(($C$3:$C$165=C35)*ISNUMBER($R$3:$R$165)*$Q$3:$Q$165),"")</f>
        <v/>
      </c>
      <c r="AB35" s="21">
        <f>IF(OR(R35="",AA35=""),"",R35/AA35)</f>
        <v/>
      </c>
      <c r="AC35" s="22">
        <f>IF(AB35="",O35,INDEX('4_UK_L1_Input'!$D$4:$D$14,MATCH($C35,'4_UK_L1_Input'!$A$4:$A$14,0))*AB35)</f>
        <v/>
      </c>
      <c r="AD35" s="7">
        <f>IF(AB35="","BETA FALLBACK","REAL (Bloomberg UK)")</f>
        <v/>
      </c>
      <c r="AE35" s="23">
        <f>Y35-N35</f>
        <v/>
      </c>
      <c r="AF35" s="23">
        <f>AC35-O35</f>
        <v/>
      </c>
    </row>
    <row r="36">
      <c r="A36" s="7" t="n">
        <v>20107010</v>
      </c>
      <c r="B36" s="7" t="inlineStr">
        <is>
          <t>Trading Companies &amp; Distributors</t>
        </is>
      </c>
      <c r="C36" s="7" t="n">
        <v>20</v>
      </c>
      <c r="D36" s="7" t="n">
        <v>2010</v>
      </c>
      <c r="E36" s="7" t="n">
        <v>201070</v>
      </c>
      <c r="F36" s="7" t="n">
        <v>0.815429</v>
      </c>
      <c r="G36" s="7" t="n">
        <v>1</v>
      </c>
      <c r="H36" s="11">
        <f>SUMPRODUCT(($E$3:$E$165=E36)*$G$3:$G$165*$F$3:$F$165)/SUMPRODUCT(($E$3:$E$165=E36)*$G$3:$G$165)</f>
        <v/>
      </c>
      <c r="I36" s="11">
        <f>SUMPRODUCT(($D$3:$D$165=D36)*$G$3:$G$165*$F$3:$F$165)/SUMPRODUCT(($D$3:$D$165=D36)*$G$3:$G$165)</f>
        <v/>
      </c>
      <c r="J36" s="11">
        <f>SUMPRODUCT(($C$3:$C$165=C36)*$G$3:$G$165*$F$3:$F$165)/SUMPRODUCT(($C$3:$C$165=C36)*$G$3:$G$165)</f>
        <v/>
      </c>
      <c r="K36" s="21">
        <f>I36/J36</f>
        <v/>
      </c>
      <c r="L36" s="21">
        <f>H36/I36</f>
        <v/>
      </c>
      <c r="M36" s="21">
        <f>F36/H36</f>
        <v/>
      </c>
      <c r="N36" s="22">
        <f>INDEX('4_UK_L1_Input'!$C$4:$C$14,MATCH($C36,'4_UK_L1_Input'!$A$4:$A$14,0))*K36*L36*M36</f>
        <v/>
      </c>
      <c r="O36" s="22">
        <f>INDEX('4_UK_L1_Input'!$D$4:$D$14,MATCH($C36,'4_UK_L1_Input'!$A$4:$A$14,0))*K36*L36*M36</f>
        <v/>
      </c>
      <c r="P36" s="15" t="n">
        <v>1710000000</v>
      </c>
      <c r="Q36" s="15" t="n">
        <v>1790000000</v>
      </c>
      <c r="R36" s="16" t="n">
        <v>7.57</v>
      </c>
      <c r="S36" s="11">
        <f>IFERROR(SUMPRODUCT(($E$3:$E$165=E36)*ISNUMBER($P$3:$P$165)*$P$3:$P$165*$F$3:$F$165)/SUMPRODUCT(($E$3:$E$165=E36)*ISNUMBER($P$3:$P$165)*$P$3:$P$165),"")</f>
        <v/>
      </c>
      <c r="T36" s="11">
        <f>IFERROR(SUMPRODUCT(($D$3:$D$165=D36)*ISNUMBER($P$3:$P$165)*$P$3:$P$165*$F$3:$F$165)/SUMPRODUCT(($D$3:$D$165=D36)*ISNUMBER($P$3:$P$165)*$P$3:$P$165),"")</f>
        <v/>
      </c>
      <c r="U36" s="11">
        <f>IFERROR(SUMPRODUCT(($C$3:$C$165=C36)*ISNUMBER($P$3:$P$165)*$P$3:$P$165*$F$3:$F$165)/SUMPRODUCT(($C$3:$C$165=C36)*ISNUMBER($P$3:$P$165)*$P$3:$P$165),"")</f>
        <v/>
      </c>
      <c r="V36" s="21">
        <f>IF(OR(T36="",U36=""),"",T36/U36)</f>
        <v/>
      </c>
      <c r="W36" s="21">
        <f>IF(OR(S36="",T36=""),"",S36/T36)</f>
        <v/>
      </c>
      <c r="X36" s="21">
        <f>IF(S36="","",F36/S36)</f>
        <v/>
      </c>
      <c r="Y36" s="22">
        <f>IF(V36="",N36,INDEX('4_UK_L1_Input'!$C$4:$C$14,MATCH($C36,'4_UK_L1_Input'!$A$4:$A$14,0))*V36*W36*X36)</f>
        <v/>
      </c>
      <c r="Z36" s="7">
        <f>IF(V36="","BETA FALLBACK","REAL (Bloomberg UK)")</f>
        <v/>
      </c>
      <c r="AA36" s="21">
        <f>IFERROR(SUMPRODUCT(($C$3:$C$165=C36)*ISNUMBER($R$3:$R$165)*$Q$3:$Q$165*IF(ISNUMBER($R$3:$R$165),$R$3:$R$165,0))/SUMPRODUCT(($C$3:$C$165=C36)*ISNUMBER($R$3:$R$165)*$Q$3:$Q$165),"")</f>
        <v/>
      </c>
      <c r="AB36" s="21">
        <f>IF(OR(R36="",AA36=""),"",R36/AA36)</f>
        <v/>
      </c>
      <c r="AC36" s="22">
        <f>IF(AB36="",O36,INDEX('4_UK_L1_Input'!$D$4:$D$14,MATCH($C36,'4_UK_L1_Input'!$A$4:$A$14,0))*AB36)</f>
        <v/>
      </c>
      <c r="AD36" s="7">
        <f>IF(AB36="","BETA FALLBACK","REAL (Bloomberg UK)")</f>
        <v/>
      </c>
      <c r="AE36" s="23">
        <f>Y36-N36</f>
        <v/>
      </c>
      <c r="AF36" s="23">
        <f>AC36-O36</f>
        <v/>
      </c>
    </row>
    <row r="37">
      <c r="A37" s="7" t="n">
        <v>20201010</v>
      </c>
      <c r="B37" s="7" t="inlineStr">
        <is>
          <t>Commercial Printing</t>
        </is>
      </c>
      <c r="C37" s="7" t="n">
        <v>20</v>
      </c>
      <c r="D37" s="7" t="n">
        <v>2020</v>
      </c>
      <c r="E37" s="7" t="n">
        <v>202010</v>
      </c>
      <c r="F37" s="7" t="n">
        <v>0.811779</v>
      </c>
      <c r="G37" s="7" t="n">
        <v>1</v>
      </c>
      <c r="H37" s="11">
        <f>SUMPRODUCT(($E$3:$E$165=E37)*$G$3:$G$165*$F$3:$F$165)/SUMPRODUCT(($E$3:$E$165=E37)*$G$3:$G$165)</f>
        <v/>
      </c>
      <c r="I37" s="11">
        <f>SUMPRODUCT(($D$3:$D$165=D37)*$G$3:$G$165*$F$3:$F$165)/SUMPRODUCT(($D$3:$D$165=D37)*$G$3:$G$165)</f>
        <v/>
      </c>
      <c r="J37" s="11">
        <f>SUMPRODUCT(($C$3:$C$165=C37)*$G$3:$G$165*$F$3:$F$165)/SUMPRODUCT(($C$3:$C$165=C37)*$G$3:$G$165)</f>
        <v/>
      </c>
      <c r="K37" s="21">
        <f>I37/J37</f>
        <v/>
      </c>
      <c r="L37" s="21">
        <f>H37/I37</f>
        <v/>
      </c>
      <c r="M37" s="21">
        <f>F37/H37</f>
        <v/>
      </c>
      <c r="N37" s="22">
        <f>INDEX('4_UK_L1_Input'!$C$4:$C$14,MATCH($C37,'4_UK_L1_Input'!$A$4:$A$14,0))*K37*L37*M37</f>
        <v/>
      </c>
      <c r="O37" s="22">
        <f>INDEX('4_UK_L1_Input'!$D$4:$D$14,MATCH($C37,'4_UK_L1_Input'!$A$4:$A$14,0))*K37*L37*M37</f>
        <v/>
      </c>
      <c r="P37" s="15" t="n">
        <v>22260000</v>
      </c>
      <c r="Q37" s="15" t="n">
        <v>62410000</v>
      </c>
      <c r="R37" s="14" t="n"/>
      <c r="S37" s="11">
        <f>IFERROR(SUMPRODUCT(($E$3:$E$165=E37)*ISNUMBER($P$3:$P$165)*$P$3:$P$165*$F$3:$F$165)/SUMPRODUCT(($E$3:$E$165=E37)*ISNUMBER($P$3:$P$165)*$P$3:$P$165),"")</f>
        <v/>
      </c>
      <c r="T37" s="11">
        <f>IFERROR(SUMPRODUCT(($D$3:$D$165=D37)*ISNUMBER($P$3:$P$165)*$P$3:$P$165*$F$3:$F$165)/SUMPRODUCT(($D$3:$D$165=D37)*ISNUMBER($P$3:$P$165)*$P$3:$P$165),"")</f>
        <v/>
      </c>
      <c r="U37" s="11">
        <f>IFERROR(SUMPRODUCT(($C$3:$C$165=C37)*ISNUMBER($P$3:$P$165)*$P$3:$P$165*$F$3:$F$165)/SUMPRODUCT(($C$3:$C$165=C37)*ISNUMBER($P$3:$P$165)*$P$3:$P$165),"")</f>
        <v/>
      </c>
      <c r="V37" s="21">
        <f>IF(OR(T37="",U37=""),"",T37/U37)</f>
        <v/>
      </c>
      <c r="W37" s="21">
        <f>IF(OR(S37="",T37=""),"",S37/T37)</f>
        <v/>
      </c>
      <c r="X37" s="21">
        <f>IF(S37="","",F37/S37)</f>
        <v/>
      </c>
      <c r="Y37" s="22">
        <f>IF(V37="",N37,INDEX('4_UK_L1_Input'!$C$4:$C$14,MATCH($C37,'4_UK_L1_Input'!$A$4:$A$14,0))*V37*W37*X37)</f>
        <v/>
      </c>
      <c r="Z37" s="7">
        <f>IF(V37="","BETA FALLBACK","REAL (Bloomberg UK)")</f>
        <v/>
      </c>
      <c r="AA37" s="21">
        <f>IFERROR(SUMPRODUCT(($C$3:$C$165=C37)*ISNUMBER($R$3:$R$165)*$Q$3:$Q$165*IF(ISNUMBER($R$3:$R$165),$R$3:$R$165,0))/SUMPRODUCT(($C$3:$C$165=C37)*ISNUMBER($R$3:$R$165)*$Q$3:$Q$165),"")</f>
        <v/>
      </c>
      <c r="AB37" s="21">
        <f>IF(OR(R37="",AA37=""),"",R37/AA37)</f>
        <v/>
      </c>
      <c r="AC37" s="22">
        <f>IF(AB37="",O37,INDEX('4_UK_L1_Input'!$D$4:$D$14,MATCH($C37,'4_UK_L1_Input'!$A$4:$A$14,0))*AB37)</f>
        <v/>
      </c>
      <c r="AD37" s="7">
        <f>IF(AB37="","BETA FALLBACK","REAL (Bloomberg UK)")</f>
        <v/>
      </c>
      <c r="AE37" s="23">
        <f>Y37-N37</f>
        <v/>
      </c>
      <c r="AF37" s="23">
        <f>AC37-O37</f>
        <v/>
      </c>
    </row>
    <row r="38">
      <c r="A38" s="7" t="n">
        <v>20201050</v>
      </c>
      <c r="B38" s="7" t="inlineStr">
        <is>
          <t>Environmental &amp; Facilities Services</t>
        </is>
      </c>
      <c r="C38" s="7" t="n">
        <v>20</v>
      </c>
      <c r="D38" s="7" t="n">
        <v>2020</v>
      </c>
      <c r="E38" s="7" t="n">
        <v>202010</v>
      </c>
      <c r="F38" s="7" t="n">
        <v>0.8368640000000001</v>
      </c>
      <c r="G38" s="7" t="n">
        <v>1</v>
      </c>
      <c r="H38" s="11">
        <f>SUMPRODUCT(($E$3:$E$165=E38)*$G$3:$G$165*$F$3:$F$165)/SUMPRODUCT(($E$3:$E$165=E38)*$G$3:$G$165)</f>
        <v/>
      </c>
      <c r="I38" s="11">
        <f>SUMPRODUCT(($D$3:$D$165=D38)*$G$3:$G$165*$F$3:$F$165)/SUMPRODUCT(($D$3:$D$165=D38)*$G$3:$G$165)</f>
        <v/>
      </c>
      <c r="J38" s="11">
        <f>SUMPRODUCT(($C$3:$C$165=C38)*$G$3:$G$165*$F$3:$F$165)/SUMPRODUCT(($C$3:$C$165=C38)*$G$3:$G$165)</f>
        <v/>
      </c>
      <c r="K38" s="21">
        <f>I38/J38</f>
        <v/>
      </c>
      <c r="L38" s="21">
        <f>H38/I38</f>
        <v/>
      </c>
      <c r="M38" s="21">
        <f>F38/H38</f>
        <v/>
      </c>
      <c r="N38" s="22">
        <f>INDEX('4_UK_L1_Input'!$C$4:$C$14,MATCH($C38,'4_UK_L1_Input'!$A$4:$A$14,0))*K38*L38*M38</f>
        <v/>
      </c>
      <c r="O38" s="22">
        <f>INDEX('4_UK_L1_Input'!$D$4:$D$14,MATCH($C38,'4_UK_L1_Input'!$A$4:$A$14,0))*K38*L38*M38</f>
        <v/>
      </c>
      <c r="P38" s="15" t="n">
        <v>2970000000</v>
      </c>
      <c r="Q38" s="15" t="n">
        <v>2410000000</v>
      </c>
      <c r="R38" s="16" t="n">
        <v>8.34</v>
      </c>
      <c r="S38" s="11">
        <f>IFERROR(SUMPRODUCT(($E$3:$E$165=E38)*ISNUMBER($P$3:$P$165)*$P$3:$P$165*$F$3:$F$165)/SUMPRODUCT(($E$3:$E$165=E38)*ISNUMBER($P$3:$P$165)*$P$3:$P$165),"")</f>
        <v/>
      </c>
      <c r="T38" s="11">
        <f>IFERROR(SUMPRODUCT(($D$3:$D$165=D38)*ISNUMBER($P$3:$P$165)*$P$3:$P$165*$F$3:$F$165)/SUMPRODUCT(($D$3:$D$165=D38)*ISNUMBER($P$3:$P$165)*$P$3:$P$165),"")</f>
        <v/>
      </c>
      <c r="U38" s="11">
        <f>IFERROR(SUMPRODUCT(($C$3:$C$165=C38)*ISNUMBER($P$3:$P$165)*$P$3:$P$165*$F$3:$F$165)/SUMPRODUCT(($C$3:$C$165=C38)*ISNUMBER($P$3:$P$165)*$P$3:$P$165),"")</f>
        <v/>
      </c>
      <c r="V38" s="21">
        <f>IF(OR(T38="",U38=""),"",T38/U38)</f>
        <v/>
      </c>
      <c r="W38" s="21">
        <f>IF(OR(S38="",T38=""),"",S38/T38)</f>
        <v/>
      </c>
      <c r="X38" s="21">
        <f>IF(S38="","",F38/S38)</f>
        <v/>
      </c>
      <c r="Y38" s="22">
        <f>IF(V38="",N38,INDEX('4_UK_L1_Input'!$C$4:$C$14,MATCH($C38,'4_UK_L1_Input'!$A$4:$A$14,0))*V38*W38*X38)</f>
        <v/>
      </c>
      <c r="Z38" s="7">
        <f>IF(V38="","BETA FALLBACK","REAL (Bloomberg UK)")</f>
        <v/>
      </c>
      <c r="AA38" s="21">
        <f>IFERROR(SUMPRODUCT(($C$3:$C$165=C38)*ISNUMBER($R$3:$R$165)*$Q$3:$Q$165*IF(ISNUMBER($R$3:$R$165),$R$3:$R$165,0))/SUMPRODUCT(($C$3:$C$165=C38)*ISNUMBER($R$3:$R$165)*$Q$3:$Q$165),"")</f>
        <v/>
      </c>
      <c r="AB38" s="21">
        <f>IF(OR(R38="",AA38=""),"",R38/AA38)</f>
        <v/>
      </c>
      <c r="AC38" s="22">
        <f>IF(AB38="",O38,INDEX('4_UK_L1_Input'!$D$4:$D$14,MATCH($C38,'4_UK_L1_Input'!$A$4:$A$14,0))*AB38)</f>
        <v/>
      </c>
      <c r="AD38" s="7">
        <f>IF(AB38="","BETA FALLBACK","REAL (Bloomberg UK)")</f>
        <v/>
      </c>
      <c r="AE38" s="23">
        <f>Y38-N38</f>
        <v/>
      </c>
      <c r="AF38" s="23">
        <f>AC38-O38</f>
        <v/>
      </c>
    </row>
    <row r="39">
      <c r="A39" s="7" t="n">
        <v>20201060</v>
      </c>
      <c r="B39" s="7" t="inlineStr">
        <is>
          <t>Office Services &amp; Supplies</t>
        </is>
      </c>
      <c r="C39" s="7" t="n">
        <v>20</v>
      </c>
      <c r="D39" s="7" t="n">
        <v>2020</v>
      </c>
      <c r="E39" s="7" t="n">
        <v>202010</v>
      </c>
      <c r="F39" s="7" t="n">
        <v>0.9810140000000001</v>
      </c>
      <c r="G39" s="7" t="n">
        <v>1</v>
      </c>
      <c r="H39" s="11">
        <f>SUMPRODUCT(($E$3:$E$165=E39)*$G$3:$G$165*$F$3:$F$165)/SUMPRODUCT(($E$3:$E$165=E39)*$G$3:$G$165)</f>
        <v/>
      </c>
      <c r="I39" s="11">
        <f>SUMPRODUCT(($D$3:$D$165=D39)*$G$3:$G$165*$F$3:$F$165)/SUMPRODUCT(($D$3:$D$165=D39)*$G$3:$G$165)</f>
        <v/>
      </c>
      <c r="J39" s="11">
        <f>SUMPRODUCT(($C$3:$C$165=C39)*$G$3:$G$165*$F$3:$F$165)/SUMPRODUCT(($C$3:$C$165=C39)*$G$3:$G$165)</f>
        <v/>
      </c>
      <c r="K39" s="21">
        <f>I39/J39</f>
        <v/>
      </c>
      <c r="L39" s="21">
        <f>H39/I39</f>
        <v/>
      </c>
      <c r="M39" s="21">
        <f>F39/H39</f>
        <v/>
      </c>
      <c r="N39" s="22">
        <f>INDEX('4_UK_L1_Input'!$C$4:$C$14,MATCH($C39,'4_UK_L1_Input'!$A$4:$A$14,0))*K39*L39*M39</f>
        <v/>
      </c>
      <c r="O39" s="22">
        <f>INDEX('4_UK_L1_Input'!$D$4:$D$14,MATCH($C39,'4_UK_L1_Input'!$A$4:$A$14,0))*K39*L39*M39</f>
        <v/>
      </c>
      <c r="P39" s="14" t="n"/>
      <c r="Q39" s="14" t="n"/>
      <c r="R39" s="14" t="n"/>
      <c r="S39" s="11">
        <f>IFERROR(SUMPRODUCT(($E$3:$E$165=E39)*ISNUMBER($P$3:$P$165)*$P$3:$P$165*$F$3:$F$165)/SUMPRODUCT(($E$3:$E$165=E39)*ISNUMBER($P$3:$P$165)*$P$3:$P$165),"")</f>
        <v/>
      </c>
      <c r="T39" s="11">
        <f>IFERROR(SUMPRODUCT(($D$3:$D$165=D39)*ISNUMBER($P$3:$P$165)*$P$3:$P$165*$F$3:$F$165)/SUMPRODUCT(($D$3:$D$165=D39)*ISNUMBER($P$3:$P$165)*$P$3:$P$165),"")</f>
        <v/>
      </c>
      <c r="U39" s="11">
        <f>IFERROR(SUMPRODUCT(($C$3:$C$165=C39)*ISNUMBER($P$3:$P$165)*$P$3:$P$165*$F$3:$F$165)/SUMPRODUCT(($C$3:$C$165=C39)*ISNUMBER($P$3:$P$165)*$P$3:$P$165),"")</f>
        <v/>
      </c>
      <c r="V39" s="21">
        <f>IF(OR(T39="",U39=""),"",T39/U39)</f>
        <v/>
      </c>
      <c r="W39" s="21">
        <f>IF(OR(S39="",T39=""),"",S39/T39)</f>
        <v/>
      </c>
      <c r="X39" s="21">
        <f>IF(S39="","",F39/S39)</f>
        <v/>
      </c>
      <c r="Y39" s="22">
        <f>IF(V39="",N39,INDEX('4_UK_L1_Input'!$C$4:$C$14,MATCH($C39,'4_UK_L1_Input'!$A$4:$A$14,0))*V39*W39*X39)</f>
        <v/>
      </c>
      <c r="Z39" s="7">
        <f>IF(V39="","BETA FALLBACK","REAL (Bloomberg UK)")</f>
        <v/>
      </c>
      <c r="AA39" s="21">
        <f>IFERROR(SUMPRODUCT(($C$3:$C$165=C39)*ISNUMBER($R$3:$R$165)*$Q$3:$Q$165*IF(ISNUMBER($R$3:$R$165),$R$3:$R$165,0))/SUMPRODUCT(($C$3:$C$165=C39)*ISNUMBER($R$3:$R$165)*$Q$3:$Q$165),"")</f>
        <v/>
      </c>
      <c r="AB39" s="21">
        <f>IF(OR(R39="",AA39=""),"",R39/AA39)</f>
        <v/>
      </c>
      <c r="AC39" s="22">
        <f>IF(AB39="",O39,INDEX('4_UK_L1_Input'!$D$4:$D$14,MATCH($C39,'4_UK_L1_Input'!$A$4:$A$14,0))*AB39)</f>
        <v/>
      </c>
      <c r="AD39" s="7">
        <f>IF(AB39="","BETA FALLBACK","REAL (Bloomberg UK)")</f>
        <v/>
      </c>
      <c r="AE39" s="23">
        <f>Y39-N39</f>
        <v/>
      </c>
      <c r="AF39" s="23">
        <f>AC39-O39</f>
        <v/>
      </c>
    </row>
    <row r="40">
      <c r="A40" s="7" t="n">
        <v>20201070</v>
      </c>
      <c r="B40" s="7" t="inlineStr">
        <is>
          <t>Diversified Support Services</t>
        </is>
      </c>
      <c r="C40" s="7" t="n">
        <v>20</v>
      </c>
      <c r="D40" s="7" t="n">
        <v>2020</v>
      </c>
      <c r="E40" s="7" t="n">
        <v>202010</v>
      </c>
      <c r="F40" s="7" t="n">
        <v>0.811779</v>
      </c>
      <c r="G40" s="7" t="n">
        <v>1</v>
      </c>
      <c r="H40" s="11">
        <f>SUMPRODUCT(($E$3:$E$165=E40)*$G$3:$G$165*$F$3:$F$165)/SUMPRODUCT(($E$3:$E$165=E40)*$G$3:$G$165)</f>
        <v/>
      </c>
      <c r="I40" s="11">
        <f>SUMPRODUCT(($D$3:$D$165=D40)*$G$3:$G$165*$F$3:$F$165)/SUMPRODUCT(($D$3:$D$165=D40)*$G$3:$G$165)</f>
        <v/>
      </c>
      <c r="J40" s="11">
        <f>SUMPRODUCT(($C$3:$C$165=C40)*$G$3:$G$165*$F$3:$F$165)/SUMPRODUCT(($C$3:$C$165=C40)*$G$3:$G$165)</f>
        <v/>
      </c>
      <c r="K40" s="21">
        <f>I40/J40</f>
        <v/>
      </c>
      <c r="L40" s="21">
        <f>H40/I40</f>
        <v/>
      </c>
      <c r="M40" s="21">
        <f>F40/H40</f>
        <v/>
      </c>
      <c r="N40" s="22">
        <f>INDEX('4_UK_L1_Input'!$C$4:$C$14,MATCH($C40,'4_UK_L1_Input'!$A$4:$A$14,0))*K40*L40*M40</f>
        <v/>
      </c>
      <c r="O40" s="22">
        <f>INDEX('4_UK_L1_Input'!$D$4:$D$14,MATCH($C40,'4_UK_L1_Input'!$A$4:$A$14,0))*K40*L40*M40</f>
        <v/>
      </c>
      <c r="P40" s="15" t="n">
        <v>272250000</v>
      </c>
      <c r="Q40" s="15" t="n">
        <v>221420000</v>
      </c>
      <c r="R40" s="16" t="n">
        <v>5.61</v>
      </c>
      <c r="S40" s="11">
        <f>IFERROR(SUMPRODUCT(($E$3:$E$165=E40)*ISNUMBER($P$3:$P$165)*$P$3:$P$165*$F$3:$F$165)/SUMPRODUCT(($E$3:$E$165=E40)*ISNUMBER($P$3:$P$165)*$P$3:$P$165),"")</f>
        <v/>
      </c>
      <c r="T40" s="11">
        <f>IFERROR(SUMPRODUCT(($D$3:$D$165=D40)*ISNUMBER($P$3:$P$165)*$P$3:$P$165*$F$3:$F$165)/SUMPRODUCT(($D$3:$D$165=D40)*ISNUMBER($P$3:$P$165)*$P$3:$P$165),"")</f>
        <v/>
      </c>
      <c r="U40" s="11">
        <f>IFERROR(SUMPRODUCT(($C$3:$C$165=C40)*ISNUMBER($P$3:$P$165)*$P$3:$P$165*$F$3:$F$165)/SUMPRODUCT(($C$3:$C$165=C40)*ISNUMBER($P$3:$P$165)*$P$3:$P$165),"")</f>
        <v/>
      </c>
      <c r="V40" s="21">
        <f>IF(OR(T40="",U40=""),"",T40/U40)</f>
        <v/>
      </c>
      <c r="W40" s="21">
        <f>IF(OR(S40="",T40=""),"",S40/T40)</f>
        <v/>
      </c>
      <c r="X40" s="21">
        <f>IF(S40="","",F40/S40)</f>
        <v/>
      </c>
      <c r="Y40" s="22">
        <f>IF(V40="",N40,INDEX('4_UK_L1_Input'!$C$4:$C$14,MATCH($C40,'4_UK_L1_Input'!$A$4:$A$14,0))*V40*W40*X40)</f>
        <v/>
      </c>
      <c r="Z40" s="7">
        <f>IF(V40="","BETA FALLBACK","REAL (Bloomberg UK)")</f>
        <v/>
      </c>
      <c r="AA40" s="21">
        <f>IFERROR(SUMPRODUCT(($C$3:$C$165=C40)*ISNUMBER($R$3:$R$165)*$Q$3:$Q$165*IF(ISNUMBER($R$3:$R$165),$R$3:$R$165,0))/SUMPRODUCT(($C$3:$C$165=C40)*ISNUMBER($R$3:$R$165)*$Q$3:$Q$165),"")</f>
        <v/>
      </c>
      <c r="AB40" s="21">
        <f>IF(OR(R40="",AA40=""),"",R40/AA40)</f>
        <v/>
      </c>
      <c r="AC40" s="22">
        <f>IF(AB40="",O40,INDEX('4_UK_L1_Input'!$D$4:$D$14,MATCH($C40,'4_UK_L1_Input'!$A$4:$A$14,0))*AB40)</f>
        <v/>
      </c>
      <c r="AD40" s="7">
        <f>IF(AB40="","BETA FALLBACK","REAL (Bloomberg UK)")</f>
        <v/>
      </c>
      <c r="AE40" s="23">
        <f>Y40-N40</f>
        <v/>
      </c>
      <c r="AF40" s="23">
        <f>AC40-O40</f>
        <v/>
      </c>
    </row>
    <row r="41">
      <c r="A41" s="7" t="n">
        <v>20201080</v>
      </c>
      <c r="B41" s="7" t="inlineStr">
        <is>
          <t>Security &amp; Alarm Services</t>
        </is>
      </c>
      <c r="C41" s="7" t="n">
        <v>20</v>
      </c>
      <c r="D41" s="7" t="n">
        <v>2020</v>
      </c>
      <c r="E41" s="7" t="n">
        <v>202010</v>
      </c>
      <c r="F41" s="7" t="n">
        <v>0.811779</v>
      </c>
      <c r="G41" s="7" t="n">
        <v>1</v>
      </c>
      <c r="H41" s="11">
        <f>SUMPRODUCT(($E$3:$E$165=E41)*$G$3:$G$165*$F$3:$F$165)/SUMPRODUCT(($E$3:$E$165=E41)*$G$3:$G$165)</f>
        <v/>
      </c>
      <c r="I41" s="11">
        <f>SUMPRODUCT(($D$3:$D$165=D41)*$G$3:$G$165*$F$3:$F$165)/SUMPRODUCT(($D$3:$D$165=D41)*$G$3:$G$165)</f>
        <v/>
      </c>
      <c r="J41" s="11">
        <f>SUMPRODUCT(($C$3:$C$165=C41)*$G$3:$G$165*$F$3:$F$165)/SUMPRODUCT(($C$3:$C$165=C41)*$G$3:$G$165)</f>
        <v/>
      </c>
      <c r="K41" s="21">
        <f>I41/J41</f>
        <v/>
      </c>
      <c r="L41" s="21">
        <f>H41/I41</f>
        <v/>
      </c>
      <c r="M41" s="21">
        <f>F41/H41</f>
        <v/>
      </c>
      <c r="N41" s="22">
        <f>INDEX('4_UK_L1_Input'!$C$4:$C$14,MATCH($C41,'4_UK_L1_Input'!$A$4:$A$14,0))*K41*L41*M41</f>
        <v/>
      </c>
      <c r="O41" s="22">
        <f>INDEX('4_UK_L1_Input'!$D$4:$D$14,MATCH($C41,'4_UK_L1_Input'!$A$4:$A$14,0))*K41*L41*M41</f>
        <v/>
      </c>
      <c r="P41" s="15" t="n">
        <v>13500000000</v>
      </c>
      <c r="Q41" s="15" t="n">
        <v>9930000000</v>
      </c>
      <c r="R41" s="16" t="n">
        <v>8.49</v>
      </c>
      <c r="S41" s="11">
        <f>IFERROR(SUMPRODUCT(($E$3:$E$165=E41)*ISNUMBER($P$3:$P$165)*$P$3:$P$165*$F$3:$F$165)/SUMPRODUCT(($E$3:$E$165=E41)*ISNUMBER($P$3:$P$165)*$P$3:$P$165),"")</f>
        <v/>
      </c>
      <c r="T41" s="11">
        <f>IFERROR(SUMPRODUCT(($D$3:$D$165=D41)*ISNUMBER($P$3:$P$165)*$P$3:$P$165*$F$3:$F$165)/SUMPRODUCT(($D$3:$D$165=D41)*ISNUMBER($P$3:$P$165)*$P$3:$P$165),"")</f>
        <v/>
      </c>
      <c r="U41" s="11">
        <f>IFERROR(SUMPRODUCT(($C$3:$C$165=C41)*ISNUMBER($P$3:$P$165)*$P$3:$P$165*$F$3:$F$165)/SUMPRODUCT(($C$3:$C$165=C41)*ISNUMBER($P$3:$P$165)*$P$3:$P$165),"")</f>
        <v/>
      </c>
      <c r="V41" s="21">
        <f>IF(OR(T41="",U41=""),"",T41/U41)</f>
        <v/>
      </c>
      <c r="W41" s="21">
        <f>IF(OR(S41="",T41=""),"",S41/T41)</f>
        <v/>
      </c>
      <c r="X41" s="21">
        <f>IF(S41="","",F41/S41)</f>
        <v/>
      </c>
      <c r="Y41" s="22">
        <f>IF(V41="",N41,INDEX('4_UK_L1_Input'!$C$4:$C$14,MATCH($C41,'4_UK_L1_Input'!$A$4:$A$14,0))*V41*W41*X41)</f>
        <v/>
      </c>
      <c r="Z41" s="7">
        <f>IF(V41="","BETA FALLBACK","REAL (Bloomberg UK)")</f>
        <v/>
      </c>
      <c r="AA41" s="21">
        <f>IFERROR(SUMPRODUCT(($C$3:$C$165=C41)*ISNUMBER($R$3:$R$165)*$Q$3:$Q$165*IF(ISNUMBER($R$3:$R$165),$R$3:$R$165,0))/SUMPRODUCT(($C$3:$C$165=C41)*ISNUMBER($R$3:$R$165)*$Q$3:$Q$165),"")</f>
        <v/>
      </c>
      <c r="AB41" s="21">
        <f>IF(OR(R41="",AA41=""),"",R41/AA41)</f>
        <v/>
      </c>
      <c r="AC41" s="22">
        <f>IF(AB41="",O41,INDEX('4_UK_L1_Input'!$D$4:$D$14,MATCH($C41,'4_UK_L1_Input'!$A$4:$A$14,0))*AB41)</f>
        <v/>
      </c>
      <c r="AD41" s="7">
        <f>IF(AB41="","BETA FALLBACK","REAL (Bloomberg UK)")</f>
        <v/>
      </c>
      <c r="AE41" s="23">
        <f>Y41-N41</f>
        <v/>
      </c>
      <c r="AF41" s="23">
        <f>AC41-O41</f>
        <v/>
      </c>
    </row>
    <row r="42">
      <c r="A42" s="7" t="n">
        <v>20202010</v>
      </c>
      <c r="B42" s="7" t="inlineStr">
        <is>
          <t>Human Resource &amp; Employment Services</t>
        </is>
      </c>
      <c r="C42" s="7" t="n">
        <v>20</v>
      </c>
      <c r="D42" s="7" t="n">
        <v>2020</v>
      </c>
      <c r="E42" s="7" t="n">
        <v>202020</v>
      </c>
      <c r="F42" s="7" t="n">
        <v>0.811779</v>
      </c>
      <c r="G42" s="7" t="n">
        <v>1</v>
      </c>
      <c r="H42" s="11">
        <f>SUMPRODUCT(($E$3:$E$165=E42)*$G$3:$G$165*$F$3:$F$165)/SUMPRODUCT(($E$3:$E$165=E42)*$G$3:$G$165)</f>
        <v/>
      </c>
      <c r="I42" s="11">
        <f>SUMPRODUCT(($D$3:$D$165=D42)*$G$3:$G$165*$F$3:$F$165)/SUMPRODUCT(($D$3:$D$165=D42)*$G$3:$G$165)</f>
        <v/>
      </c>
      <c r="J42" s="11">
        <f>SUMPRODUCT(($C$3:$C$165=C42)*$G$3:$G$165*$F$3:$F$165)/SUMPRODUCT(($C$3:$C$165=C42)*$G$3:$G$165)</f>
        <v/>
      </c>
      <c r="K42" s="21">
        <f>I42/J42</f>
        <v/>
      </c>
      <c r="L42" s="21">
        <f>H42/I42</f>
        <v/>
      </c>
      <c r="M42" s="21">
        <f>F42/H42</f>
        <v/>
      </c>
      <c r="N42" s="22">
        <f>INDEX('4_UK_L1_Input'!$C$4:$C$14,MATCH($C42,'4_UK_L1_Input'!$A$4:$A$14,0))*K42*L42*M42</f>
        <v/>
      </c>
      <c r="O42" s="22">
        <f>INDEX('4_UK_L1_Input'!$D$4:$D$14,MATCH($C42,'4_UK_L1_Input'!$A$4:$A$14,0))*K42*L42*M42</f>
        <v/>
      </c>
      <c r="P42" s="15" t="n">
        <v>1210000000</v>
      </c>
      <c r="Q42" s="15" t="n">
        <v>225530000</v>
      </c>
      <c r="R42" s="16" t="n">
        <v>9.43</v>
      </c>
      <c r="S42" s="11">
        <f>IFERROR(SUMPRODUCT(($E$3:$E$165=E42)*ISNUMBER($P$3:$P$165)*$P$3:$P$165*$F$3:$F$165)/SUMPRODUCT(($E$3:$E$165=E42)*ISNUMBER($P$3:$P$165)*$P$3:$P$165),"")</f>
        <v/>
      </c>
      <c r="T42" s="11">
        <f>IFERROR(SUMPRODUCT(($D$3:$D$165=D42)*ISNUMBER($P$3:$P$165)*$P$3:$P$165*$F$3:$F$165)/SUMPRODUCT(($D$3:$D$165=D42)*ISNUMBER($P$3:$P$165)*$P$3:$P$165),"")</f>
        <v/>
      </c>
      <c r="U42" s="11">
        <f>IFERROR(SUMPRODUCT(($C$3:$C$165=C42)*ISNUMBER($P$3:$P$165)*$P$3:$P$165*$F$3:$F$165)/SUMPRODUCT(($C$3:$C$165=C42)*ISNUMBER($P$3:$P$165)*$P$3:$P$165),"")</f>
        <v/>
      </c>
      <c r="V42" s="21">
        <f>IF(OR(T42="",U42=""),"",T42/U42)</f>
        <v/>
      </c>
      <c r="W42" s="21">
        <f>IF(OR(S42="",T42=""),"",S42/T42)</f>
        <v/>
      </c>
      <c r="X42" s="21">
        <f>IF(S42="","",F42/S42)</f>
        <v/>
      </c>
      <c r="Y42" s="22">
        <f>IF(V42="",N42,INDEX('4_UK_L1_Input'!$C$4:$C$14,MATCH($C42,'4_UK_L1_Input'!$A$4:$A$14,0))*V42*W42*X42)</f>
        <v/>
      </c>
      <c r="Z42" s="7">
        <f>IF(V42="","BETA FALLBACK","REAL (Bloomberg UK)")</f>
        <v/>
      </c>
      <c r="AA42" s="21">
        <f>IFERROR(SUMPRODUCT(($C$3:$C$165=C42)*ISNUMBER($R$3:$R$165)*$Q$3:$Q$165*IF(ISNUMBER($R$3:$R$165),$R$3:$R$165,0))/SUMPRODUCT(($C$3:$C$165=C42)*ISNUMBER($R$3:$R$165)*$Q$3:$Q$165),"")</f>
        <v/>
      </c>
      <c r="AB42" s="21">
        <f>IF(OR(R42="",AA42=""),"",R42/AA42)</f>
        <v/>
      </c>
      <c r="AC42" s="22">
        <f>IF(AB42="",O42,INDEX('4_UK_L1_Input'!$D$4:$D$14,MATCH($C42,'4_UK_L1_Input'!$A$4:$A$14,0))*AB42)</f>
        <v/>
      </c>
      <c r="AD42" s="7">
        <f>IF(AB42="","BETA FALLBACK","REAL (Bloomberg UK)")</f>
        <v/>
      </c>
      <c r="AE42" s="23">
        <f>Y42-N42</f>
        <v/>
      </c>
      <c r="AF42" s="23">
        <f>AC42-O42</f>
        <v/>
      </c>
    </row>
    <row r="43">
      <c r="A43" s="7" t="n">
        <v>20202020</v>
      </c>
      <c r="B43" s="7" t="inlineStr">
        <is>
          <t>Research &amp; Consulting Services</t>
        </is>
      </c>
      <c r="C43" s="7" t="n">
        <v>20</v>
      </c>
      <c r="D43" s="7" t="n">
        <v>2020</v>
      </c>
      <c r="E43" s="7" t="n">
        <v>202020</v>
      </c>
      <c r="F43" s="7" t="n">
        <v>0.811779</v>
      </c>
      <c r="G43" s="7" t="n">
        <v>1</v>
      </c>
      <c r="H43" s="11">
        <f>SUMPRODUCT(($E$3:$E$165=E43)*$G$3:$G$165*$F$3:$F$165)/SUMPRODUCT(($E$3:$E$165=E43)*$G$3:$G$165)</f>
        <v/>
      </c>
      <c r="I43" s="11">
        <f>SUMPRODUCT(($D$3:$D$165=D43)*$G$3:$G$165*$F$3:$F$165)/SUMPRODUCT(($D$3:$D$165=D43)*$G$3:$G$165)</f>
        <v/>
      </c>
      <c r="J43" s="11">
        <f>SUMPRODUCT(($C$3:$C$165=C43)*$G$3:$G$165*$F$3:$F$165)/SUMPRODUCT(($C$3:$C$165=C43)*$G$3:$G$165)</f>
        <v/>
      </c>
      <c r="K43" s="21">
        <f>I43/J43</f>
        <v/>
      </c>
      <c r="L43" s="21">
        <f>H43/I43</f>
        <v/>
      </c>
      <c r="M43" s="21">
        <f>F43/H43</f>
        <v/>
      </c>
      <c r="N43" s="22">
        <f>INDEX('4_UK_L1_Input'!$C$4:$C$14,MATCH($C43,'4_UK_L1_Input'!$A$4:$A$14,0))*K43*L43*M43</f>
        <v/>
      </c>
      <c r="O43" s="22">
        <f>INDEX('4_UK_L1_Input'!$D$4:$D$14,MATCH($C43,'4_UK_L1_Input'!$A$4:$A$14,0))*K43*L43*M43</f>
        <v/>
      </c>
      <c r="P43" s="15" t="n">
        <v>760740000</v>
      </c>
      <c r="Q43" s="15" t="n">
        <v>2380000000</v>
      </c>
      <c r="R43" s="16" t="n">
        <v>7.31</v>
      </c>
      <c r="S43" s="11">
        <f>IFERROR(SUMPRODUCT(($E$3:$E$165=E43)*ISNUMBER($P$3:$P$165)*$P$3:$P$165*$F$3:$F$165)/SUMPRODUCT(($E$3:$E$165=E43)*ISNUMBER($P$3:$P$165)*$P$3:$P$165),"")</f>
        <v/>
      </c>
      <c r="T43" s="11">
        <f>IFERROR(SUMPRODUCT(($D$3:$D$165=D43)*ISNUMBER($P$3:$P$165)*$P$3:$P$165*$F$3:$F$165)/SUMPRODUCT(($D$3:$D$165=D43)*ISNUMBER($P$3:$P$165)*$P$3:$P$165),"")</f>
        <v/>
      </c>
      <c r="U43" s="11">
        <f>IFERROR(SUMPRODUCT(($C$3:$C$165=C43)*ISNUMBER($P$3:$P$165)*$P$3:$P$165*$F$3:$F$165)/SUMPRODUCT(($C$3:$C$165=C43)*ISNUMBER($P$3:$P$165)*$P$3:$P$165),"")</f>
        <v/>
      </c>
      <c r="V43" s="21">
        <f>IF(OR(T43="",U43=""),"",T43/U43)</f>
        <v/>
      </c>
      <c r="W43" s="21">
        <f>IF(OR(S43="",T43=""),"",S43/T43)</f>
        <v/>
      </c>
      <c r="X43" s="21">
        <f>IF(S43="","",F43/S43)</f>
        <v/>
      </c>
      <c r="Y43" s="22">
        <f>IF(V43="",N43,INDEX('4_UK_L1_Input'!$C$4:$C$14,MATCH($C43,'4_UK_L1_Input'!$A$4:$A$14,0))*V43*W43*X43)</f>
        <v/>
      </c>
      <c r="Z43" s="7">
        <f>IF(V43="","BETA FALLBACK","REAL (Bloomberg UK)")</f>
        <v/>
      </c>
      <c r="AA43" s="21">
        <f>IFERROR(SUMPRODUCT(($C$3:$C$165=C43)*ISNUMBER($R$3:$R$165)*$Q$3:$Q$165*IF(ISNUMBER($R$3:$R$165),$R$3:$R$165,0))/SUMPRODUCT(($C$3:$C$165=C43)*ISNUMBER($R$3:$R$165)*$Q$3:$Q$165),"")</f>
        <v/>
      </c>
      <c r="AB43" s="21">
        <f>IF(OR(R43="",AA43=""),"",R43/AA43)</f>
        <v/>
      </c>
      <c r="AC43" s="22">
        <f>IF(AB43="",O43,INDEX('4_UK_L1_Input'!$D$4:$D$14,MATCH($C43,'4_UK_L1_Input'!$A$4:$A$14,0))*AB43)</f>
        <v/>
      </c>
      <c r="AD43" s="7">
        <f>IF(AB43="","BETA FALLBACK","REAL (Bloomberg UK)")</f>
        <v/>
      </c>
      <c r="AE43" s="23">
        <f>Y43-N43</f>
        <v/>
      </c>
      <c r="AF43" s="23">
        <f>AC43-O43</f>
        <v/>
      </c>
    </row>
    <row r="44">
      <c r="A44" s="7" t="n">
        <v>20202030</v>
      </c>
      <c r="B44" s="7" t="inlineStr">
        <is>
          <t>Data Processing &amp; Outsourced Services</t>
        </is>
      </c>
      <c r="C44" s="7" t="n">
        <v>20</v>
      </c>
      <c r="D44" s="7" t="n">
        <v>2020</v>
      </c>
      <c r="E44" s="7" t="n">
        <v>202020</v>
      </c>
      <c r="F44" s="7" t="n">
        <v>0.953494</v>
      </c>
      <c r="G44" s="7" t="n">
        <v>1</v>
      </c>
      <c r="H44" s="11">
        <f>SUMPRODUCT(($E$3:$E$165=E44)*$G$3:$G$165*$F$3:$F$165)/SUMPRODUCT(($E$3:$E$165=E44)*$G$3:$G$165)</f>
        <v/>
      </c>
      <c r="I44" s="11">
        <f>SUMPRODUCT(($D$3:$D$165=D44)*$G$3:$G$165*$F$3:$F$165)/SUMPRODUCT(($D$3:$D$165=D44)*$G$3:$G$165)</f>
        <v/>
      </c>
      <c r="J44" s="11">
        <f>SUMPRODUCT(($C$3:$C$165=C44)*$G$3:$G$165*$F$3:$F$165)/SUMPRODUCT(($C$3:$C$165=C44)*$G$3:$G$165)</f>
        <v/>
      </c>
      <c r="K44" s="21">
        <f>I44/J44</f>
        <v/>
      </c>
      <c r="L44" s="21">
        <f>H44/I44</f>
        <v/>
      </c>
      <c r="M44" s="21">
        <f>F44/H44</f>
        <v/>
      </c>
      <c r="N44" s="22">
        <f>INDEX('4_UK_L1_Input'!$C$4:$C$14,MATCH($C44,'4_UK_L1_Input'!$A$4:$A$14,0))*K44*L44*M44</f>
        <v/>
      </c>
      <c r="O44" s="22">
        <f>INDEX('4_UK_L1_Input'!$D$4:$D$14,MATCH($C44,'4_UK_L1_Input'!$A$4:$A$14,0))*K44*L44*M44</f>
        <v/>
      </c>
      <c r="P44" s="15" t="n">
        <v>279910000</v>
      </c>
      <c r="Q44" s="15" t="n">
        <v>318990000</v>
      </c>
      <c r="R44" s="16" t="n">
        <v>6.59</v>
      </c>
      <c r="S44" s="11">
        <f>IFERROR(SUMPRODUCT(($E$3:$E$165=E44)*ISNUMBER($P$3:$P$165)*$P$3:$P$165*$F$3:$F$165)/SUMPRODUCT(($E$3:$E$165=E44)*ISNUMBER($P$3:$P$165)*$P$3:$P$165),"")</f>
        <v/>
      </c>
      <c r="T44" s="11">
        <f>IFERROR(SUMPRODUCT(($D$3:$D$165=D44)*ISNUMBER($P$3:$P$165)*$P$3:$P$165*$F$3:$F$165)/SUMPRODUCT(($D$3:$D$165=D44)*ISNUMBER($P$3:$P$165)*$P$3:$P$165),"")</f>
        <v/>
      </c>
      <c r="U44" s="11">
        <f>IFERROR(SUMPRODUCT(($C$3:$C$165=C44)*ISNUMBER($P$3:$P$165)*$P$3:$P$165*$F$3:$F$165)/SUMPRODUCT(($C$3:$C$165=C44)*ISNUMBER($P$3:$P$165)*$P$3:$P$165),"")</f>
        <v/>
      </c>
      <c r="V44" s="21">
        <f>IF(OR(T44="",U44=""),"",T44/U44)</f>
        <v/>
      </c>
      <c r="W44" s="21">
        <f>IF(OR(S44="",T44=""),"",S44/T44)</f>
        <v/>
      </c>
      <c r="X44" s="21">
        <f>IF(S44="","",F44/S44)</f>
        <v/>
      </c>
      <c r="Y44" s="22">
        <f>IF(V44="",N44,INDEX('4_UK_L1_Input'!$C$4:$C$14,MATCH($C44,'4_UK_L1_Input'!$A$4:$A$14,0))*V44*W44*X44)</f>
        <v/>
      </c>
      <c r="Z44" s="7">
        <f>IF(V44="","BETA FALLBACK","REAL (Bloomberg UK)")</f>
        <v/>
      </c>
      <c r="AA44" s="21">
        <f>IFERROR(SUMPRODUCT(($C$3:$C$165=C44)*ISNUMBER($R$3:$R$165)*$Q$3:$Q$165*IF(ISNUMBER($R$3:$R$165),$R$3:$R$165,0))/SUMPRODUCT(($C$3:$C$165=C44)*ISNUMBER($R$3:$R$165)*$Q$3:$Q$165),"")</f>
        <v/>
      </c>
      <c r="AB44" s="21">
        <f>IF(OR(R44="",AA44=""),"",R44/AA44)</f>
        <v/>
      </c>
      <c r="AC44" s="22">
        <f>IF(AB44="",O44,INDEX('4_UK_L1_Input'!$D$4:$D$14,MATCH($C44,'4_UK_L1_Input'!$A$4:$A$14,0))*AB44)</f>
        <v/>
      </c>
      <c r="AD44" s="7">
        <f>IF(AB44="","BETA FALLBACK","REAL (Bloomberg UK)")</f>
        <v/>
      </c>
      <c r="AE44" s="23">
        <f>Y44-N44</f>
        <v/>
      </c>
      <c r="AF44" s="23">
        <f>AC44-O44</f>
        <v/>
      </c>
    </row>
    <row r="45">
      <c r="A45" s="7" t="n">
        <v>20301010</v>
      </c>
      <c r="B45" s="7" t="inlineStr">
        <is>
          <t>Air Freight &amp; Logistics</t>
        </is>
      </c>
      <c r="C45" s="7" t="n">
        <v>20</v>
      </c>
      <c r="D45" s="7" t="n">
        <v>2030</v>
      </c>
      <c r="E45" s="7" t="n">
        <v>203010</v>
      </c>
      <c r="F45" s="7" t="n">
        <v>0.776851</v>
      </c>
      <c r="G45" s="7" t="n">
        <v>1</v>
      </c>
      <c r="H45" s="11">
        <f>SUMPRODUCT(($E$3:$E$165=E45)*$G$3:$G$165*$F$3:$F$165)/SUMPRODUCT(($E$3:$E$165=E45)*$G$3:$G$165)</f>
        <v/>
      </c>
      <c r="I45" s="11">
        <f>SUMPRODUCT(($D$3:$D$165=D45)*$G$3:$G$165*$F$3:$F$165)/SUMPRODUCT(($D$3:$D$165=D45)*$G$3:$G$165)</f>
        <v/>
      </c>
      <c r="J45" s="11">
        <f>SUMPRODUCT(($C$3:$C$165=C45)*$G$3:$G$165*$F$3:$F$165)/SUMPRODUCT(($C$3:$C$165=C45)*$G$3:$G$165)</f>
        <v/>
      </c>
      <c r="K45" s="21">
        <f>I45/J45</f>
        <v/>
      </c>
      <c r="L45" s="21">
        <f>H45/I45</f>
        <v/>
      </c>
      <c r="M45" s="21">
        <f>F45/H45</f>
        <v/>
      </c>
      <c r="N45" s="22">
        <f>INDEX('4_UK_L1_Input'!$C$4:$C$14,MATCH($C45,'4_UK_L1_Input'!$A$4:$A$14,0))*K45*L45*M45</f>
        <v/>
      </c>
      <c r="O45" s="22">
        <f>INDEX('4_UK_L1_Input'!$D$4:$D$14,MATCH($C45,'4_UK_L1_Input'!$A$4:$A$14,0))*K45*L45*M45</f>
        <v/>
      </c>
      <c r="P45" s="15" t="n">
        <v>137040000</v>
      </c>
      <c r="Q45" s="15" t="n">
        <v>731310000</v>
      </c>
      <c r="R45" s="16" t="n">
        <v>6.05</v>
      </c>
      <c r="S45" s="11">
        <f>IFERROR(SUMPRODUCT(($E$3:$E$165=E45)*ISNUMBER($P$3:$P$165)*$P$3:$P$165*$F$3:$F$165)/SUMPRODUCT(($E$3:$E$165=E45)*ISNUMBER($P$3:$P$165)*$P$3:$P$165),"")</f>
        <v/>
      </c>
      <c r="T45" s="11">
        <f>IFERROR(SUMPRODUCT(($D$3:$D$165=D45)*ISNUMBER($P$3:$P$165)*$P$3:$P$165*$F$3:$F$165)/SUMPRODUCT(($D$3:$D$165=D45)*ISNUMBER($P$3:$P$165)*$P$3:$P$165),"")</f>
        <v/>
      </c>
      <c r="U45" s="11">
        <f>IFERROR(SUMPRODUCT(($C$3:$C$165=C45)*ISNUMBER($P$3:$P$165)*$P$3:$P$165*$F$3:$F$165)/SUMPRODUCT(($C$3:$C$165=C45)*ISNUMBER($P$3:$P$165)*$P$3:$P$165),"")</f>
        <v/>
      </c>
      <c r="V45" s="21">
        <f>IF(OR(T45="",U45=""),"",T45/U45)</f>
        <v/>
      </c>
      <c r="W45" s="21">
        <f>IF(OR(S45="",T45=""),"",S45/T45)</f>
        <v/>
      </c>
      <c r="X45" s="21">
        <f>IF(S45="","",F45/S45)</f>
        <v/>
      </c>
      <c r="Y45" s="22">
        <f>IF(V45="",N45,INDEX('4_UK_L1_Input'!$C$4:$C$14,MATCH($C45,'4_UK_L1_Input'!$A$4:$A$14,0))*V45*W45*X45)</f>
        <v/>
      </c>
      <c r="Z45" s="7">
        <f>IF(V45="","BETA FALLBACK","REAL (Bloomberg UK)")</f>
        <v/>
      </c>
      <c r="AA45" s="21">
        <f>IFERROR(SUMPRODUCT(($C$3:$C$165=C45)*ISNUMBER($R$3:$R$165)*$Q$3:$Q$165*IF(ISNUMBER($R$3:$R$165),$R$3:$R$165,0))/SUMPRODUCT(($C$3:$C$165=C45)*ISNUMBER($R$3:$R$165)*$Q$3:$Q$165),"")</f>
        <v/>
      </c>
      <c r="AB45" s="21">
        <f>IF(OR(R45="",AA45=""),"",R45/AA45)</f>
        <v/>
      </c>
      <c r="AC45" s="22">
        <f>IF(AB45="",O45,INDEX('4_UK_L1_Input'!$D$4:$D$14,MATCH($C45,'4_UK_L1_Input'!$A$4:$A$14,0))*AB45)</f>
        <v/>
      </c>
      <c r="AD45" s="7">
        <f>IF(AB45="","BETA FALLBACK","REAL (Bloomberg UK)")</f>
        <v/>
      </c>
      <c r="AE45" s="23">
        <f>Y45-N45</f>
        <v/>
      </c>
      <c r="AF45" s="23">
        <f>AC45-O45</f>
        <v/>
      </c>
    </row>
    <row r="46">
      <c r="A46" s="7" t="n">
        <v>20302010</v>
      </c>
      <c r="B46" s="7" t="inlineStr">
        <is>
          <t>Passenger Airlines</t>
        </is>
      </c>
      <c r="C46" s="7" t="n">
        <v>20</v>
      </c>
      <c r="D46" s="7" t="n">
        <v>2030</v>
      </c>
      <c r="E46" s="7" t="n">
        <v>203020</v>
      </c>
      <c r="F46" s="7" t="n">
        <v>0.801256</v>
      </c>
      <c r="G46" s="7" t="n">
        <v>1</v>
      </c>
      <c r="H46" s="11">
        <f>SUMPRODUCT(($E$3:$E$165=E46)*$G$3:$G$165*$F$3:$F$165)/SUMPRODUCT(($E$3:$E$165=E46)*$G$3:$G$165)</f>
        <v/>
      </c>
      <c r="I46" s="11">
        <f>SUMPRODUCT(($D$3:$D$165=D46)*$G$3:$G$165*$F$3:$F$165)/SUMPRODUCT(($D$3:$D$165=D46)*$G$3:$G$165)</f>
        <v/>
      </c>
      <c r="J46" s="11">
        <f>SUMPRODUCT(($C$3:$C$165=C46)*$G$3:$G$165*$F$3:$F$165)/SUMPRODUCT(($C$3:$C$165=C46)*$G$3:$G$165)</f>
        <v/>
      </c>
      <c r="K46" s="21">
        <f>I46/J46</f>
        <v/>
      </c>
      <c r="L46" s="21">
        <f>H46/I46</f>
        <v/>
      </c>
      <c r="M46" s="21">
        <f>F46/H46</f>
        <v/>
      </c>
      <c r="N46" s="22">
        <f>INDEX('4_UK_L1_Input'!$C$4:$C$14,MATCH($C46,'4_UK_L1_Input'!$A$4:$A$14,0))*K46*L46*M46</f>
        <v/>
      </c>
      <c r="O46" s="22">
        <f>INDEX('4_UK_L1_Input'!$D$4:$D$14,MATCH($C46,'4_UK_L1_Input'!$A$4:$A$14,0))*K46*L46*M46</f>
        <v/>
      </c>
      <c r="P46" s="15" t="n">
        <v>17130000000</v>
      </c>
      <c r="Q46" s="15" t="n">
        <v>9190000000</v>
      </c>
      <c r="R46" s="16" t="n">
        <v>3.69</v>
      </c>
      <c r="S46" s="11">
        <f>IFERROR(SUMPRODUCT(($E$3:$E$165=E46)*ISNUMBER($P$3:$P$165)*$P$3:$P$165*$F$3:$F$165)/SUMPRODUCT(($E$3:$E$165=E46)*ISNUMBER($P$3:$P$165)*$P$3:$P$165),"")</f>
        <v/>
      </c>
      <c r="T46" s="11">
        <f>IFERROR(SUMPRODUCT(($D$3:$D$165=D46)*ISNUMBER($P$3:$P$165)*$P$3:$P$165*$F$3:$F$165)/SUMPRODUCT(($D$3:$D$165=D46)*ISNUMBER($P$3:$P$165)*$P$3:$P$165),"")</f>
        <v/>
      </c>
      <c r="U46" s="11">
        <f>IFERROR(SUMPRODUCT(($C$3:$C$165=C46)*ISNUMBER($P$3:$P$165)*$P$3:$P$165*$F$3:$F$165)/SUMPRODUCT(($C$3:$C$165=C46)*ISNUMBER($P$3:$P$165)*$P$3:$P$165),"")</f>
        <v/>
      </c>
      <c r="V46" s="21">
        <f>IF(OR(T46="",U46=""),"",T46/U46)</f>
        <v/>
      </c>
      <c r="W46" s="21">
        <f>IF(OR(S46="",T46=""),"",S46/T46)</f>
        <v/>
      </c>
      <c r="X46" s="21">
        <f>IF(S46="","",F46/S46)</f>
        <v/>
      </c>
      <c r="Y46" s="22">
        <f>IF(V46="",N46,INDEX('4_UK_L1_Input'!$C$4:$C$14,MATCH($C46,'4_UK_L1_Input'!$A$4:$A$14,0))*V46*W46*X46)</f>
        <v/>
      </c>
      <c r="Z46" s="7">
        <f>IF(V46="","BETA FALLBACK","REAL (Bloomberg UK)")</f>
        <v/>
      </c>
      <c r="AA46" s="21">
        <f>IFERROR(SUMPRODUCT(($C$3:$C$165=C46)*ISNUMBER($R$3:$R$165)*$Q$3:$Q$165*IF(ISNUMBER($R$3:$R$165),$R$3:$R$165,0))/SUMPRODUCT(($C$3:$C$165=C46)*ISNUMBER($R$3:$R$165)*$Q$3:$Q$165),"")</f>
        <v/>
      </c>
      <c r="AB46" s="21">
        <f>IF(OR(R46="",AA46=""),"",R46/AA46)</f>
        <v/>
      </c>
      <c r="AC46" s="22">
        <f>IF(AB46="",O46,INDEX('4_UK_L1_Input'!$D$4:$D$14,MATCH($C46,'4_UK_L1_Input'!$A$4:$A$14,0))*AB46)</f>
        <v/>
      </c>
      <c r="AD46" s="7">
        <f>IF(AB46="","BETA FALLBACK","REAL (Bloomberg UK)")</f>
        <v/>
      </c>
      <c r="AE46" s="23">
        <f>Y46-N46</f>
        <v/>
      </c>
      <c r="AF46" s="23">
        <f>AC46-O46</f>
        <v/>
      </c>
    </row>
    <row r="47">
      <c r="A47" s="7" t="n">
        <v>20303010</v>
      </c>
      <c r="B47" s="7" t="inlineStr">
        <is>
          <t>Marine Transportation</t>
        </is>
      </c>
      <c r="C47" s="7" t="n">
        <v>20</v>
      </c>
      <c r="D47" s="7" t="n">
        <v>2030</v>
      </c>
      <c r="E47" s="7" t="n">
        <v>203030</v>
      </c>
      <c r="F47" s="7" t="n">
        <v>0.794212</v>
      </c>
      <c r="G47" s="7" t="n">
        <v>1</v>
      </c>
      <c r="H47" s="11">
        <f>SUMPRODUCT(($E$3:$E$165=E47)*$G$3:$G$165*$F$3:$F$165)/SUMPRODUCT(($E$3:$E$165=E47)*$G$3:$G$165)</f>
        <v/>
      </c>
      <c r="I47" s="11">
        <f>SUMPRODUCT(($D$3:$D$165=D47)*$G$3:$G$165*$F$3:$F$165)/SUMPRODUCT(($D$3:$D$165=D47)*$G$3:$G$165)</f>
        <v/>
      </c>
      <c r="J47" s="11">
        <f>SUMPRODUCT(($C$3:$C$165=C47)*$G$3:$G$165*$F$3:$F$165)/SUMPRODUCT(($C$3:$C$165=C47)*$G$3:$G$165)</f>
        <v/>
      </c>
      <c r="K47" s="21">
        <f>I47/J47</f>
        <v/>
      </c>
      <c r="L47" s="21">
        <f>H47/I47</f>
        <v/>
      </c>
      <c r="M47" s="21">
        <f>F47/H47</f>
        <v/>
      </c>
      <c r="N47" s="22">
        <f>INDEX('4_UK_L1_Input'!$C$4:$C$14,MATCH($C47,'4_UK_L1_Input'!$A$4:$A$14,0))*K47*L47*M47</f>
        <v/>
      </c>
      <c r="O47" s="22">
        <f>INDEX('4_UK_L1_Input'!$D$4:$D$14,MATCH($C47,'4_UK_L1_Input'!$A$4:$A$14,0))*K47*L47*M47</f>
        <v/>
      </c>
      <c r="P47" s="15" t="n">
        <v>1460000000</v>
      </c>
      <c r="Q47" s="15" t="n">
        <v>7130000000</v>
      </c>
      <c r="R47" s="16" t="n">
        <v>6</v>
      </c>
      <c r="S47" s="11">
        <f>IFERROR(SUMPRODUCT(($E$3:$E$165=E47)*ISNUMBER($P$3:$P$165)*$P$3:$P$165*$F$3:$F$165)/SUMPRODUCT(($E$3:$E$165=E47)*ISNUMBER($P$3:$P$165)*$P$3:$P$165),"")</f>
        <v/>
      </c>
      <c r="T47" s="11">
        <f>IFERROR(SUMPRODUCT(($D$3:$D$165=D47)*ISNUMBER($P$3:$P$165)*$P$3:$P$165*$F$3:$F$165)/SUMPRODUCT(($D$3:$D$165=D47)*ISNUMBER($P$3:$P$165)*$P$3:$P$165),"")</f>
        <v/>
      </c>
      <c r="U47" s="11">
        <f>IFERROR(SUMPRODUCT(($C$3:$C$165=C47)*ISNUMBER($P$3:$P$165)*$P$3:$P$165*$F$3:$F$165)/SUMPRODUCT(($C$3:$C$165=C47)*ISNUMBER($P$3:$P$165)*$P$3:$P$165),"")</f>
        <v/>
      </c>
      <c r="V47" s="21">
        <f>IF(OR(T47="",U47=""),"",T47/U47)</f>
        <v/>
      </c>
      <c r="W47" s="21">
        <f>IF(OR(S47="",T47=""),"",S47/T47)</f>
        <v/>
      </c>
      <c r="X47" s="21">
        <f>IF(S47="","",F47/S47)</f>
        <v/>
      </c>
      <c r="Y47" s="22">
        <f>IF(V47="",N47,INDEX('4_UK_L1_Input'!$C$4:$C$14,MATCH($C47,'4_UK_L1_Input'!$A$4:$A$14,0))*V47*W47*X47)</f>
        <v/>
      </c>
      <c r="Z47" s="7">
        <f>IF(V47="","BETA FALLBACK","REAL (Bloomberg UK)")</f>
        <v/>
      </c>
      <c r="AA47" s="21">
        <f>IFERROR(SUMPRODUCT(($C$3:$C$165=C47)*ISNUMBER($R$3:$R$165)*$Q$3:$Q$165*IF(ISNUMBER($R$3:$R$165),$R$3:$R$165,0))/SUMPRODUCT(($C$3:$C$165=C47)*ISNUMBER($R$3:$R$165)*$Q$3:$Q$165),"")</f>
        <v/>
      </c>
      <c r="AB47" s="21">
        <f>IF(OR(R47="",AA47=""),"",R47/AA47)</f>
        <v/>
      </c>
      <c r="AC47" s="22">
        <f>IF(AB47="",O47,INDEX('4_UK_L1_Input'!$D$4:$D$14,MATCH($C47,'4_UK_L1_Input'!$A$4:$A$14,0))*AB47)</f>
        <v/>
      </c>
      <c r="AD47" s="7">
        <f>IF(AB47="","BETA FALLBACK","REAL (Bloomberg UK)")</f>
        <v/>
      </c>
      <c r="AE47" s="23">
        <f>Y47-N47</f>
        <v/>
      </c>
      <c r="AF47" s="23">
        <f>AC47-O47</f>
        <v/>
      </c>
    </row>
    <row r="48">
      <c r="A48" s="7" t="n">
        <v>20304010</v>
      </c>
      <c r="B48" s="7" t="inlineStr">
        <is>
          <t>Rail Transportation</t>
        </is>
      </c>
      <c r="C48" s="7" t="n">
        <v>20</v>
      </c>
      <c r="D48" s="7" t="n">
        <v>2030</v>
      </c>
      <c r="E48" s="7" t="n">
        <v>203040</v>
      </c>
      <c r="F48" s="7" t="n">
        <v>0.87604</v>
      </c>
      <c r="G48" s="7" t="n">
        <v>1</v>
      </c>
      <c r="H48" s="11">
        <f>SUMPRODUCT(($E$3:$E$165=E48)*$G$3:$G$165*$F$3:$F$165)/SUMPRODUCT(($E$3:$E$165=E48)*$G$3:$G$165)</f>
        <v/>
      </c>
      <c r="I48" s="11">
        <f>SUMPRODUCT(($D$3:$D$165=D48)*$G$3:$G$165*$F$3:$F$165)/SUMPRODUCT(($D$3:$D$165=D48)*$G$3:$G$165)</f>
        <v/>
      </c>
      <c r="J48" s="11">
        <f>SUMPRODUCT(($C$3:$C$165=C48)*$G$3:$G$165*$F$3:$F$165)/SUMPRODUCT(($C$3:$C$165=C48)*$G$3:$G$165)</f>
        <v/>
      </c>
      <c r="K48" s="21">
        <f>I48/J48</f>
        <v/>
      </c>
      <c r="L48" s="21">
        <f>H48/I48</f>
        <v/>
      </c>
      <c r="M48" s="21">
        <f>F48/H48</f>
        <v/>
      </c>
      <c r="N48" s="22">
        <f>INDEX('4_UK_L1_Input'!$C$4:$C$14,MATCH($C48,'4_UK_L1_Input'!$A$4:$A$14,0))*K48*L48*M48</f>
        <v/>
      </c>
      <c r="O48" s="22">
        <f>INDEX('4_UK_L1_Input'!$D$4:$D$14,MATCH($C48,'4_UK_L1_Input'!$A$4:$A$14,0))*K48*L48*M48</f>
        <v/>
      </c>
      <c r="P48" s="15" t="n">
        <v>4750000000</v>
      </c>
      <c r="Q48" s="15" t="n">
        <v>1010000000</v>
      </c>
      <c r="R48" s="16" t="n">
        <v>2.53</v>
      </c>
      <c r="S48" s="11">
        <f>IFERROR(SUMPRODUCT(($E$3:$E$165=E48)*ISNUMBER($P$3:$P$165)*$P$3:$P$165*$F$3:$F$165)/SUMPRODUCT(($E$3:$E$165=E48)*ISNUMBER($P$3:$P$165)*$P$3:$P$165),"")</f>
        <v/>
      </c>
      <c r="T48" s="11">
        <f>IFERROR(SUMPRODUCT(($D$3:$D$165=D48)*ISNUMBER($P$3:$P$165)*$P$3:$P$165*$F$3:$F$165)/SUMPRODUCT(($D$3:$D$165=D48)*ISNUMBER($P$3:$P$165)*$P$3:$P$165),"")</f>
        <v/>
      </c>
      <c r="U48" s="11">
        <f>IFERROR(SUMPRODUCT(($C$3:$C$165=C48)*ISNUMBER($P$3:$P$165)*$P$3:$P$165*$F$3:$F$165)/SUMPRODUCT(($C$3:$C$165=C48)*ISNUMBER($P$3:$P$165)*$P$3:$P$165),"")</f>
        <v/>
      </c>
      <c r="V48" s="21">
        <f>IF(OR(T48="",U48=""),"",T48/U48)</f>
        <v/>
      </c>
      <c r="W48" s="21">
        <f>IF(OR(S48="",T48=""),"",S48/T48)</f>
        <v/>
      </c>
      <c r="X48" s="21">
        <f>IF(S48="","",F48/S48)</f>
        <v/>
      </c>
      <c r="Y48" s="22">
        <f>IF(V48="",N48,INDEX('4_UK_L1_Input'!$C$4:$C$14,MATCH($C48,'4_UK_L1_Input'!$A$4:$A$14,0))*V48*W48*X48)</f>
        <v/>
      </c>
      <c r="Z48" s="7">
        <f>IF(V48="","BETA FALLBACK","REAL (Bloomberg UK)")</f>
        <v/>
      </c>
      <c r="AA48" s="21">
        <f>IFERROR(SUMPRODUCT(($C$3:$C$165=C48)*ISNUMBER($R$3:$R$165)*$Q$3:$Q$165*IF(ISNUMBER($R$3:$R$165),$R$3:$R$165,0))/SUMPRODUCT(($C$3:$C$165=C48)*ISNUMBER($R$3:$R$165)*$Q$3:$Q$165),"")</f>
        <v/>
      </c>
      <c r="AB48" s="21">
        <f>IF(OR(R48="",AA48=""),"",R48/AA48)</f>
        <v/>
      </c>
      <c r="AC48" s="22">
        <f>IF(AB48="",O48,INDEX('4_UK_L1_Input'!$D$4:$D$14,MATCH($C48,'4_UK_L1_Input'!$A$4:$A$14,0))*AB48)</f>
        <v/>
      </c>
      <c r="AD48" s="7">
        <f>IF(AB48="","BETA FALLBACK","REAL (Bloomberg UK)")</f>
        <v/>
      </c>
      <c r="AE48" s="23">
        <f>Y48-N48</f>
        <v/>
      </c>
      <c r="AF48" s="23">
        <f>AC48-O48</f>
        <v/>
      </c>
    </row>
    <row r="49">
      <c r="A49" s="7" t="n">
        <v>20304030</v>
      </c>
      <c r="B49" s="7" t="inlineStr">
        <is>
          <t>Cargo Ground Transportation</t>
        </is>
      </c>
      <c r="C49" s="7" t="n">
        <v>20</v>
      </c>
      <c r="D49" s="7" t="n">
        <v>2030</v>
      </c>
      <c r="E49" s="7" t="n">
        <v>203040</v>
      </c>
      <c r="F49" s="7" t="n">
        <v>0.877772</v>
      </c>
      <c r="G49" s="7" t="n">
        <v>1</v>
      </c>
      <c r="H49" s="11">
        <f>SUMPRODUCT(($E$3:$E$165=E49)*$G$3:$G$165*$F$3:$F$165)/SUMPRODUCT(($E$3:$E$165=E49)*$G$3:$G$165)</f>
        <v/>
      </c>
      <c r="I49" s="11">
        <f>SUMPRODUCT(($D$3:$D$165=D49)*$G$3:$G$165*$F$3:$F$165)/SUMPRODUCT(($D$3:$D$165=D49)*$G$3:$G$165)</f>
        <v/>
      </c>
      <c r="J49" s="11">
        <f>SUMPRODUCT(($C$3:$C$165=C49)*$G$3:$G$165*$F$3:$F$165)/SUMPRODUCT(($C$3:$C$165=C49)*$G$3:$G$165)</f>
        <v/>
      </c>
      <c r="K49" s="21">
        <f>I49/J49</f>
        <v/>
      </c>
      <c r="L49" s="21">
        <f>H49/I49</f>
        <v/>
      </c>
      <c r="M49" s="21">
        <f>F49/H49</f>
        <v/>
      </c>
      <c r="N49" s="22">
        <f>INDEX('4_UK_L1_Input'!$C$4:$C$14,MATCH($C49,'4_UK_L1_Input'!$A$4:$A$14,0))*K49*L49*M49</f>
        <v/>
      </c>
      <c r="O49" s="22">
        <f>INDEX('4_UK_L1_Input'!$D$4:$D$14,MATCH($C49,'4_UK_L1_Input'!$A$4:$A$14,0))*K49*L49*M49</f>
        <v/>
      </c>
      <c r="P49" s="14" t="n"/>
      <c r="Q49" s="14" t="n"/>
      <c r="R49" s="14" t="n"/>
      <c r="S49" s="11">
        <f>IFERROR(SUMPRODUCT(($E$3:$E$165=E49)*ISNUMBER($P$3:$P$165)*$P$3:$P$165*$F$3:$F$165)/SUMPRODUCT(($E$3:$E$165=E49)*ISNUMBER($P$3:$P$165)*$P$3:$P$165),"")</f>
        <v/>
      </c>
      <c r="T49" s="11">
        <f>IFERROR(SUMPRODUCT(($D$3:$D$165=D49)*ISNUMBER($P$3:$P$165)*$P$3:$P$165*$F$3:$F$165)/SUMPRODUCT(($D$3:$D$165=D49)*ISNUMBER($P$3:$P$165)*$P$3:$P$165),"")</f>
        <v/>
      </c>
      <c r="U49" s="11">
        <f>IFERROR(SUMPRODUCT(($C$3:$C$165=C49)*ISNUMBER($P$3:$P$165)*$P$3:$P$165*$F$3:$F$165)/SUMPRODUCT(($C$3:$C$165=C49)*ISNUMBER($P$3:$P$165)*$P$3:$P$165),"")</f>
        <v/>
      </c>
      <c r="V49" s="21">
        <f>IF(OR(T49="",U49=""),"",T49/U49)</f>
        <v/>
      </c>
      <c r="W49" s="21">
        <f>IF(OR(S49="",T49=""),"",S49/T49)</f>
        <v/>
      </c>
      <c r="X49" s="21">
        <f>IF(S49="","",F49/S49)</f>
        <v/>
      </c>
      <c r="Y49" s="22">
        <f>IF(V49="",N49,INDEX('4_UK_L1_Input'!$C$4:$C$14,MATCH($C49,'4_UK_L1_Input'!$A$4:$A$14,0))*V49*W49*X49)</f>
        <v/>
      </c>
      <c r="Z49" s="7">
        <f>IF(V49="","BETA FALLBACK","REAL (Bloomberg UK)")</f>
        <v/>
      </c>
      <c r="AA49" s="21">
        <f>IFERROR(SUMPRODUCT(($C$3:$C$165=C49)*ISNUMBER($R$3:$R$165)*$Q$3:$Q$165*IF(ISNUMBER($R$3:$R$165),$R$3:$R$165,0))/SUMPRODUCT(($C$3:$C$165=C49)*ISNUMBER($R$3:$R$165)*$Q$3:$Q$165),"")</f>
        <v/>
      </c>
      <c r="AB49" s="21">
        <f>IF(OR(R49="",AA49=""),"",R49/AA49)</f>
        <v/>
      </c>
      <c r="AC49" s="22">
        <f>IF(AB49="",O49,INDEX('4_UK_L1_Input'!$D$4:$D$14,MATCH($C49,'4_UK_L1_Input'!$A$4:$A$14,0))*AB49)</f>
        <v/>
      </c>
      <c r="AD49" s="7">
        <f>IF(AB49="","BETA FALLBACK","REAL (Bloomberg UK)")</f>
        <v/>
      </c>
      <c r="AE49" s="23">
        <f>Y49-N49</f>
        <v/>
      </c>
      <c r="AF49" s="23">
        <f>AC49-O49</f>
        <v/>
      </c>
    </row>
    <row r="50">
      <c r="A50" s="7" t="n">
        <v>20304040</v>
      </c>
      <c r="B50" s="7" t="inlineStr">
        <is>
          <t>Passenger Ground Transportation</t>
        </is>
      </c>
      <c r="C50" s="7" t="n">
        <v>20</v>
      </c>
      <c r="D50" s="7" t="n">
        <v>2030</v>
      </c>
      <c r="E50" s="7" t="n">
        <v>203040</v>
      </c>
      <c r="F50" s="7" t="n">
        <v>0.776851</v>
      </c>
      <c r="G50" s="7" t="n">
        <v>1</v>
      </c>
      <c r="H50" s="11">
        <f>SUMPRODUCT(($E$3:$E$165=E50)*$G$3:$G$165*$F$3:$F$165)/SUMPRODUCT(($E$3:$E$165=E50)*$G$3:$G$165)</f>
        <v/>
      </c>
      <c r="I50" s="11">
        <f>SUMPRODUCT(($D$3:$D$165=D50)*$G$3:$G$165*$F$3:$F$165)/SUMPRODUCT(($D$3:$D$165=D50)*$G$3:$G$165)</f>
        <v/>
      </c>
      <c r="J50" s="11">
        <f>SUMPRODUCT(($C$3:$C$165=C50)*$G$3:$G$165*$F$3:$F$165)/SUMPRODUCT(($C$3:$C$165=C50)*$G$3:$G$165)</f>
        <v/>
      </c>
      <c r="K50" s="21">
        <f>I50/J50</f>
        <v/>
      </c>
      <c r="L50" s="21">
        <f>H50/I50</f>
        <v/>
      </c>
      <c r="M50" s="21">
        <f>F50/H50</f>
        <v/>
      </c>
      <c r="N50" s="22">
        <f>INDEX('4_UK_L1_Input'!$C$4:$C$14,MATCH($C50,'4_UK_L1_Input'!$A$4:$A$14,0))*K50*L50*M50</f>
        <v/>
      </c>
      <c r="O50" s="22">
        <f>INDEX('4_UK_L1_Input'!$D$4:$D$14,MATCH($C50,'4_UK_L1_Input'!$A$4:$A$14,0))*K50*L50*M50</f>
        <v/>
      </c>
      <c r="P50" s="15" t="n">
        <v>2300000000</v>
      </c>
      <c r="Q50" s="15" t="n">
        <v>613190000</v>
      </c>
      <c r="R50" s="16" t="n">
        <v>3.68</v>
      </c>
      <c r="S50" s="11">
        <f>IFERROR(SUMPRODUCT(($E$3:$E$165=E50)*ISNUMBER($P$3:$P$165)*$P$3:$P$165*$F$3:$F$165)/SUMPRODUCT(($E$3:$E$165=E50)*ISNUMBER($P$3:$P$165)*$P$3:$P$165),"")</f>
        <v/>
      </c>
      <c r="T50" s="11">
        <f>IFERROR(SUMPRODUCT(($D$3:$D$165=D50)*ISNUMBER($P$3:$P$165)*$P$3:$P$165*$F$3:$F$165)/SUMPRODUCT(($D$3:$D$165=D50)*ISNUMBER($P$3:$P$165)*$P$3:$P$165),"")</f>
        <v/>
      </c>
      <c r="U50" s="11">
        <f>IFERROR(SUMPRODUCT(($C$3:$C$165=C50)*ISNUMBER($P$3:$P$165)*$P$3:$P$165*$F$3:$F$165)/SUMPRODUCT(($C$3:$C$165=C50)*ISNUMBER($P$3:$P$165)*$P$3:$P$165),"")</f>
        <v/>
      </c>
      <c r="V50" s="21">
        <f>IF(OR(T50="",U50=""),"",T50/U50)</f>
        <v/>
      </c>
      <c r="W50" s="21">
        <f>IF(OR(S50="",T50=""),"",S50/T50)</f>
        <v/>
      </c>
      <c r="X50" s="21">
        <f>IF(S50="","",F50/S50)</f>
        <v/>
      </c>
      <c r="Y50" s="22">
        <f>IF(V50="",N50,INDEX('4_UK_L1_Input'!$C$4:$C$14,MATCH($C50,'4_UK_L1_Input'!$A$4:$A$14,0))*V50*W50*X50)</f>
        <v/>
      </c>
      <c r="Z50" s="7">
        <f>IF(V50="","BETA FALLBACK","REAL (Bloomberg UK)")</f>
        <v/>
      </c>
      <c r="AA50" s="21">
        <f>IFERROR(SUMPRODUCT(($C$3:$C$165=C50)*ISNUMBER($R$3:$R$165)*$Q$3:$Q$165*IF(ISNUMBER($R$3:$R$165),$R$3:$R$165,0))/SUMPRODUCT(($C$3:$C$165=C50)*ISNUMBER($R$3:$R$165)*$Q$3:$Q$165),"")</f>
        <v/>
      </c>
      <c r="AB50" s="21">
        <f>IF(OR(R50="",AA50=""),"",R50/AA50)</f>
        <v/>
      </c>
      <c r="AC50" s="22">
        <f>IF(AB50="",O50,INDEX('4_UK_L1_Input'!$D$4:$D$14,MATCH($C50,'4_UK_L1_Input'!$A$4:$A$14,0))*AB50)</f>
        <v/>
      </c>
      <c r="AD50" s="7">
        <f>IF(AB50="","BETA FALLBACK","REAL (Bloomberg UK)")</f>
        <v/>
      </c>
      <c r="AE50" s="23">
        <f>Y50-N50</f>
        <v/>
      </c>
      <c r="AF50" s="23">
        <f>AC50-O50</f>
        <v/>
      </c>
    </row>
    <row r="51">
      <c r="A51" s="7" t="n">
        <v>20305010</v>
      </c>
      <c r="B51" s="7" t="inlineStr">
        <is>
          <t>Airport Services</t>
        </is>
      </c>
      <c r="C51" s="7" t="n">
        <v>20</v>
      </c>
      <c r="D51" s="7" t="n">
        <v>2030</v>
      </c>
      <c r="E51" s="7" t="n">
        <v>203050</v>
      </c>
      <c r="F51" s="7" t="n">
        <v>0.776851</v>
      </c>
      <c r="G51" s="7" t="n">
        <v>1</v>
      </c>
      <c r="H51" s="11">
        <f>SUMPRODUCT(($E$3:$E$165=E51)*$G$3:$G$165*$F$3:$F$165)/SUMPRODUCT(($E$3:$E$165=E51)*$G$3:$G$165)</f>
        <v/>
      </c>
      <c r="I51" s="11">
        <f>SUMPRODUCT(($D$3:$D$165=D51)*$G$3:$G$165*$F$3:$F$165)/SUMPRODUCT(($D$3:$D$165=D51)*$G$3:$G$165)</f>
        <v/>
      </c>
      <c r="J51" s="11">
        <f>SUMPRODUCT(($C$3:$C$165=C51)*$G$3:$G$165*$F$3:$F$165)/SUMPRODUCT(($C$3:$C$165=C51)*$G$3:$G$165)</f>
        <v/>
      </c>
      <c r="K51" s="21">
        <f>I51/J51</f>
        <v/>
      </c>
      <c r="L51" s="21">
        <f>H51/I51</f>
        <v/>
      </c>
      <c r="M51" s="21">
        <f>F51/H51</f>
        <v/>
      </c>
      <c r="N51" s="22">
        <f>INDEX('4_UK_L1_Input'!$C$4:$C$14,MATCH($C51,'4_UK_L1_Input'!$A$4:$A$14,0))*K51*L51*M51</f>
        <v/>
      </c>
      <c r="O51" s="22">
        <f>INDEX('4_UK_L1_Input'!$D$4:$D$14,MATCH($C51,'4_UK_L1_Input'!$A$4:$A$14,0))*K51*L51*M51</f>
        <v/>
      </c>
      <c r="P51" s="14" t="n"/>
      <c r="Q51" s="14" t="n"/>
      <c r="R51" s="14" t="n"/>
      <c r="S51" s="11">
        <f>IFERROR(SUMPRODUCT(($E$3:$E$165=E51)*ISNUMBER($P$3:$P$165)*$P$3:$P$165*$F$3:$F$165)/SUMPRODUCT(($E$3:$E$165=E51)*ISNUMBER($P$3:$P$165)*$P$3:$P$165),"")</f>
        <v/>
      </c>
      <c r="T51" s="11">
        <f>IFERROR(SUMPRODUCT(($D$3:$D$165=D51)*ISNUMBER($P$3:$P$165)*$P$3:$P$165*$F$3:$F$165)/SUMPRODUCT(($D$3:$D$165=D51)*ISNUMBER($P$3:$P$165)*$P$3:$P$165),"")</f>
        <v/>
      </c>
      <c r="U51" s="11">
        <f>IFERROR(SUMPRODUCT(($C$3:$C$165=C51)*ISNUMBER($P$3:$P$165)*$P$3:$P$165*$F$3:$F$165)/SUMPRODUCT(($C$3:$C$165=C51)*ISNUMBER($P$3:$P$165)*$P$3:$P$165),"")</f>
        <v/>
      </c>
      <c r="V51" s="21">
        <f>IF(OR(T51="",U51=""),"",T51/U51)</f>
        <v/>
      </c>
      <c r="W51" s="21">
        <f>IF(OR(S51="",T51=""),"",S51/T51)</f>
        <v/>
      </c>
      <c r="X51" s="21">
        <f>IF(S51="","",F51/S51)</f>
        <v/>
      </c>
      <c r="Y51" s="22">
        <f>IF(V51="",N51,INDEX('4_UK_L1_Input'!$C$4:$C$14,MATCH($C51,'4_UK_L1_Input'!$A$4:$A$14,0))*V51*W51*X51)</f>
        <v/>
      </c>
      <c r="Z51" s="7">
        <f>IF(V51="","BETA FALLBACK","REAL (Bloomberg UK)")</f>
        <v/>
      </c>
      <c r="AA51" s="21">
        <f>IFERROR(SUMPRODUCT(($C$3:$C$165=C51)*ISNUMBER($R$3:$R$165)*$Q$3:$Q$165*IF(ISNUMBER($R$3:$R$165),$R$3:$R$165,0))/SUMPRODUCT(($C$3:$C$165=C51)*ISNUMBER($R$3:$R$165)*$Q$3:$Q$165),"")</f>
        <v/>
      </c>
      <c r="AB51" s="21">
        <f>IF(OR(R51="",AA51=""),"",R51/AA51)</f>
        <v/>
      </c>
      <c r="AC51" s="22">
        <f>IF(AB51="",O51,INDEX('4_UK_L1_Input'!$D$4:$D$14,MATCH($C51,'4_UK_L1_Input'!$A$4:$A$14,0))*AB51)</f>
        <v/>
      </c>
      <c r="AD51" s="7">
        <f>IF(AB51="","BETA FALLBACK","REAL (Bloomberg UK)")</f>
        <v/>
      </c>
      <c r="AE51" s="23">
        <f>Y51-N51</f>
        <v/>
      </c>
      <c r="AF51" s="23">
        <f>AC51-O51</f>
        <v/>
      </c>
    </row>
    <row r="52">
      <c r="A52" s="7" t="n">
        <v>20305020</v>
      </c>
      <c r="B52" s="7" t="inlineStr">
        <is>
          <t>Highways &amp; Railtracks</t>
        </is>
      </c>
      <c r="C52" s="7" t="n">
        <v>20</v>
      </c>
      <c r="D52" s="7" t="n">
        <v>2030</v>
      </c>
      <c r="E52" s="7" t="n">
        <v>203050</v>
      </c>
      <c r="F52" s="7" t="n">
        <v>0.87604</v>
      </c>
      <c r="G52" s="7" t="n">
        <v>1</v>
      </c>
      <c r="H52" s="11">
        <f>SUMPRODUCT(($E$3:$E$165=E52)*$G$3:$G$165*$F$3:$F$165)/SUMPRODUCT(($E$3:$E$165=E52)*$G$3:$G$165)</f>
        <v/>
      </c>
      <c r="I52" s="11">
        <f>SUMPRODUCT(($D$3:$D$165=D52)*$G$3:$G$165*$F$3:$F$165)/SUMPRODUCT(($D$3:$D$165=D52)*$G$3:$G$165)</f>
        <v/>
      </c>
      <c r="J52" s="11">
        <f>SUMPRODUCT(($C$3:$C$165=C52)*$G$3:$G$165*$F$3:$F$165)/SUMPRODUCT(($C$3:$C$165=C52)*$G$3:$G$165)</f>
        <v/>
      </c>
      <c r="K52" s="21">
        <f>I52/J52</f>
        <v/>
      </c>
      <c r="L52" s="21">
        <f>H52/I52</f>
        <v/>
      </c>
      <c r="M52" s="21">
        <f>F52/H52</f>
        <v/>
      </c>
      <c r="N52" s="22">
        <f>INDEX('4_UK_L1_Input'!$C$4:$C$14,MATCH($C52,'4_UK_L1_Input'!$A$4:$A$14,0))*K52*L52*M52</f>
        <v/>
      </c>
      <c r="O52" s="22">
        <f>INDEX('4_UK_L1_Input'!$D$4:$D$14,MATCH($C52,'4_UK_L1_Input'!$A$4:$A$14,0))*K52*L52*M52</f>
        <v/>
      </c>
      <c r="P52" s="14" t="n"/>
      <c r="Q52" s="14" t="n"/>
      <c r="R52" s="14" t="n"/>
      <c r="S52" s="11">
        <f>IFERROR(SUMPRODUCT(($E$3:$E$165=E52)*ISNUMBER($P$3:$P$165)*$P$3:$P$165*$F$3:$F$165)/SUMPRODUCT(($E$3:$E$165=E52)*ISNUMBER($P$3:$P$165)*$P$3:$P$165),"")</f>
        <v/>
      </c>
      <c r="T52" s="11">
        <f>IFERROR(SUMPRODUCT(($D$3:$D$165=D52)*ISNUMBER($P$3:$P$165)*$P$3:$P$165*$F$3:$F$165)/SUMPRODUCT(($D$3:$D$165=D52)*ISNUMBER($P$3:$P$165)*$P$3:$P$165),"")</f>
        <v/>
      </c>
      <c r="U52" s="11">
        <f>IFERROR(SUMPRODUCT(($C$3:$C$165=C52)*ISNUMBER($P$3:$P$165)*$P$3:$P$165*$F$3:$F$165)/SUMPRODUCT(($C$3:$C$165=C52)*ISNUMBER($P$3:$P$165)*$P$3:$P$165),"")</f>
        <v/>
      </c>
      <c r="V52" s="21">
        <f>IF(OR(T52="",U52=""),"",T52/U52)</f>
        <v/>
      </c>
      <c r="W52" s="21">
        <f>IF(OR(S52="",T52=""),"",S52/T52)</f>
        <v/>
      </c>
      <c r="X52" s="21">
        <f>IF(S52="","",F52/S52)</f>
        <v/>
      </c>
      <c r="Y52" s="22">
        <f>IF(V52="",N52,INDEX('4_UK_L1_Input'!$C$4:$C$14,MATCH($C52,'4_UK_L1_Input'!$A$4:$A$14,0))*V52*W52*X52)</f>
        <v/>
      </c>
      <c r="Z52" s="7">
        <f>IF(V52="","BETA FALLBACK","REAL (Bloomberg UK)")</f>
        <v/>
      </c>
      <c r="AA52" s="21">
        <f>IFERROR(SUMPRODUCT(($C$3:$C$165=C52)*ISNUMBER($R$3:$R$165)*$Q$3:$Q$165*IF(ISNUMBER($R$3:$R$165),$R$3:$R$165,0))/SUMPRODUCT(($C$3:$C$165=C52)*ISNUMBER($R$3:$R$165)*$Q$3:$Q$165),"")</f>
        <v/>
      </c>
      <c r="AB52" s="21">
        <f>IF(OR(R52="",AA52=""),"",R52/AA52)</f>
        <v/>
      </c>
      <c r="AC52" s="22">
        <f>IF(AB52="",O52,INDEX('4_UK_L1_Input'!$D$4:$D$14,MATCH($C52,'4_UK_L1_Input'!$A$4:$A$14,0))*AB52)</f>
        <v/>
      </c>
      <c r="AD52" s="7">
        <f>IF(AB52="","BETA FALLBACK","REAL (Bloomberg UK)")</f>
        <v/>
      </c>
      <c r="AE52" s="23">
        <f>Y52-N52</f>
        <v/>
      </c>
      <c r="AF52" s="23">
        <f>AC52-O52</f>
        <v/>
      </c>
    </row>
    <row r="53">
      <c r="A53" s="7" t="n">
        <v>20305030</v>
      </c>
      <c r="B53" s="7" t="inlineStr">
        <is>
          <t>Marine Ports &amp; Services</t>
        </is>
      </c>
      <c r="C53" s="7" t="n">
        <v>20</v>
      </c>
      <c r="D53" s="7" t="n">
        <v>2030</v>
      </c>
      <c r="E53" s="7" t="n">
        <v>203050</v>
      </c>
      <c r="F53" s="7" t="n">
        <v>0.776851</v>
      </c>
      <c r="G53" s="7" t="n">
        <v>1</v>
      </c>
      <c r="H53" s="11">
        <f>SUMPRODUCT(($E$3:$E$165=E53)*$G$3:$G$165*$F$3:$F$165)/SUMPRODUCT(($E$3:$E$165=E53)*$G$3:$G$165)</f>
        <v/>
      </c>
      <c r="I53" s="11">
        <f>SUMPRODUCT(($D$3:$D$165=D53)*$G$3:$G$165*$F$3:$F$165)/SUMPRODUCT(($D$3:$D$165=D53)*$G$3:$G$165)</f>
        <v/>
      </c>
      <c r="J53" s="11">
        <f>SUMPRODUCT(($C$3:$C$165=C53)*$G$3:$G$165*$F$3:$F$165)/SUMPRODUCT(($C$3:$C$165=C53)*$G$3:$G$165)</f>
        <v/>
      </c>
      <c r="K53" s="21">
        <f>I53/J53</f>
        <v/>
      </c>
      <c r="L53" s="21">
        <f>H53/I53</f>
        <v/>
      </c>
      <c r="M53" s="21">
        <f>F53/H53</f>
        <v/>
      </c>
      <c r="N53" s="22">
        <f>INDEX('4_UK_L1_Input'!$C$4:$C$14,MATCH($C53,'4_UK_L1_Input'!$A$4:$A$14,0))*K53*L53*M53</f>
        <v/>
      </c>
      <c r="O53" s="22">
        <f>INDEX('4_UK_L1_Input'!$D$4:$D$14,MATCH($C53,'4_UK_L1_Input'!$A$4:$A$14,0))*K53*L53*M53</f>
        <v/>
      </c>
      <c r="P53" s="15" t="n">
        <v>180500000</v>
      </c>
      <c r="Q53" s="15" t="n">
        <v>107990000</v>
      </c>
      <c r="R53" s="16" t="n">
        <v>4.85</v>
      </c>
      <c r="S53" s="11">
        <f>IFERROR(SUMPRODUCT(($E$3:$E$165=E53)*ISNUMBER($P$3:$P$165)*$P$3:$P$165*$F$3:$F$165)/SUMPRODUCT(($E$3:$E$165=E53)*ISNUMBER($P$3:$P$165)*$P$3:$P$165),"")</f>
        <v/>
      </c>
      <c r="T53" s="11">
        <f>IFERROR(SUMPRODUCT(($D$3:$D$165=D53)*ISNUMBER($P$3:$P$165)*$P$3:$P$165*$F$3:$F$165)/SUMPRODUCT(($D$3:$D$165=D53)*ISNUMBER($P$3:$P$165)*$P$3:$P$165),"")</f>
        <v/>
      </c>
      <c r="U53" s="11">
        <f>IFERROR(SUMPRODUCT(($C$3:$C$165=C53)*ISNUMBER($P$3:$P$165)*$P$3:$P$165*$F$3:$F$165)/SUMPRODUCT(($C$3:$C$165=C53)*ISNUMBER($P$3:$P$165)*$P$3:$P$165),"")</f>
        <v/>
      </c>
      <c r="V53" s="21">
        <f>IF(OR(T53="",U53=""),"",T53/U53)</f>
        <v/>
      </c>
      <c r="W53" s="21">
        <f>IF(OR(S53="",T53=""),"",S53/T53)</f>
        <v/>
      </c>
      <c r="X53" s="21">
        <f>IF(S53="","",F53/S53)</f>
        <v/>
      </c>
      <c r="Y53" s="22">
        <f>IF(V53="",N53,INDEX('4_UK_L1_Input'!$C$4:$C$14,MATCH($C53,'4_UK_L1_Input'!$A$4:$A$14,0))*V53*W53*X53)</f>
        <v/>
      </c>
      <c r="Z53" s="7">
        <f>IF(V53="","BETA FALLBACK","REAL (Bloomberg UK)")</f>
        <v/>
      </c>
      <c r="AA53" s="21">
        <f>IFERROR(SUMPRODUCT(($C$3:$C$165=C53)*ISNUMBER($R$3:$R$165)*$Q$3:$Q$165*IF(ISNUMBER($R$3:$R$165),$R$3:$R$165,0))/SUMPRODUCT(($C$3:$C$165=C53)*ISNUMBER($R$3:$R$165)*$Q$3:$Q$165),"")</f>
        <v/>
      </c>
      <c r="AB53" s="21">
        <f>IF(OR(R53="",AA53=""),"",R53/AA53)</f>
        <v/>
      </c>
      <c r="AC53" s="22">
        <f>IF(AB53="",O53,INDEX('4_UK_L1_Input'!$D$4:$D$14,MATCH($C53,'4_UK_L1_Input'!$A$4:$A$14,0))*AB53)</f>
        <v/>
      </c>
      <c r="AD53" s="7">
        <f>IF(AB53="","BETA FALLBACK","REAL (Bloomberg UK)")</f>
        <v/>
      </c>
      <c r="AE53" s="23">
        <f>Y53-N53</f>
        <v/>
      </c>
      <c r="AF53" s="23">
        <f>AC53-O53</f>
        <v/>
      </c>
    </row>
    <row r="54">
      <c r="A54" s="7" t="n">
        <v>25101010</v>
      </c>
      <c r="B54" s="7" t="inlineStr">
        <is>
          <t>Automotive Parts &amp; Equipment</t>
        </is>
      </c>
      <c r="C54" s="7" t="n">
        <v>25</v>
      </c>
      <c r="D54" s="7" t="n">
        <v>2510</v>
      </c>
      <c r="E54" s="7" t="n">
        <v>251010</v>
      </c>
      <c r="F54" s="7" t="n">
        <v>1.077786</v>
      </c>
      <c r="G54" s="7" t="n">
        <v>1</v>
      </c>
      <c r="H54" s="11">
        <f>SUMPRODUCT(($E$3:$E$165=E54)*$G$3:$G$165*$F$3:$F$165)/SUMPRODUCT(($E$3:$E$165=E54)*$G$3:$G$165)</f>
        <v/>
      </c>
      <c r="I54" s="11">
        <f>SUMPRODUCT(($D$3:$D$165=D54)*$G$3:$G$165*$F$3:$F$165)/SUMPRODUCT(($D$3:$D$165=D54)*$G$3:$G$165)</f>
        <v/>
      </c>
      <c r="J54" s="11">
        <f>SUMPRODUCT(($C$3:$C$165=C54)*$G$3:$G$165*$F$3:$F$165)/SUMPRODUCT(($C$3:$C$165=C54)*$G$3:$G$165)</f>
        <v/>
      </c>
      <c r="K54" s="21">
        <f>I54/J54</f>
        <v/>
      </c>
      <c r="L54" s="21">
        <f>H54/I54</f>
        <v/>
      </c>
      <c r="M54" s="21">
        <f>F54/H54</f>
        <v/>
      </c>
      <c r="N54" s="22">
        <f>INDEX('4_UK_L1_Input'!$C$4:$C$14,MATCH($C54,'4_UK_L1_Input'!$A$4:$A$14,0))*K54*L54*M54</f>
        <v/>
      </c>
      <c r="O54" s="22">
        <f>INDEX('4_UK_L1_Input'!$D$4:$D$14,MATCH($C54,'4_UK_L1_Input'!$A$4:$A$14,0))*K54*L54*M54</f>
        <v/>
      </c>
      <c r="P54" s="15" t="n">
        <v>127580000</v>
      </c>
      <c r="Q54" s="15" t="n">
        <v>86990000</v>
      </c>
      <c r="R54" s="16" t="n">
        <v>8.119999999999999</v>
      </c>
      <c r="S54" s="11">
        <f>IFERROR(SUMPRODUCT(($E$3:$E$165=E54)*ISNUMBER($P$3:$P$165)*$P$3:$P$165*$F$3:$F$165)/SUMPRODUCT(($E$3:$E$165=E54)*ISNUMBER($P$3:$P$165)*$P$3:$P$165),"")</f>
        <v/>
      </c>
      <c r="T54" s="11">
        <f>IFERROR(SUMPRODUCT(($D$3:$D$165=D54)*ISNUMBER($P$3:$P$165)*$P$3:$P$165*$F$3:$F$165)/SUMPRODUCT(($D$3:$D$165=D54)*ISNUMBER($P$3:$P$165)*$P$3:$P$165),"")</f>
        <v/>
      </c>
      <c r="U54" s="11">
        <f>IFERROR(SUMPRODUCT(($C$3:$C$165=C54)*ISNUMBER($P$3:$P$165)*$P$3:$P$165*$F$3:$F$165)/SUMPRODUCT(($C$3:$C$165=C54)*ISNUMBER($P$3:$P$165)*$P$3:$P$165),"")</f>
        <v/>
      </c>
      <c r="V54" s="21">
        <f>IF(OR(T54="",U54=""),"",T54/U54)</f>
        <v/>
      </c>
      <c r="W54" s="21">
        <f>IF(OR(S54="",T54=""),"",S54/T54)</f>
        <v/>
      </c>
      <c r="X54" s="21">
        <f>IF(S54="","",F54/S54)</f>
        <v/>
      </c>
      <c r="Y54" s="22">
        <f>IF(V54="",N54,INDEX('4_UK_L1_Input'!$C$4:$C$14,MATCH($C54,'4_UK_L1_Input'!$A$4:$A$14,0))*V54*W54*X54)</f>
        <v/>
      </c>
      <c r="Z54" s="7">
        <f>IF(V54="","BETA FALLBACK","REAL (Bloomberg UK)")</f>
        <v/>
      </c>
      <c r="AA54" s="21">
        <f>IFERROR(SUMPRODUCT(($C$3:$C$165=C54)*ISNUMBER($R$3:$R$165)*$Q$3:$Q$165*IF(ISNUMBER($R$3:$R$165),$R$3:$R$165,0))/SUMPRODUCT(($C$3:$C$165=C54)*ISNUMBER($R$3:$R$165)*$Q$3:$Q$165),"")</f>
        <v/>
      </c>
      <c r="AB54" s="21">
        <f>IF(OR(R54="",AA54=""),"",R54/AA54)</f>
        <v/>
      </c>
      <c r="AC54" s="22">
        <f>IF(AB54="",O54,INDEX('4_UK_L1_Input'!$D$4:$D$14,MATCH($C54,'4_UK_L1_Input'!$A$4:$A$14,0))*AB54)</f>
        <v/>
      </c>
      <c r="AD54" s="7">
        <f>IF(AB54="","BETA FALLBACK","REAL (Bloomberg UK)")</f>
        <v/>
      </c>
      <c r="AE54" s="23">
        <f>Y54-N54</f>
        <v/>
      </c>
      <c r="AF54" s="23">
        <f>AC54-O54</f>
        <v/>
      </c>
    </row>
    <row r="55">
      <c r="A55" s="7" t="n">
        <v>25101020</v>
      </c>
      <c r="B55" s="7" t="inlineStr">
        <is>
          <t>Tires &amp; Rubber</t>
        </is>
      </c>
      <c r="C55" s="7" t="n">
        <v>25</v>
      </c>
      <c r="D55" s="7" t="n">
        <v>2510</v>
      </c>
      <c r="E55" s="7" t="n">
        <v>251010</v>
      </c>
      <c r="F55" s="7" t="n">
        <v>0.728673</v>
      </c>
      <c r="G55" s="7" t="n">
        <v>1</v>
      </c>
      <c r="H55" s="11">
        <f>SUMPRODUCT(($E$3:$E$165=E55)*$G$3:$G$165*$F$3:$F$165)/SUMPRODUCT(($E$3:$E$165=E55)*$G$3:$G$165)</f>
        <v/>
      </c>
      <c r="I55" s="11">
        <f>SUMPRODUCT(($D$3:$D$165=D55)*$G$3:$G$165*$F$3:$F$165)/SUMPRODUCT(($D$3:$D$165=D55)*$G$3:$G$165)</f>
        <v/>
      </c>
      <c r="J55" s="11">
        <f>SUMPRODUCT(($C$3:$C$165=C55)*$G$3:$G$165*$F$3:$F$165)/SUMPRODUCT(($C$3:$C$165=C55)*$G$3:$G$165)</f>
        <v/>
      </c>
      <c r="K55" s="21">
        <f>I55/J55</f>
        <v/>
      </c>
      <c r="L55" s="21">
        <f>H55/I55</f>
        <v/>
      </c>
      <c r="M55" s="21">
        <f>F55/H55</f>
        <v/>
      </c>
      <c r="N55" s="22">
        <f>INDEX('4_UK_L1_Input'!$C$4:$C$14,MATCH($C55,'4_UK_L1_Input'!$A$4:$A$14,0))*K55*L55*M55</f>
        <v/>
      </c>
      <c r="O55" s="22">
        <f>INDEX('4_UK_L1_Input'!$D$4:$D$14,MATCH($C55,'4_UK_L1_Input'!$A$4:$A$14,0))*K55*L55*M55</f>
        <v/>
      </c>
      <c r="P55" s="14" t="n"/>
      <c r="Q55" s="14" t="n"/>
      <c r="R55" s="14" t="n"/>
      <c r="S55" s="11">
        <f>IFERROR(SUMPRODUCT(($E$3:$E$165=E55)*ISNUMBER($P$3:$P$165)*$P$3:$P$165*$F$3:$F$165)/SUMPRODUCT(($E$3:$E$165=E55)*ISNUMBER($P$3:$P$165)*$P$3:$P$165),"")</f>
        <v/>
      </c>
      <c r="T55" s="11">
        <f>IFERROR(SUMPRODUCT(($D$3:$D$165=D55)*ISNUMBER($P$3:$P$165)*$P$3:$P$165*$F$3:$F$165)/SUMPRODUCT(($D$3:$D$165=D55)*ISNUMBER($P$3:$P$165)*$P$3:$P$165),"")</f>
        <v/>
      </c>
      <c r="U55" s="11">
        <f>IFERROR(SUMPRODUCT(($C$3:$C$165=C55)*ISNUMBER($P$3:$P$165)*$P$3:$P$165*$F$3:$F$165)/SUMPRODUCT(($C$3:$C$165=C55)*ISNUMBER($P$3:$P$165)*$P$3:$P$165),"")</f>
        <v/>
      </c>
      <c r="V55" s="21">
        <f>IF(OR(T55="",U55=""),"",T55/U55)</f>
        <v/>
      </c>
      <c r="W55" s="21">
        <f>IF(OR(S55="",T55=""),"",S55/T55)</f>
        <v/>
      </c>
      <c r="X55" s="21">
        <f>IF(S55="","",F55/S55)</f>
        <v/>
      </c>
      <c r="Y55" s="22">
        <f>IF(V55="",N55,INDEX('4_UK_L1_Input'!$C$4:$C$14,MATCH($C55,'4_UK_L1_Input'!$A$4:$A$14,0))*V55*W55*X55)</f>
        <v/>
      </c>
      <c r="Z55" s="7">
        <f>IF(V55="","BETA FALLBACK","REAL (Bloomberg UK)")</f>
        <v/>
      </c>
      <c r="AA55" s="21">
        <f>IFERROR(SUMPRODUCT(($C$3:$C$165=C55)*ISNUMBER($R$3:$R$165)*$Q$3:$Q$165*IF(ISNUMBER($R$3:$R$165),$R$3:$R$165,0))/SUMPRODUCT(($C$3:$C$165=C55)*ISNUMBER($R$3:$R$165)*$Q$3:$Q$165),"")</f>
        <v/>
      </c>
      <c r="AB55" s="21">
        <f>IF(OR(R55="",AA55=""),"",R55/AA55)</f>
        <v/>
      </c>
      <c r="AC55" s="22">
        <f>IF(AB55="",O55,INDEX('4_UK_L1_Input'!$D$4:$D$14,MATCH($C55,'4_UK_L1_Input'!$A$4:$A$14,0))*AB55)</f>
        <v/>
      </c>
      <c r="AD55" s="7">
        <f>IF(AB55="","BETA FALLBACK","REAL (Bloomberg UK)")</f>
        <v/>
      </c>
      <c r="AE55" s="23">
        <f>Y55-N55</f>
        <v/>
      </c>
      <c r="AF55" s="23">
        <f>AC55-O55</f>
        <v/>
      </c>
    </row>
    <row r="56">
      <c r="A56" s="7" t="n">
        <v>25102010</v>
      </c>
      <c r="B56" s="7" t="inlineStr">
        <is>
          <t>Automobile Manufacturers</t>
        </is>
      </c>
      <c r="C56" s="7" t="n">
        <v>25</v>
      </c>
      <c r="D56" s="7" t="n">
        <v>2510</v>
      </c>
      <c r="E56" s="7" t="n">
        <v>251020</v>
      </c>
      <c r="F56" s="7" t="n">
        <v>1.213468</v>
      </c>
      <c r="G56" s="7" t="n">
        <v>1</v>
      </c>
      <c r="H56" s="11">
        <f>SUMPRODUCT(($E$3:$E$165=E56)*$G$3:$G$165*$F$3:$F$165)/SUMPRODUCT(($E$3:$E$165=E56)*$G$3:$G$165)</f>
        <v/>
      </c>
      <c r="I56" s="11">
        <f>SUMPRODUCT(($D$3:$D$165=D56)*$G$3:$G$165*$F$3:$F$165)/SUMPRODUCT(($D$3:$D$165=D56)*$G$3:$G$165)</f>
        <v/>
      </c>
      <c r="J56" s="11">
        <f>SUMPRODUCT(($C$3:$C$165=C56)*$G$3:$G$165*$F$3:$F$165)/SUMPRODUCT(($C$3:$C$165=C56)*$G$3:$G$165)</f>
        <v/>
      </c>
      <c r="K56" s="21">
        <f>I56/J56</f>
        <v/>
      </c>
      <c r="L56" s="21">
        <f>H56/I56</f>
        <v/>
      </c>
      <c r="M56" s="21">
        <f>F56/H56</f>
        <v/>
      </c>
      <c r="N56" s="22">
        <f>INDEX('4_UK_L1_Input'!$C$4:$C$14,MATCH($C56,'4_UK_L1_Input'!$A$4:$A$14,0))*K56*L56*M56</f>
        <v/>
      </c>
      <c r="O56" s="22">
        <f>INDEX('4_UK_L1_Input'!$D$4:$D$14,MATCH($C56,'4_UK_L1_Input'!$A$4:$A$14,0))*K56*L56*M56</f>
        <v/>
      </c>
      <c r="P56" s="15" t="n">
        <v>1430000000</v>
      </c>
      <c r="Q56" s="15" t="n">
        <v>357390000</v>
      </c>
      <c r="R56" s="16" t="n">
        <v>6.3</v>
      </c>
      <c r="S56" s="11">
        <f>IFERROR(SUMPRODUCT(($E$3:$E$165=E56)*ISNUMBER($P$3:$P$165)*$P$3:$P$165*$F$3:$F$165)/SUMPRODUCT(($E$3:$E$165=E56)*ISNUMBER($P$3:$P$165)*$P$3:$P$165),"")</f>
        <v/>
      </c>
      <c r="T56" s="11">
        <f>IFERROR(SUMPRODUCT(($D$3:$D$165=D56)*ISNUMBER($P$3:$P$165)*$P$3:$P$165*$F$3:$F$165)/SUMPRODUCT(($D$3:$D$165=D56)*ISNUMBER($P$3:$P$165)*$P$3:$P$165),"")</f>
        <v/>
      </c>
      <c r="U56" s="11">
        <f>IFERROR(SUMPRODUCT(($C$3:$C$165=C56)*ISNUMBER($P$3:$P$165)*$P$3:$P$165*$F$3:$F$165)/SUMPRODUCT(($C$3:$C$165=C56)*ISNUMBER($P$3:$P$165)*$P$3:$P$165),"")</f>
        <v/>
      </c>
      <c r="V56" s="21">
        <f>IF(OR(T56="",U56=""),"",T56/U56)</f>
        <v/>
      </c>
      <c r="W56" s="21">
        <f>IF(OR(S56="",T56=""),"",S56/T56)</f>
        <v/>
      </c>
      <c r="X56" s="21">
        <f>IF(S56="","",F56/S56)</f>
        <v/>
      </c>
      <c r="Y56" s="22">
        <f>IF(V56="",N56,INDEX('4_UK_L1_Input'!$C$4:$C$14,MATCH($C56,'4_UK_L1_Input'!$A$4:$A$14,0))*V56*W56*X56)</f>
        <v/>
      </c>
      <c r="Z56" s="7">
        <f>IF(V56="","BETA FALLBACK","REAL (Bloomberg UK)")</f>
        <v/>
      </c>
      <c r="AA56" s="21">
        <f>IFERROR(SUMPRODUCT(($C$3:$C$165=C56)*ISNUMBER($R$3:$R$165)*$Q$3:$Q$165*IF(ISNUMBER($R$3:$R$165),$R$3:$R$165,0))/SUMPRODUCT(($C$3:$C$165=C56)*ISNUMBER($R$3:$R$165)*$Q$3:$Q$165),"")</f>
        <v/>
      </c>
      <c r="AB56" s="21">
        <f>IF(OR(R56="",AA56=""),"",R56/AA56)</f>
        <v/>
      </c>
      <c r="AC56" s="22">
        <f>IF(AB56="",O56,INDEX('4_UK_L1_Input'!$D$4:$D$14,MATCH($C56,'4_UK_L1_Input'!$A$4:$A$14,0))*AB56)</f>
        <v/>
      </c>
      <c r="AD56" s="7">
        <f>IF(AB56="","BETA FALLBACK","REAL (Bloomberg UK)")</f>
        <v/>
      </c>
      <c r="AE56" s="23">
        <f>Y56-N56</f>
        <v/>
      </c>
      <c r="AF56" s="23">
        <f>AC56-O56</f>
        <v/>
      </c>
    </row>
    <row r="57">
      <c r="A57" s="7" t="n">
        <v>25102020</v>
      </c>
      <c r="B57" s="7" t="inlineStr">
        <is>
          <t>Motorcycle Manufacturers</t>
        </is>
      </c>
      <c r="C57" s="7" t="n">
        <v>25</v>
      </c>
      <c r="D57" s="7" t="n">
        <v>2510</v>
      </c>
      <c r="E57" s="7" t="n">
        <v>251020</v>
      </c>
      <c r="F57" s="7" t="n">
        <v>1.213468</v>
      </c>
      <c r="G57" s="7" t="n">
        <v>1</v>
      </c>
      <c r="H57" s="11">
        <f>SUMPRODUCT(($E$3:$E$165=E57)*$G$3:$G$165*$F$3:$F$165)/SUMPRODUCT(($E$3:$E$165=E57)*$G$3:$G$165)</f>
        <v/>
      </c>
      <c r="I57" s="11">
        <f>SUMPRODUCT(($D$3:$D$165=D57)*$G$3:$G$165*$F$3:$F$165)/SUMPRODUCT(($D$3:$D$165=D57)*$G$3:$G$165)</f>
        <v/>
      </c>
      <c r="J57" s="11">
        <f>SUMPRODUCT(($C$3:$C$165=C57)*$G$3:$G$165*$F$3:$F$165)/SUMPRODUCT(($C$3:$C$165=C57)*$G$3:$G$165)</f>
        <v/>
      </c>
      <c r="K57" s="21">
        <f>I57/J57</f>
        <v/>
      </c>
      <c r="L57" s="21">
        <f>H57/I57</f>
        <v/>
      </c>
      <c r="M57" s="21">
        <f>F57/H57</f>
        <v/>
      </c>
      <c r="N57" s="22">
        <f>INDEX('4_UK_L1_Input'!$C$4:$C$14,MATCH($C57,'4_UK_L1_Input'!$A$4:$A$14,0))*K57*L57*M57</f>
        <v/>
      </c>
      <c r="O57" s="22">
        <f>INDEX('4_UK_L1_Input'!$D$4:$D$14,MATCH($C57,'4_UK_L1_Input'!$A$4:$A$14,0))*K57*L57*M57</f>
        <v/>
      </c>
      <c r="P57" s="14" t="n"/>
      <c r="Q57" s="15" t="n">
        <v>651000</v>
      </c>
      <c r="R57" s="14" t="n"/>
      <c r="S57" s="11">
        <f>IFERROR(SUMPRODUCT(($E$3:$E$165=E57)*ISNUMBER($P$3:$P$165)*$P$3:$P$165*$F$3:$F$165)/SUMPRODUCT(($E$3:$E$165=E57)*ISNUMBER($P$3:$P$165)*$P$3:$P$165),"")</f>
        <v/>
      </c>
      <c r="T57" s="11">
        <f>IFERROR(SUMPRODUCT(($D$3:$D$165=D57)*ISNUMBER($P$3:$P$165)*$P$3:$P$165*$F$3:$F$165)/SUMPRODUCT(($D$3:$D$165=D57)*ISNUMBER($P$3:$P$165)*$P$3:$P$165),"")</f>
        <v/>
      </c>
      <c r="U57" s="11">
        <f>IFERROR(SUMPRODUCT(($C$3:$C$165=C57)*ISNUMBER($P$3:$P$165)*$P$3:$P$165*$F$3:$F$165)/SUMPRODUCT(($C$3:$C$165=C57)*ISNUMBER($P$3:$P$165)*$P$3:$P$165),"")</f>
        <v/>
      </c>
      <c r="V57" s="21">
        <f>IF(OR(T57="",U57=""),"",T57/U57)</f>
        <v/>
      </c>
      <c r="W57" s="21">
        <f>IF(OR(S57="",T57=""),"",S57/T57)</f>
        <v/>
      </c>
      <c r="X57" s="21">
        <f>IF(S57="","",F57/S57)</f>
        <v/>
      </c>
      <c r="Y57" s="22">
        <f>IF(V57="",N57,INDEX('4_UK_L1_Input'!$C$4:$C$14,MATCH($C57,'4_UK_L1_Input'!$A$4:$A$14,0))*V57*W57*X57)</f>
        <v/>
      </c>
      <c r="Z57" s="7">
        <f>IF(V57="","BETA FALLBACK","REAL (Bloomberg UK)")</f>
        <v/>
      </c>
      <c r="AA57" s="21">
        <f>IFERROR(SUMPRODUCT(($C$3:$C$165=C57)*ISNUMBER($R$3:$R$165)*$Q$3:$Q$165*IF(ISNUMBER($R$3:$R$165),$R$3:$R$165,0))/SUMPRODUCT(($C$3:$C$165=C57)*ISNUMBER($R$3:$R$165)*$Q$3:$Q$165),"")</f>
        <v/>
      </c>
      <c r="AB57" s="21">
        <f>IF(OR(R57="",AA57=""),"",R57/AA57)</f>
        <v/>
      </c>
      <c r="AC57" s="22">
        <f>IF(AB57="",O57,INDEX('4_UK_L1_Input'!$D$4:$D$14,MATCH($C57,'4_UK_L1_Input'!$A$4:$A$14,0))*AB57)</f>
        <v/>
      </c>
      <c r="AD57" s="7">
        <f>IF(AB57="","BETA FALLBACK","REAL (Bloomberg UK)")</f>
        <v/>
      </c>
      <c r="AE57" s="23">
        <f>Y57-N57</f>
        <v/>
      </c>
      <c r="AF57" s="23">
        <f>AC57-O57</f>
        <v/>
      </c>
    </row>
    <row r="58">
      <c r="A58" s="7" t="n">
        <v>25201010</v>
      </c>
      <c r="B58" s="7" t="inlineStr">
        <is>
          <t>Consumer Electronics</t>
        </is>
      </c>
      <c r="C58" s="7" t="n">
        <v>25</v>
      </c>
      <c r="D58" s="7" t="n">
        <v>2520</v>
      </c>
      <c r="E58" s="7" t="n">
        <v>252010</v>
      </c>
      <c r="F58" s="7" t="n">
        <v>0.912705</v>
      </c>
      <c r="G58" s="7" t="n">
        <v>1</v>
      </c>
      <c r="H58" s="11">
        <f>SUMPRODUCT(($E$3:$E$165=E58)*$G$3:$G$165*$F$3:$F$165)/SUMPRODUCT(($E$3:$E$165=E58)*$G$3:$G$165)</f>
        <v/>
      </c>
      <c r="I58" s="11">
        <f>SUMPRODUCT(($D$3:$D$165=D58)*$G$3:$G$165*$F$3:$F$165)/SUMPRODUCT(($D$3:$D$165=D58)*$G$3:$G$165)</f>
        <v/>
      </c>
      <c r="J58" s="11">
        <f>SUMPRODUCT(($C$3:$C$165=C58)*$G$3:$G$165*$F$3:$F$165)/SUMPRODUCT(($C$3:$C$165=C58)*$G$3:$G$165)</f>
        <v/>
      </c>
      <c r="K58" s="21">
        <f>I58/J58</f>
        <v/>
      </c>
      <c r="L58" s="21">
        <f>H58/I58</f>
        <v/>
      </c>
      <c r="M58" s="21">
        <f>F58/H58</f>
        <v/>
      </c>
      <c r="N58" s="22">
        <f>INDEX('4_UK_L1_Input'!$C$4:$C$14,MATCH($C58,'4_UK_L1_Input'!$A$4:$A$14,0))*K58*L58*M58</f>
        <v/>
      </c>
      <c r="O58" s="22">
        <f>INDEX('4_UK_L1_Input'!$D$4:$D$14,MATCH($C58,'4_UK_L1_Input'!$A$4:$A$14,0))*K58*L58*M58</f>
        <v/>
      </c>
      <c r="P58" s="15" t="n">
        <v>196060000</v>
      </c>
      <c r="Q58" s="15" t="n">
        <v>117000000</v>
      </c>
      <c r="R58" s="16" t="n">
        <v>7.26</v>
      </c>
      <c r="S58" s="11">
        <f>IFERROR(SUMPRODUCT(($E$3:$E$165=E58)*ISNUMBER($P$3:$P$165)*$P$3:$P$165*$F$3:$F$165)/SUMPRODUCT(($E$3:$E$165=E58)*ISNUMBER($P$3:$P$165)*$P$3:$P$165),"")</f>
        <v/>
      </c>
      <c r="T58" s="11">
        <f>IFERROR(SUMPRODUCT(($D$3:$D$165=D58)*ISNUMBER($P$3:$P$165)*$P$3:$P$165*$F$3:$F$165)/SUMPRODUCT(($D$3:$D$165=D58)*ISNUMBER($P$3:$P$165)*$P$3:$P$165),"")</f>
        <v/>
      </c>
      <c r="U58" s="11">
        <f>IFERROR(SUMPRODUCT(($C$3:$C$165=C58)*ISNUMBER($P$3:$P$165)*$P$3:$P$165*$F$3:$F$165)/SUMPRODUCT(($C$3:$C$165=C58)*ISNUMBER($P$3:$P$165)*$P$3:$P$165),"")</f>
        <v/>
      </c>
      <c r="V58" s="21">
        <f>IF(OR(T58="",U58=""),"",T58/U58)</f>
        <v/>
      </c>
      <c r="W58" s="21">
        <f>IF(OR(S58="",T58=""),"",S58/T58)</f>
        <v/>
      </c>
      <c r="X58" s="21">
        <f>IF(S58="","",F58/S58)</f>
        <v/>
      </c>
      <c r="Y58" s="22">
        <f>IF(V58="",N58,INDEX('4_UK_L1_Input'!$C$4:$C$14,MATCH($C58,'4_UK_L1_Input'!$A$4:$A$14,0))*V58*W58*X58)</f>
        <v/>
      </c>
      <c r="Z58" s="7">
        <f>IF(V58="","BETA FALLBACK","REAL (Bloomberg UK)")</f>
        <v/>
      </c>
      <c r="AA58" s="21">
        <f>IFERROR(SUMPRODUCT(($C$3:$C$165=C58)*ISNUMBER($R$3:$R$165)*$Q$3:$Q$165*IF(ISNUMBER($R$3:$R$165),$R$3:$R$165,0))/SUMPRODUCT(($C$3:$C$165=C58)*ISNUMBER($R$3:$R$165)*$Q$3:$Q$165),"")</f>
        <v/>
      </c>
      <c r="AB58" s="21">
        <f>IF(OR(R58="",AA58=""),"",R58/AA58)</f>
        <v/>
      </c>
      <c r="AC58" s="22">
        <f>IF(AB58="",O58,INDEX('4_UK_L1_Input'!$D$4:$D$14,MATCH($C58,'4_UK_L1_Input'!$A$4:$A$14,0))*AB58)</f>
        <v/>
      </c>
      <c r="AD58" s="7">
        <f>IF(AB58="","BETA FALLBACK","REAL (Bloomberg UK)")</f>
        <v/>
      </c>
      <c r="AE58" s="23">
        <f>Y58-N58</f>
        <v/>
      </c>
      <c r="AF58" s="23">
        <f>AC58-O58</f>
        <v/>
      </c>
    </row>
    <row r="59">
      <c r="A59" s="7" t="n">
        <v>25201020</v>
      </c>
      <c r="B59" s="7" t="inlineStr">
        <is>
          <t>Home Furnishings</t>
        </is>
      </c>
      <c r="C59" s="7" t="n">
        <v>25</v>
      </c>
      <c r="D59" s="7" t="n">
        <v>2520</v>
      </c>
      <c r="E59" s="7" t="n">
        <v>252010</v>
      </c>
      <c r="F59" s="7" t="n">
        <v>0.719384</v>
      </c>
      <c r="G59" s="7" t="n">
        <v>1</v>
      </c>
      <c r="H59" s="11">
        <f>SUMPRODUCT(($E$3:$E$165=E59)*$G$3:$G$165*$F$3:$F$165)/SUMPRODUCT(($E$3:$E$165=E59)*$G$3:$G$165)</f>
        <v/>
      </c>
      <c r="I59" s="11">
        <f>SUMPRODUCT(($D$3:$D$165=D59)*$G$3:$G$165*$F$3:$F$165)/SUMPRODUCT(($D$3:$D$165=D59)*$G$3:$G$165)</f>
        <v/>
      </c>
      <c r="J59" s="11">
        <f>SUMPRODUCT(($C$3:$C$165=C59)*$G$3:$G$165*$F$3:$F$165)/SUMPRODUCT(($C$3:$C$165=C59)*$G$3:$G$165)</f>
        <v/>
      </c>
      <c r="K59" s="21">
        <f>I59/J59</f>
        <v/>
      </c>
      <c r="L59" s="21">
        <f>H59/I59</f>
        <v/>
      </c>
      <c r="M59" s="21">
        <f>F59/H59</f>
        <v/>
      </c>
      <c r="N59" s="22">
        <f>INDEX('4_UK_L1_Input'!$C$4:$C$14,MATCH($C59,'4_UK_L1_Input'!$A$4:$A$14,0))*K59*L59*M59</f>
        <v/>
      </c>
      <c r="O59" s="22">
        <f>INDEX('4_UK_L1_Input'!$D$4:$D$14,MATCH($C59,'4_UK_L1_Input'!$A$4:$A$14,0))*K59*L59*M59</f>
        <v/>
      </c>
      <c r="P59" s="15" t="n">
        <v>321410000</v>
      </c>
      <c r="Q59" s="15" t="n">
        <v>52820000</v>
      </c>
      <c r="R59" s="16" t="n">
        <v>6.76</v>
      </c>
      <c r="S59" s="11">
        <f>IFERROR(SUMPRODUCT(($E$3:$E$165=E59)*ISNUMBER($P$3:$P$165)*$P$3:$P$165*$F$3:$F$165)/SUMPRODUCT(($E$3:$E$165=E59)*ISNUMBER($P$3:$P$165)*$P$3:$P$165),"")</f>
        <v/>
      </c>
      <c r="T59" s="11">
        <f>IFERROR(SUMPRODUCT(($D$3:$D$165=D59)*ISNUMBER($P$3:$P$165)*$P$3:$P$165*$F$3:$F$165)/SUMPRODUCT(($D$3:$D$165=D59)*ISNUMBER($P$3:$P$165)*$P$3:$P$165),"")</f>
        <v/>
      </c>
      <c r="U59" s="11">
        <f>IFERROR(SUMPRODUCT(($C$3:$C$165=C59)*ISNUMBER($P$3:$P$165)*$P$3:$P$165*$F$3:$F$165)/SUMPRODUCT(($C$3:$C$165=C59)*ISNUMBER($P$3:$P$165)*$P$3:$P$165),"")</f>
        <v/>
      </c>
      <c r="V59" s="21">
        <f>IF(OR(T59="",U59=""),"",T59/U59)</f>
        <v/>
      </c>
      <c r="W59" s="21">
        <f>IF(OR(S59="",T59=""),"",S59/T59)</f>
        <v/>
      </c>
      <c r="X59" s="21">
        <f>IF(S59="","",F59/S59)</f>
        <v/>
      </c>
      <c r="Y59" s="22">
        <f>IF(V59="",N59,INDEX('4_UK_L1_Input'!$C$4:$C$14,MATCH($C59,'4_UK_L1_Input'!$A$4:$A$14,0))*V59*W59*X59)</f>
        <v/>
      </c>
      <c r="Z59" s="7">
        <f>IF(V59="","BETA FALLBACK","REAL (Bloomberg UK)")</f>
        <v/>
      </c>
      <c r="AA59" s="21">
        <f>IFERROR(SUMPRODUCT(($C$3:$C$165=C59)*ISNUMBER($R$3:$R$165)*$Q$3:$Q$165*IF(ISNUMBER($R$3:$R$165),$R$3:$R$165,0))/SUMPRODUCT(($C$3:$C$165=C59)*ISNUMBER($R$3:$R$165)*$Q$3:$Q$165),"")</f>
        <v/>
      </c>
      <c r="AB59" s="21">
        <f>IF(OR(R59="",AA59=""),"",R59/AA59)</f>
        <v/>
      </c>
      <c r="AC59" s="22">
        <f>IF(AB59="",O59,INDEX('4_UK_L1_Input'!$D$4:$D$14,MATCH($C59,'4_UK_L1_Input'!$A$4:$A$14,0))*AB59)</f>
        <v/>
      </c>
      <c r="AD59" s="7">
        <f>IF(AB59="","BETA FALLBACK","REAL (Bloomberg UK)")</f>
        <v/>
      </c>
      <c r="AE59" s="23">
        <f>Y59-N59</f>
        <v/>
      </c>
      <c r="AF59" s="23">
        <f>AC59-O59</f>
        <v/>
      </c>
    </row>
    <row r="60">
      <c r="A60" s="7" t="n">
        <v>25201030</v>
      </c>
      <c r="B60" s="7" t="inlineStr">
        <is>
          <t>Homebuilding</t>
        </is>
      </c>
      <c r="C60" s="7" t="n">
        <v>25</v>
      </c>
      <c r="D60" s="7" t="n">
        <v>2520</v>
      </c>
      <c r="E60" s="7" t="n">
        <v>252010</v>
      </c>
      <c r="F60" s="7" t="n">
        <v>0.865159</v>
      </c>
      <c r="G60" s="7" t="n">
        <v>1</v>
      </c>
      <c r="H60" s="11">
        <f>SUMPRODUCT(($E$3:$E$165=E60)*$G$3:$G$165*$F$3:$F$165)/SUMPRODUCT(($E$3:$E$165=E60)*$G$3:$G$165)</f>
        <v/>
      </c>
      <c r="I60" s="11">
        <f>SUMPRODUCT(($D$3:$D$165=D60)*$G$3:$G$165*$F$3:$F$165)/SUMPRODUCT(($D$3:$D$165=D60)*$G$3:$G$165)</f>
        <v/>
      </c>
      <c r="J60" s="11">
        <f>SUMPRODUCT(($C$3:$C$165=C60)*$G$3:$G$165*$F$3:$F$165)/SUMPRODUCT(($C$3:$C$165=C60)*$G$3:$G$165)</f>
        <v/>
      </c>
      <c r="K60" s="21">
        <f>I60/J60</f>
        <v/>
      </c>
      <c r="L60" s="21">
        <f>H60/I60</f>
        <v/>
      </c>
      <c r="M60" s="21">
        <f>F60/H60</f>
        <v/>
      </c>
      <c r="N60" s="22">
        <f>INDEX('4_UK_L1_Input'!$C$4:$C$14,MATCH($C60,'4_UK_L1_Input'!$A$4:$A$14,0))*K60*L60*M60</f>
        <v/>
      </c>
      <c r="O60" s="22">
        <f>INDEX('4_UK_L1_Input'!$D$4:$D$14,MATCH($C60,'4_UK_L1_Input'!$A$4:$A$14,0))*K60*L60*M60</f>
        <v/>
      </c>
      <c r="P60" s="15" t="n">
        <v>2020000000</v>
      </c>
      <c r="Q60" s="15" t="n">
        <v>1550000000</v>
      </c>
      <c r="R60" s="16" t="n">
        <v>7.39</v>
      </c>
      <c r="S60" s="11">
        <f>IFERROR(SUMPRODUCT(($E$3:$E$165=E60)*ISNUMBER($P$3:$P$165)*$P$3:$P$165*$F$3:$F$165)/SUMPRODUCT(($E$3:$E$165=E60)*ISNUMBER($P$3:$P$165)*$P$3:$P$165),"")</f>
        <v/>
      </c>
      <c r="T60" s="11">
        <f>IFERROR(SUMPRODUCT(($D$3:$D$165=D60)*ISNUMBER($P$3:$P$165)*$P$3:$P$165*$F$3:$F$165)/SUMPRODUCT(($D$3:$D$165=D60)*ISNUMBER($P$3:$P$165)*$P$3:$P$165),"")</f>
        <v/>
      </c>
      <c r="U60" s="11">
        <f>IFERROR(SUMPRODUCT(($C$3:$C$165=C60)*ISNUMBER($P$3:$P$165)*$P$3:$P$165*$F$3:$F$165)/SUMPRODUCT(($C$3:$C$165=C60)*ISNUMBER($P$3:$P$165)*$P$3:$P$165),"")</f>
        <v/>
      </c>
      <c r="V60" s="21">
        <f>IF(OR(T60="",U60=""),"",T60/U60)</f>
        <v/>
      </c>
      <c r="W60" s="21">
        <f>IF(OR(S60="",T60=""),"",S60/T60)</f>
        <v/>
      </c>
      <c r="X60" s="21">
        <f>IF(S60="","",F60/S60)</f>
        <v/>
      </c>
      <c r="Y60" s="22">
        <f>IF(V60="",N60,INDEX('4_UK_L1_Input'!$C$4:$C$14,MATCH($C60,'4_UK_L1_Input'!$A$4:$A$14,0))*V60*W60*X60)</f>
        <v/>
      </c>
      <c r="Z60" s="7">
        <f>IF(V60="","BETA FALLBACK","REAL (Bloomberg UK)")</f>
        <v/>
      </c>
      <c r="AA60" s="21">
        <f>IFERROR(SUMPRODUCT(($C$3:$C$165=C60)*ISNUMBER($R$3:$R$165)*$Q$3:$Q$165*IF(ISNUMBER($R$3:$R$165),$R$3:$R$165,0))/SUMPRODUCT(($C$3:$C$165=C60)*ISNUMBER($R$3:$R$165)*$Q$3:$Q$165),"")</f>
        <v/>
      </c>
      <c r="AB60" s="21">
        <f>IF(OR(R60="",AA60=""),"",R60/AA60)</f>
        <v/>
      </c>
      <c r="AC60" s="22">
        <f>IF(AB60="",O60,INDEX('4_UK_L1_Input'!$D$4:$D$14,MATCH($C60,'4_UK_L1_Input'!$A$4:$A$14,0))*AB60)</f>
        <v/>
      </c>
      <c r="AD60" s="7">
        <f>IF(AB60="","BETA FALLBACK","REAL (Bloomberg UK)")</f>
        <v/>
      </c>
      <c r="AE60" s="23">
        <f>Y60-N60</f>
        <v/>
      </c>
      <c r="AF60" s="23">
        <f>AC60-O60</f>
        <v/>
      </c>
    </row>
    <row r="61">
      <c r="A61" s="7" t="n">
        <v>25201040</v>
      </c>
      <c r="B61" s="7" t="inlineStr">
        <is>
          <t>Household Appliances</t>
        </is>
      </c>
      <c r="C61" s="7" t="n">
        <v>25</v>
      </c>
      <c r="D61" s="7" t="n">
        <v>2520</v>
      </c>
      <c r="E61" s="7" t="n">
        <v>252010</v>
      </c>
      <c r="F61" s="7" t="n">
        <v>0.719384</v>
      </c>
      <c r="G61" s="7" t="n">
        <v>1</v>
      </c>
      <c r="H61" s="11">
        <f>SUMPRODUCT(($E$3:$E$165=E61)*$G$3:$G$165*$F$3:$F$165)/SUMPRODUCT(($E$3:$E$165=E61)*$G$3:$G$165)</f>
        <v/>
      </c>
      <c r="I61" s="11">
        <f>SUMPRODUCT(($D$3:$D$165=D61)*$G$3:$G$165*$F$3:$F$165)/SUMPRODUCT(($D$3:$D$165=D61)*$G$3:$G$165)</f>
        <v/>
      </c>
      <c r="J61" s="11">
        <f>SUMPRODUCT(($C$3:$C$165=C61)*$G$3:$G$165*$F$3:$F$165)/SUMPRODUCT(($C$3:$C$165=C61)*$G$3:$G$165)</f>
        <v/>
      </c>
      <c r="K61" s="21">
        <f>I61/J61</f>
        <v/>
      </c>
      <c r="L61" s="21">
        <f>H61/I61</f>
        <v/>
      </c>
      <c r="M61" s="21">
        <f>F61/H61</f>
        <v/>
      </c>
      <c r="N61" s="22">
        <f>INDEX('4_UK_L1_Input'!$C$4:$C$14,MATCH($C61,'4_UK_L1_Input'!$A$4:$A$14,0))*K61*L61*M61</f>
        <v/>
      </c>
      <c r="O61" s="22">
        <f>INDEX('4_UK_L1_Input'!$D$4:$D$14,MATCH($C61,'4_UK_L1_Input'!$A$4:$A$14,0))*K61*L61*M61</f>
        <v/>
      </c>
      <c r="P61" s="15" t="n">
        <v>426540000</v>
      </c>
      <c r="Q61" s="15" t="n">
        <v>300730000</v>
      </c>
      <c r="R61" s="16" t="n">
        <v>7.75</v>
      </c>
      <c r="S61" s="11">
        <f>IFERROR(SUMPRODUCT(($E$3:$E$165=E61)*ISNUMBER($P$3:$P$165)*$P$3:$P$165*$F$3:$F$165)/SUMPRODUCT(($E$3:$E$165=E61)*ISNUMBER($P$3:$P$165)*$P$3:$P$165),"")</f>
        <v/>
      </c>
      <c r="T61" s="11">
        <f>IFERROR(SUMPRODUCT(($D$3:$D$165=D61)*ISNUMBER($P$3:$P$165)*$P$3:$P$165*$F$3:$F$165)/SUMPRODUCT(($D$3:$D$165=D61)*ISNUMBER($P$3:$P$165)*$P$3:$P$165),"")</f>
        <v/>
      </c>
      <c r="U61" s="11">
        <f>IFERROR(SUMPRODUCT(($C$3:$C$165=C61)*ISNUMBER($P$3:$P$165)*$P$3:$P$165*$F$3:$F$165)/SUMPRODUCT(($C$3:$C$165=C61)*ISNUMBER($P$3:$P$165)*$P$3:$P$165),"")</f>
        <v/>
      </c>
      <c r="V61" s="21">
        <f>IF(OR(T61="",U61=""),"",T61/U61)</f>
        <v/>
      </c>
      <c r="W61" s="21">
        <f>IF(OR(S61="",T61=""),"",S61/T61)</f>
        <v/>
      </c>
      <c r="X61" s="21">
        <f>IF(S61="","",F61/S61)</f>
        <v/>
      </c>
      <c r="Y61" s="22">
        <f>IF(V61="",N61,INDEX('4_UK_L1_Input'!$C$4:$C$14,MATCH($C61,'4_UK_L1_Input'!$A$4:$A$14,0))*V61*W61*X61)</f>
        <v/>
      </c>
      <c r="Z61" s="7">
        <f>IF(V61="","BETA FALLBACK","REAL (Bloomberg UK)")</f>
        <v/>
      </c>
      <c r="AA61" s="21">
        <f>IFERROR(SUMPRODUCT(($C$3:$C$165=C61)*ISNUMBER($R$3:$R$165)*$Q$3:$Q$165*IF(ISNUMBER($R$3:$R$165),$R$3:$R$165,0))/SUMPRODUCT(($C$3:$C$165=C61)*ISNUMBER($R$3:$R$165)*$Q$3:$Q$165),"")</f>
        <v/>
      </c>
      <c r="AB61" s="21">
        <f>IF(OR(R61="",AA61=""),"",R61/AA61)</f>
        <v/>
      </c>
      <c r="AC61" s="22">
        <f>IF(AB61="",O61,INDEX('4_UK_L1_Input'!$D$4:$D$14,MATCH($C61,'4_UK_L1_Input'!$A$4:$A$14,0))*AB61)</f>
        <v/>
      </c>
      <c r="AD61" s="7">
        <f>IF(AB61="","BETA FALLBACK","REAL (Bloomberg UK)")</f>
        <v/>
      </c>
      <c r="AE61" s="23">
        <f>Y61-N61</f>
        <v/>
      </c>
      <c r="AF61" s="23">
        <f>AC61-O61</f>
        <v/>
      </c>
    </row>
    <row r="62">
      <c r="A62" s="7" t="n">
        <v>25201050</v>
      </c>
      <c r="B62" s="7" t="inlineStr">
        <is>
          <t>Housewares &amp; Specialties</t>
        </is>
      </c>
      <c r="C62" s="7" t="n">
        <v>25</v>
      </c>
      <c r="D62" s="7" t="n">
        <v>2520</v>
      </c>
      <c r="E62" s="7" t="n">
        <v>252010</v>
      </c>
      <c r="F62" s="7" t="n">
        <v>0.719384</v>
      </c>
      <c r="G62" s="7" t="n">
        <v>1</v>
      </c>
      <c r="H62" s="11">
        <f>SUMPRODUCT(($E$3:$E$165=E62)*$G$3:$G$165*$F$3:$F$165)/SUMPRODUCT(($E$3:$E$165=E62)*$G$3:$G$165)</f>
        <v/>
      </c>
      <c r="I62" s="11">
        <f>SUMPRODUCT(($D$3:$D$165=D62)*$G$3:$G$165*$F$3:$F$165)/SUMPRODUCT(($D$3:$D$165=D62)*$G$3:$G$165)</f>
        <v/>
      </c>
      <c r="J62" s="11">
        <f>SUMPRODUCT(($C$3:$C$165=C62)*$G$3:$G$165*$F$3:$F$165)/SUMPRODUCT(($C$3:$C$165=C62)*$G$3:$G$165)</f>
        <v/>
      </c>
      <c r="K62" s="21">
        <f>I62/J62</f>
        <v/>
      </c>
      <c r="L62" s="21">
        <f>H62/I62</f>
        <v/>
      </c>
      <c r="M62" s="21">
        <f>F62/H62</f>
        <v/>
      </c>
      <c r="N62" s="22">
        <f>INDEX('4_UK_L1_Input'!$C$4:$C$14,MATCH($C62,'4_UK_L1_Input'!$A$4:$A$14,0))*K62*L62*M62</f>
        <v/>
      </c>
      <c r="O62" s="22">
        <f>INDEX('4_UK_L1_Input'!$D$4:$D$14,MATCH($C62,'4_UK_L1_Input'!$A$4:$A$14,0))*K62*L62*M62</f>
        <v/>
      </c>
      <c r="P62" s="15" t="n">
        <v>128400000</v>
      </c>
      <c r="Q62" s="15" t="n">
        <v>55210000</v>
      </c>
      <c r="R62" s="16" t="n">
        <v>6.28</v>
      </c>
      <c r="S62" s="11">
        <f>IFERROR(SUMPRODUCT(($E$3:$E$165=E62)*ISNUMBER($P$3:$P$165)*$P$3:$P$165*$F$3:$F$165)/SUMPRODUCT(($E$3:$E$165=E62)*ISNUMBER($P$3:$P$165)*$P$3:$P$165),"")</f>
        <v/>
      </c>
      <c r="T62" s="11">
        <f>IFERROR(SUMPRODUCT(($D$3:$D$165=D62)*ISNUMBER($P$3:$P$165)*$P$3:$P$165*$F$3:$F$165)/SUMPRODUCT(($D$3:$D$165=D62)*ISNUMBER($P$3:$P$165)*$P$3:$P$165),"")</f>
        <v/>
      </c>
      <c r="U62" s="11">
        <f>IFERROR(SUMPRODUCT(($C$3:$C$165=C62)*ISNUMBER($P$3:$P$165)*$P$3:$P$165*$F$3:$F$165)/SUMPRODUCT(($C$3:$C$165=C62)*ISNUMBER($P$3:$P$165)*$P$3:$P$165),"")</f>
        <v/>
      </c>
      <c r="V62" s="21">
        <f>IF(OR(T62="",U62=""),"",T62/U62)</f>
        <v/>
      </c>
      <c r="W62" s="21">
        <f>IF(OR(S62="",T62=""),"",S62/T62)</f>
        <v/>
      </c>
      <c r="X62" s="21">
        <f>IF(S62="","",F62/S62)</f>
        <v/>
      </c>
      <c r="Y62" s="22">
        <f>IF(V62="",N62,INDEX('4_UK_L1_Input'!$C$4:$C$14,MATCH($C62,'4_UK_L1_Input'!$A$4:$A$14,0))*V62*W62*X62)</f>
        <v/>
      </c>
      <c r="Z62" s="7">
        <f>IF(V62="","BETA FALLBACK","REAL (Bloomberg UK)")</f>
        <v/>
      </c>
      <c r="AA62" s="21">
        <f>IFERROR(SUMPRODUCT(($C$3:$C$165=C62)*ISNUMBER($R$3:$R$165)*$Q$3:$Q$165*IF(ISNUMBER($R$3:$R$165),$R$3:$R$165,0))/SUMPRODUCT(($C$3:$C$165=C62)*ISNUMBER($R$3:$R$165)*$Q$3:$Q$165),"")</f>
        <v/>
      </c>
      <c r="AB62" s="21">
        <f>IF(OR(R62="",AA62=""),"",R62/AA62)</f>
        <v/>
      </c>
      <c r="AC62" s="22">
        <f>IF(AB62="",O62,INDEX('4_UK_L1_Input'!$D$4:$D$14,MATCH($C62,'4_UK_L1_Input'!$A$4:$A$14,0))*AB62)</f>
        <v/>
      </c>
      <c r="AD62" s="7">
        <f>IF(AB62="","BETA FALLBACK","REAL (Bloomberg UK)")</f>
        <v/>
      </c>
      <c r="AE62" s="23">
        <f>Y62-N62</f>
        <v/>
      </c>
      <c r="AF62" s="23">
        <f>AC62-O62</f>
        <v/>
      </c>
    </row>
    <row r="63">
      <c r="A63" s="7" t="n">
        <v>25202010</v>
      </c>
      <c r="B63" s="7" t="inlineStr">
        <is>
          <t>Leisure Products</t>
        </is>
      </c>
      <c r="C63" s="7" t="n">
        <v>25</v>
      </c>
      <c r="D63" s="7" t="n">
        <v>2520</v>
      </c>
      <c r="E63" s="7" t="n">
        <v>252020</v>
      </c>
      <c r="F63" s="7" t="n">
        <v>0.764375</v>
      </c>
      <c r="G63" s="7" t="n">
        <v>1</v>
      </c>
      <c r="H63" s="11">
        <f>SUMPRODUCT(($E$3:$E$165=E63)*$G$3:$G$165*$F$3:$F$165)/SUMPRODUCT(($E$3:$E$165=E63)*$G$3:$G$165)</f>
        <v/>
      </c>
      <c r="I63" s="11">
        <f>SUMPRODUCT(($D$3:$D$165=D63)*$G$3:$G$165*$F$3:$F$165)/SUMPRODUCT(($D$3:$D$165=D63)*$G$3:$G$165)</f>
        <v/>
      </c>
      <c r="J63" s="11">
        <f>SUMPRODUCT(($C$3:$C$165=C63)*$G$3:$G$165*$F$3:$F$165)/SUMPRODUCT(($C$3:$C$165=C63)*$G$3:$G$165)</f>
        <v/>
      </c>
      <c r="K63" s="21">
        <f>I63/J63</f>
        <v/>
      </c>
      <c r="L63" s="21">
        <f>H63/I63</f>
        <v/>
      </c>
      <c r="M63" s="21">
        <f>F63/H63</f>
        <v/>
      </c>
      <c r="N63" s="22">
        <f>INDEX('4_UK_L1_Input'!$C$4:$C$14,MATCH($C63,'4_UK_L1_Input'!$A$4:$A$14,0))*K63*L63*M63</f>
        <v/>
      </c>
      <c r="O63" s="22">
        <f>INDEX('4_UK_L1_Input'!$D$4:$D$14,MATCH($C63,'4_UK_L1_Input'!$A$4:$A$14,0))*K63*L63*M63</f>
        <v/>
      </c>
      <c r="P63" s="15" t="n">
        <v>260530000</v>
      </c>
      <c r="Q63" s="15" t="n">
        <v>2100000000</v>
      </c>
      <c r="R63" s="16" t="n">
        <v>11.68</v>
      </c>
      <c r="S63" s="11">
        <f>IFERROR(SUMPRODUCT(($E$3:$E$165=E63)*ISNUMBER($P$3:$P$165)*$P$3:$P$165*$F$3:$F$165)/SUMPRODUCT(($E$3:$E$165=E63)*ISNUMBER($P$3:$P$165)*$P$3:$P$165),"")</f>
        <v/>
      </c>
      <c r="T63" s="11">
        <f>IFERROR(SUMPRODUCT(($D$3:$D$165=D63)*ISNUMBER($P$3:$P$165)*$P$3:$P$165*$F$3:$F$165)/SUMPRODUCT(($D$3:$D$165=D63)*ISNUMBER($P$3:$P$165)*$P$3:$P$165),"")</f>
        <v/>
      </c>
      <c r="U63" s="11">
        <f>IFERROR(SUMPRODUCT(($C$3:$C$165=C63)*ISNUMBER($P$3:$P$165)*$P$3:$P$165*$F$3:$F$165)/SUMPRODUCT(($C$3:$C$165=C63)*ISNUMBER($P$3:$P$165)*$P$3:$P$165),"")</f>
        <v/>
      </c>
      <c r="V63" s="21">
        <f>IF(OR(T63="",U63=""),"",T63/U63)</f>
        <v/>
      </c>
      <c r="W63" s="21">
        <f>IF(OR(S63="",T63=""),"",S63/T63)</f>
        <v/>
      </c>
      <c r="X63" s="21">
        <f>IF(S63="","",F63/S63)</f>
        <v/>
      </c>
      <c r="Y63" s="22">
        <f>IF(V63="",N63,INDEX('4_UK_L1_Input'!$C$4:$C$14,MATCH($C63,'4_UK_L1_Input'!$A$4:$A$14,0))*V63*W63*X63)</f>
        <v/>
      </c>
      <c r="Z63" s="7">
        <f>IF(V63="","BETA FALLBACK","REAL (Bloomberg UK)")</f>
        <v/>
      </c>
      <c r="AA63" s="21">
        <f>IFERROR(SUMPRODUCT(($C$3:$C$165=C63)*ISNUMBER($R$3:$R$165)*$Q$3:$Q$165*IF(ISNUMBER($R$3:$R$165),$R$3:$R$165,0))/SUMPRODUCT(($C$3:$C$165=C63)*ISNUMBER($R$3:$R$165)*$Q$3:$Q$165),"")</f>
        <v/>
      </c>
      <c r="AB63" s="21">
        <f>IF(OR(R63="",AA63=""),"",R63/AA63)</f>
        <v/>
      </c>
      <c r="AC63" s="22">
        <f>IF(AB63="",O63,INDEX('4_UK_L1_Input'!$D$4:$D$14,MATCH($C63,'4_UK_L1_Input'!$A$4:$A$14,0))*AB63)</f>
        <v/>
      </c>
      <c r="AD63" s="7">
        <f>IF(AB63="","BETA FALLBACK","REAL (Bloomberg UK)")</f>
        <v/>
      </c>
      <c r="AE63" s="23">
        <f>Y63-N63</f>
        <v/>
      </c>
      <c r="AF63" s="23">
        <f>AC63-O63</f>
        <v/>
      </c>
    </row>
    <row r="64">
      <c r="A64" s="7" t="n">
        <v>25203010</v>
      </c>
      <c r="B64" s="7" t="inlineStr">
        <is>
          <t>Apparel, Accessories &amp; Luxury Goods</t>
        </is>
      </c>
      <c r="C64" s="7" t="n">
        <v>25</v>
      </c>
      <c r="D64" s="7" t="n">
        <v>2520</v>
      </c>
      <c r="E64" s="7" t="n">
        <v>252030</v>
      </c>
      <c r="F64" s="7" t="n">
        <v>0.818209</v>
      </c>
      <c r="G64" s="7" t="n">
        <v>1</v>
      </c>
      <c r="H64" s="11">
        <f>SUMPRODUCT(($E$3:$E$165=E64)*$G$3:$G$165*$F$3:$F$165)/SUMPRODUCT(($E$3:$E$165=E64)*$G$3:$G$165)</f>
        <v/>
      </c>
      <c r="I64" s="11">
        <f>SUMPRODUCT(($D$3:$D$165=D64)*$G$3:$G$165*$F$3:$F$165)/SUMPRODUCT(($D$3:$D$165=D64)*$G$3:$G$165)</f>
        <v/>
      </c>
      <c r="J64" s="11">
        <f>SUMPRODUCT(($C$3:$C$165=C64)*$G$3:$G$165*$F$3:$F$165)/SUMPRODUCT(($C$3:$C$165=C64)*$G$3:$G$165)</f>
        <v/>
      </c>
      <c r="K64" s="21">
        <f>I64/J64</f>
        <v/>
      </c>
      <c r="L64" s="21">
        <f>H64/I64</f>
        <v/>
      </c>
      <c r="M64" s="21">
        <f>F64/H64</f>
        <v/>
      </c>
      <c r="N64" s="22">
        <f>INDEX('4_UK_L1_Input'!$C$4:$C$14,MATCH($C64,'4_UK_L1_Input'!$A$4:$A$14,0))*K64*L64*M64</f>
        <v/>
      </c>
      <c r="O64" s="22">
        <f>INDEX('4_UK_L1_Input'!$D$4:$D$14,MATCH($C64,'4_UK_L1_Input'!$A$4:$A$14,0))*K64*L64*M64</f>
        <v/>
      </c>
      <c r="P64" s="15" t="n">
        <v>1210000000</v>
      </c>
      <c r="Q64" s="15" t="n">
        <v>1020000000</v>
      </c>
      <c r="R64" s="16" t="n">
        <v>7.24</v>
      </c>
      <c r="S64" s="11">
        <f>IFERROR(SUMPRODUCT(($E$3:$E$165=E64)*ISNUMBER($P$3:$P$165)*$P$3:$P$165*$F$3:$F$165)/SUMPRODUCT(($E$3:$E$165=E64)*ISNUMBER($P$3:$P$165)*$P$3:$P$165),"")</f>
        <v/>
      </c>
      <c r="T64" s="11">
        <f>IFERROR(SUMPRODUCT(($D$3:$D$165=D64)*ISNUMBER($P$3:$P$165)*$P$3:$P$165*$F$3:$F$165)/SUMPRODUCT(($D$3:$D$165=D64)*ISNUMBER($P$3:$P$165)*$P$3:$P$165),"")</f>
        <v/>
      </c>
      <c r="U64" s="11">
        <f>IFERROR(SUMPRODUCT(($C$3:$C$165=C64)*ISNUMBER($P$3:$P$165)*$P$3:$P$165*$F$3:$F$165)/SUMPRODUCT(($C$3:$C$165=C64)*ISNUMBER($P$3:$P$165)*$P$3:$P$165),"")</f>
        <v/>
      </c>
      <c r="V64" s="21">
        <f>IF(OR(T64="",U64=""),"",T64/U64)</f>
        <v/>
      </c>
      <c r="W64" s="21">
        <f>IF(OR(S64="",T64=""),"",S64/T64)</f>
        <v/>
      </c>
      <c r="X64" s="21">
        <f>IF(S64="","",F64/S64)</f>
        <v/>
      </c>
      <c r="Y64" s="22">
        <f>IF(V64="",N64,INDEX('4_UK_L1_Input'!$C$4:$C$14,MATCH($C64,'4_UK_L1_Input'!$A$4:$A$14,0))*V64*W64*X64)</f>
        <v/>
      </c>
      <c r="Z64" s="7">
        <f>IF(V64="","BETA FALLBACK","REAL (Bloomberg UK)")</f>
        <v/>
      </c>
      <c r="AA64" s="21">
        <f>IFERROR(SUMPRODUCT(($C$3:$C$165=C64)*ISNUMBER($R$3:$R$165)*$Q$3:$Q$165*IF(ISNUMBER($R$3:$R$165),$R$3:$R$165,0))/SUMPRODUCT(($C$3:$C$165=C64)*ISNUMBER($R$3:$R$165)*$Q$3:$Q$165),"")</f>
        <v/>
      </c>
      <c r="AB64" s="21">
        <f>IF(OR(R64="",AA64=""),"",R64/AA64)</f>
        <v/>
      </c>
      <c r="AC64" s="22">
        <f>IF(AB64="",O64,INDEX('4_UK_L1_Input'!$D$4:$D$14,MATCH($C64,'4_UK_L1_Input'!$A$4:$A$14,0))*AB64)</f>
        <v/>
      </c>
      <c r="AD64" s="7">
        <f>IF(AB64="","BETA FALLBACK","REAL (Bloomberg UK)")</f>
        <v/>
      </c>
      <c r="AE64" s="23">
        <f>Y64-N64</f>
        <v/>
      </c>
      <c r="AF64" s="23">
        <f>AC64-O64</f>
        <v/>
      </c>
    </row>
    <row r="65">
      <c r="A65" s="7" t="n">
        <v>25203020</v>
      </c>
      <c r="B65" s="7" t="inlineStr">
        <is>
          <t>Footwear</t>
        </is>
      </c>
      <c r="C65" s="7" t="n">
        <v>25</v>
      </c>
      <c r="D65" s="7" t="n">
        <v>2520</v>
      </c>
      <c r="E65" s="7" t="n">
        <v>252030</v>
      </c>
      <c r="F65" s="7" t="n">
        <v>0.95294</v>
      </c>
      <c r="G65" s="7" t="n">
        <v>1</v>
      </c>
      <c r="H65" s="11">
        <f>SUMPRODUCT(($E$3:$E$165=E65)*$G$3:$G$165*$F$3:$F$165)/SUMPRODUCT(($E$3:$E$165=E65)*$G$3:$G$165)</f>
        <v/>
      </c>
      <c r="I65" s="11">
        <f>SUMPRODUCT(($D$3:$D$165=D65)*$G$3:$G$165*$F$3:$F$165)/SUMPRODUCT(($D$3:$D$165=D65)*$G$3:$G$165)</f>
        <v/>
      </c>
      <c r="J65" s="11">
        <f>SUMPRODUCT(($C$3:$C$165=C65)*$G$3:$G$165*$F$3:$F$165)/SUMPRODUCT(($C$3:$C$165=C65)*$G$3:$G$165)</f>
        <v/>
      </c>
      <c r="K65" s="21">
        <f>I65/J65</f>
        <v/>
      </c>
      <c r="L65" s="21">
        <f>H65/I65</f>
        <v/>
      </c>
      <c r="M65" s="21">
        <f>F65/H65</f>
        <v/>
      </c>
      <c r="N65" s="22">
        <f>INDEX('4_UK_L1_Input'!$C$4:$C$14,MATCH($C65,'4_UK_L1_Input'!$A$4:$A$14,0))*K65*L65*M65</f>
        <v/>
      </c>
      <c r="O65" s="22">
        <f>INDEX('4_UK_L1_Input'!$D$4:$D$14,MATCH($C65,'4_UK_L1_Input'!$A$4:$A$14,0))*K65*L65*M65</f>
        <v/>
      </c>
      <c r="P65" s="15" t="n">
        <v>1470000000</v>
      </c>
      <c r="Q65" s="15" t="n">
        <v>3940000000</v>
      </c>
      <c r="R65" s="16" t="n">
        <v>7.46</v>
      </c>
      <c r="S65" s="11">
        <f>IFERROR(SUMPRODUCT(($E$3:$E$165=E65)*ISNUMBER($P$3:$P$165)*$P$3:$P$165*$F$3:$F$165)/SUMPRODUCT(($E$3:$E$165=E65)*ISNUMBER($P$3:$P$165)*$P$3:$P$165),"")</f>
        <v/>
      </c>
      <c r="T65" s="11">
        <f>IFERROR(SUMPRODUCT(($D$3:$D$165=D65)*ISNUMBER($P$3:$P$165)*$P$3:$P$165*$F$3:$F$165)/SUMPRODUCT(($D$3:$D$165=D65)*ISNUMBER($P$3:$P$165)*$P$3:$P$165),"")</f>
        <v/>
      </c>
      <c r="U65" s="11">
        <f>IFERROR(SUMPRODUCT(($C$3:$C$165=C65)*ISNUMBER($P$3:$P$165)*$P$3:$P$165*$F$3:$F$165)/SUMPRODUCT(($C$3:$C$165=C65)*ISNUMBER($P$3:$P$165)*$P$3:$P$165),"")</f>
        <v/>
      </c>
      <c r="V65" s="21">
        <f>IF(OR(T65="",U65=""),"",T65/U65)</f>
        <v/>
      </c>
      <c r="W65" s="21">
        <f>IF(OR(S65="",T65=""),"",S65/T65)</f>
        <v/>
      </c>
      <c r="X65" s="21">
        <f>IF(S65="","",F65/S65)</f>
        <v/>
      </c>
      <c r="Y65" s="22">
        <f>IF(V65="",N65,INDEX('4_UK_L1_Input'!$C$4:$C$14,MATCH($C65,'4_UK_L1_Input'!$A$4:$A$14,0))*V65*W65*X65)</f>
        <v/>
      </c>
      <c r="Z65" s="7">
        <f>IF(V65="","BETA FALLBACK","REAL (Bloomberg UK)")</f>
        <v/>
      </c>
      <c r="AA65" s="21">
        <f>IFERROR(SUMPRODUCT(($C$3:$C$165=C65)*ISNUMBER($R$3:$R$165)*$Q$3:$Q$165*IF(ISNUMBER($R$3:$R$165),$R$3:$R$165,0))/SUMPRODUCT(($C$3:$C$165=C65)*ISNUMBER($R$3:$R$165)*$Q$3:$Q$165),"")</f>
        <v/>
      </c>
      <c r="AB65" s="21">
        <f>IF(OR(R65="",AA65=""),"",R65/AA65)</f>
        <v/>
      </c>
      <c r="AC65" s="22">
        <f>IF(AB65="",O65,INDEX('4_UK_L1_Input'!$D$4:$D$14,MATCH($C65,'4_UK_L1_Input'!$A$4:$A$14,0))*AB65)</f>
        <v/>
      </c>
      <c r="AD65" s="7">
        <f>IF(AB65="","BETA FALLBACK","REAL (Bloomberg UK)")</f>
        <v/>
      </c>
      <c r="AE65" s="23">
        <f>Y65-N65</f>
        <v/>
      </c>
      <c r="AF65" s="23">
        <f>AC65-O65</f>
        <v/>
      </c>
    </row>
    <row r="66">
      <c r="A66" s="7" t="n">
        <v>25203030</v>
      </c>
      <c r="B66" s="7" t="inlineStr">
        <is>
          <t>Textiles</t>
        </is>
      </c>
      <c r="C66" s="7" t="n">
        <v>25</v>
      </c>
      <c r="D66" s="7" t="n">
        <v>2520</v>
      </c>
      <c r="E66" s="7" t="n">
        <v>252030</v>
      </c>
      <c r="F66" s="7" t="n">
        <v>0.818209</v>
      </c>
      <c r="G66" s="7" t="n">
        <v>1</v>
      </c>
      <c r="H66" s="11">
        <f>SUMPRODUCT(($E$3:$E$165=E66)*$G$3:$G$165*$F$3:$F$165)/SUMPRODUCT(($E$3:$E$165=E66)*$G$3:$G$165)</f>
        <v/>
      </c>
      <c r="I66" s="11">
        <f>SUMPRODUCT(($D$3:$D$165=D66)*$G$3:$G$165*$F$3:$F$165)/SUMPRODUCT(($D$3:$D$165=D66)*$G$3:$G$165)</f>
        <v/>
      </c>
      <c r="J66" s="11">
        <f>SUMPRODUCT(($C$3:$C$165=C66)*$G$3:$G$165*$F$3:$F$165)/SUMPRODUCT(($C$3:$C$165=C66)*$G$3:$G$165)</f>
        <v/>
      </c>
      <c r="K66" s="21">
        <f>I66/J66</f>
        <v/>
      </c>
      <c r="L66" s="21">
        <f>H66/I66</f>
        <v/>
      </c>
      <c r="M66" s="21">
        <f>F66/H66</f>
        <v/>
      </c>
      <c r="N66" s="22">
        <f>INDEX('4_UK_L1_Input'!$C$4:$C$14,MATCH($C66,'4_UK_L1_Input'!$A$4:$A$14,0))*K66*L66*M66</f>
        <v/>
      </c>
      <c r="O66" s="22">
        <f>INDEX('4_UK_L1_Input'!$D$4:$D$14,MATCH($C66,'4_UK_L1_Input'!$A$4:$A$14,0))*K66*L66*M66</f>
        <v/>
      </c>
      <c r="P66" s="15" t="n">
        <v>1600000000</v>
      </c>
      <c r="Q66" s="15" t="n">
        <v>1660000000</v>
      </c>
      <c r="R66" s="16" t="n">
        <v>7.15</v>
      </c>
      <c r="S66" s="11">
        <f>IFERROR(SUMPRODUCT(($E$3:$E$165=E66)*ISNUMBER($P$3:$P$165)*$P$3:$P$165*$F$3:$F$165)/SUMPRODUCT(($E$3:$E$165=E66)*ISNUMBER($P$3:$P$165)*$P$3:$P$165),"")</f>
        <v/>
      </c>
      <c r="T66" s="11">
        <f>IFERROR(SUMPRODUCT(($D$3:$D$165=D66)*ISNUMBER($P$3:$P$165)*$P$3:$P$165*$F$3:$F$165)/SUMPRODUCT(($D$3:$D$165=D66)*ISNUMBER($P$3:$P$165)*$P$3:$P$165),"")</f>
        <v/>
      </c>
      <c r="U66" s="11">
        <f>IFERROR(SUMPRODUCT(($C$3:$C$165=C66)*ISNUMBER($P$3:$P$165)*$P$3:$P$165*$F$3:$F$165)/SUMPRODUCT(($C$3:$C$165=C66)*ISNUMBER($P$3:$P$165)*$P$3:$P$165),"")</f>
        <v/>
      </c>
      <c r="V66" s="21">
        <f>IF(OR(T66="",U66=""),"",T66/U66)</f>
        <v/>
      </c>
      <c r="W66" s="21">
        <f>IF(OR(S66="",T66=""),"",S66/T66)</f>
        <v/>
      </c>
      <c r="X66" s="21">
        <f>IF(S66="","",F66/S66)</f>
        <v/>
      </c>
      <c r="Y66" s="22">
        <f>IF(V66="",N66,INDEX('4_UK_L1_Input'!$C$4:$C$14,MATCH($C66,'4_UK_L1_Input'!$A$4:$A$14,0))*V66*W66*X66)</f>
        <v/>
      </c>
      <c r="Z66" s="7">
        <f>IF(V66="","BETA FALLBACK","REAL (Bloomberg UK)")</f>
        <v/>
      </c>
      <c r="AA66" s="21">
        <f>IFERROR(SUMPRODUCT(($C$3:$C$165=C66)*ISNUMBER($R$3:$R$165)*$Q$3:$Q$165*IF(ISNUMBER($R$3:$R$165),$R$3:$R$165,0))/SUMPRODUCT(($C$3:$C$165=C66)*ISNUMBER($R$3:$R$165)*$Q$3:$Q$165),"")</f>
        <v/>
      </c>
      <c r="AB66" s="21">
        <f>IF(OR(R66="",AA66=""),"",R66/AA66)</f>
        <v/>
      </c>
      <c r="AC66" s="22">
        <f>IF(AB66="",O66,INDEX('4_UK_L1_Input'!$D$4:$D$14,MATCH($C66,'4_UK_L1_Input'!$A$4:$A$14,0))*AB66)</f>
        <v/>
      </c>
      <c r="AD66" s="7">
        <f>IF(AB66="","BETA FALLBACK","REAL (Bloomberg UK)")</f>
        <v/>
      </c>
      <c r="AE66" s="23">
        <f>Y66-N66</f>
        <v/>
      </c>
      <c r="AF66" s="23">
        <f>AC66-O66</f>
        <v/>
      </c>
    </row>
    <row r="67">
      <c r="A67" s="7" t="n">
        <v>25301010</v>
      </c>
      <c r="B67" s="7" t="inlineStr">
        <is>
          <t>Casinos &amp; Gaming</t>
        </is>
      </c>
      <c r="C67" s="7" t="n">
        <v>25</v>
      </c>
      <c r="D67" s="7" t="n">
        <v>2530</v>
      </c>
      <c r="E67" s="7" t="n">
        <v>253010</v>
      </c>
      <c r="F67" s="7" t="n">
        <v>0.879151</v>
      </c>
      <c r="G67" s="7" t="n">
        <v>1</v>
      </c>
      <c r="H67" s="11">
        <f>SUMPRODUCT(($E$3:$E$165=E67)*$G$3:$G$165*$F$3:$F$165)/SUMPRODUCT(($E$3:$E$165=E67)*$G$3:$G$165)</f>
        <v/>
      </c>
      <c r="I67" s="11">
        <f>SUMPRODUCT(($D$3:$D$165=D67)*$G$3:$G$165*$F$3:$F$165)/SUMPRODUCT(($D$3:$D$165=D67)*$G$3:$G$165)</f>
        <v/>
      </c>
      <c r="J67" s="11">
        <f>SUMPRODUCT(($C$3:$C$165=C67)*$G$3:$G$165*$F$3:$F$165)/SUMPRODUCT(($C$3:$C$165=C67)*$G$3:$G$165)</f>
        <v/>
      </c>
      <c r="K67" s="21">
        <f>I67/J67</f>
        <v/>
      </c>
      <c r="L67" s="21">
        <f>H67/I67</f>
        <v/>
      </c>
      <c r="M67" s="21">
        <f>F67/H67</f>
        <v/>
      </c>
      <c r="N67" s="22">
        <f>INDEX('4_UK_L1_Input'!$C$4:$C$14,MATCH($C67,'4_UK_L1_Input'!$A$4:$A$14,0))*K67*L67*M67</f>
        <v/>
      </c>
      <c r="O67" s="22">
        <f>INDEX('4_UK_L1_Input'!$D$4:$D$14,MATCH($C67,'4_UK_L1_Input'!$A$4:$A$14,0))*K67*L67*M67</f>
        <v/>
      </c>
      <c r="P67" s="15" t="n">
        <v>1740000000</v>
      </c>
      <c r="Q67" s="15" t="n">
        <v>1610000000</v>
      </c>
      <c r="R67" s="16" t="n">
        <v>7.29</v>
      </c>
      <c r="S67" s="11">
        <f>IFERROR(SUMPRODUCT(($E$3:$E$165=E67)*ISNUMBER($P$3:$P$165)*$P$3:$P$165*$F$3:$F$165)/SUMPRODUCT(($E$3:$E$165=E67)*ISNUMBER($P$3:$P$165)*$P$3:$P$165),"")</f>
        <v/>
      </c>
      <c r="T67" s="11">
        <f>IFERROR(SUMPRODUCT(($D$3:$D$165=D67)*ISNUMBER($P$3:$P$165)*$P$3:$P$165*$F$3:$F$165)/SUMPRODUCT(($D$3:$D$165=D67)*ISNUMBER($P$3:$P$165)*$P$3:$P$165),"")</f>
        <v/>
      </c>
      <c r="U67" s="11">
        <f>IFERROR(SUMPRODUCT(($C$3:$C$165=C67)*ISNUMBER($P$3:$P$165)*$P$3:$P$165*$F$3:$F$165)/SUMPRODUCT(($C$3:$C$165=C67)*ISNUMBER($P$3:$P$165)*$P$3:$P$165),"")</f>
        <v/>
      </c>
      <c r="V67" s="21">
        <f>IF(OR(T67="",U67=""),"",T67/U67)</f>
        <v/>
      </c>
      <c r="W67" s="21">
        <f>IF(OR(S67="",T67=""),"",S67/T67)</f>
        <v/>
      </c>
      <c r="X67" s="21">
        <f>IF(S67="","",F67/S67)</f>
        <v/>
      </c>
      <c r="Y67" s="22">
        <f>IF(V67="",N67,INDEX('4_UK_L1_Input'!$C$4:$C$14,MATCH($C67,'4_UK_L1_Input'!$A$4:$A$14,0))*V67*W67*X67)</f>
        <v/>
      </c>
      <c r="Z67" s="7">
        <f>IF(V67="","BETA FALLBACK","REAL (Bloomberg UK)")</f>
        <v/>
      </c>
      <c r="AA67" s="21">
        <f>IFERROR(SUMPRODUCT(($C$3:$C$165=C67)*ISNUMBER($R$3:$R$165)*$Q$3:$Q$165*IF(ISNUMBER($R$3:$R$165),$R$3:$R$165,0))/SUMPRODUCT(($C$3:$C$165=C67)*ISNUMBER($R$3:$R$165)*$Q$3:$Q$165),"")</f>
        <v/>
      </c>
      <c r="AB67" s="21">
        <f>IF(OR(R67="",AA67=""),"",R67/AA67)</f>
        <v/>
      </c>
      <c r="AC67" s="22">
        <f>IF(AB67="",O67,INDEX('4_UK_L1_Input'!$D$4:$D$14,MATCH($C67,'4_UK_L1_Input'!$A$4:$A$14,0))*AB67)</f>
        <v/>
      </c>
      <c r="AD67" s="7">
        <f>IF(AB67="","BETA FALLBACK","REAL (Bloomberg UK)")</f>
        <v/>
      </c>
      <c r="AE67" s="23">
        <f>Y67-N67</f>
        <v/>
      </c>
      <c r="AF67" s="23">
        <f>AC67-O67</f>
        <v/>
      </c>
    </row>
    <row r="68">
      <c r="A68" s="7" t="n">
        <v>25301020</v>
      </c>
      <c r="B68" s="7" t="inlineStr">
        <is>
          <t>Hotels, Resorts &amp; Cruise Lines</t>
        </is>
      </c>
      <c r="C68" s="7" t="n">
        <v>25</v>
      </c>
      <c r="D68" s="7" t="n">
        <v>2530</v>
      </c>
      <c r="E68" s="7" t="n">
        <v>253010</v>
      </c>
      <c r="F68" s="7" t="n">
        <v>0.879151</v>
      </c>
      <c r="G68" s="7" t="n">
        <v>1</v>
      </c>
      <c r="H68" s="11">
        <f>SUMPRODUCT(($E$3:$E$165=E68)*$G$3:$G$165*$F$3:$F$165)/SUMPRODUCT(($E$3:$E$165=E68)*$G$3:$G$165)</f>
        <v/>
      </c>
      <c r="I68" s="11">
        <f>SUMPRODUCT(($D$3:$D$165=D68)*$G$3:$G$165*$F$3:$F$165)/SUMPRODUCT(($D$3:$D$165=D68)*$G$3:$G$165)</f>
        <v/>
      </c>
      <c r="J68" s="11">
        <f>SUMPRODUCT(($C$3:$C$165=C68)*$G$3:$G$165*$F$3:$F$165)/SUMPRODUCT(($C$3:$C$165=C68)*$G$3:$G$165)</f>
        <v/>
      </c>
      <c r="K68" s="21">
        <f>I68/J68</f>
        <v/>
      </c>
      <c r="L68" s="21">
        <f>H68/I68</f>
        <v/>
      </c>
      <c r="M68" s="21">
        <f>F68/H68</f>
        <v/>
      </c>
      <c r="N68" s="22">
        <f>INDEX('4_UK_L1_Input'!$C$4:$C$14,MATCH($C68,'4_UK_L1_Input'!$A$4:$A$14,0))*K68*L68*M68</f>
        <v/>
      </c>
      <c r="O68" s="22">
        <f>INDEX('4_UK_L1_Input'!$D$4:$D$14,MATCH($C68,'4_UK_L1_Input'!$A$4:$A$14,0))*K68*L68*M68</f>
        <v/>
      </c>
      <c r="P68" s="15" t="n">
        <v>1270000000</v>
      </c>
      <c r="Q68" s="15" t="n">
        <v>4130000000</v>
      </c>
      <c r="R68" s="16" t="n">
        <v>9.210000000000001</v>
      </c>
      <c r="S68" s="11">
        <f>IFERROR(SUMPRODUCT(($E$3:$E$165=E68)*ISNUMBER($P$3:$P$165)*$P$3:$P$165*$F$3:$F$165)/SUMPRODUCT(($E$3:$E$165=E68)*ISNUMBER($P$3:$P$165)*$P$3:$P$165),"")</f>
        <v/>
      </c>
      <c r="T68" s="11">
        <f>IFERROR(SUMPRODUCT(($D$3:$D$165=D68)*ISNUMBER($P$3:$P$165)*$P$3:$P$165*$F$3:$F$165)/SUMPRODUCT(($D$3:$D$165=D68)*ISNUMBER($P$3:$P$165)*$P$3:$P$165),"")</f>
        <v/>
      </c>
      <c r="U68" s="11">
        <f>IFERROR(SUMPRODUCT(($C$3:$C$165=C68)*ISNUMBER($P$3:$P$165)*$P$3:$P$165*$F$3:$F$165)/SUMPRODUCT(($C$3:$C$165=C68)*ISNUMBER($P$3:$P$165)*$P$3:$P$165),"")</f>
        <v/>
      </c>
      <c r="V68" s="21">
        <f>IF(OR(T68="",U68=""),"",T68/U68)</f>
        <v/>
      </c>
      <c r="W68" s="21">
        <f>IF(OR(S68="",T68=""),"",S68/T68)</f>
        <v/>
      </c>
      <c r="X68" s="21">
        <f>IF(S68="","",F68/S68)</f>
        <v/>
      </c>
      <c r="Y68" s="22">
        <f>IF(V68="",N68,INDEX('4_UK_L1_Input'!$C$4:$C$14,MATCH($C68,'4_UK_L1_Input'!$A$4:$A$14,0))*V68*W68*X68)</f>
        <v/>
      </c>
      <c r="Z68" s="7">
        <f>IF(V68="","BETA FALLBACK","REAL (Bloomberg UK)")</f>
        <v/>
      </c>
      <c r="AA68" s="21">
        <f>IFERROR(SUMPRODUCT(($C$3:$C$165=C68)*ISNUMBER($R$3:$R$165)*$Q$3:$Q$165*IF(ISNUMBER($R$3:$R$165),$R$3:$R$165,0))/SUMPRODUCT(($C$3:$C$165=C68)*ISNUMBER($R$3:$R$165)*$Q$3:$Q$165),"")</f>
        <v/>
      </c>
      <c r="AB68" s="21">
        <f>IF(OR(R68="",AA68=""),"",R68/AA68)</f>
        <v/>
      </c>
      <c r="AC68" s="22">
        <f>IF(AB68="",O68,INDEX('4_UK_L1_Input'!$D$4:$D$14,MATCH($C68,'4_UK_L1_Input'!$A$4:$A$14,0))*AB68)</f>
        <v/>
      </c>
      <c r="AD68" s="7">
        <f>IF(AB68="","BETA FALLBACK","REAL (Bloomberg UK)")</f>
        <v/>
      </c>
      <c r="AE68" s="23">
        <f>Y68-N68</f>
        <v/>
      </c>
      <c r="AF68" s="23">
        <f>AC68-O68</f>
        <v/>
      </c>
    </row>
    <row r="69">
      <c r="A69" s="7" t="n">
        <v>25301030</v>
      </c>
      <c r="B69" s="7" t="inlineStr">
        <is>
          <t>Leisure Facilities</t>
        </is>
      </c>
      <c r="C69" s="7" t="n">
        <v>25</v>
      </c>
      <c r="D69" s="7" t="n">
        <v>2530</v>
      </c>
      <c r="E69" s="7" t="n">
        <v>253010</v>
      </c>
      <c r="F69" s="7" t="n">
        <v>0.764375</v>
      </c>
      <c r="G69" s="7" t="n">
        <v>1</v>
      </c>
      <c r="H69" s="11">
        <f>SUMPRODUCT(($E$3:$E$165=E69)*$G$3:$G$165*$F$3:$F$165)/SUMPRODUCT(($E$3:$E$165=E69)*$G$3:$G$165)</f>
        <v/>
      </c>
      <c r="I69" s="11">
        <f>SUMPRODUCT(($D$3:$D$165=D69)*$G$3:$G$165*$F$3:$F$165)/SUMPRODUCT(($D$3:$D$165=D69)*$G$3:$G$165)</f>
        <v/>
      </c>
      <c r="J69" s="11">
        <f>SUMPRODUCT(($C$3:$C$165=C69)*$G$3:$G$165*$F$3:$F$165)/SUMPRODUCT(($C$3:$C$165=C69)*$G$3:$G$165)</f>
        <v/>
      </c>
      <c r="K69" s="21">
        <f>I69/J69</f>
        <v/>
      </c>
      <c r="L69" s="21">
        <f>H69/I69</f>
        <v/>
      </c>
      <c r="M69" s="21">
        <f>F69/H69</f>
        <v/>
      </c>
      <c r="N69" s="22">
        <f>INDEX('4_UK_L1_Input'!$C$4:$C$14,MATCH($C69,'4_UK_L1_Input'!$A$4:$A$14,0))*K69*L69*M69</f>
        <v/>
      </c>
      <c r="O69" s="22">
        <f>INDEX('4_UK_L1_Input'!$D$4:$D$14,MATCH($C69,'4_UK_L1_Input'!$A$4:$A$14,0))*K69*L69*M69</f>
        <v/>
      </c>
      <c r="P69" s="15" t="n">
        <v>148090000</v>
      </c>
      <c r="Q69" s="15" t="n">
        <v>223280000</v>
      </c>
      <c r="R69" s="16" t="n">
        <v>6.4</v>
      </c>
      <c r="S69" s="11">
        <f>IFERROR(SUMPRODUCT(($E$3:$E$165=E69)*ISNUMBER($P$3:$P$165)*$P$3:$P$165*$F$3:$F$165)/SUMPRODUCT(($E$3:$E$165=E69)*ISNUMBER($P$3:$P$165)*$P$3:$P$165),"")</f>
        <v/>
      </c>
      <c r="T69" s="11">
        <f>IFERROR(SUMPRODUCT(($D$3:$D$165=D69)*ISNUMBER($P$3:$P$165)*$P$3:$P$165*$F$3:$F$165)/SUMPRODUCT(($D$3:$D$165=D69)*ISNUMBER($P$3:$P$165)*$P$3:$P$165),"")</f>
        <v/>
      </c>
      <c r="U69" s="11">
        <f>IFERROR(SUMPRODUCT(($C$3:$C$165=C69)*ISNUMBER($P$3:$P$165)*$P$3:$P$165*$F$3:$F$165)/SUMPRODUCT(($C$3:$C$165=C69)*ISNUMBER($P$3:$P$165)*$P$3:$P$165),"")</f>
        <v/>
      </c>
      <c r="V69" s="21">
        <f>IF(OR(T69="",U69=""),"",T69/U69)</f>
        <v/>
      </c>
      <c r="W69" s="21">
        <f>IF(OR(S69="",T69=""),"",S69/T69)</f>
        <v/>
      </c>
      <c r="X69" s="21">
        <f>IF(S69="","",F69/S69)</f>
        <v/>
      </c>
      <c r="Y69" s="22">
        <f>IF(V69="",N69,INDEX('4_UK_L1_Input'!$C$4:$C$14,MATCH($C69,'4_UK_L1_Input'!$A$4:$A$14,0))*V69*W69*X69)</f>
        <v/>
      </c>
      <c r="Z69" s="7">
        <f>IF(V69="","BETA FALLBACK","REAL (Bloomberg UK)")</f>
        <v/>
      </c>
      <c r="AA69" s="21">
        <f>IFERROR(SUMPRODUCT(($C$3:$C$165=C69)*ISNUMBER($R$3:$R$165)*$Q$3:$Q$165*IF(ISNUMBER($R$3:$R$165),$R$3:$R$165,0))/SUMPRODUCT(($C$3:$C$165=C69)*ISNUMBER($R$3:$R$165)*$Q$3:$Q$165),"")</f>
        <v/>
      </c>
      <c r="AB69" s="21">
        <f>IF(OR(R69="",AA69=""),"",R69/AA69)</f>
        <v/>
      </c>
      <c r="AC69" s="22">
        <f>IF(AB69="",O69,INDEX('4_UK_L1_Input'!$D$4:$D$14,MATCH($C69,'4_UK_L1_Input'!$A$4:$A$14,0))*AB69)</f>
        <v/>
      </c>
      <c r="AD69" s="7">
        <f>IF(AB69="","BETA FALLBACK","REAL (Bloomberg UK)")</f>
        <v/>
      </c>
      <c r="AE69" s="23">
        <f>Y69-N69</f>
        <v/>
      </c>
      <c r="AF69" s="23">
        <f>AC69-O69</f>
        <v/>
      </c>
    </row>
    <row r="70">
      <c r="A70" s="7" t="n">
        <v>25301040</v>
      </c>
      <c r="B70" s="7" t="inlineStr">
        <is>
          <t>Restaurants</t>
        </is>
      </c>
      <c r="C70" s="7" t="n">
        <v>25</v>
      </c>
      <c r="D70" s="7" t="n">
        <v>2530</v>
      </c>
      <c r="E70" s="7" t="n">
        <v>253010</v>
      </c>
      <c r="F70" s="7" t="n">
        <v>0.798948</v>
      </c>
      <c r="G70" s="7" t="n">
        <v>1</v>
      </c>
      <c r="H70" s="11">
        <f>SUMPRODUCT(($E$3:$E$165=E70)*$G$3:$G$165*$F$3:$F$165)/SUMPRODUCT(($E$3:$E$165=E70)*$G$3:$G$165)</f>
        <v/>
      </c>
      <c r="I70" s="11">
        <f>SUMPRODUCT(($D$3:$D$165=D70)*$G$3:$G$165*$F$3:$F$165)/SUMPRODUCT(($D$3:$D$165=D70)*$G$3:$G$165)</f>
        <v/>
      </c>
      <c r="J70" s="11">
        <f>SUMPRODUCT(($C$3:$C$165=C70)*$G$3:$G$165*$F$3:$F$165)/SUMPRODUCT(($C$3:$C$165=C70)*$G$3:$G$165)</f>
        <v/>
      </c>
      <c r="K70" s="21">
        <f>I70/J70</f>
        <v/>
      </c>
      <c r="L70" s="21">
        <f>H70/I70</f>
        <v/>
      </c>
      <c r="M70" s="21">
        <f>F70/H70</f>
        <v/>
      </c>
      <c r="N70" s="22">
        <f>INDEX('4_UK_L1_Input'!$C$4:$C$14,MATCH($C70,'4_UK_L1_Input'!$A$4:$A$14,0))*K70*L70*M70</f>
        <v/>
      </c>
      <c r="O70" s="22">
        <f>INDEX('4_UK_L1_Input'!$D$4:$D$14,MATCH($C70,'4_UK_L1_Input'!$A$4:$A$14,0))*K70*L70*M70</f>
        <v/>
      </c>
      <c r="P70" s="15" t="n">
        <v>3670000000</v>
      </c>
      <c r="Q70" s="15" t="n">
        <v>3710000000</v>
      </c>
      <c r="R70" s="16" t="n">
        <v>6.78</v>
      </c>
      <c r="S70" s="11">
        <f>IFERROR(SUMPRODUCT(($E$3:$E$165=E70)*ISNUMBER($P$3:$P$165)*$P$3:$P$165*$F$3:$F$165)/SUMPRODUCT(($E$3:$E$165=E70)*ISNUMBER($P$3:$P$165)*$P$3:$P$165),"")</f>
        <v/>
      </c>
      <c r="T70" s="11">
        <f>IFERROR(SUMPRODUCT(($D$3:$D$165=D70)*ISNUMBER($P$3:$P$165)*$P$3:$P$165*$F$3:$F$165)/SUMPRODUCT(($D$3:$D$165=D70)*ISNUMBER($P$3:$P$165)*$P$3:$P$165),"")</f>
        <v/>
      </c>
      <c r="U70" s="11">
        <f>IFERROR(SUMPRODUCT(($C$3:$C$165=C70)*ISNUMBER($P$3:$P$165)*$P$3:$P$165*$F$3:$F$165)/SUMPRODUCT(($C$3:$C$165=C70)*ISNUMBER($P$3:$P$165)*$P$3:$P$165),"")</f>
        <v/>
      </c>
      <c r="V70" s="21">
        <f>IF(OR(T70="",U70=""),"",T70/U70)</f>
        <v/>
      </c>
      <c r="W70" s="21">
        <f>IF(OR(S70="",T70=""),"",S70/T70)</f>
        <v/>
      </c>
      <c r="X70" s="21">
        <f>IF(S70="","",F70/S70)</f>
        <v/>
      </c>
      <c r="Y70" s="22">
        <f>IF(V70="",N70,INDEX('4_UK_L1_Input'!$C$4:$C$14,MATCH($C70,'4_UK_L1_Input'!$A$4:$A$14,0))*V70*W70*X70)</f>
        <v/>
      </c>
      <c r="Z70" s="7">
        <f>IF(V70="","BETA FALLBACK","REAL (Bloomberg UK)")</f>
        <v/>
      </c>
      <c r="AA70" s="21">
        <f>IFERROR(SUMPRODUCT(($C$3:$C$165=C70)*ISNUMBER($R$3:$R$165)*$Q$3:$Q$165*IF(ISNUMBER($R$3:$R$165),$R$3:$R$165,0))/SUMPRODUCT(($C$3:$C$165=C70)*ISNUMBER($R$3:$R$165)*$Q$3:$Q$165),"")</f>
        <v/>
      </c>
      <c r="AB70" s="21">
        <f>IF(OR(R70="",AA70=""),"",R70/AA70)</f>
        <v/>
      </c>
      <c r="AC70" s="22">
        <f>IF(AB70="",O70,INDEX('4_UK_L1_Input'!$D$4:$D$14,MATCH($C70,'4_UK_L1_Input'!$A$4:$A$14,0))*AB70)</f>
        <v/>
      </c>
      <c r="AD70" s="7">
        <f>IF(AB70="","BETA FALLBACK","REAL (Bloomberg UK)")</f>
        <v/>
      </c>
      <c r="AE70" s="23">
        <f>Y70-N70</f>
        <v/>
      </c>
      <c r="AF70" s="23">
        <f>AC70-O70</f>
        <v/>
      </c>
    </row>
    <row r="71">
      <c r="A71" s="7" t="n">
        <v>25302010</v>
      </c>
      <c r="B71" s="7" t="inlineStr">
        <is>
          <t>Education Services</t>
        </is>
      </c>
      <c r="C71" s="7" t="n">
        <v>25</v>
      </c>
      <c r="D71" s="7" t="n">
        <v>2530</v>
      </c>
      <c r="E71" s="7" t="n">
        <v>253020</v>
      </c>
      <c r="F71" s="7" t="n">
        <v>0.762783</v>
      </c>
      <c r="G71" s="7" t="n">
        <v>1</v>
      </c>
      <c r="H71" s="11">
        <f>SUMPRODUCT(($E$3:$E$165=E71)*$G$3:$G$165*$F$3:$F$165)/SUMPRODUCT(($E$3:$E$165=E71)*$G$3:$G$165)</f>
        <v/>
      </c>
      <c r="I71" s="11">
        <f>SUMPRODUCT(($D$3:$D$165=D71)*$G$3:$G$165*$F$3:$F$165)/SUMPRODUCT(($D$3:$D$165=D71)*$G$3:$G$165)</f>
        <v/>
      </c>
      <c r="J71" s="11">
        <f>SUMPRODUCT(($C$3:$C$165=C71)*$G$3:$G$165*$F$3:$F$165)/SUMPRODUCT(($C$3:$C$165=C71)*$G$3:$G$165)</f>
        <v/>
      </c>
      <c r="K71" s="21">
        <f>I71/J71</f>
        <v/>
      </c>
      <c r="L71" s="21">
        <f>H71/I71</f>
        <v/>
      </c>
      <c r="M71" s="21">
        <f>F71/H71</f>
        <v/>
      </c>
      <c r="N71" s="22">
        <f>INDEX('4_UK_L1_Input'!$C$4:$C$14,MATCH($C71,'4_UK_L1_Input'!$A$4:$A$14,0))*K71*L71*M71</f>
        <v/>
      </c>
      <c r="O71" s="22">
        <f>INDEX('4_UK_L1_Input'!$D$4:$D$14,MATCH($C71,'4_UK_L1_Input'!$A$4:$A$14,0))*K71*L71*M71</f>
        <v/>
      </c>
      <c r="P71" s="15" t="n">
        <v>934250000</v>
      </c>
      <c r="Q71" s="15" t="n">
        <v>1510000000</v>
      </c>
      <c r="R71" s="16" t="n">
        <v>8.85</v>
      </c>
      <c r="S71" s="11">
        <f>IFERROR(SUMPRODUCT(($E$3:$E$165=E71)*ISNUMBER($P$3:$P$165)*$P$3:$P$165*$F$3:$F$165)/SUMPRODUCT(($E$3:$E$165=E71)*ISNUMBER($P$3:$P$165)*$P$3:$P$165),"")</f>
        <v/>
      </c>
      <c r="T71" s="11">
        <f>IFERROR(SUMPRODUCT(($D$3:$D$165=D71)*ISNUMBER($P$3:$P$165)*$P$3:$P$165*$F$3:$F$165)/SUMPRODUCT(($D$3:$D$165=D71)*ISNUMBER($P$3:$P$165)*$P$3:$P$165),"")</f>
        <v/>
      </c>
      <c r="U71" s="11">
        <f>IFERROR(SUMPRODUCT(($C$3:$C$165=C71)*ISNUMBER($P$3:$P$165)*$P$3:$P$165*$F$3:$F$165)/SUMPRODUCT(($C$3:$C$165=C71)*ISNUMBER($P$3:$P$165)*$P$3:$P$165),"")</f>
        <v/>
      </c>
      <c r="V71" s="21">
        <f>IF(OR(T71="",U71=""),"",T71/U71)</f>
        <v/>
      </c>
      <c r="W71" s="21">
        <f>IF(OR(S71="",T71=""),"",S71/T71)</f>
        <v/>
      </c>
      <c r="X71" s="21">
        <f>IF(S71="","",F71/S71)</f>
        <v/>
      </c>
      <c r="Y71" s="22">
        <f>IF(V71="",N71,INDEX('4_UK_L1_Input'!$C$4:$C$14,MATCH($C71,'4_UK_L1_Input'!$A$4:$A$14,0))*V71*W71*X71)</f>
        <v/>
      </c>
      <c r="Z71" s="7">
        <f>IF(V71="","BETA FALLBACK","REAL (Bloomberg UK)")</f>
        <v/>
      </c>
      <c r="AA71" s="21">
        <f>IFERROR(SUMPRODUCT(($C$3:$C$165=C71)*ISNUMBER($R$3:$R$165)*$Q$3:$Q$165*IF(ISNUMBER($R$3:$R$165),$R$3:$R$165,0))/SUMPRODUCT(($C$3:$C$165=C71)*ISNUMBER($R$3:$R$165)*$Q$3:$Q$165),"")</f>
        <v/>
      </c>
      <c r="AB71" s="21">
        <f>IF(OR(R71="",AA71=""),"",R71/AA71)</f>
        <v/>
      </c>
      <c r="AC71" s="22">
        <f>IF(AB71="",O71,INDEX('4_UK_L1_Input'!$D$4:$D$14,MATCH($C71,'4_UK_L1_Input'!$A$4:$A$14,0))*AB71)</f>
        <v/>
      </c>
      <c r="AD71" s="7">
        <f>IF(AB71="","BETA FALLBACK","REAL (Bloomberg UK)")</f>
        <v/>
      </c>
      <c r="AE71" s="23">
        <f>Y71-N71</f>
        <v/>
      </c>
      <c r="AF71" s="23">
        <f>AC71-O71</f>
        <v/>
      </c>
    </row>
    <row r="72">
      <c r="A72" s="7" t="n">
        <v>25302020</v>
      </c>
      <c r="B72" s="7" t="inlineStr">
        <is>
          <t>Specialized Consumer Services</t>
        </is>
      </c>
      <c r="C72" s="7" t="n">
        <v>25</v>
      </c>
      <c r="D72" s="7" t="n">
        <v>2530</v>
      </c>
      <c r="E72" s="7" t="n">
        <v>253020</v>
      </c>
      <c r="F72" s="7" t="n">
        <v>0.811779</v>
      </c>
      <c r="G72" s="7" t="n">
        <v>1</v>
      </c>
      <c r="H72" s="11">
        <f>SUMPRODUCT(($E$3:$E$165=E72)*$G$3:$G$165*$F$3:$F$165)/SUMPRODUCT(($E$3:$E$165=E72)*$G$3:$G$165)</f>
        <v/>
      </c>
      <c r="I72" s="11">
        <f>SUMPRODUCT(($D$3:$D$165=D72)*$G$3:$G$165*$F$3:$F$165)/SUMPRODUCT(($D$3:$D$165=D72)*$G$3:$G$165)</f>
        <v/>
      </c>
      <c r="J72" s="11">
        <f>SUMPRODUCT(($C$3:$C$165=C72)*$G$3:$G$165*$F$3:$F$165)/SUMPRODUCT(($C$3:$C$165=C72)*$G$3:$G$165)</f>
        <v/>
      </c>
      <c r="K72" s="21">
        <f>I72/J72</f>
        <v/>
      </c>
      <c r="L72" s="21">
        <f>H72/I72</f>
        <v/>
      </c>
      <c r="M72" s="21">
        <f>F72/H72</f>
        <v/>
      </c>
      <c r="N72" s="22">
        <f>INDEX('4_UK_L1_Input'!$C$4:$C$14,MATCH($C72,'4_UK_L1_Input'!$A$4:$A$14,0))*K72*L72*M72</f>
        <v/>
      </c>
      <c r="O72" s="22">
        <f>INDEX('4_UK_L1_Input'!$D$4:$D$14,MATCH($C72,'4_UK_L1_Input'!$A$4:$A$14,0))*K72*L72*M72</f>
        <v/>
      </c>
      <c r="P72" s="15" t="n">
        <v>271610000</v>
      </c>
      <c r="Q72" s="15" t="n">
        <v>505790000</v>
      </c>
      <c r="R72" s="16" t="n">
        <v>6.89</v>
      </c>
      <c r="S72" s="11">
        <f>IFERROR(SUMPRODUCT(($E$3:$E$165=E72)*ISNUMBER($P$3:$P$165)*$P$3:$P$165*$F$3:$F$165)/SUMPRODUCT(($E$3:$E$165=E72)*ISNUMBER($P$3:$P$165)*$P$3:$P$165),"")</f>
        <v/>
      </c>
      <c r="T72" s="11">
        <f>IFERROR(SUMPRODUCT(($D$3:$D$165=D72)*ISNUMBER($P$3:$P$165)*$P$3:$P$165*$F$3:$F$165)/SUMPRODUCT(($D$3:$D$165=D72)*ISNUMBER($P$3:$P$165)*$P$3:$P$165),"")</f>
        <v/>
      </c>
      <c r="U72" s="11">
        <f>IFERROR(SUMPRODUCT(($C$3:$C$165=C72)*ISNUMBER($P$3:$P$165)*$P$3:$P$165*$F$3:$F$165)/SUMPRODUCT(($C$3:$C$165=C72)*ISNUMBER($P$3:$P$165)*$P$3:$P$165),"")</f>
        <v/>
      </c>
      <c r="V72" s="21">
        <f>IF(OR(T72="",U72=""),"",T72/U72)</f>
        <v/>
      </c>
      <c r="W72" s="21">
        <f>IF(OR(S72="",T72=""),"",S72/T72)</f>
        <v/>
      </c>
      <c r="X72" s="21">
        <f>IF(S72="","",F72/S72)</f>
        <v/>
      </c>
      <c r="Y72" s="22">
        <f>IF(V72="",N72,INDEX('4_UK_L1_Input'!$C$4:$C$14,MATCH($C72,'4_UK_L1_Input'!$A$4:$A$14,0))*V72*W72*X72)</f>
        <v/>
      </c>
      <c r="Z72" s="7">
        <f>IF(V72="","BETA FALLBACK","REAL (Bloomberg UK)")</f>
        <v/>
      </c>
      <c r="AA72" s="21">
        <f>IFERROR(SUMPRODUCT(($C$3:$C$165=C72)*ISNUMBER($R$3:$R$165)*$Q$3:$Q$165*IF(ISNUMBER($R$3:$R$165),$R$3:$R$165,0))/SUMPRODUCT(($C$3:$C$165=C72)*ISNUMBER($R$3:$R$165)*$Q$3:$Q$165),"")</f>
        <v/>
      </c>
      <c r="AB72" s="21">
        <f>IF(OR(R72="",AA72=""),"",R72/AA72)</f>
        <v/>
      </c>
      <c r="AC72" s="22">
        <f>IF(AB72="",O72,INDEX('4_UK_L1_Input'!$D$4:$D$14,MATCH($C72,'4_UK_L1_Input'!$A$4:$A$14,0))*AB72)</f>
        <v/>
      </c>
      <c r="AD72" s="7">
        <f>IF(AB72="","BETA FALLBACK","REAL (Bloomberg UK)")</f>
        <v/>
      </c>
      <c r="AE72" s="23">
        <f>Y72-N72</f>
        <v/>
      </c>
      <c r="AF72" s="23">
        <f>AC72-O72</f>
        <v/>
      </c>
    </row>
    <row r="73">
      <c r="A73" s="7" t="n">
        <v>25501010</v>
      </c>
      <c r="B73" s="7" t="inlineStr">
        <is>
          <t>Distributors</t>
        </is>
      </c>
      <c r="C73" s="7" t="n">
        <v>25</v>
      </c>
      <c r="D73" s="7" t="n">
        <v>2550</v>
      </c>
      <c r="E73" s="7" t="n">
        <v>255010</v>
      </c>
      <c r="F73" s="7" t="n">
        <v>0.815429</v>
      </c>
      <c r="G73" s="7" t="n">
        <v>1</v>
      </c>
      <c r="H73" s="11">
        <f>SUMPRODUCT(($E$3:$E$165=E73)*$G$3:$G$165*$F$3:$F$165)/SUMPRODUCT(($E$3:$E$165=E73)*$G$3:$G$165)</f>
        <v/>
      </c>
      <c r="I73" s="11">
        <f>SUMPRODUCT(($D$3:$D$165=D73)*$G$3:$G$165*$F$3:$F$165)/SUMPRODUCT(($D$3:$D$165=D73)*$G$3:$G$165)</f>
        <v/>
      </c>
      <c r="J73" s="11">
        <f>SUMPRODUCT(($C$3:$C$165=C73)*$G$3:$G$165*$F$3:$F$165)/SUMPRODUCT(($C$3:$C$165=C73)*$G$3:$G$165)</f>
        <v/>
      </c>
      <c r="K73" s="21">
        <f>I73/J73</f>
        <v/>
      </c>
      <c r="L73" s="21">
        <f>H73/I73</f>
        <v/>
      </c>
      <c r="M73" s="21">
        <f>F73/H73</f>
        <v/>
      </c>
      <c r="N73" s="22">
        <f>INDEX('4_UK_L1_Input'!$C$4:$C$14,MATCH($C73,'4_UK_L1_Input'!$A$4:$A$14,0))*K73*L73*M73</f>
        <v/>
      </c>
      <c r="O73" s="22">
        <f>INDEX('4_UK_L1_Input'!$D$4:$D$14,MATCH($C73,'4_UK_L1_Input'!$A$4:$A$14,0))*K73*L73*M73</f>
        <v/>
      </c>
      <c r="P73" s="15" t="n">
        <v>1670000000</v>
      </c>
      <c r="Q73" s="15" t="n">
        <v>490100000</v>
      </c>
      <c r="R73" s="16" t="n">
        <v>5.05</v>
      </c>
      <c r="S73" s="11">
        <f>IFERROR(SUMPRODUCT(($E$3:$E$165=E73)*ISNUMBER($P$3:$P$165)*$P$3:$P$165*$F$3:$F$165)/SUMPRODUCT(($E$3:$E$165=E73)*ISNUMBER($P$3:$P$165)*$P$3:$P$165),"")</f>
        <v/>
      </c>
      <c r="T73" s="11">
        <f>IFERROR(SUMPRODUCT(($D$3:$D$165=D73)*ISNUMBER($P$3:$P$165)*$P$3:$P$165*$F$3:$F$165)/SUMPRODUCT(($D$3:$D$165=D73)*ISNUMBER($P$3:$P$165)*$P$3:$P$165),"")</f>
        <v/>
      </c>
      <c r="U73" s="11">
        <f>IFERROR(SUMPRODUCT(($C$3:$C$165=C73)*ISNUMBER($P$3:$P$165)*$P$3:$P$165*$F$3:$F$165)/SUMPRODUCT(($C$3:$C$165=C73)*ISNUMBER($P$3:$P$165)*$P$3:$P$165),"")</f>
        <v/>
      </c>
      <c r="V73" s="21">
        <f>IF(OR(T73="",U73=""),"",T73/U73)</f>
        <v/>
      </c>
      <c r="W73" s="21">
        <f>IF(OR(S73="",T73=""),"",S73/T73)</f>
        <v/>
      </c>
      <c r="X73" s="21">
        <f>IF(S73="","",F73/S73)</f>
        <v/>
      </c>
      <c r="Y73" s="22">
        <f>IF(V73="",N73,INDEX('4_UK_L1_Input'!$C$4:$C$14,MATCH($C73,'4_UK_L1_Input'!$A$4:$A$14,0))*V73*W73*X73)</f>
        <v/>
      </c>
      <c r="Z73" s="7">
        <f>IF(V73="","BETA FALLBACK","REAL (Bloomberg UK)")</f>
        <v/>
      </c>
      <c r="AA73" s="21">
        <f>IFERROR(SUMPRODUCT(($C$3:$C$165=C73)*ISNUMBER($R$3:$R$165)*$Q$3:$Q$165*IF(ISNUMBER($R$3:$R$165),$R$3:$R$165,0))/SUMPRODUCT(($C$3:$C$165=C73)*ISNUMBER($R$3:$R$165)*$Q$3:$Q$165),"")</f>
        <v/>
      </c>
      <c r="AB73" s="21">
        <f>IF(OR(R73="",AA73=""),"",R73/AA73)</f>
        <v/>
      </c>
      <c r="AC73" s="22">
        <f>IF(AB73="",O73,INDEX('4_UK_L1_Input'!$D$4:$D$14,MATCH($C73,'4_UK_L1_Input'!$A$4:$A$14,0))*AB73)</f>
        <v/>
      </c>
      <c r="AD73" s="7">
        <f>IF(AB73="","BETA FALLBACK","REAL (Bloomberg UK)")</f>
        <v/>
      </c>
      <c r="AE73" s="23">
        <f>Y73-N73</f>
        <v/>
      </c>
      <c r="AF73" s="23">
        <f>AC73-O73</f>
        <v/>
      </c>
    </row>
    <row r="74">
      <c r="A74" s="7" t="n">
        <v>25503030</v>
      </c>
      <c r="B74" s="7" t="inlineStr">
        <is>
          <t>Broadline Retail</t>
        </is>
      </c>
      <c r="C74" s="7" t="n">
        <v>25</v>
      </c>
      <c r="D74" s="7" t="n">
        <v>2550</v>
      </c>
      <c r="E74" s="7" t="n">
        <v>255030</v>
      </c>
      <c r="F74" s="7" t="n">
        <v>0.817304</v>
      </c>
      <c r="G74" s="7" t="n">
        <v>1</v>
      </c>
      <c r="H74" s="11">
        <f>SUMPRODUCT(($E$3:$E$165=E74)*$G$3:$G$165*$F$3:$F$165)/SUMPRODUCT(($E$3:$E$165=E74)*$G$3:$G$165)</f>
        <v/>
      </c>
      <c r="I74" s="11">
        <f>SUMPRODUCT(($D$3:$D$165=D74)*$G$3:$G$165*$F$3:$F$165)/SUMPRODUCT(($D$3:$D$165=D74)*$G$3:$G$165)</f>
        <v/>
      </c>
      <c r="J74" s="11">
        <f>SUMPRODUCT(($C$3:$C$165=C74)*$G$3:$G$165*$F$3:$F$165)/SUMPRODUCT(($C$3:$C$165=C74)*$G$3:$G$165)</f>
        <v/>
      </c>
      <c r="K74" s="21">
        <f>I74/J74</f>
        <v/>
      </c>
      <c r="L74" s="21">
        <f>H74/I74</f>
        <v/>
      </c>
      <c r="M74" s="21">
        <f>F74/H74</f>
        <v/>
      </c>
      <c r="N74" s="22">
        <f>INDEX('4_UK_L1_Input'!$C$4:$C$14,MATCH($C74,'4_UK_L1_Input'!$A$4:$A$14,0))*K74*L74*M74</f>
        <v/>
      </c>
      <c r="O74" s="22">
        <f>INDEX('4_UK_L1_Input'!$D$4:$D$14,MATCH($C74,'4_UK_L1_Input'!$A$4:$A$14,0))*K74*L74*M74</f>
        <v/>
      </c>
      <c r="P74" s="15" t="n">
        <v>4510000000</v>
      </c>
      <c r="Q74" s="15" t="n">
        <v>12160000000</v>
      </c>
      <c r="R74" s="16" t="n">
        <v>7.87</v>
      </c>
      <c r="S74" s="11">
        <f>IFERROR(SUMPRODUCT(($E$3:$E$165=E74)*ISNUMBER($P$3:$P$165)*$P$3:$P$165*$F$3:$F$165)/SUMPRODUCT(($E$3:$E$165=E74)*ISNUMBER($P$3:$P$165)*$P$3:$P$165),"")</f>
        <v/>
      </c>
      <c r="T74" s="11">
        <f>IFERROR(SUMPRODUCT(($D$3:$D$165=D74)*ISNUMBER($P$3:$P$165)*$P$3:$P$165*$F$3:$F$165)/SUMPRODUCT(($D$3:$D$165=D74)*ISNUMBER($P$3:$P$165)*$P$3:$P$165),"")</f>
        <v/>
      </c>
      <c r="U74" s="11">
        <f>IFERROR(SUMPRODUCT(($C$3:$C$165=C74)*ISNUMBER($P$3:$P$165)*$P$3:$P$165*$F$3:$F$165)/SUMPRODUCT(($C$3:$C$165=C74)*ISNUMBER($P$3:$P$165)*$P$3:$P$165),"")</f>
        <v/>
      </c>
      <c r="V74" s="21">
        <f>IF(OR(T74="",U74=""),"",T74/U74)</f>
        <v/>
      </c>
      <c r="W74" s="21">
        <f>IF(OR(S74="",T74=""),"",S74/T74)</f>
        <v/>
      </c>
      <c r="X74" s="21">
        <f>IF(S74="","",F74/S74)</f>
        <v/>
      </c>
      <c r="Y74" s="22">
        <f>IF(V74="",N74,INDEX('4_UK_L1_Input'!$C$4:$C$14,MATCH($C74,'4_UK_L1_Input'!$A$4:$A$14,0))*V74*W74*X74)</f>
        <v/>
      </c>
      <c r="Z74" s="7">
        <f>IF(V74="","BETA FALLBACK","REAL (Bloomberg UK)")</f>
        <v/>
      </c>
      <c r="AA74" s="21">
        <f>IFERROR(SUMPRODUCT(($C$3:$C$165=C74)*ISNUMBER($R$3:$R$165)*$Q$3:$Q$165*IF(ISNUMBER($R$3:$R$165),$R$3:$R$165,0))/SUMPRODUCT(($C$3:$C$165=C74)*ISNUMBER($R$3:$R$165)*$Q$3:$Q$165),"")</f>
        <v/>
      </c>
      <c r="AB74" s="21">
        <f>IF(OR(R74="",AA74=""),"",R74/AA74)</f>
        <v/>
      </c>
      <c r="AC74" s="22">
        <f>IF(AB74="",O74,INDEX('4_UK_L1_Input'!$D$4:$D$14,MATCH($C74,'4_UK_L1_Input'!$A$4:$A$14,0))*AB74)</f>
        <v/>
      </c>
      <c r="AD74" s="7">
        <f>IF(AB74="","BETA FALLBACK","REAL (Bloomberg UK)")</f>
        <v/>
      </c>
      <c r="AE74" s="23">
        <f>Y74-N74</f>
        <v/>
      </c>
      <c r="AF74" s="23">
        <f>AC74-O74</f>
        <v/>
      </c>
    </row>
    <row r="75">
      <c r="A75" s="7" t="n">
        <v>25504010</v>
      </c>
      <c r="B75" s="7" t="inlineStr">
        <is>
          <t>Apparel Retail</t>
        </is>
      </c>
      <c r="C75" s="7" t="n">
        <v>25</v>
      </c>
      <c r="D75" s="7" t="n">
        <v>2550</v>
      </c>
      <c r="E75" s="7" t="n">
        <v>255040</v>
      </c>
      <c r="F75" s="7" t="n">
        <v>0.992175</v>
      </c>
      <c r="G75" s="7" t="n">
        <v>1</v>
      </c>
      <c r="H75" s="11">
        <f>SUMPRODUCT(($E$3:$E$165=E75)*$G$3:$G$165*$F$3:$F$165)/SUMPRODUCT(($E$3:$E$165=E75)*$G$3:$G$165)</f>
        <v/>
      </c>
      <c r="I75" s="11">
        <f>SUMPRODUCT(($D$3:$D$165=D75)*$G$3:$G$165*$F$3:$F$165)/SUMPRODUCT(($D$3:$D$165=D75)*$G$3:$G$165)</f>
        <v/>
      </c>
      <c r="J75" s="11">
        <f>SUMPRODUCT(($C$3:$C$165=C75)*$G$3:$G$165*$F$3:$F$165)/SUMPRODUCT(($C$3:$C$165=C75)*$G$3:$G$165)</f>
        <v/>
      </c>
      <c r="K75" s="21">
        <f>I75/J75</f>
        <v/>
      </c>
      <c r="L75" s="21">
        <f>H75/I75</f>
        <v/>
      </c>
      <c r="M75" s="21">
        <f>F75/H75</f>
        <v/>
      </c>
      <c r="N75" s="22">
        <f>INDEX('4_UK_L1_Input'!$C$4:$C$14,MATCH($C75,'4_UK_L1_Input'!$A$4:$A$14,0))*K75*L75*M75</f>
        <v/>
      </c>
      <c r="O75" s="22">
        <f>INDEX('4_UK_L1_Input'!$D$4:$D$14,MATCH($C75,'4_UK_L1_Input'!$A$4:$A$14,0))*K75*L75*M75</f>
        <v/>
      </c>
      <c r="P75" s="15" t="n">
        <v>1150000000</v>
      </c>
      <c r="Q75" s="15" t="n">
        <v>214680000</v>
      </c>
      <c r="R75" s="16" t="n">
        <v>5.56</v>
      </c>
      <c r="S75" s="11">
        <f>IFERROR(SUMPRODUCT(($E$3:$E$165=E75)*ISNUMBER($P$3:$P$165)*$P$3:$P$165*$F$3:$F$165)/SUMPRODUCT(($E$3:$E$165=E75)*ISNUMBER($P$3:$P$165)*$P$3:$P$165),"")</f>
        <v/>
      </c>
      <c r="T75" s="11">
        <f>IFERROR(SUMPRODUCT(($D$3:$D$165=D75)*ISNUMBER($P$3:$P$165)*$P$3:$P$165*$F$3:$F$165)/SUMPRODUCT(($D$3:$D$165=D75)*ISNUMBER($P$3:$P$165)*$P$3:$P$165),"")</f>
        <v/>
      </c>
      <c r="U75" s="11">
        <f>IFERROR(SUMPRODUCT(($C$3:$C$165=C75)*ISNUMBER($P$3:$P$165)*$P$3:$P$165*$F$3:$F$165)/SUMPRODUCT(($C$3:$C$165=C75)*ISNUMBER($P$3:$P$165)*$P$3:$P$165),"")</f>
        <v/>
      </c>
      <c r="V75" s="21">
        <f>IF(OR(T75="",U75=""),"",T75/U75)</f>
        <v/>
      </c>
      <c r="W75" s="21">
        <f>IF(OR(S75="",T75=""),"",S75/T75)</f>
        <v/>
      </c>
      <c r="X75" s="21">
        <f>IF(S75="","",F75/S75)</f>
        <v/>
      </c>
      <c r="Y75" s="22">
        <f>IF(V75="",N75,INDEX('4_UK_L1_Input'!$C$4:$C$14,MATCH($C75,'4_UK_L1_Input'!$A$4:$A$14,0))*V75*W75*X75)</f>
        <v/>
      </c>
      <c r="Z75" s="7">
        <f>IF(V75="","BETA FALLBACK","REAL (Bloomberg UK)")</f>
        <v/>
      </c>
      <c r="AA75" s="21">
        <f>IFERROR(SUMPRODUCT(($C$3:$C$165=C75)*ISNUMBER($R$3:$R$165)*$Q$3:$Q$165*IF(ISNUMBER($R$3:$R$165),$R$3:$R$165,0))/SUMPRODUCT(($C$3:$C$165=C75)*ISNUMBER($R$3:$R$165)*$Q$3:$Q$165),"")</f>
        <v/>
      </c>
      <c r="AB75" s="21">
        <f>IF(OR(R75="",AA75=""),"",R75/AA75)</f>
        <v/>
      </c>
      <c r="AC75" s="22">
        <f>IF(AB75="",O75,INDEX('4_UK_L1_Input'!$D$4:$D$14,MATCH($C75,'4_UK_L1_Input'!$A$4:$A$14,0))*AB75)</f>
        <v/>
      </c>
      <c r="AD75" s="7">
        <f>IF(AB75="","BETA FALLBACK","REAL (Bloomberg UK)")</f>
        <v/>
      </c>
      <c r="AE75" s="23">
        <f>Y75-N75</f>
        <v/>
      </c>
      <c r="AF75" s="23">
        <f>AC75-O75</f>
        <v/>
      </c>
    </row>
    <row r="76">
      <c r="A76" s="7" t="n">
        <v>25504020</v>
      </c>
      <c r="B76" s="7" t="inlineStr">
        <is>
          <t>Computer &amp; Electronics Retail</t>
        </is>
      </c>
      <c r="C76" s="7" t="n">
        <v>25</v>
      </c>
      <c r="D76" s="7" t="n">
        <v>2550</v>
      </c>
      <c r="E76" s="7" t="n">
        <v>255040</v>
      </c>
      <c r="F76" s="7" t="n">
        <v>0.992175</v>
      </c>
      <c r="G76" s="7" t="n">
        <v>1</v>
      </c>
      <c r="H76" s="11">
        <f>SUMPRODUCT(($E$3:$E$165=E76)*$G$3:$G$165*$F$3:$F$165)/SUMPRODUCT(($E$3:$E$165=E76)*$G$3:$G$165)</f>
        <v/>
      </c>
      <c r="I76" s="11">
        <f>SUMPRODUCT(($D$3:$D$165=D76)*$G$3:$G$165*$F$3:$F$165)/SUMPRODUCT(($D$3:$D$165=D76)*$G$3:$G$165)</f>
        <v/>
      </c>
      <c r="J76" s="11">
        <f>SUMPRODUCT(($C$3:$C$165=C76)*$G$3:$G$165*$F$3:$F$165)/SUMPRODUCT(($C$3:$C$165=C76)*$G$3:$G$165)</f>
        <v/>
      </c>
      <c r="K76" s="21">
        <f>I76/J76</f>
        <v/>
      </c>
      <c r="L76" s="21">
        <f>H76/I76</f>
        <v/>
      </c>
      <c r="M76" s="21">
        <f>F76/H76</f>
        <v/>
      </c>
      <c r="N76" s="22">
        <f>INDEX('4_UK_L1_Input'!$C$4:$C$14,MATCH($C76,'4_UK_L1_Input'!$A$4:$A$14,0))*K76*L76*M76</f>
        <v/>
      </c>
      <c r="O76" s="22">
        <f>INDEX('4_UK_L1_Input'!$D$4:$D$14,MATCH($C76,'4_UK_L1_Input'!$A$4:$A$14,0))*K76*L76*M76</f>
        <v/>
      </c>
      <c r="P76" s="15" t="n">
        <v>5260000000</v>
      </c>
      <c r="Q76" s="15" t="n">
        <v>1160000000</v>
      </c>
      <c r="R76" s="16" t="n">
        <v>5.19</v>
      </c>
      <c r="S76" s="11">
        <f>IFERROR(SUMPRODUCT(($E$3:$E$165=E76)*ISNUMBER($P$3:$P$165)*$P$3:$P$165*$F$3:$F$165)/SUMPRODUCT(($E$3:$E$165=E76)*ISNUMBER($P$3:$P$165)*$P$3:$P$165),"")</f>
        <v/>
      </c>
      <c r="T76" s="11">
        <f>IFERROR(SUMPRODUCT(($D$3:$D$165=D76)*ISNUMBER($P$3:$P$165)*$P$3:$P$165*$F$3:$F$165)/SUMPRODUCT(($D$3:$D$165=D76)*ISNUMBER($P$3:$P$165)*$P$3:$P$165),"")</f>
        <v/>
      </c>
      <c r="U76" s="11">
        <f>IFERROR(SUMPRODUCT(($C$3:$C$165=C76)*ISNUMBER($P$3:$P$165)*$P$3:$P$165*$F$3:$F$165)/SUMPRODUCT(($C$3:$C$165=C76)*ISNUMBER($P$3:$P$165)*$P$3:$P$165),"")</f>
        <v/>
      </c>
      <c r="V76" s="21">
        <f>IF(OR(T76="",U76=""),"",T76/U76)</f>
        <v/>
      </c>
      <c r="W76" s="21">
        <f>IF(OR(S76="",T76=""),"",S76/T76)</f>
        <v/>
      </c>
      <c r="X76" s="21">
        <f>IF(S76="","",F76/S76)</f>
        <v/>
      </c>
      <c r="Y76" s="22">
        <f>IF(V76="",N76,INDEX('4_UK_L1_Input'!$C$4:$C$14,MATCH($C76,'4_UK_L1_Input'!$A$4:$A$14,0))*V76*W76*X76)</f>
        <v/>
      </c>
      <c r="Z76" s="7">
        <f>IF(V76="","BETA FALLBACK","REAL (Bloomberg UK)")</f>
        <v/>
      </c>
      <c r="AA76" s="21">
        <f>IFERROR(SUMPRODUCT(($C$3:$C$165=C76)*ISNUMBER($R$3:$R$165)*$Q$3:$Q$165*IF(ISNUMBER($R$3:$R$165),$R$3:$R$165,0))/SUMPRODUCT(($C$3:$C$165=C76)*ISNUMBER($R$3:$R$165)*$Q$3:$Q$165),"")</f>
        <v/>
      </c>
      <c r="AB76" s="21">
        <f>IF(OR(R76="",AA76=""),"",R76/AA76)</f>
        <v/>
      </c>
      <c r="AC76" s="22">
        <f>IF(AB76="",O76,INDEX('4_UK_L1_Input'!$D$4:$D$14,MATCH($C76,'4_UK_L1_Input'!$A$4:$A$14,0))*AB76)</f>
        <v/>
      </c>
      <c r="AD76" s="7">
        <f>IF(AB76="","BETA FALLBACK","REAL (Bloomberg UK)")</f>
        <v/>
      </c>
      <c r="AE76" s="23">
        <f>Y76-N76</f>
        <v/>
      </c>
      <c r="AF76" s="23">
        <f>AC76-O76</f>
        <v/>
      </c>
    </row>
    <row r="77">
      <c r="A77" s="7" t="n">
        <v>25504030</v>
      </c>
      <c r="B77" s="7" t="inlineStr">
        <is>
          <t>Home Improvement Retail</t>
        </is>
      </c>
      <c r="C77" s="7" t="n">
        <v>25</v>
      </c>
      <c r="D77" s="7" t="n">
        <v>2550</v>
      </c>
      <c r="E77" s="7" t="n">
        <v>255040</v>
      </c>
      <c r="F77" s="7" t="n">
        <v>1.144036</v>
      </c>
      <c r="G77" s="7" t="n">
        <v>1</v>
      </c>
      <c r="H77" s="11">
        <f>SUMPRODUCT(($E$3:$E$165=E77)*$G$3:$G$165*$F$3:$F$165)/SUMPRODUCT(($E$3:$E$165=E77)*$G$3:$G$165)</f>
        <v/>
      </c>
      <c r="I77" s="11">
        <f>SUMPRODUCT(($D$3:$D$165=D77)*$G$3:$G$165*$F$3:$F$165)/SUMPRODUCT(($D$3:$D$165=D77)*$G$3:$G$165)</f>
        <v/>
      </c>
      <c r="J77" s="11">
        <f>SUMPRODUCT(($C$3:$C$165=C77)*$G$3:$G$165*$F$3:$F$165)/SUMPRODUCT(($C$3:$C$165=C77)*$G$3:$G$165)</f>
        <v/>
      </c>
      <c r="K77" s="21">
        <f>I77/J77</f>
        <v/>
      </c>
      <c r="L77" s="21">
        <f>H77/I77</f>
        <v/>
      </c>
      <c r="M77" s="21">
        <f>F77/H77</f>
        <v/>
      </c>
      <c r="N77" s="22">
        <f>INDEX('4_UK_L1_Input'!$C$4:$C$14,MATCH($C77,'4_UK_L1_Input'!$A$4:$A$14,0))*K77*L77*M77</f>
        <v/>
      </c>
      <c r="O77" s="22">
        <f>INDEX('4_UK_L1_Input'!$D$4:$D$14,MATCH($C77,'4_UK_L1_Input'!$A$4:$A$14,0))*K77*L77*M77</f>
        <v/>
      </c>
      <c r="P77" s="15" t="n">
        <v>3060000000</v>
      </c>
      <c r="Q77" s="15" t="n">
        <v>1250000000</v>
      </c>
      <c r="R77" s="16" t="n">
        <v>7.86</v>
      </c>
      <c r="S77" s="11">
        <f>IFERROR(SUMPRODUCT(($E$3:$E$165=E77)*ISNUMBER($P$3:$P$165)*$P$3:$P$165*$F$3:$F$165)/SUMPRODUCT(($E$3:$E$165=E77)*ISNUMBER($P$3:$P$165)*$P$3:$P$165),"")</f>
        <v/>
      </c>
      <c r="T77" s="11">
        <f>IFERROR(SUMPRODUCT(($D$3:$D$165=D77)*ISNUMBER($P$3:$P$165)*$P$3:$P$165*$F$3:$F$165)/SUMPRODUCT(($D$3:$D$165=D77)*ISNUMBER($P$3:$P$165)*$P$3:$P$165),"")</f>
        <v/>
      </c>
      <c r="U77" s="11">
        <f>IFERROR(SUMPRODUCT(($C$3:$C$165=C77)*ISNUMBER($P$3:$P$165)*$P$3:$P$165*$F$3:$F$165)/SUMPRODUCT(($C$3:$C$165=C77)*ISNUMBER($P$3:$P$165)*$P$3:$P$165),"")</f>
        <v/>
      </c>
      <c r="V77" s="21">
        <f>IF(OR(T77="",U77=""),"",T77/U77)</f>
        <v/>
      </c>
      <c r="W77" s="21">
        <f>IF(OR(S77="",T77=""),"",S77/T77)</f>
        <v/>
      </c>
      <c r="X77" s="21">
        <f>IF(S77="","",F77/S77)</f>
        <v/>
      </c>
      <c r="Y77" s="22">
        <f>IF(V77="",N77,INDEX('4_UK_L1_Input'!$C$4:$C$14,MATCH($C77,'4_UK_L1_Input'!$A$4:$A$14,0))*V77*W77*X77)</f>
        <v/>
      </c>
      <c r="Z77" s="7">
        <f>IF(V77="","BETA FALLBACK","REAL (Bloomberg UK)")</f>
        <v/>
      </c>
      <c r="AA77" s="21">
        <f>IFERROR(SUMPRODUCT(($C$3:$C$165=C77)*ISNUMBER($R$3:$R$165)*$Q$3:$Q$165*IF(ISNUMBER($R$3:$R$165),$R$3:$R$165,0))/SUMPRODUCT(($C$3:$C$165=C77)*ISNUMBER($R$3:$R$165)*$Q$3:$Q$165),"")</f>
        <v/>
      </c>
      <c r="AB77" s="21">
        <f>IF(OR(R77="",AA77=""),"",R77/AA77)</f>
        <v/>
      </c>
      <c r="AC77" s="22">
        <f>IF(AB77="",O77,INDEX('4_UK_L1_Input'!$D$4:$D$14,MATCH($C77,'4_UK_L1_Input'!$A$4:$A$14,0))*AB77)</f>
        <v/>
      </c>
      <c r="AD77" s="7">
        <f>IF(AB77="","BETA FALLBACK","REAL (Bloomberg UK)")</f>
        <v/>
      </c>
      <c r="AE77" s="23">
        <f>Y77-N77</f>
        <v/>
      </c>
      <c r="AF77" s="23">
        <f>AC77-O77</f>
        <v/>
      </c>
    </row>
    <row r="78">
      <c r="A78" s="7" t="n">
        <v>25504040</v>
      </c>
      <c r="B78" s="7" t="inlineStr">
        <is>
          <t>Other Specialty Retail</t>
        </is>
      </c>
      <c r="C78" s="7" t="n">
        <v>25</v>
      </c>
      <c r="D78" s="7" t="n">
        <v>2550</v>
      </c>
      <c r="E78" s="7" t="n">
        <v>255040</v>
      </c>
      <c r="F78" s="7" t="n">
        <v>0.992175</v>
      </c>
      <c r="G78" s="7" t="n">
        <v>1</v>
      </c>
      <c r="H78" s="11">
        <f>SUMPRODUCT(($E$3:$E$165=E78)*$G$3:$G$165*$F$3:$F$165)/SUMPRODUCT(($E$3:$E$165=E78)*$G$3:$G$165)</f>
        <v/>
      </c>
      <c r="I78" s="11">
        <f>SUMPRODUCT(($D$3:$D$165=D78)*$G$3:$G$165*$F$3:$F$165)/SUMPRODUCT(($D$3:$D$165=D78)*$G$3:$G$165)</f>
        <v/>
      </c>
      <c r="J78" s="11">
        <f>SUMPRODUCT(($C$3:$C$165=C78)*$G$3:$G$165*$F$3:$F$165)/SUMPRODUCT(($C$3:$C$165=C78)*$G$3:$G$165)</f>
        <v/>
      </c>
      <c r="K78" s="21">
        <f>I78/J78</f>
        <v/>
      </c>
      <c r="L78" s="21">
        <f>H78/I78</f>
        <v/>
      </c>
      <c r="M78" s="21">
        <f>F78/H78</f>
        <v/>
      </c>
      <c r="N78" s="22">
        <f>INDEX('4_UK_L1_Input'!$C$4:$C$14,MATCH($C78,'4_UK_L1_Input'!$A$4:$A$14,0))*K78*L78*M78</f>
        <v/>
      </c>
      <c r="O78" s="22">
        <f>INDEX('4_UK_L1_Input'!$D$4:$D$14,MATCH($C78,'4_UK_L1_Input'!$A$4:$A$14,0))*K78*L78*M78</f>
        <v/>
      </c>
      <c r="P78" s="15" t="n">
        <v>2200000000</v>
      </c>
      <c r="Q78" s="15" t="n">
        <v>1170000000</v>
      </c>
      <c r="R78" s="16" t="n">
        <v>5.13</v>
      </c>
      <c r="S78" s="11">
        <f>IFERROR(SUMPRODUCT(($E$3:$E$165=E78)*ISNUMBER($P$3:$P$165)*$P$3:$P$165*$F$3:$F$165)/SUMPRODUCT(($E$3:$E$165=E78)*ISNUMBER($P$3:$P$165)*$P$3:$P$165),"")</f>
        <v/>
      </c>
      <c r="T78" s="11">
        <f>IFERROR(SUMPRODUCT(($D$3:$D$165=D78)*ISNUMBER($P$3:$P$165)*$P$3:$P$165*$F$3:$F$165)/SUMPRODUCT(($D$3:$D$165=D78)*ISNUMBER($P$3:$P$165)*$P$3:$P$165),"")</f>
        <v/>
      </c>
      <c r="U78" s="11">
        <f>IFERROR(SUMPRODUCT(($C$3:$C$165=C78)*ISNUMBER($P$3:$P$165)*$P$3:$P$165*$F$3:$F$165)/SUMPRODUCT(($C$3:$C$165=C78)*ISNUMBER($P$3:$P$165)*$P$3:$P$165),"")</f>
        <v/>
      </c>
      <c r="V78" s="21">
        <f>IF(OR(T78="",U78=""),"",T78/U78)</f>
        <v/>
      </c>
      <c r="W78" s="21">
        <f>IF(OR(S78="",T78=""),"",S78/T78)</f>
        <v/>
      </c>
      <c r="X78" s="21">
        <f>IF(S78="","",F78/S78)</f>
        <v/>
      </c>
      <c r="Y78" s="22">
        <f>IF(V78="",N78,INDEX('4_UK_L1_Input'!$C$4:$C$14,MATCH($C78,'4_UK_L1_Input'!$A$4:$A$14,0))*V78*W78*X78)</f>
        <v/>
      </c>
      <c r="Z78" s="7">
        <f>IF(V78="","BETA FALLBACK","REAL (Bloomberg UK)")</f>
        <v/>
      </c>
      <c r="AA78" s="21">
        <f>IFERROR(SUMPRODUCT(($C$3:$C$165=C78)*ISNUMBER($R$3:$R$165)*$Q$3:$Q$165*IF(ISNUMBER($R$3:$R$165),$R$3:$R$165,0))/SUMPRODUCT(($C$3:$C$165=C78)*ISNUMBER($R$3:$R$165)*$Q$3:$Q$165),"")</f>
        <v/>
      </c>
      <c r="AB78" s="21">
        <f>IF(OR(R78="",AA78=""),"",R78/AA78)</f>
        <v/>
      </c>
      <c r="AC78" s="22">
        <f>IF(AB78="",O78,INDEX('4_UK_L1_Input'!$D$4:$D$14,MATCH($C78,'4_UK_L1_Input'!$A$4:$A$14,0))*AB78)</f>
        <v/>
      </c>
      <c r="AD78" s="7">
        <f>IF(AB78="","BETA FALLBACK","REAL (Bloomberg UK)")</f>
        <v/>
      </c>
      <c r="AE78" s="23">
        <f>Y78-N78</f>
        <v/>
      </c>
      <c r="AF78" s="23">
        <f>AC78-O78</f>
        <v/>
      </c>
    </row>
    <row r="79">
      <c r="A79" s="7" t="n">
        <v>25504050</v>
      </c>
      <c r="B79" s="7" t="inlineStr">
        <is>
          <t>Automotive Retail</t>
        </is>
      </c>
      <c r="C79" s="7" t="n">
        <v>25</v>
      </c>
      <c r="D79" s="7" t="n">
        <v>2550</v>
      </c>
      <c r="E79" s="7" t="n">
        <v>255040</v>
      </c>
      <c r="F79" s="7" t="n">
        <v>0.755912</v>
      </c>
      <c r="G79" s="7" t="n">
        <v>1</v>
      </c>
      <c r="H79" s="11">
        <f>SUMPRODUCT(($E$3:$E$165=E79)*$G$3:$G$165*$F$3:$F$165)/SUMPRODUCT(($E$3:$E$165=E79)*$G$3:$G$165)</f>
        <v/>
      </c>
      <c r="I79" s="11">
        <f>SUMPRODUCT(($D$3:$D$165=D79)*$G$3:$G$165*$F$3:$F$165)/SUMPRODUCT(($D$3:$D$165=D79)*$G$3:$G$165)</f>
        <v/>
      </c>
      <c r="J79" s="11">
        <f>SUMPRODUCT(($C$3:$C$165=C79)*$G$3:$G$165*$F$3:$F$165)/SUMPRODUCT(($C$3:$C$165=C79)*$G$3:$G$165)</f>
        <v/>
      </c>
      <c r="K79" s="21">
        <f>I79/J79</f>
        <v/>
      </c>
      <c r="L79" s="21">
        <f>H79/I79</f>
        <v/>
      </c>
      <c r="M79" s="21">
        <f>F79/H79</f>
        <v/>
      </c>
      <c r="N79" s="22">
        <f>INDEX('4_UK_L1_Input'!$C$4:$C$14,MATCH($C79,'4_UK_L1_Input'!$A$4:$A$14,0))*K79*L79*M79</f>
        <v/>
      </c>
      <c r="O79" s="22">
        <f>INDEX('4_UK_L1_Input'!$D$4:$D$14,MATCH($C79,'4_UK_L1_Input'!$A$4:$A$14,0))*K79*L79*M79</f>
        <v/>
      </c>
      <c r="P79" s="15" t="n">
        <v>1830000000</v>
      </c>
      <c r="Q79" s="15" t="n">
        <v>228880000</v>
      </c>
      <c r="R79" s="16" t="n">
        <v>3.55</v>
      </c>
      <c r="S79" s="11">
        <f>IFERROR(SUMPRODUCT(($E$3:$E$165=E79)*ISNUMBER($P$3:$P$165)*$P$3:$P$165*$F$3:$F$165)/SUMPRODUCT(($E$3:$E$165=E79)*ISNUMBER($P$3:$P$165)*$P$3:$P$165),"")</f>
        <v/>
      </c>
      <c r="T79" s="11">
        <f>IFERROR(SUMPRODUCT(($D$3:$D$165=D79)*ISNUMBER($P$3:$P$165)*$P$3:$P$165*$F$3:$F$165)/SUMPRODUCT(($D$3:$D$165=D79)*ISNUMBER($P$3:$P$165)*$P$3:$P$165),"")</f>
        <v/>
      </c>
      <c r="U79" s="11">
        <f>IFERROR(SUMPRODUCT(($C$3:$C$165=C79)*ISNUMBER($P$3:$P$165)*$P$3:$P$165*$F$3:$F$165)/SUMPRODUCT(($C$3:$C$165=C79)*ISNUMBER($P$3:$P$165)*$P$3:$P$165),"")</f>
        <v/>
      </c>
      <c r="V79" s="21">
        <f>IF(OR(T79="",U79=""),"",T79/U79)</f>
        <v/>
      </c>
      <c r="W79" s="21">
        <f>IF(OR(S79="",T79=""),"",S79/T79)</f>
        <v/>
      </c>
      <c r="X79" s="21">
        <f>IF(S79="","",F79/S79)</f>
        <v/>
      </c>
      <c r="Y79" s="22">
        <f>IF(V79="",N79,INDEX('4_UK_L1_Input'!$C$4:$C$14,MATCH($C79,'4_UK_L1_Input'!$A$4:$A$14,0))*V79*W79*X79)</f>
        <v/>
      </c>
      <c r="Z79" s="7">
        <f>IF(V79="","BETA FALLBACK","REAL (Bloomberg UK)")</f>
        <v/>
      </c>
      <c r="AA79" s="21">
        <f>IFERROR(SUMPRODUCT(($C$3:$C$165=C79)*ISNUMBER($R$3:$R$165)*$Q$3:$Q$165*IF(ISNUMBER($R$3:$R$165),$R$3:$R$165,0))/SUMPRODUCT(($C$3:$C$165=C79)*ISNUMBER($R$3:$R$165)*$Q$3:$Q$165),"")</f>
        <v/>
      </c>
      <c r="AB79" s="21">
        <f>IF(OR(R79="",AA79=""),"",R79/AA79)</f>
        <v/>
      </c>
      <c r="AC79" s="22">
        <f>IF(AB79="",O79,INDEX('4_UK_L1_Input'!$D$4:$D$14,MATCH($C79,'4_UK_L1_Input'!$A$4:$A$14,0))*AB79)</f>
        <v/>
      </c>
      <c r="AD79" s="7">
        <f>IF(AB79="","BETA FALLBACK","REAL (Bloomberg UK)")</f>
        <v/>
      </c>
      <c r="AE79" s="23">
        <f>Y79-N79</f>
        <v/>
      </c>
      <c r="AF79" s="23">
        <f>AC79-O79</f>
        <v/>
      </c>
    </row>
    <row r="80">
      <c r="A80" s="7" t="n">
        <v>25504060</v>
      </c>
      <c r="B80" s="7" t="inlineStr">
        <is>
          <t>Homefurnishing Retail</t>
        </is>
      </c>
      <c r="C80" s="7" t="n">
        <v>25</v>
      </c>
      <c r="D80" s="7" t="n">
        <v>2550</v>
      </c>
      <c r="E80" s="7" t="n">
        <v>255040</v>
      </c>
      <c r="F80" s="7" t="n">
        <v>0.992175</v>
      </c>
      <c r="G80" s="7" t="n">
        <v>1</v>
      </c>
      <c r="H80" s="11">
        <f>SUMPRODUCT(($E$3:$E$165=E80)*$G$3:$G$165*$F$3:$F$165)/SUMPRODUCT(($E$3:$E$165=E80)*$G$3:$G$165)</f>
        <v/>
      </c>
      <c r="I80" s="11">
        <f>SUMPRODUCT(($D$3:$D$165=D80)*$G$3:$G$165*$F$3:$F$165)/SUMPRODUCT(($D$3:$D$165=D80)*$G$3:$G$165)</f>
        <v/>
      </c>
      <c r="J80" s="11">
        <f>SUMPRODUCT(($C$3:$C$165=C80)*$G$3:$G$165*$F$3:$F$165)/SUMPRODUCT(($C$3:$C$165=C80)*$G$3:$G$165)</f>
        <v/>
      </c>
      <c r="K80" s="21">
        <f>I80/J80</f>
        <v/>
      </c>
      <c r="L80" s="21">
        <f>H80/I80</f>
        <v/>
      </c>
      <c r="M80" s="21">
        <f>F80/H80</f>
        <v/>
      </c>
      <c r="N80" s="22">
        <f>INDEX('4_UK_L1_Input'!$C$4:$C$14,MATCH($C80,'4_UK_L1_Input'!$A$4:$A$14,0))*K80*L80*M80</f>
        <v/>
      </c>
      <c r="O80" s="22">
        <f>INDEX('4_UK_L1_Input'!$D$4:$D$14,MATCH($C80,'4_UK_L1_Input'!$A$4:$A$14,0))*K80*L80*M80</f>
        <v/>
      </c>
      <c r="P80" s="15" t="n">
        <v>359370000</v>
      </c>
      <c r="Q80" s="15" t="n">
        <v>740720000</v>
      </c>
      <c r="R80" s="16" t="n">
        <v>4.6</v>
      </c>
      <c r="S80" s="11">
        <f>IFERROR(SUMPRODUCT(($E$3:$E$165=E80)*ISNUMBER($P$3:$P$165)*$P$3:$P$165*$F$3:$F$165)/SUMPRODUCT(($E$3:$E$165=E80)*ISNUMBER($P$3:$P$165)*$P$3:$P$165),"")</f>
        <v/>
      </c>
      <c r="T80" s="11">
        <f>IFERROR(SUMPRODUCT(($D$3:$D$165=D80)*ISNUMBER($P$3:$P$165)*$P$3:$P$165*$F$3:$F$165)/SUMPRODUCT(($D$3:$D$165=D80)*ISNUMBER($P$3:$P$165)*$P$3:$P$165),"")</f>
        <v/>
      </c>
      <c r="U80" s="11">
        <f>IFERROR(SUMPRODUCT(($C$3:$C$165=C80)*ISNUMBER($P$3:$P$165)*$P$3:$P$165*$F$3:$F$165)/SUMPRODUCT(($C$3:$C$165=C80)*ISNUMBER($P$3:$P$165)*$P$3:$P$165),"")</f>
        <v/>
      </c>
      <c r="V80" s="21">
        <f>IF(OR(T80="",U80=""),"",T80/U80)</f>
        <v/>
      </c>
      <c r="W80" s="21">
        <f>IF(OR(S80="",T80=""),"",S80/T80)</f>
        <v/>
      </c>
      <c r="X80" s="21">
        <f>IF(S80="","",F80/S80)</f>
        <v/>
      </c>
      <c r="Y80" s="22">
        <f>IF(V80="",N80,INDEX('4_UK_L1_Input'!$C$4:$C$14,MATCH($C80,'4_UK_L1_Input'!$A$4:$A$14,0))*V80*W80*X80)</f>
        <v/>
      </c>
      <c r="Z80" s="7">
        <f>IF(V80="","BETA FALLBACK","REAL (Bloomberg UK)")</f>
        <v/>
      </c>
      <c r="AA80" s="21">
        <f>IFERROR(SUMPRODUCT(($C$3:$C$165=C80)*ISNUMBER($R$3:$R$165)*$Q$3:$Q$165*IF(ISNUMBER($R$3:$R$165),$R$3:$R$165,0))/SUMPRODUCT(($C$3:$C$165=C80)*ISNUMBER($R$3:$R$165)*$Q$3:$Q$165),"")</f>
        <v/>
      </c>
      <c r="AB80" s="21">
        <f>IF(OR(R80="",AA80=""),"",R80/AA80)</f>
        <v/>
      </c>
      <c r="AC80" s="22">
        <f>IF(AB80="",O80,INDEX('4_UK_L1_Input'!$D$4:$D$14,MATCH($C80,'4_UK_L1_Input'!$A$4:$A$14,0))*AB80)</f>
        <v/>
      </c>
      <c r="AD80" s="7">
        <f>IF(AB80="","BETA FALLBACK","REAL (Bloomberg UK)")</f>
        <v/>
      </c>
      <c r="AE80" s="23">
        <f>Y80-N80</f>
        <v/>
      </c>
      <c r="AF80" s="23">
        <f>AC80-O80</f>
        <v/>
      </c>
    </row>
    <row r="81">
      <c r="A81" s="7" t="n">
        <v>30101010</v>
      </c>
      <c r="B81" s="7" t="inlineStr">
        <is>
          <t>Drug Retail</t>
        </is>
      </c>
      <c r="C81" s="7" t="n">
        <v>30</v>
      </c>
      <c r="D81" s="7" t="n">
        <v>3010</v>
      </c>
      <c r="E81" s="7" t="n">
        <v>301010</v>
      </c>
      <c r="F81" s="7" t="n">
        <v>0.869404</v>
      </c>
      <c r="G81" s="7" t="n">
        <v>1</v>
      </c>
      <c r="H81" s="11">
        <f>SUMPRODUCT(($E$3:$E$165=E81)*$G$3:$G$165*$F$3:$F$165)/SUMPRODUCT(($E$3:$E$165=E81)*$G$3:$G$165)</f>
        <v/>
      </c>
      <c r="I81" s="11">
        <f>SUMPRODUCT(($D$3:$D$165=D81)*$G$3:$G$165*$F$3:$F$165)/SUMPRODUCT(($D$3:$D$165=D81)*$G$3:$G$165)</f>
        <v/>
      </c>
      <c r="J81" s="11">
        <f>SUMPRODUCT(($C$3:$C$165=C81)*$G$3:$G$165*$F$3:$F$165)/SUMPRODUCT(($C$3:$C$165=C81)*$G$3:$G$165)</f>
        <v/>
      </c>
      <c r="K81" s="21">
        <f>I81/J81</f>
        <v/>
      </c>
      <c r="L81" s="21">
        <f>H81/I81</f>
        <v/>
      </c>
      <c r="M81" s="21">
        <f>F81/H81</f>
        <v/>
      </c>
      <c r="N81" s="22">
        <f>INDEX('4_UK_L1_Input'!$C$4:$C$14,MATCH($C81,'4_UK_L1_Input'!$A$4:$A$14,0))*K81*L81*M81</f>
        <v/>
      </c>
      <c r="O81" s="22">
        <f>INDEX('4_UK_L1_Input'!$D$4:$D$14,MATCH($C81,'4_UK_L1_Input'!$A$4:$A$14,0))*K81*L81*M81</f>
        <v/>
      </c>
      <c r="P81" s="14" t="n"/>
      <c r="Q81" s="15" t="n">
        <v>55230000</v>
      </c>
      <c r="R81" s="14" t="n"/>
      <c r="S81" s="11">
        <f>IFERROR(SUMPRODUCT(($E$3:$E$165=E81)*ISNUMBER($P$3:$P$165)*$P$3:$P$165*$F$3:$F$165)/SUMPRODUCT(($E$3:$E$165=E81)*ISNUMBER($P$3:$P$165)*$P$3:$P$165),"")</f>
        <v/>
      </c>
      <c r="T81" s="11">
        <f>IFERROR(SUMPRODUCT(($D$3:$D$165=D81)*ISNUMBER($P$3:$P$165)*$P$3:$P$165*$F$3:$F$165)/SUMPRODUCT(($D$3:$D$165=D81)*ISNUMBER($P$3:$P$165)*$P$3:$P$165),"")</f>
        <v/>
      </c>
      <c r="U81" s="11">
        <f>IFERROR(SUMPRODUCT(($C$3:$C$165=C81)*ISNUMBER($P$3:$P$165)*$P$3:$P$165*$F$3:$F$165)/SUMPRODUCT(($C$3:$C$165=C81)*ISNUMBER($P$3:$P$165)*$P$3:$P$165),"")</f>
        <v/>
      </c>
      <c r="V81" s="21">
        <f>IF(OR(T81="",U81=""),"",T81/U81)</f>
        <v/>
      </c>
      <c r="W81" s="21">
        <f>IF(OR(S81="",T81=""),"",S81/T81)</f>
        <v/>
      </c>
      <c r="X81" s="21">
        <f>IF(S81="","",F81/S81)</f>
        <v/>
      </c>
      <c r="Y81" s="22">
        <f>IF(V81="",N81,INDEX('4_UK_L1_Input'!$C$4:$C$14,MATCH($C81,'4_UK_L1_Input'!$A$4:$A$14,0))*V81*W81*X81)</f>
        <v/>
      </c>
      <c r="Z81" s="7">
        <f>IF(V81="","BETA FALLBACK","REAL (Bloomberg UK)")</f>
        <v/>
      </c>
      <c r="AA81" s="21">
        <f>IFERROR(SUMPRODUCT(($C$3:$C$165=C81)*ISNUMBER($R$3:$R$165)*$Q$3:$Q$165*IF(ISNUMBER($R$3:$R$165),$R$3:$R$165,0))/SUMPRODUCT(($C$3:$C$165=C81)*ISNUMBER($R$3:$R$165)*$Q$3:$Q$165),"")</f>
        <v/>
      </c>
      <c r="AB81" s="21">
        <f>IF(OR(R81="",AA81=""),"",R81/AA81)</f>
        <v/>
      </c>
      <c r="AC81" s="22">
        <f>IF(AB81="",O81,INDEX('4_UK_L1_Input'!$D$4:$D$14,MATCH($C81,'4_UK_L1_Input'!$A$4:$A$14,0))*AB81)</f>
        <v/>
      </c>
      <c r="AD81" s="7">
        <f>IF(AB81="","BETA FALLBACK","REAL (Bloomberg UK)")</f>
        <v/>
      </c>
      <c r="AE81" s="23">
        <f>Y81-N81</f>
        <v/>
      </c>
      <c r="AF81" s="23">
        <f>AC81-O81</f>
        <v/>
      </c>
    </row>
    <row r="82">
      <c r="A82" s="7" t="n">
        <v>30101020</v>
      </c>
      <c r="B82" s="7" t="inlineStr">
        <is>
          <t>Food Distributors</t>
        </is>
      </c>
      <c r="C82" s="7" t="n">
        <v>30</v>
      </c>
      <c r="D82" s="7" t="n">
        <v>3010</v>
      </c>
      <c r="E82" s="7" t="n">
        <v>301010</v>
      </c>
      <c r="F82" s="7" t="n">
        <v>0.75785</v>
      </c>
      <c r="G82" s="7" t="n">
        <v>1</v>
      </c>
      <c r="H82" s="11">
        <f>SUMPRODUCT(($E$3:$E$165=E82)*$G$3:$G$165*$F$3:$F$165)/SUMPRODUCT(($E$3:$E$165=E82)*$G$3:$G$165)</f>
        <v/>
      </c>
      <c r="I82" s="11">
        <f>SUMPRODUCT(($D$3:$D$165=D82)*$G$3:$G$165*$F$3:$F$165)/SUMPRODUCT(($D$3:$D$165=D82)*$G$3:$G$165)</f>
        <v/>
      </c>
      <c r="J82" s="11">
        <f>SUMPRODUCT(($C$3:$C$165=C82)*$G$3:$G$165*$F$3:$F$165)/SUMPRODUCT(($C$3:$C$165=C82)*$G$3:$G$165)</f>
        <v/>
      </c>
      <c r="K82" s="21">
        <f>I82/J82</f>
        <v/>
      </c>
      <c r="L82" s="21">
        <f>H82/I82</f>
        <v/>
      </c>
      <c r="M82" s="21">
        <f>F82/H82</f>
        <v/>
      </c>
      <c r="N82" s="22">
        <f>INDEX('4_UK_L1_Input'!$C$4:$C$14,MATCH($C82,'4_UK_L1_Input'!$A$4:$A$14,0))*K82*L82*M82</f>
        <v/>
      </c>
      <c r="O82" s="22">
        <f>INDEX('4_UK_L1_Input'!$D$4:$D$14,MATCH($C82,'4_UK_L1_Input'!$A$4:$A$14,0))*K82*L82*M82</f>
        <v/>
      </c>
      <c r="P82" s="14" t="n"/>
      <c r="Q82" s="14" t="n"/>
      <c r="R82" s="14" t="n"/>
      <c r="S82" s="11">
        <f>IFERROR(SUMPRODUCT(($E$3:$E$165=E82)*ISNUMBER($P$3:$P$165)*$P$3:$P$165*$F$3:$F$165)/SUMPRODUCT(($E$3:$E$165=E82)*ISNUMBER($P$3:$P$165)*$P$3:$P$165),"")</f>
        <v/>
      </c>
      <c r="T82" s="11">
        <f>IFERROR(SUMPRODUCT(($D$3:$D$165=D82)*ISNUMBER($P$3:$P$165)*$P$3:$P$165*$F$3:$F$165)/SUMPRODUCT(($D$3:$D$165=D82)*ISNUMBER($P$3:$P$165)*$P$3:$P$165),"")</f>
        <v/>
      </c>
      <c r="U82" s="11">
        <f>IFERROR(SUMPRODUCT(($C$3:$C$165=C82)*ISNUMBER($P$3:$P$165)*$P$3:$P$165*$F$3:$F$165)/SUMPRODUCT(($C$3:$C$165=C82)*ISNUMBER($P$3:$P$165)*$P$3:$P$165),"")</f>
        <v/>
      </c>
      <c r="V82" s="21">
        <f>IF(OR(T82="",U82=""),"",T82/U82)</f>
        <v/>
      </c>
      <c r="W82" s="21">
        <f>IF(OR(S82="",T82=""),"",S82/T82)</f>
        <v/>
      </c>
      <c r="X82" s="21">
        <f>IF(S82="","",F82/S82)</f>
        <v/>
      </c>
      <c r="Y82" s="22">
        <f>IF(V82="",N82,INDEX('4_UK_L1_Input'!$C$4:$C$14,MATCH($C82,'4_UK_L1_Input'!$A$4:$A$14,0))*V82*W82*X82)</f>
        <v/>
      </c>
      <c r="Z82" s="7">
        <f>IF(V82="","BETA FALLBACK","REAL (Bloomberg UK)")</f>
        <v/>
      </c>
      <c r="AA82" s="21">
        <f>IFERROR(SUMPRODUCT(($C$3:$C$165=C82)*ISNUMBER($R$3:$R$165)*$Q$3:$Q$165*IF(ISNUMBER($R$3:$R$165),$R$3:$R$165,0))/SUMPRODUCT(($C$3:$C$165=C82)*ISNUMBER($R$3:$R$165)*$Q$3:$Q$165),"")</f>
        <v/>
      </c>
      <c r="AB82" s="21">
        <f>IF(OR(R82="",AA82=""),"",R82/AA82)</f>
        <v/>
      </c>
      <c r="AC82" s="22">
        <f>IF(AB82="",O82,INDEX('4_UK_L1_Input'!$D$4:$D$14,MATCH($C82,'4_UK_L1_Input'!$A$4:$A$14,0))*AB82)</f>
        <v/>
      </c>
      <c r="AD82" s="7">
        <f>IF(AB82="","BETA FALLBACK","REAL (Bloomberg UK)")</f>
        <v/>
      </c>
      <c r="AE82" s="23">
        <f>Y82-N82</f>
        <v/>
      </c>
      <c r="AF82" s="23">
        <f>AC82-O82</f>
        <v/>
      </c>
    </row>
    <row r="83">
      <c r="A83" s="7" t="n">
        <v>30101030</v>
      </c>
      <c r="B83" s="7" t="inlineStr">
        <is>
          <t>Food Retail</t>
        </is>
      </c>
      <c r="C83" s="7" t="n">
        <v>30</v>
      </c>
      <c r="D83" s="7" t="n">
        <v>3010</v>
      </c>
      <c r="E83" s="7" t="n">
        <v>301010</v>
      </c>
      <c r="F83" s="7" t="n">
        <v>0.869404</v>
      </c>
      <c r="G83" s="7" t="n">
        <v>1</v>
      </c>
      <c r="H83" s="11">
        <f>SUMPRODUCT(($E$3:$E$165=E83)*$G$3:$G$165*$F$3:$F$165)/SUMPRODUCT(($E$3:$E$165=E83)*$G$3:$G$165)</f>
        <v/>
      </c>
      <c r="I83" s="11">
        <f>SUMPRODUCT(($D$3:$D$165=D83)*$G$3:$G$165*$F$3:$F$165)/SUMPRODUCT(($D$3:$D$165=D83)*$G$3:$G$165)</f>
        <v/>
      </c>
      <c r="J83" s="11">
        <f>SUMPRODUCT(($C$3:$C$165=C83)*$G$3:$G$165*$F$3:$F$165)/SUMPRODUCT(($C$3:$C$165=C83)*$G$3:$G$165)</f>
        <v/>
      </c>
      <c r="K83" s="21">
        <f>I83/J83</f>
        <v/>
      </c>
      <c r="L83" s="21">
        <f>H83/I83</f>
        <v/>
      </c>
      <c r="M83" s="21">
        <f>F83/H83</f>
        <v/>
      </c>
      <c r="N83" s="22">
        <f>INDEX('4_UK_L1_Input'!$C$4:$C$14,MATCH($C83,'4_UK_L1_Input'!$A$4:$A$14,0))*K83*L83*M83</f>
        <v/>
      </c>
      <c r="O83" s="22">
        <f>INDEX('4_UK_L1_Input'!$D$4:$D$14,MATCH($C83,'4_UK_L1_Input'!$A$4:$A$14,0))*K83*L83*M83</f>
        <v/>
      </c>
      <c r="P83" s="15" t="n">
        <v>18100000000</v>
      </c>
      <c r="Q83" s="15" t="n">
        <v>6860000000</v>
      </c>
      <c r="R83" s="16" t="n">
        <v>5.77</v>
      </c>
      <c r="S83" s="11">
        <f>IFERROR(SUMPRODUCT(($E$3:$E$165=E83)*ISNUMBER($P$3:$P$165)*$P$3:$P$165*$F$3:$F$165)/SUMPRODUCT(($E$3:$E$165=E83)*ISNUMBER($P$3:$P$165)*$P$3:$P$165),"")</f>
        <v/>
      </c>
      <c r="T83" s="11">
        <f>IFERROR(SUMPRODUCT(($D$3:$D$165=D83)*ISNUMBER($P$3:$P$165)*$P$3:$P$165*$F$3:$F$165)/SUMPRODUCT(($D$3:$D$165=D83)*ISNUMBER($P$3:$P$165)*$P$3:$P$165),"")</f>
        <v/>
      </c>
      <c r="U83" s="11">
        <f>IFERROR(SUMPRODUCT(($C$3:$C$165=C83)*ISNUMBER($P$3:$P$165)*$P$3:$P$165*$F$3:$F$165)/SUMPRODUCT(($C$3:$C$165=C83)*ISNUMBER($P$3:$P$165)*$P$3:$P$165),"")</f>
        <v/>
      </c>
      <c r="V83" s="21">
        <f>IF(OR(T83="",U83=""),"",T83/U83)</f>
        <v/>
      </c>
      <c r="W83" s="21">
        <f>IF(OR(S83="",T83=""),"",S83/T83)</f>
        <v/>
      </c>
      <c r="X83" s="21">
        <f>IF(S83="","",F83/S83)</f>
        <v/>
      </c>
      <c r="Y83" s="22">
        <f>IF(V83="",N83,INDEX('4_UK_L1_Input'!$C$4:$C$14,MATCH($C83,'4_UK_L1_Input'!$A$4:$A$14,0))*V83*W83*X83)</f>
        <v/>
      </c>
      <c r="Z83" s="7">
        <f>IF(V83="","BETA FALLBACK","REAL (Bloomberg UK)")</f>
        <v/>
      </c>
      <c r="AA83" s="21">
        <f>IFERROR(SUMPRODUCT(($C$3:$C$165=C83)*ISNUMBER($R$3:$R$165)*$Q$3:$Q$165*IF(ISNUMBER($R$3:$R$165),$R$3:$R$165,0))/SUMPRODUCT(($C$3:$C$165=C83)*ISNUMBER($R$3:$R$165)*$Q$3:$Q$165),"")</f>
        <v/>
      </c>
      <c r="AB83" s="21">
        <f>IF(OR(R83="",AA83=""),"",R83/AA83)</f>
        <v/>
      </c>
      <c r="AC83" s="22">
        <f>IF(AB83="",O83,INDEX('4_UK_L1_Input'!$D$4:$D$14,MATCH($C83,'4_UK_L1_Input'!$A$4:$A$14,0))*AB83)</f>
        <v/>
      </c>
      <c r="AD83" s="7">
        <f>IF(AB83="","BETA FALLBACK","REAL (Bloomberg UK)")</f>
        <v/>
      </c>
      <c r="AE83" s="23">
        <f>Y83-N83</f>
        <v/>
      </c>
      <c r="AF83" s="23">
        <f>AC83-O83</f>
        <v/>
      </c>
    </row>
    <row r="84">
      <c r="A84" s="7" t="n">
        <v>30101040</v>
      </c>
      <c r="B84" s="7" t="inlineStr">
        <is>
          <t>Consumer Staples Merchandise Retail</t>
        </is>
      </c>
      <c r="C84" s="7" t="n">
        <v>30</v>
      </c>
      <c r="D84" s="7" t="n">
        <v>3010</v>
      </c>
      <c r="E84" s="7" t="n">
        <v>301010</v>
      </c>
      <c r="F84" s="7" t="n">
        <v>0.869404</v>
      </c>
      <c r="G84" s="7" t="n">
        <v>1</v>
      </c>
      <c r="H84" s="11">
        <f>SUMPRODUCT(($E$3:$E$165=E84)*$G$3:$G$165*$F$3:$F$165)/SUMPRODUCT(($E$3:$E$165=E84)*$G$3:$G$165)</f>
        <v/>
      </c>
      <c r="I84" s="11">
        <f>SUMPRODUCT(($D$3:$D$165=D84)*$G$3:$G$165*$F$3:$F$165)/SUMPRODUCT(($D$3:$D$165=D84)*$G$3:$G$165)</f>
        <v/>
      </c>
      <c r="J84" s="11">
        <f>SUMPRODUCT(($C$3:$C$165=C84)*$G$3:$G$165*$F$3:$F$165)/SUMPRODUCT(($C$3:$C$165=C84)*$G$3:$G$165)</f>
        <v/>
      </c>
      <c r="K84" s="21">
        <f>I84/J84</f>
        <v/>
      </c>
      <c r="L84" s="21">
        <f>H84/I84</f>
        <v/>
      </c>
      <c r="M84" s="21">
        <f>F84/H84</f>
        <v/>
      </c>
      <c r="N84" s="22">
        <f>INDEX('4_UK_L1_Input'!$C$4:$C$14,MATCH($C84,'4_UK_L1_Input'!$A$4:$A$14,0))*K84*L84*M84</f>
        <v/>
      </c>
      <c r="O84" s="22">
        <f>INDEX('4_UK_L1_Input'!$D$4:$D$14,MATCH($C84,'4_UK_L1_Input'!$A$4:$A$14,0))*K84*L84*M84</f>
        <v/>
      </c>
      <c r="P84" s="14" t="n"/>
      <c r="Q84" s="14" t="n"/>
      <c r="R84" s="14" t="n"/>
      <c r="S84" s="11">
        <f>IFERROR(SUMPRODUCT(($E$3:$E$165=E84)*ISNUMBER($P$3:$P$165)*$P$3:$P$165*$F$3:$F$165)/SUMPRODUCT(($E$3:$E$165=E84)*ISNUMBER($P$3:$P$165)*$P$3:$P$165),"")</f>
        <v/>
      </c>
      <c r="T84" s="11">
        <f>IFERROR(SUMPRODUCT(($D$3:$D$165=D84)*ISNUMBER($P$3:$P$165)*$P$3:$P$165*$F$3:$F$165)/SUMPRODUCT(($D$3:$D$165=D84)*ISNUMBER($P$3:$P$165)*$P$3:$P$165),"")</f>
        <v/>
      </c>
      <c r="U84" s="11">
        <f>IFERROR(SUMPRODUCT(($C$3:$C$165=C84)*ISNUMBER($P$3:$P$165)*$P$3:$P$165*$F$3:$F$165)/SUMPRODUCT(($C$3:$C$165=C84)*ISNUMBER($P$3:$P$165)*$P$3:$P$165),"")</f>
        <v/>
      </c>
      <c r="V84" s="21">
        <f>IF(OR(T84="",U84=""),"",T84/U84)</f>
        <v/>
      </c>
      <c r="W84" s="21">
        <f>IF(OR(S84="",T84=""),"",S84/T84)</f>
        <v/>
      </c>
      <c r="X84" s="21">
        <f>IF(S84="","",F84/S84)</f>
        <v/>
      </c>
      <c r="Y84" s="22">
        <f>IF(V84="",N84,INDEX('4_UK_L1_Input'!$C$4:$C$14,MATCH($C84,'4_UK_L1_Input'!$A$4:$A$14,0))*V84*W84*X84)</f>
        <v/>
      </c>
      <c r="Z84" s="7">
        <f>IF(V84="","BETA FALLBACK","REAL (Bloomberg UK)")</f>
        <v/>
      </c>
      <c r="AA84" s="21">
        <f>IFERROR(SUMPRODUCT(($C$3:$C$165=C84)*ISNUMBER($R$3:$R$165)*$Q$3:$Q$165*IF(ISNUMBER($R$3:$R$165),$R$3:$R$165,0))/SUMPRODUCT(($C$3:$C$165=C84)*ISNUMBER($R$3:$R$165)*$Q$3:$Q$165),"")</f>
        <v/>
      </c>
      <c r="AB84" s="21">
        <f>IF(OR(R84="",AA84=""),"",R84/AA84)</f>
        <v/>
      </c>
      <c r="AC84" s="22">
        <f>IF(AB84="",O84,INDEX('4_UK_L1_Input'!$D$4:$D$14,MATCH($C84,'4_UK_L1_Input'!$A$4:$A$14,0))*AB84)</f>
        <v/>
      </c>
      <c r="AD84" s="7">
        <f>IF(AB84="","BETA FALLBACK","REAL (Bloomberg UK)")</f>
        <v/>
      </c>
      <c r="AE84" s="23">
        <f>Y84-N84</f>
        <v/>
      </c>
      <c r="AF84" s="23">
        <f>AC84-O84</f>
        <v/>
      </c>
    </row>
    <row r="85">
      <c r="A85" s="7" t="n">
        <v>30201010</v>
      </c>
      <c r="B85" s="7" t="inlineStr">
        <is>
          <t>Brewers</t>
        </is>
      </c>
      <c r="C85" s="7" t="n">
        <v>30</v>
      </c>
      <c r="D85" s="7" t="n">
        <v>3020</v>
      </c>
      <c r="E85" s="7" t="n">
        <v>302010</v>
      </c>
      <c r="F85" s="7" t="n">
        <v>0.741764</v>
      </c>
      <c r="G85" s="7" t="n">
        <v>1</v>
      </c>
      <c r="H85" s="11">
        <f>SUMPRODUCT(($E$3:$E$165=E85)*$G$3:$G$165*$F$3:$F$165)/SUMPRODUCT(($E$3:$E$165=E85)*$G$3:$G$165)</f>
        <v/>
      </c>
      <c r="I85" s="11">
        <f>SUMPRODUCT(($D$3:$D$165=D85)*$G$3:$G$165*$F$3:$F$165)/SUMPRODUCT(($D$3:$D$165=D85)*$G$3:$G$165)</f>
        <v/>
      </c>
      <c r="J85" s="11">
        <f>SUMPRODUCT(($C$3:$C$165=C85)*$G$3:$G$165*$F$3:$F$165)/SUMPRODUCT(($C$3:$C$165=C85)*$G$3:$G$165)</f>
        <v/>
      </c>
      <c r="K85" s="21">
        <f>I85/J85</f>
        <v/>
      </c>
      <c r="L85" s="21">
        <f>H85/I85</f>
        <v/>
      </c>
      <c r="M85" s="21">
        <f>F85/H85</f>
        <v/>
      </c>
      <c r="N85" s="22">
        <f>INDEX('4_UK_L1_Input'!$C$4:$C$14,MATCH($C85,'4_UK_L1_Input'!$A$4:$A$14,0))*K85*L85*M85</f>
        <v/>
      </c>
      <c r="O85" s="22">
        <f>INDEX('4_UK_L1_Input'!$D$4:$D$14,MATCH($C85,'4_UK_L1_Input'!$A$4:$A$14,0))*K85*L85*M85</f>
        <v/>
      </c>
      <c r="P85" s="15" t="n">
        <v>113830000</v>
      </c>
      <c r="Q85" s="15" t="n">
        <v>44350000</v>
      </c>
      <c r="R85" s="16" t="n">
        <v>6.18</v>
      </c>
      <c r="S85" s="11">
        <f>IFERROR(SUMPRODUCT(($E$3:$E$165=E85)*ISNUMBER($P$3:$P$165)*$P$3:$P$165*$F$3:$F$165)/SUMPRODUCT(($E$3:$E$165=E85)*ISNUMBER($P$3:$P$165)*$P$3:$P$165),"")</f>
        <v/>
      </c>
      <c r="T85" s="11">
        <f>IFERROR(SUMPRODUCT(($D$3:$D$165=D85)*ISNUMBER($P$3:$P$165)*$P$3:$P$165*$F$3:$F$165)/SUMPRODUCT(($D$3:$D$165=D85)*ISNUMBER($P$3:$P$165)*$P$3:$P$165),"")</f>
        <v/>
      </c>
      <c r="U85" s="11">
        <f>IFERROR(SUMPRODUCT(($C$3:$C$165=C85)*ISNUMBER($P$3:$P$165)*$P$3:$P$165*$F$3:$F$165)/SUMPRODUCT(($C$3:$C$165=C85)*ISNUMBER($P$3:$P$165)*$P$3:$P$165),"")</f>
        <v/>
      </c>
      <c r="V85" s="21">
        <f>IF(OR(T85="",U85=""),"",T85/U85)</f>
        <v/>
      </c>
      <c r="W85" s="21">
        <f>IF(OR(S85="",T85=""),"",S85/T85)</f>
        <v/>
      </c>
      <c r="X85" s="21">
        <f>IF(S85="","",F85/S85)</f>
        <v/>
      </c>
      <c r="Y85" s="22">
        <f>IF(V85="",N85,INDEX('4_UK_L1_Input'!$C$4:$C$14,MATCH($C85,'4_UK_L1_Input'!$A$4:$A$14,0))*V85*W85*X85)</f>
        <v/>
      </c>
      <c r="Z85" s="7">
        <f>IF(V85="","BETA FALLBACK","REAL (Bloomberg UK)")</f>
        <v/>
      </c>
      <c r="AA85" s="21">
        <f>IFERROR(SUMPRODUCT(($C$3:$C$165=C85)*ISNUMBER($R$3:$R$165)*$Q$3:$Q$165*IF(ISNUMBER($R$3:$R$165),$R$3:$R$165,0))/SUMPRODUCT(($C$3:$C$165=C85)*ISNUMBER($R$3:$R$165)*$Q$3:$Q$165),"")</f>
        <v/>
      </c>
      <c r="AB85" s="21">
        <f>IF(OR(R85="",AA85=""),"",R85/AA85)</f>
        <v/>
      </c>
      <c r="AC85" s="22">
        <f>IF(AB85="",O85,INDEX('4_UK_L1_Input'!$D$4:$D$14,MATCH($C85,'4_UK_L1_Input'!$A$4:$A$14,0))*AB85)</f>
        <v/>
      </c>
      <c r="AD85" s="7">
        <f>IF(AB85="","BETA FALLBACK","REAL (Bloomberg UK)")</f>
        <v/>
      </c>
      <c r="AE85" s="23">
        <f>Y85-N85</f>
        <v/>
      </c>
      <c r="AF85" s="23">
        <f>AC85-O85</f>
        <v/>
      </c>
    </row>
    <row r="86">
      <c r="A86" s="7" t="n">
        <v>30201020</v>
      </c>
      <c r="B86" s="7" t="inlineStr">
        <is>
          <t>Distillers &amp; Vintners</t>
        </is>
      </c>
      <c r="C86" s="7" t="n">
        <v>30</v>
      </c>
      <c r="D86" s="7" t="n">
        <v>3020</v>
      </c>
      <c r="E86" s="7" t="n">
        <v>302010</v>
      </c>
      <c r="F86" s="7" t="n">
        <v>0.741764</v>
      </c>
      <c r="G86" s="7" t="n">
        <v>1</v>
      </c>
      <c r="H86" s="11">
        <f>SUMPRODUCT(($E$3:$E$165=E86)*$G$3:$G$165*$F$3:$F$165)/SUMPRODUCT(($E$3:$E$165=E86)*$G$3:$G$165)</f>
        <v/>
      </c>
      <c r="I86" s="11">
        <f>SUMPRODUCT(($D$3:$D$165=D86)*$G$3:$G$165*$F$3:$F$165)/SUMPRODUCT(($D$3:$D$165=D86)*$G$3:$G$165)</f>
        <v/>
      </c>
      <c r="J86" s="11">
        <f>SUMPRODUCT(($C$3:$C$165=C86)*$G$3:$G$165*$F$3:$F$165)/SUMPRODUCT(($C$3:$C$165=C86)*$G$3:$G$165)</f>
        <v/>
      </c>
      <c r="K86" s="21">
        <f>I86/J86</f>
        <v/>
      </c>
      <c r="L86" s="21">
        <f>H86/I86</f>
        <v/>
      </c>
      <c r="M86" s="21">
        <f>F86/H86</f>
        <v/>
      </c>
      <c r="N86" s="22">
        <f>INDEX('4_UK_L1_Input'!$C$4:$C$14,MATCH($C86,'4_UK_L1_Input'!$A$4:$A$14,0))*K86*L86*M86</f>
        <v/>
      </c>
      <c r="O86" s="22">
        <f>INDEX('4_UK_L1_Input'!$D$4:$D$14,MATCH($C86,'4_UK_L1_Input'!$A$4:$A$14,0))*K86*L86*M86</f>
        <v/>
      </c>
      <c r="P86" s="15" t="n">
        <v>4920000000</v>
      </c>
      <c r="Q86" s="15" t="n">
        <v>9990000000</v>
      </c>
      <c r="R86" s="16" t="n">
        <v>19.57</v>
      </c>
      <c r="S86" s="11">
        <f>IFERROR(SUMPRODUCT(($E$3:$E$165=E86)*ISNUMBER($P$3:$P$165)*$P$3:$P$165*$F$3:$F$165)/SUMPRODUCT(($E$3:$E$165=E86)*ISNUMBER($P$3:$P$165)*$P$3:$P$165),"")</f>
        <v/>
      </c>
      <c r="T86" s="11">
        <f>IFERROR(SUMPRODUCT(($D$3:$D$165=D86)*ISNUMBER($P$3:$P$165)*$P$3:$P$165*$F$3:$F$165)/SUMPRODUCT(($D$3:$D$165=D86)*ISNUMBER($P$3:$P$165)*$P$3:$P$165),"")</f>
        <v/>
      </c>
      <c r="U86" s="11">
        <f>IFERROR(SUMPRODUCT(($C$3:$C$165=C86)*ISNUMBER($P$3:$P$165)*$P$3:$P$165*$F$3:$F$165)/SUMPRODUCT(($C$3:$C$165=C86)*ISNUMBER($P$3:$P$165)*$P$3:$P$165),"")</f>
        <v/>
      </c>
      <c r="V86" s="21">
        <f>IF(OR(T86="",U86=""),"",T86/U86)</f>
        <v/>
      </c>
      <c r="W86" s="21">
        <f>IF(OR(S86="",T86=""),"",S86/T86)</f>
        <v/>
      </c>
      <c r="X86" s="21">
        <f>IF(S86="","",F86/S86)</f>
        <v/>
      </c>
      <c r="Y86" s="22">
        <f>IF(V86="",N86,INDEX('4_UK_L1_Input'!$C$4:$C$14,MATCH($C86,'4_UK_L1_Input'!$A$4:$A$14,0))*V86*W86*X86)</f>
        <v/>
      </c>
      <c r="Z86" s="7">
        <f>IF(V86="","BETA FALLBACK","REAL (Bloomberg UK)")</f>
        <v/>
      </c>
      <c r="AA86" s="21">
        <f>IFERROR(SUMPRODUCT(($C$3:$C$165=C86)*ISNUMBER($R$3:$R$165)*$Q$3:$Q$165*IF(ISNUMBER($R$3:$R$165),$R$3:$R$165,0))/SUMPRODUCT(($C$3:$C$165=C86)*ISNUMBER($R$3:$R$165)*$Q$3:$Q$165),"")</f>
        <v/>
      </c>
      <c r="AB86" s="21">
        <f>IF(OR(R86="",AA86=""),"",R86/AA86)</f>
        <v/>
      </c>
      <c r="AC86" s="22">
        <f>IF(AB86="",O86,INDEX('4_UK_L1_Input'!$D$4:$D$14,MATCH($C86,'4_UK_L1_Input'!$A$4:$A$14,0))*AB86)</f>
        <v/>
      </c>
      <c r="AD86" s="7">
        <f>IF(AB86="","BETA FALLBACK","REAL (Bloomberg UK)")</f>
        <v/>
      </c>
      <c r="AE86" s="23">
        <f>Y86-N86</f>
        <v/>
      </c>
      <c r="AF86" s="23">
        <f>AC86-O86</f>
        <v/>
      </c>
    </row>
    <row r="87">
      <c r="A87" s="7" t="n">
        <v>30201030</v>
      </c>
      <c r="B87" s="7" t="inlineStr">
        <is>
          <t>Soft Drinks &amp; Non-alcoholic Beverages</t>
        </is>
      </c>
      <c r="C87" s="7" t="n">
        <v>30</v>
      </c>
      <c r="D87" s="7" t="n">
        <v>3020</v>
      </c>
      <c r="E87" s="7" t="n">
        <v>302010</v>
      </c>
      <c r="F87" s="7" t="n">
        <v>0.663439</v>
      </c>
      <c r="G87" s="7" t="n">
        <v>1</v>
      </c>
      <c r="H87" s="11">
        <f>SUMPRODUCT(($E$3:$E$165=E87)*$G$3:$G$165*$F$3:$F$165)/SUMPRODUCT(($E$3:$E$165=E87)*$G$3:$G$165)</f>
        <v/>
      </c>
      <c r="I87" s="11">
        <f>SUMPRODUCT(($D$3:$D$165=D87)*$G$3:$G$165*$F$3:$F$165)/SUMPRODUCT(($D$3:$D$165=D87)*$G$3:$G$165)</f>
        <v/>
      </c>
      <c r="J87" s="11">
        <f>SUMPRODUCT(($C$3:$C$165=C87)*$G$3:$G$165*$F$3:$F$165)/SUMPRODUCT(($C$3:$C$165=C87)*$G$3:$G$165)</f>
        <v/>
      </c>
      <c r="K87" s="21">
        <f>I87/J87</f>
        <v/>
      </c>
      <c r="L87" s="21">
        <f>H87/I87</f>
        <v/>
      </c>
      <c r="M87" s="21">
        <f>F87/H87</f>
        <v/>
      </c>
      <c r="N87" s="22">
        <f>INDEX('4_UK_L1_Input'!$C$4:$C$14,MATCH($C87,'4_UK_L1_Input'!$A$4:$A$14,0))*K87*L87*M87</f>
        <v/>
      </c>
      <c r="O87" s="22">
        <f>INDEX('4_UK_L1_Input'!$D$4:$D$14,MATCH($C87,'4_UK_L1_Input'!$A$4:$A$14,0))*K87*L87*M87</f>
        <v/>
      </c>
      <c r="P87" s="15" t="n">
        <v>5570000000</v>
      </c>
      <c r="Q87" s="15" t="n">
        <v>12510000000</v>
      </c>
      <c r="R87" s="16" t="n">
        <v>11.96</v>
      </c>
      <c r="S87" s="11">
        <f>IFERROR(SUMPRODUCT(($E$3:$E$165=E87)*ISNUMBER($P$3:$P$165)*$P$3:$P$165*$F$3:$F$165)/SUMPRODUCT(($E$3:$E$165=E87)*ISNUMBER($P$3:$P$165)*$P$3:$P$165),"")</f>
        <v/>
      </c>
      <c r="T87" s="11">
        <f>IFERROR(SUMPRODUCT(($D$3:$D$165=D87)*ISNUMBER($P$3:$P$165)*$P$3:$P$165*$F$3:$F$165)/SUMPRODUCT(($D$3:$D$165=D87)*ISNUMBER($P$3:$P$165)*$P$3:$P$165),"")</f>
        <v/>
      </c>
      <c r="U87" s="11">
        <f>IFERROR(SUMPRODUCT(($C$3:$C$165=C87)*ISNUMBER($P$3:$P$165)*$P$3:$P$165*$F$3:$F$165)/SUMPRODUCT(($C$3:$C$165=C87)*ISNUMBER($P$3:$P$165)*$P$3:$P$165),"")</f>
        <v/>
      </c>
      <c r="V87" s="21">
        <f>IF(OR(T87="",U87=""),"",T87/U87)</f>
        <v/>
      </c>
      <c r="W87" s="21">
        <f>IF(OR(S87="",T87=""),"",S87/T87)</f>
        <v/>
      </c>
      <c r="X87" s="21">
        <f>IF(S87="","",F87/S87)</f>
        <v/>
      </c>
      <c r="Y87" s="22">
        <f>IF(V87="",N87,INDEX('4_UK_L1_Input'!$C$4:$C$14,MATCH($C87,'4_UK_L1_Input'!$A$4:$A$14,0))*V87*W87*X87)</f>
        <v/>
      </c>
      <c r="Z87" s="7">
        <f>IF(V87="","BETA FALLBACK","REAL (Bloomberg UK)")</f>
        <v/>
      </c>
      <c r="AA87" s="21">
        <f>IFERROR(SUMPRODUCT(($C$3:$C$165=C87)*ISNUMBER($R$3:$R$165)*$Q$3:$Q$165*IF(ISNUMBER($R$3:$R$165),$R$3:$R$165,0))/SUMPRODUCT(($C$3:$C$165=C87)*ISNUMBER($R$3:$R$165)*$Q$3:$Q$165),"")</f>
        <v/>
      </c>
      <c r="AB87" s="21">
        <f>IF(OR(R87="",AA87=""),"",R87/AA87)</f>
        <v/>
      </c>
      <c r="AC87" s="22">
        <f>IF(AB87="",O87,INDEX('4_UK_L1_Input'!$D$4:$D$14,MATCH($C87,'4_UK_L1_Input'!$A$4:$A$14,0))*AB87)</f>
        <v/>
      </c>
      <c r="AD87" s="7">
        <f>IF(AB87="","BETA FALLBACK","REAL (Bloomberg UK)")</f>
        <v/>
      </c>
      <c r="AE87" s="23">
        <f>Y87-N87</f>
        <v/>
      </c>
      <c r="AF87" s="23">
        <f>AC87-O87</f>
        <v/>
      </c>
    </row>
    <row r="88">
      <c r="A88" s="7" t="n">
        <v>30202010</v>
      </c>
      <c r="B88" s="7" t="inlineStr">
        <is>
          <t>Agricultural Products &amp; Services</t>
        </is>
      </c>
      <c r="C88" s="7" t="n">
        <v>30</v>
      </c>
      <c r="D88" s="7" t="n">
        <v>3020</v>
      </c>
      <c r="E88" s="7" t="n">
        <v>302020</v>
      </c>
      <c r="F88" s="7" t="n">
        <v>0.858047</v>
      </c>
      <c r="G88" s="7" t="n">
        <v>1</v>
      </c>
      <c r="H88" s="11">
        <f>SUMPRODUCT(($E$3:$E$165=E88)*$G$3:$G$165*$F$3:$F$165)/SUMPRODUCT(($E$3:$E$165=E88)*$G$3:$G$165)</f>
        <v/>
      </c>
      <c r="I88" s="11">
        <f>SUMPRODUCT(($D$3:$D$165=D88)*$G$3:$G$165*$F$3:$F$165)/SUMPRODUCT(($D$3:$D$165=D88)*$G$3:$G$165)</f>
        <v/>
      </c>
      <c r="J88" s="11">
        <f>SUMPRODUCT(($C$3:$C$165=C88)*$G$3:$G$165*$F$3:$F$165)/SUMPRODUCT(($C$3:$C$165=C88)*$G$3:$G$165)</f>
        <v/>
      </c>
      <c r="K88" s="21">
        <f>I88/J88</f>
        <v/>
      </c>
      <c r="L88" s="21">
        <f>H88/I88</f>
        <v/>
      </c>
      <c r="M88" s="21">
        <f>F88/H88</f>
        <v/>
      </c>
      <c r="N88" s="22">
        <f>INDEX('4_UK_L1_Input'!$C$4:$C$14,MATCH($C88,'4_UK_L1_Input'!$A$4:$A$14,0))*K88*L88*M88</f>
        <v/>
      </c>
      <c r="O88" s="22">
        <f>INDEX('4_UK_L1_Input'!$D$4:$D$14,MATCH($C88,'4_UK_L1_Input'!$A$4:$A$14,0))*K88*L88*M88</f>
        <v/>
      </c>
      <c r="P88" s="15" t="n">
        <v>700400000</v>
      </c>
      <c r="Q88" s="15" t="n">
        <v>316950000</v>
      </c>
      <c r="R88" s="16" t="n">
        <v>5.8</v>
      </c>
      <c r="S88" s="11">
        <f>IFERROR(SUMPRODUCT(($E$3:$E$165=E88)*ISNUMBER($P$3:$P$165)*$P$3:$P$165*$F$3:$F$165)/SUMPRODUCT(($E$3:$E$165=E88)*ISNUMBER($P$3:$P$165)*$P$3:$P$165),"")</f>
        <v/>
      </c>
      <c r="T88" s="11">
        <f>IFERROR(SUMPRODUCT(($D$3:$D$165=D88)*ISNUMBER($P$3:$P$165)*$P$3:$P$165*$F$3:$F$165)/SUMPRODUCT(($D$3:$D$165=D88)*ISNUMBER($P$3:$P$165)*$P$3:$P$165),"")</f>
        <v/>
      </c>
      <c r="U88" s="11">
        <f>IFERROR(SUMPRODUCT(($C$3:$C$165=C88)*ISNUMBER($P$3:$P$165)*$P$3:$P$165*$F$3:$F$165)/SUMPRODUCT(($C$3:$C$165=C88)*ISNUMBER($P$3:$P$165)*$P$3:$P$165),"")</f>
        <v/>
      </c>
      <c r="V88" s="21">
        <f>IF(OR(T88="",U88=""),"",T88/U88)</f>
        <v/>
      </c>
      <c r="W88" s="21">
        <f>IF(OR(S88="",T88=""),"",S88/T88)</f>
        <v/>
      </c>
      <c r="X88" s="21">
        <f>IF(S88="","",F88/S88)</f>
        <v/>
      </c>
      <c r="Y88" s="22">
        <f>IF(V88="",N88,INDEX('4_UK_L1_Input'!$C$4:$C$14,MATCH($C88,'4_UK_L1_Input'!$A$4:$A$14,0))*V88*W88*X88)</f>
        <v/>
      </c>
      <c r="Z88" s="7">
        <f>IF(V88="","BETA FALLBACK","REAL (Bloomberg UK)")</f>
        <v/>
      </c>
      <c r="AA88" s="21">
        <f>IFERROR(SUMPRODUCT(($C$3:$C$165=C88)*ISNUMBER($R$3:$R$165)*$Q$3:$Q$165*IF(ISNUMBER($R$3:$R$165),$R$3:$R$165,0))/SUMPRODUCT(($C$3:$C$165=C88)*ISNUMBER($R$3:$R$165)*$Q$3:$Q$165),"")</f>
        <v/>
      </c>
      <c r="AB88" s="21">
        <f>IF(OR(R88="",AA88=""),"",R88/AA88)</f>
        <v/>
      </c>
      <c r="AC88" s="22">
        <f>IF(AB88="",O88,INDEX('4_UK_L1_Input'!$D$4:$D$14,MATCH($C88,'4_UK_L1_Input'!$A$4:$A$14,0))*AB88)</f>
        <v/>
      </c>
      <c r="AD88" s="7">
        <f>IF(AB88="","BETA FALLBACK","REAL (Bloomberg UK)")</f>
        <v/>
      </c>
      <c r="AE88" s="23">
        <f>Y88-N88</f>
        <v/>
      </c>
      <c r="AF88" s="23">
        <f>AC88-O88</f>
        <v/>
      </c>
    </row>
    <row r="89">
      <c r="A89" s="7" t="n">
        <v>30202030</v>
      </c>
      <c r="B89" s="7" t="inlineStr">
        <is>
          <t>Packaged Foods &amp; Meats</t>
        </is>
      </c>
      <c r="C89" s="7" t="n">
        <v>30</v>
      </c>
      <c r="D89" s="7" t="n">
        <v>3020</v>
      </c>
      <c r="E89" s="7" t="n">
        <v>302020</v>
      </c>
      <c r="F89" s="7" t="n">
        <v>0.518463</v>
      </c>
      <c r="G89" s="7" t="n">
        <v>1</v>
      </c>
      <c r="H89" s="11">
        <f>SUMPRODUCT(($E$3:$E$165=E89)*$G$3:$G$165*$F$3:$F$165)/SUMPRODUCT(($E$3:$E$165=E89)*$G$3:$G$165)</f>
        <v/>
      </c>
      <c r="I89" s="11">
        <f>SUMPRODUCT(($D$3:$D$165=D89)*$G$3:$G$165*$F$3:$F$165)/SUMPRODUCT(($D$3:$D$165=D89)*$G$3:$G$165)</f>
        <v/>
      </c>
      <c r="J89" s="11">
        <f>SUMPRODUCT(($C$3:$C$165=C89)*$G$3:$G$165*$F$3:$F$165)/SUMPRODUCT(($C$3:$C$165=C89)*$G$3:$G$165)</f>
        <v/>
      </c>
      <c r="K89" s="21">
        <f>I89/J89</f>
        <v/>
      </c>
      <c r="L89" s="21">
        <f>H89/I89</f>
        <v/>
      </c>
      <c r="M89" s="21">
        <f>F89/H89</f>
        <v/>
      </c>
      <c r="N89" s="22">
        <f>INDEX('4_UK_L1_Input'!$C$4:$C$14,MATCH($C89,'4_UK_L1_Input'!$A$4:$A$14,0))*K89*L89*M89</f>
        <v/>
      </c>
      <c r="O89" s="22">
        <f>INDEX('4_UK_L1_Input'!$D$4:$D$14,MATCH($C89,'4_UK_L1_Input'!$A$4:$A$14,0))*K89*L89*M89</f>
        <v/>
      </c>
      <c r="P89" s="15" t="n">
        <v>3470000000</v>
      </c>
      <c r="Q89" s="15" t="n">
        <v>2520000000</v>
      </c>
      <c r="R89" s="16" t="n">
        <v>7.49</v>
      </c>
      <c r="S89" s="11">
        <f>IFERROR(SUMPRODUCT(($E$3:$E$165=E89)*ISNUMBER($P$3:$P$165)*$P$3:$P$165*$F$3:$F$165)/SUMPRODUCT(($E$3:$E$165=E89)*ISNUMBER($P$3:$P$165)*$P$3:$P$165),"")</f>
        <v/>
      </c>
      <c r="T89" s="11">
        <f>IFERROR(SUMPRODUCT(($D$3:$D$165=D89)*ISNUMBER($P$3:$P$165)*$P$3:$P$165*$F$3:$F$165)/SUMPRODUCT(($D$3:$D$165=D89)*ISNUMBER($P$3:$P$165)*$P$3:$P$165),"")</f>
        <v/>
      </c>
      <c r="U89" s="11">
        <f>IFERROR(SUMPRODUCT(($C$3:$C$165=C89)*ISNUMBER($P$3:$P$165)*$P$3:$P$165*$F$3:$F$165)/SUMPRODUCT(($C$3:$C$165=C89)*ISNUMBER($P$3:$P$165)*$P$3:$P$165),"")</f>
        <v/>
      </c>
      <c r="V89" s="21">
        <f>IF(OR(T89="",U89=""),"",T89/U89)</f>
        <v/>
      </c>
      <c r="W89" s="21">
        <f>IF(OR(S89="",T89=""),"",S89/T89)</f>
        <v/>
      </c>
      <c r="X89" s="21">
        <f>IF(S89="","",F89/S89)</f>
        <v/>
      </c>
      <c r="Y89" s="22">
        <f>IF(V89="",N89,INDEX('4_UK_L1_Input'!$C$4:$C$14,MATCH($C89,'4_UK_L1_Input'!$A$4:$A$14,0))*V89*W89*X89)</f>
        <v/>
      </c>
      <c r="Z89" s="7">
        <f>IF(V89="","BETA FALLBACK","REAL (Bloomberg UK)")</f>
        <v/>
      </c>
      <c r="AA89" s="21">
        <f>IFERROR(SUMPRODUCT(($C$3:$C$165=C89)*ISNUMBER($R$3:$R$165)*$Q$3:$Q$165*IF(ISNUMBER($R$3:$R$165),$R$3:$R$165,0))/SUMPRODUCT(($C$3:$C$165=C89)*ISNUMBER($R$3:$R$165)*$Q$3:$Q$165),"")</f>
        <v/>
      </c>
      <c r="AB89" s="21">
        <f>IF(OR(R89="",AA89=""),"",R89/AA89)</f>
        <v/>
      </c>
      <c r="AC89" s="22">
        <f>IF(AB89="",O89,INDEX('4_UK_L1_Input'!$D$4:$D$14,MATCH($C89,'4_UK_L1_Input'!$A$4:$A$14,0))*AB89)</f>
        <v/>
      </c>
      <c r="AD89" s="7">
        <f>IF(AB89="","BETA FALLBACK","REAL (Bloomberg UK)")</f>
        <v/>
      </c>
      <c r="AE89" s="23">
        <f>Y89-N89</f>
        <v/>
      </c>
      <c r="AF89" s="23">
        <f>AC89-O89</f>
        <v/>
      </c>
    </row>
    <row r="90">
      <c r="A90" s="7" t="n">
        <v>30203010</v>
      </c>
      <c r="B90" s="7" t="inlineStr">
        <is>
          <t>Tobacco</t>
        </is>
      </c>
      <c r="C90" s="7" t="n">
        <v>30</v>
      </c>
      <c r="D90" s="7" t="n">
        <v>3020</v>
      </c>
      <c r="E90" s="7" t="n">
        <v>302030</v>
      </c>
      <c r="F90" s="7" t="n">
        <v>0.795633</v>
      </c>
      <c r="G90" s="7" t="n">
        <v>1</v>
      </c>
      <c r="H90" s="11">
        <f>SUMPRODUCT(($E$3:$E$165=E90)*$G$3:$G$165*$F$3:$F$165)/SUMPRODUCT(($E$3:$E$165=E90)*$G$3:$G$165)</f>
        <v/>
      </c>
      <c r="I90" s="11">
        <f>SUMPRODUCT(($D$3:$D$165=D90)*$G$3:$G$165*$F$3:$F$165)/SUMPRODUCT(($D$3:$D$165=D90)*$G$3:$G$165)</f>
        <v/>
      </c>
      <c r="J90" s="11">
        <f>SUMPRODUCT(($C$3:$C$165=C90)*$G$3:$G$165*$F$3:$F$165)/SUMPRODUCT(($C$3:$C$165=C90)*$G$3:$G$165)</f>
        <v/>
      </c>
      <c r="K90" s="21">
        <f>I90/J90</f>
        <v/>
      </c>
      <c r="L90" s="21">
        <f>H90/I90</f>
        <v/>
      </c>
      <c r="M90" s="21">
        <f>F90/H90</f>
        <v/>
      </c>
      <c r="N90" s="22">
        <f>INDEX('4_UK_L1_Input'!$C$4:$C$14,MATCH($C90,'4_UK_L1_Input'!$A$4:$A$14,0))*K90*L90*M90</f>
        <v/>
      </c>
      <c r="O90" s="22">
        <f>INDEX('4_UK_L1_Input'!$D$4:$D$14,MATCH($C90,'4_UK_L1_Input'!$A$4:$A$14,0))*K90*L90*M90</f>
        <v/>
      </c>
      <c r="P90" s="15" t="n">
        <v>26210000000</v>
      </c>
      <c r="Q90" s="15" t="n">
        <v>58530000000</v>
      </c>
      <c r="R90" s="16" t="n">
        <v>8.57</v>
      </c>
      <c r="S90" s="11">
        <f>IFERROR(SUMPRODUCT(($E$3:$E$165=E90)*ISNUMBER($P$3:$P$165)*$P$3:$P$165*$F$3:$F$165)/SUMPRODUCT(($E$3:$E$165=E90)*ISNUMBER($P$3:$P$165)*$P$3:$P$165),"")</f>
        <v/>
      </c>
      <c r="T90" s="11">
        <f>IFERROR(SUMPRODUCT(($D$3:$D$165=D90)*ISNUMBER($P$3:$P$165)*$P$3:$P$165*$F$3:$F$165)/SUMPRODUCT(($D$3:$D$165=D90)*ISNUMBER($P$3:$P$165)*$P$3:$P$165),"")</f>
        <v/>
      </c>
      <c r="U90" s="11">
        <f>IFERROR(SUMPRODUCT(($C$3:$C$165=C90)*ISNUMBER($P$3:$P$165)*$P$3:$P$165*$F$3:$F$165)/SUMPRODUCT(($C$3:$C$165=C90)*ISNUMBER($P$3:$P$165)*$P$3:$P$165),"")</f>
        <v/>
      </c>
      <c r="V90" s="21">
        <f>IF(OR(T90="",U90=""),"",T90/U90)</f>
        <v/>
      </c>
      <c r="W90" s="21">
        <f>IF(OR(S90="",T90=""),"",S90/T90)</f>
        <v/>
      </c>
      <c r="X90" s="21">
        <f>IF(S90="","",F90/S90)</f>
        <v/>
      </c>
      <c r="Y90" s="22">
        <f>IF(V90="",N90,INDEX('4_UK_L1_Input'!$C$4:$C$14,MATCH($C90,'4_UK_L1_Input'!$A$4:$A$14,0))*V90*W90*X90)</f>
        <v/>
      </c>
      <c r="Z90" s="7">
        <f>IF(V90="","BETA FALLBACK","REAL (Bloomberg UK)")</f>
        <v/>
      </c>
      <c r="AA90" s="21">
        <f>IFERROR(SUMPRODUCT(($C$3:$C$165=C90)*ISNUMBER($R$3:$R$165)*$Q$3:$Q$165*IF(ISNUMBER($R$3:$R$165),$R$3:$R$165,0))/SUMPRODUCT(($C$3:$C$165=C90)*ISNUMBER($R$3:$R$165)*$Q$3:$Q$165),"")</f>
        <v/>
      </c>
      <c r="AB90" s="21">
        <f>IF(OR(R90="",AA90=""),"",R90/AA90)</f>
        <v/>
      </c>
      <c r="AC90" s="22">
        <f>IF(AB90="",O90,INDEX('4_UK_L1_Input'!$D$4:$D$14,MATCH($C90,'4_UK_L1_Input'!$A$4:$A$14,0))*AB90)</f>
        <v/>
      </c>
      <c r="AD90" s="7">
        <f>IF(AB90="","BETA FALLBACK","REAL (Bloomberg UK)")</f>
        <v/>
      </c>
      <c r="AE90" s="23">
        <f>Y90-N90</f>
        <v/>
      </c>
      <c r="AF90" s="23">
        <f>AC90-O90</f>
        <v/>
      </c>
    </row>
    <row r="91">
      <c r="A91" s="7" t="n">
        <v>30301010</v>
      </c>
      <c r="B91" s="7" t="inlineStr">
        <is>
          <t>Household Products</t>
        </is>
      </c>
      <c r="C91" s="7" t="n">
        <v>30</v>
      </c>
      <c r="D91" s="7" t="n">
        <v>3030</v>
      </c>
      <c r="E91" s="7" t="n">
        <v>303010</v>
      </c>
      <c r="F91" s="7" t="n">
        <v>0.754401</v>
      </c>
      <c r="G91" s="7" t="n">
        <v>1</v>
      </c>
      <c r="H91" s="11">
        <f>SUMPRODUCT(($E$3:$E$165=E91)*$G$3:$G$165*$F$3:$F$165)/SUMPRODUCT(($E$3:$E$165=E91)*$G$3:$G$165)</f>
        <v/>
      </c>
      <c r="I91" s="11">
        <f>SUMPRODUCT(($D$3:$D$165=D91)*$G$3:$G$165*$F$3:$F$165)/SUMPRODUCT(($D$3:$D$165=D91)*$G$3:$G$165)</f>
        <v/>
      </c>
      <c r="J91" s="11">
        <f>SUMPRODUCT(($C$3:$C$165=C91)*$G$3:$G$165*$F$3:$F$165)/SUMPRODUCT(($C$3:$C$165=C91)*$G$3:$G$165)</f>
        <v/>
      </c>
      <c r="K91" s="21">
        <f>I91/J91</f>
        <v/>
      </c>
      <c r="L91" s="21">
        <f>H91/I91</f>
        <v/>
      </c>
      <c r="M91" s="21">
        <f>F91/H91</f>
        <v/>
      </c>
      <c r="N91" s="22">
        <f>INDEX('4_UK_L1_Input'!$C$4:$C$14,MATCH($C91,'4_UK_L1_Input'!$A$4:$A$14,0))*K91*L91*M91</f>
        <v/>
      </c>
      <c r="O91" s="22">
        <f>INDEX('4_UK_L1_Input'!$D$4:$D$14,MATCH($C91,'4_UK_L1_Input'!$A$4:$A$14,0))*K91*L91*M91</f>
        <v/>
      </c>
      <c r="P91" s="15" t="n">
        <v>7280000000</v>
      </c>
      <c r="Q91" s="15" t="n">
        <v>16990000000</v>
      </c>
      <c r="R91" s="16" t="n">
        <v>8.119999999999999</v>
      </c>
      <c r="S91" s="11">
        <f>IFERROR(SUMPRODUCT(($E$3:$E$165=E91)*ISNUMBER($P$3:$P$165)*$P$3:$P$165*$F$3:$F$165)/SUMPRODUCT(($E$3:$E$165=E91)*ISNUMBER($P$3:$P$165)*$P$3:$P$165),"")</f>
        <v/>
      </c>
      <c r="T91" s="11">
        <f>IFERROR(SUMPRODUCT(($D$3:$D$165=D91)*ISNUMBER($P$3:$P$165)*$P$3:$P$165*$F$3:$F$165)/SUMPRODUCT(($D$3:$D$165=D91)*ISNUMBER($P$3:$P$165)*$P$3:$P$165),"")</f>
        <v/>
      </c>
      <c r="U91" s="11">
        <f>IFERROR(SUMPRODUCT(($C$3:$C$165=C91)*ISNUMBER($P$3:$P$165)*$P$3:$P$165*$F$3:$F$165)/SUMPRODUCT(($C$3:$C$165=C91)*ISNUMBER($P$3:$P$165)*$P$3:$P$165),"")</f>
        <v/>
      </c>
      <c r="V91" s="21">
        <f>IF(OR(T91="",U91=""),"",T91/U91)</f>
        <v/>
      </c>
      <c r="W91" s="21">
        <f>IF(OR(S91="",T91=""),"",S91/T91)</f>
        <v/>
      </c>
      <c r="X91" s="21">
        <f>IF(S91="","",F91/S91)</f>
        <v/>
      </c>
      <c r="Y91" s="22">
        <f>IF(V91="",N91,INDEX('4_UK_L1_Input'!$C$4:$C$14,MATCH($C91,'4_UK_L1_Input'!$A$4:$A$14,0))*V91*W91*X91)</f>
        <v/>
      </c>
      <c r="Z91" s="7">
        <f>IF(V91="","BETA FALLBACK","REAL (Bloomberg UK)")</f>
        <v/>
      </c>
      <c r="AA91" s="21">
        <f>IFERROR(SUMPRODUCT(($C$3:$C$165=C91)*ISNUMBER($R$3:$R$165)*$Q$3:$Q$165*IF(ISNUMBER($R$3:$R$165),$R$3:$R$165,0))/SUMPRODUCT(($C$3:$C$165=C91)*ISNUMBER($R$3:$R$165)*$Q$3:$Q$165),"")</f>
        <v/>
      </c>
      <c r="AB91" s="21">
        <f>IF(OR(R91="",AA91=""),"",R91/AA91)</f>
        <v/>
      </c>
      <c r="AC91" s="22">
        <f>IF(AB91="",O91,INDEX('4_UK_L1_Input'!$D$4:$D$14,MATCH($C91,'4_UK_L1_Input'!$A$4:$A$14,0))*AB91)</f>
        <v/>
      </c>
      <c r="AD91" s="7">
        <f>IF(AB91="","BETA FALLBACK","REAL (Bloomberg UK)")</f>
        <v/>
      </c>
      <c r="AE91" s="23">
        <f>Y91-N91</f>
        <v/>
      </c>
      <c r="AF91" s="23">
        <f>AC91-O91</f>
        <v/>
      </c>
    </row>
    <row r="92">
      <c r="A92" s="7" t="n">
        <v>30302010</v>
      </c>
      <c r="B92" s="7" t="inlineStr">
        <is>
          <t>Personal Care Products</t>
        </is>
      </c>
      <c r="C92" s="7" t="n">
        <v>30</v>
      </c>
      <c r="D92" s="7" t="n">
        <v>3030</v>
      </c>
      <c r="E92" s="7" t="n">
        <v>303020</v>
      </c>
      <c r="F92" s="7" t="n">
        <v>0.754401</v>
      </c>
      <c r="G92" s="7" t="n">
        <v>1</v>
      </c>
      <c r="H92" s="11">
        <f>SUMPRODUCT(($E$3:$E$165=E92)*$G$3:$G$165*$F$3:$F$165)/SUMPRODUCT(($E$3:$E$165=E92)*$G$3:$G$165)</f>
        <v/>
      </c>
      <c r="I92" s="11">
        <f>SUMPRODUCT(($D$3:$D$165=D92)*$G$3:$G$165*$F$3:$F$165)/SUMPRODUCT(($D$3:$D$165=D92)*$G$3:$G$165)</f>
        <v/>
      </c>
      <c r="J92" s="11">
        <f>SUMPRODUCT(($C$3:$C$165=C92)*$G$3:$G$165*$F$3:$F$165)/SUMPRODUCT(($C$3:$C$165=C92)*$G$3:$G$165)</f>
        <v/>
      </c>
      <c r="K92" s="21">
        <f>I92/J92</f>
        <v/>
      </c>
      <c r="L92" s="21">
        <f>H92/I92</f>
        <v/>
      </c>
      <c r="M92" s="21">
        <f>F92/H92</f>
        <v/>
      </c>
      <c r="N92" s="22">
        <f>INDEX('4_UK_L1_Input'!$C$4:$C$14,MATCH($C92,'4_UK_L1_Input'!$A$4:$A$14,0))*K92*L92*M92</f>
        <v/>
      </c>
      <c r="O92" s="22">
        <f>INDEX('4_UK_L1_Input'!$D$4:$D$14,MATCH($C92,'4_UK_L1_Input'!$A$4:$A$14,0))*K92*L92*M92</f>
        <v/>
      </c>
      <c r="P92" s="15" t="n">
        <v>4710000000</v>
      </c>
      <c r="Q92" s="15" t="n">
        <v>10240000000</v>
      </c>
      <c r="R92" s="16" t="n">
        <v>10.41</v>
      </c>
      <c r="S92" s="11">
        <f>IFERROR(SUMPRODUCT(($E$3:$E$165=E92)*ISNUMBER($P$3:$P$165)*$P$3:$P$165*$F$3:$F$165)/SUMPRODUCT(($E$3:$E$165=E92)*ISNUMBER($P$3:$P$165)*$P$3:$P$165),"")</f>
        <v/>
      </c>
      <c r="T92" s="11">
        <f>IFERROR(SUMPRODUCT(($D$3:$D$165=D92)*ISNUMBER($P$3:$P$165)*$P$3:$P$165*$F$3:$F$165)/SUMPRODUCT(($D$3:$D$165=D92)*ISNUMBER($P$3:$P$165)*$P$3:$P$165),"")</f>
        <v/>
      </c>
      <c r="U92" s="11">
        <f>IFERROR(SUMPRODUCT(($C$3:$C$165=C92)*ISNUMBER($P$3:$P$165)*$P$3:$P$165*$F$3:$F$165)/SUMPRODUCT(($C$3:$C$165=C92)*ISNUMBER($P$3:$P$165)*$P$3:$P$165),"")</f>
        <v/>
      </c>
      <c r="V92" s="21">
        <f>IF(OR(T92="",U92=""),"",T92/U92)</f>
        <v/>
      </c>
      <c r="W92" s="21">
        <f>IF(OR(S92="",T92=""),"",S92/T92)</f>
        <v/>
      </c>
      <c r="X92" s="21">
        <f>IF(S92="","",F92/S92)</f>
        <v/>
      </c>
      <c r="Y92" s="22">
        <f>IF(V92="",N92,INDEX('4_UK_L1_Input'!$C$4:$C$14,MATCH($C92,'4_UK_L1_Input'!$A$4:$A$14,0))*V92*W92*X92)</f>
        <v/>
      </c>
      <c r="Z92" s="7">
        <f>IF(V92="","BETA FALLBACK","REAL (Bloomberg UK)")</f>
        <v/>
      </c>
      <c r="AA92" s="21">
        <f>IFERROR(SUMPRODUCT(($C$3:$C$165=C92)*ISNUMBER($R$3:$R$165)*$Q$3:$Q$165*IF(ISNUMBER($R$3:$R$165),$R$3:$R$165,0))/SUMPRODUCT(($C$3:$C$165=C92)*ISNUMBER($R$3:$R$165)*$Q$3:$Q$165),"")</f>
        <v/>
      </c>
      <c r="AB92" s="21">
        <f>IF(OR(R92="",AA92=""),"",R92/AA92)</f>
        <v/>
      </c>
      <c r="AC92" s="22">
        <f>IF(AB92="",O92,INDEX('4_UK_L1_Input'!$D$4:$D$14,MATCH($C92,'4_UK_L1_Input'!$A$4:$A$14,0))*AB92)</f>
        <v/>
      </c>
      <c r="AD92" s="7">
        <f>IF(AB92="","BETA FALLBACK","REAL (Bloomberg UK)")</f>
        <v/>
      </c>
      <c r="AE92" s="23">
        <f>Y92-N92</f>
        <v/>
      </c>
      <c r="AF92" s="23">
        <f>AC92-O92</f>
        <v/>
      </c>
    </row>
    <row r="93">
      <c r="A93" s="7" t="n">
        <v>35101010</v>
      </c>
      <c r="B93" s="7" t="inlineStr">
        <is>
          <t>Health Care Equipment</t>
        </is>
      </c>
      <c r="C93" s="7" t="n">
        <v>35</v>
      </c>
      <c r="D93" s="7" t="n">
        <v>3510</v>
      </c>
      <c r="E93" s="7" t="n">
        <v>351010</v>
      </c>
      <c r="F93" s="7" t="n">
        <v>0.859005</v>
      </c>
      <c r="G93" s="7" t="n">
        <v>1</v>
      </c>
      <c r="H93" s="11">
        <f>SUMPRODUCT(($E$3:$E$165=E93)*$G$3:$G$165*$F$3:$F$165)/SUMPRODUCT(($E$3:$E$165=E93)*$G$3:$G$165)</f>
        <v/>
      </c>
      <c r="I93" s="11">
        <f>SUMPRODUCT(($D$3:$D$165=D93)*$G$3:$G$165*$F$3:$F$165)/SUMPRODUCT(($D$3:$D$165=D93)*$G$3:$G$165)</f>
        <v/>
      </c>
      <c r="J93" s="11">
        <f>SUMPRODUCT(($C$3:$C$165=C93)*$G$3:$G$165*$F$3:$F$165)/SUMPRODUCT(($C$3:$C$165=C93)*$G$3:$G$165)</f>
        <v/>
      </c>
      <c r="K93" s="21">
        <f>I93/J93</f>
        <v/>
      </c>
      <c r="L93" s="21">
        <f>H93/I93</f>
        <v/>
      </c>
      <c r="M93" s="21">
        <f>F93/H93</f>
        <v/>
      </c>
      <c r="N93" s="22">
        <f>INDEX('4_UK_L1_Input'!$C$4:$C$14,MATCH($C93,'4_UK_L1_Input'!$A$4:$A$14,0))*K93*L93*M93</f>
        <v/>
      </c>
      <c r="O93" s="22">
        <f>INDEX('4_UK_L1_Input'!$D$4:$D$14,MATCH($C93,'4_UK_L1_Input'!$A$4:$A$14,0))*K93*L93*M93</f>
        <v/>
      </c>
      <c r="P93" s="15" t="n">
        <v>795190000</v>
      </c>
      <c r="Q93" s="15" t="n">
        <v>1400000000</v>
      </c>
      <c r="R93" s="16" t="n">
        <v>13.59</v>
      </c>
      <c r="S93" s="11">
        <f>IFERROR(SUMPRODUCT(($E$3:$E$165=E93)*ISNUMBER($P$3:$P$165)*$P$3:$P$165*$F$3:$F$165)/SUMPRODUCT(($E$3:$E$165=E93)*ISNUMBER($P$3:$P$165)*$P$3:$P$165),"")</f>
        <v/>
      </c>
      <c r="T93" s="11">
        <f>IFERROR(SUMPRODUCT(($D$3:$D$165=D93)*ISNUMBER($P$3:$P$165)*$P$3:$P$165*$F$3:$F$165)/SUMPRODUCT(($D$3:$D$165=D93)*ISNUMBER($P$3:$P$165)*$P$3:$P$165),"")</f>
        <v/>
      </c>
      <c r="U93" s="11">
        <f>IFERROR(SUMPRODUCT(($C$3:$C$165=C93)*ISNUMBER($P$3:$P$165)*$P$3:$P$165*$F$3:$F$165)/SUMPRODUCT(($C$3:$C$165=C93)*ISNUMBER($P$3:$P$165)*$P$3:$P$165),"")</f>
        <v/>
      </c>
      <c r="V93" s="21">
        <f>IF(OR(T93="",U93=""),"",T93/U93)</f>
        <v/>
      </c>
      <c r="W93" s="21">
        <f>IF(OR(S93="",T93=""),"",S93/T93)</f>
        <v/>
      </c>
      <c r="X93" s="21">
        <f>IF(S93="","",F93/S93)</f>
        <v/>
      </c>
      <c r="Y93" s="22">
        <f>IF(V93="",N93,INDEX('4_UK_L1_Input'!$C$4:$C$14,MATCH($C93,'4_UK_L1_Input'!$A$4:$A$14,0))*V93*W93*X93)</f>
        <v/>
      </c>
      <c r="Z93" s="7">
        <f>IF(V93="","BETA FALLBACK","REAL (Bloomberg UK)")</f>
        <v/>
      </c>
      <c r="AA93" s="21">
        <f>IFERROR(SUMPRODUCT(($C$3:$C$165=C93)*ISNUMBER($R$3:$R$165)*$Q$3:$Q$165*IF(ISNUMBER($R$3:$R$165),$R$3:$R$165,0))/SUMPRODUCT(($C$3:$C$165=C93)*ISNUMBER($R$3:$R$165)*$Q$3:$Q$165),"")</f>
        <v/>
      </c>
      <c r="AB93" s="21">
        <f>IF(OR(R93="",AA93=""),"",R93/AA93)</f>
        <v/>
      </c>
      <c r="AC93" s="22">
        <f>IF(AB93="",O93,INDEX('4_UK_L1_Input'!$D$4:$D$14,MATCH($C93,'4_UK_L1_Input'!$A$4:$A$14,0))*AB93)</f>
        <v/>
      </c>
      <c r="AD93" s="7">
        <f>IF(AB93="","BETA FALLBACK","REAL (Bloomberg UK)")</f>
        <v/>
      </c>
      <c r="AE93" s="23">
        <f>Y93-N93</f>
        <v/>
      </c>
      <c r="AF93" s="23">
        <f>AC93-O93</f>
        <v/>
      </c>
    </row>
    <row r="94">
      <c r="A94" s="7" t="n">
        <v>35101020</v>
      </c>
      <c r="B94" s="7" t="inlineStr">
        <is>
          <t>Health Care Supplies</t>
        </is>
      </c>
      <c r="C94" s="7" t="n">
        <v>35</v>
      </c>
      <c r="D94" s="7" t="n">
        <v>3510</v>
      </c>
      <c r="E94" s="7" t="n">
        <v>351010</v>
      </c>
      <c r="F94" s="7" t="n">
        <v>0.859005</v>
      </c>
      <c r="G94" s="7" t="n">
        <v>1</v>
      </c>
      <c r="H94" s="11">
        <f>SUMPRODUCT(($E$3:$E$165=E94)*$G$3:$G$165*$F$3:$F$165)/SUMPRODUCT(($E$3:$E$165=E94)*$G$3:$G$165)</f>
        <v/>
      </c>
      <c r="I94" s="11">
        <f>SUMPRODUCT(($D$3:$D$165=D94)*$G$3:$G$165*$F$3:$F$165)/SUMPRODUCT(($D$3:$D$165=D94)*$G$3:$G$165)</f>
        <v/>
      </c>
      <c r="J94" s="11">
        <f>SUMPRODUCT(($C$3:$C$165=C94)*$G$3:$G$165*$F$3:$F$165)/SUMPRODUCT(($C$3:$C$165=C94)*$G$3:$G$165)</f>
        <v/>
      </c>
      <c r="K94" s="21">
        <f>I94/J94</f>
        <v/>
      </c>
      <c r="L94" s="21">
        <f>H94/I94</f>
        <v/>
      </c>
      <c r="M94" s="21">
        <f>F94/H94</f>
        <v/>
      </c>
      <c r="N94" s="22">
        <f>INDEX('4_UK_L1_Input'!$C$4:$C$14,MATCH($C94,'4_UK_L1_Input'!$A$4:$A$14,0))*K94*L94*M94</f>
        <v/>
      </c>
      <c r="O94" s="22">
        <f>INDEX('4_UK_L1_Input'!$D$4:$D$14,MATCH($C94,'4_UK_L1_Input'!$A$4:$A$14,0))*K94*L94*M94</f>
        <v/>
      </c>
      <c r="P94" s="15" t="n">
        <v>112670000</v>
      </c>
      <c r="Q94" s="15" t="n">
        <v>787430000</v>
      </c>
      <c r="R94" s="16" t="n">
        <v>12.07</v>
      </c>
      <c r="S94" s="11">
        <f>IFERROR(SUMPRODUCT(($E$3:$E$165=E94)*ISNUMBER($P$3:$P$165)*$P$3:$P$165*$F$3:$F$165)/SUMPRODUCT(($E$3:$E$165=E94)*ISNUMBER($P$3:$P$165)*$P$3:$P$165),"")</f>
        <v/>
      </c>
      <c r="T94" s="11">
        <f>IFERROR(SUMPRODUCT(($D$3:$D$165=D94)*ISNUMBER($P$3:$P$165)*$P$3:$P$165*$F$3:$F$165)/SUMPRODUCT(($D$3:$D$165=D94)*ISNUMBER($P$3:$P$165)*$P$3:$P$165),"")</f>
        <v/>
      </c>
      <c r="U94" s="11">
        <f>IFERROR(SUMPRODUCT(($C$3:$C$165=C94)*ISNUMBER($P$3:$P$165)*$P$3:$P$165*$F$3:$F$165)/SUMPRODUCT(($C$3:$C$165=C94)*ISNUMBER($P$3:$P$165)*$P$3:$P$165),"")</f>
        <v/>
      </c>
      <c r="V94" s="21">
        <f>IF(OR(T94="",U94=""),"",T94/U94)</f>
        <v/>
      </c>
      <c r="W94" s="21">
        <f>IF(OR(S94="",T94=""),"",S94/T94)</f>
        <v/>
      </c>
      <c r="X94" s="21">
        <f>IF(S94="","",F94/S94)</f>
        <v/>
      </c>
      <c r="Y94" s="22">
        <f>IF(V94="",N94,INDEX('4_UK_L1_Input'!$C$4:$C$14,MATCH($C94,'4_UK_L1_Input'!$A$4:$A$14,0))*V94*W94*X94)</f>
        <v/>
      </c>
      <c r="Z94" s="7">
        <f>IF(V94="","BETA FALLBACK","REAL (Bloomberg UK)")</f>
        <v/>
      </c>
      <c r="AA94" s="21">
        <f>IFERROR(SUMPRODUCT(($C$3:$C$165=C94)*ISNUMBER($R$3:$R$165)*$Q$3:$Q$165*IF(ISNUMBER($R$3:$R$165),$R$3:$R$165,0))/SUMPRODUCT(($C$3:$C$165=C94)*ISNUMBER($R$3:$R$165)*$Q$3:$Q$165),"")</f>
        <v/>
      </c>
      <c r="AB94" s="21">
        <f>IF(OR(R94="",AA94=""),"",R94/AA94)</f>
        <v/>
      </c>
      <c r="AC94" s="22">
        <f>IF(AB94="",O94,INDEX('4_UK_L1_Input'!$D$4:$D$14,MATCH($C94,'4_UK_L1_Input'!$A$4:$A$14,0))*AB94)</f>
        <v/>
      </c>
      <c r="AD94" s="7">
        <f>IF(AB94="","BETA FALLBACK","REAL (Bloomberg UK)")</f>
        <v/>
      </c>
      <c r="AE94" s="23">
        <f>Y94-N94</f>
        <v/>
      </c>
      <c r="AF94" s="23">
        <f>AC94-O94</f>
        <v/>
      </c>
    </row>
    <row r="95">
      <c r="A95" s="7" t="n">
        <v>35102010</v>
      </c>
      <c r="B95" s="7" t="inlineStr">
        <is>
          <t>Health Care Distributors</t>
        </is>
      </c>
      <c r="C95" s="7" t="n">
        <v>35</v>
      </c>
      <c r="D95" s="7" t="n">
        <v>3510</v>
      </c>
      <c r="E95" s="7" t="n">
        <v>351020</v>
      </c>
      <c r="F95" s="7" t="n">
        <v>0.758567</v>
      </c>
      <c r="G95" s="7" t="n">
        <v>1</v>
      </c>
      <c r="H95" s="11">
        <f>SUMPRODUCT(($E$3:$E$165=E95)*$G$3:$G$165*$F$3:$F$165)/SUMPRODUCT(($E$3:$E$165=E95)*$G$3:$G$165)</f>
        <v/>
      </c>
      <c r="I95" s="11">
        <f>SUMPRODUCT(($D$3:$D$165=D95)*$G$3:$G$165*$F$3:$F$165)/SUMPRODUCT(($D$3:$D$165=D95)*$G$3:$G$165)</f>
        <v/>
      </c>
      <c r="J95" s="11">
        <f>SUMPRODUCT(($C$3:$C$165=C95)*$G$3:$G$165*$F$3:$F$165)/SUMPRODUCT(($C$3:$C$165=C95)*$G$3:$G$165)</f>
        <v/>
      </c>
      <c r="K95" s="21">
        <f>I95/J95</f>
        <v/>
      </c>
      <c r="L95" s="21">
        <f>H95/I95</f>
        <v/>
      </c>
      <c r="M95" s="21">
        <f>F95/H95</f>
        <v/>
      </c>
      <c r="N95" s="22">
        <f>INDEX('4_UK_L1_Input'!$C$4:$C$14,MATCH($C95,'4_UK_L1_Input'!$A$4:$A$14,0))*K95*L95*M95</f>
        <v/>
      </c>
      <c r="O95" s="22">
        <f>INDEX('4_UK_L1_Input'!$D$4:$D$14,MATCH($C95,'4_UK_L1_Input'!$A$4:$A$14,0))*K95*L95*M95</f>
        <v/>
      </c>
      <c r="P95" s="15" t="n">
        <v>12420</v>
      </c>
      <c r="Q95" s="15" t="n">
        <v>2380000</v>
      </c>
      <c r="R95" s="14" t="n"/>
      <c r="S95" s="11">
        <f>IFERROR(SUMPRODUCT(($E$3:$E$165=E95)*ISNUMBER($P$3:$P$165)*$P$3:$P$165*$F$3:$F$165)/SUMPRODUCT(($E$3:$E$165=E95)*ISNUMBER($P$3:$P$165)*$P$3:$P$165),"")</f>
        <v/>
      </c>
      <c r="T95" s="11">
        <f>IFERROR(SUMPRODUCT(($D$3:$D$165=D95)*ISNUMBER($P$3:$P$165)*$P$3:$P$165*$F$3:$F$165)/SUMPRODUCT(($D$3:$D$165=D95)*ISNUMBER($P$3:$P$165)*$P$3:$P$165),"")</f>
        <v/>
      </c>
      <c r="U95" s="11">
        <f>IFERROR(SUMPRODUCT(($C$3:$C$165=C95)*ISNUMBER($P$3:$P$165)*$P$3:$P$165*$F$3:$F$165)/SUMPRODUCT(($C$3:$C$165=C95)*ISNUMBER($P$3:$P$165)*$P$3:$P$165),"")</f>
        <v/>
      </c>
      <c r="V95" s="21">
        <f>IF(OR(T95="",U95=""),"",T95/U95)</f>
        <v/>
      </c>
      <c r="W95" s="21">
        <f>IF(OR(S95="",T95=""),"",S95/T95)</f>
        <v/>
      </c>
      <c r="X95" s="21">
        <f>IF(S95="","",F95/S95)</f>
        <v/>
      </c>
      <c r="Y95" s="22">
        <f>IF(V95="",N95,INDEX('4_UK_L1_Input'!$C$4:$C$14,MATCH($C95,'4_UK_L1_Input'!$A$4:$A$14,0))*V95*W95*X95)</f>
        <v/>
      </c>
      <c r="Z95" s="7">
        <f>IF(V95="","BETA FALLBACK","REAL (Bloomberg UK)")</f>
        <v/>
      </c>
      <c r="AA95" s="21">
        <f>IFERROR(SUMPRODUCT(($C$3:$C$165=C95)*ISNUMBER($R$3:$R$165)*$Q$3:$Q$165*IF(ISNUMBER($R$3:$R$165),$R$3:$R$165,0))/SUMPRODUCT(($C$3:$C$165=C95)*ISNUMBER($R$3:$R$165)*$Q$3:$Q$165),"")</f>
        <v/>
      </c>
      <c r="AB95" s="21">
        <f>IF(OR(R95="",AA95=""),"",R95/AA95)</f>
        <v/>
      </c>
      <c r="AC95" s="22">
        <f>IF(AB95="",O95,INDEX('4_UK_L1_Input'!$D$4:$D$14,MATCH($C95,'4_UK_L1_Input'!$A$4:$A$14,0))*AB95)</f>
        <v/>
      </c>
      <c r="AD95" s="7">
        <f>IF(AB95="","BETA FALLBACK","REAL (Bloomberg UK)")</f>
        <v/>
      </c>
      <c r="AE95" s="23">
        <f>Y95-N95</f>
        <v/>
      </c>
      <c r="AF95" s="23">
        <f>AC95-O95</f>
        <v/>
      </c>
    </row>
    <row r="96">
      <c r="A96" s="7" t="n">
        <v>35102015</v>
      </c>
      <c r="B96" s="7" t="inlineStr">
        <is>
          <t>Health Care Services</t>
        </is>
      </c>
      <c r="C96" s="7" t="n">
        <v>35</v>
      </c>
      <c r="D96" s="7" t="n">
        <v>3510</v>
      </c>
      <c r="E96" s="7" t="n">
        <v>351020</v>
      </c>
      <c r="F96" s="7" t="n">
        <v>0.758567</v>
      </c>
      <c r="G96" s="7" t="n">
        <v>1</v>
      </c>
      <c r="H96" s="11">
        <f>SUMPRODUCT(($E$3:$E$165=E96)*$G$3:$G$165*$F$3:$F$165)/SUMPRODUCT(($E$3:$E$165=E96)*$G$3:$G$165)</f>
        <v/>
      </c>
      <c r="I96" s="11">
        <f>SUMPRODUCT(($D$3:$D$165=D96)*$G$3:$G$165*$F$3:$F$165)/SUMPRODUCT(($D$3:$D$165=D96)*$G$3:$G$165)</f>
        <v/>
      </c>
      <c r="J96" s="11">
        <f>SUMPRODUCT(($C$3:$C$165=C96)*$G$3:$G$165*$F$3:$F$165)/SUMPRODUCT(($C$3:$C$165=C96)*$G$3:$G$165)</f>
        <v/>
      </c>
      <c r="K96" s="21">
        <f>I96/J96</f>
        <v/>
      </c>
      <c r="L96" s="21">
        <f>H96/I96</f>
        <v/>
      </c>
      <c r="M96" s="21">
        <f>F96/H96</f>
        <v/>
      </c>
      <c r="N96" s="22">
        <f>INDEX('4_UK_L1_Input'!$C$4:$C$14,MATCH($C96,'4_UK_L1_Input'!$A$4:$A$14,0))*K96*L96*M96</f>
        <v/>
      </c>
      <c r="O96" s="22">
        <f>INDEX('4_UK_L1_Input'!$D$4:$D$14,MATCH($C96,'4_UK_L1_Input'!$A$4:$A$14,0))*K96*L96*M96</f>
        <v/>
      </c>
      <c r="P96" s="15" t="n">
        <v>26960000</v>
      </c>
      <c r="Q96" s="15" t="n">
        <v>57660000</v>
      </c>
      <c r="R96" s="16" t="n">
        <v>4.62</v>
      </c>
      <c r="S96" s="11">
        <f>IFERROR(SUMPRODUCT(($E$3:$E$165=E96)*ISNUMBER($P$3:$P$165)*$P$3:$P$165*$F$3:$F$165)/SUMPRODUCT(($E$3:$E$165=E96)*ISNUMBER($P$3:$P$165)*$P$3:$P$165),"")</f>
        <v/>
      </c>
      <c r="T96" s="11">
        <f>IFERROR(SUMPRODUCT(($D$3:$D$165=D96)*ISNUMBER($P$3:$P$165)*$P$3:$P$165*$F$3:$F$165)/SUMPRODUCT(($D$3:$D$165=D96)*ISNUMBER($P$3:$P$165)*$P$3:$P$165),"")</f>
        <v/>
      </c>
      <c r="U96" s="11">
        <f>IFERROR(SUMPRODUCT(($C$3:$C$165=C96)*ISNUMBER($P$3:$P$165)*$P$3:$P$165*$F$3:$F$165)/SUMPRODUCT(($C$3:$C$165=C96)*ISNUMBER($P$3:$P$165)*$P$3:$P$165),"")</f>
        <v/>
      </c>
      <c r="V96" s="21">
        <f>IF(OR(T96="",U96=""),"",T96/U96)</f>
        <v/>
      </c>
      <c r="W96" s="21">
        <f>IF(OR(S96="",T96=""),"",S96/T96)</f>
        <v/>
      </c>
      <c r="X96" s="21">
        <f>IF(S96="","",F96/S96)</f>
        <v/>
      </c>
      <c r="Y96" s="22">
        <f>IF(V96="",N96,INDEX('4_UK_L1_Input'!$C$4:$C$14,MATCH($C96,'4_UK_L1_Input'!$A$4:$A$14,0))*V96*W96*X96)</f>
        <v/>
      </c>
      <c r="Z96" s="7">
        <f>IF(V96="","BETA FALLBACK","REAL (Bloomberg UK)")</f>
        <v/>
      </c>
      <c r="AA96" s="21">
        <f>IFERROR(SUMPRODUCT(($C$3:$C$165=C96)*ISNUMBER($R$3:$R$165)*$Q$3:$Q$165*IF(ISNUMBER($R$3:$R$165),$R$3:$R$165,0))/SUMPRODUCT(($C$3:$C$165=C96)*ISNUMBER($R$3:$R$165)*$Q$3:$Q$165),"")</f>
        <v/>
      </c>
      <c r="AB96" s="21">
        <f>IF(OR(R96="",AA96=""),"",R96/AA96)</f>
        <v/>
      </c>
      <c r="AC96" s="22">
        <f>IF(AB96="",O96,INDEX('4_UK_L1_Input'!$D$4:$D$14,MATCH($C96,'4_UK_L1_Input'!$A$4:$A$14,0))*AB96)</f>
        <v/>
      </c>
      <c r="AD96" s="7">
        <f>IF(AB96="","BETA FALLBACK","REAL (Bloomberg UK)")</f>
        <v/>
      </c>
      <c r="AE96" s="23">
        <f>Y96-N96</f>
        <v/>
      </c>
      <c r="AF96" s="23">
        <f>AC96-O96</f>
        <v/>
      </c>
    </row>
    <row r="97">
      <c r="A97" s="7" t="n">
        <v>35102020</v>
      </c>
      <c r="B97" s="7" t="inlineStr">
        <is>
          <t>Health Care Facilities</t>
        </is>
      </c>
      <c r="C97" s="7" t="n">
        <v>35</v>
      </c>
      <c r="D97" s="7" t="n">
        <v>3510</v>
      </c>
      <c r="E97" s="7" t="n">
        <v>351020</v>
      </c>
      <c r="F97" s="7" t="n">
        <v>0.646837</v>
      </c>
      <c r="G97" s="7" t="n">
        <v>1</v>
      </c>
      <c r="H97" s="11">
        <f>SUMPRODUCT(($E$3:$E$165=E97)*$G$3:$G$165*$F$3:$F$165)/SUMPRODUCT(($E$3:$E$165=E97)*$G$3:$G$165)</f>
        <v/>
      </c>
      <c r="I97" s="11">
        <f>SUMPRODUCT(($D$3:$D$165=D97)*$G$3:$G$165*$F$3:$F$165)/SUMPRODUCT(($D$3:$D$165=D97)*$G$3:$G$165)</f>
        <v/>
      </c>
      <c r="J97" s="11">
        <f>SUMPRODUCT(($C$3:$C$165=C97)*$G$3:$G$165*$F$3:$F$165)/SUMPRODUCT(($C$3:$C$165=C97)*$G$3:$G$165)</f>
        <v/>
      </c>
      <c r="K97" s="21">
        <f>I97/J97</f>
        <v/>
      </c>
      <c r="L97" s="21">
        <f>H97/I97</f>
        <v/>
      </c>
      <c r="M97" s="21">
        <f>F97/H97</f>
        <v/>
      </c>
      <c r="N97" s="22">
        <f>INDEX('4_UK_L1_Input'!$C$4:$C$14,MATCH($C97,'4_UK_L1_Input'!$A$4:$A$14,0))*K97*L97*M97</f>
        <v/>
      </c>
      <c r="O97" s="22">
        <f>INDEX('4_UK_L1_Input'!$D$4:$D$14,MATCH($C97,'4_UK_L1_Input'!$A$4:$A$14,0))*K97*L97*M97</f>
        <v/>
      </c>
      <c r="P97" s="15" t="n">
        <v>756150000</v>
      </c>
      <c r="Q97" s="15" t="n">
        <v>610570000</v>
      </c>
      <c r="R97" s="16" t="n">
        <v>7.33</v>
      </c>
      <c r="S97" s="11">
        <f>IFERROR(SUMPRODUCT(($E$3:$E$165=E97)*ISNUMBER($P$3:$P$165)*$P$3:$P$165*$F$3:$F$165)/SUMPRODUCT(($E$3:$E$165=E97)*ISNUMBER($P$3:$P$165)*$P$3:$P$165),"")</f>
        <v/>
      </c>
      <c r="T97" s="11">
        <f>IFERROR(SUMPRODUCT(($D$3:$D$165=D97)*ISNUMBER($P$3:$P$165)*$P$3:$P$165*$F$3:$F$165)/SUMPRODUCT(($D$3:$D$165=D97)*ISNUMBER($P$3:$P$165)*$P$3:$P$165),"")</f>
        <v/>
      </c>
      <c r="U97" s="11">
        <f>IFERROR(SUMPRODUCT(($C$3:$C$165=C97)*ISNUMBER($P$3:$P$165)*$P$3:$P$165*$F$3:$F$165)/SUMPRODUCT(($C$3:$C$165=C97)*ISNUMBER($P$3:$P$165)*$P$3:$P$165),"")</f>
        <v/>
      </c>
      <c r="V97" s="21">
        <f>IF(OR(T97="",U97=""),"",T97/U97)</f>
        <v/>
      </c>
      <c r="W97" s="21">
        <f>IF(OR(S97="",T97=""),"",S97/T97)</f>
        <v/>
      </c>
      <c r="X97" s="21">
        <f>IF(S97="","",F97/S97)</f>
        <v/>
      </c>
      <c r="Y97" s="22">
        <f>IF(V97="",N97,INDEX('4_UK_L1_Input'!$C$4:$C$14,MATCH($C97,'4_UK_L1_Input'!$A$4:$A$14,0))*V97*W97*X97)</f>
        <v/>
      </c>
      <c r="Z97" s="7">
        <f>IF(V97="","BETA FALLBACK","REAL (Bloomberg UK)")</f>
        <v/>
      </c>
      <c r="AA97" s="21">
        <f>IFERROR(SUMPRODUCT(($C$3:$C$165=C97)*ISNUMBER($R$3:$R$165)*$Q$3:$Q$165*IF(ISNUMBER($R$3:$R$165),$R$3:$R$165,0))/SUMPRODUCT(($C$3:$C$165=C97)*ISNUMBER($R$3:$R$165)*$Q$3:$Q$165),"")</f>
        <v/>
      </c>
      <c r="AB97" s="21">
        <f>IF(OR(R97="",AA97=""),"",R97/AA97)</f>
        <v/>
      </c>
      <c r="AC97" s="22">
        <f>IF(AB97="",O97,INDEX('4_UK_L1_Input'!$D$4:$D$14,MATCH($C97,'4_UK_L1_Input'!$A$4:$A$14,0))*AB97)</f>
        <v/>
      </c>
      <c r="AD97" s="7">
        <f>IF(AB97="","BETA FALLBACK","REAL (Bloomberg UK)")</f>
        <v/>
      </c>
      <c r="AE97" s="23">
        <f>Y97-N97</f>
        <v/>
      </c>
      <c r="AF97" s="23">
        <f>AC97-O97</f>
        <v/>
      </c>
    </row>
    <row r="98">
      <c r="A98" s="7" t="n">
        <v>35102030</v>
      </c>
      <c r="B98" s="7" t="inlineStr">
        <is>
          <t>Managed Health Care</t>
        </is>
      </c>
      <c r="C98" s="7" t="n">
        <v>35</v>
      </c>
      <c r="D98" s="7" t="n">
        <v>3510</v>
      </c>
      <c r="E98" s="7" t="n">
        <v>351020</v>
      </c>
      <c r="F98" s="7" t="n">
        <v>0.758567</v>
      </c>
      <c r="G98" s="7" t="n">
        <v>1</v>
      </c>
      <c r="H98" s="11">
        <f>SUMPRODUCT(($E$3:$E$165=E98)*$G$3:$G$165*$F$3:$F$165)/SUMPRODUCT(($E$3:$E$165=E98)*$G$3:$G$165)</f>
        <v/>
      </c>
      <c r="I98" s="11">
        <f>SUMPRODUCT(($D$3:$D$165=D98)*$G$3:$G$165*$F$3:$F$165)/SUMPRODUCT(($D$3:$D$165=D98)*$G$3:$G$165)</f>
        <v/>
      </c>
      <c r="J98" s="11">
        <f>SUMPRODUCT(($C$3:$C$165=C98)*$G$3:$G$165*$F$3:$F$165)/SUMPRODUCT(($C$3:$C$165=C98)*$G$3:$G$165)</f>
        <v/>
      </c>
      <c r="K98" s="21">
        <f>I98/J98</f>
        <v/>
      </c>
      <c r="L98" s="21">
        <f>H98/I98</f>
        <v/>
      </c>
      <c r="M98" s="21">
        <f>F98/H98</f>
        <v/>
      </c>
      <c r="N98" s="22">
        <f>INDEX('4_UK_L1_Input'!$C$4:$C$14,MATCH($C98,'4_UK_L1_Input'!$A$4:$A$14,0))*K98*L98*M98</f>
        <v/>
      </c>
      <c r="O98" s="22">
        <f>INDEX('4_UK_L1_Input'!$D$4:$D$14,MATCH($C98,'4_UK_L1_Input'!$A$4:$A$14,0))*K98*L98*M98</f>
        <v/>
      </c>
      <c r="P98" s="14" t="n"/>
      <c r="Q98" s="14" t="n"/>
      <c r="R98" s="14" t="n"/>
      <c r="S98" s="11">
        <f>IFERROR(SUMPRODUCT(($E$3:$E$165=E98)*ISNUMBER($P$3:$P$165)*$P$3:$P$165*$F$3:$F$165)/SUMPRODUCT(($E$3:$E$165=E98)*ISNUMBER($P$3:$P$165)*$P$3:$P$165),"")</f>
        <v/>
      </c>
      <c r="T98" s="11">
        <f>IFERROR(SUMPRODUCT(($D$3:$D$165=D98)*ISNUMBER($P$3:$P$165)*$P$3:$P$165*$F$3:$F$165)/SUMPRODUCT(($D$3:$D$165=D98)*ISNUMBER($P$3:$P$165)*$P$3:$P$165),"")</f>
        <v/>
      </c>
      <c r="U98" s="11">
        <f>IFERROR(SUMPRODUCT(($C$3:$C$165=C98)*ISNUMBER($P$3:$P$165)*$P$3:$P$165*$F$3:$F$165)/SUMPRODUCT(($C$3:$C$165=C98)*ISNUMBER($P$3:$P$165)*$P$3:$P$165),"")</f>
        <v/>
      </c>
      <c r="V98" s="21">
        <f>IF(OR(T98="",U98=""),"",T98/U98)</f>
        <v/>
      </c>
      <c r="W98" s="21">
        <f>IF(OR(S98="",T98=""),"",S98/T98)</f>
        <v/>
      </c>
      <c r="X98" s="21">
        <f>IF(S98="","",F98/S98)</f>
        <v/>
      </c>
      <c r="Y98" s="22">
        <f>IF(V98="",N98,INDEX('4_UK_L1_Input'!$C$4:$C$14,MATCH($C98,'4_UK_L1_Input'!$A$4:$A$14,0))*V98*W98*X98)</f>
        <v/>
      </c>
      <c r="Z98" s="7">
        <f>IF(V98="","BETA FALLBACK","REAL (Bloomberg UK)")</f>
        <v/>
      </c>
      <c r="AA98" s="21">
        <f>IFERROR(SUMPRODUCT(($C$3:$C$165=C98)*ISNUMBER($R$3:$R$165)*$Q$3:$Q$165*IF(ISNUMBER($R$3:$R$165),$R$3:$R$165,0))/SUMPRODUCT(($C$3:$C$165=C98)*ISNUMBER($R$3:$R$165)*$Q$3:$Q$165),"")</f>
        <v/>
      </c>
      <c r="AB98" s="21">
        <f>IF(OR(R98="",AA98=""),"",R98/AA98)</f>
        <v/>
      </c>
      <c r="AC98" s="22">
        <f>IF(AB98="",O98,INDEX('4_UK_L1_Input'!$D$4:$D$14,MATCH($C98,'4_UK_L1_Input'!$A$4:$A$14,0))*AB98)</f>
        <v/>
      </c>
      <c r="AD98" s="7">
        <f>IF(AB98="","BETA FALLBACK","REAL (Bloomberg UK)")</f>
        <v/>
      </c>
      <c r="AE98" s="23">
        <f>Y98-N98</f>
        <v/>
      </c>
      <c r="AF98" s="23">
        <f>AC98-O98</f>
        <v/>
      </c>
    </row>
    <row r="99">
      <c r="A99" s="7" t="n">
        <v>35103010</v>
      </c>
      <c r="B99" s="7" t="inlineStr">
        <is>
          <t>Health Care Technology</t>
        </is>
      </c>
      <c r="C99" s="7" t="n">
        <v>35</v>
      </c>
      <c r="D99" s="7" t="n">
        <v>3510</v>
      </c>
      <c r="E99" s="7" t="n">
        <v>351030</v>
      </c>
      <c r="F99" s="7" t="n">
        <v>1.007096</v>
      </c>
      <c r="G99" s="7" t="n">
        <v>1</v>
      </c>
      <c r="H99" s="11">
        <f>SUMPRODUCT(($E$3:$E$165=E99)*$G$3:$G$165*$F$3:$F$165)/SUMPRODUCT(($E$3:$E$165=E99)*$G$3:$G$165)</f>
        <v/>
      </c>
      <c r="I99" s="11">
        <f>SUMPRODUCT(($D$3:$D$165=D99)*$G$3:$G$165*$F$3:$F$165)/SUMPRODUCT(($D$3:$D$165=D99)*$G$3:$G$165)</f>
        <v/>
      </c>
      <c r="J99" s="11">
        <f>SUMPRODUCT(($C$3:$C$165=C99)*$G$3:$G$165*$F$3:$F$165)/SUMPRODUCT(($C$3:$C$165=C99)*$G$3:$G$165)</f>
        <v/>
      </c>
      <c r="K99" s="21">
        <f>I99/J99</f>
        <v/>
      </c>
      <c r="L99" s="21">
        <f>H99/I99</f>
        <v/>
      </c>
      <c r="M99" s="21">
        <f>F99/H99</f>
        <v/>
      </c>
      <c r="N99" s="22">
        <f>INDEX('4_UK_L1_Input'!$C$4:$C$14,MATCH($C99,'4_UK_L1_Input'!$A$4:$A$14,0))*K99*L99*M99</f>
        <v/>
      </c>
      <c r="O99" s="22">
        <f>INDEX('4_UK_L1_Input'!$D$4:$D$14,MATCH($C99,'4_UK_L1_Input'!$A$4:$A$14,0))*K99*L99*M99</f>
        <v/>
      </c>
      <c r="P99" s="15" t="n">
        <v>173230000</v>
      </c>
      <c r="Q99" s="15" t="n">
        <v>82100000</v>
      </c>
      <c r="R99" s="16" t="n">
        <v>8.130000000000001</v>
      </c>
      <c r="S99" s="11">
        <f>IFERROR(SUMPRODUCT(($E$3:$E$165=E99)*ISNUMBER($P$3:$P$165)*$P$3:$P$165*$F$3:$F$165)/SUMPRODUCT(($E$3:$E$165=E99)*ISNUMBER($P$3:$P$165)*$P$3:$P$165),"")</f>
        <v/>
      </c>
      <c r="T99" s="11">
        <f>IFERROR(SUMPRODUCT(($D$3:$D$165=D99)*ISNUMBER($P$3:$P$165)*$P$3:$P$165*$F$3:$F$165)/SUMPRODUCT(($D$3:$D$165=D99)*ISNUMBER($P$3:$P$165)*$P$3:$P$165),"")</f>
        <v/>
      </c>
      <c r="U99" s="11">
        <f>IFERROR(SUMPRODUCT(($C$3:$C$165=C99)*ISNUMBER($P$3:$P$165)*$P$3:$P$165*$F$3:$F$165)/SUMPRODUCT(($C$3:$C$165=C99)*ISNUMBER($P$3:$P$165)*$P$3:$P$165),"")</f>
        <v/>
      </c>
      <c r="V99" s="21">
        <f>IF(OR(T99="",U99=""),"",T99/U99)</f>
        <v/>
      </c>
      <c r="W99" s="21">
        <f>IF(OR(S99="",T99=""),"",S99/T99)</f>
        <v/>
      </c>
      <c r="X99" s="21">
        <f>IF(S99="","",F99/S99)</f>
        <v/>
      </c>
      <c r="Y99" s="22">
        <f>IF(V99="",N99,INDEX('4_UK_L1_Input'!$C$4:$C$14,MATCH($C99,'4_UK_L1_Input'!$A$4:$A$14,0))*V99*W99*X99)</f>
        <v/>
      </c>
      <c r="Z99" s="7">
        <f>IF(V99="","BETA FALLBACK","REAL (Bloomberg UK)")</f>
        <v/>
      </c>
      <c r="AA99" s="21">
        <f>IFERROR(SUMPRODUCT(($C$3:$C$165=C99)*ISNUMBER($R$3:$R$165)*$Q$3:$Q$165*IF(ISNUMBER($R$3:$R$165),$R$3:$R$165,0))/SUMPRODUCT(($C$3:$C$165=C99)*ISNUMBER($R$3:$R$165)*$Q$3:$Q$165),"")</f>
        <v/>
      </c>
      <c r="AB99" s="21">
        <f>IF(OR(R99="",AA99=""),"",R99/AA99)</f>
        <v/>
      </c>
      <c r="AC99" s="22">
        <f>IF(AB99="",O99,INDEX('4_UK_L1_Input'!$D$4:$D$14,MATCH($C99,'4_UK_L1_Input'!$A$4:$A$14,0))*AB99)</f>
        <v/>
      </c>
      <c r="AD99" s="7">
        <f>IF(AB99="","BETA FALLBACK","REAL (Bloomberg UK)")</f>
        <v/>
      </c>
      <c r="AE99" s="23">
        <f>Y99-N99</f>
        <v/>
      </c>
      <c r="AF99" s="23">
        <f>AC99-O99</f>
        <v/>
      </c>
    </row>
    <row r="100">
      <c r="A100" s="7" t="n">
        <v>35201010</v>
      </c>
      <c r="B100" s="7" t="inlineStr">
        <is>
          <t>Biotechnology</t>
        </is>
      </c>
      <c r="C100" s="7" t="n">
        <v>35</v>
      </c>
      <c r="D100" s="7" t="n">
        <v>3520</v>
      </c>
      <c r="E100" s="7" t="n">
        <v>352010</v>
      </c>
      <c r="F100" s="7" t="n">
        <v>1.075926</v>
      </c>
      <c r="G100" s="7" t="n">
        <v>1</v>
      </c>
      <c r="H100" s="11">
        <f>SUMPRODUCT(($E$3:$E$165=E100)*$G$3:$G$165*$F$3:$F$165)/SUMPRODUCT(($E$3:$E$165=E100)*$G$3:$G$165)</f>
        <v/>
      </c>
      <c r="I100" s="11">
        <f>SUMPRODUCT(($D$3:$D$165=D100)*$G$3:$G$165*$F$3:$F$165)/SUMPRODUCT(($D$3:$D$165=D100)*$G$3:$G$165)</f>
        <v/>
      </c>
      <c r="J100" s="11">
        <f>SUMPRODUCT(($C$3:$C$165=C100)*$G$3:$G$165*$F$3:$F$165)/SUMPRODUCT(($C$3:$C$165=C100)*$G$3:$G$165)</f>
        <v/>
      </c>
      <c r="K100" s="21">
        <f>I100/J100</f>
        <v/>
      </c>
      <c r="L100" s="21">
        <f>H100/I100</f>
        <v/>
      </c>
      <c r="M100" s="21">
        <f>F100/H100</f>
        <v/>
      </c>
      <c r="N100" s="22">
        <f>INDEX('4_UK_L1_Input'!$C$4:$C$14,MATCH($C100,'4_UK_L1_Input'!$A$4:$A$14,0))*K100*L100*M100</f>
        <v/>
      </c>
      <c r="O100" s="22">
        <f>INDEX('4_UK_L1_Input'!$D$4:$D$14,MATCH($C100,'4_UK_L1_Input'!$A$4:$A$14,0))*K100*L100*M100</f>
        <v/>
      </c>
      <c r="P100" s="15" t="n">
        <v>72750000</v>
      </c>
      <c r="Q100" s="15" t="n">
        <v>407840000</v>
      </c>
      <c r="R100" s="16" t="n">
        <v>25.22</v>
      </c>
      <c r="S100" s="11">
        <f>IFERROR(SUMPRODUCT(($E$3:$E$165=E100)*ISNUMBER($P$3:$P$165)*$P$3:$P$165*$F$3:$F$165)/SUMPRODUCT(($E$3:$E$165=E100)*ISNUMBER($P$3:$P$165)*$P$3:$P$165),"")</f>
        <v/>
      </c>
      <c r="T100" s="11">
        <f>IFERROR(SUMPRODUCT(($D$3:$D$165=D100)*ISNUMBER($P$3:$P$165)*$P$3:$P$165*$F$3:$F$165)/SUMPRODUCT(($D$3:$D$165=D100)*ISNUMBER($P$3:$P$165)*$P$3:$P$165),"")</f>
        <v/>
      </c>
      <c r="U100" s="11">
        <f>IFERROR(SUMPRODUCT(($C$3:$C$165=C100)*ISNUMBER($P$3:$P$165)*$P$3:$P$165*$F$3:$F$165)/SUMPRODUCT(($C$3:$C$165=C100)*ISNUMBER($P$3:$P$165)*$P$3:$P$165),"")</f>
        <v/>
      </c>
      <c r="V100" s="21">
        <f>IF(OR(T100="",U100=""),"",T100/U100)</f>
        <v/>
      </c>
      <c r="W100" s="21">
        <f>IF(OR(S100="",T100=""),"",S100/T100)</f>
        <v/>
      </c>
      <c r="X100" s="21">
        <f>IF(S100="","",F100/S100)</f>
        <v/>
      </c>
      <c r="Y100" s="22">
        <f>IF(V100="",N100,INDEX('4_UK_L1_Input'!$C$4:$C$14,MATCH($C100,'4_UK_L1_Input'!$A$4:$A$14,0))*V100*W100*X100)</f>
        <v/>
      </c>
      <c r="Z100" s="7">
        <f>IF(V100="","BETA FALLBACK","REAL (Bloomberg UK)")</f>
        <v/>
      </c>
      <c r="AA100" s="21">
        <f>IFERROR(SUMPRODUCT(($C$3:$C$165=C100)*ISNUMBER($R$3:$R$165)*$Q$3:$Q$165*IF(ISNUMBER($R$3:$R$165),$R$3:$R$165,0))/SUMPRODUCT(($C$3:$C$165=C100)*ISNUMBER($R$3:$R$165)*$Q$3:$Q$165),"")</f>
        <v/>
      </c>
      <c r="AB100" s="21">
        <f>IF(OR(R100="",AA100=""),"",R100/AA100)</f>
        <v/>
      </c>
      <c r="AC100" s="22">
        <f>IF(AB100="",O100,INDEX('4_UK_L1_Input'!$D$4:$D$14,MATCH($C100,'4_UK_L1_Input'!$A$4:$A$14,0))*AB100)</f>
        <v/>
      </c>
      <c r="AD100" s="7">
        <f>IF(AB100="","BETA FALLBACK","REAL (Bloomberg UK)")</f>
        <v/>
      </c>
      <c r="AE100" s="23">
        <f>Y100-N100</f>
        <v/>
      </c>
      <c r="AF100" s="23">
        <f>AC100-O100</f>
        <v/>
      </c>
    </row>
    <row r="101">
      <c r="A101" s="7" t="n">
        <v>35202010</v>
      </c>
      <c r="B101" s="7" t="inlineStr">
        <is>
          <t>Pharmaceuticals</t>
        </is>
      </c>
      <c r="C101" s="7" t="n">
        <v>35</v>
      </c>
      <c r="D101" s="7" t="n">
        <v>3520</v>
      </c>
      <c r="E101" s="7" t="n">
        <v>352020</v>
      </c>
      <c r="F101" s="7" t="n">
        <v>0.914541</v>
      </c>
      <c r="G101" s="7" t="n">
        <v>1</v>
      </c>
      <c r="H101" s="11">
        <f>SUMPRODUCT(($E$3:$E$165=E101)*$G$3:$G$165*$F$3:$F$165)/SUMPRODUCT(($E$3:$E$165=E101)*$G$3:$G$165)</f>
        <v/>
      </c>
      <c r="I101" s="11">
        <f>SUMPRODUCT(($D$3:$D$165=D101)*$G$3:$G$165*$F$3:$F$165)/SUMPRODUCT(($D$3:$D$165=D101)*$G$3:$G$165)</f>
        <v/>
      </c>
      <c r="J101" s="11">
        <f>SUMPRODUCT(($C$3:$C$165=C101)*$G$3:$G$165*$F$3:$F$165)/SUMPRODUCT(($C$3:$C$165=C101)*$G$3:$G$165)</f>
        <v/>
      </c>
      <c r="K101" s="21">
        <f>I101/J101</f>
        <v/>
      </c>
      <c r="L101" s="21">
        <f>H101/I101</f>
        <v/>
      </c>
      <c r="M101" s="21">
        <f>F101/H101</f>
        <v/>
      </c>
      <c r="N101" s="22">
        <f>INDEX('4_UK_L1_Input'!$C$4:$C$14,MATCH($C101,'4_UK_L1_Input'!$A$4:$A$14,0))*K101*L101*M101</f>
        <v/>
      </c>
      <c r="O101" s="22">
        <f>INDEX('4_UK_L1_Input'!$D$4:$D$14,MATCH($C101,'4_UK_L1_Input'!$A$4:$A$14,0))*K101*L101*M101</f>
        <v/>
      </c>
      <c r="P101" s="15" t="n">
        <v>7290000000</v>
      </c>
      <c r="Q101" s="15" t="n">
        <v>21460000000</v>
      </c>
      <c r="R101" s="16" t="n">
        <v>9.18</v>
      </c>
      <c r="S101" s="11">
        <f>IFERROR(SUMPRODUCT(($E$3:$E$165=E101)*ISNUMBER($P$3:$P$165)*$P$3:$P$165*$F$3:$F$165)/SUMPRODUCT(($E$3:$E$165=E101)*ISNUMBER($P$3:$P$165)*$P$3:$P$165),"")</f>
        <v/>
      </c>
      <c r="T101" s="11">
        <f>IFERROR(SUMPRODUCT(($D$3:$D$165=D101)*ISNUMBER($P$3:$P$165)*$P$3:$P$165*$F$3:$F$165)/SUMPRODUCT(($D$3:$D$165=D101)*ISNUMBER($P$3:$P$165)*$P$3:$P$165),"")</f>
        <v/>
      </c>
      <c r="U101" s="11">
        <f>IFERROR(SUMPRODUCT(($C$3:$C$165=C101)*ISNUMBER($P$3:$P$165)*$P$3:$P$165*$F$3:$F$165)/SUMPRODUCT(($C$3:$C$165=C101)*ISNUMBER($P$3:$P$165)*$P$3:$P$165),"")</f>
        <v/>
      </c>
      <c r="V101" s="21">
        <f>IF(OR(T101="",U101=""),"",T101/U101)</f>
        <v/>
      </c>
      <c r="W101" s="21">
        <f>IF(OR(S101="",T101=""),"",S101/T101)</f>
        <v/>
      </c>
      <c r="X101" s="21">
        <f>IF(S101="","",F101/S101)</f>
        <v/>
      </c>
      <c r="Y101" s="22">
        <f>IF(V101="",N101,INDEX('4_UK_L1_Input'!$C$4:$C$14,MATCH($C101,'4_UK_L1_Input'!$A$4:$A$14,0))*V101*W101*X101)</f>
        <v/>
      </c>
      <c r="Z101" s="7">
        <f>IF(V101="","BETA FALLBACK","REAL (Bloomberg UK)")</f>
        <v/>
      </c>
      <c r="AA101" s="21">
        <f>IFERROR(SUMPRODUCT(($C$3:$C$165=C101)*ISNUMBER($R$3:$R$165)*$Q$3:$Q$165*IF(ISNUMBER($R$3:$R$165),$R$3:$R$165,0))/SUMPRODUCT(($C$3:$C$165=C101)*ISNUMBER($R$3:$R$165)*$Q$3:$Q$165),"")</f>
        <v/>
      </c>
      <c r="AB101" s="21">
        <f>IF(OR(R101="",AA101=""),"",R101/AA101)</f>
        <v/>
      </c>
      <c r="AC101" s="22">
        <f>IF(AB101="",O101,INDEX('4_UK_L1_Input'!$D$4:$D$14,MATCH($C101,'4_UK_L1_Input'!$A$4:$A$14,0))*AB101)</f>
        <v/>
      </c>
      <c r="AD101" s="7">
        <f>IF(AB101="","BETA FALLBACK","REAL (Bloomberg UK)")</f>
        <v/>
      </c>
      <c r="AE101" s="23">
        <f>Y101-N101</f>
        <v/>
      </c>
      <c r="AF101" s="23">
        <f>AC101-O101</f>
        <v/>
      </c>
    </row>
    <row r="102">
      <c r="A102" s="7" t="n">
        <v>35203010</v>
      </c>
      <c r="B102" s="7" t="inlineStr">
        <is>
          <t>Life Sciences Tools &amp; Services</t>
        </is>
      </c>
      <c r="C102" s="7" t="n">
        <v>35</v>
      </c>
      <c r="D102" s="7" t="n">
        <v>3520</v>
      </c>
      <c r="E102" s="7" t="n">
        <v>352030</v>
      </c>
      <c r="F102" s="7" t="n">
        <v>0.859005</v>
      </c>
      <c r="G102" s="7" t="n">
        <v>1</v>
      </c>
      <c r="H102" s="11">
        <f>SUMPRODUCT(($E$3:$E$165=E102)*$G$3:$G$165*$F$3:$F$165)/SUMPRODUCT(($E$3:$E$165=E102)*$G$3:$G$165)</f>
        <v/>
      </c>
      <c r="I102" s="11">
        <f>SUMPRODUCT(($D$3:$D$165=D102)*$G$3:$G$165*$F$3:$F$165)/SUMPRODUCT(($D$3:$D$165=D102)*$G$3:$G$165)</f>
        <v/>
      </c>
      <c r="J102" s="11">
        <f>SUMPRODUCT(($C$3:$C$165=C102)*$G$3:$G$165*$F$3:$F$165)/SUMPRODUCT(($C$3:$C$165=C102)*$G$3:$G$165)</f>
        <v/>
      </c>
      <c r="K102" s="21">
        <f>I102/J102</f>
        <v/>
      </c>
      <c r="L102" s="21">
        <f>H102/I102</f>
        <v/>
      </c>
      <c r="M102" s="21">
        <f>F102/H102</f>
        <v/>
      </c>
      <c r="N102" s="22">
        <f>INDEX('4_UK_L1_Input'!$C$4:$C$14,MATCH($C102,'4_UK_L1_Input'!$A$4:$A$14,0))*K102*L102*M102</f>
        <v/>
      </c>
      <c r="O102" s="22">
        <f>INDEX('4_UK_L1_Input'!$D$4:$D$14,MATCH($C102,'4_UK_L1_Input'!$A$4:$A$14,0))*K102*L102*M102</f>
        <v/>
      </c>
      <c r="P102" s="15" t="n">
        <v>36120000</v>
      </c>
      <c r="Q102" s="15" t="n">
        <v>162120000</v>
      </c>
      <c r="R102" s="16" t="n">
        <v>16.2</v>
      </c>
      <c r="S102" s="11">
        <f>IFERROR(SUMPRODUCT(($E$3:$E$165=E102)*ISNUMBER($P$3:$P$165)*$P$3:$P$165*$F$3:$F$165)/SUMPRODUCT(($E$3:$E$165=E102)*ISNUMBER($P$3:$P$165)*$P$3:$P$165),"")</f>
        <v/>
      </c>
      <c r="T102" s="11">
        <f>IFERROR(SUMPRODUCT(($D$3:$D$165=D102)*ISNUMBER($P$3:$P$165)*$P$3:$P$165*$F$3:$F$165)/SUMPRODUCT(($D$3:$D$165=D102)*ISNUMBER($P$3:$P$165)*$P$3:$P$165),"")</f>
        <v/>
      </c>
      <c r="U102" s="11">
        <f>IFERROR(SUMPRODUCT(($C$3:$C$165=C102)*ISNUMBER($P$3:$P$165)*$P$3:$P$165*$F$3:$F$165)/SUMPRODUCT(($C$3:$C$165=C102)*ISNUMBER($P$3:$P$165)*$P$3:$P$165),"")</f>
        <v/>
      </c>
      <c r="V102" s="21">
        <f>IF(OR(T102="",U102=""),"",T102/U102)</f>
        <v/>
      </c>
      <c r="W102" s="21">
        <f>IF(OR(S102="",T102=""),"",S102/T102)</f>
        <v/>
      </c>
      <c r="X102" s="21">
        <f>IF(S102="","",F102/S102)</f>
        <v/>
      </c>
      <c r="Y102" s="22">
        <f>IF(V102="",N102,INDEX('4_UK_L1_Input'!$C$4:$C$14,MATCH($C102,'4_UK_L1_Input'!$A$4:$A$14,0))*V102*W102*X102)</f>
        <v/>
      </c>
      <c r="Z102" s="7">
        <f>IF(V102="","BETA FALLBACK","REAL (Bloomberg UK)")</f>
        <v/>
      </c>
      <c r="AA102" s="21">
        <f>IFERROR(SUMPRODUCT(($C$3:$C$165=C102)*ISNUMBER($R$3:$R$165)*$Q$3:$Q$165*IF(ISNUMBER($R$3:$R$165),$R$3:$R$165,0))/SUMPRODUCT(($C$3:$C$165=C102)*ISNUMBER($R$3:$R$165)*$Q$3:$Q$165),"")</f>
        <v/>
      </c>
      <c r="AB102" s="21">
        <f>IF(OR(R102="",AA102=""),"",R102/AA102)</f>
        <v/>
      </c>
      <c r="AC102" s="22">
        <f>IF(AB102="",O102,INDEX('4_UK_L1_Input'!$D$4:$D$14,MATCH($C102,'4_UK_L1_Input'!$A$4:$A$14,0))*AB102)</f>
        <v/>
      </c>
      <c r="AD102" s="7">
        <f>IF(AB102="","BETA FALLBACK","REAL (Bloomberg UK)")</f>
        <v/>
      </c>
      <c r="AE102" s="23">
        <f>Y102-N102</f>
        <v/>
      </c>
      <c r="AF102" s="23">
        <f>AC102-O102</f>
        <v/>
      </c>
    </row>
    <row r="103">
      <c r="A103" s="7" t="n">
        <v>40101010</v>
      </c>
      <c r="B103" s="7" t="inlineStr">
        <is>
          <t>Diversified Banks</t>
        </is>
      </c>
      <c r="C103" s="7" t="n">
        <v>40</v>
      </c>
      <c r="D103" s="7" t="n">
        <v>4010</v>
      </c>
      <c r="E103" s="7" t="n">
        <v>401010</v>
      </c>
      <c r="F103" s="7" t="n">
        <v>0.626722</v>
      </c>
      <c r="G103" s="7" t="n">
        <v>1</v>
      </c>
      <c r="H103" s="11">
        <f>SUMPRODUCT(($E$3:$E$165=E103)*$G$3:$G$165*$F$3:$F$165)/SUMPRODUCT(($E$3:$E$165=E103)*$G$3:$G$165)</f>
        <v/>
      </c>
      <c r="I103" s="11">
        <f>SUMPRODUCT(($D$3:$D$165=D103)*$G$3:$G$165*$F$3:$F$165)/SUMPRODUCT(($D$3:$D$165=D103)*$G$3:$G$165)</f>
        <v/>
      </c>
      <c r="J103" s="11">
        <f>SUMPRODUCT(($C$3:$C$165=C103)*$G$3:$G$165*$F$3:$F$165)/SUMPRODUCT(($C$3:$C$165=C103)*$G$3:$G$165)</f>
        <v/>
      </c>
      <c r="K103" s="21">
        <f>I103/J103</f>
        <v/>
      </c>
      <c r="L103" s="21">
        <f>H103/I103</f>
        <v/>
      </c>
      <c r="M103" s="21">
        <f>F103/H103</f>
        <v/>
      </c>
      <c r="N103" s="22">
        <f>INDEX('4_UK_L1_Input'!$C$4:$C$14,MATCH($C103,'4_UK_L1_Input'!$A$4:$A$14,0))*K103*L103*M103</f>
        <v/>
      </c>
      <c r="O103" s="22">
        <f>INDEX('4_UK_L1_Input'!$D$4:$D$14,MATCH($C103,'4_UK_L1_Input'!$A$4:$A$14,0))*K103*L103*M103</f>
        <v/>
      </c>
      <c r="P103" s="15" t="n">
        <v>28150000000</v>
      </c>
      <c r="Q103" s="15" t="n">
        <v>56790000000</v>
      </c>
      <c r="R103" s="14" t="n"/>
      <c r="S103" s="11">
        <f>IFERROR(SUMPRODUCT(($E$3:$E$165=E103)*ISNUMBER($P$3:$P$165)*$P$3:$P$165*$F$3:$F$165)/SUMPRODUCT(($E$3:$E$165=E103)*ISNUMBER($P$3:$P$165)*$P$3:$P$165),"")</f>
        <v/>
      </c>
      <c r="T103" s="11">
        <f>IFERROR(SUMPRODUCT(($D$3:$D$165=D103)*ISNUMBER($P$3:$P$165)*$P$3:$P$165*$F$3:$F$165)/SUMPRODUCT(($D$3:$D$165=D103)*ISNUMBER($P$3:$P$165)*$P$3:$P$165),"")</f>
        <v/>
      </c>
      <c r="U103" s="11">
        <f>IFERROR(SUMPRODUCT(($C$3:$C$165=C103)*ISNUMBER($P$3:$P$165)*$P$3:$P$165*$F$3:$F$165)/SUMPRODUCT(($C$3:$C$165=C103)*ISNUMBER($P$3:$P$165)*$P$3:$P$165),"")</f>
        <v/>
      </c>
      <c r="V103" s="21">
        <f>IF(OR(T103="",U103=""),"",T103/U103)</f>
        <v/>
      </c>
      <c r="W103" s="21">
        <f>IF(OR(S103="",T103=""),"",S103/T103)</f>
        <v/>
      </c>
      <c r="X103" s="21">
        <f>IF(S103="","",F103/S103)</f>
        <v/>
      </c>
      <c r="Y103" s="22">
        <f>IF(V103="",N103,INDEX('4_UK_L1_Input'!$C$4:$C$14,MATCH($C103,'4_UK_L1_Input'!$A$4:$A$14,0))*V103*W103*X103)</f>
        <v/>
      </c>
      <c r="Z103" s="7">
        <f>IF(V103="","BETA FALLBACK","REAL (Bloomberg UK)")</f>
        <v/>
      </c>
      <c r="AA103" s="21">
        <f>IFERROR(SUMPRODUCT(($C$3:$C$165=C103)*ISNUMBER($R$3:$R$165)*$Q$3:$Q$165*IF(ISNUMBER($R$3:$R$165),$R$3:$R$165,0))/SUMPRODUCT(($C$3:$C$165=C103)*ISNUMBER($R$3:$R$165)*$Q$3:$Q$165),"")</f>
        <v/>
      </c>
      <c r="AB103" s="21">
        <f>IF(OR(R103="",AA103=""),"",R103/AA103)</f>
        <v/>
      </c>
      <c r="AC103" s="22">
        <f>IF(AB103="",O103,INDEX('4_UK_L1_Input'!$D$4:$D$14,MATCH($C103,'4_UK_L1_Input'!$A$4:$A$14,0))*AB103)</f>
        <v/>
      </c>
      <c r="AD103" s="7">
        <f>IF(AB103="","BETA FALLBACK","REAL (Bloomberg UK)")</f>
        <v/>
      </c>
      <c r="AE103" s="23">
        <f>Y103-N103</f>
        <v/>
      </c>
      <c r="AF103" s="23">
        <f>AC103-O103</f>
        <v/>
      </c>
    </row>
    <row r="104">
      <c r="A104" s="7" t="n">
        <v>40101015</v>
      </c>
      <c r="B104" s="7" t="inlineStr">
        <is>
          <t>Regional Banks</t>
        </is>
      </c>
      <c r="C104" s="7" t="n">
        <v>40</v>
      </c>
      <c r="D104" s="7" t="n">
        <v>4010</v>
      </c>
      <c r="E104" s="7" t="n">
        <v>401010</v>
      </c>
      <c r="F104" s="7" t="n">
        <v>0.383549</v>
      </c>
      <c r="G104" s="7" t="n">
        <v>1</v>
      </c>
      <c r="H104" s="11">
        <f>SUMPRODUCT(($E$3:$E$165=E104)*$G$3:$G$165*$F$3:$F$165)/SUMPRODUCT(($E$3:$E$165=E104)*$G$3:$G$165)</f>
        <v/>
      </c>
      <c r="I104" s="11">
        <f>SUMPRODUCT(($D$3:$D$165=D104)*$G$3:$G$165*$F$3:$F$165)/SUMPRODUCT(($D$3:$D$165=D104)*$G$3:$G$165)</f>
        <v/>
      </c>
      <c r="J104" s="11">
        <f>SUMPRODUCT(($C$3:$C$165=C104)*$G$3:$G$165*$F$3:$F$165)/SUMPRODUCT(($C$3:$C$165=C104)*$G$3:$G$165)</f>
        <v/>
      </c>
      <c r="K104" s="21">
        <f>I104/J104</f>
        <v/>
      </c>
      <c r="L104" s="21">
        <f>H104/I104</f>
        <v/>
      </c>
      <c r="M104" s="21">
        <f>F104/H104</f>
        <v/>
      </c>
      <c r="N104" s="22">
        <f>INDEX('4_UK_L1_Input'!$C$4:$C$14,MATCH($C104,'4_UK_L1_Input'!$A$4:$A$14,0))*K104*L104*M104</f>
        <v/>
      </c>
      <c r="O104" s="22">
        <f>INDEX('4_UK_L1_Input'!$D$4:$D$14,MATCH($C104,'4_UK_L1_Input'!$A$4:$A$14,0))*K104*L104*M104</f>
        <v/>
      </c>
      <c r="P104" s="15" t="n">
        <v>410600000</v>
      </c>
      <c r="Q104" s="15" t="n">
        <v>1450000000</v>
      </c>
      <c r="R104" s="14" t="n"/>
      <c r="S104" s="11">
        <f>IFERROR(SUMPRODUCT(($E$3:$E$165=E104)*ISNUMBER($P$3:$P$165)*$P$3:$P$165*$F$3:$F$165)/SUMPRODUCT(($E$3:$E$165=E104)*ISNUMBER($P$3:$P$165)*$P$3:$P$165),"")</f>
        <v/>
      </c>
      <c r="T104" s="11">
        <f>IFERROR(SUMPRODUCT(($D$3:$D$165=D104)*ISNUMBER($P$3:$P$165)*$P$3:$P$165*$F$3:$F$165)/SUMPRODUCT(($D$3:$D$165=D104)*ISNUMBER($P$3:$P$165)*$P$3:$P$165),"")</f>
        <v/>
      </c>
      <c r="U104" s="11">
        <f>IFERROR(SUMPRODUCT(($C$3:$C$165=C104)*ISNUMBER($P$3:$P$165)*$P$3:$P$165*$F$3:$F$165)/SUMPRODUCT(($C$3:$C$165=C104)*ISNUMBER($P$3:$P$165)*$P$3:$P$165),"")</f>
        <v/>
      </c>
      <c r="V104" s="21">
        <f>IF(OR(T104="",U104=""),"",T104/U104)</f>
        <v/>
      </c>
      <c r="W104" s="21">
        <f>IF(OR(S104="",T104=""),"",S104/T104)</f>
        <v/>
      </c>
      <c r="X104" s="21">
        <f>IF(S104="","",F104/S104)</f>
        <v/>
      </c>
      <c r="Y104" s="22">
        <f>IF(V104="",N104,INDEX('4_UK_L1_Input'!$C$4:$C$14,MATCH($C104,'4_UK_L1_Input'!$A$4:$A$14,0))*V104*W104*X104)</f>
        <v/>
      </c>
      <c r="Z104" s="7">
        <f>IF(V104="","BETA FALLBACK","REAL (Bloomberg UK)")</f>
        <v/>
      </c>
      <c r="AA104" s="21">
        <f>IFERROR(SUMPRODUCT(($C$3:$C$165=C104)*ISNUMBER($R$3:$R$165)*$Q$3:$Q$165*IF(ISNUMBER($R$3:$R$165),$R$3:$R$165,0))/SUMPRODUCT(($C$3:$C$165=C104)*ISNUMBER($R$3:$R$165)*$Q$3:$Q$165),"")</f>
        <v/>
      </c>
      <c r="AB104" s="21">
        <f>IF(OR(R104="",AA104=""),"",R104/AA104)</f>
        <v/>
      </c>
      <c r="AC104" s="22">
        <f>IF(AB104="",O104,INDEX('4_UK_L1_Input'!$D$4:$D$14,MATCH($C104,'4_UK_L1_Input'!$A$4:$A$14,0))*AB104)</f>
        <v/>
      </c>
      <c r="AD104" s="7">
        <f>IF(AB104="","BETA FALLBACK","REAL (Bloomberg UK)")</f>
        <v/>
      </c>
      <c r="AE104" s="23">
        <f>Y104-N104</f>
        <v/>
      </c>
      <c r="AF104" s="23">
        <f>AC104-O104</f>
        <v/>
      </c>
    </row>
    <row r="105">
      <c r="A105" s="7" t="n">
        <v>40201020</v>
      </c>
      <c r="B105" s="7" t="inlineStr">
        <is>
          <t>Diversified Financial Services</t>
        </is>
      </c>
      <c r="C105" s="7" t="n">
        <v>40</v>
      </c>
      <c r="D105" s="7" t="n">
        <v>4020</v>
      </c>
      <c r="E105" s="7" t="n">
        <v>402010</v>
      </c>
      <c r="F105" s="7" t="n">
        <v>0.358529</v>
      </c>
      <c r="G105" s="7" t="n">
        <v>1</v>
      </c>
      <c r="H105" s="11">
        <f>SUMPRODUCT(($E$3:$E$165=E105)*$G$3:$G$165*$F$3:$F$165)/SUMPRODUCT(($E$3:$E$165=E105)*$G$3:$G$165)</f>
        <v/>
      </c>
      <c r="I105" s="11">
        <f>SUMPRODUCT(($D$3:$D$165=D105)*$G$3:$G$165*$F$3:$F$165)/SUMPRODUCT(($D$3:$D$165=D105)*$G$3:$G$165)</f>
        <v/>
      </c>
      <c r="J105" s="11">
        <f>SUMPRODUCT(($C$3:$C$165=C105)*$G$3:$G$165*$F$3:$F$165)/SUMPRODUCT(($C$3:$C$165=C105)*$G$3:$G$165)</f>
        <v/>
      </c>
      <c r="K105" s="21">
        <f>I105/J105</f>
        <v/>
      </c>
      <c r="L105" s="21">
        <f>H105/I105</f>
        <v/>
      </c>
      <c r="M105" s="21">
        <f>F105/H105</f>
        <v/>
      </c>
      <c r="N105" s="22">
        <f>INDEX('4_UK_L1_Input'!$C$4:$C$14,MATCH($C105,'4_UK_L1_Input'!$A$4:$A$14,0))*K105*L105*M105</f>
        <v/>
      </c>
      <c r="O105" s="22">
        <f>INDEX('4_UK_L1_Input'!$D$4:$D$14,MATCH($C105,'4_UK_L1_Input'!$A$4:$A$14,0))*K105*L105*M105</f>
        <v/>
      </c>
      <c r="P105" s="15" t="n">
        <v>18230000000</v>
      </c>
      <c r="Q105" s="15" t="n">
        <v>8750000000</v>
      </c>
      <c r="R105" s="14" t="n"/>
      <c r="S105" s="11">
        <f>IFERROR(SUMPRODUCT(($E$3:$E$165=E105)*ISNUMBER($P$3:$P$165)*$P$3:$P$165*$F$3:$F$165)/SUMPRODUCT(($E$3:$E$165=E105)*ISNUMBER($P$3:$P$165)*$P$3:$P$165),"")</f>
        <v/>
      </c>
      <c r="T105" s="11">
        <f>IFERROR(SUMPRODUCT(($D$3:$D$165=D105)*ISNUMBER($P$3:$P$165)*$P$3:$P$165*$F$3:$F$165)/SUMPRODUCT(($D$3:$D$165=D105)*ISNUMBER($P$3:$P$165)*$P$3:$P$165),"")</f>
        <v/>
      </c>
      <c r="U105" s="11">
        <f>IFERROR(SUMPRODUCT(($C$3:$C$165=C105)*ISNUMBER($P$3:$P$165)*$P$3:$P$165*$F$3:$F$165)/SUMPRODUCT(($C$3:$C$165=C105)*ISNUMBER($P$3:$P$165)*$P$3:$P$165),"")</f>
        <v/>
      </c>
      <c r="V105" s="21">
        <f>IF(OR(T105="",U105=""),"",T105/U105)</f>
        <v/>
      </c>
      <c r="W105" s="21">
        <f>IF(OR(S105="",T105=""),"",S105/T105)</f>
        <v/>
      </c>
      <c r="X105" s="21">
        <f>IF(S105="","",F105/S105)</f>
        <v/>
      </c>
      <c r="Y105" s="22">
        <f>IF(V105="",N105,INDEX('4_UK_L1_Input'!$C$4:$C$14,MATCH($C105,'4_UK_L1_Input'!$A$4:$A$14,0))*V105*W105*X105)</f>
        <v/>
      </c>
      <c r="Z105" s="7">
        <f>IF(V105="","BETA FALLBACK","REAL (Bloomberg UK)")</f>
        <v/>
      </c>
      <c r="AA105" s="21">
        <f>IFERROR(SUMPRODUCT(($C$3:$C$165=C105)*ISNUMBER($R$3:$R$165)*$Q$3:$Q$165*IF(ISNUMBER($R$3:$R$165),$R$3:$R$165,0))/SUMPRODUCT(($C$3:$C$165=C105)*ISNUMBER($R$3:$R$165)*$Q$3:$Q$165),"")</f>
        <v/>
      </c>
      <c r="AB105" s="21">
        <f>IF(OR(R105="",AA105=""),"",R105/AA105)</f>
        <v/>
      </c>
      <c r="AC105" s="22">
        <f>IF(AB105="",O105,INDEX('4_UK_L1_Input'!$D$4:$D$14,MATCH($C105,'4_UK_L1_Input'!$A$4:$A$14,0))*AB105)</f>
        <v/>
      </c>
      <c r="AD105" s="7">
        <f>IF(AB105="","BETA FALLBACK","REAL (Bloomberg UK)")</f>
        <v/>
      </c>
      <c r="AE105" s="23">
        <f>Y105-N105</f>
        <v/>
      </c>
      <c r="AF105" s="23">
        <f>AC105-O105</f>
        <v/>
      </c>
    </row>
    <row r="106">
      <c r="A106" s="7" t="n">
        <v>40201030</v>
      </c>
      <c r="B106" s="7" t="inlineStr">
        <is>
          <t>Multi-Sector Holdings</t>
        </is>
      </c>
      <c r="C106" s="7" t="n">
        <v>40</v>
      </c>
      <c r="D106" s="7" t="n">
        <v>4020</v>
      </c>
      <c r="E106" s="7" t="n">
        <v>402010</v>
      </c>
      <c r="F106" s="7" t="n">
        <v>0.358529</v>
      </c>
      <c r="G106" s="7" t="n">
        <v>1</v>
      </c>
      <c r="H106" s="11">
        <f>SUMPRODUCT(($E$3:$E$165=E106)*$G$3:$G$165*$F$3:$F$165)/SUMPRODUCT(($E$3:$E$165=E106)*$G$3:$G$165)</f>
        <v/>
      </c>
      <c r="I106" s="11">
        <f>SUMPRODUCT(($D$3:$D$165=D106)*$G$3:$G$165*$F$3:$F$165)/SUMPRODUCT(($D$3:$D$165=D106)*$G$3:$G$165)</f>
        <v/>
      </c>
      <c r="J106" s="11">
        <f>SUMPRODUCT(($C$3:$C$165=C106)*$G$3:$G$165*$F$3:$F$165)/SUMPRODUCT(($C$3:$C$165=C106)*$G$3:$G$165)</f>
        <v/>
      </c>
      <c r="K106" s="21">
        <f>I106/J106</f>
        <v/>
      </c>
      <c r="L106" s="21">
        <f>H106/I106</f>
        <v/>
      </c>
      <c r="M106" s="21">
        <f>F106/H106</f>
        <v/>
      </c>
      <c r="N106" s="22">
        <f>INDEX('4_UK_L1_Input'!$C$4:$C$14,MATCH($C106,'4_UK_L1_Input'!$A$4:$A$14,0))*K106*L106*M106</f>
        <v/>
      </c>
      <c r="O106" s="22">
        <f>INDEX('4_UK_L1_Input'!$D$4:$D$14,MATCH($C106,'4_UK_L1_Input'!$A$4:$A$14,0))*K106*L106*M106</f>
        <v/>
      </c>
      <c r="P106" s="14" t="n"/>
      <c r="Q106" s="14" t="n"/>
      <c r="R106" s="14" t="n"/>
      <c r="S106" s="11">
        <f>IFERROR(SUMPRODUCT(($E$3:$E$165=E106)*ISNUMBER($P$3:$P$165)*$P$3:$P$165*$F$3:$F$165)/SUMPRODUCT(($E$3:$E$165=E106)*ISNUMBER($P$3:$P$165)*$P$3:$P$165),"")</f>
        <v/>
      </c>
      <c r="T106" s="11">
        <f>IFERROR(SUMPRODUCT(($D$3:$D$165=D106)*ISNUMBER($P$3:$P$165)*$P$3:$P$165*$F$3:$F$165)/SUMPRODUCT(($D$3:$D$165=D106)*ISNUMBER($P$3:$P$165)*$P$3:$P$165),"")</f>
        <v/>
      </c>
      <c r="U106" s="11">
        <f>IFERROR(SUMPRODUCT(($C$3:$C$165=C106)*ISNUMBER($P$3:$P$165)*$P$3:$P$165*$F$3:$F$165)/SUMPRODUCT(($C$3:$C$165=C106)*ISNUMBER($P$3:$P$165)*$P$3:$P$165),"")</f>
        <v/>
      </c>
      <c r="V106" s="21">
        <f>IF(OR(T106="",U106=""),"",T106/U106)</f>
        <v/>
      </c>
      <c r="W106" s="21">
        <f>IF(OR(S106="",T106=""),"",S106/T106)</f>
        <v/>
      </c>
      <c r="X106" s="21">
        <f>IF(S106="","",F106/S106)</f>
        <v/>
      </c>
      <c r="Y106" s="22">
        <f>IF(V106="",N106,INDEX('4_UK_L1_Input'!$C$4:$C$14,MATCH($C106,'4_UK_L1_Input'!$A$4:$A$14,0))*V106*W106*X106)</f>
        <v/>
      </c>
      <c r="Z106" s="7">
        <f>IF(V106="","BETA FALLBACK","REAL (Bloomberg UK)")</f>
        <v/>
      </c>
      <c r="AA106" s="21">
        <f>IFERROR(SUMPRODUCT(($C$3:$C$165=C106)*ISNUMBER($R$3:$R$165)*$Q$3:$Q$165*IF(ISNUMBER($R$3:$R$165),$R$3:$R$165,0))/SUMPRODUCT(($C$3:$C$165=C106)*ISNUMBER($R$3:$R$165)*$Q$3:$Q$165),"")</f>
        <v/>
      </c>
      <c r="AB106" s="21">
        <f>IF(OR(R106="",AA106=""),"",R106/AA106)</f>
        <v/>
      </c>
      <c r="AC106" s="22">
        <f>IF(AB106="",O106,INDEX('4_UK_L1_Input'!$D$4:$D$14,MATCH($C106,'4_UK_L1_Input'!$A$4:$A$14,0))*AB106)</f>
        <v/>
      </c>
      <c r="AD106" s="7">
        <f>IF(AB106="","BETA FALLBACK","REAL (Bloomberg UK)")</f>
        <v/>
      </c>
      <c r="AE106" s="23">
        <f>Y106-N106</f>
        <v/>
      </c>
      <c r="AF106" s="23">
        <f>AC106-O106</f>
        <v/>
      </c>
    </row>
    <row r="107">
      <c r="A107" s="7" t="n">
        <v>40201040</v>
      </c>
      <c r="B107" s="7" t="inlineStr">
        <is>
          <t>Specialized Finance</t>
        </is>
      </c>
      <c r="C107" s="7" t="n">
        <v>40</v>
      </c>
      <c r="D107" s="7" t="n">
        <v>4020</v>
      </c>
      <c r="E107" s="7" t="n">
        <v>402010</v>
      </c>
      <c r="F107" s="7" t="n">
        <v>0.358529</v>
      </c>
      <c r="G107" s="7" t="n">
        <v>1</v>
      </c>
      <c r="H107" s="11">
        <f>SUMPRODUCT(($E$3:$E$165=E107)*$G$3:$G$165*$F$3:$F$165)/SUMPRODUCT(($E$3:$E$165=E107)*$G$3:$G$165)</f>
        <v/>
      </c>
      <c r="I107" s="11">
        <f>SUMPRODUCT(($D$3:$D$165=D107)*$G$3:$G$165*$F$3:$F$165)/SUMPRODUCT(($D$3:$D$165=D107)*$G$3:$G$165)</f>
        <v/>
      </c>
      <c r="J107" s="11">
        <f>SUMPRODUCT(($C$3:$C$165=C107)*$G$3:$G$165*$F$3:$F$165)/SUMPRODUCT(($C$3:$C$165=C107)*$G$3:$G$165)</f>
        <v/>
      </c>
      <c r="K107" s="21">
        <f>I107/J107</f>
        <v/>
      </c>
      <c r="L107" s="21">
        <f>H107/I107</f>
        <v/>
      </c>
      <c r="M107" s="21">
        <f>F107/H107</f>
        <v/>
      </c>
      <c r="N107" s="22">
        <f>INDEX('4_UK_L1_Input'!$C$4:$C$14,MATCH($C107,'4_UK_L1_Input'!$A$4:$A$14,0))*K107*L107*M107</f>
        <v/>
      </c>
      <c r="O107" s="22">
        <f>INDEX('4_UK_L1_Input'!$D$4:$D$14,MATCH($C107,'4_UK_L1_Input'!$A$4:$A$14,0))*K107*L107*M107</f>
        <v/>
      </c>
      <c r="P107" s="15" t="n">
        <v>41090000</v>
      </c>
      <c r="Q107" s="15" t="n">
        <v>41070000</v>
      </c>
      <c r="R107" s="16" t="n">
        <v>6.17</v>
      </c>
      <c r="S107" s="11">
        <f>IFERROR(SUMPRODUCT(($E$3:$E$165=E107)*ISNUMBER($P$3:$P$165)*$P$3:$P$165*$F$3:$F$165)/SUMPRODUCT(($E$3:$E$165=E107)*ISNUMBER($P$3:$P$165)*$P$3:$P$165),"")</f>
        <v/>
      </c>
      <c r="T107" s="11">
        <f>IFERROR(SUMPRODUCT(($D$3:$D$165=D107)*ISNUMBER($P$3:$P$165)*$P$3:$P$165*$F$3:$F$165)/SUMPRODUCT(($D$3:$D$165=D107)*ISNUMBER($P$3:$P$165)*$P$3:$P$165),"")</f>
        <v/>
      </c>
      <c r="U107" s="11">
        <f>IFERROR(SUMPRODUCT(($C$3:$C$165=C107)*ISNUMBER($P$3:$P$165)*$P$3:$P$165*$F$3:$F$165)/SUMPRODUCT(($C$3:$C$165=C107)*ISNUMBER($P$3:$P$165)*$P$3:$P$165),"")</f>
        <v/>
      </c>
      <c r="V107" s="21">
        <f>IF(OR(T107="",U107=""),"",T107/U107)</f>
        <v/>
      </c>
      <c r="W107" s="21">
        <f>IF(OR(S107="",T107=""),"",S107/T107)</f>
        <v/>
      </c>
      <c r="X107" s="21">
        <f>IF(S107="","",F107/S107)</f>
        <v/>
      </c>
      <c r="Y107" s="22">
        <f>IF(V107="",N107,INDEX('4_UK_L1_Input'!$C$4:$C$14,MATCH($C107,'4_UK_L1_Input'!$A$4:$A$14,0))*V107*W107*X107)</f>
        <v/>
      </c>
      <c r="Z107" s="7">
        <f>IF(V107="","BETA FALLBACK","REAL (Bloomberg UK)")</f>
        <v/>
      </c>
      <c r="AA107" s="21">
        <f>IFERROR(SUMPRODUCT(($C$3:$C$165=C107)*ISNUMBER($R$3:$R$165)*$Q$3:$Q$165*IF(ISNUMBER($R$3:$R$165),$R$3:$R$165,0))/SUMPRODUCT(($C$3:$C$165=C107)*ISNUMBER($R$3:$R$165)*$Q$3:$Q$165),"")</f>
        <v/>
      </c>
      <c r="AB107" s="21">
        <f>IF(OR(R107="",AA107=""),"",R107/AA107)</f>
        <v/>
      </c>
      <c r="AC107" s="22">
        <f>IF(AB107="",O107,INDEX('4_UK_L1_Input'!$D$4:$D$14,MATCH($C107,'4_UK_L1_Input'!$A$4:$A$14,0))*AB107)</f>
        <v/>
      </c>
      <c r="AD107" s="7">
        <f>IF(AB107="","BETA FALLBACK","REAL (Bloomberg UK)")</f>
        <v/>
      </c>
      <c r="AE107" s="23">
        <f>Y107-N107</f>
        <v/>
      </c>
      <c r="AF107" s="23">
        <f>AC107-O107</f>
        <v/>
      </c>
    </row>
    <row r="108">
      <c r="A108" s="7" t="n">
        <v>40201050</v>
      </c>
      <c r="B108" s="7" t="inlineStr">
        <is>
          <t>Commercial &amp; Residential Mortgage Finance</t>
        </is>
      </c>
      <c r="C108" s="7" t="n">
        <v>40</v>
      </c>
      <c r="D108" s="7" t="n">
        <v>4020</v>
      </c>
      <c r="E108" s="7" t="n">
        <v>402010</v>
      </c>
      <c r="F108" s="7" t="n">
        <v>0.358529</v>
      </c>
      <c r="G108" s="7" t="n">
        <v>1</v>
      </c>
      <c r="H108" s="11">
        <f>SUMPRODUCT(($E$3:$E$165=E108)*$G$3:$G$165*$F$3:$F$165)/SUMPRODUCT(($E$3:$E$165=E108)*$G$3:$G$165)</f>
        <v/>
      </c>
      <c r="I108" s="11">
        <f>SUMPRODUCT(($D$3:$D$165=D108)*$G$3:$G$165*$F$3:$F$165)/SUMPRODUCT(($D$3:$D$165=D108)*$G$3:$G$165)</f>
        <v/>
      </c>
      <c r="J108" s="11">
        <f>SUMPRODUCT(($C$3:$C$165=C108)*$G$3:$G$165*$F$3:$F$165)/SUMPRODUCT(($C$3:$C$165=C108)*$G$3:$G$165)</f>
        <v/>
      </c>
      <c r="K108" s="21">
        <f>I108/J108</f>
        <v/>
      </c>
      <c r="L108" s="21">
        <f>H108/I108</f>
        <v/>
      </c>
      <c r="M108" s="21">
        <f>F108/H108</f>
        <v/>
      </c>
      <c r="N108" s="22">
        <f>INDEX('4_UK_L1_Input'!$C$4:$C$14,MATCH($C108,'4_UK_L1_Input'!$A$4:$A$14,0))*K108*L108*M108</f>
        <v/>
      </c>
      <c r="O108" s="22">
        <f>INDEX('4_UK_L1_Input'!$D$4:$D$14,MATCH($C108,'4_UK_L1_Input'!$A$4:$A$14,0))*K108*L108*M108</f>
        <v/>
      </c>
      <c r="P108" s="15" t="n">
        <v>3880000000</v>
      </c>
      <c r="Q108" s="15" t="n">
        <v>1010000000</v>
      </c>
      <c r="R108" s="16" t="n">
        <v>5.95</v>
      </c>
      <c r="S108" s="11">
        <f>IFERROR(SUMPRODUCT(($E$3:$E$165=E108)*ISNUMBER($P$3:$P$165)*$P$3:$P$165*$F$3:$F$165)/SUMPRODUCT(($E$3:$E$165=E108)*ISNUMBER($P$3:$P$165)*$P$3:$P$165),"")</f>
        <v/>
      </c>
      <c r="T108" s="11">
        <f>IFERROR(SUMPRODUCT(($D$3:$D$165=D108)*ISNUMBER($P$3:$P$165)*$P$3:$P$165*$F$3:$F$165)/SUMPRODUCT(($D$3:$D$165=D108)*ISNUMBER($P$3:$P$165)*$P$3:$P$165),"")</f>
        <v/>
      </c>
      <c r="U108" s="11">
        <f>IFERROR(SUMPRODUCT(($C$3:$C$165=C108)*ISNUMBER($P$3:$P$165)*$P$3:$P$165*$F$3:$F$165)/SUMPRODUCT(($C$3:$C$165=C108)*ISNUMBER($P$3:$P$165)*$P$3:$P$165),"")</f>
        <v/>
      </c>
      <c r="V108" s="21">
        <f>IF(OR(T108="",U108=""),"",T108/U108)</f>
        <v/>
      </c>
      <c r="W108" s="21">
        <f>IF(OR(S108="",T108=""),"",S108/T108)</f>
        <v/>
      </c>
      <c r="X108" s="21">
        <f>IF(S108="","",F108/S108)</f>
        <v/>
      </c>
      <c r="Y108" s="22">
        <f>IF(V108="",N108,INDEX('4_UK_L1_Input'!$C$4:$C$14,MATCH($C108,'4_UK_L1_Input'!$A$4:$A$14,0))*V108*W108*X108)</f>
        <v/>
      </c>
      <c r="Z108" s="7">
        <f>IF(V108="","BETA FALLBACK","REAL (Bloomberg UK)")</f>
        <v/>
      </c>
      <c r="AA108" s="21">
        <f>IFERROR(SUMPRODUCT(($C$3:$C$165=C108)*ISNUMBER($R$3:$R$165)*$Q$3:$Q$165*IF(ISNUMBER($R$3:$R$165),$R$3:$R$165,0))/SUMPRODUCT(($C$3:$C$165=C108)*ISNUMBER($R$3:$R$165)*$Q$3:$Q$165),"")</f>
        <v/>
      </c>
      <c r="AB108" s="21">
        <f>IF(OR(R108="",AA108=""),"",R108/AA108)</f>
        <v/>
      </c>
      <c r="AC108" s="22">
        <f>IF(AB108="",O108,INDEX('4_UK_L1_Input'!$D$4:$D$14,MATCH($C108,'4_UK_L1_Input'!$A$4:$A$14,0))*AB108)</f>
        <v/>
      </c>
      <c r="AD108" s="7">
        <f>IF(AB108="","BETA FALLBACK","REAL (Bloomberg UK)")</f>
        <v/>
      </c>
      <c r="AE108" s="23">
        <f>Y108-N108</f>
        <v/>
      </c>
      <c r="AF108" s="23">
        <f>AC108-O108</f>
        <v/>
      </c>
    </row>
    <row r="109">
      <c r="A109" s="7" t="n">
        <v>40201060</v>
      </c>
      <c r="B109" s="7" t="inlineStr">
        <is>
          <t>Transaction &amp; Payment Processing Services</t>
        </is>
      </c>
      <c r="C109" s="7" t="n">
        <v>40</v>
      </c>
      <c r="D109" s="7" t="n">
        <v>4020</v>
      </c>
      <c r="E109" s="7" t="n">
        <v>402010</v>
      </c>
      <c r="F109" s="7" t="n">
        <v>0.814201</v>
      </c>
      <c r="G109" s="7" t="n">
        <v>1</v>
      </c>
      <c r="H109" s="11">
        <f>SUMPRODUCT(($E$3:$E$165=E109)*$G$3:$G$165*$F$3:$F$165)/SUMPRODUCT(($E$3:$E$165=E109)*$G$3:$G$165)</f>
        <v/>
      </c>
      <c r="I109" s="11">
        <f>SUMPRODUCT(($D$3:$D$165=D109)*$G$3:$G$165*$F$3:$F$165)/SUMPRODUCT(($D$3:$D$165=D109)*$G$3:$G$165)</f>
        <v/>
      </c>
      <c r="J109" s="11">
        <f>SUMPRODUCT(($C$3:$C$165=C109)*$G$3:$G$165*$F$3:$F$165)/SUMPRODUCT(($C$3:$C$165=C109)*$G$3:$G$165)</f>
        <v/>
      </c>
      <c r="K109" s="21">
        <f>I109/J109</f>
        <v/>
      </c>
      <c r="L109" s="21">
        <f>H109/I109</f>
        <v/>
      </c>
      <c r="M109" s="21">
        <f>F109/H109</f>
        <v/>
      </c>
      <c r="N109" s="22">
        <f>INDEX('4_UK_L1_Input'!$C$4:$C$14,MATCH($C109,'4_UK_L1_Input'!$A$4:$A$14,0))*K109*L109*M109</f>
        <v/>
      </c>
      <c r="O109" s="22">
        <f>INDEX('4_UK_L1_Input'!$D$4:$D$14,MATCH($C109,'4_UK_L1_Input'!$A$4:$A$14,0))*K109*L109*M109</f>
        <v/>
      </c>
      <c r="P109" s="15" t="n">
        <v>1010000000</v>
      </c>
      <c r="Q109" s="15" t="n">
        <v>2980000000</v>
      </c>
      <c r="R109" s="16" t="n">
        <v>15.31</v>
      </c>
      <c r="S109" s="11">
        <f>IFERROR(SUMPRODUCT(($E$3:$E$165=E109)*ISNUMBER($P$3:$P$165)*$P$3:$P$165*$F$3:$F$165)/SUMPRODUCT(($E$3:$E$165=E109)*ISNUMBER($P$3:$P$165)*$P$3:$P$165),"")</f>
        <v/>
      </c>
      <c r="T109" s="11">
        <f>IFERROR(SUMPRODUCT(($D$3:$D$165=D109)*ISNUMBER($P$3:$P$165)*$P$3:$P$165*$F$3:$F$165)/SUMPRODUCT(($D$3:$D$165=D109)*ISNUMBER($P$3:$P$165)*$P$3:$P$165),"")</f>
        <v/>
      </c>
      <c r="U109" s="11">
        <f>IFERROR(SUMPRODUCT(($C$3:$C$165=C109)*ISNUMBER($P$3:$P$165)*$P$3:$P$165*$F$3:$F$165)/SUMPRODUCT(($C$3:$C$165=C109)*ISNUMBER($P$3:$P$165)*$P$3:$P$165),"")</f>
        <v/>
      </c>
      <c r="V109" s="21">
        <f>IF(OR(T109="",U109=""),"",T109/U109)</f>
        <v/>
      </c>
      <c r="W109" s="21">
        <f>IF(OR(S109="",T109=""),"",S109/T109)</f>
        <v/>
      </c>
      <c r="X109" s="21">
        <f>IF(S109="","",F109/S109)</f>
        <v/>
      </c>
      <c r="Y109" s="22">
        <f>IF(V109="",N109,INDEX('4_UK_L1_Input'!$C$4:$C$14,MATCH($C109,'4_UK_L1_Input'!$A$4:$A$14,0))*V109*W109*X109)</f>
        <v/>
      </c>
      <c r="Z109" s="7">
        <f>IF(V109="","BETA FALLBACK","REAL (Bloomberg UK)")</f>
        <v/>
      </c>
      <c r="AA109" s="21">
        <f>IFERROR(SUMPRODUCT(($C$3:$C$165=C109)*ISNUMBER($R$3:$R$165)*$Q$3:$Q$165*IF(ISNUMBER($R$3:$R$165),$R$3:$R$165,0))/SUMPRODUCT(($C$3:$C$165=C109)*ISNUMBER($R$3:$R$165)*$Q$3:$Q$165),"")</f>
        <v/>
      </c>
      <c r="AB109" s="21">
        <f>IF(OR(R109="",AA109=""),"",R109/AA109)</f>
        <v/>
      </c>
      <c r="AC109" s="22">
        <f>IF(AB109="",O109,INDEX('4_UK_L1_Input'!$D$4:$D$14,MATCH($C109,'4_UK_L1_Input'!$A$4:$A$14,0))*AB109)</f>
        <v/>
      </c>
      <c r="AD109" s="7">
        <f>IF(AB109="","BETA FALLBACK","REAL (Bloomberg UK)")</f>
        <v/>
      </c>
      <c r="AE109" s="23">
        <f>Y109-N109</f>
        <v/>
      </c>
      <c r="AF109" s="23">
        <f>AC109-O109</f>
        <v/>
      </c>
    </row>
    <row r="110">
      <c r="A110" s="7" t="n">
        <v>40202010</v>
      </c>
      <c r="B110" s="7" t="inlineStr">
        <is>
          <t>Consumer Finance</t>
        </is>
      </c>
      <c r="C110" s="7" t="n">
        <v>40</v>
      </c>
      <c r="D110" s="7" t="n">
        <v>4020</v>
      </c>
      <c r="E110" s="7" t="n">
        <v>402020</v>
      </c>
      <c r="F110" s="7" t="n">
        <v>0.358529</v>
      </c>
      <c r="G110" s="7" t="n">
        <v>1</v>
      </c>
      <c r="H110" s="11">
        <f>SUMPRODUCT(($E$3:$E$165=E110)*$G$3:$G$165*$F$3:$F$165)/SUMPRODUCT(($E$3:$E$165=E110)*$G$3:$G$165)</f>
        <v/>
      </c>
      <c r="I110" s="11">
        <f>SUMPRODUCT(($D$3:$D$165=D110)*$G$3:$G$165*$F$3:$F$165)/SUMPRODUCT(($D$3:$D$165=D110)*$G$3:$G$165)</f>
        <v/>
      </c>
      <c r="J110" s="11">
        <f>SUMPRODUCT(($C$3:$C$165=C110)*$G$3:$G$165*$F$3:$F$165)/SUMPRODUCT(($C$3:$C$165=C110)*$G$3:$G$165)</f>
        <v/>
      </c>
      <c r="K110" s="21">
        <f>I110/J110</f>
        <v/>
      </c>
      <c r="L110" s="21">
        <f>H110/I110</f>
        <v/>
      </c>
      <c r="M110" s="21">
        <f>F110/H110</f>
        <v/>
      </c>
      <c r="N110" s="22">
        <f>INDEX('4_UK_L1_Input'!$C$4:$C$14,MATCH($C110,'4_UK_L1_Input'!$A$4:$A$14,0))*K110*L110*M110</f>
        <v/>
      </c>
      <c r="O110" s="22">
        <f>INDEX('4_UK_L1_Input'!$D$4:$D$14,MATCH($C110,'4_UK_L1_Input'!$A$4:$A$14,0))*K110*L110*M110</f>
        <v/>
      </c>
      <c r="P110" s="15" t="n">
        <v>246000000</v>
      </c>
      <c r="Q110" s="15" t="n">
        <v>276710000</v>
      </c>
      <c r="R110" s="16" t="n">
        <v>5.59</v>
      </c>
      <c r="S110" s="11">
        <f>IFERROR(SUMPRODUCT(($E$3:$E$165=E110)*ISNUMBER($P$3:$P$165)*$P$3:$P$165*$F$3:$F$165)/SUMPRODUCT(($E$3:$E$165=E110)*ISNUMBER($P$3:$P$165)*$P$3:$P$165),"")</f>
        <v/>
      </c>
      <c r="T110" s="11">
        <f>IFERROR(SUMPRODUCT(($D$3:$D$165=D110)*ISNUMBER($P$3:$P$165)*$P$3:$P$165*$F$3:$F$165)/SUMPRODUCT(($D$3:$D$165=D110)*ISNUMBER($P$3:$P$165)*$P$3:$P$165),"")</f>
        <v/>
      </c>
      <c r="U110" s="11">
        <f>IFERROR(SUMPRODUCT(($C$3:$C$165=C110)*ISNUMBER($P$3:$P$165)*$P$3:$P$165*$F$3:$F$165)/SUMPRODUCT(($C$3:$C$165=C110)*ISNUMBER($P$3:$P$165)*$P$3:$P$165),"")</f>
        <v/>
      </c>
      <c r="V110" s="21">
        <f>IF(OR(T110="",U110=""),"",T110/U110)</f>
        <v/>
      </c>
      <c r="W110" s="21">
        <f>IF(OR(S110="",T110=""),"",S110/T110)</f>
        <v/>
      </c>
      <c r="X110" s="21">
        <f>IF(S110="","",F110/S110)</f>
        <v/>
      </c>
      <c r="Y110" s="22">
        <f>IF(V110="",N110,INDEX('4_UK_L1_Input'!$C$4:$C$14,MATCH($C110,'4_UK_L1_Input'!$A$4:$A$14,0))*V110*W110*X110)</f>
        <v/>
      </c>
      <c r="Z110" s="7">
        <f>IF(V110="","BETA FALLBACK","REAL (Bloomberg UK)")</f>
        <v/>
      </c>
      <c r="AA110" s="21">
        <f>IFERROR(SUMPRODUCT(($C$3:$C$165=C110)*ISNUMBER($R$3:$R$165)*$Q$3:$Q$165*IF(ISNUMBER($R$3:$R$165),$R$3:$R$165,0))/SUMPRODUCT(($C$3:$C$165=C110)*ISNUMBER($R$3:$R$165)*$Q$3:$Q$165),"")</f>
        <v/>
      </c>
      <c r="AB110" s="21">
        <f>IF(OR(R110="",AA110=""),"",R110/AA110)</f>
        <v/>
      </c>
      <c r="AC110" s="22">
        <f>IF(AB110="",O110,INDEX('4_UK_L1_Input'!$D$4:$D$14,MATCH($C110,'4_UK_L1_Input'!$A$4:$A$14,0))*AB110)</f>
        <v/>
      </c>
      <c r="AD110" s="7">
        <f>IF(AB110="","BETA FALLBACK","REAL (Bloomberg UK)")</f>
        <v/>
      </c>
      <c r="AE110" s="23">
        <f>Y110-N110</f>
        <v/>
      </c>
      <c r="AF110" s="23">
        <f>AC110-O110</f>
        <v/>
      </c>
    </row>
    <row r="111">
      <c r="A111" s="7" t="n">
        <v>40203010</v>
      </c>
      <c r="B111" s="7" t="inlineStr">
        <is>
          <t>Asset Management &amp; Custody Banks</t>
        </is>
      </c>
      <c r="C111" s="7" t="n">
        <v>40</v>
      </c>
      <c r="D111" s="7" t="n">
        <v>4020</v>
      </c>
      <c r="E111" s="7" t="n">
        <v>402030</v>
      </c>
      <c r="F111" s="7" t="n">
        <v>0.598743</v>
      </c>
      <c r="G111" s="7" t="n">
        <v>1</v>
      </c>
      <c r="H111" s="11">
        <f>SUMPRODUCT(($E$3:$E$165=E111)*$G$3:$G$165*$F$3:$F$165)/SUMPRODUCT(($E$3:$E$165=E111)*$G$3:$G$165)</f>
        <v/>
      </c>
      <c r="I111" s="11">
        <f>SUMPRODUCT(($D$3:$D$165=D111)*$G$3:$G$165*$F$3:$F$165)/SUMPRODUCT(($D$3:$D$165=D111)*$G$3:$G$165)</f>
        <v/>
      </c>
      <c r="J111" s="11">
        <f>SUMPRODUCT(($C$3:$C$165=C111)*$G$3:$G$165*$F$3:$F$165)/SUMPRODUCT(($C$3:$C$165=C111)*$G$3:$G$165)</f>
        <v/>
      </c>
      <c r="K111" s="21">
        <f>I111/J111</f>
        <v/>
      </c>
      <c r="L111" s="21">
        <f>H111/I111</f>
        <v/>
      </c>
      <c r="M111" s="21">
        <f>F111/H111</f>
        <v/>
      </c>
      <c r="N111" s="22">
        <f>INDEX('4_UK_L1_Input'!$C$4:$C$14,MATCH($C111,'4_UK_L1_Input'!$A$4:$A$14,0))*K111*L111*M111</f>
        <v/>
      </c>
      <c r="O111" s="22">
        <f>INDEX('4_UK_L1_Input'!$D$4:$D$14,MATCH($C111,'4_UK_L1_Input'!$A$4:$A$14,0))*K111*L111*M111</f>
        <v/>
      </c>
      <c r="P111" s="15" t="n">
        <v>3060000000</v>
      </c>
      <c r="Q111" s="15" t="n">
        <v>1280000000</v>
      </c>
      <c r="R111" s="16" t="n">
        <v>11.61</v>
      </c>
      <c r="S111" s="11">
        <f>IFERROR(SUMPRODUCT(($E$3:$E$165=E111)*ISNUMBER($P$3:$P$165)*$P$3:$P$165*$F$3:$F$165)/SUMPRODUCT(($E$3:$E$165=E111)*ISNUMBER($P$3:$P$165)*$P$3:$P$165),"")</f>
        <v/>
      </c>
      <c r="T111" s="11">
        <f>IFERROR(SUMPRODUCT(($D$3:$D$165=D111)*ISNUMBER($P$3:$P$165)*$P$3:$P$165*$F$3:$F$165)/SUMPRODUCT(($D$3:$D$165=D111)*ISNUMBER($P$3:$P$165)*$P$3:$P$165),"")</f>
        <v/>
      </c>
      <c r="U111" s="11">
        <f>IFERROR(SUMPRODUCT(($C$3:$C$165=C111)*ISNUMBER($P$3:$P$165)*$P$3:$P$165*$F$3:$F$165)/SUMPRODUCT(($C$3:$C$165=C111)*ISNUMBER($P$3:$P$165)*$P$3:$P$165),"")</f>
        <v/>
      </c>
      <c r="V111" s="21">
        <f>IF(OR(T111="",U111=""),"",T111/U111)</f>
        <v/>
      </c>
      <c r="W111" s="21">
        <f>IF(OR(S111="",T111=""),"",S111/T111)</f>
        <v/>
      </c>
      <c r="X111" s="21">
        <f>IF(S111="","",F111/S111)</f>
        <v/>
      </c>
      <c r="Y111" s="22">
        <f>IF(V111="",N111,INDEX('4_UK_L1_Input'!$C$4:$C$14,MATCH($C111,'4_UK_L1_Input'!$A$4:$A$14,0))*V111*W111*X111)</f>
        <v/>
      </c>
      <c r="Z111" s="7">
        <f>IF(V111="","BETA FALLBACK","REAL (Bloomberg UK)")</f>
        <v/>
      </c>
      <c r="AA111" s="21">
        <f>IFERROR(SUMPRODUCT(($C$3:$C$165=C111)*ISNUMBER($R$3:$R$165)*$Q$3:$Q$165*IF(ISNUMBER($R$3:$R$165),$R$3:$R$165,0))/SUMPRODUCT(($C$3:$C$165=C111)*ISNUMBER($R$3:$R$165)*$Q$3:$Q$165),"")</f>
        <v/>
      </c>
      <c r="AB111" s="21">
        <f>IF(OR(R111="",AA111=""),"",R111/AA111)</f>
        <v/>
      </c>
      <c r="AC111" s="22">
        <f>IF(AB111="",O111,INDEX('4_UK_L1_Input'!$D$4:$D$14,MATCH($C111,'4_UK_L1_Input'!$A$4:$A$14,0))*AB111)</f>
        <v/>
      </c>
      <c r="AD111" s="7">
        <f>IF(AB111="","BETA FALLBACK","REAL (Bloomberg UK)")</f>
        <v/>
      </c>
      <c r="AE111" s="23">
        <f>Y111-N111</f>
        <v/>
      </c>
      <c r="AF111" s="23">
        <f>AC111-O111</f>
        <v/>
      </c>
    </row>
    <row r="112">
      <c r="A112" s="7" t="n">
        <v>40203020</v>
      </c>
      <c r="B112" s="7" t="inlineStr">
        <is>
          <t>Investment Banking &amp; Brokerage</t>
        </is>
      </c>
      <c r="C112" s="7" t="n">
        <v>40</v>
      </c>
      <c r="D112" s="7" t="n">
        <v>4020</v>
      </c>
      <c r="E112" s="7" t="n">
        <v>402030</v>
      </c>
      <c r="F112" s="7" t="n">
        <v>0.7321569999999999</v>
      </c>
      <c r="G112" s="7" t="n">
        <v>1</v>
      </c>
      <c r="H112" s="11">
        <f>SUMPRODUCT(($E$3:$E$165=E112)*$G$3:$G$165*$F$3:$F$165)/SUMPRODUCT(($E$3:$E$165=E112)*$G$3:$G$165)</f>
        <v/>
      </c>
      <c r="I112" s="11">
        <f>SUMPRODUCT(($D$3:$D$165=D112)*$G$3:$G$165*$F$3:$F$165)/SUMPRODUCT(($D$3:$D$165=D112)*$G$3:$G$165)</f>
        <v/>
      </c>
      <c r="J112" s="11">
        <f>SUMPRODUCT(($C$3:$C$165=C112)*$G$3:$G$165*$F$3:$F$165)/SUMPRODUCT(($C$3:$C$165=C112)*$G$3:$G$165)</f>
        <v/>
      </c>
      <c r="K112" s="21">
        <f>I112/J112</f>
        <v/>
      </c>
      <c r="L112" s="21">
        <f>H112/I112</f>
        <v/>
      </c>
      <c r="M112" s="21">
        <f>F112/H112</f>
        <v/>
      </c>
      <c r="N112" s="22">
        <f>INDEX('4_UK_L1_Input'!$C$4:$C$14,MATCH($C112,'4_UK_L1_Input'!$A$4:$A$14,0))*K112*L112*M112</f>
        <v/>
      </c>
      <c r="O112" s="22">
        <f>INDEX('4_UK_L1_Input'!$D$4:$D$14,MATCH($C112,'4_UK_L1_Input'!$A$4:$A$14,0))*K112*L112*M112</f>
        <v/>
      </c>
      <c r="P112" s="15" t="n">
        <v>421470000</v>
      </c>
      <c r="Q112" s="15" t="n">
        <v>1060000000</v>
      </c>
      <c r="R112" s="16" t="n">
        <v>10.49</v>
      </c>
      <c r="S112" s="11">
        <f>IFERROR(SUMPRODUCT(($E$3:$E$165=E112)*ISNUMBER($P$3:$P$165)*$P$3:$P$165*$F$3:$F$165)/SUMPRODUCT(($E$3:$E$165=E112)*ISNUMBER($P$3:$P$165)*$P$3:$P$165),"")</f>
        <v/>
      </c>
      <c r="T112" s="11">
        <f>IFERROR(SUMPRODUCT(($D$3:$D$165=D112)*ISNUMBER($P$3:$P$165)*$P$3:$P$165*$F$3:$F$165)/SUMPRODUCT(($D$3:$D$165=D112)*ISNUMBER($P$3:$P$165)*$P$3:$P$165),"")</f>
        <v/>
      </c>
      <c r="U112" s="11">
        <f>IFERROR(SUMPRODUCT(($C$3:$C$165=C112)*ISNUMBER($P$3:$P$165)*$P$3:$P$165*$F$3:$F$165)/SUMPRODUCT(($C$3:$C$165=C112)*ISNUMBER($P$3:$P$165)*$P$3:$P$165),"")</f>
        <v/>
      </c>
      <c r="V112" s="21">
        <f>IF(OR(T112="",U112=""),"",T112/U112)</f>
        <v/>
      </c>
      <c r="W112" s="21">
        <f>IF(OR(S112="",T112=""),"",S112/T112)</f>
        <v/>
      </c>
      <c r="X112" s="21">
        <f>IF(S112="","",F112/S112)</f>
        <v/>
      </c>
      <c r="Y112" s="22">
        <f>IF(V112="",N112,INDEX('4_UK_L1_Input'!$C$4:$C$14,MATCH($C112,'4_UK_L1_Input'!$A$4:$A$14,0))*V112*W112*X112)</f>
        <v/>
      </c>
      <c r="Z112" s="7">
        <f>IF(V112="","BETA FALLBACK","REAL (Bloomberg UK)")</f>
        <v/>
      </c>
      <c r="AA112" s="21">
        <f>IFERROR(SUMPRODUCT(($C$3:$C$165=C112)*ISNUMBER($R$3:$R$165)*$Q$3:$Q$165*IF(ISNUMBER($R$3:$R$165),$R$3:$R$165,0))/SUMPRODUCT(($C$3:$C$165=C112)*ISNUMBER($R$3:$R$165)*$Q$3:$Q$165),"")</f>
        <v/>
      </c>
      <c r="AB112" s="21">
        <f>IF(OR(R112="",AA112=""),"",R112/AA112)</f>
        <v/>
      </c>
      <c r="AC112" s="22">
        <f>IF(AB112="",O112,INDEX('4_UK_L1_Input'!$D$4:$D$14,MATCH($C112,'4_UK_L1_Input'!$A$4:$A$14,0))*AB112)</f>
        <v/>
      </c>
      <c r="AD112" s="7">
        <f>IF(AB112="","BETA FALLBACK","REAL (Bloomberg UK)")</f>
        <v/>
      </c>
      <c r="AE112" s="23">
        <f>Y112-N112</f>
        <v/>
      </c>
      <c r="AF112" s="23">
        <f>AC112-O112</f>
        <v/>
      </c>
    </row>
    <row r="113">
      <c r="A113" s="7" t="n">
        <v>40203030</v>
      </c>
      <c r="B113" s="7" t="inlineStr">
        <is>
          <t>Diversified Capital Markets</t>
        </is>
      </c>
      <c r="C113" s="7" t="n">
        <v>40</v>
      </c>
      <c r="D113" s="7" t="n">
        <v>4020</v>
      </c>
      <c r="E113" s="7" t="n">
        <v>402030</v>
      </c>
      <c r="F113" s="7" t="n">
        <v>0.7321569999999999</v>
      </c>
      <c r="G113" s="7" t="n">
        <v>1</v>
      </c>
      <c r="H113" s="11">
        <f>SUMPRODUCT(($E$3:$E$165=E113)*$G$3:$G$165*$F$3:$F$165)/SUMPRODUCT(($E$3:$E$165=E113)*$G$3:$G$165)</f>
        <v/>
      </c>
      <c r="I113" s="11">
        <f>SUMPRODUCT(($D$3:$D$165=D113)*$G$3:$G$165*$F$3:$F$165)/SUMPRODUCT(($D$3:$D$165=D113)*$G$3:$G$165)</f>
        <v/>
      </c>
      <c r="J113" s="11">
        <f>SUMPRODUCT(($C$3:$C$165=C113)*$G$3:$G$165*$F$3:$F$165)/SUMPRODUCT(($C$3:$C$165=C113)*$G$3:$G$165)</f>
        <v/>
      </c>
      <c r="K113" s="21">
        <f>I113/J113</f>
        <v/>
      </c>
      <c r="L113" s="21">
        <f>H113/I113</f>
        <v/>
      </c>
      <c r="M113" s="21">
        <f>F113/H113</f>
        <v/>
      </c>
      <c r="N113" s="22">
        <f>INDEX('4_UK_L1_Input'!$C$4:$C$14,MATCH($C113,'4_UK_L1_Input'!$A$4:$A$14,0))*K113*L113*M113</f>
        <v/>
      </c>
      <c r="O113" s="22">
        <f>INDEX('4_UK_L1_Input'!$D$4:$D$14,MATCH($C113,'4_UK_L1_Input'!$A$4:$A$14,0))*K113*L113*M113</f>
        <v/>
      </c>
      <c r="P113" s="14" t="n"/>
      <c r="Q113" s="14" t="n"/>
      <c r="R113" s="14" t="n"/>
      <c r="S113" s="11">
        <f>IFERROR(SUMPRODUCT(($E$3:$E$165=E113)*ISNUMBER($P$3:$P$165)*$P$3:$P$165*$F$3:$F$165)/SUMPRODUCT(($E$3:$E$165=E113)*ISNUMBER($P$3:$P$165)*$P$3:$P$165),"")</f>
        <v/>
      </c>
      <c r="T113" s="11">
        <f>IFERROR(SUMPRODUCT(($D$3:$D$165=D113)*ISNUMBER($P$3:$P$165)*$P$3:$P$165*$F$3:$F$165)/SUMPRODUCT(($D$3:$D$165=D113)*ISNUMBER($P$3:$P$165)*$P$3:$P$165),"")</f>
        <v/>
      </c>
      <c r="U113" s="11">
        <f>IFERROR(SUMPRODUCT(($C$3:$C$165=C113)*ISNUMBER($P$3:$P$165)*$P$3:$P$165*$F$3:$F$165)/SUMPRODUCT(($C$3:$C$165=C113)*ISNUMBER($P$3:$P$165)*$P$3:$P$165),"")</f>
        <v/>
      </c>
      <c r="V113" s="21">
        <f>IF(OR(T113="",U113=""),"",T113/U113)</f>
        <v/>
      </c>
      <c r="W113" s="21">
        <f>IF(OR(S113="",T113=""),"",S113/T113)</f>
        <v/>
      </c>
      <c r="X113" s="21">
        <f>IF(S113="","",F113/S113)</f>
        <v/>
      </c>
      <c r="Y113" s="22">
        <f>IF(V113="",N113,INDEX('4_UK_L1_Input'!$C$4:$C$14,MATCH($C113,'4_UK_L1_Input'!$A$4:$A$14,0))*V113*W113*X113)</f>
        <v/>
      </c>
      <c r="Z113" s="7">
        <f>IF(V113="","BETA FALLBACK","REAL (Bloomberg UK)")</f>
        <v/>
      </c>
      <c r="AA113" s="21">
        <f>IFERROR(SUMPRODUCT(($C$3:$C$165=C113)*ISNUMBER($R$3:$R$165)*$Q$3:$Q$165*IF(ISNUMBER($R$3:$R$165),$R$3:$R$165,0))/SUMPRODUCT(($C$3:$C$165=C113)*ISNUMBER($R$3:$R$165)*$Q$3:$Q$165),"")</f>
        <v/>
      </c>
      <c r="AB113" s="21">
        <f>IF(OR(R113="",AA113=""),"",R113/AA113)</f>
        <v/>
      </c>
      <c r="AC113" s="22">
        <f>IF(AB113="",O113,INDEX('4_UK_L1_Input'!$D$4:$D$14,MATCH($C113,'4_UK_L1_Input'!$A$4:$A$14,0))*AB113)</f>
        <v/>
      </c>
      <c r="AD113" s="7">
        <f>IF(AB113="","BETA FALLBACK","REAL (Bloomberg UK)")</f>
        <v/>
      </c>
      <c r="AE113" s="23">
        <f>Y113-N113</f>
        <v/>
      </c>
      <c r="AF113" s="23">
        <f>AC113-O113</f>
        <v/>
      </c>
    </row>
    <row r="114">
      <c r="A114" s="7" t="n">
        <v>40203040</v>
      </c>
      <c r="B114" s="7" t="inlineStr">
        <is>
          <t>Financial Exchanges &amp; Data</t>
        </is>
      </c>
      <c r="C114" s="7" t="n">
        <v>40</v>
      </c>
      <c r="D114" s="7" t="n">
        <v>4020</v>
      </c>
      <c r="E114" s="7" t="n">
        <v>402030</v>
      </c>
      <c r="F114" s="7" t="n">
        <v>0.814201</v>
      </c>
      <c r="G114" s="7" t="n">
        <v>1</v>
      </c>
      <c r="H114" s="11">
        <f>SUMPRODUCT(($E$3:$E$165=E114)*$G$3:$G$165*$F$3:$F$165)/SUMPRODUCT(($E$3:$E$165=E114)*$G$3:$G$165)</f>
        <v/>
      </c>
      <c r="I114" s="11">
        <f>SUMPRODUCT(($D$3:$D$165=D114)*$G$3:$G$165*$F$3:$F$165)/SUMPRODUCT(($D$3:$D$165=D114)*$G$3:$G$165)</f>
        <v/>
      </c>
      <c r="J114" s="11">
        <f>SUMPRODUCT(($C$3:$C$165=C114)*$G$3:$G$165*$F$3:$F$165)/SUMPRODUCT(($C$3:$C$165=C114)*$G$3:$G$165)</f>
        <v/>
      </c>
      <c r="K114" s="21">
        <f>I114/J114</f>
        <v/>
      </c>
      <c r="L114" s="21">
        <f>H114/I114</f>
        <v/>
      </c>
      <c r="M114" s="21">
        <f>F114/H114</f>
        <v/>
      </c>
      <c r="N114" s="22">
        <f>INDEX('4_UK_L1_Input'!$C$4:$C$14,MATCH($C114,'4_UK_L1_Input'!$A$4:$A$14,0))*K114*L114*M114</f>
        <v/>
      </c>
      <c r="O114" s="22">
        <f>INDEX('4_UK_L1_Input'!$D$4:$D$14,MATCH($C114,'4_UK_L1_Input'!$A$4:$A$14,0))*K114*L114*M114</f>
        <v/>
      </c>
      <c r="P114" s="15" t="n">
        <v>2630000000</v>
      </c>
      <c r="Q114" s="15" t="n">
        <v>12530000000</v>
      </c>
      <c r="R114" s="16" t="n">
        <v>11.47</v>
      </c>
      <c r="S114" s="11">
        <f>IFERROR(SUMPRODUCT(($E$3:$E$165=E114)*ISNUMBER($P$3:$P$165)*$P$3:$P$165*$F$3:$F$165)/SUMPRODUCT(($E$3:$E$165=E114)*ISNUMBER($P$3:$P$165)*$P$3:$P$165),"")</f>
        <v/>
      </c>
      <c r="T114" s="11">
        <f>IFERROR(SUMPRODUCT(($D$3:$D$165=D114)*ISNUMBER($P$3:$P$165)*$P$3:$P$165*$F$3:$F$165)/SUMPRODUCT(($D$3:$D$165=D114)*ISNUMBER($P$3:$P$165)*$P$3:$P$165),"")</f>
        <v/>
      </c>
      <c r="U114" s="11">
        <f>IFERROR(SUMPRODUCT(($C$3:$C$165=C114)*ISNUMBER($P$3:$P$165)*$P$3:$P$165*$F$3:$F$165)/SUMPRODUCT(($C$3:$C$165=C114)*ISNUMBER($P$3:$P$165)*$P$3:$P$165),"")</f>
        <v/>
      </c>
      <c r="V114" s="21">
        <f>IF(OR(T114="",U114=""),"",T114/U114)</f>
        <v/>
      </c>
      <c r="W114" s="21">
        <f>IF(OR(S114="",T114=""),"",S114/T114)</f>
        <v/>
      </c>
      <c r="X114" s="21">
        <f>IF(S114="","",F114/S114)</f>
        <v/>
      </c>
      <c r="Y114" s="22">
        <f>IF(V114="",N114,INDEX('4_UK_L1_Input'!$C$4:$C$14,MATCH($C114,'4_UK_L1_Input'!$A$4:$A$14,0))*V114*W114*X114)</f>
        <v/>
      </c>
      <c r="Z114" s="7">
        <f>IF(V114="","BETA FALLBACK","REAL (Bloomberg UK)")</f>
        <v/>
      </c>
      <c r="AA114" s="21">
        <f>IFERROR(SUMPRODUCT(($C$3:$C$165=C114)*ISNUMBER($R$3:$R$165)*$Q$3:$Q$165*IF(ISNUMBER($R$3:$R$165),$R$3:$R$165,0))/SUMPRODUCT(($C$3:$C$165=C114)*ISNUMBER($R$3:$R$165)*$Q$3:$Q$165),"")</f>
        <v/>
      </c>
      <c r="AB114" s="21">
        <f>IF(OR(R114="",AA114=""),"",R114/AA114)</f>
        <v/>
      </c>
      <c r="AC114" s="22">
        <f>IF(AB114="",O114,INDEX('4_UK_L1_Input'!$D$4:$D$14,MATCH($C114,'4_UK_L1_Input'!$A$4:$A$14,0))*AB114)</f>
        <v/>
      </c>
      <c r="AD114" s="7">
        <f>IF(AB114="","BETA FALLBACK","REAL (Bloomberg UK)")</f>
        <v/>
      </c>
      <c r="AE114" s="23">
        <f>Y114-N114</f>
        <v/>
      </c>
      <c r="AF114" s="23">
        <f>AC114-O114</f>
        <v/>
      </c>
    </row>
    <row r="115">
      <c r="A115" s="7" t="n">
        <v>40204010</v>
      </c>
      <c r="B115" s="7" t="inlineStr">
        <is>
          <t>Mortgage REITs*</t>
        </is>
      </c>
      <c r="C115" s="7" t="n">
        <v>40</v>
      </c>
      <c r="D115" s="7" t="n">
        <v>4020</v>
      </c>
      <c r="E115" s="7" t="n">
        <v>402040</v>
      </c>
      <c r="F115" s="7" t="n">
        <v>0.425563</v>
      </c>
      <c r="G115" s="7" t="n">
        <v>1</v>
      </c>
      <c r="H115" s="11">
        <f>SUMPRODUCT(($E$3:$E$165=E115)*$G$3:$G$165*$F$3:$F$165)/SUMPRODUCT(($E$3:$E$165=E115)*$G$3:$G$165)</f>
        <v/>
      </c>
      <c r="I115" s="11">
        <f>SUMPRODUCT(($D$3:$D$165=D115)*$G$3:$G$165*$F$3:$F$165)/SUMPRODUCT(($D$3:$D$165=D115)*$G$3:$G$165)</f>
        <v/>
      </c>
      <c r="J115" s="11">
        <f>SUMPRODUCT(($C$3:$C$165=C115)*$G$3:$G$165*$F$3:$F$165)/SUMPRODUCT(($C$3:$C$165=C115)*$G$3:$G$165)</f>
        <v/>
      </c>
      <c r="K115" s="21">
        <f>I115/J115</f>
        <v/>
      </c>
      <c r="L115" s="21">
        <f>H115/I115</f>
        <v/>
      </c>
      <c r="M115" s="21">
        <f>F115/H115</f>
        <v/>
      </c>
      <c r="N115" s="22">
        <f>INDEX('4_UK_L1_Input'!$C$4:$C$14,MATCH($C115,'4_UK_L1_Input'!$A$4:$A$14,0))*K115*L115*M115</f>
        <v/>
      </c>
      <c r="O115" s="22">
        <f>INDEX('4_UK_L1_Input'!$D$4:$D$14,MATCH($C115,'4_UK_L1_Input'!$A$4:$A$14,0))*K115*L115*M115</f>
        <v/>
      </c>
      <c r="P115" s="14" t="n"/>
      <c r="Q115" s="14" t="n"/>
      <c r="R115" s="14" t="n"/>
      <c r="S115" s="11">
        <f>IFERROR(SUMPRODUCT(($E$3:$E$165=E115)*ISNUMBER($P$3:$P$165)*$P$3:$P$165*$F$3:$F$165)/SUMPRODUCT(($E$3:$E$165=E115)*ISNUMBER($P$3:$P$165)*$P$3:$P$165),"")</f>
        <v/>
      </c>
      <c r="T115" s="11">
        <f>IFERROR(SUMPRODUCT(($D$3:$D$165=D115)*ISNUMBER($P$3:$P$165)*$P$3:$P$165*$F$3:$F$165)/SUMPRODUCT(($D$3:$D$165=D115)*ISNUMBER($P$3:$P$165)*$P$3:$P$165),"")</f>
        <v/>
      </c>
      <c r="U115" s="11">
        <f>IFERROR(SUMPRODUCT(($C$3:$C$165=C115)*ISNUMBER($P$3:$P$165)*$P$3:$P$165*$F$3:$F$165)/SUMPRODUCT(($C$3:$C$165=C115)*ISNUMBER($P$3:$P$165)*$P$3:$P$165),"")</f>
        <v/>
      </c>
      <c r="V115" s="21">
        <f>IF(OR(T115="",U115=""),"",T115/U115)</f>
        <v/>
      </c>
      <c r="W115" s="21">
        <f>IF(OR(S115="",T115=""),"",S115/T115)</f>
        <v/>
      </c>
      <c r="X115" s="21">
        <f>IF(S115="","",F115/S115)</f>
        <v/>
      </c>
      <c r="Y115" s="22">
        <f>IF(V115="",N115,INDEX('4_UK_L1_Input'!$C$4:$C$14,MATCH($C115,'4_UK_L1_Input'!$A$4:$A$14,0))*V115*W115*X115)</f>
        <v/>
      </c>
      <c r="Z115" s="7">
        <f>IF(V115="","BETA FALLBACK","REAL (Bloomberg UK)")</f>
        <v/>
      </c>
      <c r="AA115" s="21">
        <f>IFERROR(SUMPRODUCT(($C$3:$C$165=C115)*ISNUMBER($R$3:$R$165)*$Q$3:$Q$165*IF(ISNUMBER($R$3:$R$165),$R$3:$R$165,0))/SUMPRODUCT(($C$3:$C$165=C115)*ISNUMBER($R$3:$R$165)*$Q$3:$Q$165),"")</f>
        <v/>
      </c>
      <c r="AB115" s="21">
        <f>IF(OR(R115="",AA115=""),"",R115/AA115)</f>
        <v/>
      </c>
      <c r="AC115" s="22">
        <f>IF(AB115="",O115,INDEX('4_UK_L1_Input'!$D$4:$D$14,MATCH($C115,'4_UK_L1_Input'!$A$4:$A$14,0))*AB115)</f>
        <v/>
      </c>
      <c r="AD115" s="7">
        <f>IF(AB115="","BETA FALLBACK","REAL (Bloomberg UK)")</f>
        <v/>
      </c>
      <c r="AE115" s="23">
        <f>Y115-N115</f>
        <v/>
      </c>
      <c r="AF115" s="23">
        <f>AC115-O115</f>
        <v/>
      </c>
    </row>
    <row r="116">
      <c r="A116" s="7" t="n">
        <v>40301010</v>
      </c>
      <c r="B116" s="7" t="inlineStr">
        <is>
          <t>Insurance Brokers</t>
        </is>
      </c>
      <c r="C116" s="7" t="n">
        <v>40</v>
      </c>
      <c r="D116" s="7" t="n">
        <v>4030</v>
      </c>
      <c r="E116" s="7" t="n">
        <v>403010</v>
      </c>
      <c r="F116" s="7" t="n">
        <v>0.6822319999999999</v>
      </c>
      <c r="G116" s="7" t="n">
        <v>1</v>
      </c>
      <c r="H116" s="11">
        <f>SUMPRODUCT(($E$3:$E$165=E116)*$G$3:$G$165*$F$3:$F$165)/SUMPRODUCT(($E$3:$E$165=E116)*$G$3:$G$165)</f>
        <v/>
      </c>
      <c r="I116" s="11">
        <f>SUMPRODUCT(($D$3:$D$165=D116)*$G$3:$G$165*$F$3:$F$165)/SUMPRODUCT(($D$3:$D$165=D116)*$G$3:$G$165)</f>
        <v/>
      </c>
      <c r="J116" s="11">
        <f>SUMPRODUCT(($C$3:$C$165=C116)*$G$3:$G$165*$F$3:$F$165)/SUMPRODUCT(($C$3:$C$165=C116)*$G$3:$G$165)</f>
        <v/>
      </c>
      <c r="K116" s="21">
        <f>I116/J116</f>
        <v/>
      </c>
      <c r="L116" s="21">
        <f>H116/I116</f>
        <v/>
      </c>
      <c r="M116" s="21">
        <f>F116/H116</f>
        <v/>
      </c>
      <c r="N116" s="22">
        <f>INDEX('4_UK_L1_Input'!$C$4:$C$14,MATCH($C116,'4_UK_L1_Input'!$A$4:$A$14,0))*K116*L116*M116</f>
        <v/>
      </c>
      <c r="O116" s="22">
        <f>INDEX('4_UK_L1_Input'!$D$4:$D$14,MATCH($C116,'4_UK_L1_Input'!$A$4:$A$14,0))*K116*L116*M116</f>
        <v/>
      </c>
      <c r="P116" s="15" t="n">
        <v>13840000000</v>
      </c>
      <c r="Q116" s="15" t="n">
        <v>54010000000</v>
      </c>
      <c r="R116" s="16" t="n">
        <v>13.45</v>
      </c>
      <c r="S116" s="11">
        <f>IFERROR(SUMPRODUCT(($E$3:$E$165=E116)*ISNUMBER($P$3:$P$165)*$P$3:$P$165*$F$3:$F$165)/SUMPRODUCT(($E$3:$E$165=E116)*ISNUMBER($P$3:$P$165)*$P$3:$P$165),"")</f>
        <v/>
      </c>
      <c r="T116" s="11">
        <f>IFERROR(SUMPRODUCT(($D$3:$D$165=D116)*ISNUMBER($P$3:$P$165)*$P$3:$P$165*$F$3:$F$165)/SUMPRODUCT(($D$3:$D$165=D116)*ISNUMBER($P$3:$P$165)*$P$3:$P$165),"")</f>
        <v/>
      </c>
      <c r="U116" s="11">
        <f>IFERROR(SUMPRODUCT(($C$3:$C$165=C116)*ISNUMBER($P$3:$P$165)*$P$3:$P$165*$F$3:$F$165)/SUMPRODUCT(($C$3:$C$165=C116)*ISNUMBER($P$3:$P$165)*$P$3:$P$165),"")</f>
        <v/>
      </c>
      <c r="V116" s="21">
        <f>IF(OR(T116="",U116=""),"",T116/U116)</f>
        <v/>
      </c>
      <c r="W116" s="21">
        <f>IF(OR(S116="",T116=""),"",S116/T116)</f>
        <v/>
      </c>
      <c r="X116" s="21">
        <f>IF(S116="","",F116/S116)</f>
        <v/>
      </c>
      <c r="Y116" s="22">
        <f>IF(V116="",N116,INDEX('4_UK_L1_Input'!$C$4:$C$14,MATCH($C116,'4_UK_L1_Input'!$A$4:$A$14,0))*V116*W116*X116)</f>
        <v/>
      </c>
      <c r="Z116" s="7">
        <f>IF(V116="","BETA FALLBACK","REAL (Bloomberg UK)")</f>
        <v/>
      </c>
      <c r="AA116" s="21">
        <f>IFERROR(SUMPRODUCT(($C$3:$C$165=C116)*ISNUMBER($R$3:$R$165)*$Q$3:$Q$165*IF(ISNUMBER($R$3:$R$165),$R$3:$R$165,0))/SUMPRODUCT(($C$3:$C$165=C116)*ISNUMBER($R$3:$R$165)*$Q$3:$Q$165),"")</f>
        <v/>
      </c>
      <c r="AB116" s="21">
        <f>IF(OR(R116="",AA116=""),"",R116/AA116)</f>
        <v/>
      </c>
      <c r="AC116" s="22">
        <f>IF(AB116="",O116,INDEX('4_UK_L1_Input'!$D$4:$D$14,MATCH($C116,'4_UK_L1_Input'!$A$4:$A$14,0))*AB116)</f>
        <v/>
      </c>
      <c r="AD116" s="7">
        <f>IF(AB116="","BETA FALLBACK","REAL (Bloomberg UK)")</f>
        <v/>
      </c>
      <c r="AE116" s="23">
        <f>Y116-N116</f>
        <v/>
      </c>
      <c r="AF116" s="23">
        <f>AC116-O116</f>
        <v/>
      </c>
    </row>
    <row r="117">
      <c r="A117" s="7" t="n">
        <v>40301020</v>
      </c>
      <c r="B117" s="7" t="inlineStr">
        <is>
          <t>Life &amp; Health Insurance</t>
        </is>
      </c>
      <c r="C117" s="7" t="n">
        <v>40</v>
      </c>
      <c r="D117" s="7" t="n">
        <v>4030</v>
      </c>
      <c r="E117" s="7" t="n">
        <v>403010</v>
      </c>
      <c r="F117" s="7" t="n">
        <v>0.654821</v>
      </c>
      <c r="G117" s="7" t="n">
        <v>1</v>
      </c>
      <c r="H117" s="11">
        <f>SUMPRODUCT(($E$3:$E$165=E117)*$G$3:$G$165*$F$3:$F$165)/SUMPRODUCT(($E$3:$E$165=E117)*$G$3:$G$165)</f>
        <v/>
      </c>
      <c r="I117" s="11">
        <f>SUMPRODUCT(($D$3:$D$165=D117)*$G$3:$G$165*$F$3:$F$165)/SUMPRODUCT(($D$3:$D$165=D117)*$G$3:$G$165)</f>
        <v/>
      </c>
      <c r="J117" s="11">
        <f>SUMPRODUCT(($C$3:$C$165=C117)*$G$3:$G$165*$F$3:$F$165)/SUMPRODUCT(($C$3:$C$165=C117)*$G$3:$G$165)</f>
        <v/>
      </c>
      <c r="K117" s="21">
        <f>I117/J117</f>
        <v/>
      </c>
      <c r="L117" s="21">
        <f>H117/I117</f>
        <v/>
      </c>
      <c r="M117" s="21">
        <f>F117/H117</f>
        <v/>
      </c>
      <c r="N117" s="22">
        <f>INDEX('4_UK_L1_Input'!$C$4:$C$14,MATCH($C117,'4_UK_L1_Input'!$A$4:$A$14,0))*K117*L117*M117</f>
        <v/>
      </c>
      <c r="O117" s="22">
        <f>INDEX('4_UK_L1_Input'!$D$4:$D$14,MATCH($C117,'4_UK_L1_Input'!$A$4:$A$14,0))*K117*L117*M117</f>
        <v/>
      </c>
      <c r="P117" s="15" t="n">
        <v>13500000000</v>
      </c>
      <c r="Q117" s="15" t="n">
        <v>9250000000</v>
      </c>
      <c r="R117" s="14" t="n"/>
      <c r="S117" s="11">
        <f>IFERROR(SUMPRODUCT(($E$3:$E$165=E117)*ISNUMBER($P$3:$P$165)*$P$3:$P$165*$F$3:$F$165)/SUMPRODUCT(($E$3:$E$165=E117)*ISNUMBER($P$3:$P$165)*$P$3:$P$165),"")</f>
        <v/>
      </c>
      <c r="T117" s="11">
        <f>IFERROR(SUMPRODUCT(($D$3:$D$165=D117)*ISNUMBER($P$3:$P$165)*$P$3:$P$165*$F$3:$F$165)/SUMPRODUCT(($D$3:$D$165=D117)*ISNUMBER($P$3:$P$165)*$P$3:$P$165),"")</f>
        <v/>
      </c>
      <c r="U117" s="11">
        <f>IFERROR(SUMPRODUCT(($C$3:$C$165=C117)*ISNUMBER($P$3:$P$165)*$P$3:$P$165*$F$3:$F$165)/SUMPRODUCT(($C$3:$C$165=C117)*ISNUMBER($P$3:$P$165)*$P$3:$P$165),"")</f>
        <v/>
      </c>
      <c r="V117" s="21">
        <f>IF(OR(T117="",U117=""),"",T117/U117)</f>
        <v/>
      </c>
      <c r="W117" s="21">
        <f>IF(OR(S117="",T117=""),"",S117/T117)</f>
        <v/>
      </c>
      <c r="X117" s="21">
        <f>IF(S117="","",F117/S117)</f>
        <v/>
      </c>
      <c r="Y117" s="22">
        <f>IF(V117="",N117,INDEX('4_UK_L1_Input'!$C$4:$C$14,MATCH($C117,'4_UK_L1_Input'!$A$4:$A$14,0))*V117*W117*X117)</f>
        <v/>
      </c>
      <c r="Z117" s="7">
        <f>IF(V117="","BETA FALLBACK","REAL (Bloomberg UK)")</f>
        <v/>
      </c>
      <c r="AA117" s="21">
        <f>IFERROR(SUMPRODUCT(($C$3:$C$165=C117)*ISNUMBER($R$3:$R$165)*$Q$3:$Q$165*IF(ISNUMBER($R$3:$R$165),$R$3:$R$165,0))/SUMPRODUCT(($C$3:$C$165=C117)*ISNUMBER($R$3:$R$165)*$Q$3:$Q$165),"")</f>
        <v/>
      </c>
      <c r="AB117" s="21">
        <f>IF(OR(R117="",AA117=""),"",R117/AA117)</f>
        <v/>
      </c>
      <c r="AC117" s="22">
        <f>IF(AB117="",O117,INDEX('4_UK_L1_Input'!$D$4:$D$14,MATCH($C117,'4_UK_L1_Input'!$A$4:$A$14,0))*AB117)</f>
        <v/>
      </c>
      <c r="AD117" s="7">
        <f>IF(AB117="","BETA FALLBACK","REAL (Bloomberg UK)")</f>
        <v/>
      </c>
      <c r="AE117" s="23">
        <f>Y117-N117</f>
        <v/>
      </c>
      <c r="AF117" s="23">
        <f>AC117-O117</f>
        <v/>
      </c>
    </row>
    <row r="118">
      <c r="A118" s="7" t="n">
        <v>40301030</v>
      </c>
      <c r="B118" s="7" t="inlineStr">
        <is>
          <t>Multi-line Insurance</t>
        </is>
      </c>
      <c r="C118" s="7" t="n">
        <v>40</v>
      </c>
      <c r="D118" s="7" t="n">
        <v>4030</v>
      </c>
      <c r="E118" s="7" t="n">
        <v>403010</v>
      </c>
      <c r="F118" s="7" t="n">
        <v>0.6822319999999999</v>
      </c>
      <c r="G118" s="7" t="n">
        <v>1</v>
      </c>
      <c r="H118" s="11">
        <f>SUMPRODUCT(($E$3:$E$165=E118)*$G$3:$G$165*$F$3:$F$165)/SUMPRODUCT(($E$3:$E$165=E118)*$G$3:$G$165)</f>
        <v/>
      </c>
      <c r="I118" s="11">
        <f>SUMPRODUCT(($D$3:$D$165=D118)*$G$3:$G$165*$F$3:$F$165)/SUMPRODUCT(($D$3:$D$165=D118)*$G$3:$G$165)</f>
        <v/>
      </c>
      <c r="J118" s="11">
        <f>SUMPRODUCT(($C$3:$C$165=C118)*$G$3:$G$165*$F$3:$F$165)/SUMPRODUCT(($C$3:$C$165=C118)*$G$3:$G$165)</f>
        <v/>
      </c>
      <c r="K118" s="21">
        <f>I118/J118</f>
        <v/>
      </c>
      <c r="L118" s="21">
        <f>H118/I118</f>
        <v/>
      </c>
      <c r="M118" s="21">
        <f>F118/H118</f>
        <v/>
      </c>
      <c r="N118" s="22">
        <f>INDEX('4_UK_L1_Input'!$C$4:$C$14,MATCH($C118,'4_UK_L1_Input'!$A$4:$A$14,0))*K118*L118*M118</f>
        <v/>
      </c>
      <c r="O118" s="22">
        <f>INDEX('4_UK_L1_Input'!$D$4:$D$14,MATCH($C118,'4_UK_L1_Input'!$A$4:$A$14,0))*K118*L118*M118</f>
        <v/>
      </c>
      <c r="P118" s="15" t="n">
        <v>9240000000</v>
      </c>
      <c r="Q118" s="15" t="n">
        <v>7540000000</v>
      </c>
      <c r="R118" s="16" t="n">
        <v>9.529999999999999</v>
      </c>
      <c r="S118" s="11">
        <f>IFERROR(SUMPRODUCT(($E$3:$E$165=E118)*ISNUMBER($P$3:$P$165)*$P$3:$P$165*$F$3:$F$165)/SUMPRODUCT(($E$3:$E$165=E118)*ISNUMBER($P$3:$P$165)*$P$3:$P$165),"")</f>
        <v/>
      </c>
      <c r="T118" s="11">
        <f>IFERROR(SUMPRODUCT(($D$3:$D$165=D118)*ISNUMBER($P$3:$P$165)*$P$3:$P$165*$F$3:$F$165)/SUMPRODUCT(($D$3:$D$165=D118)*ISNUMBER($P$3:$P$165)*$P$3:$P$165),"")</f>
        <v/>
      </c>
      <c r="U118" s="11">
        <f>IFERROR(SUMPRODUCT(($C$3:$C$165=C118)*ISNUMBER($P$3:$P$165)*$P$3:$P$165*$F$3:$F$165)/SUMPRODUCT(($C$3:$C$165=C118)*ISNUMBER($P$3:$P$165)*$P$3:$P$165),"")</f>
        <v/>
      </c>
      <c r="V118" s="21">
        <f>IF(OR(T118="",U118=""),"",T118/U118)</f>
        <v/>
      </c>
      <c r="W118" s="21">
        <f>IF(OR(S118="",T118=""),"",S118/T118)</f>
        <v/>
      </c>
      <c r="X118" s="21">
        <f>IF(S118="","",F118/S118)</f>
        <v/>
      </c>
      <c r="Y118" s="22">
        <f>IF(V118="",N118,INDEX('4_UK_L1_Input'!$C$4:$C$14,MATCH($C118,'4_UK_L1_Input'!$A$4:$A$14,0))*V118*W118*X118)</f>
        <v/>
      </c>
      <c r="Z118" s="7">
        <f>IF(V118="","BETA FALLBACK","REAL (Bloomberg UK)")</f>
        <v/>
      </c>
      <c r="AA118" s="21">
        <f>IFERROR(SUMPRODUCT(($C$3:$C$165=C118)*ISNUMBER($R$3:$R$165)*$Q$3:$Q$165*IF(ISNUMBER($R$3:$R$165),$R$3:$R$165,0))/SUMPRODUCT(($C$3:$C$165=C118)*ISNUMBER($R$3:$R$165)*$Q$3:$Q$165),"")</f>
        <v/>
      </c>
      <c r="AB118" s="21">
        <f>IF(OR(R118="",AA118=""),"",R118/AA118)</f>
        <v/>
      </c>
      <c r="AC118" s="22">
        <f>IF(AB118="",O118,INDEX('4_UK_L1_Input'!$D$4:$D$14,MATCH($C118,'4_UK_L1_Input'!$A$4:$A$14,0))*AB118)</f>
        <v/>
      </c>
      <c r="AD118" s="7">
        <f>IF(AB118="","BETA FALLBACK","REAL (Bloomberg UK)")</f>
        <v/>
      </c>
      <c r="AE118" s="23">
        <f>Y118-N118</f>
        <v/>
      </c>
      <c r="AF118" s="23">
        <f>AC118-O118</f>
        <v/>
      </c>
    </row>
    <row r="119">
      <c r="A119" s="7" t="n">
        <v>40301040</v>
      </c>
      <c r="B119" s="7" t="inlineStr">
        <is>
          <t>Property &amp; Casualty Insurance</t>
        </is>
      </c>
      <c r="C119" s="7" t="n">
        <v>40</v>
      </c>
      <c r="D119" s="7" t="n">
        <v>4030</v>
      </c>
      <c r="E119" s="7" t="n">
        <v>403010</v>
      </c>
      <c r="F119" s="7" t="n">
        <v>0.523284</v>
      </c>
      <c r="G119" s="7" t="n">
        <v>1</v>
      </c>
      <c r="H119" s="11">
        <f>SUMPRODUCT(($E$3:$E$165=E119)*$G$3:$G$165*$F$3:$F$165)/SUMPRODUCT(($E$3:$E$165=E119)*$G$3:$G$165)</f>
        <v/>
      </c>
      <c r="I119" s="11">
        <f>SUMPRODUCT(($D$3:$D$165=D119)*$G$3:$G$165*$F$3:$F$165)/SUMPRODUCT(($D$3:$D$165=D119)*$G$3:$G$165)</f>
        <v/>
      </c>
      <c r="J119" s="11">
        <f>SUMPRODUCT(($C$3:$C$165=C119)*$G$3:$G$165*$F$3:$F$165)/SUMPRODUCT(($C$3:$C$165=C119)*$G$3:$G$165)</f>
        <v/>
      </c>
      <c r="K119" s="21">
        <f>I119/J119</f>
        <v/>
      </c>
      <c r="L119" s="21">
        <f>H119/I119</f>
        <v/>
      </c>
      <c r="M119" s="21">
        <f>F119/H119</f>
        <v/>
      </c>
      <c r="N119" s="22">
        <f>INDEX('4_UK_L1_Input'!$C$4:$C$14,MATCH($C119,'4_UK_L1_Input'!$A$4:$A$14,0))*K119*L119*M119</f>
        <v/>
      </c>
      <c r="O119" s="22">
        <f>INDEX('4_UK_L1_Input'!$D$4:$D$14,MATCH($C119,'4_UK_L1_Input'!$A$4:$A$14,0))*K119*L119*M119</f>
        <v/>
      </c>
      <c r="P119" s="15" t="n">
        <v>2690000000</v>
      </c>
      <c r="Q119" s="15" t="n">
        <v>4340000000</v>
      </c>
      <c r="R119" s="14" t="n"/>
      <c r="S119" s="11">
        <f>IFERROR(SUMPRODUCT(($E$3:$E$165=E119)*ISNUMBER($P$3:$P$165)*$P$3:$P$165*$F$3:$F$165)/SUMPRODUCT(($E$3:$E$165=E119)*ISNUMBER($P$3:$P$165)*$P$3:$P$165),"")</f>
        <v/>
      </c>
      <c r="T119" s="11">
        <f>IFERROR(SUMPRODUCT(($D$3:$D$165=D119)*ISNUMBER($P$3:$P$165)*$P$3:$P$165*$F$3:$F$165)/SUMPRODUCT(($D$3:$D$165=D119)*ISNUMBER($P$3:$P$165)*$P$3:$P$165),"")</f>
        <v/>
      </c>
      <c r="U119" s="11">
        <f>IFERROR(SUMPRODUCT(($C$3:$C$165=C119)*ISNUMBER($P$3:$P$165)*$P$3:$P$165*$F$3:$F$165)/SUMPRODUCT(($C$3:$C$165=C119)*ISNUMBER($P$3:$P$165)*$P$3:$P$165),"")</f>
        <v/>
      </c>
      <c r="V119" s="21">
        <f>IF(OR(T119="",U119=""),"",T119/U119)</f>
        <v/>
      </c>
      <c r="W119" s="21">
        <f>IF(OR(S119="",T119=""),"",S119/T119)</f>
        <v/>
      </c>
      <c r="X119" s="21">
        <f>IF(S119="","",F119/S119)</f>
        <v/>
      </c>
      <c r="Y119" s="22">
        <f>IF(V119="",N119,INDEX('4_UK_L1_Input'!$C$4:$C$14,MATCH($C119,'4_UK_L1_Input'!$A$4:$A$14,0))*V119*W119*X119)</f>
        <v/>
      </c>
      <c r="Z119" s="7">
        <f>IF(V119="","BETA FALLBACK","REAL (Bloomberg UK)")</f>
        <v/>
      </c>
      <c r="AA119" s="21">
        <f>IFERROR(SUMPRODUCT(($C$3:$C$165=C119)*ISNUMBER($R$3:$R$165)*$Q$3:$Q$165*IF(ISNUMBER($R$3:$R$165),$R$3:$R$165,0))/SUMPRODUCT(($C$3:$C$165=C119)*ISNUMBER($R$3:$R$165)*$Q$3:$Q$165),"")</f>
        <v/>
      </c>
      <c r="AB119" s="21">
        <f>IF(OR(R119="",AA119=""),"",R119/AA119)</f>
        <v/>
      </c>
      <c r="AC119" s="22">
        <f>IF(AB119="",O119,INDEX('4_UK_L1_Input'!$D$4:$D$14,MATCH($C119,'4_UK_L1_Input'!$A$4:$A$14,0))*AB119)</f>
        <v/>
      </c>
      <c r="AD119" s="7">
        <f>IF(AB119="","BETA FALLBACK","REAL (Bloomberg UK)")</f>
        <v/>
      </c>
      <c r="AE119" s="23">
        <f>Y119-N119</f>
        <v/>
      </c>
      <c r="AF119" s="23">
        <f>AC119-O119</f>
        <v/>
      </c>
    </row>
    <row r="120">
      <c r="A120" s="7" t="n">
        <v>40301050</v>
      </c>
      <c r="B120" s="7" t="inlineStr">
        <is>
          <t>Reinsurance</t>
        </is>
      </c>
      <c r="C120" s="7" t="n">
        <v>40</v>
      </c>
      <c r="D120" s="7" t="n">
        <v>4030</v>
      </c>
      <c r="E120" s="7" t="n">
        <v>403010</v>
      </c>
      <c r="F120" s="7" t="n">
        <v>0.87158</v>
      </c>
      <c r="G120" s="7" t="n">
        <v>1</v>
      </c>
      <c r="H120" s="11">
        <f>SUMPRODUCT(($E$3:$E$165=E120)*$G$3:$G$165*$F$3:$F$165)/SUMPRODUCT(($E$3:$E$165=E120)*$G$3:$G$165)</f>
        <v/>
      </c>
      <c r="I120" s="11">
        <f>SUMPRODUCT(($D$3:$D$165=D120)*$G$3:$G$165*$F$3:$F$165)/SUMPRODUCT(($D$3:$D$165=D120)*$G$3:$G$165)</f>
        <v/>
      </c>
      <c r="J120" s="11">
        <f>SUMPRODUCT(($C$3:$C$165=C120)*$G$3:$G$165*$F$3:$F$165)/SUMPRODUCT(($C$3:$C$165=C120)*$G$3:$G$165)</f>
        <v/>
      </c>
      <c r="K120" s="21">
        <f>I120/J120</f>
        <v/>
      </c>
      <c r="L120" s="21">
        <f>H120/I120</f>
        <v/>
      </c>
      <c r="M120" s="21">
        <f>F120/H120</f>
        <v/>
      </c>
      <c r="N120" s="22">
        <f>INDEX('4_UK_L1_Input'!$C$4:$C$14,MATCH($C120,'4_UK_L1_Input'!$A$4:$A$14,0))*K120*L120*M120</f>
        <v/>
      </c>
      <c r="O120" s="22">
        <f>INDEX('4_UK_L1_Input'!$D$4:$D$14,MATCH($C120,'4_UK_L1_Input'!$A$4:$A$14,0))*K120*L120*M120</f>
        <v/>
      </c>
      <c r="P120" s="14" t="n"/>
      <c r="Q120" s="14" t="n"/>
      <c r="R120" s="14" t="n"/>
      <c r="S120" s="11">
        <f>IFERROR(SUMPRODUCT(($E$3:$E$165=E120)*ISNUMBER($P$3:$P$165)*$P$3:$P$165*$F$3:$F$165)/SUMPRODUCT(($E$3:$E$165=E120)*ISNUMBER($P$3:$P$165)*$P$3:$P$165),"")</f>
        <v/>
      </c>
      <c r="T120" s="11">
        <f>IFERROR(SUMPRODUCT(($D$3:$D$165=D120)*ISNUMBER($P$3:$P$165)*$P$3:$P$165*$F$3:$F$165)/SUMPRODUCT(($D$3:$D$165=D120)*ISNUMBER($P$3:$P$165)*$P$3:$P$165),"")</f>
        <v/>
      </c>
      <c r="U120" s="11">
        <f>IFERROR(SUMPRODUCT(($C$3:$C$165=C120)*ISNUMBER($P$3:$P$165)*$P$3:$P$165*$F$3:$F$165)/SUMPRODUCT(($C$3:$C$165=C120)*ISNUMBER($P$3:$P$165)*$P$3:$P$165),"")</f>
        <v/>
      </c>
      <c r="V120" s="21">
        <f>IF(OR(T120="",U120=""),"",T120/U120)</f>
        <v/>
      </c>
      <c r="W120" s="21">
        <f>IF(OR(S120="",T120=""),"",S120/T120)</f>
        <v/>
      </c>
      <c r="X120" s="21">
        <f>IF(S120="","",F120/S120)</f>
        <v/>
      </c>
      <c r="Y120" s="22">
        <f>IF(V120="",N120,INDEX('4_UK_L1_Input'!$C$4:$C$14,MATCH($C120,'4_UK_L1_Input'!$A$4:$A$14,0))*V120*W120*X120)</f>
        <v/>
      </c>
      <c r="Z120" s="7">
        <f>IF(V120="","BETA FALLBACK","REAL (Bloomberg UK)")</f>
        <v/>
      </c>
      <c r="AA120" s="21">
        <f>IFERROR(SUMPRODUCT(($C$3:$C$165=C120)*ISNUMBER($R$3:$R$165)*$Q$3:$Q$165*IF(ISNUMBER($R$3:$R$165),$R$3:$R$165,0))/SUMPRODUCT(($C$3:$C$165=C120)*ISNUMBER($R$3:$R$165)*$Q$3:$Q$165),"")</f>
        <v/>
      </c>
      <c r="AB120" s="21">
        <f>IF(OR(R120="",AA120=""),"",R120/AA120)</f>
        <v/>
      </c>
      <c r="AC120" s="22">
        <f>IF(AB120="",O120,INDEX('4_UK_L1_Input'!$D$4:$D$14,MATCH($C120,'4_UK_L1_Input'!$A$4:$A$14,0))*AB120)</f>
        <v/>
      </c>
      <c r="AD120" s="7">
        <f>IF(AB120="","BETA FALLBACK","REAL (Bloomberg UK)")</f>
        <v/>
      </c>
      <c r="AE120" s="23">
        <f>Y120-N120</f>
        <v/>
      </c>
      <c r="AF120" s="23">
        <f>AC120-O120</f>
        <v/>
      </c>
    </row>
    <row r="121">
      <c r="A121" s="7" t="n">
        <v>45102010</v>
      </c>
      <c r="B121" s="7" t="inlineStr">
        <is>
          <t>IT Consulting &amp; Other Services</t>
        </is>
      </c>
      <c r="C121" s="7" t="n">
        <v>45</v>
      </c>
      <c r="D121" s="7" t="n">
        <v>4510</v>
      </c>
      <c r="E121" s="7" t="n">
        <v>451020</v>
      </c>
      <c r="F121" s="7" t="n">
        <v>0.953494</v>
      </c>
      <c r="G121" s="7" t="n">
        <v>1</v>
      </c>
      <c r="H121" s="11">
        <f>SUMPRODUCT(($E$3:$E$165=E121)*$G$3:$G$165*$F$3:$F$165)/SUMPRODUCT(($E$3:$E$165=E121)*$G$3:$G$165)</f>
        <v/>
      </c>
      <c r="I121" s="11">
        <f>SUMPRODUCT(($D$3:$D$165=D121)*$G$3:$G$165*$F$3:$F$165)/SUMPRODUCT(($D$3:$D$165=D121)*$G$3:$G$165)</f>
        <v/>
      </c>
      <c r="J121" s="11">
        <f>SUMPRODUCT(($C$3:$C$165=C121)*$G$3:$G$165*$F$3:$F$165)/SUMPRODUCT(($C$3:$C$165=C121)*$G$3:$G$165)</f>
        <v/>
      </c>
      <c r="K121" s="21">
        <f>I121/J121</f>
        <v/>
      </c>
      <c r="L121" s="21">
        <f>H121/I121</f>
        <v/>
      </c>
      <c r="M121" s="21">
        <f>F121/H121</f>
        <v/>
      </c>
      <c r="N121" s="22">
        <f>INDEX('4_UK_L1_Input'!$C$4:$C$14,MATCH($C121,'4_UK_L1_Input'!$A$4:$A$14,0))*K121*L121*M121</f>
        <v/>
      </c>
      <c r="O121" s="22">
        <f>INDEX('4_UK_L1_Input'!$D$4:$D$14,MATCH($C121,'4_UK_L1_Input'!$A$4:$A$14,0))*K121*L121*M121</f>
        <v/>
      </c>
      <c r="P121" s="15" t="n">
        <v>845570000</v>
      </c>
      <c r="Q121" s="15" t="n">
        <v>745840000</v>
      </c>
      <c r="R121" s="16" t="n">
        <v>9.31</v>
      </c>
      <c r="S121" s="11">
        <f>IFERROR(SUMPRODUCT(($E$3:$E$165=E121)*ISNUMBER($P$3:$P$165)*$P$3:$P$165*$F$3:$F$165)/SUMPRODUCT(($E$3:$E$165=E121)*ISNUMBER($P$3:$P$165)*$P$3:$P$165),"")</f>
        <v/>
      </c>
      <c r="T121" s="11">
        <f>IFERROR(SUMPRODUCT(($D$3:$D$165=D121)*ISNUMBER($P$3:$P$165)*$P$3:$P$165*$F$3:$F$165)/SUMPRODUCT(($D$3:$D$165=D121)*ISNUMBER($P$3:$P$165)*$P$3:$P$165),"")</f>
        <v/>
      </c>
      <c r="U121" s="11">
        <f>IFERROR(SUMPRODUCT(($C$3:$C$165=C121)*ISNUMBER($P$3:$P$165)*$P$3:$P$165*$F$3:$F$165)/SUMPRODUCT(($C$3:$C$165=C121)*ISNUMBER($P$3:$P$165)*$P$3:$P$165),"")</f>
        <v/>
      </c>
      <c r="V121" s="21">
        <f>IF(OR(T121="",U121=""),"",T121/U121)</f>
        <v/>
      </c>
      <c r="W121" s="21">
        <f>IF(OR(S121="",T121=""),"",S121/T121)</f>
        <v/>
      </c>
      <c r="X121" s="21">
        <f>IF(S121="","",F121/S121)</f>
        <v/>
      </c>
      <c r="Y121" s="22">
        <f>IF(V121="",N121,INDEX('4_UK_L1_Input'!$C$4:$C$14,MATCH($C121,'4_UK_L1_Input'!$A$4:$A$14,0))*V121*W121*X121)</f>
        <v/>
      </c>
      <c r="Z121" s="7">
        <f>IF(V121="","BETA FALLBACK","REAL (Bloomberg UK)")</f>
        <v/>
      </c>
      <c r="AA121" s="21">
        <f>IFERROR(SUMPRODUCT(($C$3:$C$165=C121)*ISNUMBER($R$3:$R$165)*$Q$3:$Q$165*IF(ISNUMBER($R$3:$R$165),$R$3:$R$165,0))/SUMPRODUCT(($C$3:$C$165=C121)*ISNUMBER($R$3:$R$165)*$Q$3:$Q$165),"")</f>
        <v/>
      </c>
      <c r="AB121" s="21">
        <f>IF(OR(R121="",AA121=""),"",R121/AA121)</f>
        <v/>
      </c>
      <c r="AC121" s="22">
        <f>IF(AB121="",O121,INDEX('4_UK_L1_Input'!$D$4:$D$14,MATCH($C121,'4_UK_L1_Input'!$A$4:$A$14,0))*AB121)</f>
        <v/>
      </c>
      <c r="AD121" s="7">
        <f>IF(AB121="","BETA FALLBACK","REAL (Bloomberg UK)")</f>
        <v/>
      </c>
      <c r="AE121" s="23">
        <f>Y121-N121</f>
        <v/>
      </c>
      <c r="AF121" s="23">
        <f>AC121-O121</f>
        <v/>
      </c>
    </row>
    <row r="122">
      <c r="A122" s="7" t="n">
        <v>45102030</v>
      </c>
      <c r="B122" s="7" t="inlineStr">
        <is>
          <t>Internet Services &amp; Infrastructure</t>
        </is>
      </c>
      <c r="C122" s="7" t="n">
        <v>45</v>
      </c>
      <c r="D122" s="7" t="n">
        <v>4510</v>
      </c>
      <c r="E122" s="7" t="n">
        <v>451020</v>
      </c>
      <c r="F122" s="7" t="n">
        <v>1.413715</v>
      </c>
      <c r="G122" s="7" t="n">
        <v>1</v>
      </c>
      <c r="H122" s="11">
        <f>SUMPRODUCT(($E$3:$E$165=E122)*$G$3:$G$165*$F$3:$F$165)/SUMPRODUCT(($E$3:$E$165=E122)*$G$3:$G$165)</f>
        <v/>
      </c>
      <c r="I122" s="11">
        <f>SUMPRODUCT(($D$3:$D$165=D122)*$G$3:$G$165*$F$3:$F$165)/SUMPRODUCT(($D$3:$D$165=D122)*$G$3:$G$165)</f>
        <v/>
      </c>
      <c r="J122" s="11">
        <f>SUMPRODUCT(($C$3:$C$165=C122)*$G$3:$G$165*$F$3:$F$165)/SUMPRODUCT(($C$3:$C$165=C122)*$G$3:$G$165)</f>
        <v/>
      </c>
      <c r="K122" s="21">
        <f>I122/J122</f>
        <v/>
      </c>
      <c r="L122" s="21">
        <f>H122/I122</f>
        <v/>
      </c>
      <c r="M122" s="21">
        <f>F122/H122</f>
        <v/>
      </c>
      <c r="N122" s="22">
        <f>INDEX('4_UK_L1_Input'!$C$4:$C$14,MATCH($C122,'4_UK_L1_Input'!$A$4:$A$14,0))*K122*L122*M122</f>
        <v/>
      </c>
      <c r="O122" s="22">
        <f>INDEX('4_UK_L1_Input'!$D$4:$D$14,MATCH($C122,'4_UK_L1_Input'!$A$4:$A$14,0))*K122*L122*M122</f>
        <v/>
      </c>
      <c r="P122" s="15" t="n">
        <v>85470000</v>
      </c>
      <c r="Q122" s="15" t="n">
        <v>144280000</v>
      </c>
      <c r="R122" s="16" t="n">
        <v>7.59</v>
      </c>
      <c r="S122" s="11">
        <f>IFERROR(SUMPRODUCT(($E$3:$E$165=E122)*ISNUMBER($P$3:$P$165)*$P$3:$P$165*$F$3:$F$165)/SUMPRODUCT(($E$3:$E$165=E122)*ISNUMBER($P$3:$P$165)*$P$3:$P$165),"")</f>
        <v/>
      </c>
      <c r="T122" s="11">
        <f>IFERROR(SUMPRODUCT(($D$3:$D$165=D122)*ISNUMBER($P$3:$P$165)*$P$3:$P$165*$F$3:$F$165)/SUMPRODUCT(($D$3:$D$165=D122)*ISNUMBER($P$3:$P$165)*$P$3:$P$165),"")</f>
        <v/>
      </c>
      <c r="U122" s="11">
        <f>IFERROR(SUMPRODUCT(($C$3:$C$165=C122)*ISNUMBER($P$3:$P$165)*$P$3:$P$165*$F$3:$F$165)/SUMPRODUCT(($C$3:$C$165=C122)*ISNUMBER($P$3:$P$165)*$P$3:$P$165),"")</f>
        <v/>
      </c>
      <c r="V122" s="21">
        <f>IF(OR(T122="",U122=""),"",T122/U122)</f>
        <v/>
      </c>
      <c r="W122" s="21">
        <f>IF(OR(S122="",T122=""),"",S122/T122)</f>
        <v/>
      </c>
      <c r="X122" s="21">
        <f>IF(S122="","",F122/S122)</f>
        <v/>
      </c>
      <c r="Y122" s="22">
        <f>IF(V122="",N122,INDEX('4_UK_L1_Input'!$C$4:$C$14,MATCH($C122,'4_UK_L1_Input'!$A$4:$A$14,0))*V122*W122*X122)</f>
        <v/>
      </c>
      <c r="Z122" s="7">
        <f>IF(V122="","BETA FALLBACK","REAL (Bloomberg UK)")</f>
        <v/>
      </c>
      <c r="AA122" s="21">
        <f>IFERROR(SUMPRODUCT(($C$3:$C$165=C122)*ISNUMBER($R$3:$R$165)*$Q$3:$Q$165*IF(ISNUMBER($R$3:$R$165),$R$3:$R$165,0))/SUMPRODUCT(($C$3:$C$165=C122)*ISNUMBER($R$3:$R$165)*$Q$3:$Q$165),"")</f>
        <v/>
      </c>
      <c r="AB122" s="21">
        <f>IF(OR(R122="",AA122=""),"",R122/AA122)</f>
        <v/>
      </c>
      <c r="AC122" s="22">
        <f>IF(AB122="",O122,INDEX('4_UK_L1_Input'!$D$4:$D$14,MATCH($C122,'4_UK_L1_Input'!$A$4:$A$14,0))*AB122)</f>
        <v/>
      </c>
      <c r="AD122" s="7">
        <f>IF(AB122="","BETA FALLBACK","REAL (Bloomberg UK)")</f>
        <v/>
      </c>
      <c r="AE122" s="23">
        <f>Y122-N122</f>
        <v/>
      </c>
      <c r="AF122" s="23">
        <f>AC122-O122</f>
        <v/>
      </c>
    </row>
    <row r="123">
      <c r="A123" s="7" t="n">
        <v>45103010</v>
      </c>
      <c r="B123" s="7" t="inlineStr">
        <is>
          <t>Application Software</t>
        </is>
      </c>
      <c r="C123" s="7" t="n">
        <v>45</v>
      </c>
      <c r="D123" s="7" t="n">
        <v>4510</v>
      </c>
      <c r="E123" s="7" t="n">
        <v>451030</v>
      </c>
      <c r="F123" s="7" t="n">
        <v>1.237314</v>
      </c>
      <c r="G123" s="7" t="n">
        <v>1</v>
      </c>
      <c r="H123" s="11">
        <f>SUMPRODUCT(($E$3:$E$165=E123)*$G$3:$G$165*$F$3:$F$165)/SUMPRODUCT(($E$3:$E$165=E123)*$G$3:$G$165)</f>
        <v/>
      </c>
      <c r="I123" s="11">
        <f>SUMPRODUCT(($D$3:$D$165=D123)*$G$3:$G$165*$F$3:$F$165)/SUMPRODUCT(($D$3:$D$165=D123)*$G$3:$G$165)</f>
        <v/>
      </c>
      <c r="J123" s="11">
        <f>SUMPRODUCT(($C$3:$C$165=C123)*$G$3:$G$165*$F$3:$F$165)/SUMPRODUCT(($C$3:$C$165=C123)*$G$3:$G$165)</f>
        <v/>
      </c>
      <c r="K123" s="21">
        <f>I123/J123</f>
        <v/>
      </c>
      <c r="L123" s="21">
        <f>H123/I123</f>
        <v/>
      </c>
      <c r="M123" s="21">
        <f>F123/H123</f>
        <v/>
      </c>
      <c r="N123" s="22">
        <f>INDEX('4_UK_L1_Input'!$C$4:$C$14,MATCH($C123,'4_UK_L1_Input'!$A$4:$A$14,0))*K123*L123*M123</f>
        <v/>
      </c>
      <c r="O123" s="22">
        <f>INDEX('4_UK_L1_Input'!$D$4:$D$14,MATCH($C123,'4_UK_L1_Input'!$A$4:$A$14,0))*K123*L123*M123</f>
        <v/>
      </c>
      <c r="P123" s="15" t="n">
        <v>100060000</v>
      </c>
      <c r="Q123" s="15" t="n">
        <v>354900000</v>
      </c>
      <c r="R123" s="16" t="n">
        <v>12.1</v>
      </c>
      <c r="S123" s="11">
        <f>IFERROR(SUMPRODUCT(($E$3:$E$165=E123)*ISNUMBER($P$3:$P$165)*$P$3:$P$165*$F$3:$F$165)/SUMPRODUCT(($E$3:$E$165=E123)*ISNUMBER($P$3:$P$165)*$P$3:$P$165),"")</f>
        <v/>
      </c>
      <c r="T123" s="11">
        <f>IFERROR(SUMPRODUCT(($D$3:$D$165=D123)*ISNUMBER($P$3:$P$165)*$P$3:$P$165*$F$3:$F$165)/SUMPRODUCT(($D$3:$D$165=D123)*ISNUMBER($P$3:$P$165)*$P$3:$P$165),"")</f>
        <v/>
      </c>
      <c r="U123" s="11">
        <f>IFERROR(SUMPRODUCT(($C$3:$C$165=C123)*ISNUMBER($P$3:$P$165)*$P$3:$P$165*$F$3:$F$165)/SUMPRODUCT(($C$3:$C$165=C123)*ISNUMBER($P$3:$P$165)*$P$3:$P$165),"")</f>
        <v/>
      </c>
      <c r="V123" s="21">
        <f>IF(OR(T123="",U123=""),"",T123/U123)</f>
        <v/>
      </c>
      <c r="W123" s="21">
        <f>IF(OR(S123="",T123=""),"",S123/T123)</f>
        <v/>
      </c>
      <c r="X123" s="21">
        <f>IF(S123="","",F123/S123)</f>
        <v/>
      </c>
      <c r="Y123" s="22">
        <f>IF(V123="",N123,INDEX('4_UK_L1_Input'!$C$4:$C$14,MATCH($C123,'4_UK_L1_Input'!$A$4:$A$14,0))*V123*W123*X123)</f>
        <v/>
      </c>
      <c r="Z123" s="7">
        <f>IF(V123="","BETA FALLBACK","REAL (Bloomberg UK)")</f>
        <v/>
      </c>
      <c r="AA123" s="21">
        <f>IFERROR(SUMPRODUCT(($C$3:$C$165=C123)*ISNUMBER($R$3:$R$165)*$Q$3:$Q$165*IF(ISNUMBER($R$3:$R$165),$R$3:$R$165,0))/SUMPRODUCT(($C$3:$C$165=C123)*ISNUMBER($R$3:$R$165)*$Q$3:$Q$165),"")</f>
        <v/>
      </c>
      <c r="AB123" s="21">
        <f>IF(OR(R123="",AA123=""),"",R123/AA123)</f>
        <v/>
      </c>
      <c r="AC123" s="22">
        <f>IF(AB123="",O123,INDEX('4_UK_L1_Input'!$D$4:$D$14,MATCH($C123,'4_UK_L1_Input'!$A$4:$A$14,0))*AB123)</f>
        <v/>
      </c>
      <c r="AD123" s="7">
        <f>IF(AB123="","BETA FALLBACK","REAL (Bloomberg UK)")</f>
        <v/>
      </c>
      <c r="AE123" s="23">
        <f>Y123-N123</f>
        <v/>
      </c>
      <c r="AF123" s="23">
        <f>AC123-O123</f>
        <v/>
      </c>
    </row>
    <row r="124">
      <c r="A124" s="7" t="n">
        <v>45103020</v>
      </c>
      <c r="B124" s="7" t="inlineStr">
        <is>
          <t>Systems Software</t>
        </is>
      </c>
      <c r="C124" s="7" t="n">
        <v>45</v>
      </c>
      <c r="D124" s="7" t="n">
        <v>4510</v>
      </c>
      <c r="E124" s="7" t="n">
        <v>451030</v>
      </c>
      <c r="F124" s="7" t="n">
        <v>1.237314</v>
      </c>
      <c r="G124" s="7" t="n">
        <v>1</v>
      </c>
      <c r="H124" s="11">
        <f>SUMPRODUCT(($E$3:$E$165=E124)*$G$3:$G$165*$F$3:$F$165)/SUMPRODUCT(($E$3:$E$165=E124)*$G$3:$G$165)</f>
        <v/>
      </c>
      <c r="I124" s="11">
        <f>SUMPRODUCT(($D$3:$D$165=D124)*$G$3:$G$165*$F$3:$F$165)/SUMPRODUCT(($D$3:$D$165=D124)*$G$3:$G$165)</f>
        <v/>
      </c>
      <c r="J124" s="11">
        <f>SUMPRODUCT(($C$3:$C$165=C124)*$G$3:$G$165*$F$3:$F$165)/SUMPRODUCT(($C$3:$C$165=C124)*$G$3:$G$165)</f>
        <v/>
      </c>
      <c r="K124" s="21">
        <f>I124/J124</f>
        <v/>
      </c>
      <c r="L124" s="21">
        <f>H124/I124</f>
        <v/>
      </c>
      <c r="M124" s="21">
        <f>F124/H124</f>
        <v/>
      </c>
      <c r="N124" s="22">
        <f>INDEX('4_UK_L1_Input'!$C$4:$C$14,MATCH($C124,'4_UK_L1_Input'!$A$4:$A$14,0))*K124*L124*M124</f>
        <v/>
      </c>
      <c r="O124" s="22">
        <f>INDEX('4_UK_L1_Input'!$D$4:$D$14,MATCH($C124,'4_UK_L1_Input'!$A$4:$A$14,0))*K124*L124*M124</f>
        <v/>
      </c>
      <c r="P124" s="15" t="n">
        <v>14860000</v>
      </c>
      <c r="Q124" s="15" t="n">
        <v>27190000</v>
      </c>
      <c r="R124" s="16" t="n">
        <v>19.39</v>
      </c>
      <c r="S124" s="11">
        <f>IFERROR(SUMPRODUCT(($E$3:$E$165=E124)*ISNUMBER($P$3:$P$165)*$P$3:$P$165*$F$3:$F$165)/SUMPRODUCT(($E$3:$E$165=E124)*ISNUMBER($P$3:$P$165)*$P$3:$P$165),"")</f>
        <v/>
      </c>
      <c r="T124" s="11">
        <f>IFERROR(SUMPRODUCT(($D$3:$D$165=D124)*ISNUMBER($P$3:$P$165)*$P$3:$P$165*$F$3:$F$165)/SUMPRODUCT(($D$3:$D$165=D124)*ISNUMBER($P$3:$P$165)*$P$3:$P$165),"")</f>
        <v/>
      </c>
      <c r="U124" s="11">
        <f>IFERROR(SUMPRODUCT(($C$3:$C$165=C124)*ISNUMBER($P$3:$P$165)*$P$3:$P$165*$F$3:$F$165)/SUMPRODUCT(($C$3:$C$165=C124)*ISNUMBER($P$3:$P$165)*$P$3:$P$165),"")</f>
        <v/>
      </c>
      <c r="V124" s="21">
        <f>IF(OR(T124="",U124=""),"",T124/U124)</f>
        <v/>
      </c>
      <c r="W124" s="21">
        <f>IF(OR(S124="",T124=""),"",S124/T124)</f>
        <v/>
      </c>
      <c r="X124" s="21">
        <f>IF(S124="","",F124/S124)</f>
        <v/>
      </c>
      <c r="Y124" s="22">
        <f>IF(V124="",N124,INDEX('4_UK_L1_Input'!$C$4:$C$14,MATCH($C124,'4_UK_L1_Input'!$A$4:$A$14,0))*V124*W124*X124)</f>
        <v/>
      </c>
      <c r="Z124" s="7">
        <f>IF(V124="","BETA FALLBACK","REAL (Bloomberg UK)")</f>
        <v/>
      </c>
      <c r="AA124" s="21">
        <f>IFERROR(SUMPRODUCT(($C$3:$C$165=C124)*ISNUMBER($R$3:$R$165)*$Q$3:$Q$165*IF(ISNUMBER($R$3:$R$165),$R$3:$R$165,0))/SUMPRODUCT(($C$3:$C$165=C124)*ISNUMBER($R$3:$R$165)*$Q$3:$Q$165),"")</f>
        <v/>
      </c>
      <c r="AB124" s="21">
        <f>IF(OR(R124="",AA124=""),"",R124/AA124)</f>
        <v/>
      </c>
      <c r="AC124" s="22">
        <f>IF(AB124="",O124,INDEX('4_UK_L1_Input'!$D$4:$D$14,MATCH($C124,'4_UK_L1_Input'!$A$4:$A$14,0))*AB124)</f>
        <v/>
      </c>
      <c r="AD124" s="7">
        <f>IF(AB124="","BETA FALLBACK","REAL (Bloomberg UK)")</f>
        <v/>
      </c>
      <c r="AE124" s="23">
        <f>Y124-N124</f>
        <v/>
      </c>
      <c r="AF124" s="23">
        <f>AC124-O124</f>
        <v/>
      </c>
    </row>
    <row r="125">
      <c r="A125" s="7" t="n">
        <v>45201020</v>
      </c>
      <c r="B125" s="7" t="inlineStr">
        <is>
          <t>Communications Equipment</t>
        </is>
      </c>
      <c r="C125" s="7" t="n">
        <v>45</v>
      </c>
      <c r="D125" s="7" t="n">
        <v>4520</v>
      </c>
      <c r="E125" s="7" t="n">
        <v>452010</v>
      </c>
      <c r="F125" s="7" t="n">
        <v>0.889298</v>
      </c>
      <c r="G125" s="7" t="n">
        <v>1</v>
      </c>
      <c r="H125" s="11">
        <f>SUMPRODUCT(($E$3:$E$165=E125)*$G$3:$G$165*$F$3:$F$165)/SUMPRODUCT(($E$3:$E$165=E125)*$G$3:$G$165)</f>
        <v/>
      </c>
      <c r="I125" s="11">
        <f>SUMPRODUCT(($D$3:$D$165=D125)*$G$3:$G$165*$F$3:$F$165)/SUMPRODUCT(($D$3:$D$165=D125)*$G$3:$G$165)</f>
        <v/>
      </c>
      <c r="J125" s="11">
        <f>SUMPRODUCT(($C$3:$C$165=C125)*$G$3:$G$165*$F$3:$F$165)/SUMPRODUCT(($C$3:$C$165=C125)*$G$3:$G$165)</f>
        <v/>
      </c>
      <c r="K125" s="21">
        <f>I125/J125</f>
        <v/>
      </c>
      <c r="L125" s="21">
        <f>H125/I125</f>
        <v/>
      </c>
      <c r="M125" s="21">
        <f>F125/H125</f>
        <v/>
      </c>
      <c r="N125" s="22">
        <f>INDEX('4_UK_L1_Input'!$C$4:$C$14,MATCH($C125,'4_UK_L1_Input'!$A$4:$A$14,0))*K125*L125*M125</f>
        <v/>
      </c>
      <c r="O125" s="22">
        <f>INDEX('4_UK_L1_Input'!$D$4:$D$14,MATCH($C125,'4_UK_L1_Input'!$A$4:$A$14,0))*K125*L125*M125</f>
        <v/>
      </c>
      <c r="P125" s="15" t="n">
        <v>46790000</v>
      </c>
      <c r="Q125" s="15" t="n">
        <v>203930000</v>
      </c>
      <c r="R125" s="16" t="n">
        <v>20.73</v>
      </c>
      <c r="S125" s="11">
        <f>IFERROR(SUMPRODUCT(($E$3:$E$165=E125)*ISNUMBER($P$3:$P$165)*$P$3:$P$165*$F$3:$F$165)/SUMPRODUCT(($E$3:$E$165=E125)*ISNUMBER($P$3:$P$165)*$P$3:$P$165),"")</f>
        <v/>
      </c>
      <c r="T125" s="11">
        <f>IFERROR(SUMPRODUCT(($D$3:$D$165=D125)*ISNUMBER($P$3:$P$165)*$P$3:$P$165*$F$3:$F$165)/SUMPRODUCT(($D$3:$D$165=D125)*ISNUMBER($P$3:$P$165)*$P$3:$P$165),"")</f>
        <v/>
      </c>
      <c r="U125" s="11">
        <f>IFERROR(SUMPRODUCT(($C$3:$C$165=C125)*ISNUMBER($P$3:$P$165)*$P$3:$P$165*$F$3:$F$165)/SUMPRODUCT(($C$3:$C$165=C125)*ISNUMBER($P$3:$P$165)*$P$3:$P$165),"")</f>
        <v/>
      </c>
      <c r="V125" s="21">
        <f>IF(OR(T125="",U125=""),"",T125/U125)</f>
        <v/>
      </c>
      <c r="W125" s="21">
        <f>IF(OR(S125="",T125=""),"",S125/T125)</f>
        <v/>
      </c>
      <c r="X125" s="21">
        <f>IF(S125="","",F125/S125)</f>
        <v/>
      </c>
      <c r="Y125" s="22">
        <f>IF(V125="",N125,INDEX('4_UK_L1_Input'!$C$4:$C$14,MATCH($C125,'4_UK_L1_Input'!$A$4:$A$14,0))*V125*W125*X125)</f>
        <v/>
      </c>
      <c r="Z125" s="7">
        <f>IF(V125="","BETA FALLBACK","REAL (Bloomberg UK)")</f>
        <v/>
      </c>
      <c r="AA125" s="21">
        <f>IFERROR(SUMPRODUCT(($C$3:$C$165=C125)*ISNUMBER($R$3:$R$165)*$Q$3:$Q$165*IF(ISNUMBER($R$3:$R$165),$R$3:$R$165,0))/SUMPRODUCT(($C$3:$C$165=C125)*ISNUMBER($R$3:$R$165)*$Q$3:$Q$165),"")</f>
        <v/>
      </c>
      <c r="AB125" s="21">
        <f>IF(OR(R125="",AA125=""),"",R125/AA125)</f>
        <v/>
      </c>
      <c r="AC125" s="22">
        <f>IF(AB125="",O125,INDEX('4_UK_L1_Input'!$D$4:$D$14,MATCH($C125,'4_UK_L1_Input'!$A$4:$A$14,0))*AB125)</f>
        <v/>
      </c>
      <c r="AD125" s="7">
        <f>IF(AB125="","BETA FALLBACK","REAL (Bloomberg UK)")</f>
        <v/>
      </c>
      <c r="AE125" s="23">
        <f>Y125-N125</f>
        <v/>
      </c>
      <c r="AF125" s="23">
        <f>AC125-O125</f>
        <v/>
      </c>
    </row>
    <row r="126">
      <c r="A126" s="7" t="n">
        <v>45202030</v>
      </c>
      <c r="B126" s="7" t="inlineStr">
        <is>
          <t>Technology Hardware, Storage &amp; Peripherals</t>
        </is>
      </c>
      <c r="C126" s="7" t="n">
        <v>45</v>
      </c>
      <c r="D126" s="7" t="n">
        <v>4520</v>
      </c>
      <c r="E126" s="7" t="n">
        <v>452020</v>
      </c>
      <c r="F126" s="7" t="n">
        <v>1.232496</v>
      </c>
      <c r="G126" s="7" t="n">
        <v>1</v>
      </c>
      <c r="H126" s="11">
        <f>SUMPRODUCT(($E$3:$E$165=E126)*$G$3:$G$165*$F$3:$F$165)/SUMPRODUCT(($E$3:$E$165=E126)*$G$3:$G$165)</f>
        <v/>
      </c>
      <c r="I126" s="11">
        <f>SUMPRODUCT(($D$3:$D$165=D126)*$G$3:$G$165*$F$3:$F$165)/SUMPRODUCT(($D$3:$D$165=D126)*$G$3:$G$165)</f>
        <v/>
      </c>
      <c r="J126" s="11">
        <f>SUMPRODUCT(($C$3:$C$165=C126)*$G$3:$G$165*$F$3:$F$165)/SUMPRODUCT(($C$3:$C$165=C126)*$G$3:$G$165)</f>
        <v/>
      </c>
      <c r="K126" s="21">
        <f>I126/J126</f>
        <v/>
      </c>
      <c r="L126" s="21">
        <f>H126/I126</f>
        <v/>
      </c>
      <c r="M126" s="21">
        <f>F126/H126</f>
        <v/>
      </c>
      <c r="N126" s="22">
        <f>INDEX('4_UK_L1_Input'!$C$4:$C$14,MATCH($C126,'4_UK_L1_Input'!$A$4:$A$14,0))*K126*L126*M126</f>
        <v/>
      </c>
      <c r="O126" s="22">
        <f>INDEX('4_UK_L1_Input'!$D$4:$D$14,MATCH($C126,'4_UK_L1_Input'!$A$4:$A$14,0))*K126*L126*M126</f>
        <v/>
      </c>
      <c r="P126" s="15" t="n">
        <v>143870000</v>
      </c>
      <c r="Q126" s="15" t="n">
        <v>554470000</v>
      </c>
      <c r="R126" s="16" t="n">
        <v>25.1</v>
      </c>
      <c r="S126" s="11">
        <f>IFERROR(SUMPRODUCT(($E$3:$E$165=E126)*ISNUMBER($P$3:$P$165)*$P$3:$P$165*$F$3:$F$165)/SUMPRODUCT(($E$3:$E$165=E126)*ISNUMBER($P$3:$P$165)*$P$3:$P$165),"")</f>
        <v/>
      </c>
      <c r="T126" s="11">
        <f>IFERROR(SUMPRODUCT(($D$3:$D$165=D126)*ISNUMBER($P$3:$P$165)*$P$3:$P$165*$F$3:$F$165)/SUMPRODUCT(($D$3:$D$165=D126)*ISNUMBER($P$3:$P$165)*$P$3:$P$165),"")</f>
        <v/>
      </c>
      <c r="U126" s="11">
        <f>IFERROR(SUMPRODUCT(($C$3:$C$165=C126)*ISNUMBER($P$3:$P$165)*$P$3:$P$165*$F$3:$F$165)/SUMPRODUCT(($C$3:$C$165=C126)*ISNUMBER($P$3:$P$165)*$P$3:$P$165),"")</f>
        <v/>
      </c>
      <c r="V126" s="21">
        <f>IF(OR(T126="",U126=""),"",T126/U126)</f>
        <v/>
      </c>
      <c r="W126" s="21">
        <f>IF(OR(S126="",T126=""),"",S126/T126)</f>
        <v/>
      </c>
      <c r="X126" s="21">
        <f>IF(S126="","",F126/S126)</f>
        <v/>
      </c>
      <c r="Y126" s="22">
        <f>IF(V126="",N126,INDEX('4_UK_L1_Input'!$C$4:$C$14,MATCH($C126,'4_UK_L1_Input'!$A$4:$A$14,0))*V126*W126*X126)</f>
        <v/>
      </c>
      <c r="Z126" s="7">
        <f>IF(V126="","BETA FALLBACK","REAL (Bloomberg UK)")</f>
        <v/>
      </c>
      <c r="AA126" s="21">
        <f>IFERROR(SUMPRODUCT(($C$3:$C$165=C126)*ISNUMBER($R$3:$R$165)*$Q$3:$Q$165*IF(ISNUMBER($R$3:$R$165),$R$3:$R$165,0))/SUMPRODUCT(($C$3:$C$165=C126)*ISNUMBER($R$3:$R$165)*$Q$3:$Q$165),"")</f>
        <v/>
      </c>
      <c r="AB126" s="21">
        <f>IF(OR(R126="",AA126=""),"",R126/AA126)</f>
        <v/>
      </c>
      <c r="AC126" s="22">
        <f>IF(AB126="",O126,INDEX('4_UK_L1_Input'!$D$4:$D$14,MATCH($C126,'4_UK_L1_Input'!$A$4:$A$14,0))*AB126)</f>
        <v/>
      </c>
      <c r="AD126" s="7">
        <f>IF(AB126="","BETA FALLBACK","REAL (Bloomberg UK)")</f>
        <v/>
      </c>
      <c r="AE126" s="23">
        <f>Y126-N126</f>
        <v/>
      </c>
      <c r="AF126" s="23">
        <f>AC126-O126</f>
        <v/>
      </c>
    </row>
    <row r="127">
      <c r="A127" s="7" t="n">
        <v>45203010</v>
      </c>
      <c r="B127" s="7" t="inlineStr">
        <is>
          <t>Electronic Equipment &amp; Instruments</t>
        </is>
      </c>
      <c r="C127" s="7" t="n">
        <v>45</v>
      </c>
      <c r="D127" s="7" t="n">
        <v>4520</v>
      </c>
      <c r="E127" s="7" t="n">
        <v>452030</v>
      </c>
      <c r="F127" s="7" t="n">
        <v>0.934512</v>
      </c>
      <c r="G127" s="7" t="n">
        <v>1</v>
      </c>
      <c r="H127" s="11">
        <f>SUMPRODUCT(($E$3:$E$165=E127)*$G$3:$G$165*$F$3:$F$165)/SUMPRODUCT(($E$3:$E$165=E127)*$G$3:$G$165)</f>
        <v/>
      </c>
      <c r="I127" s="11">
        <f>SUMPRODUCT(($D$3:$D$165=D127)*$G$3:$G$165*$F$3:$F$165)/SUMPRODUCT(($D$3:$D$165=D127)*$G$3:$G$165)</f>
        <v/>
      </c>
      <c r="J127" s="11">
        <f>SUMPRODUCT(($C$3:$C$165=C127)*$G$3:$G$165*$F$3:$F$165)/SUMPRODUCT(($C$3:$C$165=C127)*$G$3:$G$165)</f>
        <v/>
      </c>
      <c r="K127" s="21">
        <f>I127/J127</f>
        <v/>
      </c>
      <c r="L127" s="21">
        <f>H127/I127</f>
        <v/>
      </c>
      <c r="M127" s="21">
        <f>F127/H127</f>
        <v/>
      </c>
      <c r="N127" s="22">
        <f>INDEX('4_UK_L1_Input'!$C$4:$C$14,MATCH($C127,'4_UK_L1_Input'!$A$4:$A$14,0))*K127*L127*M127</f>
        <v/>
      </c>
      <c r="O127" s="22">
        <f>INDEX('4_UK_L1_Input'!$D$4:$D$14,MATCH($C127,'4_UK_L1_Input'!$A$4:$A$14,0))*K127*L127*M127</f>
        <v/>
      </c>
      <c r="P127" s="15" t="n">
        <v>1190000000</v>
      </c>
      <c r="Q127" s="15" t="n">
        <v>1350000000</v>
      </c>
      <c r="R127" s="16" t="n">
        <v>10.82</v>
      </c>
      <c r="S127" s="11">
        <f>IFERROR(SUMPRODUCT(($E$3:$E$165=E127)*ISNUMBER($P$3:$P$165)*$P$3:$P$165*$F$3:$F$165)/SUMPRODUCT(($E$3:$E$165=E127)*ISNUMBER($P$3:$P$165)*$P$3:$P$165),"")</f>
        <v/>
      </c>
      <c r="T127" s="11">
        <f>IFERROR(SUMPRODUCT(($D$3:$D$165=D127)*ISNUMBER($P$3:$P$165)*$P$3:$P$165*$F$3:$F$165)/SUMPRODUCT(($D$3:$D$165=D127)*ISNUMBER($P$3:$P$165)*$P$3:$P$165),"")</f>
        <v/>
      </c>
      <c r="U127" s="11">
        <f>IFERROR(SUMPRODUCT(($C$3:$C$165=C127)*ISNUMBER($P$3:$P$165)*$P$3:$P$165*$F$3:$F$165)/SUMPRODUCT(($C$3:$C$165=C127)*ISNUMBER($P$3:$P$165)*$P$3:$P$165),"")</f>
        <v/>
      </c>
      <c r="V127" s="21">
        <f>IF(OR(T127="",U127=""),"",T127/U127)</f>
        <v/>
      </c>
      <c r="W127" s="21">
        <f>IF(OR(S127="",T127=""),"",S127/T127)</f>
        <v/>
      </c>
      <c r="X127" s="21">
        <f>IF(S127="","",F127/S127)</f>
        <v/>
      </c>
      <c r="Y127" s="22">
        <f>IF(V127="",N127,INDEX('4_UK_L1_Input'!$C$4:$C$14,MATCH($C127,'4_UK_L1_Input'!$A$4:$A$14,0))*V127*W127*X127)</f>
        <v/>
      </c>
      <c r="Z127" s="7">
        <f>IF(V127="","BETA FALLBACK","REAL (Bloomberg UK)")</f>
        <v/>
      </c>
      <c r="AA127" s="21">
        <f>IFERROR(SUMPRODUCT(($C$3:$C$165=C127)*ISNUMBER($R$3:$R$165)*$Q$3:$Q$165*IF(ISNUMBER($R$3:$R$165),$R$3:$R$165,0))/SUMPRODUCT(($C$3:$C$165=C127)*ISNUMBER($R$3:$R$165)*$Q$3:$Q$165),"")</f>
        <v/>
      </c>
      <c r="AB127" s="21">
        <f>IF(OR(R127="",AA127=""),"",R127/AA127)</f>
        <v/>
      </c>
      <c r="AC127" s="22">
        <f>IF(AB127="",O127,INDEX('4_UK_L1_Input'!$D$4:$D$14,MATCH($C127,'4_UK_L1_Input'!$A$4:$A$14,0))*AB127)</f>
        <v/>
      </c>
      <c r="AD127" s="7">
        <f>IF(AB127="","BETA FALLBACK","REAL (Bloomberg UK)")</f>
        <v/>
      </c>
      <c r="AE127" s="23">
        <f>Y127-N127</f>
        <v/>
      </c>
      <c r="AF127" s="23">
        <f>AC127-O127</f>
        <v/>
      </c>
    </row>
    <row r="128">
      <c r="A128" s="7" t="n">
        <v>45203015</v>
      </c>
      <c r="B128" s="7" t="inlineStr">
        <is>
          <t>Electronic Components</t>
        </is>
      </c>
      <c r="C128" s="7" t="n">
        <v>45</v>
      </c>
      <c r="D128" s="7" t="n">
        <v>4520</v>
      </c>
      <c r="E128" s="7" t="n">
        <v>452030</v>
      </c>
      <c r="F128" s="7" t="n">
        <v>0.934512</v>
      </c>
      <c r="G128" s="7" t="n">
        <v>1</v>
      </c>
      <c r="H128" s="11">
        <f>SUMPRODUCT(($E$3:$E$165=E128)*$G$3:$G$165*$F$3:$F$165)/SUMPRODUCT(($E$3:$E$165=E128)*$G$3:$G$165)</f>
        <v/>
      </c>
      <c r="I128" s="11">
        <f>SUMPRODUCT(($D$3:$D$165=D128)*$G$3:$G$165*$F$3:$F$165)/SUMPRODUCT(($D$3:$D$165=D128)*$G$3:$G$165)</f>
        <v/>
      </c>
      <c r="J128" s="11">
        <f>SUMPRODUCT(($C$3:$C$165=C128)*$G$3:$G$165*$F$3:$F$165)/SUMPRODUCT(($C$3:$C$165=C128)*$G$3:$G$165)</f>
        <v/>
      </c>
      <c r="K128" s="21">
        <f>I128/J128</f>
        <v/>
      </c>
      <c r="L128" s="21">
        <f>H128/I128</f>
        <v/>
      </c>
      <c r="M128" s="21">
        <f>F128/H128</f>
        <v/>
      </c>
      <c r="N128" s="22">
        <f>INDEX('4_UK_L1_Input'!$C$4:$C$14,MATCH($C128,'4_UK_L1_Input'!$A$4:$A$14,0))*K128*L128*M128</f>
        <v/>
      </c>
      <c r="O128" s="22">
        <f>INDEX('4_UK_L1_Input'!$D$4:$D$14,MATCH($C128,'4_UK_L1_Input'!$A$4:$A$14,0))*K128*L128*M128</f>
        <v/>
      </c>
      <c r="P128" s="15" t="n">
        <v>317770000</v>
      </c>
      <c r="Q128" s="15" t="n">
        <v>177880000</v>
      </c>
      <c r="R128" s="16" t="n">
        <v>6.98</v>
      </c>
      <c r="S128" s="11">
        <f>IFERROR(SUMPRODUCT(($E$3:$E$165=E128)*ISNUMBER($P$3:$P$165)*$P$3:$P$165*$F$3:$F$165)/SUMPRODUCT(($E$3:$E$165=E128)*ISNUMBER($P$3:$P$165)*$P$3:$P$165),"")</f>
        <v/>
      </c>
      <c r="T128" s="11">
        <f>IFERROR(SUMPRODUCT(($D$3:$D$165=D128)*ISNUMBER($P$3:$P$165)*$P$3:$P$165*$F$3:$F$165)/SUMPRODUCT(($D$3:$D$165=D128)*ISNUMBER($P$3:$P$165)*$P$3:$P$165),"")</f>
        <v/>
      </c>
      <c r="U128" s="11">
        <f>IFERROR(SUMPRODUCT(($C$3:$C$165=C128)*ISNUMBER($P$3:$P$165)*$P$3:$P$165*$F$3:$F$165)/SUMPRODUCT(($C$3:$C$165=C128)*ISNUMBER($P$3:$P$165)*$P$3:$P$165),"")</f>
        <v/>
      </c>
      <c r="V128" s="21">
        <f>IF(OR(T128="",U128=""),"",T128/U128)</f>
        <v/>
      </c>
      <c r="W128" s="21">
        <f>IF(OR(S128="",T128=""),"",S128/T128)</f>
        <v/>
      </c>
      <c r="X128" s="21">
        <f>IF(S128="","",F128/S128)</f>
        <v/>
      </c>
      <c r="Y128" s="22">
        <f>IF(V128="",N128,INDEX('4_UK_L1_Input'!$C$4:$C$14,MATCH($C128,'4_UK_L1_Input'!$A$4:$A$14,0))*V128*W128*X128)</f>
        <v/>
      </c>
      <c r="Z128" s="7">
        <f>IF(V128="","BETA FALLBACK","REAL (Bloomberg UK)")</f>
        <v/>
      </c>
      <c r="AA128" s="21">
        <f>IFERROR(SUMPRODUCT(($C$3:$C$165=C128)*ISNUMBER($R$3:$R$165)*$Q$3:$Q$165*IF(ISNUMBER($R$3:$R$165),$R$3:$R$165,0))/SUMPRODUCT(($C$3:$C$165=C128)*ISNUMBER($R$3:$R$165)*$Q$3:$Q$165),"")</f>
        <v/>
      </c>
      <c r="AB128" s="21">
        <f>IF(OR(R128="",AA128=""),"",R128/AA128)</f>
        <v/>
      </c>
      <c r="AC128" s="22">
        <f>IF(AB128="",O128,INDEX('4_UK_L1_Input'!$D$4:$D$14,MATCH($C128,'4_UK_L1_Input'!$A$4:$A$14,0))*AB128)</f>
        <v/>
      </c>
      <c r="AD128" s="7">
        <f>IF(AB128="","BETA FALLBACK","REAL (Bloomberg UK)")</f>
        <v/>
      </c>
      <c r="AE128" s="23">
        <f>Y128-N128</f>
        <v/>
      </c>
      <c r="AF128" s="23">
        <f>AC128-O128</f>
        <v/>
      </c>
    </row>
    <row r="129">
      <c r="A129" s="7" t="n">
        <v>45203020</v>
      </c>
      <c r="B129" s="7" t="inlineStr">
        <is>
          <t>Electronic Manufacturing Services</t>
        </is>
      </c>
      <c r="C129" s="7" t="n">
        <v>45</v>
      </c>
      <c r="D129" s="7" t="n">
        <v>4520</v>
      </c>
      <c r="E129" s="7" t="n">
        <v>452030</v>
      </c>
      <c r="F129" s="7" t="n">
        <v>0.934512</v>
      </c>
      <c r="G129" s="7" t="n">
        <v>1</v>
      </c>
      <c r="H129" s="11">
        <f>SUMPRODUCT(($E$3:$E$165=E129)*$G$3:$G$165*$F$3:$F$165)/SUMPRODUCT(($E$3:$E$165=E129)*$G$3:$G$165)</f>
        <v/>
      </c>
      <c r="I129" s="11">
        <f>SUMPRODUCT(($D$3:$D$165=D129)*$G$3:$G$165*$F$3:$F$165)/SUMPRODUCT(($D$3:$D$165=D129)*$G$3:$G$165)</f>
        <v/>
      </c>
      <c r="J129" s="11">
        <f>SUMPRODUCT(($C$3:$C$165=C129)*$G$3:$G$165*$F$3:$F$165)/SUMPRODUCT(($C$3:$C$165=C129)*$G$3:$G$165)</f>
        <v/>
      </c>
      <c r="K129" s="21">
        <f>I129/J129</f>
        <v/>
      </c>
      <c r="L129" s="21">
        <f>H129/I129</f>
        <v/>
      </c>
      <c r="M129" s="21">
        <f>F129/H129</f>
        <v/>
      </c>
      <c r="N129" s="22">
        <f>INDEX('4_UK_L1_Input'!$C$4:$C$14,MATCH($C129,'4_UK_L1_Input'!$A$4:$A$14,0))*K129*L129*M129</f>
        <v/>
      </c>
      <c r="O129" s="22">
        <f>INDEX('4_UK_L1_Input'!$D$4:$D$14,MATCH($C129,'4_UK_L1_Input'!$A$4:$A$14,0))*K129*L129*M129</f>
        <v/>
      </c>
      <c r="P129" s="15" t="n">
        <v>161480000</v>
      </c>
      <c r="Q129" s="15" t="n">
        <v>333920000</v>
      </c>
      <c r="R129" s="16" t="n">
        <v>13.61</v>
      </c>
      <c r="S129" s="11">
        <f>IFERROR(SUMPRODUCT(($E$3:$E$165=E129)*ISNUMBER($P$3:$P$165)*$P$3:$P$165*$F$3:$F$165)/SUMPRODUCT(($E$3:$E$165=E129)*ISNUMBER($P$3:$P$165)*$P$3:$P$165),"")</f>
        <v/>
      </c>
      <c r="T129" s="11">
        <f>IFERROR(SUMPRODUCT(($D$3:$D$165=D129)*ISNUMBER($P$3:$P$165)*$P$3:$P$165*$F$3:$F$165)/SUMPRODUCT(($D$3:$D$165=D129)*ISNUMBER($P$3:$P$165)*$P$3:$P$165),"")</f>
        <v/>
      </c>
      <c r="U129" s="11">
        <f>IFERROR(SUMPRODUCT(($C$3:$C$165=C129)*ISNUMBER($P$3:$P$165)*$P$3:$P$165*$F$3:$F$165)/SUMPRODUCT(($C$3:$C$165=C129)*ISNUMBER($P$3:$P$165)*$P$3:$P$165),"")</f>
        <v/>
      </c>
      <c r="V129" s="21">
        <f>IF(OR(T129="",U129=""),"",T129/U129)</f>
        <v/>
      </c>
      <c r="W129" s="21">
        <f>IF(OR(S129="",T129=""),"",S129/T129)</f>
        <v/>
      </c>
      <c r="X129" s="21">
        <f>IF(S129="","",F129/S129)</f>
        <v/>
      </c>
      <c r="Y129" s="22">
        <f>IF(V129="",N129,INDEX('4_UK_L1_Input'!$C$4:$C$14,MATCH($C129,'4_UK_L1_Input'!$A$4:$A$14,0))*V129*W129*X129)</f>
        <v/>
      </c>
      <c r="Z129" s="7">
        <f>IF(V129="","BETA FALLBACK","REAL (Bloomberg UK)")</f>
        <v/>
      </c>
      <c r="AA129" s="21">
        <f>IFERROR(SUMPRODUCT(($C$3:$C$165=C129)*ISNUMBER($R$3:$R$165)*$Q$3:$Q$165*IF(ISNUMBER($R$3:$R$165),$R$3:$R$165,0))/SUMPRODUCT(($C$3:$C$165=C129)*ISNUMBER($R$3:$R$165)*$Q$3:$Q$165),"")</f>
        <v/>
      </c>
      <c r="AB129" s="21">
        <f>IF(OR(R129="",AA129=""),"",R129/AA129)</f>
        <v/>
      </c>
      <c r="AC129" s="22">
        <f>IF(AB129="",O129,INDEX('4_UK_L1_Input'!$D$4:$D$14,MATCH($C129,'4_UK_L1_Input'!$A$4:$A$14,0))*AB129)</f>
        <v/>
      </c>
      <c r="AD129" s="7">
        <f>IF(AB129="","BETA FALLBACK","REAL (Bloomberg UK)")</f>
        <v/>
      </c>
      <c r="AE129" s="23">
        <f>Y129-N129</f>
        <v/>
      </c>
      <c r="AF129" s="23">
        <f>AC129-O129</f>
        <v/>
      </c>
    </row>
    <row r="130">
      <c r="A130" s="7" t="n">
        <v>45203030</v>
      </c>
      <c r="B130" s="7" t="inlineStr">
        <is>
          <t>Technology Distributors</t>
        </is>
      </c>
      <c r="C130" s="7" t="n">
        <v>45</v>
      </c>
      <c r="D130" s="7" t="n">
        <v>4520</v>
      </c>
      <c r="E130" s="7" t="n">
        <v>452030</v>
      </c>
      <c r="F130" s="7" t="n">
        <v>0.934512</v>
      </c>
      <c r="G130" s="7" t="n">
        <v>1</v>
      </c>
      <c r="H130" s="11">
        <f>SUMPRODUCT(($E$3:$E$165=E130)*$G$3:$G$165*$F$3:$F$165)/SUMPRODUCT(($E$3:$E$165=E130)*$G$3:$G$165)</f>
        <v/>
      </c>
      <c r="I130" s="11">
        <f>SUMPRODUCT(($D$3:$D$165=D130)*$G$3:$G$165*$F$3:$F$165)/SUMPRODUCT(($D$3:$D$165=D130)*$G$3:$G$165)</f>
        <v/>
      </c>
      <c r="J130" s="11">
        <f>SUMPRODUCT(($C$3:$C$165=C130)*$G$3:$G$165*$F$3:$F$165)/SUMPRODUCT(($C$3:$C$165=C130)*$G$3:$G$165)</f>
        <v/>
      </c>
      <c r="K130" s="21">
        <f>I130/J130</f>
        <v/>
      </c>
      <c r="L130" s="21">
        <f>H130/I130</f>
        <v/>
      </c>
      <c r="M130" s="21">
        <f>F130/H130</f>
        <v/>
      </c>
      <c r="N130" s="22">
        <f>INDEX('4_UK_L1_Input'!$C$4:$C$14,MATCH($C130,'4_UK_L1_Input'!$A$4:$A$14,0))*K130*L130*M130</f>
        <v/>
      </c>
      <c r="O130" s="22">
        <f>INDEX('4_UK_L1_Input'!$D$4:$D$14,MATCH($C130,'4_UK_L1_Input'!$A$4:$A$14,0))*K130*L130*M130</f>
        <v/>
      </c>
      <c r="P130" s="15" t="n">
        <v>681150000</v>
      </c>
      <c r="Q130" s="15" t="n">
        <v>79450000</v>
      </c>
      <c r="R130" s="16" t="n">
        <v>5</v>
      </c>
      <c r="S130" s="11">
        <f>IFERROR(SUMPRODUCT(($E$3:$E$165=E130)*ISNUMBER($P$3:$P$165)*$P$3:$P$165*$F$3:$F$165)/SUMPRODUCT(($E$3:$E$165=E130)*ISNUMBER($P$3:$P$165)*$P$3:$P$165),"")</f>
        <v/>
      </c>
      <c r="T130" s="11">
        <f>IFERROR(SUMPRODUCT(($D$3:$D$165=D130)*ISNUMBER($P$3:$P$165)*$P$3:$P$165*$F$3:$F$165)/SUMPRODUCT(($D$3:$D$165=D130)*ISNUMBER($P$3:$P$165)*$P$3:$P$165),"")</f>
        <v/>
      </c>
      <c r="U130" s="11">
        <f>IFERROR(SUMPRODUCT(($C$3:$C$165=C130)*ISNUMBER($P$3:$P$165)*$P$3:$P$165*$F$3:$F$165)/SUMPRODUCT(($C$3:$C$165=C130)*ISNUMBER($P$3:$P$165)*$P$3:$P$165),"")</f>
        <v/>
      </c>
      <c r="V130" s="21">
        <f>IF(OR(T130="",U130=""),"",T130/U130)</f>
        <v/>
      </c>
      <c r="W130" s="21">
        <f>IF(OR(S130="",T130=""),"",S130/T130)</f>
        <v/>
      </c>
      <c r="X130" s="21">
        <f>IF(S130="","",F130/S130)</f>
        <v/>
      </c>
      <c r="Y130" s="22">
        <f>IF(V130="",N130,INDEX('4_UK_L1_Input'!$C$4:$C$14,MATCH($C130,'4_UK_L1_Input'!$A$4:$A$14,0))*V130*W130*X130)</f>
        <v/>
      </c>
      <c r="Z130" s="7">
        <f>IF(V130="","BETA FALLBACK","REAL (Bloomberg UK)")</f>
        <v/>
      </c>
      <c r="AA130" s="21">
        <f>IFERROR(SUMPRODUCT(($C$3:$C$165=C130)*ISNUMBER($R$3:$R$165)*$Q$3:$Q$165*IF(ISNUMBER($R$3:$R$165),$R$3:$R$165,0))/SUMPRODUCT(($C$3:$C$165=C130)*ISNUMBER($R$3:$R$165)*$Q$3:$Q$165),"")</f>
        <v/>
      </c>
      <c r="AB130" s="21">
        <f>IF(OR(R130="",AA130=""),"",R130/AA130)</f>
        <v/>
      </c>
      <c r="AC130" s="22">
        <f>IF(AB130="",O130,INDEX('4_UK_L1_Input'!$D$4:$D$14,MATCH($C130,'4_UK_L1_Input'!$A$4:$A$14,0))*AB130)</f>
        <v/>
      </c>
      <c r="AD130" s="7">
        <f>IF(AB130="","BETA FALLBACK","REAL (Bloomberg UK)")</f>
        <v/>
      </c>
      <c r="AE130" s="23">
        <f>Y130-N130</f>
        <v/>
      </c>
      <c r="AF130" s="23">
        <f>AC130-O130</f>
        <v/>
      </c>
    </row>
    <row r="131">
      <c r="A131" s="7" t="n">
        <v>45301010</v>
      </c>
      <c r="B131" s="7" t="inlineStr">
        <is>
          <t>Semiconductor Materials &amp; Equipment</t>
        </is>
      </c>
      <c r="C131" s="7" t="n">
        <v>45</v>
      </c>
      <c r="D131" s="7" t="n">
        <v>4530</v>
      </c>
      <c r="E131" s="7" t="n">
        <v>453010</v>
      </c>
      <c r="F131" s="7" t="n">
        <v>1.272002</v>
      </c>
      <c r="G131" s="7" t="n">
        <v>1</v>
      </c>
      <c r="H131" s="11">
        <f>SUMPRODUCT(($E$3:$E$165=E131)*$G$3:$G$165*$F$3:$F$165)/SUMPRODUCT(($E$3:$E$165=E131)*$G$3:$G$165)</f>
        <v/>
      </c>
      <c r="I131" s="11">
        <f>SUMPRODUCT(($D$3:$D$165=D131)*$G$3:$G$165*$F$3:$F$165)/SUMPRODUCT(($D$3:$D$165=D131)*$G$3:$G$165)</f>
        <v/>
      </c>
      <c r="J131" s="11">
        <f>SUMPRODUCT(($C$3:$C$165=C131)*$G$3:$G$165*$F$3:$F$165)/SUMPRODUCT(($C$3:$C$165=C131)*$G$3:$G$165)</f>
        <v/>
      </c>
      <c r="K131" s="21">
        <f>I131/J131</f>
        <v/>
      </c>
      <c r="L131" s="21">
        <f>H131/I131</f>
        <v/>
      </c>
      <c r="M131" s="21">
        <f>F131/H131</f>
        <v/>
      </c>
      <c r="N131" s="22">
        <f>INDEX('4_UK_L1_Input'!$C$4:$C$14,MATCH($C131,'4_UK_L1_Input'!$A$4:$A$14,0))*K131*L131*M131</f>
        <v/>
      </c>
      <c r="O131" s="22">
        <f>INDEX('4_UK_L1_Input'!$D$4:$D$14,MATCH($C131,'4_UK_L1_Input'!$A$4:$A$14,0))*K131*L131*M131</f>
        <v/>
      </c>
      <c r="P131" s="15" t="n">
        <v>51220000</v>
      </c>
      <c r="Q131" s="15" t="n">
        <v>42220000000</v>
      </c>
      <c r="R131" s="16" t="n">
        <v>56.45</v>
      </c>
      <c r="S131" s="11">
        <f>IFERROR(SUMPRODUCT(($E$3:$E$165=E131)*ISNUMBER($P$3:$P$165)*$P$3:$P$165*$F$3:$F$165)/SUMPRODUCT(($E$3:$E$165=E131)*ISNUMBER($P$3:$P$165)*$P$3:$P$165),"")</f>
        <v/>
      </c>
      <c r="T131" s="11">
        <f>IFERROR(SUMPRODUCT(($D$3:$D$165=D131)*ISNUMBER($P$3:$P$165)*$P$3:$P$165*$F$3:$F$165)/SUMPRODUCT(($D$3:$D$165=D131)*ISNUMBER($P$3:$P$165)*$P$3:$P$165),"")</f>
        <v/>
      </c>
      <c r="U131" s="11">
        <f>IFERROR(SUMPRODUCT(($C$3:$C$165=C131)*ISNUMBER($P$3:$P$165)*$P$3:$P$165*$F$3:$F$165)/SUMPRODUCT(($C$3:$C$165=C131)*ISNUMBER($P$3:$P$165)*$P$3:$P$165),"")</f>
        <v/>
      </c>
      <c r="V131" s="21">
        <f>IF(OR(T131="",U131=""),"",T131/U131)</f>
        <v/>
      </c>
      <c r="W131" s="21">
        <f>IF(OR(S131="",T131=""),"",S131/T131)</f>
        <v/>
      </c>
      <c r="X131" s="21">
        <f>IF(S131="","",F131/S131)</f>
        <v/>
      </c>
      <c r="Y131" s="22">
        <f>IF(V131="",N131,INDEX('4_UK_L1_Input'!$C$4:$C$14,MATCH($C131,'4_UK_L1_Input'!$A$4:$A$14,0))*V131*W131*X131)</f>
        <v/>
      </c>
      <c r="Z131" s="7">
        <f>IF(V131="","BETA FALLBACK","REAL (Bloomberg UK)")</f>
        <v/>
      </c>
      <c r="AA131" s="21">
        <f>IFERROR(SUMPRODUCT(($C$3:$C$165=C131)*ISNUMBER($R$3:$R$165)*$Q$3:$Q$165*IF(ISNUMBER($R$3:$R$165),$R$3:$R$165,0))/SUMPRODUCT(($C$3:$C$165=C131)*ISNUMBER($R$3:$R$165)*$Q$3:$Q$165),"")</f>
        <v/>
      </c>
      <c r="AB131" s="21">
        <f>IF(OR(R131="",AA131=""),"",R131/AA131)</f>
        <v/>
      </c>
      <c r="AC131" s="22">
        <f>IF(AB131="",O131,INDEX('4_UK_L1_Input'!$D$4:$D$14,MATCH($C131,'4_UK_L1_Input'!$A$4:$A$14,0))*AB131)</f>
        <v/>
      </c>
      <c r="AD131" s="7">
        <f>IF(AB131="","BETA FALLBACK","REAL (Bloomberg UK)")</f>
        <v/>
      </c>
      <c r="AE131" s="23">
        <f>Y131-N131</f>
        <v/>
      </c>
      <c r="AF131" s="23">
        <f>AC131-O131</f>
        <v/>
      </c>
    </row>
    <row r="132">
      <c r="A132" s="7" t="n">
        <v>45301020</v>
      </c>
      <c r="B132" s="7" t="inlineStr">
        <is>
          <t>Semiconductors</t>
        </is>
      </c>
      <c r="C132" s="7" t="n">
        <v>45</v>
      </c>
      <c r="D132" s="7" t="n">
        <v>4530</v>
      </c>
      <c r="E132" s="7" t="n">
        <v>453010</v>
      </c>
      <c r="F132" s="7" t="n">
        <v>1.425217</v>
      </c>
      <c r="G132" s="7" t="n">
        <v>1</v>
      </c>
      <c r="H132" s="11">
        <f>SUMPRODUCT(($E$3:$E$165=E132)*$G$3:$G$165*$F$3:$F$165)/SUMPRODUCT(($E$3:$E$165=E132)*$G$3:$G$165)</f>
        <v/>
      </c>
      <c r="I132" s="11">
        <f>SUMPRODUCT(($D$3:$D$165=D132)*$G$3:$G$165*$F$3:$F$165)/SUMPRODUCT(($D$3:$D$165=D132)*$G$3:$G$165)</f>
        <v/>
      </c>
      <c r="J132" s="11">
        <f>SUMPRODUCT(($C$3:$C$165=C132)*$G$3:$G$165*$F$3:$F$165)/SUMPRODUCT(($C$3:$C$165=C132)*$G$3:$G$165)</f>
        <v/>
      </c>
      <c r="K132" s="21">
        <f>I132/J132</f>
        <v/>
      </c>
      <c r="L132" s="21">
        <f>H132/I132</f>
        <v/>
      </c>
      <c r="M132" s="21">
        <f>F132/H132</f>
        <v/>
      </c>
      <c r="N132" s="22">
        <f>INDEX('4_UK_L1_Input'!$C$4:$C$14,MATCH($C132,'4_UK_L1_Input'!$A$4:$A$14,0))*K132*L132*M132</f>
        <v/>
      </c>
      <c r="O132" s="22">
        <f>INDEX('4_UK_L1_Input'!$D$4:$D$14,MATCH($C132,'4_UK_L1_Input'!$A$4:$A$14,0))*K132*L132*M132</f>
        <v/>
      </c>
      <c r="P132" s="15" t="n">
        <v>752070000</v>
      </c>
      <c r="Q132" s="15" t="n">
        <v>43150000000</v>
      </c>
      <c r="R132" s="16" t="n">
        <v>43.11</v>
      </c>
      <c r="S132" s="11">
        <f>IFERROR(SUMPRODUCT(($E$3:$E$165=E132)*ISNUMBER($P$3:$P$165)*$P$3:$P$165*$F$3:$F$165)/SUMPRODUCT(($E$3:$E$165=E132)*ISNUMBER($P$3:$P$165)*$P$3:$P$165),"")</f>
        <v/>
      </c>
      <c r="T132" s="11">
        <f>IFERROR(SUMPRODUCT(($D$3:$D$165=D132)*ISNUMBER($P$3:$P$165)*$P$3:$P$165*$F$3:$F$165)/SUMPRODUCT(($D$3:$D$165=D132)*ISNUMBER($P$3:$P$165)*$P$3:$P$165),"")</f>
        <v/>
      </c>
      <c r="U132" s="11">
        <f>IFERROR(SUMPRODUCT(($C$3:$C$165=C132)*ISNUMBER($P$3:$P$165)*$P$3:$P$165*$F$3:$F$165)/SUMPRODUCT(($C$3:$C$165=C132)*ISNUMBER($P$3:$P$165)*$P$3:$P$165),"")</f>
        <v/>
      </c>
      <c r="V132" s="21">
        <f>IF(OR(T132="",U132=""),"",T132/U132)</f>
        <v/>
      </c>
      <c r="W132" s="21">
        <f>IF(OR(S132="",T132=""),"",S132/T132)</f>
        <v/>
      </c>
      <c r="X132" s="21">
        <f>IF(S132="","",F132/S132)</f>
        <v/>
      </c>
      <c r="Y132" s="22">
        <f>IF(V132="",N132,INDEX('4_UK_L1_Input'!$C$4:$C$14,MATCH($C132,'4_UK_L1_Input'!$A$4:$A$14,0))*V132*W132*X132)</f>
        <v/>
      </c>
      <c r="Z132" s="7">
        <f>IF(V132="","BETA FALLBACK","REAL (Bloomberg UK)")</f>
        <v/>
      </c>
      <c r="AA132" s="21">
        <f>IFERROR(SUMPRODUCT(($C$3:$C$165=C132)*ISNUMBER($R$3:$R$165)*$Q$3:$Q$165*IF(ISNUMBER($R$3:$R$165),$R$3:$R$165,0))/SUMPRODUCT(($C$3:$C$165=C132)*ISNUMBER($R$3:$R$165)*$Q$3:$Q$165),"")</f>
        <v/>
      </c>
      <c r="AB132" s="21">
        <f>IF(OR(R132="",AA132=""),"",R132/AA132)</f>
        <v/>
      </c>
      <c r="AC132" s="22">
        <f>IF(AB132="",O132,INDEX('4_UK_L1_Input'!$D$4:$D$14,MATCH($C132,'4_UK_L1_Input'!$A$4:$A$14,0))*AB132)</f>
        <v/>
      </c>
      <c r="AD132" s="7">
        <f>IF(AB132="","BETA FALLBACK","REAL (Bloomberg UK)")</f>
        <v/>
      </c>
      <c r="AE132" s="23">
        <f>Y132-N132</f>
        <v/>
      </c>
      <c r="AF132" s="23">
        <f>AC132-O132</f>
        <v/>
      </c>
    </row>
    <row r="133">
      <c r="A133" s="7" t="n">
        <v>50101010</v>
      </c>
      <c r="B133" s="7" t="inlineStr">
        <is>
          <t>Alternative Carriers</t>
        </is>
      </c>
      <c r="C133" s="7" t="n">
        <v>50</v>
      </c>
      <c r="D133" s="7" t="n">
        <v>5010</v>
      </c>
      <c r="E133" s="7" t="n">
        <v>501010</v>
      </c>
      <c r="F133" s="7" t="n">
        <v>0.487514</v>
      </c>
      <c r="G133" s="7" t="n">
        <v>1</v>
      </c>
      <c r="H133" s="11">
        <f>SUMPRODUCT(($E$3:$E$165=E133)*$G$3:$G$165*$F$3:$F$165)/SUMPRODUCT(($E$3:$E$165=E133)*$G$3:$G$165)</f>
        <v/>
      </c>
      <c r="I133" s="11">
        <f>SUMPRODUCT(($D$3:$D$165=D133)*$G$3:$G$165*$F$3:$F$165)/SUMPRODUCT(($D$3:$D$165=D133)*$G$3:$G$165)</f>
        <v/>
      </c>
      <c r="J133" s="11">
        <f>SUMPRODUCT(($C$3:$C$165=C133)*$G$3:$G$165*$F$3:$F$165)/SUMPRODUCT(($C$3:$C$165=C133)*$G$3:$G$165)</f>
        <v/>
      </c>
      <c r="K133" s="21">
        <f>I133/J133</f>
        <v/>
      </c>
      <c r="L133" s="21">
        <f>H133/I133</f>
        <v/>
      </c>
      <c r="M133" s="21">
        <f>F133/H133</f>
        <v/>
      </c>
      <c r="N133" s="22">
        <f>INDEX('4_UK_L1_Input'!$C$4:$C$14,MATCH($C133,'4_UK_L1_Input'!$A$4:$A$14,0))*K133*L133*M133</f>
        <v/>
      </c>
      <c r="O133" s="22">
        <f>INDEX('4_UK_L1_Input'!$D$4:$D$14,MATCH($C133,'4_UK_L1_Input'!$A$4:$A$14,0))*K133*L133*M133</f>
        <v/>
      </c>
      <c r="P133" s="15" t="n">
        <v>2770000000</v>
      </c>
      <c r="Q133" s="15" t="n">
        <v>2230000000</v>
      </c>
      <c r="R133" s="16" t="n">
        <v>6.31</v>
      </c>
      <c r="S133" s="11">
        <f>IFERROR(SUMPRODUCT(($E$3:$E$165=E133)*ISNUMBER($P$3:$P$165)*$P$3:$P$165*$F$3:$F$165)/SUMPRODUCT(($E$3:$E$165=E133)*ISNUMBER($P$3:$P$165)*$P$3:$P$165),"")</f>
        <v/>
      </c>
      <c r="T133" s="11">
        <f>IFERROR(SUMPRODUCT(($D$3:$D$165=D133)*ISNUMBER($P$3:$P$165)*$P$3:$P$165*$F$3:$F$165)/SUMPRODUCT(($D$3:$D$165=D133)*ISNUMBER($P$3:$P$165)*$P$3:$P$165),"")</f>
        <v/>
      </c>
      <c r="U133" s="11">
        <f>IFERROR(SUMPRODUCT(($C$3:$C$165=C133)*ISNUMBER($P$3:$P$165)*$P$3:$P$165*$F$3:$F$165)/SUMPRODUCT(($C$3:$C$165=C133)*ISNUMBER($P$3:$P$165)*$P$3:$P$165),"")</f>
        <v/>
      </c>
      <c r="V133" s="21">
        <f>IF(OR(T133="",U133=""),"",T133/U133)</f>
        <v/>
      </c>
      <c r="W133" s="21">
        <f>IF(OR(S133="",T133=""),"",S133/T133)</f>
        <v/>
      </c>
      <c r="X133" s="21">
        <f>IF(S133="","",F133/S133)</f>
        <v/>
      </c>
      <c r="Y133" s="22">
        <f>IF(V133="",N133,INDEX('4_UK_L1_Input'!$C$4:$C$14,MATCH($C133,'4_UK_L1_Input'!$A$4:$A$14,0))*V133*W133*X133)</f>
        <v/>
      </c>
      <c r="Z133" s="7">
        <f>IF(V133="","BETA FALLBACK","REAL (Bloomberg UK)")</f>
        <v/>
      </c>
      <c r="AA133" s="21">
        <f>IFERROR(SUMPRODUCT(($C$3:$C$165=C133)*ISNUMBER($R$3:$R$165)*$Q$3:$Q$165*IF(ISNUMBER($R$3:$R$165),$R$3:$R$165,0))/SUMPRODUCT(($C$3:$C$165=C133)*ISNUMBER($R$3:$R$165)*$Q$3:$Q$165),"")</f>
        <v/>
      </c>
      <c r="AB133" s="21">
        <f>IF(OR(R133="",AA133=""),"",R133/AA133)</f>
        <v/>
      </c>
      <c r="AC133" s="22">
        <f>IF(AB133="",O133,INDEX('4_UK_L1_Input'!$D$4:$D$14,MATCH($C133,'4_UK_L1_Input'!$A$4:$A$14,0))*AB133)</f>
        <v/>
      </c>
      <c r="AD133" s="7">
        <f>IF(AB133="","BETA FALLBACK","REAL (Bloomberg UK)")</f>
        <v/>
      </c>
      <c r="AE133" s="23">
        <f>Y133-N133</f>
        <v/>
      </c>
      <c r="AF133" s="23">
        <f>AC133-O133</f>
        <v/>
      </c>
    </row>
    <row r="134">
      <c r="A134" s="7" t="n">
        <v>50101020</v>
      </c>
      <c r="B134" s="7" t="inlineStr">
        <is>
          <t>Integrated Telecommunication Services</t>
        </is>
      </c>
      <c r="C134" s="7" t="n">
        <v>50</v>
      </c>
      <c r="D134" s="7" t="n">
        <v>5010</v>
      </c>
      <c r="E134" s="7" t="n">
        <v>501010</v>
      </c>
      <c r="F134" s="7" t="n">
        <v>0.487514</v>
      </c>
      <c r="G134" s="7" t="n">
        <v>1</v>
      </c>
      <c r="H134" s="11">
        <f>SUMPRODUCT(($E$3:$E$165=E134)*$G$3:$G$165*$F$3:$F$165)/SUMPRODUCT(($E$3:$E$165=E134)*$G$3:$G$165)</f>
        <v/>
      </c>
      <c r="I134" s="11">
        <f>SUMPRODUCT(($D$3:$D$165=D134)*$G$3:$G$165*$F$3:$F$165)/SUMPRODUCT(($D$3:$D$165=D134)*$G$3:$G$165)</f>
        <v/>
      </c>
      <c r="J134" s="11">
        <f>SUMPRODUCT(($C$3:$C$165=C134)*$G$3:$G$165*$F$3:$F$165)/SUMPRODUCT(($C$3:$C$165=C134)*$G$3:$G$165)</f>
        <v/>
      </c>
      <c r="K134" s="21">
        <f>I134/J134</f>
        <v/>
      </c>
      <c r="L134" s="21">
        <f>H134/I134</f>
        <v/>
      </c>
      <c r="M134" s="21">
        <f>F134/H134</f>
        <v/>
      </c>
      <c r="N134" s="22">
        <f>INDEX('4_UK_L1_Input'!$C$4:$C$14,MATCH($C134,'4_UK_L1_Input'!$A$4:$A$14,0))*K134*L134*M134</f>
        <v/>
      </c>
      <c r="O134" s="22">
        <f>INDEX('4_UK_L1_Input'!$D$4:$D$14,MATCH($C134,'4_UK_L1_Input'!$A$4:$A$14,0))*K134*L134*M134</f>
        <v/>
      </c>
      <c r="P134" s="15" t="n">
        <v>5180000000</v>
      </c>
      <c r="Q134" s="15" t="n">
        <v>5640000000</v>
      </c>
      <c r="R134" s="16" t="n">
        <v>5.63</v>
      </c>
      <c r="S134" s="11">
        <f>IFERROR(SUMPRODUCT(($E$3:$E$165=E134)*ISNUMBER($P$3:$P$165)*$P$3:$P$165*$F$3:$F$165)/SUMPRODUCT(($E$3:$E$165=E134)*ISNUMBER($P$3:$P$165)*$P$3:$P$165),"")</f>
        <v/>
      </c>
      <c r="T134" s="11">
        <f>IFERROR(SUMPRODUCT(($D$3:$D$165=D134)*ISNUMBER($P$3:$P$165)*$P$3:$P$165*$F$3:$F$165)/SUMPRODUCT(($D$3:$D$165=D134)*ISNUMBER($P$3:$P$165)*$P$3:$P$165),"")</f>
        <v/>
      </c>
      <c r="U134" s="11">
        <f>IFERROR(SUMPRODUCT(($C$3:$C$165=C134)*ISNUMBER($P$3:$P$165)*$P$3:$P$165*$F$3:$F$165)/SUMPRODUCT(($C$3:$C$165=C134)*ISNUMBER($P$3:$P$165)*$P$3:$P$165),"")</f>
        <v/>
      </c>
      <c r="V134" s="21">
        <f>IF(OR(T134="",U134=""),"",T134/U134)</f>
        <v/>
      </c>
      <c r="W134" s="21">
        <f>IF(OR(S134="",T134=""),"",S134/T134)</f>
        <v/>
      </c>
      <c r="X134" s="21">
        <f>IF(S134="","",F134/S134)</f>
        <v/>
      </c>
      <c r="Y134" s="22">
        <f>IF(V134="",N134,INDEX('4_UK_L1_Input'!$C$4:$C$14,MATCH($C134,'4_UK_L1_Input'!$A$4:$A$14,0))*V134*W134*X134)</f>
        <v/>
      </c>
      <c r="Z134" s="7">
        <f>IF(V134="","BETA FALLBACK","REAL (Bloomberg UK)")</f>
        <v/>
      </c>
      <c r="AA134" s="21">
        <f>IFERROR(SUMPRODUCT(($C$3:$C$165=C134)*ISNUMBER($R$3:$R$165)*$Q$3:$Q$165*IF(ISNUMBER($R$3:$R$165),$R$3:$R$165,0))/SUMPRODUCT(($C$3:$C$165=C134)*ISNUMBER($R$3:$R$165)*$Q$3:$Q$165),"")</f>
        <v/>
      </c>
      <c r="AB134" s="21">
        <f>IF(OR(R134="",AA134=""),"",R134/AA134)</f>
        <v/>
      </c>
      <c r="AC134" s="22">
        <f>IF(AB134="",O134,INDEX('4_UK_L1_Input'!$D$4:$D$14,MATCH($C134,'4_UK_L1_Input'!$A$4:$A$14,0))*AB134)</f>
        <v/>
      </c>
      <c r="AD134" s="7">
        <f>IF(AB134="","BETA FALLBACK","REAL (Bloomberg UK)")</f>
        <v/>
      </c>
      <c r="AE134" s="23">
        <f>Y134-N134</f>
        <v/>
      </c>
      <c r="AF134" s="23">
        <f>AC134-O134</f>
        <v/>
      </c>
    </row>
    <row r="135">
      <c r="A135" s="7" t="n">
        <v>50102010</v>
      </c>
      <c r="B135" s="7" t="inlineStr">
        <is>
          <t>Wireless Telecommunication Services</t>
        </is>
      </c>
      <c r="C135" s="7" t="n">
        <v>50</v>
      </c>
      <c r="D135" s="7" t="n">
        <v>5010</v>
      </c>
      <c r="E135" s="7" t="n">
        <v>501020</v>
      </c>
      <c r="F135" s="7" t="n">
        <v>0.623578</v>
      </c>
      <c r="G135" s="7" t="n">
        <v>1</v>
      </c>
      <c r="H135" s="11">
        <f>SUMPRODUCT(($E$3:$E$165=E135)*$G$3:$G$165*$F$3:$F$165)/SUMPRODUCT(($E$3:$E$165=E135)*$G$3:$G$165)</f>
        <v/>
      </c>
      <c r="I135" s="11">
        <f>SUMPRODUCT(($D$3:$D$165=D135)*$G$3:$G$165*$F$3:$F$165)/SUMPRODUCT(($D$3:$D$165=D135)*$G$3:$G$165)</f>
        <v/>
      </c>
      <c r="J135" s="11">
        <f>SUMPRODUCT(($C$3:$C$165=C135)*$G$3:$G$165*$F$3:$F$165)/SUMPRODUCT(($C$3:$C$165=C135)*$G$3:$G$165)</f>
        <v/>
      </c>
      <c r="K135" s="21">
        <f>I135/J135</f>
        <v/>
      </c>
      <c r="L135" s="21">
        <f>H135/I135</f>
        <v/>
      </c>
      <c r="M135" s="21">
        <f>F135/H135</f>
        <v/>
      </c>
      <c r="N135" s="22">
        <f>INDEX('4_UK_L1_Input'!$C$4:$C$14,MATCH($C135,'4_UK_L1_Input'!$A$4:$A$14,0))*K135*L135*M135</f>
        <v/>
      </c>
      <c r="O135" s="22">
        <f>INDEX('4_UK_L1_Input'!$D$4:$D$14,MATCH($C135,'4_UK_L1_Input'!$A$4:$A$14,0))*K135*L135*M135</f>
        <v/>
      </c>
      <c r="P135" s="15" t="n">
        <v>23660000000</v>
      </c>
      <c r="Q135" s="15" t="n">
        <v>19910000000</v>
      </c>
      <c r="R135" s="16" t="n">
        <v>5.13</v>
      </c>
      <c r="S135" s="11">
        <f>IFERROR(SUMPRODUCT(($E$3:$E$165=E135)*ISNUMBER($P$3:$P$165)*$P$3:$P$165*$F$3:$F$165)/SUMPRODUCT(($E$3:$E$165=E135)*ISNUMBER($P$3:$P$165)*$P$3:$P$165),"")</f>
        <v/>
      </c>
      <c r="T135" s="11">
        <f>IFERROR(SUMPRODUCT(($D$3:$D$165=D135)*ISNUMBER($P$3:$P$165)*$P$3:$P$165*$F$3:$F$165)/SUMPRODUCT(($D$3:$D$165=D135)*ISNUMBER($P$3:$P$165)*$P$3:$P$165),"")</f>
        <v/>
      </c>
      <c r="U135" s="11">
        <f>IFERROR(SUMPRODUCT(($C$3:$C$165=C135)*ISNUMBER($P$3:$P$165)*$P$3:$P$165*$F$3:$F$165)/SUMPRODUCT(($C$3:$C$165=C135)*ISNUMBER($P$3:$P$165)*$P$3:$P$165),"")</f>
        <v/>
      </c>
      <c r="V135" s="21">
        <f>IF(OR(T135="",U135=""),"",T135/U135)</f>
        <v/>
      </c>
      <c r="W135" s="21">
        <f>IF(OR(S135="",T135=""),"",S135/T135)</f>
        <v/>
      </c>
      <c r="X135" s="21">
        <f>IF(S135="","",F135/S135)</f>
        <v/>
      </c>
      <c r="Y135" s="22">
        <f>IF(V135="",N135,INDEX('4_UK_L1_Input'!$C$4:$C$14,MATCH($C135,'4_UK_L1_Input'!$A$4:$A$14,0))*V135*W135*X135)</f>
        <v/>
      </c>
      <c r="Z135" s="7">
        <f>IF(V135="","BETA FALLBACK","REAL (Bloomberg UK)")</f>
        <v/>
      </c>
      <c r="AA135" s="21">
        <f>IFERROR(SUMPRODUCT(($C$3:$C$165=C135)*ISNUMBER($R$3:$R$165)*$Q$3:$Q$165*IF(ISNUMBER($R$3:$R$165),$R$3:$R$165,0))/SUMPRODUCT(($C$3:$C$165=C135)*ISNUMBER($R$3:$R$165)*$Q$3:$Q$165),"")</f>
        <v/>
      </c>
      <c r="AB135" s="21">
        <f>IF(OR(R135="",AA135=""),"",R135/AA135)</f>
        <v/>
      </c>
      <c r="AC135" s="22">
        <f>IF(AB135="",O135,INDEX('4_UK_L1_Input'!$D$4:$D$14,MATCH($C135,'4_UK_L1_Input'!$A$4:$A$14,0))*AB135)</f>
        <v/>
      </c>
      <c r="AD135" s="7">
        <f>IF(AB135="","BETA FALLBACK","REAL (Bloomberg UK)")</f>
        <v/>
      </c>
      <c r="AE135" s="23">
        <f>Y135-N135</f>
        <v/>
      </c>
      <c r="AF135" s="23">
        <f>AC135-O135</f>
        <v/>
      </c>
    </row>
    <row r="136">
      <c r="A136" s="7" t="n">
        <v>50201010</v>
      </c>
      <c r="B136" s="7" t="inlineStr">
        <is>
          <t>Advertising</t>
        </is>
      </c>
      <c r="C136" s="7" t="n">
        <v>50</v>
      </c>
      <c r="D136" s="7" t="n">
        <v>5020</v>
      </c>
      <c r="E136" s="7" t="n">
        <v>502010</v>
      </c>
      <c r="F136" s="7" t="n">
        <v>0.990745</v>
      </c>
      <c r="G136" s="7" t="n">
        <v>1</v>
      </c>
      <c r="H136" s="11">
        <f>SUMPRODUCT(($E$3:$E$165=E136)*$G$3:$G$165*$F$3:$F$165)/SUMPRODUCT(($E$3:$E$165=E136)*$G$3:$G$165)</f>
        <v/>
      </c>
      <c r="I136" s="11">
        <f>SUMPRODUCT(($D$3:$D$165=D136)*$G$3:$G$165*$F$3:$F$165)/SUMPRODUCT(($D$3:$D$165=D136)*$G$3:$G$165)</f>
        <v/>
      </c>
      <c r="J136" s="11">
        <f>SUMPRODUCT(($C$3:$C$165=C136)*$G$3:$G$165*$F$3:$F$165)/SUMPRODUCT(($C$3:$C$165=C136)*$G$3:$G$165)</f>
        <v/>
      </c>
      <c r="K136" s="21">
        <f>I136/J136</f>
        <v/>
      </c>
      <c r="L136" s="21">
        <f>H136/I136</f>
        <v/>
      </c>
      <c r="M136" s="21">
        <f>F136/H136</f>
        <v/>
      </c>
      <c r="N136" s="22">
        <f>INDEX('4_UK_L1_Input'!$C$4:$C$14,MATCH($C136,'4_UK_L1_Input'!$A$4:$A$14,0))*K136*L136*M136</f>
        <v/>
      </c>
      <c r="O136" s="22">
        <f>INDEX('4_UK_L1_Input'!$D$4:$D$14,MATCH($C136,'4_UK_L1_Input'!$A$4:$A$14,0))*K136*L136*M136</f>
        <v/>
      </c>
      <c r="P136" s="15" t="n">
        <v>1100000000</v>
      </c>
      <c r="Q136" s="15" t="n">
        <v>990000000</v>
      </c>
      <c r="R136" s="16" t="n">
        <v>6.25</v>
      </c>
      <c r="S136" s="11">
        <f>IFERROR(SUMPRODUCT(($E$3:$E$165=E136)*ISNUMBER($P$3:$P$165)*$P$3:$P$165*$F$3:$F$165)/SUMPRODUCT(($E$3:$E$165=E136)*ISNUMBER($P$3:$P$165)*$P$3:$P$165),"")</f>
        <v/>
      </c>
      <c r="T136" s="11">
        <f>IFERROR(SUMPRODUCT(($D$3:$D$165=D136)*ISNUMBER($P$3:$P$165)*$P$3:$P$165*$F$3:$F$165)/SUMPRODUCT(($D$3:$D$165=D136)*ISNUMBER($P$3:$P$165)*$P$3:$P$165),"")</f>
        <v/>
      </c>
      <c r="U136" s="11">
        <f>IFERROR(SUMPRODUCT(($C$3:$C$165=C136)*ISNUMBER($P$3:$P$165)*$P$3:$P$165*$F$3:$F$165)/SUMPRODUCT(($C$3:$C$165=C136)*ISNUMBER($P$3:$P$165)*$P$3:$P$165),"")</f>
        <v/>
      </c>
      <c r="V136" s="21">
        <f>IF(OR(T136="",U136=""),"",T136/U136)</f>
        <v/>
      </c>
      <c r="W136" s="21">
        <f>IF(OR(S136="",T136=""),"",S136/T136)</f>
        <v/>
      </c>
      <c r="X136" s="21">
        <f>IF(S136="","",F136/S136)</f>
        <v/>
      </c>
      <c r="Y136" s="22">
        <f>IF(V136="",N136,INDEX('4_UK_L1_Input'!$C$4:$C$14,MATCH($C136,'4_UK_L1_Input'!$A$4:$A$14,0))*V136*W136*X136)</f>
        <v/>
      </c>
      <c r="Z136" s="7">
        <f>IF(V136="","BETA FALLBACK","REAL (Bloomberg UK)")</f>
        <v/>
      </c>
      <c r="AA136" s="21">
        <f>IFERROR(SUMPRODUCT(($C$3:$C$165=C136)*ISNUMBER($R$3:$R$165)*$Q$3:$Q$165*IF(ISNUMBER($R$3:$R$165),$R$3:$R$165,0))/SUMPRODUCT(($C$3:$C$165=C136)*ISNUMBER($R$3:$R$165)*$Q$3:$Q$165),"")</f>
        <v/>
      </c>
      <c r="AB136" s="21">
        <f>IF(OR(R136="",AA136=""),"",R136/AA136)</f>
        <v/>
      </c>
      <c r="AC136" s="22">
        <f>IF(AB136="",O136,INDEX('4_UK_L1_Input'!$D$4:$D$14,MATCH($C136,'4_UK_L1_Input'!$A$4:$A$14,0))*AB136)</f>
        <v/>
      </c>
      <c r="AD136" s="7">
        <f>IF(AB136="","BETA FALLBACK","REAL (Bloomberg UK)")</f>
        <v/>
      </c>
      <c r="AE136" s="23">
        <f>Y136-N136</f>
        <v/>
      </c>
      <c r="AF136" s="23">
        <f>AC136-O136</f>
        <v/>
      </c>
    </row>
    <row r="137">
      <c r="A137" s="7" t="n">
        <v>50201020</v>
      </c>
      <c r="B137" s="7" t="inlineStr">
        <is>
          <t>Broadcasting</t>
        </is>
      </c>
      <c r="C137" s="7" t="n">
        <v>50</v>
      </c>
      <c r="D137" s="7" t="n">
        <v>5020</v>
      </c>
      <c r="E137" s="7" t="n">
        <v>502010</v>
      </c>
      <c r="F137" s="7" t="n">
        <v>0.48755</v>
      </c>
      <c r="G137" s="7" t="n">
        <v>1</v>
      </c>
      <c r="H137" s="11">
        <f>SUMPRODUCT(($E$3:$E$165=E137)*$G$3:$G$165*$F$3:$F$165)/SUMPRODUCT(($E$3:$E$165=E137)*$G$3:$G$165)</f>
        <v/>
      </c>
      <c r="I137" s="11">
        <f>SUMPRODUCT(($D$3:$D$165=D137)*$G$3:$G$165*$F$3:$F$165)/SUMPRODUCT(($D$3:$D$165=D137)*$G$3:$G$165)</f>
        <v/>
      </c>
      <c r="J137" s="11">
        <f>SUMPRODUCT(($C$3:$C$165=C137)*$G$3:$G$165*$F$3:$F$165)/SUMPRODUCT(($C$3:$C$165=C137)*$G$3:$G$165)</f>
        <v/>
      </c>
      <c r="K137" s="21">
        <f>I137/J137</f>
        <v/>
      </c>
      <c r="L137" s="21">
        <f>H137/I137</f>
        <v/>
      </c>
      <c r="M137" s="21">
        <f>F137/H137</f>
        <v/>
      </c>
      <c r="N137" s="22">
        <f>INDEX('4_UK_L1_Input'!$C$4:$C$14,MATCH($C137,'4_UK_L1_Input'!$A$4:$A$14,0))*K137*L137*M137</f>
        <v/>
      </c>
      <c r="O137" s="22">
        <f>INDEX('4_UK_L1_Input'!$D$4:$D$14,MATCH($C137,'4_UK_L1_Input'!$A$4:$A$14,0))*K137*L137*M137</f>
        <v/>
      </c>
      <c r="P137" s="15" t="n">
        <v>1850000000</v>
      </c>
      <c r="Q137" s="15" t="n">
        <v>1410000000</v>
      </c>
      <c r="R137" s="16" t="n">
        <v>5.32</v>
      </c>
      <c r="S137" s="11">
        <f>IFERROR(SUMPRODUCT(($E$3:$E$165=E137)*ISNUMBER($P$3:$P$165)*$P$3:$P$165*$F$3:$F$165)/SUMPRODUCT(($E$3:$E$165=E137)*ISNUMBER($P$3:$P$165)*$P$3:$P$165),"")</f>
        <v/>
      </c>
      <c r="T137" s="11">
        <f>IFERROR(SUMPRODUCT(($D$3:$D$165=D137)*ISNUMBER($P$3:$P$165)*$P$3:$P$165*$F$3:$F$165)/SUMPRODUCT(($D$3:$D$165=D137)*ISNUMBER($P$3:$P$165)*$P$3:$P$165),"")</f>
        <v/>
      </c>
      <c r="U137" s="11">
        <f>IFERROR(SUMPRODUCT(($C$3:$C$165=C137)*ISNUMBER($P$3:$P$165)*$P$3:$P$165*$F$3:$F$165)/SUMPRODUCT(($C$3:$C$165=C137)*ISNUMBER($P$3:$P$165)*$P$3:$P$165),"")</f>
        <v/>
      </c>
      <c r="V137" s="21">
        <f>IF(OR(T137="",U137=""),"",T137/U137)</f>
        <v/>
      </c>
      <c r="W137" s="21">
        <f>IF(OR(S137="",T137=""),"",S137/T137)</f>
        <v/>
      </c>
      <c r="X137" s="21">
        <f>IF(S137="","",F137/S137)</f>
        <v/>
      </c>
      <c r="Y137" s="22">
        <f>IF(V137="",N137,INDEX('4_UK_L1_Input'!$C$4:$C$14,MATCH($C137,'4_UK_L1_Input'!$A$4:$A$14,0))*V137*W137*X137)</f>
        <v/>
      </c>
      <c r="Z137" s="7">
        <f>IF(V137="","BETA FALLBACK","REAL (Bloomberg UK)")</f>
        <v/>
      </c>
      <c r="AA137" s="21">
        <f>IFERROR(SUMPRODUCT(($C$3:$C$165=C137)*ISNUMBER($R$3:$R$165)*$Q$3:$Q$165*IF(ISNUMBER($R$3:$R$165),$R$3:$R$165,0))/SUMPRODUCT(($C$3:$C$165=C137)*ISNUMBER($R$3:$R$165)*$Q$3:$Q$165),"")</f>
        <v/>
      </c>
      <c r="AB137" s="21">
        <f>IF(OR(R137="",AA137=""),"",R137/AA137)</f>
        <v/>
      </c>
      <c r="AC137" s="22">
        <f>IF(AB137="",O137,INDEX('4_UK_L1_Input'!$D$4:$D$14,MATCH($C137,'4_UK_L1_Input'!$A$4:$A$14,0))*AB137)</f>
        <v/>
      </c>
      <c r="AD137" s="7">
        <f>IF(AB137="","BETA FALLBACK","REAL (Bloomberg UK)")</f>
        <v/>
      </c>
      <c r="AE137" s="23">
        <f>Y137-N137</f>
        <v/>
      </c>
      <c r="AF137" s="23">
        <f>AC137-O137</f>
        <v/>
      </c>
    </row>
    <row r="138">
      <c r="A138" s="7" t="n">
        <v>50201030</v>
      </c>
      <c r="B138" s="7" t="inlineStr">
        <is>
          <t>Cable &amp; Satellite</t>
        </is>
      </c>
      <c r="C138" s="7" t="n">
        <v>50</v>
      </c>
      <c r="D138" s="7" t="n">
        <v>5020</v>
      </c>
      <c r="E138" s="7" t="n">
        <v>502010</v>
      </c>
      <c r="F138" s="7" t="n">
        <v>0.646082</v>
      </c>
      <c r="G138" s="7" t="n">
        <v>1</v>
      </c>
      <c r="H138" s="11">
        <f>SUMPRODUCT(($E$3:$E$165=E138)*$G$3:$G$165*$F$3:$F$165)/SUMPRODUCT(($E$3:$E$165=E138)*$G$3:$G$165)</f>
        <v/>
      </c>
      <c r="I138" s="11">
        <f>SUMPRODUCT(($D$3:$D$165=D138)*$G$3:$G$165*$F$3:$F$165)/SUMPRODUCT(($D$3:$D$165=D138)*$G$3:$G$165)</f>
        <v/>
      </c>
      <c r="J138" s="11">
        <f>SUMPRODUCT(($C$3:$C$165=C138)*$G$3:$G$165*$F$3:$F$165)/SUMPRODUCT(($C$3:$C$165=C138)*$G$3:$G$165)</f>
        <v/>
      </c>
      <c r="K138" s="21">
        <f>I138/J138</f>
        <v/>
      </c>
      <c r="L138" s="21">
        <f>H138/I138</f>
        <v/>
      </c>
      <c r="M138" s="21">
        <f>F138/H138</f>
        <v/>
      </c>
      <c r="N138" s="22">
        <f>INDEX('4_UK_L1_Input'!$C$4:$C$14,MATCH($C138,'4_UK_L1_Input'!$A$4:$A$14,0))*K138*L138*M138</f>
        <v/>
      </c>
      <c r="O138" s="22">
        <f>INDEX('4_UK_L1_Input'!$D$4:$D$14,MATCH($C138,'4_UK_L1_Input'!$A$4:$A$14,0))*K138*L138*M138</f>
        <v/>
      </c>
      <c r="P138" s="14" t="n"/>
      <c r="Q138" s="14" t="n"/>
      <c r="R138" s="14" t="n"/>
      <c r="S138" s="11">
        <f>IFERROR(SUMPRODUCT(($E$3:$E$165=E138)*ISNUMBER($P$3:$P$165)*$P$3:$P$165*$F$3:$F$165)/SUMPRODUCT(($E$3:$E$165=E138)*ISNUMBER($P$3:$P$165)*$P$3:$P$165),"")</f>
        <v/>
      </c>
      <c r="T138" s="11">
        <f>IFERROR(SUMPRODUCT(($D$3:$D$165=D138)*ISNUMBER($P$3:$P$165)*$P$3:$P$165*$F$3:$F$165)/SUMPRODUCT(($D$3:$D$165=D138)*ISNUMBER($P$3:$P$165)*$P$3:$P$165),"")</f>
        <v/>
      </c>
      <c r="U138" s="11">
        <f>IFERROR(SUMPRODUCT(($C$3:$C$165=C138)*ISNUMBER($P$3:$P$165)*$P$3:$P$165*$F$3:$F$165)/SUMPRODUCT(($C$3:$C$165=C138)*ISNUMBER($P$3:$P$165)*$P$3:$P$165),"")</f>
        <v/>
      </c>
      <c r="V138" s="21">
        <f>IF(OR(T138="",U138=""),"",T138/U138)</f>
        <v/>
      </c>
      <c r="W138" s="21">
        <f>IF(OR(S138="",T138=""),"",S138/T138)</f>
        <v/>
      </c>
      <c r="X138" s="21">
        <f>IF(S138="","",F138/S138)</f>
        <v/>
      </c>
      <c r="Y138" s="22">
        <f>IF(V138="",N138,INDEX('4_UK_L1_Input'!$C$4:$C$14,MATCH($C138,'4_UK_L1_Input'!$A$4:$A$14,0))*V138*W138*X138)</f>
        <v/>
      </c>
      <c r="Z138" s="7">
        <f>IF(V138="","BETA FALLBACK","REAL (Bloomberg UK)")</f>
        <v/>
      </c>
      <c r="AA138" s="21">
        <f>IFERROR(SUMPRODUCT(($C$3:$C$165=C138)*ISNUMBER($R$3:$R$165)*$Q$3:$Q$165*IF(ISNUMBER($R$3:$R$165),$R$3:$R$165,0))/SUMPRODUCT(($C$3:$C$165=C138)*ISNUMBER($R$3:$R$165)*$Q$3:$Q$165),"")</f>
        <v/>
      </c>
      <c r="AB138" s="21">
        <f>IF(OR(R138="",AA138=""),"",R138/AA138)</f>
        <v/>
      </c>
      <c r="AC138" s="22">
        <f>IF(AB138="",O138,INDEX('4_UK_L1_Input'!$D$4:$D$14,MATCH($C138,'4_UK_L1_Input'!$A$4:$A$14,0))*AB138)</f>
        <v/>
      </c>
      <c r="AD138" s="7">
        <f>IF(AB138="","BETA FALLBACK","REAL (Bloomberg UK)")</f>
        <v/>
      </c>
      <c r="AE138" s="23">
        <f>Y138-N138</f>
        <v/>
      </c>
      <c r="AF138" s="23">
        <f>AC138-O138</f>
        <v/>
      </c>
    </row>
    <row r="139">
      <c r="A139" s="7" t="n">
        <v>50201040</v>
      </c>
      <c r="B139" s="7" t="inlineStr">
        <is>
          <t>Publishing</t>
        </is>
      </c>
      <c r="C139" s="7" t="n">
        <v>50</v>
      </c>
      <c r="D139" s="7" t="n">
        <v>5020</v>
      </c>
      <c r="E139" s="7" t="n">
        <v>502010</v>
      </c>
      <c r="F139" s="7" t="n">
        <v>0.646051</v>
      </c>
      <c r="G139" s="7" t="n">
        <v>1</v>
      </c>
      <c r="H139" s="11">
        <f>SUMPRODUCT(($E$3:$E$165=E139)*$G$3:$G$165*$F$3:$F$165)/SUMPRODUCT(($E$3:$E$165=E139)*$G$3:$G$165)</f>
        <v/>
      </c>
      <c r="I139" s="11">
        <f>SUMPRODUCT(($D$3:$D$165=D139)*$G$3:$G$165*$F$3:$F$165)/SUMPRODUCT(($D$3:$D$165=D139)*$G$3:$G$165)</f>
        <v/>
      </c>
      <c r="J139" s="11">
        <f>SUMPRODUCT(($C$3:$C$165=C139)*$G$3:$G$165*$F$3:$F$165)/SUMPRODUCT(($C$3:$C$165=C139)*$G$3:$G$165)</f>
        <v/>
      </c>
      <c r="K139" s="21">
        <f>I139/J139</f>
        <v/>
      </c>
      <c r="L139" s="21">
        <f>H139/I139</f>
        <v/>
      </c>
      <c r="M139" s="21">
        <f>F139/H139</f>
        <v/>
      </c>
      <c r="N139" s="22">
        <f>INDEX('4_UK_L1_Input'!$C$4:$C$14,MATCH($C139,'4_UK_L1_Input'!$A$4:$A$14,0))*K139*L139*M139</f>
        <v/>
      </c>
      <c r="O139" s="22">
        <f>INDEX('4_UK_L1_Input'!$D$4:$D$14,MATCH($C139,'4_UK_L1_Input'!$A$4:$A$14,0))*K139*L139*M139</f>
        <v/>
      </c>
      <c r="P139" s="15" t="n">
        <v>2100000000</v>
      </c>
      <c r="Q139" s="15" t="n">
        <v>321130000</v>
      </c>
      <c r="R139" s="16" t="n">
        <v>4.14</v>
      </c>
      <c r="S139" s="11">
        <f>IFERROR(SUMPRODUCT(($E$3:$E$165=E139)*ISNUMBER($P$3:$P$165)*$P$3:$P$165*$F$3:$F$165)/SUMPRODUCT(($E$3:$E$165=E139)*ISNUMBER($P$3:$P$165)*$P$3:$P$165),"")</f>
        <v/>
      </c>
      <c r="T139" s="11">
        <f>IFERROR(SUMPRODUCT(($D$3:$D$165=D139)*ISNUMBER($P$3:$P$165)*$P$3:$P$165*$F$3:$F$165)/SUMPRODUCT(($D$3:$D$165=D139)*ISNUMBER($P$3:$P$165)*$P$3:$P$165),"")</f>
        <v/>
      </c>
      <c r="U139" s="11">
        <f>IFERROR(SUMPRODUCT(($C$3:$C$165=C139)*ISNUMBER($P$3:$P$165)*$P$3:$P$165*$F$3:$F$165)/SUMPRODUCT(($C$3:$C$165=C139)*ISNUMBER($P$3:$P$165)*$P$3:$P$165),"")</f>
        <v/>
      </c>
      <c r="V139" s="21">
        <f>IF(OR(T139="",U139=""),"",T139/U139)</f>
        <v/>
      </c>
      <c r="W139" s="21">
        <f>IF(OR(S139="",T139=""),"",S139/T139)</f>
        <v/>
      </c>
      <c r="X139" s="21">
        <f>IF(S139="","",F139/S139)</f>
        <v/>
      </c>
      <c r="Y139" s="22">
        <f>IF(V139="",N139,INDEX('4_UK_L1_Input'!$C$4:$C$14,MATCH($C139,'4_UK_L1_Input'!$A$4:$A$14,0))*V139*W139*X139)</f>
        <v/>
      </c>
      <c r="Z139" s="7">
        <f>IF(V139="","BETA FALLBACK","REAL (Bloomberg UK)")</f>
        <v/>
      </c>
      <c r="AA139" s="21">
        <f>IFERROR(SUMPRODUCT(($C$3:$C$165=C139)*ISNUMBER($R$3:$R$165)*$Q$3:$Q$165*IF(ISNUMBER($R$3:$R$165),$R$3:$R$165,0))/SUMPRODUCT(($C$3:$C$165=C139)*ISNUMBER($R$3:$R$165)*$Q$3:$Q$165),"")</f>
        <v/>
      </c>
      <c r="AB139" s="21">
        <f>IF(OR(R139="",AA139=""),"",R139/AA139)</f>
        <v/>
      </c>
      <c r="AC139" s="22">
        <f>IF(AB139="",O139,INDEX('4_UK_L1_Input'!$D$4:$D$14,MATCH($C139,'4_UK_L1_Input'!$A$4:$A$14,0))*AB139)</f>
        <v/>
      </c>
      <c r="AD139" s="7">
        <f>IF(AB139="","BETA FALLBACK","REAL (Bloomberg UK)")</f>
        <v/>
      </c>
      <c r="AE139" s="23">
        <f>Y139-N139</f>
        <v/>
      </c>
      <c r="AF139" s="23">
        <f>AC139-O139</f>
        <v/>
      </c>
    </row>
    <row r="140">
      <c r="A140" s="7" t="n">
        <v>50202010</v>
      </c>
      <c r="B140" s="7" t="inlineStr">
        <is>
          <t>Movies &amp; Entertainment</t>
        </is>
      </c>
      <c r="C140" s="7" t="n">
        <v>50</v>
      </c>
      <c r="D140" s="7" t="n">
        <v>5020</v>
      </c>
      <c r="E140" s="7" t="n">
        <v>502020</v>
      </c>
      <c r="F140" s="7" t="n">
        <v>0.776388</v>
      </c>
      <c r="G140" s="7" t="n">
        <v>1</v>
      </c>
      <c r="H140" s="11">
        <f>SUMPRODUCT(($E$3:$E$165=E140)*$G$3:$G$165*$F$3:$F$165)/SUMPRODUCT(($E$3:$E$165=E140)*$G$3:$G$165)</f>
        <v/>
      </c>
      <c r="I140" s="11">
        <f>SUMPRODUCT(($D$3:$D$165=D140)*$G$3:$G$165*$F$3:$F$165)/SUMPRODUCT(($D$3:$D$165=D140)*$G$3:$G$165)</f>
        <v/>
      </c>
      <c r="J140" s="11">
        <f>SUMPRODUCT(($C$3:$C$165=C140)*$G$3:$G$165*$F$3:$F$165)/SUMPRODUCT(($C$3:$C$165=C140)*$G$3:$G$165)</f>
        <v/>
      </c>
      <c r="K140" s="21">
        <f>I140/J140</f>
        <v/>
      </c>
      <c r="L140" s="21">
        <f>H140/I140</f>
        <v/>
      </c>
      <c r="M140" s="21">
        <f>F140/H140</f>
        <v/>
      </c>
      <c r="N140" s="22">
        <f>INDEX('4_UK_L1_Input'!$C$4:$C$14,MATCH($C140,'4_UK_L1_Input'!$A$4:$A$14,0))*K140*L140*M140</f>
        <v/>
      </c>
      <c r="O140" s="22">
        <f>INDEX('4_UK_L1_Input'!$D$4:$D$14,MATCH($C140,'4_UK_L1_Input'!$A$4:$A$14,0))*K140*L140*M140</f>
        <v/>
      </c>
      <c r="P140" s="15" t="n">
        <v>109680000</v>
      </c>
      <c r="Q140" s="15" t="n">
        <v>378510000</v>
      </c>
      <c r="R140" s="16" t="n">
        <v>5.93</v>
      </c>
      <c r="S140" s="11">
        <f>IFERROR(SUMPRODUCT(($E$3:$E$165=E140)*ISNUMBER($P$3:$P$165)*$P$3:$P$165*$F$3:$F$165)/SUMPRODUCT(($E$3:$E$165=E140)*ISNUMBER($P$3:$P$165)*$P$3:$P$165),"")</f>
        <v/>
      </c>
      <c r="T140" s="11">
        <f>IFERROR(SUMPRODUCT(($D$3:$D$165=D140)*ISNUMBER($P$3:$P$165)*$P$3:$P$165*$F$3:$F$165)/SUMPRODUCT(($D$3:$D$165=D140)*ISNUMBER($P$3:$P$165)*$P$3:$P$165),"")</f>
        <v/>
      </c>
      <c r="U140" s="11">
        <f>IFERROR(SUMPRODUCT(($C$3:$C$165=C140)*ISNUMBER($P$3:$P$165)*$P$3:$P$165*$F$3:$F$165)/SUMPRODUCT(($C$3:$C$165=C140)*ISNUMBER($P$3:$P$165)*$P$3:$P$165),"")</f>
        <v/>
      </c>
      <c r="V140" s="21">
        <f>IF(OR(T140="",U140=""),"",T140/U140)</f>
        <v/>
      </c>
      <c r="W140" s="21">
        <f>IF(OR(S140="",T140=""),"",S140/T140)</f>
        <v/>
      </c>
      <c r="X140" s="21">
        <f>IF(S140="","",F140/S140)</f>
        <v/>
      </c>
      <c r="Y140" s="22">
        <f>IF(V140="",N140,INDEX('4_UK_L1_Input'!$C$4:$C$14,MATCH($C140,'4_UK_L1_Input'!$A$4:$A$14,0))*V140*W140*X140)</f>
        <v/>
      </c>
      <c r="Z140" s="7">
        <f>IF(V140="","BETA FALLBACK","REAL (Bloomberg UK)")</f>
        <v/>
      </c>
      <c r="AA140" s="21">
        <f>IFERROR(SUMPRODUCT(($C$3:$C$165=C140)*ISNUMBER($R$3:$R$165)*$Q$3:$Q$165*IF(ISNUMBER($R$3:$R$165),$R$3:$R$165,0))/SUMPRODUCT(($C$3:$C$165=C140)*ISNUMBER($R$3:$R$165)*$Q$3:$Q$165),"")</f>
        <v/>
      </c>
      <c r="AB140" s="21">
        <f>IF(OR(R140="",AA140=""),"",R140/AA140)</f>
        <v/>
      </c>
      <c r="AC140" s="22">
        <f>IF(AB140="",O140,INDEX('4_UK_L1_Input'!$D$4:$D$14,MATCH($C140,'4_UK_L1_Input'!$A$4:$A$14,0))*AB140)</f>
        <v/>
      </c>
      <c r="AD140" s="7">
        <f>IF(AB140="","BETA FALLBACK","REAL (Bloomberg UK)")</f>
        <v/>
      </c>
      <c r="AE140" s="23">
        <f>Y140-N140</f>
        <v/>
      </c>
      <c r="AF140" s="23">
        <f>AC140-O140</f>
        <v/>
      </c>
    </row>
    <row r="141">
      <c r="A141" s="7" t="n">
        <v>50202020</v>
      </c>
      <c r="B141" s="7" t="inlineStr">
        <is>
          <t>Interactive Home Entertainment</t>
        </is>
      </c>
      <c r="C141" s="7" t="n">
        <v>50</v>
      </c>
      <c r="D141" s="7" t="n">
        <v>5020</v>
      </c>
      <c r="E141" s="7" t="n">
        <v>502020</v>
      </c>
      <c r="F141" s="7" t="n">
        <v>1.00693</v>
      </c>
      <c r="G141" s="7" t="n">
        <v>1</v>
      </c>
      <c r="H141" s="11">
        <f>SUMPRODUCT(($E$3:$E$165=E141)*$G$3:$G$165*$F$3:$F$165)/SUMPRODUCT(($E$3:$E$165=E141)*$G$3:$G$165)</f>
        <v/>
      </c>
      <c r="I141" s="11">
        <f>SUMPRODUCT(($D$3:$D$165=D141)*$G$3:$G$165*$F$3:$F$165)/SUMPRODUCT(($D$3:$D$165=D141)*$G$3:$G$165)</f>
        <v/>
      </c>
      <c r="J141" s="11">
        <f>SUMPRODUCT(($C$3:$C$165=C141)*$G$3:$G$165*$F$3:$F$165)/SUMPRODUCT(($C$3:$C$165=C141)*$G$3:$G$165)</f>
        <v/>
      </c>
      <c r="K141" s="21">
        <f>I141/J141</f>
        <v/>
      </c>
      <c r="L141" s="21">
        <f>H141/I141</f>
        <v/>
      </c>
      <c r="M141" s="21">
        <f>F141/H141</f>
        <v/>
      </c>
      <c r="N141" s="22">
        <f>INDEX('4_UK_L1_Input'!$C$4:$C$14,MATCH($C141,'4_UK_L1_Input'!$A$4:$A$14,0))*K141*L141*M141</f>
        <v/>
      </c>
      <c r="O141" s="22">
        <f>INDEX('4_UK_L1_Input'!$D$4:$D$14,MATCH($C141,'4_UK_L1_Input'!$A$4:$A$14,0))*K141*L141*M141</f>
        <v/>
      </c>
      <c r="P141" s="15" t="n">
        <v>62650000</v>
      </c>
      <c r="Q141" s="15" t="n">
        <v>130160000</v>
      </c>
      <c r="R141" s="16" t="n">
        <v>4.49</v>
      </c>
      <c r="S141" s="11">
        <f>IFERROR(SUMPRODUCT(($E$3:$E$165=E141)*ISNUMBER($P$3:$P$165)*$P$3:$P$165*$F$3:$F$165)/SUMPRODUCT(($E$3:$E$165=E141)*ISNUMBER($P$3:$P$165)*$P$3:$P$165),"")</f>
        <v/>
      </c>
      <c r="T141" s="11">
        <f>IFERROR(SUMPRODUCT(($D$3:$D$165=D141)*ISNUMBER($P$3:$P$165)*$P$3:$P$165*$F$3:$F$165)/SUMPRODUCT(($D$3:$D$165=D141)*ISNUMBER($P$3:$P$165)*$P$3:$P$165),"")</f>
        <v/>
      </c>
      <c r="U141" s="11">
        <f>IFERROR(SUMPRODUCT(($C$3:$C$165=C141)*ISNUMBER($P$3:$P$165)*$P$3:$P$165*$F$3:$F$165)/SUMPRODUCT(($C$3:$C$165=C141)*ISNUMBER($P$3:$P$165)*$P$3:$P$165),"")</f>
        <v/>
      </c>
      <c r="V141" s="21">
        <f>IF(OR(T141="",U141=""),"",T141/U141)</f>
        <v/>
      </c>
      <c r="W141" s="21">
        <f>IF(OR(S141="",T141=""),"",S141/T141)</f>
        <v/>
      </c>
      <c r="X141" s="21">
        <f>IF(S141="","",F141/S141)</f>
        <v/>
      </c>
      <c r="Y141" s="22">
        <f>IF(V141="",N141,INDEX('4_UK_L1_Input'!$C$4:$C$14,MATCH($C141,'4_UK_L1_Input'!$A$4:$A$14,0))*V141*W141*X141)</f>
        <v/>
      </c>
      <c r="Z141" s="7">
        <f>IF(V141="","BETA FALLBACK","REAL (Bloomberg UK)")</f>
        <v/>
      </c>
      <c r="AA141" s="21">
        <f>IFERROR(SUMPRODUCT(($C$3:$C$165=C141)*ISNUMBER($R$3:$R$165)*$Q$3:$Q$165*IF(ISNUMBER($R$3:$R$165),$R$3:$R$165,0))/SUMPRODUCT(($C$3:$C$165=C141)*ISNUMBER($R$3:$R$165)*$Q$3:$Q$165),"")</f>
        <v/>
      </c>
      <c r="AB141" s="21">
        <f>IF(OR(R141="",AA141=""),"",R141/AA141)</f>
        <v/>
      </c>
      <c r="AC141" s="22">
        <f>IF(AB141="",O141,INDEX('4_UK_L1_Input'!$D$4:$D$14,MATCH($C141,'4_UK_L1_Input'!$A$4:$A$14,0))*AB141)</f>
        <v/>
      </c>
      <c r="AD141" s="7">
        <f>IF(AB141="","BETA FALLBACK","REAL (Bloomberg UK)")</f>
        <v/>
      </c>
      <c r="AE141" s="23">
        <f>Y141-N141</f>
        <v/>
      </c>
      <c r="AF141" s="23">
        <f>AC141-O141</f>
        <v/>
      </c>
    </row>
    <row r="142">
      <c r="A142" s="7" t="n">
        <v>50203010</v>
      </c>
      <c r="B142" s="7" t="inlineStr">
        <is>
          <t>Interactive Media &amp; Services</t>
        </is>
      </c>
      <c r="C142" s="7" t="n">
        <v>50</v>
      </c>
      <c r="D142" s="7" t="n">
        <v>5020</v>
      </c>
      <c r="E142" s="7" t="n">
        <v>502030</v>
      </c>
      <c r="F142" s="7" t="n">
        <v>1.413715</v>
      </c>
      <c r="G142" s="7" t="n">
        <v>1</v>
      </c>
      <c r="H142" s="11">
        <f>SUMPRODUCT(($E$3:$E$165=E142)*$G$3:$G$165*$F$3:$F$165)/SUMPRODUCT(($E$3:$E$165=E142)*$G$3:$G$165)</f>
        <v/>
      </c>
      <c r="I142" s="11">
        <f>SUMPRODUCT(($D$3:$D$165=D142)*$G$3:$G$165*$F$3:$F$165)/SUMPRODUCT(($D$3:$D$165=D142)*$G$3:$G$165)</f>
        <v/>
      </c>
      <c r="J142" s="11">
        <f>SUMPRODUCT(($C$3:$C$165=C142)*$G$3:$G$165*$F$3:$F$165)/SUMPRODUCT(($C$3:$C$165=C142)*$G$3:$G$165)</f>
        <v/>
      </c>
      <c r="K142" s="21">
        <f>I142/J142</f>
        <v/>
      </c>
      <c r="L142" s="21">
        <f>H142/I142</f>
        <v/>
      </c>
      <c r="M142" s="21">
        <f>F142/H142</f>
        <v/>
      </c>
      <c r="N142" s="22">
        <f>INDEX('4_UK_L1_Input'!$C$4:$C$14,MATCH($C142,'4_UK_L1_Input'!$A$4:$A$14,0))*K142*L142*M142</f>
        <v/>
      </c>
      <c r="O142" s="22">
        <f>INDEX('4_UK_L1_Input'!$D$4:$D$14,MATCH($C142,'4_UK_L1_Input'!$A$4:$A$14,0))*K142*L142*M142</f>
        <v/>
      </c>
      <c r="P142" s="15" t="n">
        <v>237960000</v>
      </c>
      <c r="Q142" s="15" t="n">
        <v>1250000000</v>
      </c>
      <c r="R142" s="16" t="n">
        <v>14.42</v>
      </c>
      <c r="S142" s="11">
        <f>IFERROR(SUMPRODUCT(($E$3:$E$165=E142)*ISNUMBER($P$3:$P$165)*$P$3:$P$165*$F$3:$F$165)/SUMPRODUCT(($E$3:$E$165=E142)*ISNUMBER($P$3:$P$165)*$P$3:$P$165),"")</f>
        <v/>
      </c>
      <c r="T142" s="11">
        <f>IFERROR(SUMPRODUCT(($D$3:$D$165=D142)*ISNUMBER($P$3:$P$165)*$P$3:$P$165*$F$3:$F$165)/SUMPRODUCT(($D$3:$D$165=D142)*ISNUMBER($P$3:$P$165)*$P$3:$P$165),"")</f>
        <v/>
      </c>
      <c r="U142" s="11">
        <f>IFERROR(SUMPRODUCT(($C$3:$C$165=C142)*ISNUMBER($P$3:$P$165)*$P$3:$P$165*$F$3:$F$165)/SUMPRODUCT(($C$3:$C$165=C142)*ISNUMBER($P$3:$P$165)*$P$3:$P$165),"")</f>
        <v/>
      </c>
      <c r="V142" s="21">
        <f>IF(OR(T142="",U142=""),"",T142/U142)</f>
        <v/>
      </c>
      <c r="W142" s="21">
        <f>IF(OR(S142="",T142=""),"",S142/T142)</f>
        <v/>
      </c>
      <c r="X142" s="21">
        <f>IF(S142="","",F142/S142)</f>
        <v/>
      </c>
      <c r="Y142" s="22">
        <f>IF(V142="",N142,INDEX('4_UK_L1_Input'!$C$4:$C$14,MATCH($C142,'4_UK_L1_Input'!$A$4:$A$14,0))*V142*W142*X142)</f>
        <v/>
      </c>
      <c r="Z142" s="7">
        <f>IF(V142="","BETA FALLBACK","REAL (Bloomberg UK)")</f>
        <v/>
      </c>
      <c r="AA142" s="21">
        <f>IFERROR(SUMPRODUCT(($C$3:$C$165=C142)*ISNUMBER($R$3:$R$165)*$Q$3:$Q$165*IF(ISNUMBER($R$3:$R$165),$R$3:$R$165,0))/SUMPRODUCT(($C$3:$C$165=C142)*ISNUMBER($R$3:$R$165)*$Q$3:$Q$165),"")</f>
        <v/>
      </c>
      <c r="AB142" s="21">
        <f>IF(OR(R142="",AA142=""),"",R142/AA142)</f>
        <v/>
      </c>
      <c r="AC142" s="22">
        <f>IF(AB142="",O142,INDEX('4_UK_L1_Input'!$D$4:$D$14,MATCH($C142,'4_UK_L1_Input'!$A$4:$A$14,0))*AB142)</f>
        <v/>
      </c>
      <c r="AD142" s="7">
        <f>IF(AB142="","BETA FALLBACK","REAL (Bloomberg UK)")</f>
        <v/>
      </c>
      <c r="AE142" s="23">
        <f>Y142-N142</f>
        <v/>
      </c>
      <c r="AF142" s="23">
        <f>AC142-O142</f>
        <v/>
      </c>
    </row>
    <row r="143">
      <c r="A143" s="7" t="n">
        <v>55101010</v>
      </c>
      <c r="B143" s="7" t="inlineStr">
        <is>
          <t>Electric Utilities</t>
        </is>
      </c>
      <c r="C143" s="7" t="n">
        <v>55</v>
      </c>
      <c r="D143" s="7" t="n">
        <v>5510</v>
      </c>
      <c r="E143" s="7" t="n">
        <v>551010</v>
      </c>
      <c r="F143" s="7" t="n">
        <v>0.462384</v>
      </c>
      <c r="G143" s="7" t="n">
        <v>1</v>
      </c>
      <c r="H143" s="11">
        <f>SUMPRODUCT(($E$3:$E$165=E143)*$G$3:$G$165*$F$3:$F$165)/SUMPRODUCT(($E$3:$E$165=E143)*$G$3:$G$165)</f>
        <v/>
      </c>
      <c r="I143" s="11">
        <f>SUMPRODUCT(($D$3:$D$165=D143)*$G$3:$G$165*$F$3:$F$165)/SUMPRODUCT(($D$3:$D$165=D143)*$G$3:$G$165)</f>
        <v/>
      </c>
      <c r="J143" s="11">
        <f>SUMPRODUCT(($C$3:$C$165=C143)*$G$3:$G$165*$F$3:$F$165)/SUMPRODUCT(($C$3:$C$165=C143)*$G$3:$G$165)</f>
        <v/>
      </c>
      <c r="K143" s="21">
        <f>I143/J143</f>
        <v/>
      </c>
      <c r="L143" s="21">
        <f>H143/I143</f>
        <v/>
      </c>
      <c r="M143" s="21">
        <f>F143/H143</f>
        <v/>
      </c>
      <c r="N143" s="22">
        <f>INDEX('4_UK_L1_Input'!$C$4:$C$14,MATCH($C143,'4_UK_L1_Input'!$A$4:$A$14,0))*K143*L143*M143</f>
        <v/>
      </c>
      <c r="O143" s="22">
        <f>INDEX('4_UK_L1_Input'!$D$4:$D$14,MATCH($C143,'4_UK_L1_Input'!$A$4:$A$14,0))*K143*L143*M143</f>
        <v/>
      </c>
      <c r="P143" s="15" t="n">
        <v>3450000000</v>
      </c>
      <c r="Q143" s="15" t="n">
        <v>14560000000</v>
      </c>
      <c r="R143" s="16" t="n">
        <v>10.21</v>
      </c>
      <c r="S143" s="11">
        <f>IFERROR(SUMPRODUCT(($E$3:$E$165=E143)*ISNUMBER($P$3:$P$165)*$P$3:$P$165*$F$3:$F$165)/SUMPRODUCT(($E$3:$E$165=E143)*ISNUMBER($P$3:$P$165)*$P$3:$P$165),"")</f>
        <v/>
      </c>
      <c r="T143" s="11">
        <f>IFERROR(SUMPRODUCT(($D$3:$D$165=D143)*ISNUMBER($P$3:$P$165)*$P$3:$P$165*$F$3:$F$165)/SUMPRODUCT(($D$3:$D$165=D143)*ISNUMBER($P$3:$P$165)*$P$3:$P$165),"")</f>
        <v/>
      </c>
      <c r="U143" s="11">
        <f>IFERROR(SUMPRODUCT(($C$3:$C$165=C143)*ISNUMBER($P$3:$P$165)*$P$3:$P$165*$F$3:$F$165)/SUMPRODUCT(($C$3:$C$165=C143)*ISNUMBER($P$3:$P$165)*$P$3:$P$165),"")</f>
        <v/>
      </c>
      <c r="V143" s="21">
        <f>IF(OR(T143="",U143=""),"",T143/U143)</f>
        <v/>
      </c>
      <c r="W143" s="21">
        <f>IF(OR(S143="",T143=""),"",S143/T143)</f>
        <v/>
      </c>
      <c r="X143" s="21">
        <f>IF(S143="","",F143/S143)</f>
        <v/>
      </c>
      <c r="Y143" s="22">
        <f>IF(V143="",N143,INDEX('4_UK_L1_Input'!$C$4:$C$14,MATCH($C143,'4_UK_L1_Input'!$A$4:$A$14,0))*V143*W143*X143)</f>
        <v/>
      </c>
      <c r="Z143" s="7">
        <f>IF(V143="","BETA FALLBACK","REAL (Bloomberg UK)")</f>
        <v/>
      </c>
      <c r="AA143" s="21">
        <f>IFERROR(SUMPRODUCT(($C$3:$C$165=C143)*ISNUMBER($R$3:$R$165)*$Q$3:$Q$165*IF(ISNUMBER($R$3:$R$165),$R$3:$R$165,0))/SUMPRODUCT(($C$3:$C$165=C143)*ISNUMBER($R$3:$R$165)*$Q$3:$Q$165),"")</f>
        <v/>
      </c>
      <c r="AB143" s="21">
        <f>IF(OR(R143="",AA143=""),"",R143/AA143)</f>
        <v/>
      </c>
      <c r="AC143" s="22">
        <f>IF(AB143="",O143,INDEX('4_UK_L1_Input'!$D$4:$D$14,MATCH($C143,'4_UK_L1_Input'!$A$4:$A$14,0))*AB143)</f>
        <v/>
      </c>
      <c r="AD143" s="7">
        <f>IF(AB143="","BETA FALLBACK","REAL (Bloomberg UK)")</f>
        <v/>
      </c>
      <c r="AE143" s="23">
        <f>Y143-N143</f>
        <v/>
      </c>
      <c r="AF143" s="23">
        <f>AC143-O143</f>
        <v/>
      </c>
    </row>
    <row r="144">
      <c r="A144" s="7" t="n">
        <v>55102010</v>
      </c>
      <c r="B144" s="7" t="inlineStr">
        <is>
          <t>Gas Utilities</t>
        </is>
      </c>
      <c r="C144" s="7" t="n">
        <v>55</v>
      </c>
      <c r="D144" s="7" t="n">
        <v>5510</v>
      </c>
      <c r="E144" s="7" t="n">
        <v>551020</v>
      </c>
      <c r="F144" s="7" t="n">
        <v>0.462384</v>
      </c>
      <c r="G144" s="7" t="n">
        <v>1</v>
      </c>
      <c r="H144" s="11">
        <f>SUMPRODUCT(($E$3:$E$165=E144)*$G$3:$G$165*$F$3:$F$165)/SUMPRODUCT(($E$3:$E$165=E144)*$G$3:$G$165)</f>
        <v/>
      </c>
      <c r="I144" s="11">
        <f>SUMPRODUCT(($D$3:$D$165=D144)*$G$3:$G$165*$F$3:$F$165)/SUMPRODUCT(($D$3:$D$165=D144)*$G$3:$G$165)</f>
        <v/>
      </c>
      <c r="J144" s="11">
        <f>SUMPRODUCT(($C$3:$C$165=C144)*$G$3:$G$165*$F$3:$F$165)/SUMPRODUCT(($C$3:$C$165=C144)*$G$3:$G$165)</f>
        <v/>
      </c>
      <c r="K144" s="21">
        <f>I144/J144</f>
        <v/>
      </c>
      <c r="L144" s="21">
        <f>H144/I144</f>
        <v/>
      </c>
      <c r="M144" s="21">
        <f>F144/H144</f>
        <v/>
      </c>
      <c r="N144" s="22">
        <f>INDEX('4_UK_L1_Input'!$C$4:$C$14,MATCH($C144,'4_UK_L1_Input'!$A$4:$A$14,0))*K144*L144*M144</f>
        <v/>
      </c>
      <c r="O144" s="22">
        <f>INDEX('4_UK_L1_Input'!$D$4:$D$14,MATCH($C144,'4_UK_L1_Input'!$A$4:$A$14,0))*K144*L144*M144</f>
        <v/>
      </c>
      <c r="P144" s="14" t="n"/>
      <c r="Q144" s="14" t="n"/>
      <c r="R144" s="14" t="n"/>
      <c r="S144" s="11">
        <f>IFERROR(SUMPRODUCT(($E$3:$E$165=E144)*ISNUMBER($P$3:$P$165)*$P$3:$P$165*$F$3:$F$165)/SUMPRODUCT(($E$3:$E$165=E144)*ISNUMBER($P$3:$P$165)*$P$3:$P$165),"")</f>
        <v/>
      </c>
      <c r="T144" s="11">
        <f>IFERROR(SUMPRODUCT(($D$3:$D$165=D144)*ISNUMBER($P$3:$P$165)*$P$3:$P$165*$F$3:$F$165)/SUMPRODUCT(($D$3:$D$165=D144)*ISNUMBER($P$3:$P$165)*$P$3:$P$165),"")</f>
        <v/>
      </c>
      <c r="U144" s="11">
        <f>IFERROR(SUMPRODUCT(($C$3:$C$165=C144)*ISNUMBER($P$3:$P$165)*$P$3:$P$165*$F$3:$F$165)/SUMPRODUCT(($C$3:$C$165=C144)*ISNUMBER($P$3:$P$165)*$P$3:$P$165),"")</f>
        <v/>
      </c>
      <c r="V144" s="21">
        <f>IF(OR(T144="",U144=""),"",T144/U144)</f>
        <v/>
      </c>
      <c r="W144" s="21">
        <f>IF(OR(S144="",T144=""),"",S144/T144)</f>
        <v/>
      </c>
      <c r="X144" s="21">
        <f>IF(S144="","",F144/S144)</f>
        <v/>
      </c>
      <c r="Y144" s="22">
        <f>IF(V144="",N144,INDEX('4_UK_L1_Input'!$C$4:$C$14,MATCH($C144,'4_UK_L1_Input'!$A$4:$A$14,0))*V144*W144*X144)</f>
        <v/>
      </c>
      <c r="Z144" s="7">
        <f>IF(V144="","BETA FALLBACK","REAL (Bloomberg UK)")</f>
        <v/>
      </c>
      <c r="AA144" s="21">
        <f>IFERROR(SUMPRODUCT(($C$3:$C$165=C144)*ISNUMBER($R$3:$R$165)*$Q$3:$Q$165*IF(ISNUMBER($R$3:$R$165),$R$3:$R$165,0))/SUMPRODUCT(($C$3:$C$165=C144)*ISNUMBER($R$3:$R$165)*$Q$3:$Q$165),"")</f>
        <v/>
      </c>
      <c r="AB144" s="21">
        <f>IF(OR(R144="",AA144=""),"",R144/AA144)</f>
        <v/>
      </c>
      <c r="AC144" s="22">
        <f>IF(AB144="",O144,INDEX('4_UK_L1_Input'!$D$4:$D$14,MATCH($C144,'4_UK_L1_Input'!$A$4:$A$14,0))*AB144)</f>
        <v/>
      </c>
      <c r="AD144" s="7">
        <f>IF(AB144="","BETA FALLBACK","REAL (Bloomberg UK)")</f>
        <v/>
      </c>
      <c r="AE144" s="23">
        <f>Y144-N144</f>
        <v/>
      </c>
      <c r="AF144" s="23">
        <f>AC144-O144</f>
        <v/>
      </c>
    </row>
    <row r="145">
      <c r="A145" s="7" t="n">
        <v>55103010</v>
      </c>
      <c r="B145" s="7" t="inlineStr">
        <is>
          <t>Multi-Utilities</t>
        </is>
      </c>
      <c r="C145" s="7" t="n">
        <v>55</v>
      </c>
      <c r="D145" s="7" t="n">
        <v>5510</v>
      </c>
      <c r="E145" s="7" t="n">
        <v>551030</v>
      </c>
      <c r="F145" s="7" t="n">
        <v>0.462384</v>
      </c>
      <c r="G145" s="7" t="n">
        <v>1</v>
      </c>
      <c r="H145" s="11">
        <f>SUMPRODUCT(($E$3:$E$165=E145)*$G$3:$G$165*$F$3:$F$165)/SUMPRODUCT(($E$3:$E$165=E145)*$G$3:$G$165)</f>
        <v/>
      </c>
      <c r="I145" s="11">
        <f>SUMPRODUCT(($D$3:$D$165=D145)*$G$3:$G$165*$F$3:$F$165)/SUMPRODUCT(($D$3:$D$165=D145)*$G$3:$G$165)</f>
        <v/>
      </c>
      <c r="J145" s="11">
        <f>SUMPRODUCT(($C$3:$C$165=C145)*$G$3:$G$165*$F$3:$F$165)/SUMPRODUCT(($C$3:$C$165=C145)*$G$3:$G$165)</f>
        <v/>
      </c>
      <c r="K145" s="21">
        <f>I145/J145</f>
        <v/>
      </c>
      <c r="L145" s="21">
        <f>H145/I145</f>
        <v/>
      </c>
      <c r="M145" s="21">
        <f>F145/H145</f>
        <v/>
      </c>
      <c r="N145" s="22">
        <f>INDEX('4_UK_L1_Input'!$C$4:$C$14,MATCH($C145,'4_UK_L1_Input'!$A$4:$A$14,0))*K145*L145*M145</f>
        <v/>
      </c>
      <c r="O145" s="22">
        <f>INDEX('4_UK_L1_Input'!$D$4:$D$14,MATCH($C145,'4_UK_L1_Input'!$A$4:$A$14,0))*K145*L145*M145</f>
        <v/>
      </c>
      <c r="P145" s="15" t="n">
        <v>13060000000</v>
      </c>
      <c r="Q145" s="15" t="n">
        <v>22710000000</v>
      </c>
      <c r="R145" s="16" t="n">
        <v>8.119999999999999</v>
      </c>
      <c r="S145" s="11">
        <f>IFERROR(SUMPRODUCT(($E$3:$E$165=E145)*ISNUMBER($P$3:$P$165)*$P$3:$P$165*$F$3:$F$165)/SUMPRODUCT(($E$3:$E$165=E145)*ISNUMBER($P$3:$P$165)*$P$3:$P$165),"")</f>
        <v/>
      </c>
      <c r="T145" s="11">
        <f>IFERROR(SUMPRODUCT(($D$3:$D$165=D145)*ISNUMBER($P$3:$P$165)*$P$3:$P$165*$F$3:$F$165)/SUMPRODUCT(($D$3:$D$165=D145)*ISNUMBER($P$3:$P$165)*$P$3:$P$165),"")</f>
        <v/>
      </c>
      <c r="U145" s="11">
        <f>IFERROR(SUMPRODUCT(($C$3:$C$165=C145)*ISNUMBER($P$3:$P$165)*$P$3:$P$165*$F$3:$F$165)/SUMPRODUCT(($C$3:$C$165=C145)*ISNUMBER($P$3:$P$165)*$P$3:$P$165),"")</f>
        <v/>
      </c>
      <c r="V145" s="21">
        <f>IF(OR(T145="",U145=""),"",T145/U145)</f>
        <v/>
      </c>
      <c r="W145" s="21">
        <f>IF(OR(S145="",T145=""),"",S145/T145)</f>
        <v/>
      </c>
      <c r="X145" s="21">
        <f>IF(S145="","",F145/S145)</f>
        <v/>
      </c>
      <c r="Y145" s="22">
        <f>IF(V145="",N145,INDEX('4_UK_L1_Input'!$C$4:$C$14,MATCH($C145,'4_UK_L1_Input'!$A$4:$A$14,0))*V145*W145*X145)</f>
        <v/>
      </c>
      <c r="Z145" s="7">
        <f>IF(V145="","BETA FALLBACK","REAL (Bloomberg UK)")</f>
        <v/>
      </c>
      <c r="AA145" s="21">
        <f>IFERROR(SUMPRODUCT(($C$3:$C$165=C145)*ISNUMBER($R$3:$R$165)*$Q$3:$Q$165*IF(ISNUMBER($R$3:$R$165),$R$3:$R$165,0))/SUMPRODUCT(($C$3:$C$165=C145)*ISNUMBER($R$3:$R$165)*$Q$3:$Q$165),"")</f>
        <v/>
      </c>
      <c r="AB145" s="21">
        <f>IF(OR(R145="",AA145=""),"",R145/AA145)</f>
        <v/>
      </c>
      <c r="AC145" s="22">
        <f>IF(AB145="",O145,INDEX('4_UK_L1_Input'!$D$4:$D$14,MATCH($C145,'4_UK_L1_Input'!$A$4:$A$14,0))*AB145)</f>
        <v/>
      </c>
      <c r="AD145" s="7">
        <f>IF(AB145="","BETA FALLBACK","REAL (Bloomberg UK)")</f>
        <v/>
      </c>
      <c r="AE145" s="23">
        <f>Y145-N145</f>
        <v/>
      </c>
      <c r="AF145" s="23">
        <f>AC145-O145</f>
        <v/>
      </c>
    </row>
    <row r="146">
      <c r="A146" s="7" t="n">
        <v>55104010</v>
      </c>
      <c r="B146" s="7" t="inlineStr">
        <is>
          <t>Water Utilities</t>
        </is>
      </c>
      <c r="C146" s="7" t="n">
        <v>55</v>
      </c>
      <c r="D146" s="7" t="n">
        <v>5510</v>
      </c>
      <c r="E146" s="7" t="n">
        <v>551040</v>
      </c>
      <c r="F146" s="7" t="n">
        <v>0.540179</v>
      </c>
      <c r="G146" s="7" t="n">
        <v>1</v>
      </c>
      <c r="H146" s="11">
        <f>SUMPRODUCT(($E$3:$E$165=E146)*$G$3:$G$165*$F$3:$F$165)/SUMPRODUCT(($E$3:$E$165=E146)*$G$3:$G$165)</f>
        <v/>
      </c>
      <c r="I146" s="11">
        <f>SUMPRODUCT(($D$3:$D$165=D146)*$G$3:$G$165*$F$3:$F$165)/SUMPRODUCT(($D$3:$D$165=D146)*$G$3:$G$165)</f>
        <v/>
      </c>
      <c r="J146" s="11">
        <f>SUMPRODUCT(($C$3:$C$165=C146)*$G$3:$G$165*$F$3:$F$165)/SUMPRODUCT(($C$3:$C$165=C146)*$G$3:$G$165)</f>
        <v/>
      </c>
      <c r="K146" s="21">
        <f>I146/J146</f>
        <v/>
      </c>
      <c r="L146" s="21">
        <f>H146/I146</f>
        <v/>
      </c>
      <c r="M146" s="21">
        <f>F146/H146</f>
        <v/>
      </c>
      <c r="N146" s="22">
        <f>INDEX('4_UK_L1_Input'!$C$4:$C$14,MATCH($C146,'4_UK_L1_Input'!$A$4:$A$14,0))*K146*L146*M146</f>
        <v/>
      </c>
      <c r="O146" s="22">
        <f>INDEX('4_UK_L1_Input'!$D$4:$D$14,MATCH($C146,'4_UK_L1_Input'!$A$4:$A$14,0))*K146*L146*M146</f>
        <v/>
      </c>
      <c r="P146" s="15" t="n">
        <v>2250000000</v>
      </c>
      <c r="Q146" s="15" t="n">
        <v>7460000000</v>
      </c>
      <c r="R146" s="16" t="n">
        <v>12.92</v>
      </c>
      <c r="S146" s="11">
        <f>IFERROR(SUMPRODUCT(($E$3:$E$165=E146)*ISNUMBER($P$3:$P$165)*$P$3:$P$165*$F$3:$F$165)/SUMPRODUCT(($E$3:$E$165=E146)*ISNUMBER($P$3:$P$165)*$P$3:$P$165),"")</f>
        <v/>
      </c>
      <c r="T146" s="11">
        <f>IFERROR(SUMPRODUCT(($D$3:$D$165=D146)*ISNUMBER($P$3:$P$165)*$P$3:$P$165*$F$3:$F$165)/SUMPRODUCT(($D$3:$D$165=D146)*ISNUMBER($P$3:$P$165)*$P$3:$P$165),"")</f>
        <v/>
      </c>
      <c r="U146" s="11">
        <f>IFERROR(SUMPRODUCT(($C$3:$C$165=C146)*ISNUMBER($P$3:$P$165)*$P$3:$P$165*$F$3:$F$165)/SUMPRODUCT(($C$3:$C$165=C146)*ISNUMBER($P$3:$P$165)*$P$3:$P$165),"")</f>
        <v/>
      </c>
      <c r="V146" s="21">
        <f>IF(OR(T146="",U146=""),"",T146/U146)</f>
        <v/>
      </c>
      <c r="W146" s="21">
        <f>IF(OR(S146="",T146=""),"",S146/T146)</f>
        <v/>
      </c>
      <c r="X146" s="21">
        <f>IF(S146="","",F146/S146)</f>
        <v/>
      </c>
      <c r="Y146" s="22">
        <f>IF(V146="",N146,INDEX('4_UK_L1_Input'!$C$4:$C$14,MATCH($C146,'4_UK_L1_Input'!$A$4:$A$14,0))*V146*W146*X146)</f>
        <v/>
      </c>
      <c r="Z146" s="7">
        <f>IF(V146="","BETA FALLBACK","REAL (Bloomberg UK)")</f>
        <v/>
      </c>
      <c r="AA146" s="21">
        <f>IFERROR(SUMPRODUCT(($C$3:$C$165=C146)*ISNUMBER($R$3:$R$165)*$Q$3:$Q$165*IF(ISNUMBER($R$3:$R$165),$R$3:$R$165,0))/SUMPRODUCT(($C$3:$C$165=C146)*ISNUMBER($R$3:$R$165)*$Q$3:$Q$165),"")</f>
        <v/>
      </c>
      <c r="AB146" s="21">
        <f>IF(OR(R146="",AA146=""),"",R146/AA146)</f>
        <v/>
      </c>
      <c r="AC146" s="22">
        <f>IF(AB146="",O146,INDEX('4_UK_L1_Input'!$D$4:$D$14,MATCH($C146,'4_UK_L1_Input'!$A$4:$A$14,0))*AB146)</f>
        <v/>
      </c>
      <c r="AD146" s="7">
        <f>IF(AB146="","BETA FALLBACK","REAL (Bloomberg UK)")</f>
        <v/>
      </c>
      <c r="AE146" s="23">
        <f>Y146-N146</f>
        <v/>
      </c>
      <c r="AF146" s="23">
        <f>AC146-O146</f>
        <v/>
      </c>
    </row>
    <row r="147">
      <c r="A147" s="7" t="n">
        <v>55105010</v>
      </c>
      <c r="B147" s="7" t="inlineStr">
        <is>
          <t>Independent Power Producers &amp; Energy Traders</t>
        </is>
      </c>
      <c r="C147" s="7" t="n">
        <v>55</v>
      </c>
      <c r="D147" s="7" t="n">
        <v>5510</v>
      </c>
      <c r="E147" s="7" t="n">
        <v>551050</v>
      </c>
      <c r="F147" s="7" t="n">
        <v>0.419291</v>
      </c>
      <c r="G147" s="7" t="n">
        <v>1</v>
      </c>
      <c r="H147" s="11">
        <f>SUMPRODUCT(($E$3:$E$165=E147)*$G$3:$G$165*$F$3:$F$165)/SUMPRODUCT(($E$3:$E$165=E147)*$G$3:$G$165)</f>
        <v/>
      </c>
      <c r="I147" s="11">
        <f>SUMPRODUCT(($D$3:$D$165=D147)*$G$3:$G$165*$F$3:$F$165)/SUMPRODUCT(($D$3:$D$165=D147)*$G$3:$G$165)</f>
        <v/>
      </c>
      <c r="J147" s="11">
        <f>SUMPRODUCT(($C$3:$C$165=C147)*$G$3:$G$165*$F$3:$F$165)/SUMPRODUCT(($C$3:$C$165=C147)*$G$3:$G$165)</f>
        <v/>
      </c>
      <c r="K147" s="21">
        <f>I147/J147</f>
        <v/>
      </c>
      <c r="L147" s="21">
        <f>H147/I147</f>
        <v/>
      </c>
      <c r="M147" s="21">
        <f>F147/H147</f>
        <v/>
      </c>
      <c r="N147" s="22">
        <f>INDEX('4_UK_L1_Input'!$C$4:$C$14,MATCH($C147,'4_UK_L1_Input'!$A$4:$A$14,0))*K147*L147*M147</f>
        <v/>
      </c>
      <c r="O147" s="22">
        <f>INDEX('4_UK_L1_Input'!$D$4:$D$14,MATCH($C147,'4_UK_L1_Input'!$A$4:$A$14,0))*K147*L147*M147</f>
        <v/>
      </c>
      <c r="P147" s="15" t="n">
        <v>204040000</v>
      </c>
      <c r="Q147" s="15" t="n">
        <v>304190000</v>
      </c>
      <c r="R147" s="16" t="n">
        <v>4.83</v>
      </c>
      <c r="S147" s="11">
        <f>IFERROR(SUMPRODUCT(($E$3:$E$165=E147)*ISNUMBER($P$3:$P$165)*$P$3:$P$165*$F$3:$F$165)/SUMPRODUCT(($E$3:$E$165=E147)*ISNUMBER($P$3:$P$165)*$P$3:$P$165),"")</f>
        <v/>
      </c>
      <c r="T147" s="11">
        <f>IFERROR(SUMPRODUCT(($D$3:$D$165=D147)*ISNUMBER($P$3:$P$165)*$P$3:$P$165*$F$3:$F$165)/SUMPRODUCT(($D$3:$D$165=D147)*ISNUMBER($P$3:$P$165)*$P$3:$P$165),"")</f>
        <v/>
      </c>
      <c r="U147" s="11">
        <f>IFERROR(SUMPRODUCT(($C$3:$C$165=C147)*ISNUMBER($P$3:$P$165)*$P$3:$P$165*$F$3:$F$165)/SUMPRODUCT(($C$3:$C$165=C147)*ISNUMBER($P$3:$P$165)*$P$3:$P$165),"")</f>
        <v/>
      </c>
      <c r="V147" s="21">
        <f>IF(OR(T147="",U147=""),"",T147/U147)</f>
        <v/>
      </c>
      <c r="W147" s="21">
        <f>IF(OR(S147="",T147=""),"",S147/T147)</f>
        <v/>
      </c>
      <c r="X147" s="21">
        <f>IF(S147="","",F147/S147)</f>
        <v/>
      </c>
      <c r="Y147" s="22">
        <f>IF(V147="",N147,INDEX('4_UK_L1_Input'!$C$4:$C$14,MATCH($C147,'4_UK_L1_Input'!$A$4:$A$14,0))*V147*W147*X147)</f>
        <v/>
      </c>
      <c r="Z147" s="7">
        <f>IF(V147="","BETA FALLBACK","REAL (Bloomberg UK)")</f>
        <v/>
      </c>
      <c r="AA147" s="21">
        <f>IFERROR(SUMPRODUCT(($C$3:$C$165=C147)*ISNUMBER($R$3:$R$165)*$Q$3:$Q$165*IF(ISNUMBER($R$3:$R$165),$R$3:$R$165,0))/SUMPRODUCT(($C$3:$C$165=C147)*ISNUMBER($R$3:$R$165)*$Q$3:$Q$165),"")</f>
        <v/>
      </c>
      <c r="AB147" s="21">
        <f>IF(OR(R147="",AA147=""),"",R147/AA147)</f>
        <v/>
      </c>
      <c r="AC147" s="22">
        <f>IF(AB147="",O147,INDEX('4_UK_L1_Input'!$D$4:$D$14,MATCH($C147,'4_UK_L1_Input'!$A$4:$A$14,0))*AB147)</f>
        <v/>
      </c>
      <c r="AD147" s="7">
        <f>IF(AB147="","BETA FALLBACK","REAL (Bloomberg UK)")</f>
        <v/>
      </c>
      <c r="AE147" s="23">
        <f>Y147-N147</f>
        <v/>
      </c>
      <c r="AF147" s="23">
        <f>AC147-O147</f>
        <v/>
      </c>
    </row>
    <row r="148">
      <c r="A148" s="7" t="n">
        <v>55105020</v>
      </c>
      <c r="B148" s="7" t="inlineStr">
        <is>
          <t>Renewable Electricity</t>
        </is>
      </c>
      <c r="C148" s="7" t="n">
        <v>55</v>
      </c>
      <c r="D148" s="7" t="n">
        <v>5510</v>
      </c>
      <c r="E148" s="7" t="n">
        <v>551050</v>
      </c>
      <c r="F148" s="7" t="n">
        <v>0.6437580000000001</v>
      </c>
      <c r="G148" s="7" t="n">
        <v>1</v>
      </c>
      <c r="H148" s="11">
        <f>SUMPRODUCT(($E$3:$E$165=E148)*$G$3:$G$165*$F$3:$F$165)/SUMPRODUCT(($E$3:$E$165=E148)*$G$3:$G$165)</f>
        <v/>
      </c>
      <c r="I148" s="11">
        <f>SUMPRODUCT(($D$3:$D$165=D148)*$G$3:$G$165*$F$3:$F$165)/SUMPRODUCT(($D$3:$D$165=D148)*$G$3:$G$165)</f>
        <v/>
      </c>
      <c r="J148" s="11">
        <f>SUMPRODUCT(($C$3:$C$165=C148)*$G$3:$G$165*$F$3:$F$165)/SUMPRODUCT(($C$3:$C$165=C148)*$G$3:$G$165)</f>
        <v/>
      </c>
      <c r="K148" s="21">
        <f>I148/J148</f>
        <v/>
      </c>
      <c r="L148" s="21">
        <f>H148/I148</f>
        <v/>
      </c>
      <c r="M148" s="21">
        <f>F148/H148</f>
        <v/>
      </c>
      <c r="N148" s="22">
        <f>INDEX('4_UK_L1_Input'!$C$4:$C$14,MATCH($C148,'4_UK_L1_Input'!$A$4:$A$14,0))*K148*L148*M148</f>
        <v/>
      </c>
      <c r="O148" s="22">
        <f>INDEX('4_UK_L1_Input'!$D$4:$D$14,MATCH($C148,'4_UK_L1_Input'!$A$4:$A$14,0))*K148*L148*M148</f>
        <v/>
      </c>
      <c r="P148" s="15" t="n">
        <v>1740000000</v>
      </c>
      <c r="Q148" s="15" t="n">
        <v>844110000</v>
      </c>
      <c r="R148" s="16" t="n">
        <v>3.84</v>
      </c>
      <c r="S148" s="11">
        <f>IFERROR(SUMPRODUCT(($E$3:$E$165=E148)*ISNUMBER($P$3:$P$165)*$P$3:$P$165*$F$3:$F$165)/SUMPRODUCT(($E$3:$E$165=E148)*ISNUMBER($P$3:$P$165)*$P$3:$P$165),"")</f>
        <v/>
      </c>
      <c r="T148" s="11">
        <f>IFERROR(SUMPRODUCT(($D$3:$D$165=D148)*ISNUMBER($P$3:$P$165)*$P$3:$P$165*$F$3:$F$165)/SUMPRODUCT(($D$3:$D$165=D148)*ISNUMBER($P$3:$P$165)*$P$3:$P$165),"")</f>
        <v/>
      </c>
      <c r="U148" s="11">
        <f>IFERROR(SUMPRODUCT(($C$3:$C$165=C148)*ISNUMBER($P$3:$P$165)*$P$3:$P$165*$F$3:$F$165)/SUMPRODUCT(($C$3:$C$165=C148)*ISNUMBER($P$3:$P$165)*$P$3:$P$165),"")</f>
        <v/>
      </c>
      <c r="V148" s="21">
        <f>IF(OR(T148="",U148=""),"",T148/U148)</f>
        <v/>
      </c>
      <c r="W148" s="21">
        <f>IF(OR(S148="",T148=""),"",S148/T148)</f>
        <v/>
      </c>
      <c r="X148" s="21">
        <f>IF(S148="","",F148/S148)</f>
        <v/>
      </c>
      <c r="Y148" s="22">
        <f>IF(V148="",N148,INDEX('4_UK_L1_Input'!$C$4:$C$14,MATCH($C148,'4_UK_L1_Input'!$A$4:$A$14,0))*V148*W148*X148)</f>
        <v/>
      </c>
      <c r="Z148" s="7">
        <f>IF(V148="","BETA FALLBACK","REAL (Bloomberg UK)")</f>
        <v/>
      </c>
      <c r="AA148" s="21">
        <f>IFERROR(SUMPRODUCT(($C$3:$C$165=C148)*ISNUMBER($R$3:$R$165)*$Q$3:$Q$165*IF(ISNUMBER($R$3:$R$165),$R$3:$R$165,0))/SUMPRODUCT(($C$3:$C$165=C148)*ISNUMBER($R$3:$R$165)*$Q$3:$Q$165),"")</f>
        <v/>
      </c>
      <c r="AB148" s="21">
        <f>IF(OR(R148="",AA148=""),"",R148/AA148)</f>
        <v/>
      </c>
      <c r="AC148" s="22">
        <f>IF(AB148="",O148,INDEX('4_UK_L1_Input'!$D$4:$D$14,MATCH($C148,'4_UK_L1_Input'!$A$4:$A$14,0))*AB148)</f>
        <v/>
      </c>
      <c r="AD148" s="7">
        <f>IF(AB148="","BETA FALLBACK","REAL (Bloomberg UK)")</f>
        <v/>
      </c>
      <c r="AE148" s="23">
        <f>Y148-N148</f>
        <v/>
      </c>
      <c r="AF148" s="23">
        <f>AC148-O148</f>
        <v/>
      </c>
    </row>
    <row r="149">
      <c r="A149" s="7" t="n">
        <v>60101010</v>
      </c>
      <c r="B149" s="7" t="inlineStr">
        <is>
          <t>Diversified REITs*</t>
        </is>
      </c>
      <c r="C149" s="7" t="n">
        <v>60</v>
      </c>
      <c r="D149" s="7" t="n">
        <v>6010</v>
      </c>
      <c r="E149" s="7" t="n">
        <v>601010</v>
      </c>
      <c r="F149" s="7" t="n">
        <v>0.751505</v>
      </c>
      <c r="G149" s="7" t="n">
        <v>1</v>
      </c>
      <c r="H149" s="11">
        <f>SUMPRODUCT(($E$3:$E$165=E149)*$G$3:$G$165*$F$3:$F$165)/SUMPRODUCT(($E$3:$E$165=E149)*$G$3:$G$165)</f>
        <v/>
      </c>
      <c r="I149" s="11">
        <f>SUMPRODUCT(($D$3:$D$165=D149)*$G$3:$G$165*$F$3:$F$165)/SUMPRODUCT(($D$3:$D$165=D149)*$G$3:$G$165)</f>
        <v/>
      </c>
      <c r="J149" s="11">
        <f>SUMPRODUCT(($C$3:$C$165=C149)*$G$3:$G$165*$F$3:$F$165)/SUMPRODUCT(($C$3:$C$165=C149)*$G$3:$G$165)</f>
        <v/>
      </c>
      <c r="K149" s="21">
        <f>I149/J149</f>
        <v/>
      </c>
      <c r="L149" s="21">
        <f>H149/I149</f>
        <v/>
      </c>
      <c r="M149" s="21">
        <f>F149/H149</f>
        <v/>
      </c>
      <c r="N149" s="22">
        <f>INDEX('4_UK_L1_Input'!$C$4:$C$14,MATCH($C149,'4_UK_L1_Input'!$A$4:$A$14,0))*K149*L149*M149</f>
        <v/>
      </c>
      <c r="O149" s="22">
        <f>INDEX('4_UK_L1_Input'!$D$4:$D$14,MATCH($C149,'4_UK_L1_Input'!$A$4:$A$14,0))*K149*L149*M149</f>
        <v/>
      </c>
      <c r="P149" s="15" t="n">
        <v>147210000</v>
      </c>
      <c r="Q149" s="15" t="n">
        <v>1090000000</v>
      </c>
      <c r="R149" s="16" t="n">
        <v>17.7</v>
      </c>
      <c r="S149" s="11">
        <f>IFERROR(SUMPRODUCT(($E$3:$E$165=E149)*ISNUMBER($P$3:$P$165)*$P$3:$P$165*$F$3:$F$165)/SUMPRODUCT(($E$3:$E$165=E149)*ISNUMBER($P$3:$P$165)*$P$3:$P$165),"")</f>
        <v/>
      </c>
      <c r="T149" s="11">
        <f>IFERROR(SUMPRODUCT(($D$3:$D$165=D149)*ISNUMBER($P$3:$P$165)*$P$3:$P$165*$F$3:$F$165)/SUMPRODUCT(($D$3:$D$165=D149)*ISNUMBER($P$3:$P$165)*$P$3:$P$165),"")</f>
        <v/>
      </c>
      <c r="U149" s="11">
        <f>IFERROR(SUMPRODUCT(($C$3:$C$165=C149)*ISNUMBER($P$3:$P$165)*$P$3:$P$165*$F$3:$F$165)/SUMPRODUCT(($C$3:$C$165=C149)*ISNUMBER($P$3:$P$165)*$P$3:$P$165),"")</f>
        <v/>
      </c>
      <c r="V149" s="21">
        <f>IF(OR(T149="",U149=""),"",T149/U149)</f>
        <v/>
      </c>
      <c r="W149" s="21">
        <f>IF(OR(S149="",T149=""),"",S149/T149)</f>
        <v/>
      </c>
      <c r="X149" s="21">
        <f>IF(S149="","",F149/S149)</f>
        <v/>
      </c>
      <c r="Y149" s="22">
        <f>IF(V149="",N149,INDEX('4_UK_L1_Input'!$C$4:$C$14,MATCH($C149,'4_UK_L1_Input'!$A$4:$A$14,0))*V149*W149*X149)</f>
        <v/>
      </c>
      <c r="Z149" s="7">
        <f>IF(V149="","BETA FALLBACK","REAL (Bloomberg UK)")</f>
        <v/>
      </c>
      <c r="AA149" s="21">
        <f>IFERROR(SUMPRODUCT(($C$3:$C$165=C149)*ISNUMBER($R$3:$R$165)*$Q$3:$Q$165*IF(ISNUMBER($R$3:$R$165),$R$3:$R$165,0))/SUMPRODUCT(($C$3:$C$165=C149)*ISNUMBER($R$3:$R$165)*$Q$3:$Q$165),"")</f>
        <v/>
      </c>
      <c r="AB149" s="21">
        <f>IF(OR(R149="",AA149=""),"",R149/AA149)</f>
        <v/>
      </c>
      <c r="AC149" s="22">
        <f>IF(AB149="",O149,INDEX('4_UK_L1_Input'!$D$4:$D$14,MATCH($C149,'4_UK_L1_Input'!$A$4:$A$14,0))*AB149)</f>
        <v/>
      </c>
      <c r="AD149" s="7">
        <f>IF(AB149="","BETA FALLBACK","REAL (Bloomberg UK)")</f>
        <v/>
      </c>
      <c r="AE149" s="23">
        <f>Y149-N149</f>
        <v/>
      </c>
      <c r="AF149" s="23">
        <f>AC149-O149</f>
        <v/>
      </c>
    </row>
    <row r="150">
      <c r="A150" s="7" t="n">
        <v>60102510</v>
      </c>
      <c r="B150" s="7" t="inlineStr">
        <is>
          <t>Industrial REITs*</t>
        </is>
      </c>
      <c r="C150" s="7" t="n">
        <v>60</v>
      </c>
      <c r="D150" s="7" t="n">
        <v>6010</v>
      </c>
      <c r="E150" s="7" t="n">
        <v>601025</v>
      </c>
      <c r="F150" s="7" t="n">
        <v>0.425563</v>
      </c>
      <c r="G150" s="7" t="n">
        <v>1</v>
      </c>
      <c r="H150" s="11">
        <f>SUMPRODUCT(($E$3:$E$165=E150)*$G$3:$G$165*$F$3:$F$165)/SUMPRODUCT(($E$3:$E$165=E150)*$G$3:$G$165)</f>
        <v/>
      </c>
      <c r="I150" s="11">
        <f>SUMPRODUCT(($D$3:$D$165=D150)*$G$3:$G$165*$F$3:$F$165)/SUMPRODUCT(($D$3:$D$165=D150)*$G$3:$G$165)</f>
        <v/>
      </c>
      <c r="J150" s="11">
        <f>SUMPRODUCT(($C$3:$C$165=C150)*$G$3:$G$165*$F$3:$F$165)/SUMPRODUCT(($C$3:$C$165=C150)*$G$3:$G$165)</f>
        <v/>
      </c>
      <c r="K150" s="21">
        <f>I150/J150</f>
        <v/>
      </c>
      <c r="L150" s="21">
        <f>H150/I150</f>
        <v/>
      </c>
      <c r="M150" s="21">
        <f>F150/H150</f>
        <v/>
      </c>
      <c r="N150" s="22">
        <f>INDEX('4_UK_L1_Input'!$C$4:$C$14,MATCH($C150,'4_UK_L1_Input'!$A$4:$A$14,0))*K150*L150*M150</f>
        <v/>
      </c>
      <c r="O150" s="22">
        <f>INDEX('4_UK_L1_Input'!$D$4:$D$14,MATCH($C150,'4_UK_L1_Input'!$A$4:$A$14,0))*K150*L150*M150</f>
        <v/>
      </c>
      <c r="P150" s="15" t="n">
        <v>528430000</v>
      </c>
      <c r="Q150" s="15" t="n">
        <v>7360000000</v>
      </c>
      <c r="R150" s="16" t="n">
        <v>21.79</v>
      </c>
      <c r="S150" s="11">
        <f>IFERROR(SUMPRODUCT(($E$3:$E$165=E150)*ISNUMBER($P$3:$P$165)*$P$3:$P$165*$F$3:$F$165)/SUMPRODUCT(($E$3:$E$165=E150)*ISNUMBER($P$3:$P$165)*$P$3:$P$165),"")</f>
        <v/>
      </c>
      <c r="T150" s="11">
        <f>IFERROR(SUMPRODUCT(($D$3:$D$165=D150)*ISNUMBER($P$3:$P$165)*$P$3:$P$165*$F$3:$F$165)/SUMPRODUCT(($D$3:$D$165=D150)*ISNUMBER($P$3:$P$165)*$P$3:$P$165),"")</f>
        <v/>
      </c>
      <c r="U150" s="11">
        <f>IFERROR(SUMPRODUCT(($C$3:$C$165=C150)*ISNUMBER($P$3:$P$165)*$P$3:$P$165*$F$3:$F$165)/SUMPRODUCT(($C$3:$C$165=C150)*ISNUMBER($P$3:$P$165)*$P$3:$P$165),"")</f>
        <v/>
      </c>
      <c r="V150" s="21">
        <f>IF(OR(T150="",U150=""),"",T150/U150)</f>
        <v/>
      </c>
      <c r="W150" s="21">
        <f>IF(OR(S150="",T150=""),"",S150/T150)</f>
        <v/>
      </c>
      <c r="X150" s="21">
        <f>IF(S150="","",F150/S150)</f>
        <v/>
      </c>
      <c r="Y150" s="22">
        <f>IF(V150="",N150,INDEX('4_UK_L1_Input'!$C$4:$C$14,MATCH($C150,'4_UK_L1_Input'!$A$4:$A$14,0))*V150*W150*X150)</f>
        <v/>
      </c>
      <c r="Z150" s="7">
        <f>IF(V150="","BETA FALLBACK","REAL (Bloomberg UK)")</f>
        <v/>
      </c>
      <c r="AA150" s="21">
        <f>IFERROR(SUMPRODUCT(($C$3:$C$165=C150)*ISNUMBER($R$3:$R$165)*$Q$3:$Q$165*IF(ISNUMBER($R$3:$R$165),$R$3:$R$165,0))/SUMPRODUCT(($C$3:$C$165=C150)*ISNUMBER($R$3:$R$165)*$Q$3:$Q$165),"")</f>
        <v/>
      </c>
      <c r="AB150" s="21">
        <f>IF(OR(R150="",AA150=""),"",R150/AA150)</f>
        <v/>
      </c>
      <c r="AC150" s="22">
        <f>IF(AB150="",O150,INDEX('4_UK_L1_Input'!$D$4:$D$14,MATCH($C150,'4_UK_L1_Input'!$A$4:$A$14,0))*AB150)</f>
        <v/>
      </c>
      <c r="AD150" s="7">
        <f>IF(AB150="","BETA FALLBACK","REAL (Bloomberg UK)")</f>
        <v/>
      </c>
      <c r="AE150" s="23">
        <f>Y150-N150</f>
        <v/>
      </c>
      <c r="AF150" s="23">
        <f>AC150-O150</f>
        <v/>
      </c>
    </row>
    <row r="151">
      <c r="A151" s="7" t="n">
        <v>60103010</v>
      </c>
      <c r="B151" s="7" t="inlineStr">
        <is>
          <t>Hotel &amp; Resort REITs*</t>
        </is>
      </c>
      <c r="C151" s="7" t="n">
        <v>60</v>
      </c>
      <c r="D151" s="7" t="n">
        <v>6010</v>
      </c>
      <c r="E151" s="7" t="n">
        <v>601030</v>
      </c>
      <c r="F151" s="7" t="n">
        <v>0.425563</v>
      </c>
      <c r="G151" s="7" t="n">
        <v>1</v>
      </c>
      <c r="H151" s="11">
        <f>SUMPRODUCT(($E$3:$E$165=E151)*$G$3:$G$165*$F$3:$F$165)/SUMPRODUCT(($E$3:$E$165=E151)*$G$3:$G$165)</f>
        <v/>
      </c>
      <c r="I151" s="11">
        <f>SUMPRODUCT(($D$3:$D$165=D151)*$G$3:$G$165*$F$3:$F$165)/SUMPRODUCT(($D$3:$D$165=D151)*$G$3:$G$165)</f>
        <v/>
      </c>
      <c r="J151" s="11">
        <f>SUMPRODUCT(($C$3:$C$165=C151)*$G$3:$G$165*$F$3:$F$165)/SUMPRODUCT(($C$3:$C$165=C151)*$G$3:$G$165)</f>
        <v/>
      </c>
      <c r="K151" s="21">
        <f>I151/J151</f>
        <v/>
      </c>
      <c r="L151" s="21">
        <f>H151/I151</f>
        <v/>
      </c>
      <c r="M151" s="21">
        <f>F151/H151</f>
        <v/>
      </c>
      <c r="N151" s="22">
        <f>INDEX('4_UK_L1_Input'!$C$4:$C$14,MATCH($C151,'4_UK_L1_Input'!$A$4:$A$14,0))*K151*L151*M151</f>
        <v/>
      </c>
      <c r="O151" s="22">
        <f>INDEX('4_UK_L1_Input'!$D$4:$D$14,MATCH($C151,'4_UK_L1_Input'!$A$4:$A$14,0))*K151*L151*M151</f>
        <v/>
      </c>
      <c r="P151" s="14" t="n"/>
      <c r="Q151" s="14" t="n"/>
      <c r="R151" s="14" t="n"/>
      <c r="S151" s="11">
        <f>IFERROR(SUMPRODUCT(($E$3:$E$165=E151)*ISNUMBER($P$3:$P$165)*$P$3:$P$165*$F$3:$F$165)/SUMPRODUCT(($E$3:$E$165=E151)*ISNUMBER($P$3:$P$165)*$P$3:$P$165),"")</f>
        <v/>
      </c>
      <c r="T151" s="11">
        <f>IFERROR(SUMPRODUCT(($D$3:$D$165=D151)*ISNUMBER($P$3:$P$165)*$P$3:$P$165*$F$3:$F$165)/SUMPRODUCT(($D$3:$D$165=D151)*ISNUMBER($P$3:$P$165)*$P$3:$P$165),"")</f>
        <v/>
      </c>
      <c r="U151" s="11">
        <f>IFERROR(SUMPRODUCT(($C$3:$C$165=C151)*ISNUMBER($P$3:$P$165)*$P$3:$P$165*$F$3:$F$165)/SUMPRODUCT(($C$3:$C$165=C151)*ISNUMBER($P$3:$P$165)*$P$3:$P$165),"")</f>
        <v/>
      </c>
      <c r="V151" s="21">
        <f>IF(OR(T151="",U151=""),"",T151/U151)</f>
        <v/>
      </c>
      <c r="W151" s="21">
        <f>IF(OR(S151="",T151=""),"",S151/T151)</f>
        <v/>
      </c>
      <c r="X151" s="21">
        <f>IF(S151="","",F151/S151)</f>
        <v/>
      </c>
      <c r="Y151" s="22">
        <f>IF(V151="",N151,INDEX('4_UK_L1_Input'!$C$4:$C$14,MATCH($C151,'4_UK_L1_Input'!$A$4:$A$14,0))*V151*W151*X151)</f>
        <v/>
      </c>
      <c r="Z151" s="7">
        <f>IF(V151="","BETA FALLBACK","REAL (Bloomberg UK)")</f>
        <v/>
      </c>
      <c r="AA151" s="21">
        <f>IFERROR(SUMPRODUCT(($C$3:$C$165=C151)*ISNUMBER($R$3:$R$165)*$Q$3:$Q$165*IF(ISNUMBER($R$3:$R$165),$R$3:$R$165,0))/SUMPRODUCT(($C$3:$C$165=C151)*ISNUMBER($R$3:$R$165)*$Q$3:$Q$165),"")</f>
        <v/>
      </c>
      <c r="AB151" s="21">
        <f>IF(OR(R151="",AA151=""),"",R151/AA151)</f>
        <v/>
      </c>
      <c r="AC151" s="22">
        <f>IF(AB151="",O151,INDEX('4_UK_L1_Input'!$D$4:$D$14,MATCH($C151,'4_UK_L1_Input'!$A$4:$A$14,0))*AB151)</f>
        <v/>
      </c>
      <c r="AD151" s="7">
        <f>IF(AB151="","BETA FALLBACK","REAL (Bloomberg UK)")</f>
        <v/>
      </c>
      <c r="AE151" s="23">
        <f>Y151-N151</f>
        <v/>
      </c>
      <c r="AF151" s="23">
        <f>AC151-O151</f>
        <v/>
      </c>
    </row>
    <row r="152">
      <c r="A152" s="7" t="n">
        <v>60104010</v>
      </c>
      <c r="B152" s="7" t="inlineStr">
        <is>
          <t>Office REITs*</t>
        </is>
      </c>
      <c r="C152" s="7" t="n">
        <v>60</v>
      </c>
      <c r="D152" s="7" t="n">
        <v>6010</v>
      </c>
      <c r="E152" s="7" t="n">
        <v>601040</v>
      </c>
      <c r="F152" s="7" t="n">
        <v>0.425563</v>
      </c>
      <c r="G152" s="7" t="n">
        <v>1</v>
      </c>
      <c r="H152" s="11">
        <f>SUMPRODUCT(($E$3:$E$165=E152)*$G$3:$G$165*$F$3:$F$165)/SUMPRODUCT(($E$3:$E$165=E152)*$G$3:$G$165)</f>
        <v/>
      </c>
      <c r="I152" s="11">
        <f>SUMPRODUCT(($D$3:$D$165=D152)*$G$3:$G$165*$F$3:$F$165)/SUMPRODUCT(($D$3:$D$165=D152)*$G$3:$G$165)</f>
        <v/>
      </c>
      <c r="J152" s="11">
        <f>SUMPRODUCT(($C$3:$C$165=C152)*$G$3:$G$165*$F$3:$F$165)/SUMPRODUCT(($C$3:$C$165=C152)*$G$3:$G$165)</f>
        <v/>
      </c>
      <c r="K152" s="21">
        <f>I152/J152</f>
        <v/>
      </c>
      <c r="L152" s="21">
        <f>H152/I152</f>
        <v/>
      </c>
      <c r="M152" s="21">
        <f>F152/H152</f>
        <v/>
      </c>
      <c r="N152" s="22">
        <f>INDEX('4_UK_L1_Input'!$C$4:$C$14,MATCH($C152,'4_UK_L1_Input'!$A$4:$A$14,0))*K152*L152*M152</f>
        <v/>
      </c>
      <c r="O152" s="22">
        <f>INDEX('4_UK_L1_Input'!$D$4:$D$14,MATCH($C152,'4_UK_L1_Input'!$A$4:$A$14,0))*K152*L152*M152</f>
        <v/>
      </c>
      <c r="P152" s="15" t="n">
        <v>786290000</v>
      </c>
      <c r="Q152" s="15" t="n">
        <v>728150000</v>
      </c>
      <c r="R152" s="16" t="n">
        <v>21.47</v>
      </c>
      <c r="S152" s="11">
        <f>IFERROR(SUMPRODUCT(($E$3:$E$165=E152)*ISNUMBER($P$3:$P$165)*$P$3:$P$165*$F$3:$F$165)/SUMPRODUCT(($E$3:$E$165=E152)*ISNUMBER($P$3:$P$165)*$P$3:$P$165),"")</f>
        <v/>
      </c>
      <c r="T152" s="11">
        <f>IFERROR(SUMPRODUCT(($D$3:$D$165=D152)*ISNUMBER($P$3:$P$165)*$P$3:$P$165*$F$3:$F$165)/SUMPRODUCT(($D$3:$D$165=D152)*ISNUMBER($P$3:$P$165)*$P$3:$P$165),"")</f>
        <v/>
      </c>
      <c r="U152" s="11">
        <f>IFERROR(SUMPRODUCT(($C$3:$C$165=C152)*ISNUMBER($P$3:$P$165)*$P$3:$P$165*$F$3:$F$165)/SUMPRODUCT(($C$3:$C$165=C152)*ISNUMBER($P$3:$P$165)*$P$3:$P$165),"")</f>
        <v/>
      </c>
      <c r="V152" s="21">
        <f>IF(OR(T152="",U152=""),"",T152/U152)</f>
        <v/>
      </c>
      <c r="W152" s="21">
        <f>IF(OR(S152="",T152=""),"",S152/T152)</f>
        <v/>
      </c>
      <c r="X152" s="21">
        <f>IF(S152="","",F152/S152)</f>
        <v/>
      </c>
      <c r="Y152" s="22">
        <f>IF(V152="",N152,INDEX('4_UK_L1_Input'!$C$4:$C$14,MATCH($C152,'4_UK_L1_Input'!$A$4:$A$14,0))*V152*W152*X152)</f>
        <v/>
      </c>
      <c r="Z152" s="7">
        <f>IF(V152="","BETA FALLBACK","REAL (Bloomberg UK)")</f>
        <v/>
      </c>
      <c r="AA152" s="21">
        <f>IFERROR(SUMPRODUCT(($C$3:$C$165=C152)*ISNUMBER($R$3:$R$165)*$Q$3:$Q$165*IF(ISNUMBER($R$3:$R$165),$R$3:$R$165,0))/SUMPRODUCT(($C$3:$C$165=C152)*ISNUMBER($R$3:$R$165)*$Q$3:$Q$165),"")</f>
        <v/>
      </c>
      <c r="AB152" s="21">
        <f>IF(OR(R152="",AA152=""),"",R152/AA152)</f>
        <v/>
      </c>
      <c r="AC152" s="22">
        <f>IF(AB152="",O152,INDEX('4_UK_L1_Input'!$D$4:$D$14,MATCH($C152,'4_UK_L1_Input'!$A$4:$A$14,0))*AB152)</f>
        <v/>
      </c>
      <c r="AD152" s="7">
        <f>IF(AB152="","BETA FALLBACK","REAL (Bloomberg UK)")</f>
        <v/>
      </c>
      <c r="AE152" s="23">
        <f>Y152-N152</f>
        <v/>
      </c>
      <c r="AF152" s="23">
        <f>AC152-O152</f>
        <v/>
      </c>
    </row>
    <row r="153">
      <c r="A153" s="7" t="n">
        <v>60105010</v>
      </c>
      <c r="B153" s="7" t="inlineStr">
        <is>
          <t>Health Care REITs*</t>
        </is>
      </c>
      <c r="C153" s="7" t="n">
        <v>60</v>
      </c>
      <c r="D153" s="7" t="n">
        <v>6010</v>
      </c>
      <c r="E153" s="7" t="n">
        <v>601050</v>
      </c>
      <c r="F153" s="7" t="n">
        <v>0.425563</v>
      </c>
      <c r="G153" s="7" t="n">
        <v>1</v>
      </c>
      <c r="H153" s="11">
        <f>SUMPRODUCT(($E$3:$E$165=E153)*$G$3:$G$165*$F$3:$F$165)/SUMPRODUCT(($E$3:$E$165=E153)*$G$3:$G$165)</f>
        <v/>
      </c>
      <c r="I153" s="11">
        <f>SUMPRODUCT(($D$3:$D$165=D153)*$G$3:$G$165*$F$3:$F$165)/SUMPRODUCT(($D$3:$D$165=D153)*$G$3:$G$165)</f>
        <v/>
      </c>
      <c r="J153" s="11">
        <f>SUMPRODUCT(($C$3:$C$165=C153)*$G$3:$G$165*$F$3:$F$165)/SUMPRODUCT(($C$3:$C$165=C153)*$G$3:$G$165)</f>
        <v/>
      </c>
      <c r="K153" s="21">
        <f>I153/J153</f>
        <v/>
      </c>
      <c r="L153" s="21">
        <f>H153/I153</f>
        <v/>
      </c>
      <c r="M153" s="21">
        <f>F153/H153</f>
        <v/>
      </c>
      <c r="N153" s="22">
        <f>INDEX('4_UK_L1_Input'!$C$4:$C$14,MATCH($C153,'4_UK_L1_Input'!$A$4:$A$14,0))*K153*L153*M153</f>
        <v/>
      </c>
      <c r="O153" s="22">
        <f>INDEX('4_UK_L1_Input'!$D$4:$D$14,MATCH($C153,'4_UK_L1_Input'!$A$4:$A$14,0))*K153*L153*M153</f>
        <v/>
      </c>
      <c r="P153" s="15" t="n">
        <v>220460000</v>
      </c>
      <c r="Q153" s="15" t="n">
        <v>1590000000</v>
      </c>
      <c r="R153" s="16" t="n">
        <v>16.71</v>
      </c>
      <c r="S153" s="11">
        <f>IFERROR(SUMPRODUCT(($E$3:$E$165=E153)*ISNUMBER($P$3:$P$165)*$P$3:$P$165*$F$3:$F$165)/SUMPRODUCT(($E$3:$E$165=E153)*ISNUMBER($P$3:$P$165)*$P$3:$P$165),"")</f>
        <v/>
      </c>
      <c r="T153" s="11">
        <f>IFERROR(SUMPRODUCT(($D$3:$D$165=D153)*ISNUMBER($P$3:$P$165)*$P$3:$P$165*$F$3:$F$165)/SUMPRODUCT(($D$3:$D$165=D153)*ISNUMBER($P$3:$P$165)*$P$3:$P$165),"")</f>
        <v/>
      </c>
      <c r="U153" s="11">
        <f>IFERROR(SUMPRODUCT(($C$3:$C$165=C153)*ISNUMBER($P$3:$P$165)*$P$3:$P$165*$F$3:$F$165)/SUMPRODUCT(($C$3:$C$165=C153)*ISNUMBER($P$3:$P$165)*$P$3:$P$165),"")</f>
        <v/>
      </c>
      <c r="V153" s="21">
        <f>IF(OR(T153="",U153=""),"",T153/U153)</f>
        <v/>
      </c>
      <c r="W153" s="21">
        <f>IF(OR(S153="",T153=""),"",S153/T153)</f>
        <v/>
      </c>
      <c r="X153" s="21">
        <f>IF(S153="","",F153/S153)</f>
        <v/>
      </c>
      <c r="Y153" s="22">
        <f>IF(V153="",N153,INDEX('4_UK_L1_Input'!$C$4:$C$14,MATCH($C153,'4_UK_L1_Input'!$A$4:$A$14,0))*V153*W153*X153)</f>
        <v/>
      </c>
      <c r="Z153" s="7">
        <f>IF(V153="","BETA FALLBACK","REAL (Bloomberg UK)")</f>
        <v/>
      </c>
      <c r="AA153" s="21">
        <f>IFERROR(SUMPRODUCT(($C$3:$C$165=C153)*ISNUMBER($R$3:$R$165)*$Q$3:$Q$165*IF(ISNUMBER($R$3:$R$165),$R$3:$R$165,0))/SUMPRODUCT(($C$3:$C$165=C153)*ISNUMBER($R$3:$R$165)*$Q$3:$Q$165),"")</f>
        <v/>
      </c>
      <c r="AB153" s="21">
        <f>IF(OR(R153="",AA153=""),"",R153/AA153)</f>
        <v/>
      </c>
      <c r="AC153" s="22">
        <f>IF(AB153="",O153,INDEX('4_UK_L1_Input'!$D$4:$D$14,MATCH($C153,'4_UK_L1_Input'!$A$4:$A$14,0))*AB153)</f>
        <v/>
      </c>
      <c r="AD153" s="7">
        <f>IF(AB153="","BETA FALLBACK","REAL (Bloomberg UK)")</f>
        <v/>
      </c>
      <c r="AE153" s="23">
        <f>Y153-N153</f>
        <v/>
      </c>
      <c r="AF153" s="23">
        <f>AC153-O153</f>
        <v/>
      </c>
    </row>
    <row r="154">
      <c r="A154" s="7" t="n">
        <v>60106010</v>
      </c>
      <c r="B154" s="7" t="inlineStr">
        <is>
          <t>Multi-Family Residential REITs*</t>
        </is>
      </c>
      <c r="C154" s="7" t="n">
        <v>60</v>
      </c>
      <c r="D154" s="7" t="n">
        <v>6010</v>
      </c>
      <c r="E154" s="7" t="n">
        <v>601060</v>
      </c>
      <c r="F154" s="7" t="n">
        <v>0.425563</v>
      </c>
      <c r="G154" s="7" t="n">
        <v>1</v>
      </c>
      <c r="H154" s="11">
        <f>SUMPRODUCT(($E$3:$E$165=E154)*$G$3:$G$165*$F$3:$F$165)/SUMPRODUCT(($E$3:$E$165=E154)*$G$3:$G$165)</f>
        <v/>
      </c>
      <c r="I154" s="11">
        <f>SUMPRODUCT(($D$3:$D$165=D154)*$G$3:$G$165*$F$3:$F$165)/SUMPRODUCT(($D$3:$D$165=D154)*$G$3:$G$165)</f>
        <v/>
      </c>
      <c r="J154" s="11">
        <f>SUMPRODUCT(($C$3:$C$165=C154)*$G$3:$G$165*$F$3:$F$165)/SUMPRODUCT(($C$3:$C$165=C154)*$G$3:$G$165)</f>
        <v/>
      </c>
      <c r="K154" s="21">
        <f>I154/J154</f>
        <v/>
      </c>
      <c r="L154" s="21">
        <f>H154/I154</f>
        <v/>
      </c>
      <c r="M154" s="21">
        <f>F154/H154</f>
        <v/>
      </c>
      <c r="N154" s="22">
        <f>INDEX('4_UK_L1_Input'!$C$4:$C$14,MATCH($C154,'4_UK_L1_Input'!$A$4:$A$14,0))*K154*L154*M154</f>
        <v/>
      </c>
      <c r="O154" s="22">
        <f>INDEX('4_UK_L1_Input'!$D$4:$D$14,MATCH($C154,'4_UK_L1_Input'!$A$4:$A$14,0))*K154*L154*M154</f>
        <v/>
      </c>
      <c r="P154" s="15" t="n">
        <v>112670000</v>
      </c>
      <c r="Q154" s="15" t="n">
        <v>754780000</v>
      </c>
      <c r="R154" s="16" t="n">
        <v>18.42</v>
      </c>
      <c r="S154" s="11">
        <f>IFERROR(SUMPRODUCT(($E$3:$E$165=E154)*ISNUMBER($P$3:$P$165)*$P$3:$P$165*$F$3:$F$165)/SUMPRODUCT(($E$3:$E$165=E154)*ISNUMBER($P$3:$P$165)*$P$3:$P$165),"")</f>
        <v/>
      </c>
      <c r="T154" s="11">
        <f>IFERROR(SUMPRODUCT(($D$3:$D$165=D154)*ISNUMBER($P$3:$P$165)*$P$3:$P$165*$F$3:$F$165)/SUMPRODUCT(($D$3:$D$165=D154)*ISNUMBER($P$3:$P$165)*$P$3:$P$165),"")</f>
        <v/>
      </c>
      <c r="U154" s="11">
        <f>IFERROR(SUMPRODUCT(($C$3:$C$165=C154)*ISNUMBER($P$3:$P$165)*$P$3:$P$165*$F$3:$F$165)/SUMPRODUCT(($C$3:$C$165=C154)*ISNUMBER($P$3:$P$165)*$P$3:$P$165),"")</f>
        <v/>
      </c>
      <c r="V154" s="21">
        <f>IF(OR(T154="",U154=""),"",T154/U154)</f>
        <v/>
      </c>
      <c r="W154" s="21">
        <f>IF(OR(S154="",T154=""),"",S154/T154)</f>
        <v/>
      </c>
      <c r="X154" s="21">
        <f>IF(S154="","",F154/S154)</f>
        <v/>
      </c>
      <c r="Y154" s="22">
        <f>IF(V154="",N154,INDEX('4_UK_L1_Input'!$C$4:$C$14,MATCH($C154,'4_UK_L1_Input'!$A$4:$A$14,0))*V154*W154*X154)</f>
        <v/>
      </c>
      <c r="Z154" s="7">
        <f>IF(V154="","BETA FALLBACK","REAL (Bloomberg UK)")</f>
        <v/>
      </c>
      <c r="AA154" s="21">
        <f>IFERROR(SUMPRODUCT(($C$3:$C$165=C154)*ISNUMBER($R$3:$R$165)*$Q$3:$Q$165*IF(ISNUMBER($R$3:$R$165),$R$3:$R$165,0))/SUMPRODUCT(($C$3:$C$165=C154)*ISNUMBER($R$3:$R$165)*$Q$3:$Q$165),"")</f>
        <v/>
      </c>
      <c r="AB154" s="21">
        <f>IF(OR(R154="",AA154=""),"",R154/AA154)</f>
        <v/>
      </c>
      <c r="AC154" s="22">
        <f>IF(AB154="",O154,INDEX('4_UK_L1_Input'!$D$4:$D$14,MATCH($C154,'4_UK_L1_Input'!$A$4:$A$14,0))*AB154)</f>
        <v/>
      </c>
      <c r="AD154" s="7">
        <f>IF(AB154="","BETA FALLBACK","REAL (Bloomberg UK)")</f>
        <v/>
      </c>
      <c r="AE154" s="23">
        <f>Y154-N154</f>
        <v/>
      </c>
      <c r="AF154" s="23">
        <f>AC154-O154</f>
        <v/>
      </c>
    </row>
    <row r="155">
      <c r="A155" s="7" t="n">
        <v>60106020</v>
      </c>
      <c r="B155" s="7" t="inlineStr">
        <is>
          <t>Single-Family Residential REITs*</t>
        </is>
      </c>
      <c r="C155" s="7" t="n">
        <v>60</v>
      </c>
      <c r="D155" s="7" t="n">
        <v>6010</v>
      </c>
      <c r="E155" s="7" t="n">
        <v>601060</v>
      </c>
      <c r="F155" s="7" t="n">
        <v>0.425563</v>
      </c>
      <c r="G155" s="7" t="n">
        <v>1</v>
      </c>
      <c r="H155" s="11">
        <f>SUMPRODUCT(($E$3:$E$165=E155)*$G$3:$G$165*$F$3:$F$165)/SUMPRODUCT(($E$3:$E$165=E155)*$G$3:$G$165)</f>
        <v/>
      </c>
      <c r="I155" s="11">
        <f>SUMPRODUCT(($D$3:$D$165=D155)*$G$3:$G$165*$F$3:$F$165)/SUMPRODUCT(($D$3:$D$165=D155)*$G$3:$G$165)</f>
        <v/>
      </c>
      <c r="J155" s="11">
        <f>SUMPRODUCT(($C$3:$C$165=C155)*$G$3:$G$165*$F$3:$F$165)/SUMPRODUCT(($C$3:$C$165=C155)*$G$3:$G$165)</f>
        <v/>
      </c>
      <c r="K155" s="21">
        <f>I155/J155</f>
        <v/>
      </c>
      <c r="L155" s="21">
        <f>H155/I155</f>
        <v/>
      </c>
      <c r="M155" s="21">
        <f>F155/H155</f>
        <v/>
      </c>
      <c r="N155" s="22">
        <f>INDEX('4_UK_L1_Input'!$C$4:$C$14,MATCH($C155,'4_UK_L1_Input'!$A$4:$A$14,0))*K155*L155*M155</f>
        <v/>
      </c>
      <c r="O155" s="22">
        <f>INDEX('4_UK_L1_Input'!$D$4:$D$14,MATCH($C155,'4_UK_L1_Input'!$A$4:$A$14,0))*K155*L155*M155</f>
        <v/>
      </c>
      <c r="P155" s="14" t="n"/>
      <c r="Q155" s="14" t="n"/>
      <c r="R155" s="14" t="n"/>
      <c r="S155" s="11">
        <f>IFERROR(SUMPRODUCT(($E$3:$E$165=E155)*ISNUMBER($P$3:$P$165)*$P$3:$P$165*$F$3:$F$165)/SUMPRODUCT(($E$3:$E$165=E155)*ISNUMBER($P$3:$P$165)*$P$3:$P$165),"")</f>
        <v/>
      </c>
      <c r="T155" s="11">
        <f>IFERROR(SUMPRODUCT(($D$3:$D$165=D155)*ISNUMBER($P$3:$P$165)*$P$3:$P$165*$F$3:$F$165)/SUMPRODUCT(($D$3:$D$165=D155)*ISNUMBER($P$3:$P$165)*$P$3:$P$165),"")</f>
        <v/>
      </c>
      <c r="U155" s="11">
        <f>IFERROR(SUMPRODUCT(($C$3:$C$165=C155)*ISNUMBER($P$3:$P$165)*$P$3:$P$165*$F$3:$F$165)/SUMPRODUCT(($C$3:$C$165=C155)*ISNUMBER($P$3:$P$165)*$P$3:$P$165),"")</f>
        <v/>
      </c>
      <c r="V155" s="21">
        <f>IF(OR(T155="",U155=""),"",T155/U155)</f>
        <v/>
      </c>
      <c r="W155" s="21">
        <f>IF(OR(S155="",T155=""),"",S155/T155)</f>
        <v/>
      </c>
      <c r="X155" s="21">
        <f>IF(S155="","",F155/S155)</f>
        <v/>
      </c>
      <c r="Y155" s="22">
        <f>IF(V155="",N155,INDEX('4_UK_L1_Input'!$C$4:$C$14,MATCH($C155,'4_UK_L1_Input'!$A$4:$A$14,0))*V155*W155*X155)</f>
        <v/>
      </c>
      <c r="Z155" s="7">
        <f>IF(V155="","BETA FALLBACK","REAL (Bloomberg UK)")</f>
        <v/>
      </c>
      <c r="AA155" s="21">
        <f>IFERROR(SUMPRODUCT(($C$3:$C$165=C155)*ISNUMBER($R$3:$R$165)*$Q$3:$Q$165*IF(ISNUMBER($R$3:$R$165),$R$3:$R$165,0))/SUMPRODUCT(($C$3:$C$165=C155)*ISNUMBER($R$3:$R$165)*$Q$3:$Q$165),"")</f>
        <v/>
      </c>
      <c r="AB155" s="21">
        <f>IF(OR(R155="",AA155=""),"",R155/AA155)</f>
        <v/>
      </c>
      <c r="AC155" s="22">
        <f>IF(AB155="",O155,INDEX('4_UK_L1_Input'!$D$4:$D$14,MATCH($C155,'4_UK_L1_Input'!$A$4:$A$14,0))*AB155)</f>
        <v/>
      </c>
      <c r="AD155" s="7">
        <f>IF(AB155="","BETA FALLBACK","REAL (Bloomberg UK)")</f>
        <v/>
      </c>
      <c r="AE155" s="23">
        <f>Y155-N155</f>
        <v/>
      </c>
      <c r="AF155" s="23">
        <f>AC155-O155</f>
        <v/>
      </c>
    </row>
    <row r="156">
      <c r="A156" s="7" t="n">
        <v>60107010</v>
      </c>
      <c r="B156" s="7" t="inlineStr">
        <is>
          <t>Retail REITs*</t>
        </is>
      </c>
      <c r="C156" s="7" t="n">
        <v>60</v>
      </c>
      <c r="D156" s="7" t="n">
        <v>6010</v>
      </c>
      <c r="E156" s="7" t="n">
        <v>601070</v>
      </c>
      <c r="F156" s="7" t="n">
        <v>0.570008</v>
      </c>
      <c r="G156" s="7" t="n">
        <v>1</v>
      </c>
      <c r="H156" s="11">
        <f>SUMPRODUCT(($E$3:$E$165=E156)*$G$3:$G$165*$F$3:$F$165)/SUMPRODUCT(($E$3:$E$165=E156)*$G$3:$G$165)</f>
        <v/>
      </c>
      <c r="I156" s="11">
        <f>SUMPRODUCT(($D$3:$D$165=D156)*$G$3:$G$165*$F$3:$F$165)/SUMPRODUCT(($D$3:$D$165=D156)*$G$3:$G$165)</f>
        <v/>
      </c>
      <c r="J156" s="11">
        <f>SUMPRODUCT(($C$3:$C$165=C156)*$G$3:$G$165*$F$3:$F$165)/SUMPRODUCT(($C$3:$C$165=C156)*$G$3:$G$165)</f>
        <v/>
      </c>
      <c r="K156" s="21">
        <f>I156/J156</f>
        <v/>
      </c>
      <c r="L156" s="21">
        <f>H156/I156</f>
        <v/>
      </c>
      <c r="M156" s="21">
        <f>F156/H156</f>
        <v/>
      </c>
      <c r="N156" s="22">
        <f>INDEX('4_UK_L1_Input'!$C$4:$C$14,MATCH($C156,'4_UK_L1_Input'!$A$4:$A$14,0))*K156*L156*M156</f>
        <v/>
      </c>
      <c r="O156" s="22">
        <f>INDEX('4_UK_L1_Input'!$D$4:$D$14,MATCH($C156,'4_UK_L1_Input'!$A$4:$A$14,0))*K156*L156*M156</f>
        <v/>
      </c>
      <c r="P156" s="15" t="n">
        <v>151040000</v>
      </c>
      <c r="Q156" s="15" t="n">
        <v>1240000000</v>
      </c>
      <c r="R156" s="16" t="n">
        <v>17</v>
      </c>
      <c r="S156" s="11">
        <f>IFERROR(SUMPRODUCT(($E$3:$E$165=E156)*ISNUMBER($P$3:$P$165)*$P$3:$P$165*$F$3:$F$165)/SUMPRODUCT(($E$3:$E$165=E156)*ISNUMBER($P$3:$P$165)*$P$3:$P$165),"")</f>
        <v/>
      </c>
      <c r="T156" s="11">
        <f>IFERROR(SUMPRODUCT(($D$3:$D$165=D156)*ISNUMBER($P$3:$P$165)*$P$3:$P$165*$F$3:$F$165)/SUMPRODUCT(($D$3:$D$165=D156)*ISNUMBER($P$3:$P$165)*$P$3:$P$165),"")</f>
        <v/>
      </c>
      <c r="U156" s="11">
        <f>IFERROR(SUMPRODUCT(($C$3:$C$165=C156)*ISNUMBER($P$3:$P$165)*$P$3:$P$165*$F$3:$F$165)/SUMPRODUCT(($C$3:$C$165=C156)*ISNUMBER($P$3:$P$165)*$P$3:$P$165),"")</f>
        <v/>
      </c>
      <c r="V156" s="21">
        <f>IF(OR(T156="",U156=""),"",T156/U156)</f>
        <v/>
      </c>
      <c r="W156" s="21">
        <f>IF(OR(S156="",T156=""),"",S156/T156)</f>
        <v/>
      </c>
      <c r="X156" s="21">
        <f>IF(S156="","",F156/S156)</f>
        <v/>
      </c>
      <c r="Y156" s="22">
        <f>IF(V156="",N156,INDEX('4_UK_L1_Input'!$C$4:$C$14,MATCH($C156,'4_UK_L1_Input'!$A$4:$A$14,0))*V156*W156*X156)</f>
        <v/>
      </c>
      <c r="Z156" s="7">
        <f>IF(V156="","BETA FALLBACK","REAL (Bloomberg UK)")</f>
        <v/>
      </c>
      <c r="AA156" s="21">
        <f>IFERROR(SUMPRODUCT(($C$3:$C$165=C156)*ISNUMBER($R$3:$R$165)*$Q$3:$Q$165*IF(ISNUMBER($R$3:$R$165),$R$3:$R$165,0))/SUMPRODUCT(($C$3:$C$165=C156)*ISNUMBER($R$3:$R$165)*$Q$3:$Q$165),"")</f>
        <v/>
      </c>
      <c r="AB156" s="21">
        <f>IF(OR(R156="",AA156=""),"",R156/AA156)</f>
        <v/>
      </c>
      <c r="AC156" s="22">
        <f>IF(AB156="",O156,INDEX('4_UK_L1_Input'!$D$4:$D$14,MATCH($C156,'4_UK_L1_Input'!$A$4:$A$14,0))*AB156)</f>
        <v/>
      </c>
      <c r="AD156" s="7">
        <f>IF(AB156="","BETA FALLBACK","REAL (Bloomberg UK)")</f>
        <v/>
      </c>
      <c r="AE156" s="23">
        <f>Y156-N156</f>
        <v/>
      </c>
      <c r="AF156" s="23">
        <f>AC156-O156</f>
        <v/>
      </c>
    </row>
    <row r="157">
      <c r="A157" s="7" t="n">
        <v>60108010</v>
      </c>
      <c r="B157" s="7" t="inlineStr">
        <is>
          <t>Other Specialized REITs*</t>
        </is>
      </c>
      <c r="C157" s="7" t="n">
        <v>60</v>
      </c>
      <c r="D157" s="7" t="n">
        <v>6010</v>
      </c>
      <c r="E157" s="7" t="n">
        <v>601080</v>
      </c>
      <c r="F157" s="7" t="n">
        <v>0.425563</v>
      </c>
      <c r="G157" s="7" t="n">
        <v>1</v>
      </c>
      <c r="H157" s="11">
        <f>SUMPRODUCT(($E$3:$E$165=E157)*$G$3:$G$165*$F$3:$F$165)/SUMPRODUCT(($E$3:$E$165=E157)*$G$3:$G$165)</f>
        <v/>
      </c>
      <c r="I157" s="11">
        <f>SUMPRODUCT(($D$3:$D$165=D157)*$G$3:$G$165*$F$3:$F$165)/SUMPRODUCT(($D$3:$D$165=D157)*$G$3:$G$165)</f>
        <v/>
      </c>
      <c r="J157" s="11">
        <f>SUMPRODUCT(($C$3:$C$165=C157)*$G$3:$G$165*$F$3:$F$165)/SUMPRODUCT(($C$3:$C$165=C157)*$G$3:$G$165)</f>
        <v/>
      </c>
      <c r="K157" s="21">
        <f>I157/J157</f>
        <v/>
      </c>
      <c r="L157" s="21">
        <f>H157/I157</f>
        <v/>
      </c>
      <c r="M157" s="21">
        <f>F157/H157</f>
        <v/>
      </c>
      <c r="N157" s="22">
        <f>INDEX('4_UK_L1_Input'!$C$4:$C$14,MATCH($C157,'4_UK_L1_Input'!$A$4:$A$14,0))*K157*L157*M157</f>
        <v/>
      </c>
      <c r="O157" s="22">
        <f>INDEX('4_UK_L1_Input'!$D$4:$D$14,MATCH($C157,'4_UK_L1_Input'!$A$4:$A$14,0))*K157*L157*M157</f>
        <v/>
      </c>
      <c r="P157" s="14" t="n"/>
      <c r="Q157" s="14" t="n"/>
      <c r="R157" s="14" t="n"/>
      <c r="S157" s="11">
        <f>IFERROR(SUMPRODUCT(($E$3:$E$165=E157)*ISNUMBER($P$3:$P$165)*$P$3:$P$165*$F$3:$F$165)/SUMPRODUCT(($E$3:$E$165=E157)*ISNUMBER($P$3:$P$165)*$P$3:$P$165),"")</f>
        <v/>
      </c>
      <c r="T157" s="11">
        <f>IFERROR(SUMPRODUCT(($D$3:$D$165=D157)*ISNUMBER($P$3:$P$165)*$P$3:$P$165*$F$3:$F$165)/SUMPRODUCT(($D$3:$D$165=D157)*ISNUMBER($P$3:$P$165)*$P$3:$P$165),"")</f>
        <v/>
      </c>
      <c r="U157" s="11">
        <f>IFERROR(SUMPRODUCT(($C$3:$C$165=C157)*ISNUMBER($P$3:$P$165)*$P$3:$P$165*$F$3:$F$165)/SUMPRODUCT(($C$3:$C$165=C157)*ISNUMBER($P$3:$P$165)*$P$3:$P$165),"")</f>
        <v/>
      </c>
      <c r="V157" s="21">
        <f>IF(OR(T157="",U157=""),"",T157/U157)</f>
        <v/>
      </c>
      <c r="W157" s="21">
        <f>IF(OR(S157="",T157=""),"",S157/T157)</f>
        <v/>
      </c>
      <c r="X157" s="21">
        <f>IF(S157="","",F157/S157)</f>
        <v/>
      </c>
      <c r="Y157" s="22">
        <f>IF(V157="",N157,INDEX('4_UK_L1_Input'!$C$4:$C$14,MATCH($C157,'4_UK_L1_Input'!$A$4:$A$14,0))*V157*W157*X157)</f>
        <v/>
      </c>
      <c r="Z157" s="7">
        <f>IF(V157="","BETA FALLBACK","REAL (Bloomberg UK)")</f>
        <v/>
      </c>
      <c r="AA157" s="21">
        <f>IFERROR(SUMPRODUCT(($C$3:$C$165=C157)*ISNUMBER($R$3:$R$165)*$Q$3:$Q$165*IF(ISNUMBER($R$3:$R$165),$R$3:$R$165,0))/SUMPRODUCT(($C$3:$C$165=C157)*ISNUMBER($R$3:$R$165)*$Q$3:$Q$165),"")</f>
        <v/>
      </c>
      <c r="AB157" s="21">
        <f>IF(OR(R157="",AA157=""),"",R157/AA157)</f>
        <v/>
      </c>
      <c r="AC157" s="22">
        <f>IF(AB157="",O157,INDEX('4_UK_L1_Input'!$D$4:$D$14,MATCH($C157,'4_UK_L1_Input'!$A$4:$A$14,0))*AB157)</f>
        <v/>
      </c>
      <c r="AD157" s="7">
        <f>IF(AB157="","BETA FALLBACK","REAL (Bloomberg UK)")</f>
        <v/>
      </c>
      <c r="AE157" s="23">
        <f>Y157-N157</f>
        <v/>
      </c>
      <c r="AF157" s="23">
        <f>AC157-O157</f>
        <v/>
      </c>
    </row>
    <row r="158">
      <c r="A158" s="7" t="n">
        <v>60108020</v>
      </c>
      <c r="B158" s="7" t="inlineStr">
        <is>
          <t>Self-Storage REITs*</t>
        </is>
      </c>
      <c r="C158" s="7" t="n">
        <v>60</v>
      </c>
      <c r="D158" s="7" t="n">
        <v>6010</v>
      </c>
      <c r="E158" s="7" t="n">
        <v>601080</v>
      </c>
      <c r="F158" s="7" t="n">
        <v>0.425563</v>
      </c>
      <c r="G158" s="7" t="n">
        <v>1</v>
      </c>
      <c r="H158" s="11">
        <f>SUMPRODUCT(($E$3:$E$165=E158)*$G$3:$G$165*$F$3:$F$165)/SUMPRODUCT(($E$3:$E$165=E158)*$G$3:$G$165)</f>
        <v/>
      </c>
      <c r="I158" s="11">
        <f>SUMPRODUCT(($D$3:$D$165=D158)*$G$3:$G$165*$F$3:$F$165)/SUMPRODUCT(($D$3:$D$165=D158)*$G$3:$G$165)</f>
        <v/>
      </c>
      <c r="J158" s="11">
        <f>SUMPRODUCT(($C$3:$C$165=C158)*$G$3:$G$165*$F$3:$F$165)/SUMPRODUCT(($C$3:$C$165=C158)*$G$3:$G$165)</f>
        <v/>
      </c>
      <c r="K158" s="21">
        <f>I158/J158</f>
        <v/>
      </c>
      <c r="L158" s="21">
        <f>H158/I158</f>
        <v/>
      </c>
      <c r="M158" s="21">
        <f>F158/H158</f>
        <v/>
      </c>
      <c r="N158" s="22">
        <f>INDEX('4_UK_L1_Input'!$C$4:$C$14,MATCH($C158,'4_UK_L1_Input'!$A$4:$A$14,0))*K158*L158*M158</f>
        <v/>
      </c>
      <c r="O158" s="22">
        <f>INDEX('4_UK_L1_Input'!$D$4:$D$14,MATCH($C158,'4_UK_L1_Input'!$A$4:$A$14,0))*K158*L158*M158</f>
        <v/>
      </c>
      <c r="P158" s="15" t="n">
        <v>225590000</v>
      </c>
      <c r="Q158" s="15" t="n">
        <v>1570000000</v>
      </c>
      <c r="R158" s="16" t="n">
        <v>16.98</v>
      </c>
      <c r="S158" s="11">
        <f>IFERROR(SUMPRODUCT(($E$3:$E$165=E158)*ISNUMBER($P$3:$P$165)*$P$3:$P$165*$F$3:$F$165)/SUMPRODUCT(($E$3:$E$165=E158)*ISNUMBER($P$3:$P$165)*$P$3:$P$165),"")</f>
        <v/>
      </c>
      <c r="T158" s="11">
        <f>IFERROR(SUMPRODUCT(($D$3:$D$165=D158)*ISNUMBER($P$3:$P$165)*$P$3:$P$165*$F$3:$F$165)/SUMPRODUCT(($D$3:$D$165=D158)*ISNUMBER($P$3:$P$165)*$P$3:$P$165),"")</f>
        <v/>
      </c>
      <c r="U158" s="11">
        <f>IFERROR(SUMPRODUCT(($C$3:$C$165=C158)*ISNUMBER($P$3:$P$165)*$P$3:$P$165*$F$3:$F$165)/SUMPRODUCT(($C$3:$C$165=C158)*ISNUMBER($P$3:$P$165)*$P$3:$P$165),"")</f>
        <v/>
      </c>
      <c r="V158" s="21">
        <f>IF(OR(T158="",U158=""),"",T158/U158)</f>
        <v/>
      </c>
      <c r="W158" s="21">
        <f>IF(OR(S158="",T158=""),"",S158/T158)</f>
        <v/>
      </c>
      <c r="X158" s="21">
        <f>IF(S158="","",F158/S158)</f>
        <v/>
      </c>
      <c r="Y158" s="22">
        <f>IF(V158="",N158,INDEX('4_UK_L1_Input'!$C$4:$C$14,MATCH($C158,'4_UK_L1_Input'!$A$4:$A$14,0))*V158*W158*X158)</f>
        <v/>
      </c>
      <c r="Z158" s="7">
        <f>IF(V158="","BETA FALLBACK","REAL (Bloomberg UK)")</f>
        <v/>
      </c>
      <c r="AA158" s="21">
        <f>IFERROR(SUMPRODUCT(($C$3:$C$165=C158)*ISNUMBER($R$3:$R$165)*$Q$3:$Q$165*IF(ISNUMBER($R$3:$R$165),$R$3:$R$165,0))/SUMPRODUCT(($C$3:$C$165=C158)*ISNUMBER($R$3:$R$165)*$Q$3:$Q$165),"")</f>
        <v/>
      </c>
      <c r="AB158" s="21">
        <f>IF(OR(R158="",AA158=""),"",R158/AA158)</f>
        <v/>
      </c>
      <c r="AC158" s="22">
        <f>IF(AB158="",O158,INDEX('4_UK_L1_Input'!$D$4:$D$14,MATCH($C158,'4_UK_L1_Input'!$A$4:$A$14,0))*AB158)</f>
        <v/>
      </c>
      <c r="AD158" s="7">
        <f>IF(AB158="","BETA FALLBACK","REAL (Bloomberg UK)")</f>
        <v/>
      </c>
      <c r="AE158" s="23">
        <f>Y158-N158</f>
        <v/>
      </c>
      <c r="AF158" s="23">
        <f>AC158-O158</f>
        <v/>
      </c>
    </row>
    <row r="159">
      <c r="A159" s="7" t="n">
        <v>60108030</v>
      </c>
      <c r="B159" s="7" t="inlineStr">
        <is>
          <t>Telecom Tower REITs*</t>
        </is>
      </c>
      <c r="C159" s="7" t="n">
        <v>60</v>
      </c>
      <c r="D159" s="7" t="n">
        <v>6010</v>
      </c>
      <c r="E159" s="7" t="n">
        <v>601080</v>
      </c>
      <c r="F159" s="7" t="n">
        <v>0.425563</v>
      </c>
      <c r="G159" s="7" t="n">
        <v>1</v>
      </c>
      <c r="H159" s="11">
        <f>SUMPRODUCT(($E$3:$E$165=E159)*$G$3:$G$165*$F$3:$F$165)/SUMPRODUCT(($E$3:$E$165=E159)*$G$3:$G$165)</f>
        <v/>
      </c>
      <c r="I159" s="11">
        <f>SUMPRODUCT(($D$3:$D$165=D159)*$G$3:$G$165*$F$3:$F$165)/SUMPRODUCT(($D$3:$D$165=D159)*$G$3:$G$165)</f>
        <v/>
      </c>
      <c r="J159" s="11">
        <f>SUMPRODUCT(($C$3:$C$165=C159)*$G$3:$G$165*$F$3:$F$165)/SUMPRODUCT(($C$3:$C$165=C159)*$G$3:$G$165)</f>
        <v/>
      </c>
      <c r="K159" s="21">
        <f>I159/J159</f>
        <v/>
      </c>
      <c r="L159" s="21">
        <f>H159/I159</f>
        <v/>
      </c>
      <c r="M159" s="21">
        <f>F159/H159</f>
        <v/>
      </c>
      <c r="N159" s="22">
        <f>INDEX('4_UK_L1_Input'!$C$4:$C$14,MATCH($C159,'4_UK_L1_Input'!$A$4:$A$14,0))*K159*L159*M159</f>
        <v/>
      </c>
      <c r="O159" s="22">
        <f>INDEX('4_UK_L1_Input'!$D$4:$D$14,MATCH($C159,'4_UK_L1_Input'!$A$4:$A$14,0))*K159*L159*M159</f>
        <v/>
      </c>
      <c r="P159" s="14" t="n"/>
      <c r="Q159" s="14" t="n"/>
      <c r="R159" s="14" t="n"/>
      <c r="S159" s="11">
        <f>IFERROR(SUMPRODUCT(($E$3:$E$165=E159)*ISNUMBER($P$3:$P$165)*$P$3:$P$165*$F$3:$F$165)/SUMPRODUCT(($E$3:$E$165=E159)*ISNUMBER($P$3:$P$165)*$P$3:$P$165),"")</f>
        <v/>
      </c>
      <c r="T159" s="11">
        <f>IFERROR(SUMPRODUCT(($D$3:$D$165=D159)*ISNUMBER($P$3:$P$165)*$P$3:$P$165*$F$3:$F$165)/SUMPRODUCT(($D$3:$D$165=D159)*ISNUMBER($P$3:$P$165)*$P$3:$P$165),"")</f>
        <v/>
      </c>
      <c r="U159" s="11">
        <f>IFERROR(SUMPRODUCT(($C$3:$C$165=C159)*ISNUMBER($P$3:$P$165)*$P$3:$P$165*$F$3:$F$165)/SUMPRODUCT(($C$3:$C$165=C159)*ISNUMBER($P$3:$P$165)*$P$3:$P$165),"")</f>
        <v/>
      </c>
      <c r="V159" s="21">
        <f>IF(OR(T159="",U159=""),"",T159/U159)</f>
        <v/>
      </c>
      <c r="W159" s="21">
        <f>IF(OR(S159="",T159=""),"",S159/T159)</f>
        <v/>
      </c>
      <c r="X159" s="21">
        <f>IF(S159="","",F159/S159)</f>
        <v/>
      </c>
      <c r="Y159" s="22">
        <f>IF(V159="",N159,INDEX('4_UK_L1_Input'!$C$4:$C$14,MATCH($C159,'4_UK_L1_Input'!$A$4:$A$14,0))*V159*W159*X159)</f>
        <v/>
      </c>
      <c r="Z159" s="7">
        <f>IF(V159="","BETA FALLBACK","REAL (Bloomberg UK)")</f>
        <v/>
      </c>
      <c r="AA159" s="21">
        <f>IFERROR(SUMPRODUCT(($C$3:$C$165=C159)*ISNUMBER($R$3:$R$165)*$Q$3:$Q$165*IF(ISNUMBER($R$3:$R$165),$R$3:$R$165,0))/SUMPRODUCT(($C$3:$C$165=C159)*ISNUMBER($R$3:$R$165)*$Q$3:$Q$165),"")</f>
        <v/>
      </c>
      <c r="AB159" s="21">
        <f>IF(OR(R159="",AA159=""),"",R159/AA159)</f>
        <v/>
      </c>
      <c r="AC159" s="22">
        <f>IF(AB159="",O159,INDEX('4_UK_L1_Input'!$D$4:$D$14,MATCH($C159,'4_UK_L1_Input'!$A$4:$A$14,0))*AB159)</f>
        <v/>
      </c>
      <c r="AD159" s="7">
        <f>IF(AB159="","BETA FALLBACK","REAL (Bloomberg UK)")</f>
        <v/>
      </c>
      <c r="AE159" s="23">
        <f>Y159-N159</f>
        <v/>
      </c>
      <c r="AF159" s="23">
        <f>AC159-O159</f>
        <v/>
      </c>
    </row>
    <row r="160">
      <c r="A160" s="7" t="n">
        <v>60108040</v>
      </c>
      <c r="B160" s="7" t="inlineStr">
        <is>
          <t>Timber REITs*</t>
        </is>
      </c>
      <c r="C160" s="7" t="n">
        <v>60</v>
      </c>
      <c r="D160" s="7" t="n">
        <v>6010</v>
      </c>
      <c r="E160" s="7" t="n">
        <v>601080</v>
      </c>
      <c r="F160" s="7" t="n">
        <v>0.425563</v>
      </c>
      <c r="G160" s="7" t="n">
        <v>1</v>
      </c>
      <c r="H160" s="11">
        <f>SUMPRODUCT(($E$3:$E$165=E160)*$G$3:$G$165*$F$3:$F$165)/SUMPRODUCT(($E$3:$E$165=E160)*$G$3:$G$165)</f>
        <v/>
      </c>
      <c r="I160" s="11">
        <f>SUMPRODUCT(($D$3:$D$165=D160)*$G$3:$G$165*$F$3:$F$165)/SUMPRODUCT(($D$3:$D$165=D160)*$G$3:$G$165)</f>
        <v/>
      </c>
      <c r="J160" s="11">
        <f>SUMPRODUCT(($C$3:$C$165=C160)*$G$3:$G$165*$F$3:$F$165)/SUMPRODUCT(($C$3:$C$165=C160)*$G$3:$G$165)</f>
        <v/>
      </c>
      <c r="K160" s="21">
        <f>I160/J160</f>
        <v/>
      </c>
      <c r="L160" s="21">
        <f>H160/I160</f>
        <v/>
      </c>
      <c r="M160" s="21">
        <f>F160/H160</f>
        <v/>
      </c>
      <c r="N160" s="22">
        <f>INDEX('4_UK_L1_Input'!$C$4:$C$14,MATCH($C160,'4_UK_L1_Input'!$A$4:$A$14,0))*K160*L160*M160</f>
        <v/>
      </c>
      <c r="O160" s="22">
        <f>INDEX('4_UK_L1_Input'!$D$4:$D$14,MATCH($C160,'4_UK_L1_Input'!$A$4:$A$14,0))*K160*L160*M160</f>
        <v/>
      </c>
      <c r="P160" s="14" t="n"/>
      <c r="Q160" s="14" t="n"/>
      <c r="R160" s="14" t="n"/>
      <c r="S160" s="11">
        <f>IFERROR(SUMPRODUCT(($E$3:$E$165=E160)*ISNUMBER($P$3:$P$165)*$P$3:$P$165*$F$3:$F$165)/SUMPRODUCT(($E$3:$E$165=E160)*ISNUMBER($P$3:$P$165)*$P$3:$P$165),"")</f>
        <v/>
      </c>
      <c r="T160" s="11">
        <f>IFERROR(SUMPRODUCT(($D$3:$D$165=D160)*ISNUMBER($P$3:$P$165)*$P$3:$P$165*$F$3:$F$165)/SUMPRODUCT(($D$3:$D$165=D160)*ISNUMBER($P$3:$P$165)*$P$3:$P$165),"")</f>
        <v/>
      </c>
      <c r="U160" s="11">
        <f>IFERROR(SUMPRODUCT(($C$3:$C$165=C160)*ISNUMBER($P$3:$P$165)*$P$3:$P$165*$F$3:$F$165)/SUMPRODUCT(($C$3:$C$165=C160)*ISNUMBER($P$3:$P$165)*$P$3:$P$165),"")</f>
        <v/>
      </c>
      <c r="V160" s="21">
        <f>IF(OR(T160="",U160=""),"",T160/U160)</f>
        <v/>
      </c>
      <c r="W160" s="21">
        <f>IF(OR(S160="",T160=""),"",S160/T160)</f>
        <v/>
      </c>
      <c r="X160" s="21">
        <f>IF(S160="","",F160/S160)</f>
        <v/>
      </c>
      <c r="Y160" s="22">
        <f>IF(V160="",N160,INDEX('4_UK_L1_Input'!$C$4:$C$14,MATCH($C160,'4_UK_L1_Input'!$A$4:$A$14,0))*V160*W160*X160)</f>
        <v/>
      </c>
      <c r="Z160" s="7">
        <f>IF(V160="","BETA FALLBACK","REAL (Bloomberg UK)")</f>
        <v/>
      </c>
      <c r="AA160" s="21">
        <f>IFERROR(SUMPRODUCT(($C$3:$C$165=C160)*ISNUMBER($R$3:$R$165)*$Q$3:$Q$165*IF(ISNUMBER($R$3:$R$165),$R$3:$R$165,0))/SUMPRODUCT(($C$3:$C$165=C160)*ISNUMBER($R$3:$R$165)*$Q$3:$Q$165),"")</f>
        <v/>
      </c>
      <c r="AB160" s="21">
        <f>IF(OR(R160="",AA160=""),"",R160/AA160)</f>
        <v/>
      </c>
      <c r="AC160" s="22">
        <f>IF(AB160="",O160,INDEX('4_UK_L1_Input'!$D$4:$D$14,MATCH($C160,'4_UK_L1_Input'!$A$4:$A$14,0))*AB160)</f>
        <v/>
      </c>
      <c r="AD160" s="7">
        <f>IF(AB160="","BETA FALLBACK","REAL (Bloomberg UK)")</f>
        <v/>
      </c>
      <c r="AE160" s="23">
        <f>Y160-N160</f>
        <v/>
      </c>
      <c r="AF160" s="23">
        <f>AC160-O160</f>
        <v/>
      </c>
    </row>
    <row r="161">
      <c r="A161" s="7" t="n">
        <v>60108050</v>
      </c>
      <c r="B161" s="7" t="inlineStr">
        <is>
          <t>Data Center REITs*</t>
        </is>
      </c>
      <c r="C161" s="7" t="n">
        <v>60</v>
      </c>
      <c r="D161" s="7" t="n">
        <v>6010</v>
      </c>
      <c r="E161" s="7" t="n">
        <v>601080</v>
      </c>
      <c r="F161" s="7" t="n">
        <v>0.425563</v>
      </c>
      <c r="G161" s="7" t="n">
        <v>1</v>
      </c>
      <c r="H161" s="11">
        <f>SUMPRODUCT(($E$3:$E$165=E161)*$G$3:$G$165*$F$3:$F$165)/SUMPRODUCT(($E$3:$E$165=E161)*$G$3:$G$165)</f>
        <v/>
      </c>
      <c r="I161" s="11">
        <f>SUMPRODUCT(($D$3:$D$165=D161)*$G$3:$G$165*$F$3:$F$165)/SUMPRODUCT(($D$3:$D$165=D161)*$G$3:$G$165)</f>
        <v/>
      </c>
      <c r="J161" s="11">
        <f>SUMPRODUCT(($C$3:$C$165=C161)*$G$3:$G$165*$F$3:$F$165)/SUMPRODUCT(($C$3:$C$165=C161)*$G$3:$G$165)</f>
        <v/>
      </c>
      <c r="K161" s="21">
        <f>I161/J161</f>
        <v/>
      </c>
      <c r="L161" s="21">
        <f>H161/I161</f>
        <v/>
      </c>
      <c r="M161" s="21">
        <f>F161/H161</f>
        <v/>
      </c>
      <c r="N161" s="22">
        <f>INDEX('4_UK_L1_Input'!$C$4:$C$14,MATCH($C161,'4_UK_L1_Input'!$A$4:$A$14,0))*K161*L161*M161</f>
        <v/>
      </c>
      <c r="O161" s="22">
        <f>INDEX('4_UK_L1_Input'!$D$4:$D$14,MATCH($C161,'4_UK_L1_Input'!$A$4:$A$14,0))*K161*L161*M161</f>
        <v/>
      </c>
      <c r="P161" s="14" t="n"/>
      <c r="Q161" s="14" t="n"/>
      <c r="R161" s="14" t="n"/>
      <c r="S161" s="11">
        <f>IFERROR(SUMPRODUCT(($E$3:$E$165=E161)*ISNUMBER($P$3:$P$165)*$P$3:$P$165*$F$3:$F$165)/SUMPRODUCT(($E$3:$E$165=E161)*ISNUMBER($P$3:$P$165)*$P$3:$P$165),"")</f>
        <v/>
      </c>
      <c r="T161" s="11">
        <f>IFERROR(SUMPRODUCT(($D$3:$D$165=D161)*ISNUMBER($P$3:$P$165)*$P$3:$P$165*$F$3:$F$165)/SUMPRODUCT(($D$3:$D$165=D161)*ISNUMBER($P$3:$P$165)*$P$3:$P$165),"")</f>
        <v/>
      </c>
      <c r="U161" s="11">
        <f>IFERROR(SUMPRODUCT(($C$3:$C$165=C161)*ISNUMBER($P$3:$P$165)*$P$3:$P$165*$F$3:$F$165)/SUMPRODUCT(($C$3:$C$165=C161)*ISNUMBER($P$3:$P$165)*$P$3:$P$165),"")</f>
        <v/>
      </c>
      <c r="V161" s="21">
        <f>IF(OR(T161="",U161=""),"",T161/U161)</f>
        <v/>
      </c>
      <c r="W161" s="21">
        <f>IF(OR(S161="",T161=""),"",S161/T161)</f>
        <v/>
      </c>
      <c r="X161" s="21">
        <f>IF(S161="","",F161/S161)</f>
        <v/>
      </c>
      <c r="Y161" s="22">
        <f>IF(V161="",N161,INDEX('4_UK_L1_Input'!$C$4:$C$14,MATCH($C161,'4_UK_L1_Input'!$A$4:$A$14,0))*V161*W161*X161)</f>
        <v/>
      </c>
      <c r="Z161" s="7">
        <f>IF(V161="","BETA FALLBACK","REAL (Bloomberg UK)")</f>
        <v/>
      </c>
      <c r="AA161" s="21">
        <f>IFERROR(SUMPRODUCT(($C$3:$C$165=C161)*ISNUMBER($R$3:$R$165)*$Q$3:$Q$165*IF(ISNUMBER($R$3:$R$165),$R$3:$R$165,0))/SUMPRODUCT(($C$3:$C$165=C161)*ISNUMBER($R$3:$R$165)*$Q$3:$Q$165),"")</f>
        <v/>
      </c>
      <c r="AB161" s="21">
        <f>IF(OR(R161="",AA161=""),"",R161/AA161)</f>
        <v/>
      </c>
      <c r="AC161" s="22">
        <f>IF(AB161="",O161,INDEX('4_UK_L1_Input'!$D$4:$D$14,MATCH($C161,'4_UK_L1_Input'!$A$4:$A$14,0))*AB161)</f>
        <v/>
      </c>
      <c r="AD161" s="7">
        <f>IF(AB161="","BETA FALLBACK","REAL (Bloomberg UK)")</f>
        <v/>
      </c>
      <c r="AE161" s="23">
        <f>Y161-N161</f>
        <v/>
      </c>
      <c r="AF161" s="23">
        <f>AC161-O161</f>
        <v/>
      </c>
    </row>
    <row r="162">
      <c r="A162" s="7" t="n">
        <v>60201010</v>
      </c>
      <c r="B162" s="7" t="inlineStr">
        <is>
          <t>Diversified Real Estate Activities</t>
        </is>
      </c>
      <c r="C162" s="7" t="n">
        <v>60</v>
      </c>
      <c r="D162" s="7" t="n">
        <v>6020</v>
      </c>
      <c r="E162" s="7" t="n">
        <v>602010</v>
      </c>
      <c r="F162" s="7" t="n">
        <v>0.751505</v>
      </c>
      <c r="G162" s="7" t="n">
        <v>1</v>
      </c>
      <c r="H162" s="11">
        <f>SUMPRODUCT(($E$3:$E$165=E162)*$G$3:$G$165*$F$3:$F$165)/SUMPRODUCT(($E$3:$E$165=E162)*$G$3:$G$165)</f>
        <v/>
      </c>
      <c r="I162" s="11">
        <f>SUMPRODUCT(($D$3:$D$165=D162)*$G$3:$G$165*$F$3:$F$165)/SUMPRODUCT(($D$3:$D$165=D162)*$G$3:$G$165)</f>
        <v/>
      </c>
      <c r="J162" s="11">
        <f>SUMPRODUCT(($C$3:$C$165=C162)*$G$3:$G$165*$F$3:$F$165)/SUMPRODUCT(($C$3:$C$165=C162)*$G$3:$G$165)</f>
        <v/>
      </c>
      <c r="K162" s="21">
        <f>I162/J162</f>
        <v/>
      </c>
      <c r="L162" s="21">
        <f>H162/I162</f>
        <v/>
      </c>
      <c r="M162" s="21">
        <f>F162/H162</f>
        <v/>
      </c>
      <c r="N162" s="22">
        <f>INDEX('4_UK_L1_Input'!$C$4:$C$14,MATCH($C162,'4_UK_L1_Input'!$A$4:$A$14,0))*K162*L162*M162</f>
        <v/>
      </c>
      <c r="O162" s="22">
        <f>INDEX('4_UK_L1_Input'!$D$4:$D$14,MATCH($C162,'4_UK_L1_Input'!$A$4:$A$14,0))*K162*L162*M162</f>
        <v/>
      </c>
      <c r="P162" s="15" t="n">
        <v>9730000</v>
      </c>
      <c r="Q162" s="15" t="n">
        <v>20210000</v>
      </c>
      <c r="R162" s="16" t="n">
        <v>6.6</v>
      </c>
      <c r="S162" s="11">
        <f>IFERROR(SUMPRODUCT(($E$3:$E$165=E162)*ISNUMBER($P$3:$P$165)*$P$3:$P$165*$F$3:$F$165)/SUMPRODUCT(($E$3:$E$165=E162)*ISNUMBER($P$3:$P$165)*$P$3:$P$165),"")</f>
        <v/>
      </c>
      <c r="T162" s="11">
        <f>IFERROR(SUMPRODUCT(($D$3:$D$165=D162)*ISNUMBER($P$3:$P$165)*$P$3:$P$165*$F$3:$F$165)/SUMPRODUCT(($D$3:$D$165=D162)*ISNUMBER($P$3:$P$165)*$P$3:$P$165),"")</f>
        <v/>
      </c>
      <c r="U162" s="11">
        <f>IFERROR(SUMPRODUCT(($C$3:$C$165=C162)*ISNUMBER($P$3:$P$165)*$P$3:$P$165*$F$3:$F$165)/SUMPRODUCT(($C$3:$C$165=C162)*ISNUMBER($P$3:$P$165)*$P$3:$P$165),"")</f>
        <v/>
      </c>
      <c r="V162" s="21">
        <f>IF(OR(T162="",U162=""),"",T162/U162)</f>
        <v/>
      </c>
      <c r="W162" s="21">
        <f>IF(OR(S162="",T162=""),"",S162/T162)</f>
        <v/>
      </c>
      <c r="X162" s="21">
        <f>IF(S162="","",F162/S162)</f>
        <v/>
      </c>
      <c r="Y162" s="22">
        <f>IF(V162="",N162,INDEX('4_UK_L1_Input'!$C$4:$C$14,MATCH($C162,'4_UK_L1_Input'!$A$4:$A$14,0))*V162*W162*X162)</f>
        <v/>
      </c>
      <c r="Z162" s="7">
        <f>IF(V162="","BETA FALLBACK","REAL (Bloomberg UK)")</f>
        <v/>
      </c>
      <c r="AA162" s="21">
        <f>IFERROR(SUMPRODUCT(($C$3:$C$165=C162)*ISNUMBER($R$3:$R$165)*$Q$3:$Q$165*IF(ISNUMBER($R$3:$R$165),$R$3:$R$165,0))/SUMPRODUCT(($C$3:$C$165=C162)*ISNUMBER($R$3:$R$165)*$Q$3:$Q$165),"")</f>
        <v/>
      </c>
      <c r="AB162" s="21">
        <f>IF(OR(R162="",AA162=""),"",R162/AA162)</f>
        <v/>
      </c>
      <c r="AC162" s="22">
        <f>IF(AB162="",O162,INDEX('4_UK_L1_Input'!$D$4:$D$14,MATCH($C162,'4_UK_L1_Input'!$A$4:$A$14,0))*AB162)</f>
        <v/>
      </c>
      <c r="AD162" s="7">
        <f>IF(AB162="","BETA FALLBACK","REAL (Bloomberg UK)")</f>
        <v/>
      </c>
      <c r="AE162" s="23">
        <f>Y162-N162</f>
        <v/>
      </c>
      <c r="AF162" s="23">
        <f>AC162-O162</f>
        <v/>
      </c>
    </row>
    <row r="163">
      <c r="A163" s="7" t="n">
        <v>60201020</v>
      </c>
      <c r="B163" s="7" t="inlineStr">
        <is>
          <t>Real Estate Operating Companies</t>
        </is>
      </c>
      <c r="C163" s="7" t="n">
        <v>60</v>
      </c>
      <c r="D163" s="7" t="n">
        <v>6020</v>
      </c>
      <c r="E163" s="7" t="n">
        <v>602010</v>
      </c>
      <c r="F163" s="7" t="n">
        <v>0.864365</v>
      </c>
      <c r="G163" s="7" t="n">
        <v>1</v>
      </c>
      <c r="H163" s="11">
        <f>SUMPRODUCT(($E$3:$E$165=E163)*$G$3:$G$165*$F$3:$F$165)/SUMPRODUCT(($E$3:$E$165=E163)*$G$3:$G$165)</f>
        <v/>
      </c>
      <c r="I163" s="11">
        <f>SUMPRODUCT(($D$3:$D$165=D163)*$G$3:$G$165*$F$3:$F$165)/SUMPRODUCT(($D$3:$D$165=D163)*$G$3:$G$165)</f>
        <v/>
      </c>
      <c r="J163" s="11">
        <f>SUMPRODUCT(($C$3:$C$165=C163)*$G$3:$G$165*$F$3:$F$165)/SUMPRODUCT(($C$3:$C$165=C163)*$G$3:$G$165)</f>
        <v/>
      </c>
      <c r="K163" s="21">
        <f>I163/J163</f>
        <v/>
      </c>
      <c r="L163" s="21">
        <f>H163/I163</f>
        <v/>
      </c>
      <c r="M163" s="21">
        <f>F163/H163</f>
        <v/>
      </c>
      <c r="N163" s="22">
        <f>INDEX('4_UK_L1_Input'!$C$4:$C$14,MATCH($C163,'4_UK_L1_Input'!$A$4:$A$14,0))*K163*L163*M163</f>
        <v/>
      </c>
      <c r="O163" s="22">
        <f>INDEX('4_UK_L1_Input'!$D$4:$D$14,MATCH($C163,'4_UK_L1_Input'!$A$4:$A$14,0))*K163*L163*M163</f>
        <v/>
      </c>
      <c r="P163" s="15" t="n">
        <v>71110000</v>
      </c>
      <c r="Q163" s="15" t="n">
        <v>59010000</v>
      </c>
      <c r="R163" s="16" t="n">
        <v>8.26</v>
      </c>
      <c r="S163" s="11">
        <f>IFERROR(SUMPRODUCT(($E$3:$E$165=E163)*ISNUMBER($P$3:$P$165)*$P$3:$P$165*$F$3:$F$165)/SUMPRODUCT(($E$3:$E$165=E163)*ISNUMBER($P$3:$P$165)*$P$3:$P$165),"")</f>
        <v/>
      </c>
      <c r="T163" s="11">
        <f>IFERROR(SUMPRODUCT(($D$3:$D$165=D163)*ISNUMBER($P$3:$P$165)*$P$3:$P$165*$F$3:$F$165)/SUMPRODUCT(($D$3:$D$165=D163)*ISNUMBER($P$3:$P$165)*$P$3:$P$165),"")</f>
        <v/>
      </c>
      <c r="U163" s="11">
        <f>IFERROR(SUMPRODUCT(($C$3:$C$165=C163)*ISNUMBER($P$3:$P$165)*$P$3:$P$165*$F$3:$F$165)/SUMPRODUCT(($C$3:$C$165=C163)*ISNUMBER($P$3:$P$165)*$P$3:$P$165),"")</f>
        <v/>
      </c>
      <c r="V163" s="21">
        <f>IF(OR(T163="",U163=""),"",T163/U163)</f>
        <v/>
      </c>
      <c r="W163" s="21">
        <f>IF(OR(S163="",T163=""),"",S163/T163)</f>
        <v/>
      </c>
      <c r="X163" s="21">
        <f>IF(S163="","",F163/S163)</f>
        <v/>
      </c>
      <c r="Y163" s="22">
        <f>IF(V163="",N163,INDEX('4_UK_L1_Input'!$C$4:$C$14,MATCH($C163,'4_UK_L1_Input'!$A$4:$A$14,0))*V163*W163*X163)</f>
        <v/>
      </c>
      <c r="Z163" s="7">
        <f>IF(V163="","BETA FALLBACK","REAL (Bloomberg UK)")</f>
        <v/>
      </c>
      <c r="AA163" s="21">
        <f>IFERROR(SUMPRODUCT(($C$3:$C$165=C163)*ISNUMBER($R$3:$R$165)*$Q$3:$Q$165*IF(ISNUMBER($R$3:$R$165),$R$3:$R$165,0))/SUMPRODUCT(($C$3:$C$165=C163)*ISNUMBER($R$3:$R$165)*$Q$3:$Q$165),"")</f>
        <v/>
      </c>
      <c r="AB163" s="21">
        <f>IF(OR(R163="",AA163=""),"",R163/AA163)</f>
        <v/>
      </c>
      <c r="AC163" s="22">
        <f>IF(AB163="",O163,INDEX('4_UK_L1_Input'!$D$4:$D$14,MATCH($C163,'4_UK_L1_Input'!$A$4:$A$14,0))*AB163)</f>
        <v/>
      </c>
      <c r="AD163" s="7">
        <f>IF(AB163="","BETA FALLBACK","REAL (Bloomberg UK)")</f>
        <v/>
      </c>
      <c r="AE163" s="23">
        <f>Y163-N163</f>
        <v/>
      </c>
      <c r="AF163" s="23">
        <f>AC163-O163</f>
        <v/>
      </c>
    </row>
    <row r="164">
      <c r="A164" s="7" t="n">
        <v>60201030</v>
      </c>
      <c r="B164" s="7" t="inlineStr">
        <is>
          <t>Real Estate Development</t>
        </is>
      </c>
      <c r="C164" s="7" t="n">
        <v>60</v>
      </c>
      <c r="D164" s="7" t="n">
        <v>6020</v>
      </c>
      <c r="E164" s="7" t="n">
        <v>602010</v>
      </c>
      <c r="F164" s="7" t="n">
        <v>0.704464</v>
      </c>
      <c r="G164" s="7" t="n">
        <v>1</v>
      </c>
      <c r="H164" s="11">
        <f>SUMPRODUCT(($E$3:$E$165=E164)*$G$3:$G$165*$F$3:$F$165)/SUMPRODUCT(($E$3:$E$165=E164)*$G$3:$G$165)</f>
        <v/>
      </c>
      <c r="I164" s="11">
        <f>SUMPRODUCT(($D$3:$D$165=D164)*$G$3:$G$165*$F$3:$F$165)/SUMPRODUCT(($D$3:$D$165=D164)*$G$3:$G$165)</f>
        <v/>
      </c>
      <c r="J164" s="11">
        <f>SUMPRODUCT(($C$3:$C$165=C164)*$G$3:$G$165*$F$3:$F$165)/SUMPRODUCT(($C$3:$C$165=C164)*$G$3:$G$165)</f>
        <v/>
      </c>
      <c r="K164" s="21">
        <f>I164/J164</f>
        <v/>
      </c>
      <c r="L164" s="21">
        <f>H164/I164</f>
        <v/>
      </c>
      <c r="M164" s="21">
        <f>F164/H164</f>
        <v/>
      </c>
      <c r="N164" s="22">
        <f>INDEX('4_UK_L1_Input'!$C$4:$C$14,MATCH($C164,'4_UK_L1_Input'!$A$4:$A$14,0))*K164*L164*M164</f>
        <v/>
      </c>
      <c r="O164" s="22">
        <f>INDEX('4_UK_L1_Input'!$D$4:$D$14,MATCH($C164,'4_UK_L1_Input'!$A$4:$A$14,0))*K164*L164*M164</f>
        <v/>
      </c>
      <c r="P164" s="15" t="n">
        <v>699210000</v>
      </c>
      <c r="Q164" s="15" t="n">
        <v>700240000</v>
      </c>
      <c r="R164" s="16" t="n">
        <v>45.19</v>
      </c>
      <c r="S164" s="11">
        <f>IFERROR(SUMPRODUCT(($E$3:$E$165=E164)*ISNUMBER($P$3:$P$165)*$P$3:$P$165*$F$3:$F$165)/SUMPRODUCT(($E$3:$E$165=E164)*ISNUMBER($P$3:$P$165)*$P$3:$P$165),"")</f>
        <v/>
      </c>
      <c r="T164" s="11">
        <f>IFERROR(SUMPRODUCT(($D$3:$D$165=D164)*ISNUMBER($P$3:$P$165)*$P$3:$P$165*$F$3:$F$165)/SUMPRODUCT(($D$3:$D$165=D164)*ISNUMBER($P$3:$P$165)*$P$3:$P$165),"")</f>
        <v/>
      </c>
      <c r="U164" s="11">
        <f>IFERROR(SUMPRODUCT(($C$3:$C$165=C164)*ISNUMBER($P$3:$P$165)*$P$3:$P$165*$F$3:$F$165)/SUMPRODUCT(($C$3:$C$165=C164)*ISNUMBER($P$3:$P$165)*$P$3:$P$165),"")</f>
        <v/>
      </c>
      <c r="V164" s="21">
        <f>IF(OR(T164="",U164=""),"",T164/U164)</f>
        <v/>
      </c>
      <c r="W164" s="21">
        <f>IF(OR(S164="",T164=""),"",S164/T164)</f>
        <v/>
      </c>
      <c r="X164" s="21">
        <f>IF(S164="","",F164/S164)</f>
        <v/>
      </c>
      <c r="Y164" s="22">
        <f>IF(V164="",N164,INDEX('4_UK_L1_Input'!$C$4:$C$14,MATCH($C164,'4_UK_L1_Input'!$A$4:$A$14,0))*V164*W164*X164)</f>
        <v/>
      </c>
      <c r="Z164" s="7">
        <f>IF(V164="","BETA FALLBACK","REAL (Bloomberg UK)")</f>
        <v/>
      </c>
      <c r="AA164" s="21">
        <f>IFERROR(SUMPRODUCT(($C$3:$C$165=C164)*ISNUMBER($R$3:$R$165)*$Q$3:$Q$165*IF(ISNUMBER($R$3:$R$165),$R$3:$R$165,0))/SUMPRODUCT(($C$3:$C$165=C164)*ISNUMBER($R$3:$R$165)*$Q$3:$Q$165),"")</f>
        <v/>
      </c>
      <c r="AB164" s="21">
        <f>IF(OR(R164="",AA164=""),"",R164/AA164)</f>
        <v/>
      </c>
      <c r="AC164" s="22">
        <f>IF(AB164="",O164,INDEX('4_UK_L1_Input'!$D$4:$D$14,MATCH($C164,'4_UK_L1_Input'!$A$4:$A$14,0))*AB164)</f>
        <v/>
      </c>
      <c r="AD164" s="7">
        <f>IF(AB164="","BETA FALLBACK","REAL (Bloomberg UK)")</f>
        <v/>
      </c>
      <c r="AE164" s="23">
        <f>Y164-N164</f>
        <v/>
      </c>
      <c r="AF164" s="23">
        <f>AC164-O164</f>
        <v/>
      </c>
    </row>
    <row r="165">
      <c r="A165" s="7" t="n">
        <v>60201040</v>
      </c>
      <c r="B165" s="7" t="inlineStr">
        <is>
          <t>Real Estate Services</t>
        </is>
      </c>
      <c r="C165" s="7" t="n">
        <v>60</v>
      </c>
      <c r="D165" s="7" t="n">
        <v>6020</v>
      </c>
      <c r="E165" s="7" t="n">
        <v>602010</v>
      </c>
      <c r="F165" s="7" t="n">
        <v>0.864365</v>
      </c>
      <c r="G165" s="7" t="n">
        <v>1</v>
      </c>
      <c r="H165" s="11">
        <f>SUMPRODUCT(($E$3:$E$165=E165)*$G$3:$G$165*$F$3:$F$165)/SUMPRODUCT(($E$3:$E$165=E165)*$G$3:$G$165)</f>
        <v/>
      </c>
      <c r="I165" s="11">
        <f>SUMPRODUCT(($D$3:$D$165=D165)*$G$3:$G$165*$F$3:$F$165)/SUMPRODUCT(($D$3:$D$165=D165)*$G$3:$G$165)</f>
        <v/>
      </c>
      <c r="J165" s="11">
        <f>SUMPRODUCT(($C$3:$C$165=C165)*$G$3:$G$165*$F$3:$F$165)/SUMPRODUCT(($C$3:$C$165=C165)*$G$3:$G$165)</f>
        <v/>
      </c>
      <c r="K165" s="21">
        <f>I165/J165</f>
        <v/>
      </c>
      <c r="L165" s="21">
        <f>H165/I165</f>
        <v/>
      </c>
      <c r="M165" s="21">
        <f>F165/H165</f>
        <v/>
      </c>
      <c r="N165" s="22">
        <f>INDEX('4_UK_L1_Input'!$C$4:$C$14,MATCH($C165,'4_UK_L1_Input'!$A$4:$A$14,0))*K165*L165*M165</f>
        <v/>
      </c>
      <c r="O165" s="22">
        <f>INDEX('4_UK_L1_Input'!$D$4:$D$14,MATCH($C165,'4_UK_L1_Input'!$A$4:$A$14,0))*K165*L165*M165</f>
        <v/>
      </c>
      <c r="P165" s="15" t="n">
        <v>595940000</v>
      </c>
      <c r="Q165" s="15" t="n">
        <v>482530000</v>
      </c>
      <c r="R165" s="16" t="n">
        <v>5.38</v>
      </c>
      <c r="S165" s="11">
        <f>IFERROR(SUMPRODUCT(($E$3:$E$165=E165)*ISNUMBER($P$3:$P$165)*$P$3:$P$165*$F$3:$F$165)/SUMPRODUCT(($E$3:$E$165=E165)*ISNUMBER($P$3:$P$165)*$P$3:$P$165),"")</f>
        <v/>
      </c>
      <c r="T165" s="11">
        <f>IFERROR(SUMPRODUCT(($D$3:$D$165=D165)*ISNUMBER($P$3:$P$165)*$P$3:$P$165*$F$3:$F$165)/SUMPRODUCT(($D$3:$D$165=D165)*ISNUMBER($P$3:$P$165)*$P$3:$P$165),"")</f>
        <v/>
      </c>
      <c r="U165" s="11">
        <f>IFERROR(SUMPRODUCT(($C$3:$C$165=C165)*ISNUMBER($P$3:$P$165)*$P$3:$P$165*$F$3:$F$165)/SUMPRODUCT(($C$3:$C$165=C165)*ISNUMBER($P$3:$P$165)*$P$3:$P$165),"")</f>
        <v/>
      </c>
      <c r="V165" s="21">
        <f>IF(OR(T165="",U165=""),"",T165/U165)</f>
        <v/>
      </c>
      <c r="W165" s="21">
        <f>IF(OR(S165="",T165=""),"",S165/T165)</f>
        <v/>
      </c>
      <c r="X165" s="21">
        <f>IF(S165="","",F165/S165)</f>
        <v/>
      </c>
      <c r="Y165" s="22">
        <f>IF(V165="",N165,INDEX('4_UK_L1_Input'!$C$4:$C$14,MATCH($C165,'4_UK_L1_Input'!$A$4:$A$14,0))*V165*W165*X165)</f>
        <v/>
      </c>
      <c r="Z165" s="7">
        <f>IF(V165="","BETA FALLBACK","REAL (Bloomberg UK)")</f>
        <v/>
      </c>
      <c r="AA165" s="21">
        <f>IFERROR(SUMPRODUCT(($C$3:$C$165=C165)*ISNUMBER($R$3:$R$165)*$Q$3:$Q$165*IF(ISNUMBER($R$3:$R$165),$R$3:$R$165,0))/SUMPRODUCT(($C$3:$C$165=C165)*ISNUMBER($R$3:$R$165)*$Q$3:$Q$165),"")</f>
        <v/>
      </c>
      <c r="AB165" s="21">
        <f>IF(OR(R165="",AA165=""),"",R165/AA165)</f>
        <v/>
      </c>
      <c r="AC165" s="22">
        <f>IF(AB165="",O165,INDEX('4_UK_L1_Input'!$D$4:$D$14,MATCH($C165,'4_UK_L1_Input'!$A$4:$A$14,0))*AB165)</f>
        <v/>
      </c>
      <c r="AD165" s="7">
        <f>IF(AB165="","BETA FALLBACK","REAL (Bloomberg UK)")</f>
        <v/>
      </c>
      <c r="AE165" s="23">
        <f>Y165-N165</f>
        <v/>
      </c>
      <c r="AF165" s="23">
        <f>AC165-O165</f>
        <v/>
      </c>
    </row>
  </sheetData>
  <mergeCells count="1">
    <mergeCell ref="A1:A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4" customWidth="1" min="3" max="3"/>
    <col width="14" customWidth="1" min="4" max="4"/>
    <col width="12" customWidth="1" min="5" max="5"/>
    <col width="10" customWidth="1" min="6" max="6"/>
  </cols>
  <sheetData>
    <row r="1" ht="18" customHeight="1">
      <c r="A1" s="24" t="inlineStr">
        <is>
          <t>BLOCK 1 — Beta baseline, Revenue (equal-weight; should reconcile exactly by construction)</t>
        </is>
      </c>
    </row>
    <row r="2">
      <c r="A2" s="6" t="inlineStr">
        <is>
          <t>Sector Code</t>
        </is>
      </c>
      <c r="B2" s="6" t="inlineStr">
        <is>
          <t>GICS Sector</t>
        </is>
      </c>
      <c r="C2" s="6" t="inlineStr">
        <is>
          <t>L1 Input</t>
        </is>
      </c>
      <c r="D2" s="6" t="inlineStr">
        <is>
          <t>Reconstructed</t>
        </is>
      </c>
      <c r="E2" s="6" t="inlineStr">
        <is>
          <t>Variance</t>
        </is>
      </c>
      <c r="F2" s="6" t="inlineStr">
        <is>
          <t>n (used)</t>
        </is>
      </c>
    </row>
    <row r="3">
      <c r="A3" s="7" t="n">
        <v>10</v>
      </c>
      <c r="B3" s="7" t="inlineStr">
        <is>
          <t>Energy</t>
        </is>
      </c>
      <c r="C3" s="25">
        <f>'4_UK_L1_Input'!C4</f>
        <v/>
      </c>
      <c r="D3" s="26">
        <f>SUMPRODUCT(('5_Cascade_Engine'!$C$3:$C$165=A3)*'5_Cascade_Engine'!$G$3:$G$165*'5_Cascade_Engine'!$N$3:$N$165)/SUMPRODUCT(('5_Cascade_Engine'!$C$3:$C$165=A3)*'5_Cascade_Engine'!$G$3:$G$165)</f>
        <v/>
      </c>
      <c r="E3" s="27">
        <f>D3-C3</f>
        <v/>
      </c>
      <c r="F3" s="7">
        <f>SUMPRODUCT(('5_Cascade_Engine'!$C$3:$C$165=A3)*1)</f>
        <v/>
      </c>
    </row>
    <row r="4">
      <c r="A4" s="7" t="n">
        <v>15</v>
      </c>
      <c r="B4" s="7" t="inlineStr">
        <is>
          <t>Materials</t>
        </is>
      </c>
      <c r="C4" s="25">
        <f>'4_UK_L1_Input'!C5</f>
        <v/>
      </c>
      <c r="D4" s="26">
        <f>SUMPRODUCT(('5_Cascade_Engine'!$C$3:$C$165=A4)*'5_Cascade_Engine'!$G$3:$G$165*'5_Cascade_Engine'!$N$3:$N$165)/SUMPRODUCT(('5_Cascade_Engine'!$C$3:$C$165=A4)*'5_Cascade_Engine'!$G$3:$G$165)</f>
        <v/>
      </c>
      <c r="E4" s="27">
        <f>D4-C4</f>
        <v/>
      </c>
      <c r="F4" s="7">
        <f>SUMPRODUCT(('5_Cascade_Engine'!$C$3:$C$165=A4)*1)</f>
        <v/>
      </c>
    </row>
    <row r="5">
      <c r="A5" s="7" t="n">
        <v>20</v>
      </c>
      <c r="B5" s="7" t="inlineStr">
        <is>
          <t>Industrials</t>
        </is>
      </c>
      <c r="C5" s="25">
        <f>'4_UK_L1_Input'!C6</f>
        <v/>
      </c>
      <c r="D5" s="26">
        <f>SUMPRODUCT(('5_Cascade_Engine'!$C$3:$C$165=A5)*'5_Cascade_Engine'!$G$3:$G$165*'5_Cascade_Engine'!$N$3:$N$165)/SUMPRODUCT(('5_Cascade_Engine'!$C$3:$C$165=A5)*'5_Cascade_Engine'!$G$3:$G$165)</f>
        <v/>
      </c>
      <c r="E5" s="27">
        <f>D5-C5</f>
        <v/>
      </c>
      <c r="F5" s="7">
        <f>SUMPRODUCT(('5_Cascade_Engine'!$C$3:$C$165=A5)*1)</f>
        <v/>
      </c>
    </row>
    <row r="6">
      <c r="A6" s="7" t="n">
        <v>25</v>
      </c>
      <c r="B6" s="7" t="inlineStr">
        <is>
          <t>Consumer Discretionary</t>
        </is>
      </c>
      <c r="C6" s="25">
        <f>'4_UK_L1_Input'!C7</f>
        <v/>
      </c>
      <c r="D6" s="26">
        <f>SUMPRODUCT(('5_Cascade_Engine'!$C$3:$C$165=A6)*'5_Cascade_Engine'!$G$3:$G$165*'5_Cascade_Engine'!$N$3:$N$165)/SUMPRODUCT(('5_Cascade_Engine'!$C$3:$C$165=A6)*'5_Cascade_Engine'!$G$3:$G$165)</f>
        <v/>
      </c>
      <c r="E6" s="27">
        <f>D6-C6</f>
        <v/>
      </c>
      <c r="F6" s="7">
        <f>SUMPRODUCT(('5_Cascade_Engine'!$C$3:$C$165=A6)*1)</f>
        <v/>
      </c>
    </row>
    <row r="7">
      <c r="A7" s="7" t="n">
        <v>30</v>
      </c>
      <c r="B7" s="7" t="inlineStr">
        <is>
          <t>Consumer Staples</t>
        </is>
      </c>
      <c r="C7" s="25">
        <f>'4_UK_L1_Input'!C8</f>
        <v/>
      </c>
      <c r="D7" s="26">
        <f>SUMPRODUCT(('5_Cascade_Engine'!$C$3:$C$165=A7)*'5_Cascade_Engine'!$G$3:$G$165*'5_Cascade_Engine'!$N$3:$N$165)/SUMPRODUCT(('5_Cascade_Engine'!$C$3:$C$165=A7)*'5_Cascade_Engine'!$G$3:$G$165)</f>
        <v/>
      </c>
      <c r="E7" s="27">
        <f>D7-C7</f>
        <v/>
      </c>
      <c r="F7" s="7">
        <f>SUMPRODUCT(('5_Cascade_Engine'!$C$3:$C$165=A7)*1)</f>
        <v/>
      </c>
    </row>
    <row r="8">
      <c r="A8" s="7" t="n">
        <v>35</v>
      </c>
      <c r="B8" s="7" t="inlineStr">
        <is>
          <t>Health Care</t>
        </is>
      </c>
      <c r="C8" s="25">
        <f>'4_UK_L1_Input'!C9</f>
        <v/>
      </c>
      <c r="D8" s="26">
        <f>SUMPRODUCT(('5_Cascade_Engine'!$C$3:$C$165=A8)*'5_Cascade_Engine'!$G$3:$G$165*'5_Cascade_Engine'!$N$3:$N$165)/SUMPRODUCT(('5_Cascade_Engine'!$C$3:$C$165=A8)*'5_Cascade_Engine'!$G$3:$G$165)</f>
        <v/>
      </c>
      <c r="E8" s="27">
        <f>D8-C8</f>
        <v/>
      </c>
      <c r="F8" s="7">
        <f>SUMPRODUCT(('5_Cascade_Engine'!$C$3:$C$165=A8)*1)</f>
        <v/>
      </c>
    </row>
    <row r="9">
      <c r="A9" s="7" t="n">
        <v>40</v>
      </c>
      <c r="B9" s="7" t="inlineStr">
        <is>
          <t>Financials</t>
        </is>
      </c>
      <c r="C9" s="25">
        <f>'4_UK_L1_Input'!C10</f>
        <v/>
      </c>
      <c r="D9" s="26">
        <f>SUMPRODUCT(('5_Cascade_Engine'!$C$3:$C$165=A9)*'5_Cascade_Engine'!$G$3:$G$165*'5_Cascade_Engine'!$N$3:$N$165)/SUMPRODUCT(('5_Cascade_Engine'!$C$3:$C$165=A9)*'5_Cascade_Engine'!$G$3:$G$165)</f>
        <v/>
      </c>
      <c r="E9" s="27">
        <f>D9-C9</f>
        <v/>
      </c>
      <c r="F9" s="7">
        <f>SUMPRODUCT(('5_Cascade_Engine'!$C$3:$C$165=A9)*1)</f>
        <v/>
      </c>
    </row>
    <row r="10">
      <c r="A10" s="7" t="n">
        <v>45</v>
      </c>
      <c r="B10" s="7" t="inlineStr">
        <is>
          <t>Information Technology</t>
        </is>
      </c>
      <c r="C10" s="25">
        <f>'4_UK_L1_Input'!C11</f>
        <v/>
      </c>
      <c r="D10" s="26">
        <f>SUMPRODUCT(('5_Cascade_Engine'!$C$3:$C$165=A10)*'5_Cascade_Engine'!$G$3:$G$165*'5_Cascade_Engine'!$N$3:$N$165)/SUMPRODUCT(('5_Cascade_Engine'!$C$3:$C$165=A10)*'5_Cascade_Engine'!$G$3:$G$165)</f>
        <v/>
      </c>
      <c r="E10" s="27">
        <f>D10-C10</f>
        <v/>
      </c>
      <c r="F10" s="7">
        <f>SUMPRODUCT(('5_Cascade_Engine'!$C$3:$C$165=A10)*1)</f>
        <v/>
      </c>
    </row>
    <row r="11">
      <c r="A11" s="7" t="n">
        <v>50</v>
      </c>
      <c r="B11" s="7" t="inlineStr">
        <is>
          <t>Communication Services</t>
        </is>
      </c>
      <c r="C11" s="25">
        <f>'4_UK_L1_Input'!C12</f>
        <v/>
      </c>
      <c r="D11" s="26">
        <f>SUMPRODUCT(('5_Cascade_Engine'!$C$3:$C$165=A11)*'5_Cascade_Engine'!$G$3:$G$165*'5_Cascade_Engine'!$N$3:$N$165)/SUMPRODUCT(('5_Cascade_Engine'!$C$3:$C$165=A11)*'5_Cascade_Engine'!$G$3:$G$165)</f>
        <v/>
      </c>
      <c r="E11" s="27">
        <f>D11-C11</f>
        <v/>
      </c>
      <c r="F11" s="7">
        <f>SUMPRODUCT(('5_Cascade_Engine'!$C$3:$C$165=A11)*1)</f>
        <v/>
      </c>
    </row>
    <row r="12">
      <c r="A12" s="7" t="n">
        <v>55</v>
      </c>
      <c r="B12" s="7" t="inlineStr">
        <is>
          <t>Utilities</t>
        </is>
      </c>
      <c r="C12" s="25">
        <f>'4_UK_L1_Input'!C13</f>
        <v/>
      </c>
      <c r="D12" s="26">
        <f>SUMPRODUCT(('5_Cascade_Engine'!$C$3:$C$165=A12)*'5_Cascade_Engine'!$G$3:$G$165*'5_Cascade_Engine'!$N$3:$N$165)/SUMPRODUCT(('5_Cascade_Engine'!$C$3:$C$165=A12)*'5_Cascade_Engine'!$G$3:$G$165)</f>
        <v/>
      </c>
      <c r="E12" s="27">
        <f>D12-C12</f>
        <v/>
      </c>
      <c r="F12" s="7">
        <f>SUMPRODUCT(('5_Cascade_Engine'!$C$3:$C$165=A12)*1)</f>
        <v/>
      </c>
    </row>
    <row r="13">
      <c r="A13" s="7" t="n">
        <v>60</v>
      </c>
      <c r="B13" s="7" t="inlineStr">
        <is>
          <t>Real Estate</t>
        </is>
      </c>
      <c r="C13" s="25">
        <f>'4_UK_L1_Input'!C14</f>
        <v/>
      </c>
      <c r="D13" s="26">
        <f>SUMPRODUCT(('5_Cascade_Engine'!$C$3:$C$165=A13)*'5_Cascade_Engine'!$G$3:$G$165*'5_Cascade_Engine'!$N$3:$N$165)/SUMPRODUCT(('5_Cascade_Engine'!$C$3:$C$165=A13)*'5_Cascade_Engine'!$G$3:$G$165)</f>
        <v/>
      </c>
      <c r="E13" s="27">
        <f>D13-C13</f>
        <v/>
      </c>
      <c r="F13" s="7">
        <f>SUMPRODUCT(('5_Cascade_Engine'!$C$3:$C$165=A13)*1)</f>
        <v/>
      </c>
    </row>
    <row r="15" ht="18" customHeight="1">
      <c r="A15" s="24" t="inlineStr">
        <is>
          <t>BLOCK 2 — Beta baseline, EV/EBITDA (equal-weight; should reconcile exactly by construction)</t>
        </is>
      </c>
    </row>
    <row r="16">
      <c r="A16" s="6" t="inlineStr">
        <is>
          <t>Sector Code</t>
        </is>
      </c>
      <c r="B16" s="6" t="inlineStr">
        <is>
          <t>GICS Sector</t>
        </is>
      </c>
      <c r="C16" s="6" t="inlineStr">
        <is>
          <t>L1 Input</t>
        </is>
      </c>
      <c r="D16" s="6" t="inlineStr">
        <is>
          <t>Reconstructed</t>
        </is>
      </c>
      <c r="E16" s="6" t="inlineStr">
        <is>
          <t>Variance</t>
        </is>
      </c>
      <c r="F16" s="6" t="inlineStr">
        <is>
          <t>n (used)</t>
        </is>
      </c>
    </row>
    <row r="17">
      <c r="A17" s="7" t="n">
        <v>10</v>
      </c>
      <c r="B17" s="7" t="inlineStr">
        <is>
          <t>Energy</t>
        </is>
      </c>
      <c r="C17" s="25">
        <f>'4_UK_L1_Input'!D4</f>
        <v/>
      </c>
      <c r="D17" s="26">
        <f>SUMPRODUCT(('5_Cascade_Engine'!$C$3:$C$165=A17)*'5_Cascade_Engine'!$G$3:$G$165*'5_Cascade_Engine'!$O$3:$O$165)/SUMPRODUCT(('5_Cascade_Engine'!$C$3:$C$165=A17)*'5_Cascade_Engine'!$G$3:$G$165)</f>
        <v/>
      </c>
      <c r="E17" s="27">
        <f>D17-C17</f>
        <v/>
      </c>
      <c r="F17" s="7">
        <f>SUMPRODUCT(('5_Cascade_Engine'!$C$3:$C$165=A17)*1)</f>
        <v/>
      </c>
    </row>
    <row r="18">
      <c r="A18" s="7" t="n">
        <v>15</v>
      </c>
      <c r="B18" s="7" t="inlineStr">
        <is>
          <t>Materials</t>
        </is>
      </c>
      <c r="C18" s="25">
        <f>'4_UK_L1_Input'!D5</f>
        <v/>
      </c>
      <c r="D18" s="26">
        <f>SUMPRODUCT(('5_Cascade_Engine'!$C$3:$C$165=A18)*'5_Cascade_Engine'!$G$3:$G$165*'5_Cascade_Engine'!$O$3:$O$165)/SUMPRODUCT(('5_Cascade_Engine'!$C$3:$C$165=A18)*'5_Cascade_Engine'!$G$3:$G$165)</f>
        <v/>
      </c>
      <c r="E18" s="27">
        <f>D18-C18</f>
        <v/>
      </c>
      <c r="F18" s="7">
        <f>SUMPRODUCT(('5_Cascade_Engine'!$C$3:$C$165=A18)*1)</f>
        <v/>
      </c>
    </row>
    <row r="19">
      <c r="A19" s="7" t="n">
        <v>20</v>
      </c>
      <c r="B19" s="7" t="inlineStr">
        <is>
          <t>Industrials</t>
        </is>
      </c>
      <c r="C19" s="25">
        <f>'4_UK_L1_Input'!D6</f>
        <v/>
      </c>
      <c r="D19" s="26">
        <f>SUMPRODUCT(('5_Cascade_Engine'!$C$3:$C$165=A19)*'5_Cascade_Engine'!$G$3:$G$165*'5_Cascade_Engine'!$O$3:$O$165)/SUMPRODUCT(('5_Cascade_Engine'!$C$3:$C$165=A19)*'5_Cascade_Engine'!$G$3:$G$165)</f>
        <v/>
      </c>
      <c r="E19" s="27">
        <f>D19-C19</f>
        <v/>
      </c>
      <c r="F19" s="7">
        <f>SUMPRODUCT(('5_Cascade_Engine'!$C$3:$C$165=A19)*1)</f>
        <v/>
      </c>
    </row>
    <row r="20">
      <c r="A20" s="7" t="n">
        <v>25</v>
      </c>
      <c r="B20" s="7" t="inlineStr">
        <is>
          <t>Consumer Discretionary</t>
        </is>
      </c>
      <c r="C20" s="25">
        <f>'4_UK_L1_Input'!D7</f>
        <v/>
      </c>
      <c r="D20" s="26">
        <f>SUMPRODUCT(('5_Cascade_Engine'!$C$3:$C$165=A20)*'5_Cascade_Engine'!$G$3:$G$165*'5_Cascade_Engine'!$O$3:$O$165)/SUMPRODUCT(('5_Cascade_Engine'!$C$3:$C$165=A20)*'5_Cascade_Engine'!$G$3:$G$165)</f>
        <v/>
      </c>
      <c r="E20" s="27">
        <f>D20-C20</f>
        <v/>
      </c>
      <c r="F20" s="7">
        <f>SUMPRODUCT(('5_Cascade_Engine'!$C$3:$C$165=A20)*1)</f>
        <v/>
      </c>
    </row>
    <row r="21">
      <c r="A21" s="7" t="n">
        <v>30</v>
      </c>
      <c r="B21" s="7" t="inlineStr">
        <is>
          <t>Consumer Staples</t>
        </is>
      </c>
      <c r="C21" s="25">
        <f>'4_UK_L1_Input'!D8</f>
        <v/>
      </c>
      <c r="D21" s="26">
        <f>SUMPRODUCT(('5_Cascade_Engine'!$C$3:$C$165=A21)*'5_Cascade_Engine'!$G$3:$G$165*'5_Cascade_Engine'!$O$3:$O$165)/SUMPRODUCT(('5_Cascade_Engine'!$C$3:$C$165=A21)*'5_Cascade_Engine'!$G$3:$G$165)</f>
        <v/>
      </c>
      <c r="E21" s="27">
        <f>D21-C21</f>
        <v/>
      </c>
      <c r="F21" s="7">
        <f>SUMPRODUCT(('5_Cascade_Engine'!$C$3:$C$165=A21)*1)</f>
        <v/>
      </c>
    </row>
    <row r="22">
      <c r="A22" s="7" t="n">
        <v>35</v>
      </c>
      <c r="B22" s="7" t="inlineStr">
        <is>
          <t>Health Care</t>
        </is>
      </c>
      <c r="C22" s="25">
        <f>'4_UK_L1_Input'!D9</f>
        <v/>
      </c>
      <c r="D22" s="26">
        <f>SUMPRODUCT(('5_Cascade_Engine'!$C$3:$C$165=A22)*'5_Cascade_Engine'!$G$3:$G$165*'5_Cascade_Engine'!$O$3:$O$165)/SUMPRODUCT(('5_Cascade_Engine'!$C$3:$C$165=A22)*'5_Cascade_Engine'!$G$3:$G$165)</f>
        <v/>
      </c>
      <c r="E22" s="27">
        <f>D22-C22</f>
        <v/>
      </c>
      <c r="F22" s="7">
        <f>SUMPRODUCT(('5_Cascade_Engine'!$C$3:$C$165=A22)*1)</f>
        <v/>
      </c>
    </row>
    <row r="23">
      <c r="A23" s="7" t="n">
        <v>40</v>
      </c>
      <c r="B23" s="7" t="inlineStr">
        <is>
          <t>Financials</t>
        </is>
      </c>
      <c r="C23" s="25">
        <f>'4_UK_L1_Input'!D10</f>
        <v/>
      </c>
      <c r="D23" s="26">
        <f>SUMPRODUCT(('5_Cascade_Engine'!$C$3:$C$165=A23)*'5_Cascade_Engine'!$G$3:$G$165*'5_Cascade_Engine'!$O$3:$O$165)/SUMPRODUCT(('5_Cascade_Engine'!$C$3:$C$165=A23)*'5_Cascade_Engine'!$G$3:$G$165)</f>
        <v/>
      </c>
      <c r="E23" s="27">
        <f>D23-C23</f>
        <v/>
      </c>
      <c r="F23" s="7">
        <f>SUMPRODUCT(('5_Cascade_Engine'!$C$3:$C$165=A23)*1)</f>
        <v/>
      </c>
    </row>
    <row r="24">
      <c r="A24" s="7" t="n">
        <v>45</v>
      </c>
      <c r="B24" s="7" t="inlineStr">
        <is>
          <t>Information Technology</t>
        </is>
      </c>
      <c r="C24" s="25">
        <f>'4_UK_L1_Input'!D11</f>
        <v/>
      </c>
      <c r="D24" s="26">
        <f>SUMPRODUCT(('5_Cascade_Engine'!$C$3:$C$165=A24)*'5_Cascade_Engine'!$G$3:$G$165*'5_Cascade_Engine'!$O$3:$O$165)/SUMPRODUCT(('5_Cascade_Engine'!$C$3:$C$165=A24)*'5_Cascade_Engine'!$G$3:$G$165)</f>
        <v/>
      </c>
      <c r="E24" s="27">
        <f>D24-C24</f>
        <v/>
      </c>
      <c r="F24" s="7">
        <f>SUMPRODUCT(('5_Cascade_Engine'!$C$3:$C$165=A24)*1)</f>
        <v/>
      </c>
    </row>
    <row r="25">
      <c r="A25" s="7" t="n">
        <v>50</v>
      </c>
      <c r="B25" s="7" t="inlineStr">
        <is>
          <t>Communication Services</t>
        </is>
      </c>
      <c r="C25" s="25">
        <f>'4_UK_L1_Input'!D12</f>
        <v/>
      </c>
      <c r="D25" s="26">
        <f>SUMPRODUCT(('5_Cascade_Engine'!$C$3:$C$165=A25)*'5_Cascade_Engine'!$G$3:$G$165*'5_Cascade_Engine'!$O$3:$O$165)/SUMPRODUCT(('5_Cascade_Engine'!$C$3:$C$165=A25)*'5_Cascade_Engine'!$G$3:$G$165)</f>
        <v/>
      </c>
      <c r="E25" s="27">
        <f>D25-C25</f>
        <v/>
      </c>
      <c r="F25" s="7">
        <f>SUMPRODUCT(('5_Cascade_Engine'!$C$3:$C$165=A25)*1)</f>
        <v/>
      </c>
    </row>
    <row r="26">
      <c r="A26" s="7" t="n">
        <v>55</v>
      </c>
      <c r="B26" s="7" t="inlineStr">
        <is>
          <t>Utilities</t>
        </is>
      </c>
      <c r="C26" s="25">
        <f>'4_UK_L1_Input'!D13</f>
        <v/>
      </c>
      <c r="D26" s="26">
        <f>SUMPRODUCT(('5_Cascade_Engine'!$C$3:$C$165=A26)*'5_Cascade_Engine'!$G$3:$G$165*'5_Cascade_Engine'!$O$3:$O$165)/SUMPRODUCT(('5_Cascade_Engine'!$C$3:$C$165=A26)*'5_Cascade_Engine'!$G$3:$G$165)</f>
        <v/>
      </c>
      <c r="E26" s="27">
        <f>D26-C26</f>
        <v/>
      </c>
      <c r="F26" s="7">
        <f>SUMPRODUCT(('5_Cascade_Engine'!$C$3:$C$165=A26)*1)</f>
        <v/>
      </c>
    </row>
    <row r="27">
      <c r="A27" s="7" t="n">
        <v>60</v>
      </c>
      <c r="B27" s="7" t="inlineStr">
        <is>
          <t>Real Estate</t>
        </is>
      </c>
      <c r="C27" s="25">
        <f>'4_UK_L1_Input'!D14</f>
        <v/>
      </c>
      <c r="D27" s="26">
        <f>SUMPRODUCT(('5_Cascade_Engine'!$C$3:$C$165=A27)*'5_Cascade_Engine'!$G$3:$G$165*'5_Cascade_Engine'!$O$3:$O$165)/SUMPRODUCT(('5_Cascade_Engine'!$C$3:$C$165=A27)*'5_Cascade_Engine'!$G$3:$G$165)</f>
        <v/>
      </c>
      <c r="E27" s="27">
        <f>D27-C27</f>
        <v/>
      </c>
      <c r="F27" s="7">
        <f>SUMPRODUCT(('5_Cascade_Engine'!$C$3:$C$165=A27)*1)</f>
        <v/>
      </c>
    </row>
    <row r="29" ht="18" customHeight="1">
      <c r="A29" s="24" t="inlineStr">
        <is>
          <t>BLOCK 3 — Real-data Revenue (real-revenue-weighted, REAL rows only)</t>
        </is>
      </c>
    </row>
    <row r="30">
      <c r="A30" s="6" t="inlineStr">
        <is>
          <t>Sector Code</t>
        </is>
      </c>
      <c r="B30" s="6" t="inlineStr">
        <is>
          <t>GICS Sector</t>
        </is>
      </c>
      <c r="C30" s="6" t="inlineStr">
        <is>
          <t>L1 Input</t>
        </is>
      </c>
      <c r="D30" s="6" t="inlineStr">
        <is>
          <t>Reconstructed</t>
        </is>
      </c>
      <c r="E30" s="6" t="inlineStr">
        <is>
          <t>Variance</t>
        </is>
      </c>
      <c r="F30" s="6" t="inlineStr">
        <is>
          <t>n (used)</t>
        </is>
      </c>
    </row>
    <row r="31">
      <c r="A31" s="7" t="n">
        <v>10</v>
      </c>
      <c r="B31" s="7" t="inlineStr">
        <is>
          <t>Energy</t>
        </is>
      </c>
      <c r="C31" s="25">
        <f>'4_UK_L1_Input'!C4</f>
        <v/>
      </c>
      <c r="D31" s="26">
        <f>SUMPRODUCT(('5_Cascade_Engine'!$C$3:$C$165=A31)*('5_Cascade_Engine'!$Z$3:$Z$165="REAL (Bloomberg UK)")*'5_Cascade_Engine'!$P$3:$P$165*'5_Cascade_Engine'!$Y$3:$Y$165)/SUMPRODUCT(('5_Cascade_Engine'!$C$3:$C$165=A31)*('5_Cascade_Engine'!$Z$3:$Z$165="REAL (Bloomberg UK)")*'5_Cascade_Engine'!$P$3:$P$165)</f>
        <v/>
      </c>
      <c r="E31" s="27">
        <f>D31-C31</f>
        <v/>
      </c>
      <c r="F31" s="7">
        <f>SUMPRODUCT(('5_Cascade_Engine'!$C$3:$C$165=A31)*('5_Cascade_Engine'!$Z$3:$Z$165="REAL (Bloomberg UK)"))</f>
        <v/>
      </c>
    </row>
    <row r="32">
      <c r="A32" s="7" t="n">
        <v>15</v>
      </c>
      <c r="B32" s="7" t="inlineStr">
        <is>
          <t>Materials</t>
        </is>
      </c>
      <c r="C32" s="25">
        <f>'4_UK_L1_Input'!C5</f>
        <v/>
      </c>
      <c r="D32" s="26">
        <f>SUMPRODUCT(('5_Cascade_Engine'!$C$3:$C$165=A32)*('5_Cascade_Engine'!$Z$3:$Z$165="REAL (Bloomberg UK)")*'5_Cascade_Engine'!$P$3:$P$165*'5_Cascade_Engine'!$Y$3:$Y$165)/SUMPRODUCT(('5_Cascade_Engine'!$C$3:$C$165=A32)*('5_Cascade_Engine'!$Z$3:$Z$165="REAL (Bloomberg UK)")*'5_Cascade_Engine'!$P$3:$P$165)</f>
        <v/>
      </c>
      <c r="E32" s="27">
        <f>D32-C32</f>
        <v/>
      </c>
      <c r="F32" s="7">
        <f>SUMPRODUCT(('5_Cascade_Engine'!$C$3:$C$165=A32)*('5_Cascade_Engine'!$Z$3:$Z$165="REAL (Bloomberg UK)"))</f>
        <v/>
      </c>
    </row>
    <row r="33">
      <c r="A33" s="7" t="n">
        <v>20</v>
      </c>
      <c r="B33" s="7" t="inlineStr">
        <is>
          <t>Industrials</t>
        </is>
      </c>
      <c r="C33" s="25">
        <f>'4_UK_L1_Input'!C6</f>
        <v/>
      </c>
      <c r="D33" s="26">
        <f>SUMPRODUCT(('5_Cascade_Engine'!$C$3:$C$165=A33)*('5_Cascade_Engine'!$Z$3:$Z$165="REAL (Bloomberg UK)")*'5_Cascade_Engine'!$P$3:$P$165*'5_Cascade_Engine'!$Y$3:$Y$165)/SUMPRODUCT(('5_Cascade_Engine'!$C$3:$C$165=A33)*('5_Cascade_Engine'!$Z$3:$Z$165="REAL (Bloomberg UK)")*'5_Cascade_Engine'!$P$3:$P$165)</f>
        <v/>
      </c>
      <c r="E33" s="27">
        <f>D33-C33</f>
        <v/>
      </c>
      <c r="F33" s="7">
        <f>SUMPRODUCT(('5_Cascade_Engine'!$C$3:$C$165=A33)*('5_Cascade_Engine'!$Z$3:$Z$165="REAL (Bloomberg UK)"))</f>
        <v/>
      </c>
    </row>
    <row r="34">
      <c r="A34" s="7" t="n">
        <v>25</v>
      </c>
      <c r="B34" s="7" t="inlineStr">
        <is>
          <t>Consumer Discretionary</t>
        </is>
      </c>
      <c r="C34" s="25">
        <f>'4_UK_L1_Input'!C7</f>
        <v/>
      </c>
      <c r="D34" s="26">
        <f>SUMPRODUCT(('5_Cascade_Engine'!$C$3:$C$165=A34)*('5_Cascade_Engine'!$Z$3:$Z$165="REAL (Bloomberg UK)")*'5_Cascade_Engine'!$P$3:$P$165*'5_Cascade_Engine'!$Y$3:$Y$165)/SUMPRODUCT(('5_Cascade_Engine'!$C$3:$C$165=A34)*('5_Cascade_Engine'!$Z$3:$Z$165="REAL (Bloomberg UK)")*'5_Cascade_Engine'!$P$3:$P$165)</f>
        <v/>
      </c>
      <c r="E34" s="27">
        <f>D34-C34</f>
        <v/>
      </c>
      <c r="F34" s="7">
        <f>SUMPRODUCT(('5_Cascade_Engine'!$C$3:$C$165=A34)*('5_Cascade_Engine'!$Z$3:$Z$165="REAL (Bloomberg UK)"))</f>
        <v/>
      </c>
    </row>
    <row r="35">
      <c r="A35" s="7" t="n">
        <v>30</v>
      </c>
      <c r="B35" s="7" t="inlineStr">
        <is>
          <t>Consumer Staples</t>
        </is>
      </c>
      <c r="C35" s="25">
        <f>'4_UK_L1_Input'!C8</f>
        <v/>
      </c>
      <c r="D35" s="26">
        <f>SUMPRODUCT(('5_Cascade_Engine'!$C$3:$C$165=A35)*('5_Cascade_Engine'!$Z$3:$Z$165="REAL (Bloomberg UK)")*'5_Cascade_Engine'!$P$3:$P$165*'5_Cascade_Engine'!$Y$3:$Y$165)/SUMPRODUCT(('5_Cascade_Engine'!$C$3:$C$165=A35)*('5_Cascade_Engine'!$Z$3:$Z$165="REAL (Bloomberg UK)")*'5_Cascade_Engine'!$P$3:$P$165)</f>
        <v/>
      </c>
      <c r="E35" s="27">
        <f>D35-C35</f>
        <v/>
      </c>
      <c r="F35" s="7">
        <f>SUMPRODUCT(('5_Cascade_Engine'!$C$3:$C$165=A35)*('5_Cascade_Engine'!$Z$3:$Z$165="REAL (Bloomberg UK)"))</f>
        <v/>
      </c>
    </row>
    <row r="36">
      <c r="A36" s="7" t="n">
        <v>35</v>
      </c>
      <c r="B36" s="7" t="inlineStr">
        <is>
          <t>Health Care</t>
        </is>
      </c>
      <c r="C36" s="25">
        <f>'4_UK_L1_Input'!C9</f>
        <v/>
      </c>
      <c r="D36" s="26">
        <f>SUMPRODUCT(('5_Cascade_Engine'!$C$3:$C$165=A36)*('5_Cascade_Engine'!$Z$3:$Z$165="REAL (Bloomberg UK)")*'5_Cascade_Engine'!$P$3:$P$165*'5_Cascade_Engine'!$Y$3:$Y$165)/SUMPRODUCT(('5_Cascade_Engine'!$C$3:$C$165=A36)*('5_Cascade_Engine'!$Z$3:$Z$165="REAL (Bloomberg UK)")*'5_Cascade_Engine'!$P$3:$P$165)</f>
        <v/>
      </c>
      <c r="E36" s="27">
        <f>D36-C36</f>
        <v/>
      </c>
      <c r="F36" s="7">
        <f>SUMPRODUCT(('5_Cascade_Engine'!$C$3:$C$165=A36)*('5_Cascade_Engine'!$Z$3:$Z$165="REAL (Bloomberg UK)"))</f>
        <v/>
      </c>
    </row>
    <row r="37">
      <c r="A37" s="7" t="n">
        <v>40</v>
      </c>
      <c r="B37" s="7" t="inlineStr">
        <is>
          <t>Financials</t>
        </is>
      </c>
      <c r="C37" s="25">
        <f>'4_UK_L1_Input'!C10</f>
        <v/>
      </c>
      <c r="D37" s="26">
        <f>SUMPRODUCT(('5_Cascade_Engine'!$C$3:$C$165=A37)*('5_Cascade_Engine'!$Z$3:$Z$165="REAL (Bloomberg UK)")*'5_Cascade_Engine'!$P$3:$P$165*'5_Cascade_Engine'!$Y$3:$Y$165)/SUMPRODUCT(('5_Cascade_Engine'!$C$3:$C$165=A37)*('5_Cascade_Engine'!$Z$3:$Z$165="REAL (Bloomberg UK)")*'5_Cascade_Engine'!$P$3:$P$165)</f>
        <v/>
      </c>
      <c r="E37" s="27">
        <f>D37-C37</f>
        <v/>
      </c>
      <c r="F37" s="7">
        <f>SUMPRODUCT(('5_Cascade_Engine'!$C$3:$C$165=A37)*('5_Cascade_Engine'!$Z$3:$Z$165="REAL (Bloomberg UK)"))</f>
        <v/>
      </c>
    </row>
    <row r="38">
      <c r="A38" s="7" t="n">
        <v>45</v>
      </c>
      <c r="B38" s="7" t="inlineStr">
        <is>
          <t>Information Technology</t>
        </is>
      </c>
      <c r="C38" s="25">
        <f>'4_UK_L1_Input'!C11</f>
        <v/>
      </c>
      <c r="D38" s="26">
        <f>SUMPRODUCT(('5_Cascade_Engine'!$C$3:$C$165=A38)*('5_Cascade_Engine'!$Z$3:$Z$165="REAL (Bloomberg UK)")*'5_Cascade_Engine'!$P$3:$P$165*'5_Cascade_Engine'!$Y$3:$Y$165)/SUMPRODUCT(('5_Cascade_Engine'!$C$3:$C$165=A38)*('5_Cascade_Engine'!$Z$3:$Z$165="REAL (Bloomberg UK)")*'5_Cascade_Engine'!$P$3:$P$165)</f>
        <v/>
      </c>
      <c r="E38" s="27">
        <f>D38-C38</f>
        <v/>
      </c>
      <c r="F38" s="7">
        <f>SUMPRODUCT(('5_Cascade_Engine'!$C$3:$C$165=A38)*('5_Cascade_Engine'!$Z$3:$Z$165="REAL (Bloomberg UK)"))</f>
        <v/>
      </c>
    </row>
    <row r="39">
      <c r="A39" s="7" t="n">
        <v>50</v>
      </c>
      <c r="B39" s="7" t="inlineStr">
        <is>
          <t>Communication Services</t>
        </is>
      </c>
      <c r="C39" s="25">
        <f>'4_UK_L1_Input'!C12</f>
        <v/>
      </c>
      <c r="D39" s="26">
        <f>SUMPRODUCT(('5_Cascade_Engine'!$C$3:$C$165=A39)*('5_Cascade_Engine'!$Z$3:$Z$165="REAL (Bloomberg UK)")*'5_Cascade_Engine'!$P$3:$P$165*'5_Cascade_Engine'!$Y$3:$Y$165)/SUMPRODUCT(('5_Cascade_Engine'!$C$3:$C$165=A39)*('5_Cascade_Engine'!$Z$3:$Z$165="REAL (Bloomberg UK)")*'5_Cascade_Engine'!$P$3:$P$165)</f>
        <v/>
      </c>
      <c r="E39" s="27">
        <f>D39-C39</f>
        <v/>
      </c>
      <c r="F39" s="7">
        <f>SUMPRODUCT(('5_Cascade_Engine'!$C$3:$C$165=A39)*('5_Cascade_Engine'!$Z$3:$Z$165="REAL (Bloomberg UK)"))</f>
        <v/>
      </c>
    </row>
    <row r="40">
      <c r="A40" s="7" t="n">
        <v>55</v>
      </c>
      <c r="B40" s="7" t="inlineStr">
        <is>
          <t>Utilities</t>
        </is>
      </c>
      <c r="C40" s="25">
        <f>'4_UK_L1_Input'!C13</f>
        <v/>
      </c>
      <c r="D40" s="26">
        <f>SUMPRODUCT(('5_Cascade_Engine'!$C$3:$C$165=A40)*('5_Cascade_Engine'!$Z$3:$Z$165="REAL (Bloomberg UK)")*'5_Cascade_Engine'!$P$3:$P$165*'5_Cascade_Engine'!$Y$3:$Y$165)/SUMPRODUCT(('5_Cascade_Engine'!$C$3:$C$165=A40)*('5_Cascade_Engine'!$Z$3:$Z$165="REAL (Bloomberg UK)")*'5_Cascade_Engine'!$P$3:$P$165)</f>
        <v/>
      </c>
      <c r="E40" s="27">
        <f>D40-C40</f>
        <v/>
      </c>
      <c r="F40" s="7">
        <f>SUMPRODUCT(('5_Cascade_Engine'!$C$3:$C$165=A40)*('5_Cascade_Engine'!$Z$3:$Z$165="REAL (Bloomberg UK)"))</f>
        <v/>
      </c>
    </row>
    <row r="41">
      <c r="A41" s="7" t="n">
        <v>60</v>
      </c>
      <c r="B41" s="7" t="inlineStr">
        <is>
          <t>Real Estate</t>
        </is>
      </c>
      <c r="C41" s="25">
        <f>'4_UK_L1_Input'!C14</f>
        <v/>
      </c>
      <c r="D41" s="26">
        <f>SUMPRODUCT(('5_Cascade_Engine'!$C$3:$C$165=A41)*('5_Cascade_Engine'!$Z$3:$Z$165="REAL (Bloomberg UK)")*'5_Cascade_Engine'!$P$3:$P$165*'5_Cascade_Engine'!$Y$3:$Y$165)/SUMPRODUCT(('5_Cascade_Engine'!$C$3:$C$165=A41)*('5_Cascade_Engine'!$Z$3:$Z$165="REAL (Bloomberg UK)")*'5_Cascade_Engine'!$P$3:$P$165)</f>
        <v/>
      </c>
      <c r="E41" s="27">
        <f>D41-C41</f>
        <v/>
      </c>
      <c r="F41" s="7">
        <f>SUMPRODUCT(('5_Cascade_Engine'!$C$3:$C$165=A41)*('5_Cascade_Engine'!$Z$3:$Z$165="REAL (Bloomberg UK)"))</f>
        <v/>
      </c>
    </row>
    <row r="43" ht="18" customHeight="1">
      <c r="A43" s="24" t="inlineStr">
        <is>
          <t>BLOCK 4 — Real-data EV/EBITDA (real-mcap-weighted, REAL rows only)</t>
        </is>
      </c>
    </row>
    <row r="44">
      <c r="A44" s="6" t="inlineStr">
        <is>
          <t>Sector Code</t>
        </is>
      </c>
      <c r="B44" s="6" t="inlineStr">
        <is>
          <t>GICS Sector</t>
        </is>
      </c>
      <c r="C44" s="6" t="inlineStr">
        <is>
          <t>L1 Input</t>
        </is>
      </c>
      <c r="D44" s="6" t="inlineStr">
        <is>
          <t>Reconstructed</t>
        </is>
      </c>
      <c r="E44" s="6" t="inlineStr">
        <is>
          <t>Variance</t>
        </is>
      </c>
      <c r="F44" s="6" t="inlineStr">
        <is>
          <t>n (used)</t>
        </is>
      </c>
    </row>
    <row r="45">
      <c r="A45" s="7" t="n">
        <v>10</v>
      </c>
      <c r="B45" s="7" t="inlineStr">
        <is>
          <t>Energy</t>
        </is>
      </c>
      <c r="C45" s="25">
        <f>'4_UK_L1_Input'!D4</f>
        <v/>
      </c>
      <c r="D45" s="26">
        <f>SUMPRODUCT(('5_Cascade_Engine'!$C$3:$C$165=A45)*('5_Cascade_Engine'!$AD$3:$AD$165="REAL (Bloomberg UK)")*'5_Cascade_Engine'!$Q$3:$Q$165*'5_Cascade_Engine'!$AC$3:$AC$165)/SUMPRODUCT(('5_Cascade_Engine'!$C$3:$C$165=A45)*('5_Cascade_Engine'!$AD$3:$AD$165="REAL (Bloomberg UK)")*'5_Cascade_Engine'!$Q$3:$Q$165)</f>
        <v/>
      </c>
      <c r="E45" s="27">
        <f>D45-C45</f>
        <v/>
      </c>
      <c r="F45" s="7">
        <f>SUMPRODUCT(('5_Cascade_Engine'!$C$3:$C$165=A45)*('5_Cascade_Engine'!$AD$3:$AD$165="REAL (Bloomberg UK)"))</f>
        <v/>
      </c>
    </row>
    <row r="46">
      <c r="A46" s="7" t="n">
        <v>15</v>
      </c>
      <c r="B46" s="7" t="inlineStr">
        <is>
          <t>Materials</t>
        </is>
      </c>
      <c r="C46" s="25">
        <f>'4_UK_L1_Input'!D5</f>
        <v/>
      </c>
      <c r="D46" s="26">
        <f>SUMPRODUCT(('5_Cascade_Engine'!$C$3:$C$165=A46)*('5_Cascade_Engine'!$AD$3:$AD$165="REAL (Bloomberg UK)")*'5_Cascade_Engine'!$Q$3:$Q$165*'5_Cascade_Engine'!$AC$3:$AC$165)/SUMPRODUCT(('5_Cascade_Engine'!$C$3:$C$165=A46)*('5_Cascade_Engine'!$AD$3:$AD$165="REAL (Bloomberg UK)")*'5_Cascade_Engine'!$Q$3:$Q$165)</f>
        <v/>
      </c>
      <c r="E46" s="27">
        <f>D46-C46</f>
        <v/>
      </c>
      <c r="F46" s="7">
        <f>SUMPRODUCT(('5_Cascade_Engine'!$C$3:$C$165=A46)*('5_Cascade_Engine'!$AD$3:$AD$165="REAL (Bloomberg UK)"))</f>
        <v/>
      </c>
    </row>
    <row r="47">
      <c r="A47" s="7" t="n">
        <v>20</v>
      </c>
      <c r="B47" s="7" t="inlineStr">
        <is>
          <t>Industrials</t>
        </is>
      </c>
      <c r="C47" s="25">
        <f>'4_UK_L1_Input'!D6</f>
        <v/>
      </c>
      <c r="D47" s="26">
        <f>SUMPRODUCT(('5_Cascade_Engine'!$C$3:$C$165=A47)*('5_Cascade_Engine'!$AD$3:$AD$165="REAL (Bloomberg UK)")*'5_Cascade_Engine'!$Q$3:$Q$165*'5_Cascade_Engine'!$AC$3:$AC$165)/SUMPRODUCT(('5_Cascade_Engine'!$C$3:$C$165=A47)*('5_Cascade_Engine'!$AD$3:$AD$165="REAL (Bloomberg UK)")*'5_Cascade_Engine'!$Q$3:$Q$165)</f>
        <v/>
      </c>
      <c r="E47" s="27">
        <f>D47-C47</f>
        <v/>
      </c>
      <c r="F47" s="7">
        <f>SUMPRODUCT(('5_Cascade_Engine'!$C$3:$C$165=A47)*('5_Cascade_Engine'!$AD$3:$AD$165="REAL (Bloomberg UK)"))</f>
        <v/>
      </c>
    </row>
    <row r="48">
      <c r="A48" s="7" t="n">
        <v>25</v>
      </c>
      <c r="B48" s="7" t="inlineStr">
        <is>
          <t>Consumer Discretionary</t>
        </is>
      </c>
      <c r="C48" s="25">
        <f>'4_UK_L1_Input'!D7</f>
        <v/>
      </c>
      <c r="D48" s="26">
        <f>SUMPRODUCT(('5_Cascade_Engine'!$C$3:$C$165=A48)*('5_Cascade_Engine'!$AD$3:$AD$165="REAL (Bloomberg UK)")*'5_Cascade_Engine'!$Q$3:$Q$165*'5_Cascade_Engine'!$AC$3:$AC$165)/SUMPRODUCT(('5_Cascade_Engine'!$C$3:$C$165=A48)*('5_Cascade_Engine'!$AD$3:$AD$165="REAL (Bloomberg UK)")*'5_Cascade_Engine'!$Q$3:$Q$165)</f>
        <v/>
      </c>
      <c r="E48" s="27">
        <f>D48-C48</f>
        <v/>
      </c>
      <c r="F48" s="7">
        <f>SUMPRODUCT(('5_Cascade_Engine'!$C$3:$C$165=A48)*('5_Cascade_Engine'!$AD$3:$AD$165="REAL (Bloomberg UK)"))</f>
        <v/>
      </c>
    </row>
    <row r="49">
      <c r="A49" s="7" t="n">
        <v>30</v>
      </c>
      <c r="B49" s="7" t="inlineStr">
        <is>
          <t>Consumer Staples</t>
        </is>
      </c>
      <c r="C49" s="25">
        <f>'4_UK_L1_Input'!D8</f>
        <v/>
      </c>
      <c r="D49" s="26">
        <f>SUMPRODUCT(('5_Cascade_Engine'!$C$3:$C$165=A49)*('5_Cascade_Engine'!$AD$3:$AD$165="REAL (Bloomberg UK)")*'5_Cascade_Engine'!$Q$3:$Q$165*'5_Cascade_Engine'!$AC$3:$AC$165)/SUMPRODUCT(('5_Cascade_Engine'!$C$3:$C$165=A49)*('5_Cascade_Engine'!$AD$3:$AD$165="REAL (Bloomberg UK)")*'5_Cascade_Engine'!$Q$3:$Q$165)</f>
        <v/>
      </c>
      <c r="E49" s="27">
        <f>D49-C49</f>
        <v/>
      </c>
      <c r="F49" s="7">
        <f>SUMPRODUCT(('5_Cascade_Engine'!$C$3:$C$165=A49)*('5_Cascade_Engine'!$AD$3:$AD$165="REAL (Bloomberg UK)"))</f>
        <v/>
      </c>
    </row>
    <row r="50">
      <c r="A50" s="7" t="n">
        <v>35</v>
      </c>
      <c r="B50" s="7" t="inlineStr">
        <is>
          <t>Health Care</t>
        </is>
      </c>
      <c r="C50" s="25">
        <f>'4_UK_L1_Input'!D9</f>
        <v/>
      </c>
      <c r="D50" s="26">
        <f>SUMPRODUCT(('5_Cascade_Engine'!$C$3:$C$165=A50)*('5_Cascade_Engine'!$AD$3:$AD$165="REAL (Bloomberg UK)")*'5_Cascade_Engine'!$Q$3:$Q$165*'5_Cascade_Engine'!$AC$3:$AC$165)/SUMPRODUCT(('5_Cascade_Engine'!$C$3:$C$165=A50)*('5_Cascade_Engine'!$AD$3:$AD$165="REAL (Bloomberg UK)")*'5_Cascade_Engine'!$Q$3:$Q$165)</f>
        <v/>
      </c>
      <c r="E50" s="27">
        <f>D50-C50</f>
        <v/>
      </c>
      <c r="F50" s="7">
        <f>SUMPRODUCT(('5_Cascade_Engine'!$C$3:$C$165=A50)*('5_Cascade_Engine'!$AD$3:$AD$165="REAL (Bloomberg UK)"))</f>
        <v/>
      </c>
    </row>
    <row r="51">
      <c r="A51" s="7" t="n">
        <v>40</v>
      </c>
      <c r="B51" s="7" t="inlineStr">
        <is>
          <t>Financials</t>
        </is>
      </c>
      <c r="C51" s="25">
        <f>'4_UK_L1_Input'!D10</f>
        <v/>
      </c>
      <c r="D51" s="26">
        <f>SUMPRODUCT(('5_Cascade_Engine'!$C$3:$C$165=A51)*('5_Cascade_Engine'!$AD$3:$AD$165="REAL (Bloomberg UK)")*'5_Cascade_Engine'!$Q$3:$Q$165*'5_Cascade_Engine'!$AC$3:$AC$165)/SUMPRODUCT(('5_Cascade_Engine'!$C$3:$C$165=A51)*('5_Cascade_Engine'!$AD$3:$AD$165="REAL (Bloomberg UK)")*'5_Cascade_Engine'!$Q$3:$Q$165)</f>
        <v/>
      </c>
      <c r="E51" s="27">
        <f>D51-C51</f>
        <v/>
      </c>
      <c r="F51" s="7">
        <f>SUMPRODUCT(('5_Cascade_Engine'!$C$3:$C$165=A51)*('5_Cascade_Engine'!$AD$3:$AD$165="REAL (Bloomberg UK)"))</f>
        <v/>
      </c>
    </row>
    <row r="52">
      <c r="A52" s="7" t="n">
        <v>45</v>
      </c>
      <c r="B52" s="7" t="inlineStr">
        <is>
          <t>Information Technology</t>
        </is>
      </c>
      <c r="C52" s="25">
        <f>'4_UK_L1_Input'!D11</f>
        <v/>
      </c>
      <c r="D52" s="26">
        <f>SUMPRODUCT(('5_Cascade_Engine'!$C$3:$C$165=A52)*('5_Cascade_Engine'!$AD$3:$AD$165="REAL (Bloomberg UK)")*'5_Cascade_Engine'!$Q$3:$Q$165*'5_Cascade_Engine'!$AC$3:$AC$165)/SUMPRODUCT(('5_Cascade_Engine'!$C$3:$C$165=A52)*('5_Cascade_Engine'!$AD$3:$AD$165="REAL (Bloomberg UK)")*'5_Cascade_Engine'!$Q$3:$Q$165)</f>
        <v/>
      </c>
      <c r="E52" s="27">
        <f>D52-C52</f>
        <v/>
      </c>
      <c r="F52" s="7">
        <f>SUMPRODUCT(('5_Cascade_Engine'!$C$3:$C$165=A52)*('5_Cascade_Engine'!$AD$3:$AD$165="REAL (Bloomberg UK)"))</f>
        <v/>
      </c>
    </row>
    <row r="53">
      <c r="A53" s="7" t="n">
        <v>50</v>
      </c>
      <c r="B53" s="7" t="inlineStr">
        <is>
          <t>Communication Services</t>
        </is>
      </c>
      <c r="C53" s="25">
        <f>'4_UK_L1_Input'!D12</f>
        <v/>
      </c>
      <c r="D53" s="26">
        <f>SUMPRODUCT(('5_Cascade_Engine'!$C$3:$C$165=A53)*('5_Cascade_Engine'!$AD$3:$AD$165="REAL (Bloomberg UK)")*'5_Cascade_Engine'!$Q$3:$Q$165*'5_Cascade_Engine'!$AC$3:$AC$165)/SUMPRODUCT(('5_Cascade_Engine'!$C$3:$C$165=A53)*('5_Cascade_Engine'!$AD$3:$AD$165="REAL (Bloomberg UK)")*'5_Cascade_Engine'!$Q$3:$Q$165)</f>
        <v/>
      </c>
      <c r="E53" s="27">
        <f>D53-C53</f>
        <v/>
      </c>
      <c r="F53" s="7">
        <f>SUMPRODUCT(('5_Cascade_Engine'!$C$3:$C$165=A53)*('5_Cascade_Engine'!$AD$3:$AD$165="REAL (Bloomberg UK)"))</f>
        <v/>
      </c>
    </row>
    <row r="54">
      <c r="A54" s="7" t="n">
        <v>55</v>
      </c>
      <c r="B54" s="7" t="inlineStr">
        <is>
          <t>Utilities</t>
        </is>
      </c>
      <c r="C54" s="25">
        <f>'4_UK_L1_Input'!D13</f>
        <v/>
      </c>
      <c r="D54" s="26">
        <f>SUMPRODUCT(('5_Cascade_Engine'!$C$3:$C$165=A54)*('5_Cascade_Engine'!$AD$3:$AD$165="REAL (Bloomberg UK)")*'5_Cascade_Engine'!$Q$3:$Q$165*'5_Cascade_Engine'!$AC$3:$AC$165)/SUMPRODUCT(('5_Cascade_Engine'!$C$3:$C$165=A54)*('5_Cascade_Engine'!$AD$3:$AD$165="REAL (Bloomberg UK)")*'5_Cascade_Engine'!$Q$3:$Q$165)</f>
        <v/>
      </c>
      <c r="E54" s="27">
        <f>D54-C54</f>
        <v/>
      </c>
      <c r="F54" s="7">
        <f>SUMPRODUCT(('5_Cascade_Engine'!$C$3:$C$165=A54)*('5_Cascade_Engine'!$AD$3:$AD$165="REAL (Bloomberg UK)"))</f>
        <v/>
      </c>
    </row>
    <row r="55">
      <c r="A55" s="7" t="n">
        <v>60</v>
      </c>
      <c r="B55" s="7" t="inlineStr">
        <is>
          <t>Real Estate</t>
        </is>
      </c>
      <c r="C55" s="25">
        <f>'4_UK_L1_Input'!D14</f>
        <v/>
      </c>
      <c r="D55" s="26">
        <f>SUMPRODUCT(('5_Cascade_Engine'!$C$3:$C$165=A55)*('5_Cascade_Engine'!$AD$3:$AD$165="REAL (Bloomberg UK)")*'5_Cascade_Engine'!$Q$3:$Q$165*'5_Cascade_Engine'!$AC$3:$AC$165)/SUMPRODUCT(('5_Cascade_Engine'!$C$3:$C$165=A55)*('5_Cascade_Engine'!$AD$3:$AD$165="REAL (Bloomberg UK)")*'5_Cascade_Engine'!$Q$3:$Q$165)</f>
        <v/>
      </c>
      <c r="E55" s="27">
        <f>D55-C55</f>
        <v/>
      </c>
      <c r="F55" s="7">
        <f>SUMPRODUCT(('5_Cascade_Engine'!$C$3:$C$165=A55)*('5_Cascade_Engine'!$AD$3:$AD$165="REAL (Bloomberg UK)"))</f>
        <v/>
      </c>
    </row>
  </sheetData>
  <mergeCells count="4">
    <mergeCell ref="A1:F1"/>
    <mergeCell ref="A15:F15"/>
    <mergeCell ref="A29:F29"/>
    <mergeCell ref="A43:F4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6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0" customWidth="1" min="3" max="3"/>
    <col width="13" customWidth="1" min="4" max="4"/>
    <col width="13" customWidth="1" min="5" max="5"/>
    <col width="12" customWidth="1" min="6" max="6"/>
    <col width="13" customWidth="1" min="7" max="7"/>
    <col width="13" customWidth="1" min="8" max="8"/>
    <col width="12" customWidth="1" min="9" max="9"/>
  </cols>
  <sheetData>
    <row r="1">
      <c r="A1" t="inlineStr">
        <is>
          <t>STEP 7 — Clean output. VLOOKUP your loan tape's GICS Sub-Industry code against column A.</t>
        </is>
      </c>
    </row>
    <row r="2" ht="30" customHeight="1">
      <c r="A2" s="6" t="inlineStr">
        <is>
          <t>Sub-Ind Code</t>
        </is>
      </c>
      <c r="B2" s="6" t="inlineStr">
        <is>
          <t>Sub-Industry</t>
        </is>
      </c>
      <c r="C2" s="6" t="inlineStr">
        <is>
          <t>Sector</t>
        </is>
      </c>
      <c r="D2" s="6" t="inlineStr">
        <is>
          <t>Rev Shock
[BETA]</t>
        </is>
      </c>
      <c r="E2" s="6" t="inlineStr">
        <is>
          <t>Rev Shock
[REAL]</t>
        </is>
      </c>
      <c r="F2" s="6" t="inlineStr">
        <is>
          <t>Rev
Source</t>
        </is>
      </c>
      <c r="G2" s="6" t="inlineStr">
        <is>
          <t>EV/EBITDA Shock
[BETA]</t>
        </is>
      </c>
      <c r="H2" s="6" t="inlineStr">
        <is>
          <t>EV/EBITDA Shock
[REAL]</t>
        </is>
      </c>
      <c r="I2" s="6" t="inlineStr">
        <is>
          <t>EV/EBITDA
Source</t>
        </is>
      </c>
    </row>
    <row r="3">
      <c r="A3" s="7">
        <f>'5_Cascade_Engine'!A3</f>
        <v/>
      </c>
      <c r="B3" s="7">
        <f>'5_Cascade_Engine'!B3</f>
        <v/>
      </c>
      <c r="C3" s="7">
        <f>'1_GICS_Structure'!B3</f>
        <v/>
      </c>
      <c r="D3" s="22">
        <f>'5_Cascade_Engine'!N3</f>
        <v/>
      </c>
      <c r="E3" s="22">
        <f>'5_Cascade_Engine'!Y3</f>
        <v/>
      </c>
      <c r="F3" s="7">
        <f>'5_Cascade_Engine'!Z3</f>
        <v/>
      </c>
      <c r="G3" s="22">
        <f>'5_Cascade_Engine'!O3</f>
        <v/>
      </c>
      <c r="H3" s="22">
        <f>'5_Cascade_Engine'!AC3</f>
        <v/>
      </c>
      <c r="I3" s="7">
        <f>'5_Cascade_Engine'!AD3</f>
        <v/>
      </c>
    </row>
    <row r="4">
      <c r="A4" s="7">
        <f>'5_Cascade_Engine'!A4</f>
        <v/>
      </c>
      <c r="B4" s="7">
        <f>'5_Cascade_Engine'!B4</f>
        <v/>
      </c>
      <c r="C4" s="7">
        <f>'1_GICS_Structure'!B4</f>
        <v/>
      </c>
      <c r="D4" s="22">
        <f>'5_Cascade_Engine'!N4</f>
        <v/>
      </c>
      <c r="E4" s="22">
        <f>'5_Cascade_Engine'!Y4</f>
        <v/>
      </c>
      <c r="F4" s="7">
        <f>'5_Cascade_Engine'!Z4</f>
        <v/>
      </c>
      <c r="G4" s="22">
        <f>'5_Cascade_Engine'!O4</f>
        <v/>
      </c>
      <c r="H4" s="22">
        <f>'5_Cascade_Engine'!AC4</f>
        <v/>
      </c>
      <c r="I4" s="7">
        <f>'5_Cascade_Engine'!AD4</f>
        <v/>
      </c>
    </row>
    <row r="5">
      <c r="A5" s="7">
        <f>'5_Cascade_Engine'!A5</f>
        <v/>
      </c>
      <c r="B5" s="7">
        <f>'5_Cascade_Engine'!B5</f>
        <v/>
      </c>
      <c r="C5" s="7">
        <f>'1_GICS_Structure'!B5</f>
        <v/>
      </c>
      <c r="D5" s="22">
        <f>'5_Cascade_Engine'!N5</f>
        <v/>
      </c>
      <c r="E5" s="22">
        <f>'5_Cascade_Engine'!Y5</f>
        <v/>
      </c>
      <c r="F5" s="7">
        <f>'5_Cascade_Engine'!Z5</f>
        <v/>
      </c>
      <c r="G5" s="22">
        <f>'5_Cascade_Engine'!O5</f>
        <v/>
      </c>
      <c r="H5" s="22">
        <f>'5_Cascade_Engine'!AC5</f>
        <v/>
      </c>
      <c r="I5" s="7">
        <f>'5_Cascade_Engine'!AD5</f>
        <v/>
      </c>
    </row>
    <row r="6">
      <c r="A6" s="7">
        <f>'5_Cascade_Engine'!A6</f>
        <v/>
      </c>
      <c r="B6" s="7">
        <f>'5_Cascade_Engine'!B6</f>
        <v/>
      </c>
      <c r="C6" s="7">
        <f>'1_GICS_Structure'!B6</f>
        <v/>
      </c>
      <c r="D6" s="22">
        <f>'5_Cascade_Engine'!N6</f>
        <v/>
      </c>
      <c r="E6" s="22">
        <f>'5_Cascade_Engine'!Y6</f>
        <v/>
      </c>
      <c r="F6" s="7">
        <f>'5_Cascade_Engine'!Z6</f>
        <v/>
      </c>
      <c r="G6" s="22">
        <f>'5_Cascade_Engine'!O6</f>
        <v/>
      </c>
      <c r="H6" s="22">
        <f>'5_Cascade_Engine'!AC6</f>
        <v/>
      </c>
      <c r="I6" s="7">
        <f>'5_Cascade_Engine'!AD6</f>
        <v/>
      </c>
    </row>
    <row r="7">
      <c r="A7" s="7">
        <f>'5_Cascade_Engine'!A7</f>
        <v/>
      </c>
      <c r="B7" s="7">
        <f>'5_Cascade_Engine'!B7</f>
        <v/>
      </c>
      <c r="C7" s="7">
        <f>'1_GICS_Structure'!B7</f>
        <v/>
      </c>
      <c r="D7" s="22">
        <f>'5_Cascade_Engine'!N7</f>
        <v/>
      </c>
      <c r="E7" s="22">
        <f>'5_Cascade_Engine'!Y7</f>
        <v/>
      </c>
      <c r="F7" s="7">
        <f>'5_Cascade_Engine'!Z7</f>
        <v/>
      </c>
      <c r="G7" s="22">
        <f>'5_Cascade_Engine'!O7</f>
        <v/>
      </c>
      <c r="H7" s="22">
        <f>'5_Cascade_Engine'!AC7</f>
        <v/>
      </c>
      <c r="I7" s="7">
        <f>'5_Cascade_Engine'!AD7</f>
        <v/>
      </c>
    </row>
    <row r="8">
      <c r="A8" s="7">
        <f>'5_Cascade_Engine'!A8</f>
        <v/>
      </c>
      <c r="B8" s="7">
        <f>'5_Cascade_Engine'!B8</f>
        <v/>
      </c>
      <c r="C8" s="7">
        <f>'1_GICS_Structure'!B8</f>
        <v/>
      </c>
      <c r="D8" s="22">
        <f>'5_Cascade_Engine'!N8</f>
        <v/>
      </c>
      <c r="E8" s="22">
        <f>'5_Cascade_Engine'!Y8</f>
        <v/>
      </c>
      <c r="F8" s="7">
        <f>'5_Cascade_Engine'!Z8</f>
        <v/>
      </c>
      <c r="G8" s="22">
        <f>'5_Cascade_Engine'!O8</f>
        <v/>
      </c>
      <c r="H8" s="22">
        <f>'5_Cascade_Engine'!AC8</f>
        <v/>
      </c>
      <c r="I8" s="7">
        <f>'5_Cascade_Engine'!AD8</f>
        <v/>
      </c>
    </row>
    <row r="9">
      <c r="A9" s="7">
        <f>'5_Cascade_Engine'!A9</f>
        <v/>
      </c>
      <c r="B9" s="7">
        <f>'5_Cascade_Engine'!B9</f>
        <v/>
      </c>
      <c r="C9" s="7">
        <f>'1_GICS_Structure'!B9</f>
        <v/>
      </c>
      <c r="D9" s="22">
        <f>'5_Cascade_Engine'!N9</f>
        <v/>
      </c>
      <c r="E9" s="22">
        <f>'5_Cascade_Engine'!Y9</f>
        <v/>
      </c>
      <c r="F9" s="7">
        <f>'5_Cascade_Engine'!Z9</f>
        <v/>
      </c>
      <c r="G9" s="22">
        <f>'5_Cascade_Engine'!O9</f>
        <v/>
      </c>
      <c r="H9" s="22">
        <f>'5_Cascade_Engine'!AC9</f>
        <v/>
      </c>
      <c r="I9" s="7">
        <f>'5_Cascade_Engine'!AD9</f>
        <v/>
      </c>
    </row>
    <row r="10">
      <c r="A10" s="7">
        <f>'5_Cascade_Engine'!A10</f>
        <v/>
      </c>
      <c r="B10" s="7">
        <f>'5_Cascade_Engine'!B10</f>
        <v/>
      </c>
      <c r="C10" s="7">
        <f>'1_GICS_Structure'!B10</f>
        <v/>
      </c>
      <c r="D10" s="22">
        <f>'5_Cascade_Engine'!N10</f>
        <v/>
      </c>
      <c r="E10" s="22">
        <f>'5_Cascade_Engine'!Y10</f>
        <v/>
      </c>
      <c r="F10" s="7">
        <f>'5_Cascade_Engine'!Z10</f>
        <v/>
      </c>
      <c r="G10" s="22">
        <f>'5_Cascade_Engine'!O10</f>
        <v/>
      </c>
      <c r="H10" s="22">
        <f>'5_Cascade_Engine'!AC10</f>
        <v/>
      </c>
      <c r="I10" s="7">
        <f>'5_Cascade_Engine'!AD10</f>
        <v/>
      </c>
    </row>
    <row r="11">
      <c r="A11" s="7">
        <f>'5_Cascade_Engine'!A11</f>
        <v/>
      </c>
      <c r="B11" s="7">
        <f>'5_Cascade_Engine'!B11</f>
        <v/>
      </c>
      <c r="C11" s="7">
        <f>'1_GICS_Structure'!B11</f>
        <v/>
      </c>
      <c r="D11" s="22">
        <f>'5_Cascade_Engine'!N11</f>
        <v/>
      </c>
      <c r="E11" s="22">
        <f>'5_Cascade_Engine'!Y11</f>
        <v/>
      </c>
      <c r="F11" s="7">
        <f>'5_Cascade_Engine'!Z11</f>
        <v/>
      </c>
      <c r="G11" s="22">
        <f>'5_Cascade_Engine'!O11</f>
        <v/>
      </c>
      <c r="H11" s="22">
        <f>'5_Cascade_Engine'!AC11</f>
        <v/>
      </c>
      <c r="I11" s="7">
        <f>'5_Cascade_Engine'!AD11</f>
        <v/>
      </c>
    </row>
    <row r="12">
      <c r="A12" s="7">
        <f>'5_Cascade_Engine'!A12</f>
        <v/>
      </c>
      <c r="B12" s="7">
        <f>'5_Cascade_Engine'!B12</f>
        <v/>
      </c>
      <c r="C12" s="7">
        <f>'1_GICS_Structure'!B12</f>
        <v/>
      </c>
      <c r="D12" s="22">
        <f>'5_Cascade_Engine'!N12</f>
        <v/>
      </c>
      <c r="E12" s="22">
        <f>'5_Cascade_Engine'!Y12</f>
        <v/>
      </c>
      <c r="F12" s="7">
        <f>'5_Cascade_Engine'!Z12</f>
        <v/>
      </c>
      <c r="G12" s="22">
        <f>'5_Cascade_Engine'!O12</f>
        <v/>
      </c>
      <c r="H12" s="22">
        <f>'5_Cascade_Engine'!AC12</f>
        <v/>
      </c>
      <c r="I12" s="7">
        <f>'5_Cascade_Engine'!AD12</f>
        <v/>
      </c>
    </row>
    <row r="13">
      <c r="A13" s="7">
        <f>'5_Cascade_Engine'!A13</f>
        <v/>
      </c>
      <c r="B13" s="7">
        <f>'5_Cascade_Engine'!B13</f>
        <v/>
      </c>
      <c r="C13" s="7">
        <f>'1_GICS_Structure'!B13</f>
        <v/>
      </c>
      <c r="D13" s="22">
        <f>'5_Cascade_Engine'!N13</f>
        <v/>
      </c>
      <c r="E13" s="22">
        <f>'5_Cascade_Engine'!Y13</f>
        <v/>
      </c>
      <c r="F13" s="7">
        <f>'5_Cascade_Engine'!Z13</f>
        <v/>
      </c>
      <c r="G13" s="22">
        <f>'5_Cascade_Engine'!O13</f>
        <v/>
      </c>
      <c r="H13" s="22">
        <f>'5_Cascade_Engine'!AC13</f>
        <v/>
      </c>
      <c r="I13" s="7">
        <f>'5_Cascade_Engine'!AD13</f>
        <v/>
      </c>
    </row>
    <row r="14">
      <c r="A14" s="7">
        <f>'5_Cascade_Engine'!A14</f>
        <v/>
      </c>
      <c r="B14" s="7">
        <f>'5_Cascade_Engine'!B14</f>
        <v/>
      </c>
      <c r="C14" s="7">
        <f>'1_GICS_Structure'!B14</f>
        <v/>
      </c>
      <c r="D14" s="22">
        <f>'5_Cascade_Engine'!N14</f>
        <v/>
      </c>
      <c r="E14" s="22">
        <f>'5_Cascade_Engine'!Y14</f>
        <v/>
      </c>
      <c r="F14" s="7">
        <f>'5_Cascade_Engine'!Z14</f>
        <v/>
      </c>
      <c r="G14" s="22">
        <f>'5_Cascade_Engine'!O14</f>
        <v/>
      </c>
      <c r="H14" s="22">
        <f>'5_Cascade_Engine'!AC14</f>
        <v/>
      </c>
      <c r="I14" s="7">
        <f>'5_Cascade_Engine'!AD14</f>
        <v/>
      </c>
    </row>
    <row r="15">
      <c r="A15" s="7">
        <f>'5_Cascade_Engine'!A15</f>
        <v/>
      </c>
      <c r="B15" s="7">
        <f>'5_Cascade_Engine'!B15</f>
        <v/>
      </c>
      <c r="C15" s="7">
        <f>'1_GICS_Structure'!B15</f>
        <v/>
      </c>
      <c r="D15" s="22">
        <f>'5_Cascade_Engine'!N15</f>
        <v/>
      </c>
      <c r="E15" s="22">
        <f>'5_Cascade_Engine'!Y15</f>
        <v/>
      </c>
      <c r="F15" s="7">
        <f>'5_Cascade_Engine'!Z15</f>
        <v/>
      </c>
      <c r="G15" s="22">
        <f>'5_Cascade_Engine'!O15</f>
        <v/>
      </c>
      <c r="H15" s="22">
        <f>'5_Cascade_Engine'!AC15</f>
        <v/>
      </c>
      <c r="I15" s="7">
        <f>'5_Cascade_Engine'!AD15</f>
        <v/>
      </c>
    </row>
    <row r="16">
      <c r="A16" s="7">
        <f>'5_Cascade_Engine'!A16</f>
        <v/>
      </c>
      <c r="B16" s="7">
        <f>'5_Cascade_Engine'!B16</f>
        <v/>
      </c>
      <c r="C16" s="7">
        <f>'1_GICS_Structure'!B16</f>
        <v/>
      </c>
      <c r="D16" s="22">
        <f>'5_Cascade_Engine'!N16</f>
        <v/>
      </c>
      <c r="E16" s="22">
        <f>'5_Cascade_Engine'!Y16</f>
        <v/>
      </c>
      <c r="F16" s="7">
        <f>'5_Cascade_Engine'!Z16</f>
        <v/>
      </c>
      <c r="G16" s="22">
        <f>'5_Cascade_Engine'!O16</f>
        <v/>
      </c>
      <c r="H16" s="22">
        <f>'5_Cascade_Engine'!AC16</f>
        <v/>
      </c>
      <c r="I16" s="7">
        <f>'5_Cascade_Engine'!AD16</f>
        <v/>
      </c>
    </row>
    <row r="17">
      <c r="A17" s="7">
        <f>'5_Cascade_Engine'!A17</f>
        <v/>
      </c>
      <c r="B17" s="7">
        <f>'5_Cascade_Engine'!B17</f>
        <v/>
      </c>
      <c r="C17" s="7">
        <f>'1_GICS_Structure'!B17</f>
        <v/>
      </c>
      <c r="D17" s="22">
        <f>'5_Cascade_Engine'!N17</f>
        <v/>
      </c>
      <c r="E17" s="22">
        <f>'5_Cascade_Engine'!Y17</f>
        <v/>
      </c>
      <c r="F17" s="7">
        <f>'5_Cascade_Engine'!Z17</f>
        <v/>
      </c>
      <c r="G17" s="22">
        <f>'5_Cascade_Engine'!O17</f>
        <v/>
      </c>
      <c r="H17" s="22">
        <f>'5_Cascade_Engine'!AC17</f>
        <v/>
      </c>
      <c r="I17" s="7">
        <f>'5_Cascade_Engine'!AD17</f>
        <v/>
      </c>
    </row>
    <row r="18">
      <c r="A18" s="7">
        <f>'5_Cascade_Engine'!A18</f>
        <v/>
      </c>
      <c r="B18" s="7">
        <f>'5_Cascade_Engine'!B18</f>
        <v/>
      </c>
      <c r="C18" s="7">
        <f>'1_GICS_Structure'!B18</f>
        <v/>
      </c>
      <c r="D18" s="22">
        <f>'5_Cascade_Engine'!N18</f>
        <v/>
      </c>
      <c r="E18" s="22">
        <f>'5_Cascade_Engine'!Y18</f>
        <v/>
      </c>
      <c r="F18" s="7">
        <f>'5_Cascade_Engine'!Z18</f>
        <v/>
      </c>
      <c r="G18" s="22">
        <f>'5_Cascade_Engine'!O18</f>
        <v/>
      </c>
      <c r="H18" s="22">
        <f>'5_Cascade_Engine'!AC18</f>
        <v/>
      </c>
      <c r="I18" s="7">
        <f>'5_Cascade_Engine'!AD18</f>
        <v/>
      </c>
    </row>
    <row r="19">
      <c r="A19" s="7">
        <f>'5_Cascade_Engine'!A19</f>
        <v/>
      </c>
      <c r="B19" s="7">
        <f>'5_Cascade_Engine'!B19</f>
        <v/>
      </c>
      <c r="C19" s="7">
        <f>'1_GICS_Structure'!B19</f>
        <v/>
      </c>
      <c r="D19" s="22">
        <f>'5_Cascade_Engine'!N19</f>
        <v/>
      </c>
      <c r="E19" s="22">
        <f>'5_Cascade_Engine'!Y19</f>
        <v/>
      </c>
      <c r="F19" s="7">
        <f>'5_Cascade_Engine'!Z19</f>
        <v/>
      </c>
      <c r="G19" s="22">
        <f>'5_Cascade_Engine'!O19</f>
        <v/>
      </c>
      <c r="H19" s="22">
        <f>'5_Cascade_Engine'!AC19</f>
        <v/>
      </c>
      <c r="I19" s="7">
        <f>'5_Cascade_Engine'!AD19</f>
        <v/>
      </c>
    </row>
    <row r="20">
      <c r="A20" s="7">
        <f>'5_Cascade_Engine'!A20</f>
        <v/>
      </c>
      <c r="B20" s="7">
        <f>'5_Cascade_Engine'!B20</f>
        <v/>
      </c>
      <c r="C20" s="7">
        <f>'1_GICS_Structure'!B20</f>
        <v/>
      </c>
      <c r="D20" s="22">
        <f>'5_Cascade_Engine'!N20</f>
        <v/>
      </c>
      <c r="E20" s="22">
        <f>'5_Cascade_Engine'!Y20</f>
        <v/>
      </c>
      <c r="F20" s="7">
        <f>'5_Cascade_Engine'!Z20</f>
        <v/>
      </c>
      <c r="G20" s="22">
        <f>'5_Cascade_Engine'!O20</f>
        <v/>
      </c>
      <c r="H20" s="22">
        <f>'5_Cascade_Engine'!AC20</f>
        <v/>
      </c>
      <c r="I20" s="7">
        <f>'5_Cascade_Engine'!AD20</f>
        <v/>
      </c>
    </row>
    <row r="21">
      <c r="A21" s="7">
        <f>'5_Cascade_Engine'!A21</f>
        <v/>
      </c>
      <c r="B21" s="7">
        <f>'5_Cascade_Engine'!B21</f>
        <v/>
      </c>
      <c r="C21" s="7">
        <f>'1_GICS_Structure'!B21</f>
        <v/>
      </c>
      <c r="D21" s="22">
        <f>'5_Cascade_Engine'!N21</f>
        <v/>
      </c>
      <c r="E21" s="22">
        <f>'5_Cascade_Engine'!Y21</f>
        <v/>
      </c>
      <c r="F21" s="7">
        <f>'5_Cascade_Engine'!Z21</f>
        <v/>
      </c>
      <c r="G21" s="22">
        <f>'5_Cascade_Engine'!O21</f>
        <v/>
      </c>
      <c r="H21" s="22">
        <f>'5_Cascade_Engine'!AC21</f>
        <v/>
      </c>
      <c r="I21" s="7">
        <f>'5_Cascade_Engine'!AD21</f>
        <v/>
      </c>
    </row>
    <row r="22">
      <c r="A22" s="7">
        <f>'5_Cascade_Engine'!A22</f>
        <v/>
      </c>
      <c r="B22" s="7">
        <f>'5_Cascade_Engine'!B22</f>
        <v/>
      </c>
      <c r="C22" s="7">
        <f>'1_GICS_Structure'!B22</f>
        <v/>
      </c>
      <c r="D22" s="22">
        <f>'5_Cascade_Engine'!N22</f>
        <v/>
      </c>
      <c r="E22" s="22">
        <f>'5_Cascade_Engine'!Y22</f>
        <v/>
      </c>
      <c r="F22" s="7">
        <f>'5_Cascade_Engine'!Z22</f>
        <v/>
      </c>
      <c r="G22" s="22">
        <f>'5_Cascade_Engine'!O22</f>
        <v/>
      </c>
      <c r="H22" s="22">
        <f>'5_Cascade_Engine'!AC22</f>
        <v/>
      </c>
      <c r="I22" s="7">
        <f>'5_Cascade_Engine'!AD22</f>
        <v/>
      </c>
    </row>
    <row r="23">
      <c r="A23" s="7">
        <f>'5_Cascade_Engine'!A23</f>
        <v/>
      </c>
      <c r="B23" s="7">
        <f>'5_Cascade_Engine'!B23</f>
        <v/>
      </c>
      <c r="C23" s="7">
        <f>'1_GICS_Structure'!B23</f>
        <v/>
      </c>
      <c r="D23" s="22">
        <f>'5_Cascade_Engine'!N23</f>
        <v/>
      </c>
      <c r="E23" s="22">
        <f>'5_Cascade_Engine'!Y23</f>
        <v/>
      </c>
      <c r="F23" s="7">
        <f>'5_Cascade_Engine'!Z23</f>
        <v/>
      </c>
      <c r="G23" s="22">
        <f>'5_Cascade_Engine'!O23</f>
        <v/>
      </c>
      <c r="H23" s="22">
        <f>'5_Cascade_Engine'!AC23</f>
        <v/>
      </c>
      <c r="I23" s="7">
        <f>'5_Cascade_Engine'!AD23</f>
        <v/>
      </c>
    </row>
    <row r="24">
      <c r="A24" s="7">
        <f>'5_Cascade_Engine'!A24</f>
        <v/>
      </c>
      <c r="B24" s="7">
        <f>'5_Cascade_Engine'!B24</f>
        <v/>
      </c>
      <c r="C24" s="7">
        <f>'1_GICS_Structure'!B24</f>
        <v/>
      </c>
      <c r="D24" s="22">
        <f>'5_Cascade_Engine'!N24</f>
        <v/>
      </c>
      <c r="E24" s="22">
        <f>'5_Cascade_Engine'!Y24</f>
        <v/>
      </c>
      <c r="F24" s="7">
        <f>'5_Cascade_Engine'!Z24</f>
        <v/>
      </c>
      <c r="G24" s="22">
        <f>'5_Cascade_Engine'!O24</f>
        <v/>
      </c>
      <c r="H24" s="22">
        <f>'5_Cascade_Engine'!AC24</f>
        <v/>
      </c>
      <c r="I24" s="7">
        <f>'5_Cascade_Engine'!AD24</f>
        <v/>
      </c>
    </row>
    <row r="25">
      <c r="A25" s="7">
        <f>'5_Cascade_Engine'!A25</f>
        <v/>
      </c>
      <c r="B25" s="7">
        <f>'5_Cascade_Engine'!B25</f>
        <v/>
      </c>
      <c r="C25" s="7">
        <f>'1_GICS_Structure'!B25</f>
        <v/>
      </c>
      <c r="D25" s="22">
        <f>'5_Cascade_Engine'!N25</f>
        <v/>
      </c>
      <c r="E25" s="22">
        <f>'5_Cascade_Engine'!Y25</f>
        <v/>
      </c>
      <c r="F25" s="7">
        <f>'5_Cascade_Engine'!Z25</f>
        <v/>
      </c>
      <c r="G25" s="22">
        <f>'5_Cascade_Engine'!O25</f>
        <v/>
      </c>
      <c r="H25" s="22">
        <f>'5_Cascade_Engine'!AC25</f>
        <v/>
      </c>
      <c r="I25" s="7">
        <f>'5_Cascade_Engine'!AD25</f>
        <v/>
      </c>
    </row>
    <row r="26">
      <c r="A26" s="7">
        <f>'5_Cascade_Engine'!A26</f>
        <v/>
      </c>
      <c r="B26" s="7">
        <f>'5_Cascade_Engine'!B26</f>
        <v/>
      </c>
      <c r="C26" s="7">
        <f>'1_GICS_Structure'!B26</f>
        <v/>
      </c>
      <c r="D26" s="22">
        <f>'5_Cascade_Engine'!N26</f>
        <v/>
      </c>
      <c r="E26" s="22">
        <f>'5_Cascade_Engine'!Y26</f>
        <v/>
      </c>
      <c r="F26" s="7">
        <f>'5_Cascade_Engine'!Z26</f>
        <v/>
      </c>
      <c r="G26" s="22">
        <f>'5_Cascade_Engine'!O26</f>
        <v/>
      </c>
      <c r="H26" s="22">
        <f>'5_Cascade_Engine'!AC26</f>
        <v/>
      </c>
      <c r="I26" s="7">
        <f>'5_Cascade_Engine'!AD26</f>
        <v/>
      </c>
    </row>
    <row r="27">
      <c r="A27" s="7">
        <f>'5_Cascade_Engine'!A27</f>
        <v/>
      </c>
      <c r="B27" s="7">
        <f>'5_Cascade_Engine'!B27</f>
        <v/>
      </c>
      <c r="C27" s="7">
        <f>'1_GICS_Structure'!B27</f>
        <v/>
      </c>
      <c r="D27" s="22">
        <f>'5_Cascade_Engine'!N27</f>
        <v/>
      </c>
      <c r="E27" s="22">
        <f>'5_Cascade_Engine'!Y27</f>
        <v/>
      </c>
      <c r="F27" s="7">
        <f>'5_Cascade_Engine'!Z27</f>
        <v/>
      </c>
      <c r="G27" s="22">
        <f>'5_Cascade_Engine'!O27</f>
        <v/>
      </c>
      <c r="H27" s="22">
        <f>'5_Cascade_Engine'!AC27</f>
        <v/>
      </c>
      <c r="I27" s="7">
        <f>'5_Cascade_Engine'!AD27</f>
        <v/>
      </c>
    </row>
    <row r="28">
      <c r="A28" s="7">
        <f>'5_Cascade_Engine'!A28</f>
        <v/>
      </c>
      <c r="B28" s="7">
        <f>'5_Cascade_Engine'!B28</f>
        <v/>
      </c>
      <c r="C28" s="7">
        <f>'1_GICS_Structure'!B28</f>
        <v/>
      </c>
      <c r="D28" s="22">
        <f>'5_Cascade_Engine'!N28</f>
        <v/>
      </c>
      <c r="E28" s="22">
        <f>'5_Cascade_Engine'!Y28</f>
        <v/>
      </c>
      <c r="F28" s="7">
        <f>'5_Cascade_Engine'!Z28</f>
        <v/>
      </c>
      <c r="G28" s="22">
        <f>'5_Cascade_Engine'!O28</f>
        <v/>
      </c>
      <c r="H28" s="22">
        <f>'5_Cascade_Engine'!AC28</f>
        <v/>
      </c>
      <c r="I28" s="7">
        <f>'5_Cascade_Engine'!AD28</f>
        <v/>
      </c>
    </row>
    <row r="29">
      <c r="A29" s="7">
        <f>'5_Cascade_Engine'!A29</f>
        <v/>
      </c>
      <c r="B29" s="7">
        <f>'5_Cascade_Engine'!B29</f>
        <v/>
      </c>
      <c r="C29" s="7">
        <f>'1_GICS_Structure'!B29</f>
        <v/>
      </c>
      <c r="D29" s="22">
        <f>'5_Cascade_Engine'!N29</f>
        <v/>
      </c>
      <c r="E29" s="22">
        <f>'5_Cascade_Engine'!Y29</f>
        <v/>
      </c>
      <c r="F29" s="7">
        <f>'5_Cascade_Engine'!Z29</f>
        <v/>
      </c>
      <c r="G29" s="22">
        <f>'5_Cascade_Engine'!O29</f>
        <v/>
      </c>
      <c r="H29" s="22">
        <f>'5_Cascade_Engine'!AC29</f>
        <v/>
      </c>
      <c r="I29" s="7">
        <f>'5_Cascade_Engine'!AD29</f>
        <v/>
      </c>
    </row>
    <row r="30">
      <c r="A30" s="7">
        <f>'5_Cascade_Engine'!A30</f>
        <v/>
      </c>
      <c r="B30" s="7">
        <f>'5_Cascade_Engine'!B30</f>
        <v/>
      </c>
      <c r="C30" s="7">
        <f>'1_GICS_Structure'!B30</f>
        <v/>
      </c>
      <c r="D30" s="22">
        <f>'5_Cascade_Engine'!N30</f>
        <v/>
      </c>
      <c r="E30" s="22">
        <f>'5_Cascade_Engine'!Y30</f>
        <v/>
      </c>
      <c r="F30" s="7">
        <f>'5_Cascade_Engine'!Z30</f>
        <v/>
      </c>
      <c r="G30" s="22">
        <f>'5_Cascade_Engine'!O30</f>
        <v/>
      </c>
      <c r="H30" s="22">
        <f>'5_Cascade_Engine'!AC30</f>
        <v/>
      </c>
      <c r="I30" s="7">
        <f>'5_Cascade_Engine'!AD30</f>
        <v/>
      </c>
    </row>
    <row r="31">
      <c r="A31" s="7">
        <f>'5_Cascade_Engine'!A31</f>
        <v/>
      </c>
      <c r="B31" s="7">
        <f>'5_Cascade_Engine'!B31</f>
        <v/>
      </c>
      <c r="C31" s="7">
        <f>'1_GICS_Structure'!B31</f>
        <v/>
      </c>
      <c r="D31" s="22">
        <f>'5_Cascade_Engine'!N31</f>
        <v/>
      </c>
      <c r="E31" s="22">
        <f>'5_Cascade_Engine'!Y31</f>
        <v/>
      </c>
      <c r="F31" s="7">
        <f>'5_Cascade_Engine'!Z31</f>
        <v/>
      </c>
      <c r="G31" s="22">
        <f>'5_Cascade_Engine'!O31</f>
        <v/>
      </c>
      <c r="H31" s="22">
        <f>'5_Cascade_Engine'!AC31</f>
        <v/>
      </c>
      <c r="I31" s="7">
        <f>'5_Cascade_Engine'!AD31</f>
        <v/>
      </c>
    </row>
    <row r="32">
      <c r="A32" s="7">
        <f>'5_Cascade_Engine'!A32</f>
        <v/>
      </c>
      <c r="B32" s="7">
        <f>'5_Cascade_Engine'!B32</f>
        <v/>
      </c>
      <c r="C32" s="7">
        <f>'1_GICS_Structure'!B32</f>
        <v/>
      </c>
      <c r="D32" s="22">
        <f>'5_Cascade_Engine'!N32</f>
        <v/>
      </c>
      <c r="E32" s="22">
        <f>'5_Cascade_Engine'!Y32</f>
        <v/>
      </c>
      <c r="F32" s="7">
        <f>'5_Cascade_Engine'!Z32</f>
        <v/>
      </c>
      <c r="G32" s="22">
        <f>'5_Cascade_Engine'!O32</f>
        <v/>
      </c>
      <c r="H32" s="22">
        <f>'5_Cascade_Engine'!AC32</f>
        <v/>
      </c>
      <c r="I32" s="7">
        <f>'5_Cascade_Engine'!AD32</f>
        <v/>
      </c>
    </row>
    <row r="33">
      <c r="A33" s="7">
        <f>'5_Cascade_Engine'!A33</f>
        <v/>
      </c>
      <c r="B33" s="7">
        <f>'5_Cascade_Engine'!B33</f>
        <v/>
      </c>
      <c r="C33" s="7">
        <f>'1_GICS_Structure'!B33</f>
        <v/>
      </c>
      <c r="D33" s="22">
        <f>'5_Cascade_Engine'!N33</f>
        <v/>
      </c>
      <c r="E33" s="22">
        <f>'5_Cascade_Engine'!Y33</f>
        <v/>
      </c>
      <c r="F33" s="7">
        <f>'5_Cascade_Engine'!Z33</f>
        <v/>
      </c>
      <c r="G33" s="22">
        <f>'5_Cascade_Engine'!O33</f>
        <v/>
      </c>
      <c r="H33" s="22">
        <f>'5_Cascade_Engine'!AC33</f>
        <v/>
      </c>
      <c r="I33" s="7">
        <f>'5_Cascade_Engine'!AD33</f>
        <v/>
      </c>
    </row>
    <row r="34">
      <c r="A34" s="7">
        <f>'5_Cascade_Engine'!A34</f>
        <v/>
      </c>
      <c r="B34" s="7">
        <f>'5_Cascade_Engine'!B34</f>
        <v/>
      </c>
      <c r="C34" s="7">
        <f>'1_GICS_Structure'!B34</f>
        <v/>
      </c>
      <c r="D34" s="22">
        <f>'5_Cascade_Engine'!N34</f>
        <v/>
      </c>
      <c r="E34" s="22">
        <f>'5_Cascade_Engine'!Y34</f>
        <v/>
      </c>
      <c r="F34" s="7">
        <f>'5_Cascade_Engine'!Z34</f>
        <v/>
      </c>
      <c r="G34" s="22">
        <f>'5_Cascade_Engine'!O34</f>
        <v/>
      </c>
      <c r="H34" s="22">
        <f>'5_Cascade_Engine'!AC34</f>
        <v/>
      </c>
      <c r="I34" s="7">
        <f>'5_Cascade_Engine'!AD34</f>
        <v/>
      </c>
    </row>
    <row r="35">
      <c r="A35" s="7">
        <f>'5_Cascade_Engine'!A35</f>
        <v/>
      </c>
      <c r="B35" s="7">
        <f>'5_Cascade_Engine'!B35</f>
        <v/>
      </c>
      <c r="C35" s="7">
        <f>'1_GICS_Structure'!B35</f>
        <v/>
      </c>
      <c r="D35" s="22">
        <f>'5_Cascade_Engine'!N35</f>
        <v/>
      </c>
      <c r="E35" s="22">
        <f>'5_Cascade_Engine'!Y35</f>
        <v/>
      </c>
      <c r="F35" s="7">
        <f>'5_Cascade_Engine'!Z35</f>
        <v/>
      </c>
      <c r="G35" s="22">
        <f>'5_Cascade_Engine'!O35</f>
        <v/>
      </c>
      <c r="H35" s="22">
        <f>'5_Cascade_Engine'!AC35</f>
        <v/>
      </c>
      <c r="I35" s="7">
        <f>'5_Cascade_Engine'!AD35</f>
        <v/>
      </c>
    </row>
    <row r="36">
      <c r="A36" s="7">
        <f>'5_Cascade_Engine'!A36</f>
        <v/>
      </c>
      <c r="B36" s="7">
        <f>'5_Cascade_Engine'!B36</f>
        <v/>
      </c>
      <c r="C36" s="7">
        <f>'1_GICS_Structure'!B36</f>
        <v/>
      </c>
      <c r="D36" s="22">
        <f>'5_Cascade_Engine'!N36</f>
        <v/>
      </c>
      <c r="E36" s="22">
        <f>'5_Cascade_Engine'!Y36</f>
        <v/>
      </c>
      <c r="F36" s="7">
        <f>'5_Cascade_Engine'!Z36</f>
        <v/>
      </c>
      <c r="G36" s="22">
        <f>'5_Cascade_Engine'!O36</f>
        <v/>
      </c>
      <c r="H36" s="22">
        <f>'5_Cascade_Engine'!AC36</f>
        <v/>
      </c>
      <c r="I36" s="7">
        <f>'5_Cascade_Engine'!AD36</f>
        <v/>
      </c>
    </row>
    <row r="37">
      <c r="A37" s="7">
        <f>'5_Cascade_Engine'!A37</f>
        <v/>
      </c>
      <c r="B37" s="7">
        <f>'5_Cascade_Engine'!B37</f>
        <v/>
      </c>
      <c r="C37" s="7">
        <f>'1_GICS_Structure'!B37</f>
        <v/>
      </c>
      <c r="D37" s="22">
        <f>'5_Cascade_Engine'!N37</f>
        <v/>
      </c>
      <c r="E37" s="22">
        <f>'5_Cascade_Engine'!Y37</f>
        <v/>
      </c>
      <c r="F37" s="7">
        <f>'5_Cascade_Engine'!Z37</f>
        <v/>
      </c>
      <c r="G37" s="22">
        <f>'5_Cascade_Engine'!O37</f>
        <v/>
      </c>
      <c r="H37" s="22">
        <f>'5_Cascade_Engine'!AC37</f>
        <v/>
      </c>
      <c r="I37" s="7">
        <f>'5_Cascade_Engine'!AD37</f>
        <v/>
      </c>
    </row>
    <row r="38">
      <c r="A38" s="7">
        <f>'5_Cascade_Engine'!A38</f>
        <v/>
      </c>
      <c r="B38" s="7">
        <f>'5_Cascade_Engine'!B38</f>
        <v/>
      </c>
      <c r="C38" s="7">
        <f>'1_GICS_Structure'!B38</f>
        <v/>
      </c>
      <c r="D38" s="22">
        <f>'5_Cascade_Engine'!N38</f>
        <v/>
      </c>
      <c r="E38" s="22">
        <f>'5_Cascade_Engine'!Y38</f>
        <v/>
      </c>
      <c r="F38" s="7">
        <f>'5_Cascade_Engine'!Z38</f>
        <v/>
      </c>
      <c r="G38" s="22">
        <f>'5_Cascade_Engine'!O38</f>
        <v/>
      </c>
      <c r="H38" s="22">
        <f>'5_Cascade_Engine'!AC38</f>
        <v/>
      </c>
      <c r="I38" s="7">
        <f>'5_Cascade_Engine'!AD38</f>
        <v/>
      </c>
    </row>
    <row r="39">
      <c r="A39" s="7">
        <f>'5_Cascade_Engine'!A39</f>
        <v/>
      </c>
      <c r="B39" s="7">
        <f>'5_Cascade_Engine'!B39</f>
        <v/>
      </c>
      <c r="C39" s="7">
        <f>'1_GICS_Structure'!B39</f>
        <v/>
      </c>
      <c r="D39" s="22">
        <f>'5_Cascade_Engine'!N39</f>
        <v/>
      </c>
      <c r="E39" s="22">
        <f>'5_Cascade_Engine'!Y39</f>
        <v/>
      </c>
      <c r="F39" s="7">
        <f>'5_Cascade_Engine'!Z39</f>
        <v/>
      </c>
      <c r="G39" s="22">
        <f>'5_Cascade_Engine'!O39</f>
        <v/>
      </c>
      <c r="H39" s="22">
        <f>'5_Cascade_Engine'!AC39</f>
        <v/>
      </c>
      <c r="I39" s="7">
        <f>'5_Cascade_Engine'!AD39</f>
        <v/>
      </c>
    </row>
    <row r="40">
      <c r="A40" s="7">
        <f>'5_Cascade_Engine'!A40</f>
        <v/>
      </c>
      <c r="B40" s="7">
        <f>'5_Cascade_Engine'!B40</f>
        <v/>
      </c>
      <c r="C40" s="7">
        <f>'1_GICS_Structure'!B40</f>
        <v/>
      </c>
      <c r="D40" s="22">
        <f>'5_Cascade_Engine'!N40</f>
        <v/>
      </c>
      <c r="E40" s="22">
        <f>'5_Cascade_Engine'!Y40</f>
        <v/>
      </c>
      <c r="F40" s="7">
        <f>'5_Cascade_Engine'!Z40</f>
        <v/>
      </c>
      <c r="G40" s="22">
        <f>'5_Cascade_Engine'!O40</f>
        <v/>
      </c>
      <c r="H40" s="22">
        <f>'5_Cascade_Engine'!AC40</f>
        <v/>
      </c>
      <c r="I40" s="7">
        <f>'5_Cascade_Engine'!AD40</f>
        <v/>
      </c>
    </row>
    <row r="41">
      <c r="A41" s="7">
        <f>'5_Cascade_Engine'!A41</f>
        <v/>
      </c>
      <c r="B41" s="7">
        <f>'5_Cascade_Engine'!B41</f>
        <v/>
      </c>
      <c r="C41" s="7">
        <f>'1_GICS_Structure'!B41</f>
        <v/>
      </c>
      <c r="D41" s="22">
        <f>'5_Cascade_Engine'!N41</f>
        <v/>
      </c>
      <c r="E41" s="22">
        <f>'5_Cascade_Engine'!Y41</f>
        <v/>
      </c>
      <c r="F41" s="7">
        <f>'5_Cascade_Engine'!Z41</f>
        <v/>
      </c>
      <c r="G41" s="22">
        <f>'5_Cascade_Engine'!O41</f>
        <v/>
      </c>
      <c r="H41" s="22">
        <f>'5_Cascade_Engine'!AC41</f>
        <v/>
      </c>
      <c r="I41" s="7">
        <f>'5_Cascade_Engine'!AD41</f>
        <v/>
      </c>
    </row>
    <row r="42">
      <c r="A42" s="7">
        <f>'5_Cascade_Engine'!A42</f>
        <v/>
      </c>
      <c r="B42" s="7">
        <f>'5_Cascade_Engine'!B42</f>
        <v/>
      </c>
      <c r="C42" s="7">
        <f>'1_GICS_Structure'!B42</f>
        <v/>
      </c>
      <c r="D42" s="22">
        <f>'5_Cascade_Engine'!N42</f>
        <v/>
      </c>
      <c r="E42" s="22">
        <f>'5_Cascade_Engine'!Y42</f>
        <v/>
      </c>
      <c r="F42" s="7">
        <f>'5_Cascade_Engine'!Z42</f>
        <v/>
      </c>
      <c r="G42" s="22">
        <f>'5_Cascade_Engine'!O42</f>
        <v/>
      </c>
      <c r="H42" s="22">
        <f>'5_Cascade_Engine'!AC42</f>
        <v/>
      </c>
      <c r="I42" s="7">
        <f>'5_Cascade_Engine'!AD42</f>
        <v/>
      </c>
    </row>
    <row r="43">
      <c r="A43" s="7">
        <f>'5_Cascade_Engine'!A43</f>
        <v/>
      </c>
      <c r="B43" s="7">
        <f>'5_Cascade_Engine'!B43</f>
        <v/>
      </c>
      <c r="C43" s="7">
        <f>'1_GICS_Structure'!B43</f>
        <v/>
      </c>
      <c r="D43" s="22">
        <f>'5_Cascade_Engine'!N43</f>
        <v/>
      </c>
      <c r="E43" s="22">
        <f>'5_Cascade_Engine'!Y43</f>
        <v/>
      </c>
      <c r="F43" s="7">
        <f>'5_Cascade_Engine'!Z43</f>
        <v/>
      </c>
      <c r="G43" s="22">
        <f>'5_Cascade_Engine'!O43</f>
        <v/>
      </c>
      <c r="H43" s="22">
        <f>'5_Cascade_Engine'!AC43</f>
        <v/>
      </c>
      <c r="I43" s="7">
        <f>'5_Cascade_Engine'!AD43</f>
        <v/>
      </c>
    </row>
    <row r="44">
      <c r="A44" s="7">
        <f>'5_Cascade_Engine'!A44</f>
        <v/>
      </c>
      <c r="B44" s="7">
        <f>'5_Cascade_Engine'!B44</f>
        <v/>
      </c>
      <c r="C44" s="7">
        <f>'1_GICS_Structure'!B44</f>
        <v/>
      </c>
      <c r="D44" s="22">
        <f>'5_Cascade_Engine'!N44</f>
        <v/>
      </c>
      <c r="E44" s="22">
        <f>'5_Cascade_Engine'!Y44</f>
        <v/>
      </c>
      <c r="F44" s="7">
        <f>'5_Cascade_Engine'!Z44</f>
        <v/>
      </c>
      <c r="G44" s="22">
        <f>'5_Cascade_Engine'!O44</f>
        <v/>
      </c>
      <c r="H44" s="22">
        <f>'5_Cascade_Engine'!AC44</f>
        <v/>
      </c>
      <c r="I44" s="7">
        <f>'5_Cascade_Engine'!AD44</f>
        <v/>
      </c>
    </row>
    <row r="45">
      <c r="A45" s="7">
        <f>'5_Cascade_Engine'!A45</f>
        <v/>
      </c>
      <c r="B45" s="7">
        <f>'5_Cascade_Engine'!B45</f>
        <v/>
      </c>
      <c r="C45" s="7">
        <f>'1_GICS_Structure'!B45</f>
        <v/>
      </c>
      <c r="D45" s="22">
        <f>'5_Cascade_Engine'!N45</f>
        <v/>
      </c>
      <c r="E45" s="22">
        <f>'5_Cascade_Engine'!Y45</f>
        <v/>
      </c>
      <c r="F45" s="7">
        <f>'5_Cascade_Engine'!Z45</f>
        <v/>
      </c>
      <c r="G45" s="22">
        <f>'5_Cascade_Engine'!O45</f>
        <v/>
      </c>
      <c r="H45" s="22">
        <f>'5_Cascade_Engine'!AC45</f>
        <v/>
      </c>
      <c r="I45" s="7">
        <f>'5_Cascade_Engine'!AD45</f>
        <v/>
      </c>
    </row>
    <row r="46">
      <c r="A46" s="7">
        <f>'5_Cascade_Engine'!A46</f>
        <v/>
      </c>
      <c r="B46" s="7">
        <f>'5_Cascade_Engine'!B46</f>
        <v/>
      </c>
      <c r="C46" s="7">
        <f>'1_GICS_Structure'!B46</f>
        <v/>
      </c>
      <c r="D46" s="22">
        <f>'5_Cascade_Engine'!N46</f>
        <v/>
      </c>
      <c r="E46" s="22">
        <f>'5_Cascade_Engine'!Y46</f>
        <v/>
      </c>
      <c r="F46" s="7">
        <f>'5_Cascade_Engine'!Z46</f>
        <v/>
      </c>
      <c r="G46" s="22">
        <f>'5_Cascade_Engine'!O46</f>
        <v/>
      </c>
      <c r="H46" s="22">
        <f>'5_Cascade_Engine'!AC46</f>
        <v/>
      </c>
      <c r="I46" s="7">
        <f>'5_Cascade_Engine'!AD46</f>
        <v/>
      </c>
    </row>
    <row r="47">
      <c r="A47" s="7">
        <f>'5_Cascade_Engine'!A47</f>
        <v/>
      </c>
      <c r="B47" s="7">
        <f>'5_Cascade_Engine'!B47</f>
        <v/>
      </c>
      <c r="C47" s="7">
        <f>'1_GICS_Structure'!B47</f>
        <v/>
      </c>
      <c r="D47" s="22">
        <f>'5_Cascade_Engine'!N47</f>
        <v/>
      </c>
      <c r="E47" s="22">
        <f>'5_Cascade_Engine'!Y47</f>
        <v/>
      </c>
      <c r="F47" s="7">
        <f>'5_Cascade_Engine'!Z47</f>
        <v/>
      </c>
      <c r="G47" s="22">
        <f>'5_Cascade_Engine'!O47</f>
        <v/>
      </c>
      <c r="H47" s="22">
        <f>'5_Cascade_Engine'!AC47</f>
        <v/>
      </c>
      <c r="I47" s="7">
        <f>'5_Cascade_Engine'!AD47</f>
        <v/>
      </c>
    </row>
    <row r="48">
      <c r="A48" s="7">
        <f>'5_Cascade_Engine'!A48</f>
        <v/>
      </c>
      <c r="B48" s="7">
        <f>'5_Cascade_Engine'!B48</f>
        <v/>
      </c>
      <c r="C48" s="7">
        <f>'1_GICS_Structure'!B48</f>
        <v/>
      </c>
      <c r="D48" s="22">
        <f>'5_Cascade_Engine'!N48</f>
        <v/>
      </c>
      <c r="E48" s="22">
        <f>'5_Cascade_Engine'!Y48</f>
        <v/>
      </c>
      <c r="F48" s="7">
        <f>'5_Cascade_Engine'!Z48</f>
        <v/>
      </c>
      <c r="G48" s="22">
        <f>'5_Cascade_Engine'!O48</f>
        <v/>
      </c>
      <c r="H48" s="22">
        <f>'5_Cascade_Engine'!AC48</f>
        <v/>
      </c>
      <c r="I48" s="7">
        <f>'5_Cascade_Engine'!AD48</f>
        <v/>
      </c>
    </row>
    <row r="49">
      <c r="A49" s="7">
        <f>'5_Cascade_Engine'!A49</f>
        <v/>
      </c>
      <c r="B49" s="7">
        <f>'5_Cascade_Engine'!B49</f>
        <v/>
      </c>
      <c r="C49" s="7">
        <f>'1_GICS_Structure'!B49</f>
        <v/>
      </c>
      <c r="D49" s="22">
        <f>'5_Cascade_Engine'!N49</f>
        <v/>
      </c>
      <c r="E49" s="22">
        <f>'5_Cascade_Engine'!Y49</f>
        <v/>
      </c>
      <c r="F49" s="7">
        <f>'5_Cascade_Engine'!Z49</f>
        <v/>
      </c>
      <c r="G49" s="22">
        <f>'5_Cascade_Engine'!O49</f>
        <v/>
      </c>
      <c r="H49" s="22">
        <f>'5_Cascade_Engine'!AC49</f>
        <v/>
      </c>
      <c r="I49" s="7">
        <f>'5_Cascade_Engine'!AD49</f>
        <v/>
      </c>
    </row>
    <row r="50">
      <c r="A50" s="7">
        <f>'5_Cascade_Engine'!A50</f>
        <v/>
      </c>
      <c r="B50" s="7">
        <f>'5_Cascade_Engine'!B50</f>
        <v/>
      </c>
      <c r="C50" s="7">
        <f>'1_GICS_Structure'!B50</f>
        <v/>
      </c>
      <c r="D50" s="22">
        <f>'5_Cascade_Engine'!N50</f>
        <v/>
      </c>
      <c r="E50" s="22">
        <f>'5_Cascade_Engine'!Y50</f>
        <v/>
      </c>
      <c r="F50" s="7">
        <f>'5_Cascade_Engine'!Z50</f>
        <v/>
      </c>
      <c r="G50" s="22">
        <f>'5_Cascade_Engine'!O50</f>
        <v/>
      </c>
      <c r="H50" s="22">
        <f>'5_Cascade_Engine'!AC50</f>
        <v/>
      </c>
      <c r="I50" s="7">
        <f>'5_Cascade_Engine'!AD50</f>
        <v/>
      </c>
    </row>
    <row r="51">
      <c r="A51" s="7">
        <f>'5_Cascade_Engine'!A51</f>
        <v/>
      </c>
      <c r="B51" s="7">
        <f>'5_Cascade_Engine'!B51</f>
        <v/>
      </c>
      <c r="C51" s="7">
        <f>'1_GICS_Structure'!B51</f>
        <v/>
      </c>
      <c r="D51" s="22">
        <f>'5_Cascade_Engine'!N51</f>
        <v/>
      </c>
      <c r="E51" s="22">
        <f>'5_Cascade_Engine'!Y51</f>
        <v/>
      </c>
      <c r="F51" s="7">
        <f>'5_Cascade_Engine'!Z51</f>
        <v/>
      </c>
      <c r="G51" s="22">
        <f>'5_Cascade_Engine'!O51</f>
        <v/>
      </c>
      <c r="H51" s="22">
        <f>'5_Cascade_Engine'!AC51</f>
        <v/>
      </c>
      <c r="I51" s="7">
        <f>'5_Cascade_Engine'!AD51</f>
        <v/>
      </c>
    </row>
    <row r="52">
      <c r="A52" s="7">
        <f>'5_Cascade_Engine'!A52</f>
        <v/>
      </c>
      <c r="B52" s="7">
        <f>'5_Cascade_Engine'!B52</f>
        <v/>
      </c>
      <c r="C52" s="7">
        <f>'1_GICS_Structure'!B52</f>
        <v/>
      </c>
      <c r="D52" s="22">
        <f>'5_Cascade_Engine'!N52</f>
        <v/>
      </c>
      <c r="E52" s="22">
        <f>'5_Cascade_Engine'!Y52</f>
        <v/>
      </c>
      <c r="F52" s="7">
        <f>'5_Cascade_Engine'!Z52</f>
        <v/>
      </c>
      <c r="G52" s="22">
        <f>'5_Cascade_Engine'!O52</f>
        <v/>
      </c>
      <c r="H52" s="22">
        <f>'5_Cascade_Engine'!AC52</f>
        <v/>
      </c>
      <c r="I52" s="7">
        <f>'5_Cascade_Engine'!AD52</f>
        <v/>
      </c>
    </row>
    <row r="53">
      <c r="A53" s="7">
        <f>'5_Cascade_Engine'!A53</f>
        <v/>
      </c>
      <c r="B53" s="7">
        <f>'5_Cascade_Engine'!B53</f>
        <v/>
      </c>
      <c r="C53" s="7">
        <f>'1_GICS_Structure'!B53</f>
        <v/>
      </c>
      <c r="D53" s="22">
        <f>'5_Cascade_Engine'!N53</f>
        <v/>
      </c>
      <c r="E53" s="22">
        <f>'5_Cascade_Engine'!Y53</f>
        <v/>
      </c>
      <c r="F53" s="7">
        <f>'5_Cascade_Engine'!Z53</f>
        <v/>
      </c>
      <c r="G53" s="22">
        <f>'5_Cascade_Engine'!O53</f>
        <v/>
      </c>
      <c r="H53" s="22">
        <f>'5_Cascade_Engine'!AC53</f>
        <v/>
      </c>
      <c r="I53" s="7">
        <f>'5_Cascade_Engine'!AD53</f>
        <v/>
      </c>
    </row>
    <row r="54">
      <c r="A54" s="7">
        <f>'5_Cascade_Engine'!A54</f>
        <v/>
      </c>
      <c r="B54" s="7">
        <f>'5_Cascade_Engine'!B54</f>
        <v/>
      </c>
      <c r="C54" s="7">
        <f>'1_GICS_Structure'!B54</f>
        <v/>
      </c>
      <c r="D54" s="22">
        <f>'5_Cascade_Engine'!N54</f>
        <v/>
      </c>
      <c r="E54" s="22">
        <f>'5_Cascade_Engine'!Y54</f>
        <v/>
      </c>
      <c r="F54" s="7">
        <f>'5_Cascade_Engine'!Z54</f>
        <v/>
      </c>
      <c r="G54" s="22">
        <f>'5_Cascade_Engine'!O54</f>
        <v/>
      </c>
      <c r="H54" s="22">
        <f>'5_Cascade_Engine'!AC54</f>
        <v/>
      </c>
      <c r="I54" s="7">
        <f>'5_Cascade_Engine'!AD54</f>
        <v/>
      </c>
    </row>
    <row r="55">
      <c r="A55" s="7">
        <f>'5_Cascade_Engine'!A55</f>
        <v/>
      </c>
      <c r="B55" s="7">
        <f>'5_Cascade_Engine'!B55</f>
        <v/>
      </c>
      <c r="C55" s="7">
        <f>'1_GICS_Structure'!B55</f>
        <v/>
      </c>
      <c r="D55" s="22">
        <f>'5_Cascade_Engine'!N55</f>
        <v/>
      </c>
      <c r="E55" s="22">
        <f>'5_Cascade_Engine'!Y55</f>
        <v/>
      </c>
      <c r="F55" s="7">
        <f>'5_Cascade_Engine'!Z55</f>
        <v/>
      </c>
      <c r="G55" s="22">
        <f>'5_Cascade_Engine'!O55</f>
        <v/>
      </c>
      <c r="H55" s="22">
        <f>'5_Cascade_Engine'!AC55</f>
        <v/>
      </c>
      <c r="I55" s="7">
        <f>'5_Cascade_Engine'!AD55</f>
        <v/>
      </c>
    </row>
    <row r="56">
      <c r="A56" s="7">
        <f>'5_Cascade_Engine'!A56</f>
        <v/>
      </c>
      <c r="B56" s="7">
        <f>'5_Cascade_Engine'!B56</f>
        <v/>
      </c>
      <c r="C56" s="7">
        <f>'1_GICS_Structure'!B56</f>
        <v/>
      </c>
      <c r="D56" s="22">
        <f>'5_Cascade_Engine'!N56</f>
        <v/>
      </c>
      <c r="E56" s="22">
        <f>'5_Cascade_Engine'!Y56</f>
        <v/>
      </c>
      <c r="F56" s="7">
        <f>'5_Cascade_Engine'!Z56</f>
        <v/>
      </c>
      <c r="G56" s="22">
        <f>'5_Cascade_Engine'!O56</f>
        <v/>
      </c>
      <c r="H56" s="22">
        <f>'5_Cascade_Engine'!AC56</f>
        <v/>
      </c>
      <c r="I56" s="7">
        <f>'5_Cascade_Engine'!AD56</f>
        <v/>
      </c>
    </row>
    <row r="57">
      <c r="A57" s="7">
        <f>'5_Cascade_Engine'!A57</f>
        <v/>
      </c>
      <c r="B57" s="7">
        <f>'5_Cascade_Engine'!B57</f>
        <v/>
      </c>
      <c r="C57" s="7">
        <f>'1_GICS_Structure'!B57</f>
        <v/>
      </c>
      <c r="D57" s="22">
        <f>'5_Cascade_Engine'!N57</f>
        <v/>
      </c>
      <c r="E57" s="22">
        <f>'5_Cascade_Engine'!Y57</f>
        <v/>
      </c>
      <c r="F57" s="7">
        <f>'5_Cascade_Engine'!Z57</f>
        <v/>
      </c>
      <c r="G57" s="22">
        <f>'5_Cascade_Engine'!O57</f>
        <v/>
      </c>
      <c r="H57" s="22">
        <f>'5_Cascade_Engine'!AC57</f>
        <v/>
      </c>
      <c r="I57" s="7">
        <f>'5_Cascade_Engine'!AD57</f>
        <v/>
      </c>
    </row>
    <row r="58">
      <c r="A58" s="7">
        <f>'5_Cascade_Engine'!A58</f>
        <v/>
      </c>
      <c r="B58" s="7">
        <f>'5_Cascade_Engine'!B58</f>
        <v/>
      </c>
      <c r="C58" s="7">
        <f>'1_GICS_Structure'!B58</f>
        <v/>
      </c>
      <c r="D58" s="22">
        <f>'5_Cascade_Engine'!N58</f>
        <v/>
      </c>
      <c r="E58" s="22">
        <f>'5_Cascade_Engine'!Y58</f>
        <v/>
      </c>
      <c r="F58" s="7">
        <f>'5_Cascade_Engine'!Z58</f>
        <v/>
      </c>
      <c r="G58" s="22">
        <f>'5_Cascade_Engine'!O58</f>
        <v/>
      </c>
      <c r="H58" s="22">
        <f>'5_Cascade_Engine'!AC58</f>
        <v/>
      </c>
      <c r="I58" s="7">
        <f>'5_Cascade_Engine'!AD58</f>
        <v/>
      </c>
    </row>
    <row r="59">
      <c r="A59" s="7">
        <f>'5_Cascade_Engine'!A59</f>
        <v/>
      </c>
      <c r="B59" s="7">
        <f>'5_Cascade_Engine'!B59</f>
        <v/>
      </c>
      <c r="C59" s="7">
        <f>'1_GICS_Structure'!B59</f>
        <v/>
      </c>
      <c r="D59" s="22">
        <f>'5_Cascade_Engine'!N59</f>
        <v/>
      </c>
      <c r="E59" s="22">
        <f>'5_Cascade_Engine'!Y59</f>
        <v/>
      </c>
      <c r="F59" s="7">
        <f>'5_Cascade_Engine'!Z59</f>
        <v/>
      </c>
      <c r="G59" s="22">
        <f>'5_Cascade_Engine'!O59</f>
        <v/>
      </c>
      <c r="H59" s="22">
        <f>'5_Cascade_Engine'!AC59</f>
        <v/>
      </c>
      <c r="I59" s="7">
        <f>'5_Cascade_Engine'!AD59</f>
        <v/>
      </c>
    </row>
    <row r="60">
      <c r="A60" s="7">
        <f>'5_Cascade_Engine'!A60</f>
        <v/>
      </c>
      <c r="B60" s="7">
        <f>'5_Cascade_Engine'!B60</f>
        <v/>
      </c>
      <c r="C60" s="7">
        <f>'1_GICS_Structure'!B60</f>
        <v/>
      </c>
      <c r="D60" s="22">
        <f>'5_Cascade_Engine'!N60</f>
        <v/>
      </c>
      <c r="E60" s="22">
        <f>'5_Cascade_Engine'!Y60</f>
        <v/>
      </c>
      <c r="F60" s="7">
        <f>'5_Cascade_Engine'!Z60</f>
        <v/>
      </c>
      <c r="G60" s="22">
        <f>'5_Cascade_Engine'!O60</f>
        <v/>
      </c>
      <c r="H60" s="22">
        <f>'5_Cascade_Engine'!AC60</f>
        <v/>
      </c>
      <c r="I60" s="7">
        <f>'5_Cascade_Engine'!AD60</f>
        <v/>
      </c>
    </row>
    <row r="61">
      <c r="A61" s="7">
        <f>'5_Cascade_Engine'!A61</f>
        <v/>
      </c>
      <c r="B61" s="7">
        <f>'5_Cascade_Engine'!B61</f>
        <v/>
      </c>
      <c r="C61" s="7">
        <f>'1_GICS_Structure'!B61</f>
        <v/>
      </c>
      <c r="D61" s="22">
        <f>'5_Cascade_Engine'!N61</f>
        <v/>
      </c>
      <c r="E61" s="22">
        <f>'5_Cascade_Engine'!Y61</f>
        <v/>
      </c>
      <c r="F61" s="7">
        <f>'5_Cascade_Engine'!Z61</f>
        <v/>
      </c>
      <c r="G61" s="22">
        <f>'5_Cascade_Engine'!O61</f>
        <v/>
      </c>
      <c r="H61" s="22">
        <f>'5_Cascade_Engine'!AC61</f>
        <v/>
      </c>
      <c r="I61" s="7">
        <f>'5_Cascade_Engine'!AD61</f>
        <v/>
      </c>
    </row>
    <row r="62">
      <c r="A62" s="7">
        <f>'5_Cascade_Engine'!A62</f>
        <v/>
      </c>
      <c r="B62" s="7">
        <f>'5_Cascade_Engine'!B62</f>
        <v/>
      </c>
      <c r="C62" s="7">
        <f>'1_GICS_Structure'!B62</f>
        <v/>
      </c>
      <c r="D62" s="22">
        <f>'5_Cascade_Engine'!N62</f>
        <v/>
      </c>
      <c r="E62" s="22">
        <f>'5_Cascade_Engine'!Y62</f>
        <v/>
      </c>
      <c r="F62" s="7">
        <f>'5_Cascade_Engine'!Z62</f>
        <v/>
      </c>
      <c r="G62" s="22">
        <f>'5_Cascade_Engine'!O62</f>
        <v/>
      </c>
      <c r="H62" s="22">
        <f>'5_Cascade_Engine'!AC62</f>
        <v/>
      </c>
      <c r="I62" s="7">
        <f>'5_Cascade_Engine'!AD62</f>
        <v/>
      </c>
    </row>
    <row r="63">
      <c r="A63" s="7">
        <f>'5_Cascade_Engine'!A63</f>
        <v/>
      </c>
      <c r="B63" s="7">
        <f>'5_Cascade_Engine'!B63</f>
        <v/>
      </c>
      <c r="C63" s="7">
        <f>'1_GICS_Structure'!B63</f>
        <v/>
      </c>
      <c r="D63" s="22">
        <f>'5_Cascade_Engine'!N63</f>
        <v/>
      </c>
      <c r="E63" s="22">
        <f>'5_Cascade_Engine'!Y63</f>
        <v/>
      </c>
      <c r="F63" s="7">
        <f>'5_Cascade_Engine'!Z63</f>
        <v/>
      </c>
      <c r="G63" s="22">
        <f>'5_Cascade_Engine'!O63</f>
        <v/>
      </c>
      <c r="H63" s="22">
        <f>'5_Cascade_Engine'!AC63</f>
        <v/>
      </c>
      <c r="I63" s="7">
        <f>'5_Cascade_Engine'!AD63</f>
        <v/>
      </c>
    </row>
    <row r="64">
      <c r="A64" s="7">
        <f>'5_Cascade_Engine'!A64</f>
        <v/>
      </c>
      <c r="B64" s="7">
        <f>'5_Cascade_Engine'!B64</f>
        <v/>
      </c>
      <c r="C64" s="7">
        <f>'1_GICS_Structure'!B64</f>
        <v/>
      </c>
      <c r="D64" s="22">
        <f>'5_Cascade_Engine'!N64</f>
        <v/>
      </c>
      <c r="E64" s="22">
        <f>'5_Cascade_Engine'!Y64</f>
        <v/>
      </c>
      <c r="F64" s="7">
        <f>'5_Cascade_Engine'!Z64</f>
        <v/>
      </c>
      <c r="G64" s="22">
        <f>'5_Cascade_Engine'!O64</f>
        <v/>
      </c>
      <c r="H64" s="22">
        <f>'5_Cascade_Engine'!AC64</f>
        <v/>
      </c>
      <c r="I64" s="7">
        <f>'5_Cascade_Engine'!AD64</f>
        <v/>
      </c>
    </row>
    <row r="65">
      <c r="A65" s="7">
        <f>'5_Cascade_Engine'!A65</f>
        <v/>
      </c>
      <c r="B65" s="7">
        <f>'5_Cascade_Engine'!B65</f>
        <v/>
      </c>
      <c r="C65" s="7">
        <f>'1_GICS_Structure'!B65</f>
        <v/>
      </c>
      <c r="D65" s="22">
        <f>'5_Cascade_Engine'!N65</f>
        <v/>
      </c>
      <c r="E65" s="22">
        <f>'5_Cascade_Engine'!Y65</f>
        <v/>
      </c>
      <c r="F65" s="7">
        <f>'5_Cascade_Engine'!Z65</f>
        <v/>
      </c>
      <c r="G65" s="22">
        <f>'5_Cascade_Engine'!O65</f>
        <v/>
      </c>
      <c r="H65" s="22">
        <f>'5_Cascade_Engine'!AC65</f>
        <v/>
      </c>
      <c r="I65" s="7">
        <f>'5_Cascade_Engine'!AD65</f>
        <v/>
      </c>
    </row>
    <row r="66">
      <c r="A66" s="7">
        <f>'5_Cascade_Engine'!A66</f>
        <v/>
      </c>
      <c r="B66" s="7">
        <f>'5_Cascade_Engine'!B66</f>
        <v/>
      </c>
      <c r="C66" s="7">
        <f>'1_GICS_Structure'!B66</f>
        <v/>
      </c>
      <c r="D66" s="22">
        <f>'5_Cascade_Engine'!N66</f>
        <v/>
      </c>
      <c r="E66" s="22">
        <f>'5_Cascade_Engine'!Y66</f>
        <v/>
      </c>
      <c r="F66" s="7">
        <f>'5_Cascade_Engine'!Z66</f>
        <v/>
      </c>
      <c r="G66" s="22">
        <f>'5_Cascade_Engine'!O66</f>
        <v/>
      </c>
      <c r="H66" s="22">
        <f>'5_Cascade_Engine'!AC66</f>
        <v/>
      </c>
      <c r="I66" s="7">
        <f>'5_Cascade_Engine'!AD66</f>
        <v/>
      </c>
    </row>
    <row r="67">
      <c r="A67" s="7">
        <f>'5_Cascade_Engine'!A67</f>
        <v/>
      </c>
      <c r="B67" s="7">
        <f>'5_Cascade_Engine'!B67</f>
        <v/>
      </c>
      <c r="C67" s="7">
        <f>'1_GICS_Structure'!B67</f>
        <v/>
      </c>
      <c r="D67" s="22">
        <f>'5_Cascade_Engine'!N67</f>
        <v/>
      </c>
      <c r="E67" s="22">
        <f>'5_Cascade_Engine'!Y67</f>
        <v/>
      </c>
      <c r="F67" s="7">
        <f>'5_Cascade_Engine'!Z67</f>
        <v/>
      </c>
      <c r="G67" s="22">
        <f>'5_Cascade_Engine'!O67</f>
        <v/>
      </c>
      <c r="H67" s="22">
        <f>'5_Cascade_Engine'!AC67</f>
        <v/>
      </c>
      <c r="I67" s="7">
        <f>'5_Cascade_Engine'!AD67</f>
        <v/>
      </c>
    </row>
    <row r="68">
      <c r="A68" s="7">
        <f>'5_Cascade_Engine'!A68</f>
        <v/>
      </c>
      <c r="B68" s="7">
        <f>'5_Cascade_Engine'!B68</f>
        <v/>
      </c>
      <c r="C68" s="7">
        <f>'1_GICS_Structure'!B68</f>
        <v/>
      </c>
      <c r="D68" s="22">
        <f>'5_Cascade_Engine'!N68</f>
        <v/>
      </c>
      <c r="E68" s="22">
        <f>'5_Cascade_Engine'!Y68</f>
        <v/>
      </c>
      <c r="F68" s="7">
        <f>'5_Cascade_Engine'!Z68</f>
        <v/>
      </c>
      <c r="G68" s="22">
        <f>'5_Cascade_Engine'!O68</f>
        <v/>
      </c>
      <c r="H68" s="22">
        <f>'5_Cascade_Engine'!AC68</f>
        <v/>
      </c>
      <c r="I68" s="7">
        <f>'5_Cascade_Engine'!AD68</f>
        <v/>
      </c>
    </row>
    <row r="69">
      <c r="A69" s="7">
        <f>'5_Cascade_Engine'!A69</f>
        <v/>
      </c>
      <c r="B69" s="7">
        <f>'5_Cascade_Engine'!B69</f>
        <v/>
      </c>
      <c r="C69" s="7">
        <f>'1_GICS_Structure'!B69</f>
        <v/>
      </c>
      <c r="D69" s="22">
        <f>'5_Cascade_Engine'!N69</f>
        <v/>
      </c>
      <c r="E69" s="22">
        <f>'5_Cascade_Engine'!Y69</f>
        <v/>
      </c>
      <c r="F69" s="7">
        <f>'5_Cascade_Engine'!Z69</f>
        <v/>
      </c>
      <c r="G69" s="22">
        <f>'5_Cascade_Engine'!O69</f>
        <v/>
      </c>
      <c r="H69" s="22">
        <f>'5_Cascade_Engine'!AC69</f>
        <v/>
      </c>
      <c r="I69" s="7">
        <f>'5_Cascade_Engine'!AD69</f>
        <v/>
      </c>
    </row>
    <row r="70">
      <c r="A70" s="7">
        <f>'5_Cascade_Engine'!A70</f>
        <v/>
      </c>
      <c r="B70" s="7">
        <f>'5_Cascade_Engine'!B70</f>
        <v/>
      </c>
      <c r="C70" s="7">
        <f>'1_GICS_Structure'!B70</f>
        <v/>
      </c>
      <c r="D70" s="22">
        <f>'5_Cascade_Engine'!N70</f>
        <v/>
      </c>
      <c r="E70" s="22">
        <f>'5_Cascade_Engine'!Y70</f>
        <v/>
      </c>
      <c r="F70" s="7">
        <f>'5_Cascade_Engine'!Z70</f>
        <v/>
      </c>
      <c r="G70" s="22">
        <f>'5_Cascade_Engine'!O70</f>
        <v/>
      </c>
      <c r="H70" s="22">
        <f>'5_Cascade_Engine'!AC70</f>
        <v/>
      </c>
      <c r="I70" s="7">
        <f>'5_Cascade_Engine'!AD70</f>
        <v/>
      </c>
    </row>
    <row r="71">
      <c r="A71" s="7">
        <f>'5_Cascade_Engine'!A71</f>
        <v/>
      </c>
      <c r="B71" s="7">
        <f>'5_Cascade_Engine'!B71</f>
        <v/>
      </c>
      <c r="C71" s="7">
        <f>'1_GICS_Structure'!B71</f>
        <v/>
      </c>
      <c r="D71" s="22">
        <f>'5_Cascade_Engine'!N71</f>
        <v/>
      </c>
      <c r="E71" s="22">
        <f>'5_Cascade_Engine'!Y71</f>
        <v/>
      </c>
      <c r="F71" s="7">
        <f>'5_Cascade_Engine'!Z71</f>
        <v/>
      </c>
      <c r="G71" s="22">
        <f>'5_Cascade_Engine'!O71</f>
        <v/>
      </c>
      <c r="H71" s="22">
        <f>'5_Cascade_Engine'!AC71</f>
        <v/>
      </c>
      <c r="I71" s="7">
        <f>'5_Cascade_Engine'!AD71</f>
        <v/>
      </c>
    </row>
    <row r="72">
      <c r="A72" s="7">
        <f>'5_Cascade_Engine'!A72</f>
        <v/>
      </c>
      <c r="B72" s="7">
        <f>'5_Cascade_Engine'!B72</f>
        <v/>
      </c>
      <c r="C72" s="7">
        <f>'1_GICS_Structure'!B72</f>
        <v/>
      </c>
      <c r="D72" s="22">
        <f>'5_Cascade_Engine'!N72</f>
        <v/>
      </c>
      <c r="E72" s="22">
        <f>'5_Cascade_Engine'!Y72</f>
        <v/>
      </c>
      <c r="F72" s="7">
        <f>'5_Cascade_Engine'!Z72</f>
        <v/>
      </c>
      <c r="G72" s="22">
        <f>'5_Cascade_Engine'!O72</f>
        <v/>
      </c>
      <c r="H72" s="22">
        <f>'5_Cascade_Engine'!AC72</f>
        <v/>
      </c>
      <c r="I72" s="7">
        <f>'5_Cascade_Engine'!AD72</f>
        <v/>
      </c>
    </row>
    <row r="73">
      <c r="A73" s="7">
        <f>'5_Cascade_Engine'!A73</f>
        <v/>
      </c>
      <c r="B73" s="7">
        <f>'5_Cascade_Engine'!B73</f>
        <v/>
      </c>
      <c r="C73" s="7">
        <f>'1_GICS_Structure'!B73</f>
        <v/>
      </c>
      <c r="D73" s="22">
        <f>'5_Cascade_Engine'!N73</f>
        <v/>
      </c>
      <c r="E73" s="22">
        <f>'5_Cascade_Engine'!Y73</f>
        <v/>
      </c>
      <c r="F73" s="7">
        <f>'5_Cascade_Engine'!Z73</f>
        <v/>
      </c>
      <c r="G73" s="22">
        <f>'5_Cascade_Engine'!O73</f>
        <v/>
      </c>
      <c r="H73" s="22">
        <f>'5_Cascade_Engine'!AC73</f>
        <v/>
      </c>
      <c r="I73" s="7">
        <f>'5_Cascade_Engine'!AD73</f>
        <v/>
      </c>
    </row>
    <row r="74">
      <c r="A74" s="7">
        <f>'5_Cascade_Engine'!A74</f>
        <v/>
      </c>
      <c r="B74" s="7">
        <f>'5_Cascade_Engine'!B74</f>
        <v/>
      </c>
      <c r="C74" s="7">
        <f>'1_GICS_Structure'!B74</f>
        <v/>
      </c>
      <c r="D74" s="22">
        <f>'5_Cascade_Engine'!N74</f>
        <v/>
      </c>
      <c r="E74" s="22">
        <f>'5_Cascade_Engine'!Y74</f>
        <v/>
      </c>
      <c r="F74" s="7">
        <f>'5_Cascade_Engine'!Z74</f>
        <v/>
      </c>
      <c r="G74" s="22">
        <f>'5_Cascade_Engine'!O74</f>
        <v/>
      </c>
      <c r="H74" s="22">
        <f>'5_Cascade_Engine'!AC74</f>
        <v/>
      </c>
      <c r="I74" s="7">
        <f>'5_Cascade_Engine'!AD74</f>
        <v/>
      </c>
    </row>
    <row r="75">
      <c r="A75" s="7">
        <f>'5_Cascade_Engine'!A75</f>
        <v/>
      </c>
      <c r="B75" s="7">
        <f>'5_Cascade_Engine'!B75</f>
        <v/>
      </c>
      <c r="C75" s="7">
        <f>'1_GICS_Structure'!B75</f>
        <v/>
      </c>
      <c r="D75" s="22">
        <f>'5_Cascade_Engine'!N75</f>
        <v/>
      </c>
      <c r="E75" s="22">
        <f>'5_Cascade_Engine'!Y75</f>
        <v/>
      </c>
      <c r="F75" s="7">
        <f>'5_Cascade_Engine'!Z75</f>
        <v/>
      </c>
      <c r="G75" s="22">
        <f>'5_Cascade_Engine'!O75</f>
        <v/>
      </c>
      <c r="H75" s="22">
        <f>'5_Cascade_Engine'!AC75</f>
        <v/>
      </c>
      <c r="I75" s="7">
        <f>'5_Cascade_Engine'!AD75</f>
        <v/>
      </c>
    </row>
    <row r="76">
      <c r="A76" s="7">
        <f>'5_Cascade_Engine'!A76</f>
        <v/>
      </c>
      <c r="B76" s="7">
        <f>'5_Cascade_Engine'!B76</f>
        <v/>
      </c>
      <c r="C76" s="7">
        <f>'1_GICS_Structure'!B76</f>
        <v/>
      </c>
      <c r="D76" s="22">
        <f>'5_Cascade_Engine'!N76</f>
        <v/>
      </c>
      <c r="E76" s="22">
        <f>'5_Cascade_Engine'!Y76</f>
        <v/>
      </c>
      <c r="F76" s="7">
        <f>'5_Cascade_Engine'!Z76</f>
        <v/>
      </c>
      <c r="G76" s="22">
        <f>'5_Cascade_Engine'!O76</f>
        <v/>
      </c>
      <c r="H76" s="22">
        <f>'5_Cascade_Engine'!AC76</f>
        <v/>
      </c>
      <c r="I76" s="7">
        <f>'5_Cascade_Engine'!AD76</f>
        <v/>
      </c>
    </row>
    <row r="77">
      <c r="A77" s="7">
        <f>'5_Cascade_Engine'!A77</f>
        <v/>
      </c>
      <c r="B77" s="7">
        <f>'5_Cascade_Engine'!B77</f>
        <v/>
      </c>
      <c r="C77" s="7">
        <f>'1_GICS_Structure'!B77</f>
        <v/>
      </c>
      <c r="D77" s="22">
        <f>'5_Cascade_Engine'!N77</f>
        <v/>
      </c>
      <c r="E77" s="22">
        <f>'5_Cascade_Engine'!Y77</f>
        <v/>
      </c>
      <c r="F77" s="7">
        <f>'5_Cascade_Engine'!Z77</f>
        <v/>
      </c>
      <c r="G77" s="22">
        <f>'5_Cascade_Engine'!O77</f>
        <v/>
      </c>
      <c r="H77" s="22">
        <f>'5_Cascade_Engine'!AC77</f>
        <v/>
      </c>
      <c r="I77" s="7">
        <f>'5_Cascade_Engine'!AD77</f>
        <v/>
      </c>
    </row>
    <row r="78">
      <c r="A78" s="7">
        <f>'5_Cascade_Engine'!A78</f>
        <v/>
      </c>
      <c r="B78" s="7">
        <f>'5_Cascade_Engine'!B78</f>
        <v/>
      </c>
      <c r="C78" s="7">
        <f>'1_GICS_Structure'!B78</f>
        <v/>
      </c>
      <c r="D78" s="22">
        <f>'5_Cascade_Engine'!N78</f>
        <v/>
      </c>
      <c r="E78" s="22">
        <f>'5_Cascade_Engine'!Y78</f>
        <v/>
      </c>
      <c r="F78" s="7">
        <f>'5_Cascade_Engine'!Z78</f>
        <v/>
      </c>
      <c r="G78" s="22">
        <f>'5_Cascade_Engine'!O78</f>
        <v/>
      </c>
      <c r="H78" s="22">
        <f>'5_Cascade_Engine'!AC78</f>
        <v/>
      </c>
      <c r="I78" s="7">
        <f>'5_Cascade_Engine'!AD78</f>
        <v/>
      </c>
    </row>
    <row r="79">
      <c r="A79" s="7">
        <f>'5_Cascade_Engine'!A79</f>
        <v/>
      </c>
      <c r="B79" s="7">
        <f>'5_Cascade_Engine'!B79</f>
        <v/>
      </c>
      <c r="C79" s="7">
        <f>'1_GICS_Structure'!B79</f>
        <v/>
      </c>
      <c r="D79" s="22">
        <f>'5_Cascade_Engine'!N79</f>
        <v/>
      </c>
      <c r="E79" s="22">
        <f>'5_Cascade_Engine'!Y79</f>
        <v/>
      </c>
      <c r="F79" s="7">
        <f>'5_Cascade_Engine'!Z79</f>
        <v/>
      </c>
      <c r="G79" s="22">
        <f>'5_Cascade_Engine'!O79</f>
        <v/>
      </c>
      <c r="H79" s="22">
        <f>'5_Cascade_Engine'!AC79</f>
        <v/>
      </c>
      <c r="I79" s="7">
        <f>'5_Cascade_Engine'!AD79</f>
        <v/>
      </c>
    </row>
    <row r="80">
      <c r="A80" s="7">
        <f>'5_Cascade_Engine'!A80</f>
        <v/>
      </c>
      <c r="B80" s="7">
        <f>'5_Cascade_Engine'!B80</f>
        <v/>
      </c>
      <c r="C80" s="7">
        <f>'1_GICS_Structure'!B80</f>
        <v/>
      </c>
      <c r="D80" s="22">
        <f>'5_Cascade_Engine'!N80</f>
        <v/>
      </c>
      <c r="E80" s="22">
        <f>'5_Cascade_Engine'!Y80</f>
        <v/>
      </c>
      <c r="F80" s="7">
        <f>'5_Cascade_Engine'!Z80</f>
        <v/>
      </c>
      <c r="G80" s="22">
        <f>'5_Cascade_Engine'!O80</f>
        <v/>
      </c>
      <c r="H80" s="22">
        <f>'5_Cascade_Engine'!AC80</f>
        <v/>
      </c>
      <c r="I80" s="7">
        <f>'5_Cascade_Engine'!AD80</f>
        <v/>
      </c>
    </row>
    <row r="81">
      <c r="A81" s="7">
        <f>'5_Cascade_Engine'!A81</f>
        <v/>
      </c>
      <c r="B81" s="7">
        <f>'5_Cascade_Engine'!B81</f>
        <v/>
      </c>
      <c r="C81" s="7">
        <f>'1_GICS_Structure'!B81</f>
        <v/>
      </c>
      <c r="D81" s="22">
        <f>'5_Cascade_Engine'!N81</f>
        <v/>
      </c>
      <c r="E81" s="22">
        <f>'5_Cascade_Engine'!Y81</f>
        <v/>
      </c>
      <c r="F81" s="7">
        <f>'5_Cascade_Engine'!Z81</f>
        <v/>
      </c>
      <c r="G81" s="22">
        <f>'5_Cascade_Engine'!O81</f>
        <v/>
      </c>
      <c r="H81" s="22">
        <f>'5_Cascade_Engine'!AC81</f>
        <v/>
      </c>
      <c r="I81" s="7">
        <f>'5_Cascade_Engine'!AD81</f>
        <v/>
      </c>
    </row>
    <row r="82">
      <c r="A82" s="7">
        <f>'5_Cascade_Engine'!A82</f>
        <v/>
      </c>
      <c r="B82" s="7">
        <f>'5_Cascade_Engine'!B82</f>
        <v/>
      </c>
      <c r="C82" s="7">
        <f>'1_GICS_Structure'!B82</f>
        <v/>
      </c>
      <c r="D82" s="22">
        <f>'5_Cascade_Engine'!N82</f>
        <v/>
      </c>
      <c r="E82" s="22">
        <f>'5_Cascade_Engine'!Y82</f>
        <v/>
      </c>
      <c r="F82" s="7">
        <f>'5_Cascade_Engine'!Z82</f>
        <v/>
      </c>
      <c r="G82" s="22">
        <f>'5_Cascade_Engine'!O82</f>
        <v/>
      </c>
      <c r="H82" s="22">
        <f>'5_Cascade_Engine'!AC82</f>
        <v/>
      </c>
      <c r="I82" s="7">
        <f>'5_Cascade_Engine'!AD82</f>
        <v/>
      </c>
    </row>
    <row r="83">
      <c r="A83" s="7">
        <f>'5_Cascade_Engine'!A83</f>
        <v/>
      </c>
      <c r="B83" s="7">
        <f>'5_Cascade_Engine'!B83</f>
        <v/>
      </c>
      <c r="C83" s="7">
        <f>'1_GICS_Structure'!B83</f>
        <v/>
      </c>
      <c r="D83" s="22">
        <f>'5_Cascade_Engine'!N83</f>
        <v/>
      </c>
      <c r="E83" s="22">
        <f>'5_Cascade_Engine'!Y83</f>
        <v/>
      </c>
      <c r="F83" s="7">
        <f>'5_Cascade_Engine'!Z83</f>
        <v/>
      </c>
      <c r="G83" s="22">
        <f>'5_Cascade_Engine'!O83</f>
        <v/>
      </c>
      <c r="H83" s="22">
        <f>'5_Cascade_Engine'!AC83</f>
        <v/>
      </c>
      <c r="I83" s="7">
        <f>'5_Cascade_Engine'!AD83</f>
        <v/>
      </c>
    </row>
    <row r="84">
      <c r="A84" s="7">
        <f>'5_Cascade_Engine'!A84</f>
        <v/>
      </c>
      <c r="B84" s="7">
        <f>'5_Cascade_Engine'!B84</f>
        <v/>
      </c>
      <c r="C84" s="7">
        <f>'1_GICS_Structure'!B84</f>
        <v/>
      </c>
      <c r="D84" s="22">
        <f>'5_Cascade_Engine'!N84</f>
        <v/>
      </c>
      <c r="E84" s="22">
        <f>'5_Cascade_Engine'!Y84</f>
        <v/>
      </c>
      <c r="F84" s="7">
        <f>'5_Cascade_Engine'!Z84</f>
        <v/>
      </c>
      <c r="G84" s="22">
        <f>'5_Cascade_Engine'!O84</f>
        <v/>
      </c>
      <c r="H84" s="22">
        <f>'5_Cascade_Engine'!AC84</f>
        <v/>
      </c>
      <c r="I84" s="7">
        <f>'5_Cascade_Engine'!AD84</f>
        <v/>
      </c>
    </row>
    <row r="85">
      <c r="A85" s="7">
        <f>'5_Cascade_Engine'!A85</f>
        <v/>
      </c>
      <c r="B85" s="7">
        <f>'5_Cascade_Engine'!B85</f>
        <v/>
      </c>
      <c r="C85" s="7">
        <f>'1_GICS_Structure'!B85</f>
        <v/>
      </c>
      <c r="D85" s="22">
        <f>'5_Cascade_Engine'!N85</f>
        <v/>
      </c>
      <c r="E85" s="22">
        <f>'5_Cascade_Engine'!Y85</f>
        <v/>
      </c>
      <c r="F85" s="7">
        <f>'5_Cascade_Engine'!Z85</f>
        <v/>
      </c>
      <c r="G85" s="22">
        <f>'5_Cascade_Engine'!O85</f>
        <v/>
      </c>
      <c r="H85" s="22">
        <f>'5_Cascade_Engine'!AC85</f>
        <v/>
      </c>
      <c r="I85" s="7">
        <f>'5_Cascade_Engine'!AD85</f>
        <v/>
      </c>
    </row>
    <row r="86">
      <c r="A86" s="7">
        <f>'5_Cascade_Engine'!A86</f>
        <v/>
      </c>
      <c r="B86" s="7">
        <f>'5_Cascade_Engine'!B86</f>
        <v/>
      </c>
      <c r="C86" s="7">
        <f>'1_GICS_Structure'!B86</f>
        <v/>
      </c>
      <c r="D86" s="22">
        <f>'5_Cascade_Engine'!N86</f>
        <v/>
      </c>
      <c r="E86" s="22">
        <f>'5_Cascade_Engine'!Y86</f>
        <v/>
      </c>
      <c r="F86" s="7">
        <f>'5_Cascade_Engine'!Z86</f>
        <v/>
      </c>
      <c r="G86" s="22">
        <f>'5_Cascade_Engine'!O86</f>
        <v/>
      </c>
      <c r="H86" s="22">
        <f>'5_Cascade_Engine'!AC86</f>
        <v/>
      </c>
      <c r="I86" s="7">
        <f>'5_Cascade_Engine'!AD86</f>
        <v/>
      </c>
    </row>
    <row r="87">
      <c r="A87" s="7">
        <f>'5_Cascade_Engine'!A87</f>
        <v/>
      </c>
      <c r="B87" s="7">
        <f>'5_Cascade_Engine'!B87</f>
        <v/>
      </c>
      <c r="C87" s="7">
        <f>'1_GICS_Structure'!B87</f>
        <v/>
      </c>
      <c r="D87" s="22">
        <f>'5_Cascade_Engine'!N87</f>
        <v/>
      </c>
      <c r="E87" s="22">
        <f>'5_Cascade_Engine'!Y87</f>
        <v/>
      </c>
      <c r="F87" s="7">
        <f>'5_Cascade_Engine'!Z87</f>
        <v/>
      </c>
      <c r="G87" s="22">
        <f>'5_Cascade_Engine'!O87</f>
        <v/>
      </c>
      <c r="H87" s="22">
        <f>'5_Cascade_Engine'!AC87</f>
        <v/>
      </c>
      <c r="I87" s="7">
        <f>'5_Cascade_Engine'!AD87</f>
        <v/>
      </c>
    </row>
    <row r="88">
      <c r="A88" s="7">
        <f>'5_Cascade_Engine'!A88</f>
        <v/>
      </c>
      <c r="B88" s="7">
        <f>'5_Cascade_Engine'!B88</f>
        <v/>
      </c>
      <c r="C88" s="7">
        <f>'1_GICS_Structure'!B88</f>
        <v/>
      </c>
      <c r="D88" s="22">
        <f>'5_Cascade_Engine'!N88</f>
        <v/>
      </c>
      <c r="E88" s="22">
        <f>'5_Cascade_Engine'!Y88</f>
        <v/>
      </c>
      <c r="F88" s="7">
        <f>'5_Cascade_Engine'!Z88</f>
        <v/>
      </c>
      <c r="G88" s="22">
        <f>'5_Cascade_Engine'!O88</f>
        <v/>
      </c>
      <c r="H88" s="22">
        <f>'5_Cascade_Engine'!AC88</f>
        <v/>
      </c>
      <c r="I88" s="7">
        <f>'5_Cascade_Engine'!AD88</f>
        <v/>
      </c>
    </row>
    <row r="89">
      <c r="A89" s="7">
        <f>'5_Cascade_Engine'!A89</f>
        <v/>
      </c>
      <c r="B89" s="7">
        <f>'5_Cascade_Engine'!B89</f>
        <v/>
      </c>
      <c r="C89" s="7">
        <f>'1_GICS_Structure'!B89</f>
        <v/>
      </c>
      <c r="D89" s="22">
        <f>'5_Cascade_Engine'!N89</f>
        <v/>
      </c>
      <c r="E89" s="22">
        <f>'5_Cascade_Engine'!Y89</f>
        <v/>
      </c>
      <c r="F89" s="7">
        <f>'5_Cascade_Engine'!Z89</f>
        <v/>
      </c>
      <c r="G89" s="22">
        <f>'5_Cascade_Engine'!O89</f>
        <v/>
      </c>
      <c r="H89" s="22">
        <f>'5_Cascade_Engine'!AC89</f>
        <v/>
      </c>
      <c r="I89" s="7">
        <f>'5_Cascade_Engine'!AD89</f>
        <v/>
      </c>
    </row>
    <row r="90">
      <c r="A90" s="7">
        <f>'5_Cascade_Engine'!A90</f>
        <v/>
      </c>
      <c r="B90" s="7">
        <f>'5_Cascade_Engine'!B90</f>
        <v/>
      </c>
      <c r="C90" s="7">
        <f>'1_GICS_Structure'!B90</f>
        <v/>
      </c>
      <c r="D90" s="22">
        <f>'5_Cascade_Engine'!N90</f>
        <v/>
      </c>
      <c r="E90" s="22">
        <f>'5_Cascade_Engine'!Y90</f>
        <v/>
      </c>
      <c r="F90" s="7">
        <f>'5_Cascade_Engine'!Z90</f>
        <v/>
      </c>
      <c r="G90" s="22">
        <f>'5_Cascade_Engine'!O90</f>
        <v/>
      </c>
      <c r="H90" s="22">
        <f>'5_Cascade_Engine'!AC90</f>
        <v/>
      </c>
      <c r="I90" s="7">
        <f>'5_Cascade_Engine'!AD90</f>
        <v/>
      </c>
    </row>
    <row r="91">
      <c r="A91" s="7">
        <f>'5_Cascade_Engine'!A91</f>
        <v/>
      </c>
      <c r="B91" s="7">
        <f>'5_Cascade_Engine'!B91</f>
        <v/>
      </c>
      <c r="C91" s="7">
        <f>'1_GICS_Structure'!B91</f>
        <v/>
      </c>
      <c r="D91" s="22">
        <f>'5_Cascade_Engine'!N91</f>
        <v/>
      </c>
      <c r="E91" s="22">
        <f>'5_Cascade_Engine'!Y91</f>
        <v/>
      </c>
      <c r="F91" s="7">
        <f>'5_Cascade_Engine'!Z91</f>
        <v/>
      </c>
      <c r="G91" s="22">
        <f>'5_Cascade_Engine'!O91</f>
        <v/>
      </c>
      <c r="H91" s="22">
        <f>'5_Cascade_Engine'!AC91</f>
        <v/>
      </c>
      <c r="I91" s="7">
        <f>'5_Cascade_Engine'!AD91</f>
        <v/>
      </c>
    </row>
    <row r="92">
      <c r="A92" s="7">
        <f>'5_Cascade_Engine'!A92</f>
        <v/>
      </c>
      <c r="B92" s="7">
        <f>'5_Cascade_Engine'!B92</f>
        <v/>
      </c>
      <c r="C92" s="7">
        <f>'1_GICS_Structure'!B92</f>
        <v/>
      </c>
      <c r="D92" s="22">
        <f>'5_Cascade_Engine'!N92</f>
        <v/>
      </c>
      <c r="E92" s="22">
        <f>'5_Cascade_Engine'!Y92</f>
        <v/>
      </c>
      <c r="F92" s="7">
        <f>'5_Cascade_Engine'!Z92</f>
        <v/>
      </c>
      <c r="G92" s="22">
        <f>'5_Cascade_Engine'!O92</f>
        <v/>
      </c>
      <c r="H92" s="22">
        <f>'5_Cascade_Engine'!AC92</f>
        <v/>
      </c>
      <c r="I92" s="7">
        <f>'5_Cascade_Engine'!AD92</f>
        <v/>
      </c>
    </row>
    <row r="93">
      <c r="A93" s="7">
        <f>'5_Cascade_Engine'!A93</f>
        <v/>
      </c>
      <c r="B93" s="7">
        <f>'5_Cascade_Engine'!B93</f>
        <v/>
      </c>
      <c r="C93" s="7">
        <f>'1_GICS_Structure'!B93</f>
        <v/>
      </c>
      <c r="D93" s="22">
        <f>'5_Cascade_Engine'!N93</f>
        <v/>
      </c>
      <c r="E93" s="22">
        <f>'5_Cascade_Engine'!Y93</f>
        <v/>
      </c>
      <c r="F93" s="7">
        <f>'5_Cascade_Engine'!Z93</f>
        <v/>
      </c>
      <c r="G93" s="22">
        <f>'5_Cascade_Engine'!O93</f>
        <v/>
      </c>
      <c r="H93" s="22">
        <f>'5_Cascade_Engine'!AC93</f>
        <v/>
      </c>
      <c r="I93" s="7">
        <f>'5_Cascade_Engine'!AD93</f>
        <v/>
      </c>
    </row>
    <row r="94">
      <c r="A94" s="7">
        <f>'5_Cascade_Engine'!A94</f>
        <v/>
      </c>
      <c r="B94" s="7">
        <f>'5_Cascade_Engine'!B94</f>
        <v/>
      </c>
      <c r="C94" s="7">
        <f>'1_GICS_Structure'!B94</f>
        <v/>
      </c>
      <c r="D94" s="22">
        <f>'5_Cascade_Engine'!N94</f>
        <v/>
      </c>
      <c r="E94" s="22">
        <f>'5_Cascade_Engine'!Y94</f>
        <v/>
      </c>
      <c r="F94" s="7">
        <f>'5_Cascade_Engine'!Z94</f>
        <v/>
      </c>
      <c r="G94" s="22">
        <f>'5_Cascade_Engine'!O94</f>
        <v/>
      </c>
      <c r="H94" s="22">
        <f>'5_Cascade_Engine'!AC94</f>
        <v/>
      </c>
      <c r="I94" s="7">
        <f>'5_Cascade_Engine'!AD94</f>
        <v/>
      </c>
    </row>
    <row r="95">
      <c r="A95" s="7">
        <f>'5_Cascade_Engine'!A95</f>
        <v/>
      </c>
      <c r="B95" s="7">
        <f>'5_Cascade_Engine'!B95</f>
        <v/>
      </c>
      <c r="C95" s="7">
        <f>'1_GICS_Structure'!B95</f>
        <v/>
      </c>
      <c r="D95" s="22">
        <f>'5_Cascade_Engine'!N95</f>
        <v/>
      </c>
      <c r="E95" s="22">
        <f>'5_Cascade_Engine'!Y95</f>
        <v/>
      </c>
      <c r="F95" s="7">
        <f>'5_Cascade_Engine'!Z95</f>
        <v/>
      </c>
      <c r="G95" s="22">
        <f>'5_Cascade_Engine'!O95</f>
        <v/>
      </c>
      <c r="H95" s="22">
        <f>'5_Cascade_Engine'!AC95</f>
        <v/>
      </c>
      <c r="I95" s="7">
        <f>'5_Cascade_Engine'!AD95</f>
        <v/>
      </c>
    </row>
    <row r="96">
      <c r="A96" s="7">
        <f>'5_Cascade_Engine'!A96</f>
        <v/>
      </c>
      <c r="B96" s="7">
        <f>'5_Cascade_Engine'!B96</f>
        <v/>
      </c>
      <c r="C96" s="7">
        <f>'1_GICS_Structure'!B96</f>
        <v/>
      </c>
      <c r="D96" s="22">
        <f>'5_Cascade_Engine'!N96</f>
        <v/>
      </c>
      <c r="E96" s="22">
        <f>'5_Cascade_Engine'!Y96</f>
        <v/>
      </c>
      <c r="F96" s="7">
        <f>'5_Cascade_Engine'!Z96</f>
        <v/>
      </c>
      <c r="G96" s="22">
        <f>'5_Cascade_Engine'!O96</f>
        <v/>
      </c>
      <c r="H96" s="22">
        <f>'5_Cascade_Engine'!AC96</f>
        <v/>
      </c>
      <c r="I96" s="7">
        <f>'5_Cascade_Engine'!AD96</f>
        <v/>
      </c>
    </row>
    <row r="97">
      <c r="A97" s="7">
        <f>'5_Cascade_Engine'!A97</f>
        <v/>
      </c>
      <c r="B97" s="7">
        <f>'5_Cascade_Engine'!B97</f>
        <v/>
      </c>
      <c r="C97" s="7">
        <f>'1_GICS_Structure'!B97</f>
        <v/>
      </c>
      <c r="D97" s="22">
        <f>'5_Cascade_Engine'!N97</f>
        <v/>
      </c>
      <c r="E97" s="22">
        <f>'5_Cascade_Engine'!Y97</f>
        <v/>
      </c>
      <c r="F97" s="7">
        <f>'5_Cascade_Engine'!Z97</f>
        <v/>
      </c>
      <c r="G97" s="22">
        <f>'5_Cascade_Engine'!O97</f>
        <v/>
      </c>
      <c r="H97" s="22">
        <f>'5_Cascade_Engine'!AC97</f>
        <v/>
      </c>
      <c r="I97" s="7">
        <f>'5_Cascade_Engine'!AD97</f>
        <v/>
      </c>
    </row>
    <row r="98">
      <c r="A98" s="7">
        <f>'5_Cascade_Engine'!A98</f>
        <v/>
      </c>
      <c r="B98" s="7">
        <f>'5_Cascade_Engine'!B98</f>
        <v/>
      </c>
      <c r="C98" s="7">
        <f>'1_GICS_Structure'!B98</f>
        <v/>
      </c>
      <c r="D98" s="22">
        <f>'5_Cascade_Engine'!N98</f>
        <v/>
      </c>
      <c r="E98" s="22">
        <f>'5_Cascade_Engine'!Y98</f>
        <v/>
      </c>
      <c r="F98" s="7">
        <f>'5_Cascade_Engine'!Z98</f>
        <v/>
      </c>
      <c r="G98" s="22">
        <f>'5_Cascade_Engine'!O98</f>
        <v/>
      </c>
      <c r="H98" s="22">
        <f>'5_Cascade_Engine'!AC98</f>
        <v/>
      </c>
      <c r="I98" s="7">
        <f>'5_Cascade_Engine'!AD98</f>
        <v/>
      </c>
    </row>
    <row r="99">
      <c r="A99" s="7">
        <f>'5_Cascade_Engine'!A99</f>
        <v/>
      </c>
      <c r="B99" s="7">
        <f>'5_Cascade_Engine'!B99</f>
        <v/>
      </c>
      <c r="C99" s="7">
        <f>'1_GICS_Structure'!B99</f>
        <v/>
      </c>
      <c r="D99" s="22">
        <f>'5_Cascade_Engine'!N99</f>
        <v/>
      </c>
      <c r="E99" s="22">
        <f>'5_Cascade_Engine'!Y99</f>
        <v/>
      </c>
      <c r="F99" s="7">
        <f>'5_Cascade_Engine'!Z99</f>
        <v/>
      </c>
      <c r="G99" s="22">
        <f>'5_Cascade_Engine'!O99</f>
        <v/>
      </c>
      <c r="H99" s="22">
        <f>'5_Cascade_Engine'!AC99</f>
        <v/>
      </c>
      <c r="I99" s="7">
        <f>'5_Cascade_Engine'!AD99</f>
        <v/>
      </c>
    </row>
    <row r="100">
      <c r="A100" s="7">
        <f>'5_Cascade_Engine'!A100</f>
        <v/>
      </c>
      <c r="B100" s="7">
        <f>'5_Cascade_Engine'!B100</f>
        <v/>
      </c>
      <c r="C100" s="7">
        <f>'1_GICS_Structure'!B100</f>
        <v/>
      </c>
      <c r="D100" s="22">
        <f>'5_Cascade_Engine'!N100</f>
        <v/>
      </c>
      <c r="E100" s="22">
        <f>'5_Cascade_Engine'!Y100</f>
        <v/>
      </c>
      <c r="F100" s="7">
        <f>'5_Cascade_Engine'!Z100</f>
        <v/>
      </c>
      <c r="G100" s="22">
        <f>'5_Cascade_Engine'!O100</f>
        <v/>
      </c>
      <c r="H100" s="22">
        <f>'5_Cascade_Engine'!AC100</f>
        <v/>
      </c>
      <c r="I100" s="7">
        <f>'5_Cascade_Engine'!AD100</f>
        <v/>
      </c>
    </row>
    <row r="101">
      <c r="A101" s="7">
        <f>'5_Cascade_Engine'!A101</f>
        <v/>
      </c>
      <c r="B101" s="7">
        <f>'5_Cascade_Engine'!B101</f>
        <v/>
      </c>
      <c r="C101" s="7">
        <f>'1_GICS_Structure'!B101</f>
        <v/>
      </c>
      <c r="D101" s="22">
        <f>'5_Cascade_Engine'!N101</f>
        <v/>
      </c>
      <c r="E101" s="22">
        <f>'5_Cascade_Engine'!Y101</f>
        <v/>
      </c>
      <c r="F101" s="7">
        <f>'5_Cascade_Engine'!Z101</f>
        <v/>
      </c>
      <c r="G101" s="22">
        <f>'5_Cascade_Engine'!O101</f>
        <v/>
      </c>
      <c r="H101" s="22">
        <f>'5_Cascade_Engine'!AC101</f>
        <v/>
      </c>
      <c r="I101" s="7">
        <f>'5_Cascade_Engine'!AD101</f>
        <v/>
      </c>
    </row>
    <row r="102">
      <c r="A102" s="7">
        <f>'5_Cascade_Engine'!A102</f>
        <v/>
      </c>
      <c r="B102" s="7">
        <f>'5_Cascade_Engine'!B102</f>
        <v/>
      </c>
      <c r="C102" s="7">
        <f>'1_GICS_Structure'!B102</f>
        <v/>
      </c>
      <c r="D102" s="22">
        <f>'5_Cascade_Engine'!N102</f>
        <v/>
      </c>
      <c r="E102" s="22">
        <f>'5_Cascade_Engine'!Y102</f>
        <v/>
      </c>
      <c r="F102" s="7">
        <f>'5_Cascade_Engine'!Z102</f>
        <v/>
      </c>
      <c r="G102" s="22">
        <f>'5_Cascade_Engine'!O102</f>
        <v/>
      </c>
      <c r="H102" s="22">
        <f>'5_Cascade_Engine'!AC102</f>
        <v/>
      </c>
      <c r="I102" s="7">
        <f>'5_Cascade_Engine'!AD102</f>
        <v/>
      </c>
    </row>
    <row r="103">
      <c r="A103" s="7">
        <f>'5_Cascade_Engine'!A103</f>
        <v/>
      </c>
      <c r="B103" s="7">
        <f>'5_Cascade_Engine'!B103</f>
        <v/>
      </c>
      <c r="C103" s="7">
        <f>'1_GICS_Structure'!B103</f>
        <v/>
      </c>
      <c r="D103" s="22">
        <f>'5_Cascade_Engine'!N103</f>
        <v/>
      </c>
      <c r="E103" s="22">
        <f>'5_Cascade_Engine'!Y103</f>
        <v/>
      </c>
      <c r="F103" s="7">
        <f>'5_Cascade_Engine'!Z103</f>
        <v/>
      </c>
      <c r="G103" s="22">
        <f>'5_Cascade_Engine'!O103</f>
        <v/>
      </c>
      <c r="H103" s="22">
        <f>'5_Cascade_Engine'!AC103</f>
        <v/>
      </c>
      <c r="I103" s="7">
        <f>'5_Cascade_Engine'!AD103</f>
        <v/>
      </c>
    </row>
    <row r="104">
      <c r="A104" s="7">
        <f>'5_Cascade_Engine'!A104</f>
        <v/>
      </c>
      <c r="B104" s="7">
        <f>'5_Cascade_Engine'!B104</f>
        <v/>
      </c>
      <c r="C104" s="7">
        <f>'1_GICS_Structure'!B104</f>
        <v/>
      </c>
      <c r="D104" s="22">
        <f>'5_Cascade_Engine'!N104</f>
        <v/>
      </c>
      <c r="E104" s="22">
        <f>'5_Cascade_Engine'!Y104</f>
        <v/>
      </c>
      <c r="F104" s="7">
        <f>'5_Cascade_Engine'!Z104</f>
        <v/>
      </c>
      <c r="G104" s="22">
        <f>'5_Cascade_Engine'!O104</f>
        <v/>
      </c>
      <c r="H104" s="22">
        <f>'5_Cascade_Engine'!AC104</f>
        <v/>
      </c>
      <c r="I104" s="7">
        <f>'5_Cascade_Engine'!AD104</f>
        <v/>
      </c>
    </row>
    <row r="105">
      <c r="A105" s="7">
        <f>'5_Cascade_Engine'!A105</f>
        <v/>
      </c>
      <c r="B105" s="7">
        <f>'5_Cascade_Engine'!B105</f>
        <v/>
      </c>
      <c r="C105" s="7">
        <f>'1_GICS_Structure'!B105</f>
        <v/>
      </c>
      <c r="D105" s="22">
        <f>'5_Cascade_Engine'!N105</f>
        <v/>
      </c>
      <c r="E105" s="22">
        <f>'5_Cascade_Engine'!Y105</f>
        <v/>
      </c>
      <c r="F105" s="7">
        <f>'5_Cascade_Engine'!Z105</f>
        <v/>
      </c>
      <c r="G105" s="22">
        <f>'5_Cascade_Engine'!O105</f>
        <v/>
      </c>
      <c r="H105" s="22">
        <f>'5_Cascade_Engine'!AC105</f>
        <v/>
      </c>
      <c r="I105" s="7">
        <f>'5_Cascade_Engine'!AD105</f>
        <v/>
      </c>
    </row>
    <row r="106">
      <c r="A106" s="7">
        <f>'5_Cascade_Engine'!A106</f>
        <v/>
      </c>
      <c r="B106" s="7">
        <f>'5_Cascade_Engine'!B106</f>
        <v/>
      </c>
      <c r="C106" s="7">
        <f>'1_GICS_Structure'!B106</f>
        <v/>
      </c>
      <c r="D106" s="22">
        <f>'5_Cascade_Engine'!N106</f>
        <v/>
      </c>
      <c r="E106" s="22">
        <f>'5_Cascade_Engine'!Y106</f>
        <v/>
      </c>
      <c r="F106" s="7">
        <f>'5_Cascade_Engine'!Z106</f>
        <v/>
      </c>
      <c r="G106" s="22">
        <f>'5_Cascade_Engine'!O106</f>
        <v/>
      </c>
      <c r="H106" s="22">
        <f>'5_Cascade_Engine'!AC106</f>
        <v/>
      </c>
      <c r="I106" s="7">
        <f>'5_Cascade_Engine'!AD106</f>
        <v/>
      </c>
    </row>
    <row r="107">
      <c r="A107" s="7">
        <f>'5_Cascade_Engine'!A107</f>
        <v/>
      </c>
      <c r="B107" s="7">
        <f>'5_Cascade_Engine'!B107</f>
        <v/>
      </c>
      <c r="C107" s="7">
        <f>'1_GICS_Structure'!B107</f>
        <v/>
      </c>
      <c r="D107" s="22">
        <f>'5_Cascade_Engine'!N107</f>
        <v/>
      </c>
      <c r="E107" s="22">
        <f>'5_Cascade_Engine'!Y107</f>
        <v/>
      </c>
      <c r="F107" s="7">
        <f>'5_Cascade_Engine'!Z107</f>
        <v/>
      </c>
      <c r="G107" s="22">
        <f>'5_Cascade_Engine'!O107</f>
        <v/>
      </c>
      <c r="H107" s="22">
        <f>'5_Cascade_Engine'!AC107</f>
        <v/>
      </c>
      <c r="I107" s="7">
        <f>'5_Cascade_Engine'!AD107</f>
        <v/>
      </c>
    </row>
    <row r="108">
      <c r="A108" s="7">
        <f>'5_Cascade_Engine'!A108</f>
        <v/>
      </c>
      <c r="B108" s="7">
        <f>'5_Cascade_Engine'!B108</f>
        <v/>
      </c>
      <c r="C108" s="7">
        <f>'1_GICS_Structure'!B108</f>
        <v/>
      </c>
      <c r="D108" s="22">
        <f>'5_Cascade_Engine'!N108</f>
        <v/>
      </c>
      <c r="E108" s="22">
        <f>'5_Cascade_Engine'!Y108</f>
        <v/>
      </c>
      <c r="F108" s="7">
        <f>'5_Cascade_Engine'!Z108</f>
        <v/>
      </c>
      <c r="G108" s="22">
        <f>'5_Cascade_Engine'!O108</f>
        <v/>
      </c>
      <c r="H108" s="22">
        <f>'5_Cascade_Engine'!AC108</f>
        <v/>
      </c>
      <c r="I108" s="7">
        <f>'5_Cascade_Engine'!AD108</f>
        <v/>
      </c>
    </row>
    <row r="109">
      <c r="A109" s="7">
        <f>'5_Cascade_Engine'!A109</f>
        <v/>
      </c>
      <c r="B109" s="7">
        <f>'5_Cascade_Engine'!B109</f>
        <v/>
      </c>
      <c r="C109" s="7">
        <f>'1_GICS_Structure'!B109</f>
        <v/>
      </c>
      <c r="D109" s="22">
        <f>'5_Cascade_Engine'!N109</f>
        <v/>
      </c>
      <c r="E109" s="22">
        <f>'5_Cascade_Engine'!Y109</f>
        <v/>
      </c>
      <c r="F109" s="7">
        <f>'5_Cascade_Engine'!Z109</f>
        <v/>
      </c>
      <c r="G109" s="22">
        <f>'5_Cascade_Engine'!O109</f>
        <v/>
      </c>
      <c r="H109" s="22">
        <f>'5_Cascade_Engine'!AC109</f>
        <v/>
      </c>
      <c r="I109" s="7">
        <f>'5_Cascade_Engine'!AD109</f>
        <v/>
      </c>
    </row>
    <row r="110">
      <c r="A110" s="7">
        <f>'5_Cascade_Engine'!A110</f>
        <v/>
      </c>
      <c r="B110" s="7">
        <f>'5_Cascade_Engine'!B110</f>
        <v/>
      </c>
      <c r="C110" s="7">
        <f>'1_GICS_Structure'!B110</f>
        <v/>
      </c>
      <c r="D110" s="22">
        <f>'5_Cascade_Engine'!N110</f>
        <v/>
      </c>
      <c r="E110" s="22">
        <f>'5_Cascade_Engine'!Y110</f>
        <v/>
      </c>
      <c r="F110" s="7">
        <f>'5_Cascade_Engine'!Z110</f>
        <v/>
      </c>
      <c r="G110" s="22">
        <f>'5_Cascade_Engine'!O110</f>
        <v/>
      </c>
      <c r="H110" s="22">
        <f>'5_Cascade_Engine'!AC110</f>
        <v/>
      </c>
      <c r="I110" s="7">
        <f>'5_Cascade_Engine'!AD110</f>
        <v/>
      </c>
    </row>
    <row r="111">
      <c r="A111" s="7">
        <f>'5_Cascade_Engine'!A111</f>
        <v/>
      </c>
      <c r="B111" s="7">
        <f>'5_Cascade_Engine'!B111</f>
        <v/>
      </c>
      <c r="C111" s="7">
        <f>'1_GICS_Structure'!B111</f>
        <v/>
      </c>
      <c r="D111" s="22">
        <f>'5_Cascade_Engine'!N111</f>
        <v/>
      </c>
      <c r="E111" s="22">
        <f>'5_Cascade_Engine'!Y111</f>
        <v/>
      </c>
      <c r="F111" s="7">
        <f>'5_Cascade_Engine'!Z111</f>
        <v/>
      </c>
      <c r="G111" s="22">
        <f>'5_Cascade_Engine'!O111</f>
        <v/>
      </c>
      <c r="H111" s="22">
        <f>'5_Cascade_Engine'!AC111</f>
        <v/>
      </c>
      <c r="I111" s="7">
        <f>'5_Cascade_Engine'!AD111</f>
        <v/>
      </c>
    </row>
    <row r="112">
      <c r="A112" s="7">
        <f>'5_Cascade_Engine'!A112</f>
        <v/>
      </c>
      <c r="B112" s="7">
        <f>'5_Cascade_Engine'!B112</f>
        <v/>
      </c>
      <c r="C112" s="7">
        <f>'1_GICS_Structure'!B112</f>
        <v/>
      </c>
      <c r="D112" s="22">
        <f>'5_Cascade_Engine'!N112</f>
        <v/>
      </c>
      <c r="E112" s="22">
        <f>'5_Cascade_Engine'!Y112</f>
        <v/>
      </c>
      <c r="F112" s="7">
        <f>'5_Cascade_Engine'!Z112</f>
        <v/>
      </c>
      <c r="G112" s="22">
        <f>'5_Cascade_Engine'!O112</f>
        <v/>
      </c>
      <c r="H112" s="22">
        <f>'5_Cascade_Engine'!AC112</f>
        <v/>
      </c>
      <c r="I112" s="7">
        <f>'5_Cascade_Engine'!AD112</f>
        <v/>
      </c>
    </row>
    <row r="113">
      <c r="A113" s="7">
        <f>'5_Cascade_Engine'!A113</f>
        <v/>
      </c>
      <c r="B113" s="7">
        <f>'5_Cascade_Engine'!B113</f>
        <v/>
      </c>
      <c r="C113" s="7">
        <f>'1_GICS_Structure'!B113</f>
        <v/>
      </c>
      <c r="D113" s="22">
        <f>'5_Cascade_Engine'!N113</f>
        <v/>
      </c>
      <c r="E113" s="22">
        <f>'5_Cascade_Engine'!Y113</f>
        <v/>
      </c>
      <c r="F113" s="7">
        <f>'5_Cascade_Engine'!Z113</f>
        <v/>
      </c>
      <c r="G113" s="22">
        <f>'5_Cascade_Engine'!O113</f>
        <v/>
      </c>
      <c r="H113" s="22">
        <f>'5_Cascade_Engine'!AC113</f>
        <v/>
      </c>
      <c r="I113" s="7">
        <f>'5_Cascade_Engine'!AD113</f>
        <v/>
      </c>
    </row>
    <row r="114">
      <c r="A114" s="7">
        <f>'5_Cascade_Engine'!A114</f>
        <v/>
      </c>
      <c r="B114" s="7">
        <f>'5_Cascade_Engine'!B114</f>
        <v/>
      </c>
      <c r="C114" s="7">
        <f>'1_GICS_Structure'!B114</f>
        <v/>
      </c>
      <c r="D114" s="22">
        <f>'5_Cascade_Engine'!N114</f>
        <v/>
      </c>
      <c r="E114" s="22">
        <f>'5_Cascade_Engine'!Y114</f>
        <v/>
      </c>
      <c r="F114" s="7">
        <f>'5_Cascade_Engine'!Z114</f>
        <v/>
      </c>
      <c r="G114" s="22">
        <f>'5_Cascade_Engine'!O114</f>
        <v/>
      </c>
      <c r="H114" s="22">
        <f>'5_Cascade_Engine'!AC114</f>
        <v/>
      </c>
      <c r="I114" s="7">
        <f>'5_Cascade_Engine'!AD114</f>
        <v/>
      </c>
    </row>
    <row r="115">
      <c r="A115" s="7">
        <f>'5_Cascade_Engine'!A115</f>
        <v/>
      </c>
      <c r="B115" s="7">
        <f>'5_Cascade_Engine'!B115</f>
        <v/>
      </c>
      <c r="C115" s="7">
        <f>'1_GICS_Structure'!B115</f>
        <v/>
      </c>
      <c r="D115" s="22">
        <f>'5_Cascade_Engine'!N115</f>
        <v/>
      </c>
      <c r="E115" s="22">
        <f>'5_Cascade_Engine'!Y115</f>
        <v/>
      </c>
      <c r="F115" s="7">
        <f>'5_Cascade_Engine'!Z115</f>
        <v/>
      </c>
      <c r="G115" s="22">
        <f>'5_Cascade_Engine'!O115</f>
        <v/>
      </c>
      <c r="H115" s="22">
        <f>'5_Cascade_Engine'!AC115</f>
        <v/>
      </c>
      <c r="I115" s="7">
        <f>'5_Cascade_Engine'!AD115</f>
        <v/>
      </c>
    </row>
    <row r="116">
      <c r="A116" s="7">
        <f>'5_Cascade_Engine'!A116</f>
        <v/>
      </c>
      <c r="B116" s="7">
        <f>'5_Cascade_Engine'!B116</f>
        <v/>
      </c>
      <c r="C116" s="7">
        <f>'1_GICS_Structure'!B116</f>
        <v/>
      </c>
      <c r="D116" s="22">
        <f>'5_Cascade_Engine'!N116</f>
        <v/>
      </c>
      <c r="E116" s="22">
        <f>'5_Cascade_Engine'!Y116</f>
        <v/>
      </c>
      <c r="F116" s="7">
        <f>'5_Cascade_Engine'!Z116</f>
        <v/>
      </c>
      <c r="G116" s="22">
        <f>'5_Cascade_Engine'!O116</f>
        <v/>
      </c>
      <c r="H116" s="22">
        <f>'5_Cascade_Engine'!AC116</f>
        <v/>
      </c>
      <c r="I116" s="7">
        <f>'5_Cascade_Engine'!AD116</f>
        <v/>
      </c>
    </row>
    <row r="117">
      <c r="A117" s="7">
        <f>'5_Cascade_Engine'!A117</f>
        <v/>
      </c>
      <c r="B117" s="7">
        <f>'5_Cascade_Engine'!B117</f>
        <v/>
      </c>
      <c r="C117" s="7">
        <f>'1_GICS_Structure'!B117</f>
        <v/>
      </c>
      <c r="D117" s="22">
        <f>'5_Cascade_Engine'!N117</f>
        <v/>
      </c>
      <c r="E117" s="22">
        <f>'5_Cascade_Engine'!Y117</f>
        <v/>
      </c>
      <c r="F117" s="7">
        <f>'5_Cascade_Engine'!Z117</f>
        <v/>
      </c>
      <c r="G117" s="22">
        <f>'5_Cascade_Engine'!O117</f>
        <v/>
      </c>
      <c r="H117" s="22">
        <f>'5_Cascade_Engine'!AC117</f>
        <v/>
      </c>
      <c r="I117" s="7">
        <f>'5_Cascade_Engine'!AD117</f>
        <v/>
      </c>
    </row>
    <row r="118">
      <c r="A118" s="7">
        <f>'5_Cascade_Engine'!A118</f>
        <v/>
      </c>
      <c r="B118" s="7">
        <f>'5_Cascade_Engine'!B118</f>
        <v/>
      </c>
      <c r="C118" s="7">
        <f>'1_GICS_Structure'!B118</f>
        <v/>
      </c>
      <c r="D118" s="22">
        <f>'5_Cascade_Engine'!N118</f>
        <v/>
      </c>
      <c r="E118" s="22">
        <f>'5_Cascade_Engine'!Y118</f>
        <v/>
      </c>
      <c r="F118" s="7">
        <f>'5_Cascade_Engine'!Z118</f>
        <v/>
      </c>
      <c r="G118" s="22">
        <f>'5_Cascade_Engine'!O118</f>
        <v/>
      </c>
      <c r="H118" s="22">
        <f>'5_Cascade_Engine'!AC118</f>
        <v/>
      </c>
      <c r="I118" s="7">
        <f>'5_Cascade_Engine'!AD118</f>
        <v/>
      </c>
    </row>
    <row r="119">
      <c r="A119" s="7">
        <f>'5_Cascade_Engine'!A119</f>
        <v/>
      </c>
      <c r="B119" s="7">
        <f>'5_Cascade_Engine'!B119</f>
        <v/>
      </c>
      <c r="C119" s="7">
        <f>'1_GICS_Structure'!B119</f>
        <v/>
      </c>
      <c r="D119" s="22">
        <f>'5_Cascade_Engine'!N119</f>
        <v/>
      </c>
      <c r="E119" s="22">
        <f>'5_Cascade_Engine'!Y119</f>
        <v/>
      </c>
      <c r="F119" s="7">
        <f>'5_Cascade_Engine'!Z119</f>
        <v/>
      </c>
      <c r="G119" s="22">
        <f>'5_Cascade_Engine'!O119</f>
        <v/>
      </c>
      <c r="H119" s="22">
        <f>'5_Cascade_Engine'!AC119</f>
        <v/>
      </c>
      <c r="I119" s="7">
        <f>'5_Cascade_Engine'!AD119</f>
        <v/>
      </c>
    </row>
    <row r="120">
      <c r="A120" s="7">
        <f>'5_Cascade_Engine'!A120</f>
        <v/>
      </c>
      <c r="B120" s="7">
        <f>'5_Cascade_Engine'!B120</f>
        <v/>
      </c>
      <c r="C120" s="7">
        <f>'1_GICS_Structure'!B120</f>
        <v/>
      </c>
      <c r="D120" s="22">
        <f>'5_Cascade_Engine'!N120</f>
        <v/>
      </c>
      <c r="E120" s="22">
        <f>'5_Cascade_Engine'!Y120</f>
        <v/>
      </c>
      <c r="F120" s="7">
        <f>'5_Cascade_Engine'!Z120</f>
        <v/>
      </c>
      <c r="G120" s="22">
        <f>'5_Cascade_Engine'!O120</f>
        <v/>
      </c>
      <c r="H120" s="22">
        <f>'5_Cascade_Engine'!AC120</f>
        <v/>
      </c>
      <c r="I120" s="7">
        <f>'5_Cascade_Engine'!AD120</f>
        <v/>
      </c>
    </row>
    <row r="121">
      <c r="A121" s="7">
        <f>'5_Cascade_Engine'!A121</f>
        <v/>
      </c>
      <c r="B121" s="7">
        <f>'5_Cascade_Engine'!B121</f>
        <v/>
      </c>
      <c r="C121" s="7">
        <f>'1_GICS_Structure'!B121</f>
        <v/>
      </c>
      <c r="D121" s="22">
        <f>'5_Cascade_Engine'!N121</f>
        <v/>
      </c>
      <c r="E121" s="22">
        <f>'5_Cascade_Engine'!Y121</f>
        <v/>
      </c>
      <c r="F121" s="7">
        <f>'5_Cascade_Engine'!Z121</f>
        <v/>
      </c>
      <c r="G121" s="22">
        <f>'5_Cascade_Engine'!O121</f>
        <v/>
      </c>
      <c r="H121" s="22">
        <f>'5_Cascade_Engine'!AC121</f>
        <v/>
      </c>
      <c r="I121" s="7">
        <f>'5_Cascade_Engine'!AD121</f>
        <v/>
      </c>
    </row>
    <row r="122">
      <c r="A122" s="7">
        <f>'5_Cascade_Engine'!A122</f>
        <v/>
      </c>
      <c r="B122" s="7">
        <f>'5_Cascade_Engine'!B122</f>
        <v/>
      </c>
      <c r="C122" s="7">
        <f>'1_GICS_Structure'!B122</f>
        <v/>
      </c>
      <c r="D122" s="22">
        <f>'5_Cascade_Engine'!N122</f>
        <v/>
      </c>
      <c r="E122" s="22">
        <f>'5_Cascade_Engine'!Y122</f>
        <v/>
      </c>
      <c r="F122" s="7">
        <f>'5_Cascade_Engine'!Z122</f>
        <v/>
      </c>
      <c r="G122" s="22">
        <f>'5_Cascade_Engine'!O122</f>
        <v/>
      </c>
      <c r="H122" s="22">
        <f>'5_Cascade_Engine'!AC122</f>
        <v/>
      </c>
      <c r="I122" s="7">
        <f>'5_Cascade_Engine'!AD122</f>
        <v/>
      </c>
    </row>
    <row r="123">
      <c r="A123" s="7">
        <f>'5_Cascade_Engine'!A123</f>
        <v/>
      </c>
      <c r="B123" s="7">
        <f>'5_Cascade_Engine'!B123</f>
        <v/>
      </c>
      <c r="C123" s="7">
        <f>'1_GICS_Structure'!B123</f>
        <v/>
      </c>
      <c r="D123" s="22">
        <f>'5_Cascade_Engine'!N123</f>
        <v/>
      </c>
      <c r="E123" s="22">
        <f>'5_Cascade_Engine'!Y123</f>
        <v/>
      </c>
      <c r="F123" s="7">
        <f>'5_Cascade_Engine'!Z123</f>
        <v/>
      </c>
      <c r="G123" s="22">
        <f>'5_Cascade_Engine'!O123</f>
        <v/>
      </c>
      <c r="H123" s="22">
        <f>'5_Cascade_Engine'!AC123</f>
        <v/>
      </c>
      <c r="I123" s="7">
        <f>'5_Cascade_Engine'!AD123</f>
        <v/>
      </c>
    </row>
    <row r="124">
      <c r="A124" s="7">
        <f>'5_Cascade_Engine'!A124</f>
        <v/>
      </c>
      <c r="B124" s="7">
        <f>'5_Cascade_Engine'!B124</f>
        <v/>
      </c>
      <c r="C124" s="7">
        <f>'1_GICS_Structure'!B124</f>
        <v/>
      </c>
      <c r="D124" s="22">
        <f>'5_Cascade_Engine'!N124</f>
        <v/>
      </c>
      <c r="E124" s="22">
        <f>'5_Cascade_Engine'!Y124</f>
        <v/>
      </c>
      <c r="F124" s="7">
        <f>'5_Cascade_Engine'!Z124</f>
        <v/>
      </c>
      <c r="G124" s="22">
        <f>'5_Cascade_Engine'!O124</f>
        <v/>
      </c>
      <c r="H124" s="22">
        <f>'5_Cascade_Engine'!AC124</f>
        <v/>
      </c>
      <c r="I124" s="7">
        <f>'5_Cascade_Engine'!AD124</f>
        <v/>
      </c>
    </row>
    <row r="125">
      <c r="A125" s="7">
        <f>'5_Cascade_Engine'!A125</f>
        <v/>
      </c>
      <c r="B125" s="7">
        <f>'5_Cascade_Engine'!B125</f>
        <v/>
      </c>
      <c r="C125" s="7">
        <f>'1_GICS_Structure'!B125</f>
        <v/>
      </c>
      <c r="D125" s="22">
        <f>'5_Cascade_Engine'!N125</f>
        <v/>
      </c>
      <c r="E125" s="22">
        <f>'5_Cascade_Engine'!Y125</f>
        <v/>
      </c>
      <c r="F125" s="7">
        <f>'5_Cascade_Engine'!Z125</f>
        <v/>
      </c>
      <c r="G125" s="22">
        <f>'5_Cascade_Engine'!O125</f>
        <v/>
      </c>
      <c r="H125" s="22">
        <f>'5_Cascade_Engine'!AC125</f>
        <v/>
      </c>
      <c r="I125" s="7">
        <f>'5_Cascade_Engine'!AD125</f>
        <v/>
      </c>
    </row>
    <row r="126">
      <c r="A126" s="7">
        <f>'5_Cascade_Engine'!A126</f>
        <v/>
      </c>
      <c r="B126" s="7">
        <f>'5_Cascade_Engine'!B126</f>
        <v/>
      </c>
      <c r="C126" s="7">
        <f>'1_GICS_Structure'!B126</f>
        <v/>
      </c>
      <c r="D126" s="22">
        <f>'5_Cascade_Engine'!N126</f>
        <v/>
      </c>
      <c r="E126" s="22">
        <f>'5_Cascade_Engine'!Y126</f>
        <v/>
      </c>
      <c r="F126" s="7">
        <f>'5_Cascade_Engine'!Z126</f>
        <v/>
      </c>
      <c r="G126" s="22">
        <f>'5_Cascade_Engine'!O126</f>
        <v/>
      </c>
      <c r="H126" s="22">
        <f>'5_Cascade_Engine'!AC126</f>
        <v/>
      </c>
      <c r="I126" s="7">
        <f>'5_Cascade_Engine'!AD126</f>
        <v/>
      </c>
    </row>
    <row r="127">
      <c r="A127" s="7">
        <f>'5_Cascade_Engine'!A127</f>
        <v/>
      </c>
      <c r="B127" s="7">
        <f>'5_Cascade_Engine'!B127</f>
        <v/>
      </c>
      <c r="C127" s="7">
        <f>'1_GICS_Structure'!B127</f>
        <v/>
      </c>
      <c r="D127" s="22">
        <f>'5_Cascade_Engine'!N127</f>
        <v/>
      </c>
      <c r="E127" s="22">
        <f>'5_Cascade_Engine'!Y127</f>
        <v/>
      </c>
      <c r="F127" s="7">
        <f>'5_Cascade_Engine'!Z127</f>
        <v/>
      </c>
      <c r="G127" s="22">
        <f>'5_Cascade_Engine'!O127</f>
        <v/>
      </c>
      <c r="H127" s="22">
        <f>'5_Cascade_Engine'!AC127</f>
        <v/>
      </c>
      <c r="I127" s="7">
        <f>'5_Cascade_Engine'!AD127</f>
        <v/>
      </c>
    </row>
    <row r="128">
      <c r="A128" s="7">
        <f>'5_Cascade_Engine'!A128</f>
        <v/>
      </c>
      <c r="B128" s="7">
        <f>'5_Cascade_Engine'!B128</f>
        <v/>
      </c>
      <c r="C128" s="7">
        <f>'1_GICS_Structure'!B128</f>
        <v/>
      </c>
      <c r="D128" s="22">
        <f>'5_Cascade_Engine'!N128</f>
        <v/>
      </c>
      <c r="E128" s="22">
        <f>'5_Cascade_Engine'!Y128</f>
        <v/>
      </c>
      <c r="F128" s="7">
        <f>'5_Cascade_Engine'!Z128</f>
        <v/>
      </c>
      <c r="G128" s="22">
        <f>'5_Cascade_Engine'!O128</f>
        <v/>
      </c>
      <c r="H128" s="22">
        <f>'5_Cascade_Engine'!AC128</f>
        <v/>
      </c>
      <c r="I128" s="7">
        <f>'5_Cascade_Engine'!AD128</f>
        <v/>
      </c>
    </row>
    <row r="129">
      <c r="A129" s="7">
        <f>'5_Cascade_Engine'!A129</f>
        <v/>
      </c>
      <c r="B129" s="7">
        <f>'5_Cascade_Engine'!B129</f>
        <v/>
      </c>
      <c r="C129" s="7">
        <f>'1_GICS_Structure'!B129</f>
        <v/>
      </c>
      <c r="D129" s="22">
        <f>'5_Cascade_Engine'!N129</f>
        <v/>
      </c>
      <c r="E129" s="22">
        <f>'5_Cascade_Engine'!Y129</f>
        <v/>
      </c>
      <c r="F129" s="7">
        <f>'5_Cascade_Engine'!Z129</f>
        <v/>
      </c>
      <c r="G129" s="22">
        <f>'5_Cascade_Engine'!O129</f>
        <v/>
      </c>
      <c r="H129" s="22">
        <f>'5_Cascade_Engine'!AC129</f>
        <v/>
      </c>
      <c r="I129" s="7">
        <f>'5_Cascade_Engine'!AD129</f>
        <v/>
      </c>
    </row>
    <row r="130">
      <c r="A130" s="7">
        <f>'5_Cascade_Engine'!A130</f>
        <v/>
      </c>
      <c r="B130" s="7">
        <f>'5_Cascade_Engine'!B130</f>
        <v/>
      </c>
      <c r="C130" s="7">
        <f>'1_GICS_Structure'!B130</f>
        <v/>
      </c>
      <c r="D130" s="22">
        <f>'5_Cascade_Engine'!N130</f>
        <v/>
      </c>
      <c r="E130" s="22">
        <f>'5_Cascade_Engine'!Y130</f>
        <v/>
      </c>
      <c r="F130" s="7">
        <f>'5_Cascade_Engine'!Z130</f>
        <v/>
      </c>
      <c r="G130" s="22">
        <f>'5_Cascade_Engine'!O130</f>
        <v/>
      </c>
      <c r="H130" s="22">
        <f>'5_Cascade_Engine'!AC130</f>
        <v/>
      </c>
      <c r="I130" s="7">
        <f>'5_Cascade_Engine'!AD130</f>
        <v/>
      </c>
    </row>
    <row r="131">
      <c r="A131" s="7">
        <f>'5_Cascade_Engine'!A131</f>
        <v/>
      </c>
      <c r="B131" s="7">
        <f>'5_Cascade_Engine'!B131</f>
        <v/>
      </c>
      <c r="C131" s="7">
        <f>'1_GICS_Structure'!B131</f>
        <v/>
      </c>
      <c r="D131" s="22">
        <f>'5_Cascade_Engine'!N131</f>
        <v/>
      </c>
      <c r="E131" s="22">
        <f>'5_Cascade_Engine'!Y131</f>
        <v/>
      </c>
      <c r="F131" s="7">
        <f>'5_Cascade_Engine'!Z131</f>
        <v/>
      </c>
      <c r="G131" s="22">
        <f>'5_Cascade_Engine'!O131</f>
        <v/>
      </c>
      <c r="H131" s="22">
        <f>'5_Cascade_Engine'!AC131</f>
        <v/>
      </c>
      <c r="I131" s="7">
        <f>'5_Cascade_Engine'!AD131</f>
        <v/>
      </c>
    </row>
    <row r="132">
      <c r="A132" s="7">
        <f>'5_Cascade_Engine'!A132</f>
        <v/>
      </c>
      <c r="B132" s="7">
        <f>'5_Cascade_Engine'!B132</f>
        <v/>
      </c>
      <c r="C132" s="7">
        <f>'1_GICS_Structure'!B132</f>
        <v/>
      </c>
      <c r="D132" s="22">
        <f>'5_Cascade_Engine'!N132</f>
        <v/>
      </c>
      <c r="E132" s="22">
        <f>'5_Cascade_Engine'!Y132</f>
        <v/>
      </c>
      <c r="F132" s="7">
        <f>'5_Cascade_Engine'!Z132</f>
        <v/>
      </c>
      <c r="G132" s="22">
        <f>'5_Cascade_Engine'!O132</f>
        <v/>
      </c>
      <c r="H132" s="22">
        <f>'5_Cascade_Engine'!AC132</f>
        <v/>
      </c>
      <c r="I132" s="7">
        <f>'5_Cascade_Engine'!AD132</f>
        <v/>
      </c>
    </row>
    <row r="133">
      <c r="A133" s="7">
        <f>'5_Cascade_Engine'!A133</f>
        <v/>
      </c>
      <c r="B133" s="7">
        <f>'5_Cascade_Engine'!B133</f>
        <v/>
      </c>
      <c r="C133" s="7">
        <f>'1_GICS_Structure'!B133</f>
        <v/>
      </c>
      <c r="D133" s="22">
        <f>'5_Cascade_Engine'!N133</f>
        <v/>
      </c>
      <c r="E133" s="22">
        <f>'5_Cascade_Engine'!Y133</f>
        <v/>
      </c>
      <c r="F133" s="7">
        <f>'5_Cascade_Engine'!Z133</f>
        <v/>
      </c>
      <c r="G133" s="22">
        <f>'5_Cascade_Engine'!O133</f>
        <v/>
      </c>
      <c r="H133" s="22">
        <f>'5_Cascade_Engine'!AC133</f>
        <v/>
      </c>
      <c r="I133" s="7">
        <f>'5_Cascade_Engine'!AD133</f>
        <v/>
      </c>
    </row>
    <row r="134">
      <c r="A134" s="7">
        <f>'5_Cascade_Engine'!A134</f>
        <v/>
      </c>
      <c r="B134" s="7">
        <f>'5_Cascade_Engine'!B134</f>
        <v/>
      </c>
      <c r="C134" s="7">
        <f>'1_GICS_Structure'!B134</f>
        <v/>
      </c>
      <c r="D134" s="22">
        <f>'5_Cascade_Engine'!N134</f>
        <v/>
      </c>
      <c r="E134" s="22">
        <f>'5_Cascade_Engine'!Y134</f>
        <v/>
      </c>
      <c r="F134" s="7">
        <f>'5_Cascade_Engine'!Z134</f>
        <v/>
      </c>
      <c r="G134" s="22">
        <f>'5_Cascade_Engine'!O134</f>
        <v/>
      </c>
      <c r="H134" s="22">
        <f>'5_Cascade_Engine'!AC134</f>
        <v/>
      </c>
      <c r="I134" s="7">
        <f>'5_Cascade_Engine'!AD134</f>
        <v/>
      </c>
    </row>
    <row r="135">
      <c r="A135" s="7">
        <f>'5_Cascade_Engine'!A135</f>
        <v/>
      </c>
      <c r="B135" s="7">
        <f>'5_Cascade_Engine'!B135</f>
        <v/>
      </c>
      <c r="C135" s="7">
        <f>'1_GICS_Structure'!B135</f>
        <v/>
      </c>
      <c r="D135" s="22">
        <f>'5_Cascade_Engine'!N135</f>
        <v/>
      </c>
      <c r="E135" s="22">
        <f>'5_Cascade_Engine'!Y135</f>
        <v/>
      </c>
      <c r="F135" s="7">
        <f>'5_Cascade_Engine'!Z135</f>
        <v/>
      </c>
      <c r="G135" s="22">
        <f>'5_Cascade_Engine'!O135</f>
        <v/>
      </c>
      <c r="H135" s="22">
        <f>'5_Cascade_Engine'!AC135</f>
        <v/>
      </c>
      <c r="I135" s="7">
        <f>'5_Cascade_Engine'!AD135</f>
        <v/>
      </c>
    </row>
    <row r="136">
      <c r="A136" s="7">
        <f>'5_Cascade_Engine'!A136</f>
        <v/>
      </c>
      <c r="B136" s="7">
        <f>'5_Cascade_Engine'!B136</f>
        <v/>
      </c>
      <c r="C136" s="7">
        <f>'1_GICS_Structure'!B136</f>
        <v/>
      </c>
      <c r="D136" s="22">
        <f>'5_Cascade_Engine'!N136</f>
        <v/>
      </c>
      <c r="E136" s="22">
        <f>'5_Cascade_Engine'!Y136</f>
        <v/>
      </c>
      <c r="F136" s="7">
        <f>'5_Cascade_Engine'!Z136</f>
        <v/>
      </c>
      <c r="G136" s="22">
        <f>'5_Cascade_Engine'!O136</f>
        <v/>
      </c>
      <c r="H136" s="22">
        <f>'5_Cascade_Engine'!AC136</f>
        <v/>
      </c>
      <c r="I136" s="7">
        <f>'5_Cascade_Engine'!AD136</f>
        <v/>
      </c>
    </row>
    <row r="137">
      <c r="A137" s="7">
        <f>'5_Cascade_Engine'!A137</f>
        <v/>
      </c>
      <c r="B137" s="7">
        <f>'5_Cascade_Engine'!B137</f>
        <v/>
      </c>
      <c r="C137" s="7">
        <f>'1_GICS_Structure'!B137</f>
        <v/>
      </c>
      <c r="D137" s="22">
        <f>'5_Cascade_Engine'!N137</f>
        <v/>
      </c>
      <c r="E137" s="22">
        <f>'5_Cascade_Engine'!Y137</f>
        <v/>
      </c>
      <c r="F137" s="7">
        <f>'5_Cascade_Engine'!Z137</f>
        <v/>
      </c>
      <c r="G137" s="22">
        <f>'5_Cascade_Engine'!O137</f>
        <v/>
      </c>
      <c r="H137" s="22">
        <f>'5_Cascade_Engine'!AC137</f>
        <v/>
      </c>
      <c r="I137" s="7">
        <f>'5_Cascade_Engine'!AD137</f>
        <v/>
      </c>
    </row>
    <row r="138">
      <c r="A138" s="7">
        <f>'5_Cascade_Engine'!A138</f>
        <v/>
      </c>
      <c r="B138" s="7">
        <f>'5_Cascade_Engine'!B138</f>
        <v/>
      </c>
      <c r="C138" s="7">
        <f>'1_GICS_Structure'!B138</f>
        <v/>
      </c>
      <c r="D138" s="22">
        <f>'5_Cascade_Engine'!N138</f>
        <v/>
      </c>
      <c r="E138" s="22">
        <f>'5_Cascade_Engine'!Y138</f>
        <v/>
      </c>
      <c r="F138" s="7">
        <f>'5_Cascade_Engine'!Z138</f>
        <v/>
      </c>
      <c r="G138" s="22">
        <f>'5_Cascade_Engine'!O138</f>
        <v/>
      </c>
      <c r="H138" s="22">
        <f>'5_Cascade_Engine'!AC138</f>
        <v/>
      </c>
      <c r="I138" s="7">
        <f>'5_Cascade_Engine'!AD138</f>
        <v/>
      </c>
    </row>
    <row r="139">
      <c r="A139" s="7">
        <f>'5_Cascade_Engine'!A139</f>
        <v/>
      </c>
      <c r="B139" s="7">
        <f>'5_Cascade_Engine'!B139</f>
        <v/>
      </c>
      <c r="C139" s="7">
        <f>'1_GICS_Structure'!B139</f>
        <v/>
      </c>
      <c r="D139" s="22">
        <f>'5_Cascade_Engine'!N139</f>
        <v/>
      </c>
      <c r="E139" s="22">
        <f>'5_Cascade_Engine'!Y139</f>
        <v/>
      </c>
      <c r="F139" s="7">
        <f>'5_Cascade_Engine'!Z139</f>
        <v/>
      </c>
      <c r="G139" s="22">
        <f>'5_Cascade_Engine'!O139</f>
        <v/>
      </c>
      <c r="H139" s="22">
        <f>'5_Cascade_Engine'!AC139</f>
        <v/>
      </c>
      <c r="I139" s="7">
        <f>'5_Cascade_Engine'!AD139</f>
        <v/>
      </c>
    </row>
    <row r="140">
      <c r="A140" s="7">
        <f>'5_Cascade_Engine'!A140</f>
        <v/>
      </c>
      <c r="B140" s="7">
        <f>'5_Cascade_Engine'!B140</f>
        <v/>
      </c>
      <c r="C140" s="7">
        <f>'1_GICS_Structure'!B140</f>
        <v/>
      </c>
      <c r="D140" s="22">
        <f>'5_Cascade_Engine'!N140</f>
        <v/>
      </c>
      <c r="E140" s="22">
        <f>'5_Cascade_Engine'!Y140</f>
        <v/>
      </c>
      <c r="F140" s="7">
        <f>'5_Cascade_Engine'!Z140</f>
        <v/>
      </c>
      <c r="G140" s="22">
        <f>'5_Cascade_Engine'!O140</f>
        <v/>
      </c>
      <c r="H140" s="22">
        <f>'5_Cascade_Engine'!AC140</f>
        <v/>
      </c>
      <c r="I140" s="7">
        <f>'5_Cascade_Engine'!AD140</f>
        <v/>
      </c>
    </row>
    <row r="141">
      <c r="A141" s="7">
        <f>'5_Cascade_Engine'!A141</f>
        <v/>
      </c>
      <c r="B141" s="7">
        <f>'5_Cascade_Engine'!B141</f>
        <v/>
      </c>
      <c r="C141" s="7">
        <f>'1_GICS_Structure'!B141</f>
        <v/>
      </c>
      <c r="D141" s="22">
        <f>'5_Cascade_Engine'!N141</f>
        <v/>
      </c>
      <c r="E141" s="22">
        <f>'5_Cascade_Engine'!Y141</f>
        <v/>
      </c>
      <c r="F141" s="7">
        <f>'5_Cascade_Engine'!Z141</f>
        <v/>
      </c>
      <c r="G141" s="22">
        <f>'5_Cascade_Engine'!O141</f>
        <v/>
      </c>
      <c r="H141" s="22">
        <f>'5_Cascade_Engine'!AC141</f>
        <v/>
      </c>
      <c r="I141" s="7">
        <f>'5_Cascade_Engine'!AD141</f>
        <v/>
      </c>
    </row>
    <row r="142">
      <c r="A142" s="7">
        <f>'5_Cascade_Engine'!A142</f>
        <v/>
      </c>
      <c r="B142" s="7">
        <f>'5_Cascade_Engine'!B142</f>
        <v/>
      </c>
      <c r="C142" s="7">
        <f>'1_GICS_Structure'!B142</f>
        <v/>
      </c>
      <c r="D142" s="22">
        <f>'5_Cascade_Engine'!N142</f>
        <v/>
      </c>
      <c r="E142" s="22">
        <f>'5_Cascade_Engine'!Y142</f>
        <v/>
      </c>
      <c r="F142" s="7">
        <f>'5_Cascade_Engine'!Z142</f>
        <v/>
      </c>
      <c r="G142" s="22">
        <f>'5_Cascade_Engine'!O142</f>
        <v/>
      </c>
      <c r="H142" s="22">
        <f>'5_Cascade_Engine'!AC142</f>
        <v/>
      </c>
      <c r="I142" s="7">
        <f>'5_Cascade_Engine'!AD142</f>
        <v/>
      </c>
    </row>
    <row r="143">
      <c r="A143" s="7">
        <f>'5_Cascade_Engine'!A143</f>
        <v/>
      </c>
      <c r="B143" s="7">
        <f>'5_Cascade_Engine'!B143</f>
        <v/>
      </c>
      <c r="C143" s="7">
        <f>'1_GICS_Structure'!B143</f>
        <v/>
      </c>
      <c r="D143" s="22">
        <f>'5_Cascade_Engine'!N143</f>
        <v/>
      </c>
      <c r="E143" s="22">
        <f>'5_Cascade_Engine'!Y143</f>
        <v/>
      </c>
      <c r="F143" s="7">
        <f>'5_Cascade_Engine'!Z143</f>
        <v/>
      </c>
      <c r="G143" s="22">
        <f>'5_Cascade_Engine'!O143</f>
        <v/>
      </c>
      <c r="H143" s="22">
        <f>'5_Cascade_Engine'!AC143</f>
        <v/>
      </c>
      <c r="I143" s="7">
        <f>'5_Cascade_Engine'!AD143</f>
        <v/>
      </c>
    </row>
    <row r="144">
      <c r="A144" s="7">
        <f>'5_Cascade_Engine'!A144</f>
        <v/>
      </c>
      <c r="B144" s="7">
        <f>'5_Cascade_Engine'!B144</f>
        <v/>
      </c>
      <c r="C144" s="7">
        <f>'1_GICS_Structure'!B144</f>
        <v/>
      </c>
      <c r="D144" s="22">
        <f>'5_Cascade_Engine'!N144</f>
        <v/>
      </c>
      <c r="E144" s="22">
        <f>'5_Cascade_Engine'!Y144</f>
        <v/>
      </c>
      <c r="F144" s="7">
        <f>'5_Cascade_Engine'!Z144</f>
        <v/>
      </c>
      <c r="G144" s="22">
        <f>'5_Cascade_Engine'!O144</f>
        <v/>
      </c>
      <c r="H144" s="22">
        <f>'5_Cascade_Engine'!AC144</f>
        <v/>
      </c>
      <c r="I144" s="7">
        <f>'5_Cascade_Engine'!AD144</f>
        <v/>
      </c>
    </row>
    <row r="145">
      <c r="A145" s="7">
        <f>'5_Cascade_Engine'!A145</f>
        <v/>
      </c>
      <c r="B145" s="7">
        <f>'5_Cascade_Engine'!B145</f>
        <v/>
      </c>
      <c r="C145" s="7">
        <f>'1_GICS_Structure'!B145</f>
        <v/>
      </c>
      <c r="D145" s="22">
        <f>'5_Cascade_Engine'!N145</f>
        <v/>
      </c>
      <c r="E145" s="22">
        <f>'5_Cascade_Engine'!Y145</f>
        <v/>
      </c>
      <c r="F145" s="7">
        <f>'5_Cascade_Engine'!Z145</f>
        <v/>
      </c>
      <c r="G145" s="22">
        <f>'5_Cascade_Engine'!O145</f>
        <v/>
      </c>
      <c r="H145" s="22">
        <f>'5_Cascade_Engine'!AC145</f>
        <v/>
      </c>
      <c r="I145" s="7">
        <f>'5_Cascade_Engine'!AD145</f>
        <v/>
      </c>
    </row>
    <row r="146">
      <c r="A146" s="7">
        <f>'5_Cascade_Engine'!A146</f>
        <v/>
      </c>
      <c r="B146" s="7">
        <f>'5_Cascade_Engine'!B146</f>
        <v/>
      </c>
      <c r="C146" s="7">
        <f>'1_GICS_Structure'!B146</f>
        <v/>
      </c>
      <c r="D146" s="22">
        <f>'5_Cascade_Engine'!N146</f>
        <v/>
      </c>
      <c r="E146" s="22">
        <f>'5_Cascade_Engine'!Y146</f>
        <v/>
      </c>
      <c r="F146" s="7">
        <f>'5_Cascade_Engine'!Z146</f>
        <v/>
      </c>
      <c r="G146" s="22">
        <f>'5_Cascade_Engine'!O146</f>
        <v/>
      </c>
      <c r="H146" s="22">
        <f>'5_Cascade_Engine'!AC146</f>
        <v/>
      </c>
      <c r="I146" s="7">
        <f>'5_Cascade_Engine'!AD146</f>
        <v/>
      </c>
    </row>
    <row r="147">
      <c r="A147" s="7">
        <f>'5_Cascade_Engine'!A147</f>
        <v/>
      </c>
      <c r="B147" s="7">
        <f>'5_Cascade_Engine'!B147</f>
        <v/>
      </c>
      <c r="C147" s="7">
        <f>'1_GICS_Structure'!B147</f>
        <v/>
      </c>
      <c r="D147" s="22">
        <f>'5_Cascade_Engine'!N147</f>
        <v/>
      </c>
      <c r="E147" s="22">
        <f>'5_Cascade_Engine'!Y147</f>
        <v/>
      </c>
      <c r="F147" s="7">
        <f>'5_Cascade_Engine'!Z147</f>
        <v/>
      </c>
      <c r="G147" s="22">
        <f>'5_Cascade_Engine'!O147</f>
        <v/>
      </c>
      <c r="H147" s="22">
        <f>'5_Cascade_Engine'!AC147</f>
        <v/>
      </c>
      <c r="I147" s="7">
        <f>'5_Cascade_Engine'!AD147</f>
        <v/>
      </c>
    </row>
    <row r="148">
      <c r="A148" s="7">
        <f>'5_Cascade_Engine'!A148</f>
        <v/>
      </c>
      <c r="B148" s="7">
        <f>'5_Cascade_Engine'!B148</f>
        <v/>
      </c>
      <c r="C148" s="7">
        <f>'1_GICS_Structure'!B148</f>
        <v/>
      </c>
      <c r="D148" s="22">
        <f>'5_Cascade_Engine'!N148</f>
        <v/>
      </c>
      <c r="E148" s="22">
        <f>'5_Cascade_Engine'!Y148</f>
        <v/>
      </c>
      <c r="F148" s="7">
        <f>'5_Cascade_Engine'!Z148</f>
        <v/>
      </c>
      <c r="G148" s="22">
        <f>'5_Cascade_Engine'!O148</f>
        <v/>
      </c>
      <c r="H148" s="22">
        <f>'5_Cascade_Engine'!AC148</f>
        <v/>
      </c>
      <c r="I148" s="7">
        <f>'5_Cascade_Engine'!AD148</f>
        <v/>
      </c>
    </row>
    <row r="149">
      <c r="A149" s="7">
        <f>'5_Cascade_Engine'!A149</f>
        <v/>
      </c>
      <c r="B149" s="7">
        <f>'5_Cascade_Engine'!B149</f>
        <v/>
      </c>
      <c r="C149" s="7">
        <f>'1_GICS_Structure'!B149</f>
        <v/>
      </c>
      <c r="D149" s="22">
        <f>'5_Cascade_Engine'!N149</f>
        <v/>
      </c>
      <c r="E149" s="22">
        <f>'5_Cascade_Engine'!Y149</f>
        <v/>
      </c>
      <c r="F149" s="7">
        <f>'5_Cascade_Engine'!Z149</f>
        <v/>
      </c>
      <c r="G149" s="22">
        <f>'5_Cascade_Engine'!O149</f>
        <v/>
      </c>
      <c r="H149" s="22">
        <f>'5_Cascade_Engine'!AC149</f>
        <v/>
      </c>
      <c r="I149" s="7">
        <f>'5_Cascade_Engine'!AD149</f>
        <v/>
      </c>
    </row>
    <row r="150">
      <c r="A150" s="7">
        <f>'5_Cascade_Engine'!A150</f>
        <v/>
      </c>
      <c r="B150" s="7">
        <f>'5_Cascade_Engine'!B150</f>
        <v/>
      </c>
      <c r="C150" s="7">
        <f>'1_GICS_Structure'!B150</f>
        <v/>
      </c>
      <c r="D150" s="22">
        <f>'5_Cascade_Engine'!N150</f>
        <v/>
      </c>
      <c r="E150" s="22">
        <f>'5_Cascade_Engine'!Y150</f>
        <v/>
      </c>
      <c r="F150" s="7">
        <f>'5_Cascade_Engine'!Z150</f>
        <v/>
      </c>
      <c r="G150" s="22">
        <f>'5_Cascade_Engine'!O150</f>
        <v/>
      </c>
      <c r="H150" s="22">
        <f>'5_Cascade_Engine'!AC150</f>
        <v/>
      </c>
      <c r="I150" s="7">
        <f>'5_Cascade_Engine'!AD150</f>
        <v/>
      </c>
    </row>
    <row r="151">
      <c r="A151" s="7">
        <f>'5_Cascade_Engine'!A151</f>
        <v/>
      </c>
      <c r="B151" s="7">
        <f>'5_Cascade_Engine'!B151</f>
        <v/>
      </c>
      <c r="C151" s="7">
        <f>'1_GICS_Structure'!B151</f>
        <v/>
      </c>
      <c r="D151" s="22">
        <f>'5_Cascade_Engine'!N151</f>
        <v/>
      </c>
      <c r="E151" s="22">
        <f>'5_Cascade_Engine'!Y151</f>
        <v/>
      </c>
      <c r="F151" s="7">
        <f>'5_Cascade_Engine'!Z151</f>
        <v/>
      </c>
      <c r="G151" s="22">
        <f>'5_Cascade_Engine'!O151</f>
        <v/>
      </c>
      <c r="H151" s="22">
        <f>'5_Cascade_Engine'!AC151</f>
        <v/>
      </c>
      <c r="I151" s="7">
        <f>'5_Cascade_Engine'!AD151</f>
        <v/>
      </c>
    </row>
    <row r="152">
      <c r="A152" s="7">
        <f>'5_Cascade_Engine'!A152</f>
        <v/>
      </c>
      <c r="B152" s="7">
        <f>'5_Cascade_Engine'!B152</f>
        <v/>
      </c>
      <c r="C152" s="7">
        <f>'1_GICS_Structure'!B152</f>
        <v/>
      </c>
      <c r="D152" s="22">
        <f>'5_Cascade_Engine'!N152</f>
        <v/>
      </c>
      <c r="E152" s="22">
        <f>'5_Cascade_Engine'!Y152</f>
        <v/>
      </c>
      <c r="F152" s="7">
        <f>'5_Cascade_Engine'!Z152</f>
        <v/>
      </c>
      <c r="G152" s="22">
        <f>'5_Cascade_Engine'!O152</f>
        <v/>
      </c>
      <c r="H152" s="22">
        <f>'5_Cascade_Engine'!AC152</f>
        <v/>
      </c>
      <c r="I152" s="7">
        <f>'5_Cascade_Engine'!AD152</f>
        <v/>
      </c>
    </row>
    <row r="153">
      <c r="A153" s="7">
        <f>'5_Cascade_Engine'!A153</f>
        <v/>
      </c>
      <c r="B153" s="7">
        <f>'5_Cascade_Engine'!B153</f>
        <v/>
      </c>
      <c r="C153" s="7">
        <f>'1_GICS_Structure'!B153</f>
        <v/>
      </c>
      <c r="D153" s="22">
        <f>'5_Cascade_Engine'!N153</f>
        <v/>
      </c>
      <c r="E153" s="22">
        <f>'5_Cascade_Engine'!Y153</f>
        <v/>
      </c>
      <c r="F153" s="7">
        <f>'5_Cascade_Engine'!Z153</f>
        <v/>
      </c>
      <c r="G153" s="22">
        <f>'5_Cascade_Engine'!O153</f>
        <v/>
      </c>
      <c r="H153" s="22">
        <f>'5_Cascade_Engine'!AC153</f>
        <v/>
      </c>
      <c r="I153" s="7">
        <f>'5_Cascade_Engine'!AD153</f>
        <v/>
      </c>
    </row>
    <row r="154">
      <c r="A154" s="7">
        <f>'5_Cascade_Engine'!A154</f>
        <v/>
      </c>
      <c r="B154" s="7">
        <f>'5_Cascade_Engine'!B154</f>
        <v/>
      </c>
      <c r="C154" s="7">
        <f>'1_GICS_Structure'!B154</f>
        <v/>
      </c>
      <c r="D154" s="22">
        <f>'5_Cascade_Engine'!N154</f>
        <v/>
      </c>
      <c r="E154" s="22">
        <f>'5_Cascade_Engine'!Y154</f>
        <v/>
      </c>
      <c r="F154" s="7">
        <f>'5_Cascade_Engine'!Z154</f>
        <v/>
      </c>
      <c r="G154" s="22">
        <f>'5_Cascade_Engine'!O154</f>
        <v/>
      </c>
      <c r="H154" s="22">
        <f>'5_Cascade_Engine'!AC154</f>
        <v/>
      </c>
      <c r="I154" s="7">
        <f>'5_Cascade_Engine'!AD154</f>
        <v/>
      </c>
    </row>
    <row r="155">
      <c r="A155" s="7">
        <f>'5_Cascade_Engine'!A155</f>
        <v/>
      </c>
      <c r="B155" s="7">
        <f>'5_Cascade_Engine'!B155</f>
        <v/>
      </c>
      <c r="C155" s="7">
        <f>'1_GICS_Structure'!B155</f>
        <v/>
      </c>
      <c r="D155" s="22">
        <f>'5_Cascade_Engine'!N155</f>
        <v/>
      </c>
      <c r="E155" s="22">
        <f>'5_Cascade_Engine'!Y155</f>
        <v/>
      </c>
      <c r="F155" s="7">
        <f>'5_Cascade_Engine'!Z155</f>
        <v/>
      </c>
      <c r="G155" s="22">
        <f>'5_Cascade_Engine'!O155</f>
        <v/>
      </c>
      <c r="H155" s="22">
        <f>'5_Cascade_Engine'!AC155</f>
        <v/>
      </c>
      <c r="I155" s="7">
        <f>'5_Cascade_Engine'!AD155</f>
        <v/>
      </c>
    </row>
    <row r="156">
      <c r="A156" s="7">
        <f>'5_Cascade_Engine'!A156</f>
        <v/>
      </c>
      <c r="B156" s="7">
        <f>'5_Cascade_Engine'!B156</f>
        <v/>
      </c>
      <c r="C156" s="7">
        <f>'1_GICS_Structure'!B156</f>
        <v/>
      </c>
      <c r="D156" s="22">
        <f>'5_Cascade_Engine'!N156</f>
        <v/>
      </c>
      <c r="E156" s="22">
        <f>'5_Cascade_Engine'!Y156</f>
        <v/>
      </c>
      <c r="F156" s="7">
        <f>'5_Cascade_Engine'!Z156</f>
        <v/>
      </c>
      <c r="G156" s="22">
        <f>'5_Cascade_Engine'!O156</f>
        <v/>
      </c>
      <c r="H156" s="22">
        <f>'5_Cascade_Engine'!AC156</f>
        <v/>
      </c>
      <c r="I156" s="7">
        <f>'5_Cascade_Engine'!AD156</f>
        <v/>
      </c>
    </row>
    <row r="157">
      <c r="A157" s="7">
        <f>'5_Cascade_Engine'!A157</f>
        <v/>
      </c>
      <c r="B157" s="7">
        <f>'5_Cascade_Engine'!B157</f>
        <v/>
      </c>
      <c r="C157" s="7">
        <f>'1_GICS_Structure'!B157</f>
        <v/>
      </c>
      <c r="D157" s="22">
        <f>'5_Cascade_Engine'!N157</f>
        <v/>
      </c>
      <c r="E157" s="22">
        <f>'5_Cascade_Engine'!Y157</f>
        <v/>
      </c>
      <c r="F157" s="7">
        <f>'5_Cascade_Engine'!Z157</f>
        <v/>
      </c>
      <c r="G157" s="22">
        <f>'5_Cascade_Engine'!O157</f>
        <v/>
      </c>
      <c r="H157" s="22">
        <f>'5_Cascade_Engine'!AC157</f>
        <v/>
      </c>
      <c r="I157" s="7">
        <f>'5_Cascade_Engine'!AD157</f>
        <v/>
      </c>
    </row>
    <row r="158">
      <c r="A158" s="7">
        <f>'5_Cascade_Engine'!A158</f>
        <v/>
      </c>
      <c r="B158" s="7">
        <f>'5_Cascade_Engine'!B158</f>
        <v/>
      </c>
      <c r="C158" s="7">
        <f>'1_GICS_Structure'!B158</f>
        <v/>
      </c>
      <c r="D158" s="22">
        <f>'5_Cascade_Engine'!N158</f>
        <v/>
      </c>
      <c r="E158" s="22">
        <f>'5_Cascade_Engine'!Y158</f>
        <v/>
      </c>
      <c r="F158" s="7">
        <f>'5_Cascade_Engine'!Z158</f>
        <v/>
      </c>
      <c r="G158" s="22">
        <f>'5_Cascade_Engine'!O158</f>
        <v/>
      </c>
      <c r="H158" s="22">
        <f>'5_Cascade_Engine'!AC158</f>
        <v/>
      </c>
      <c r="I158" s="7">
        <f>'5_Cascade_Engine'!AD158</f>
        <v/>
      </c>
    </row>
    <row r="159">
      <c r="A159" s="7">
        <f>'5_Cascade_Engine'!A159</f>
        <v/>
      </c>
      <c r="B159" s="7">
        <f>'5_Cascade_Engine'!B159</f>
        <v/>
      </c>
      <c r="C159" s="7">
        <f>'1_GICS_Structure'!B159</f>
        <v/>
      </c>
      <c r="D159" s="22">
        <f>'5_Cascade_Engine'!N159</f>
        <v/>
      </c>
      <c r="E159" s="22">
        <f>'5_Cascade_Engine'!Y159</f>
        <v/>
      </c>
      <c r="F159" s="7">
        <f>'5_Cascade_Engine'!Z159</f>
        <v/>
      </c>
      <c r="G159" s="22">
        <f>'5_Cascade_Engine'!O159</f>
        <v/>
      </c>
      <c r="H159" s="22">
        <f>'5_Cascade_Engine'!AC159</f>
        <v/>
      </c>
      <c r="I159" s="7">
        <f>'5_Cascade_Engine'!AD159</f>
        <v/>
      </c>
    </row>
    <row r="160">
      <c r="A160" s="7">
        <f>'5_Cascade_Engine'!A160</f>
        <v/>
      </c>
      <c r="B160" s="7">
        <f>'5_Cascade_Engine'!B160</f>
        <v/>
      </c>
      <c r="C160" s="7">
        <f>'1_GICS_Structure'!B160</f>
        <v/>
      </c>
      <c r="D160" s="22">
        <f>'5_Cascade_Engine'!N160</f>
        <v/>
      </c>
      <c r="E160" s="22">
        <f>'5_Cascade_Engine'!Y160</f>
        <v/>
      </c>
      <c r="F160" s="7">
        <f>'5_Cascade_Engine'!Z160</f>
        <v/>
      </c>
      <c r="G160" s="22">
        <f>'5_Cascade_Engine'!O160</f>
        <v/>
      </c>
      <c r="H160" s="22">
        <f>'5_Cascade_Engine'!AC160</f>
        <v/>
      </c>
      <c r="I160" s="7">
        <f>'5_Cascade_Engine'!AD160</f>
        <v/>
      </c>
    </row>
    <row r="161">
      <c r="A161" s="7">
        <f>'5_Cascade_Engine'!A161</f>
        <v/>
      </c>
      <c r="B161" s="7">
        <f>'5_Cascade_Engine'!B161</f>
        <v/>
      </c>
      <c r="C161" s="7">
        <f>'1_GICS_Structure'!B161</f>
        <v/>
      </c>
      <c r="D161" s="22">
        <f>'5_Cascade_Engine'!N161</f>
        <v/>
      </c>
      <c r="E161" s="22">
        <f>'5_Cascade_Engine'!Y161</f>
        <v/>
      </c>
      <c r="F161" s="7">
        <f>'5_Cascade_Engine'!Z161</f>
        <v/>
      </c>
      <c r="G161" s="22">
        <f>'5_Cascade_Engine'!O161</f>
        <v/>
      </c>
      <c r="H161" s="22">
        <f>'5_Cascade_Engine'!AC161</f>
        <v/>
      </c>
      <c r="I161" s="7">
        <f>'5_Cascade_Engine'!AD161</f>
        <v/>
      </c>
    </row>
    <row r="162">
      <c r="A162" s="7">
        <f>'5_Cascade_Engine'!A162</f>
        <v/>
      </c>
      <c r="B162" s="7">
        <f>'5_Cascade_Engine'!B162</f>
        <v/>
      </c>
      <c r="C162" s="7">
        <f>'1_GICS_Structure'!B162</f>
        <v/>
      </c>
      <c r="D162" s="22">
        <f>'5_Cascade_Engine'!N162</f>
        <v/>
      </c>
      <c r="E162" s="22">
        <f>'5_Cascade_Engine'!Y162</f>
        <v/>
      </c>
      <c r="F162" s="7">
        <f>'5_Cascade_Engine'!Z162</f>
        <v/>
      </c>
      <c r="G162" s="22">
        <f>'5_Cascade_Engine'!O162</f>
        <v/>
      </c>
      <c r="H162" s="22">
        <f>'5_Cascade_Engine'!AC162</f>
        <v/>
      </c>
      <c r="I162" s="7">
        <f>'5_Cascade_Engine'!AD162</f>
        <v/>
      </c>
    </row>
    <row r="163">
      <c r="A163" s="7">
        <f>'5_Cascade_Engine'!A163</f>
        <v/>
      </c>
      <c r="B163" s="7">
        <f>'5_Cascade_Engine'!B163</f>
        <v/>
      </c>
      <c r="C163" s="7">
        <f>'1_GICS_Structure'!B163</f>
        <v/>
      </c>
      <c r="D163" s="22">
        <f>'5_Cascade_Engine'!N163</f>
        <v/>
      </c>
      <c r="E163" s="22">
        <f>'5_Cascade_Engine'!Y163</f>
        <v/>
      </c>
      <c r="F163" s="7">
        <f>'5_Cascade_Engine'!Z163</f>
        <v/>
      </c>
      <c r="G163" s="22">
        <f>'5_Cascade_Engine'!O163</f>
        <v/>
      </c>
      <c r="H163" s="22">
        <f>'5_Cascade_Engine'!AC163</f>
        <v/>
      </c>
      <c r="I163" s="7">
        <f>'5_Cascade_Engine'!AD163</f>
        <v/>
      </c>
    </row>
    <row r="164">
      <c r="A164" s="7">
        <f>'5_Cascade_Engine'!A164</f>
        <v/>
      </c>
      <c r="B164" s="7">
        <f>'5_Cascade_Engine'!B164</f>
        <v/>
      </c>
      <c r="C164" s="7">
        <f>'1_GICS_Structure'!B164</f>
        <v/>
      </c>
      <c r="D164" s="22">
        <f>'5_Cascade_Engine'!N164</f>
        <v/>
      </c>
      <c r="E164" s="22">
        <f>'5_Cascade_Engine'!Y164</f>
        <v/>
      </c>
      <c r="F164" s="7">
        <f>'5_Cascade_Engine'!Z164</f>
        <v/>
      </c>
      <c r="G164" s="22">
        <f>'5_Cascade_Engine'!O164</f>
        <v/>
      </c>
      <c r="H164" s="22">
        <f>'5_Cascade_Engine'!AC164</f>
        <v/>
      </c>
      <c r="I164" s="7">
        <f>'5_Cascade_Engine'!AD164</f>
        <v/>
      </c>
    </row>
    <row r="165">
      <c r="A165" s="7">
        <f>'5_Cascade_Engine'!A165</f>
        <v/>
      </c>
      <c r="B165" s="7">
        <f>'5_Cascade_Engine'!B165</f>
        <v/>
      </c>
      <c r="C165" s="7">
        <f>'1_GICS_Structure'!B165</f>
        <v/>
      </c>
      <c r="D165" s="22">
        <f>'5_Cascade_Engine'!N165</f>
        <v/>
      </c>
      <c r="E165" s="22">
        <f>'5_Cascade_Engine'!Y165</f>
        <v/>
      </c>
      <c r="F165" s="7">
        <f>'5_Cascade_Engine'!Z165</f>
        <v/>
      </c>
      <c r="G165" s="22">
        <f>'5_Cascade_Engine'!O165</f>
        <v/>
      </c>
      <c r="H165" s="22">
        <f>'5_Cascade_Engine'!AC165</f>
        <v/>
      </c>
      <c r="I165" s="7">
        <f>'5_Cascade_Engine'!AD165</f>
        <v/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2026-08-08T07:04:43Z</dcterms:created>
  <dcterms:modified xmlns:dcterms="http://purl.org/dc/terms/" xmlns:xsi="http://www.w3.org/2001/XMLSchema-instance" xsi:type="dcterms:W3CDTF">2026-08-08T07:07:33Z</dcterms:modified>
</cp:coreProperties>
</file>