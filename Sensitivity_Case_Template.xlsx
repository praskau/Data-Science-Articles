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 README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1. Management Case" sheetId="3" state="visible" r:id="rId3"/>
    <sheet xmlns:r="http://schemas.openxmlformats.org/officeDocument/2006/relationships" name="2. Downside Case" sheetId="4" state="visible" r:id="rId4"/>
    <sheet xmlns:r="http://schemas.openxmlformats.org/officeDocument/2006/relationships" name="3. Severe Downside Case" sheetId="5" state="visible" r:id="rId5"/>
    <sheet xmlns:r="http://schemas.openxmlformats.org/officeDocument/2006/relationships" name="4. Reverse Stress" sheetId="6" state="visible" r:id="rId6"/>
    <sheet xmlns:r="http://schemas.openxmlformats.org/officeDocument/2006/relationships" name="5. Upside Case" sheetId="7" state="visible" r:id="rId7"/>
    <sheet xmlns:r="http://schemas.openxmlformats.org/officeDocument/2006/relationships" name="6. Sensitivity 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;(#,##0.0);&quot;-&quot;"/>
    <numFmt numFmtId="165" formatCode="0.0%;(0.0%);&quot;-&quot;"/>
    <numFmt numFmtId="166" formatCode="0.00&quot;x&quot;;(0.00&quot;x&quot;)"/>
    <numFmt numFmtId="167" formatCode="+#,##0&quot; bps&quot;;-#,##0&quot; bps&quot;;&quot;-&quot;"/>
  </numFmts>
  <fonts count="16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555555"/>
      <sz val="10"/>
    </font>
    <font>
      <b val="1"/>
      <color rgb="00FFFFFF"/>
      <sz val="10.5"/>
    </font>
    <font>
      <b val="1"/>
      <color rgb="00000000"/>
      <sz val="10"/>
    </font>
    <font>
      <color rgb="000000FF"/>
    </font>
    <font>
      <b val="1"/>
      <color rgb="000000FF"/>
    </font>
    <font>
      <i val="1"/>
      <color rgb="00000000"/>
      <sz val="10"/>
    </font>
    <font>
      <i val="1"/>
    </font>
    <font>
      <color rgb="000000FF"/>
      <sz val="10"/>
    </font>
    <font>
      <color rgb="00000000"/>
      <sz val="10"/>
    </font>
    <font>
      <b val="1"/>
      <color rgb="00FFFFFF"/>
      <sz val="9"/>
    </font>
    <font/>
    <font>
      <b val="1"/>
    </font>
    <font>
      <sz val="10"/>
    </font>
    <font>
      <b val="1"/>
      <color rgb="00B23A48"/>
      <sz val="11"/>
    </font>
  </fonts>
  <fills count="5">
    <fill>
      <patternFill/>
    </fill>
    <fill>
      <patternFill patternType="gray125"/>
    </fill>
    <fill>
      <patternFill patternType="solid">
        <fgColor rgb="0012284B"/>
      </patternFill>
    </fill>
    <fill>
      <patternFill patternType="solid">
        <fgColor rgb="00B23A48"/>
      </patternFill>
    </fill>
    <fill>
      <patternFill patternType="solid">
        <fgColor rgb="00FFF6CC"/>
      </patternFill>
    </fill>
  </fills>
  <borders count="2">
    <border>
      <left/>
      <right/>
      <top/>
      <bottom/>
      <diagonal/>
    </border>
    <border>
      <top style="thin">
        <color rgb="00AAAAAA"/>
      </top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pivotButton="0" quotePrefix="0" xfId="0"/>
    <xf numFmtId="0" fontId="14" fillId="0" borderId="0" applyAlignment="1" pivotButton="0" quotePrefix="0" xfId="0">
      <alignment vertical="top" wrapText="1"/>
    </xf>
    <xf numFmtId="0" fontId="15" fillId="0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49" fontId="5" fillId="4" borderId="0" applyAlignment="1" pivotButton="0" quotePrefix="0" xfId="0">
      <alignment horizontal="center" wrapText="1"/>
    </xf>
    <xf numFmtId="0" fontId="7" fillId="0" borderId="0" pivotButton="0" quotePrefix="0" xfId="0"/>
    <xf numFmtId="49" fontId="6" fillId="4" borderId="0" applyAlignment="1" pivotButton="0" quotePrefix="0" xfId="0">
      <alignment horizontal="right"/>
    </xf>
    <xf numFmtId="0" fontId="8" fillId="0" borderId="0" pivotButton="0" quotePrefix="0" xfId="0"/>
    <xf numFmtId="164" fontId="9" fillId="4" borderId="0" applyAlignment="1" pivotButton="0" quotePrefix="0" xfId="0">
      <alignment horizontal="right"/>
    </xf>
    <xf numFmtId="165" fontId="9" fillId="4" borderId="0" applyAlignment="1" pivotButton="0" quotePrefix="0" xfId="0">
      <alignment horizontal="right"/>
    </xf>
    <xf numFmtId="0" fontId="10" fillId="0" borderId="0" pivotButton="0" quotePrefix="0" xfId="0"/>
    <xf numFmtId="165" fontId="5" fillId="4" borderId="0" applyAlignment="1" pivotButton="0" quotePrefix="0" xfId="0">
      <alignment horizontal="right"/>
    </xf>
    <xf numFmtId="164" fontId="5" fillId="4" borderId="0" applyAlignment="1" pivotButton="0" quotePrefix="0" xfId="0">
      <alignment horizontal="right"/>
    </xf>
    <xf numFmtId="1" fontId="5" fillId="4" borderId="0" applyAlignment="1" pivotButton="0" quotePrefix="0" xfId="0">
      <alignment horizontal="right"/>
    </xf>
    <xf numFmtId="166" fontId="5" fillId="4" borderId="0" applyAlignment="1" pivotButton="0" quotePrefix="0" xfId="0">
      <alignment horizontal="right"/>
    </xf>
    <xf numFmtId="165" fontId="6" fillId="4" borderId="0" applyAlignment="1" pivotButton="0" quotePrefix="0" xfId="0">
      <alignment horizontal="right"/>
    </xf>
    <xf numFmtId="167" fontId="6" fillId="4" borderId="0" applyAlignment="1" pivotButton="0" quotePrefix="0" xfId="0">
      <alignment horizontal="right"/>
    </xf>
    <xf numFmtId="0" fontId="11" fillId="2" borderId="0" pivotButton="0" quotePrefix="0" xfId="0"/>
    <xf numFmtId="0" fontId="11" fillId="2" borderId="0" applyAlignment="1" pivotButton="0" quotePrefix="0" xfId="0">
      <alignment horizontal="center" vertical="center" wrapText="1"/>
    </xf>
    <xf numFmtId="164" fontId="10" fillId="0" borderId="0" applyAlignment="1" pivotButton="0" quotePrefix="0" xfId="0">
      <alignment horizontal="right"/>
    </xf>
    <xf numFmtId="164" fontId="12" fillId="0" borderId="0" applyAlignment="1" pivotButton="0" quotePrefix="0" xfId="0">
      <alignment horizontal="right"/>
    </xf>
    <xf numFmtId="0" fontId="4" fillId="0" borderId="1" pivotButton="0" quotePrefix="0" xfId="0"/>
    <xf numFmtId="164" fontId="4" fillId="0" borderId="1" applyAlignment="1" pivotButton="0" quotePrefix="0" xfId="0">
      <alignment horizontal="right"/>
    </xf>
    <xf numFmtId="165" fontId="7" fillId="0" borderId="0" applyAlignment="1" pivotButton="0" quotePrefix="0" xfId="0">
      <alignment horizontal="right"/>
    </xf>
    <xf numFmtId="164" fontId="13" fillId="0" borderId="0" pivotButton="0" quotePrefix="0" xfId="0"/>
    <xf numFmtId="164" fontId="13" fillId="0" borderId="1" pivotButton="0" quotePrefix="0" xfId="0"/>
    <xf numFmtId="164" fontId="7" fillId="0" borderId="0" applyAlignment="1" pivotButton="0" quotePrefix="0" xfId="0">
      <alignment horizontal="right"/>
    </xf>
    <xf numFmtId="164" fontId="0" fillId="0" borderId="0" pivotButton="0" quotePrefix="0" xfId="0"/>
    <xf numFmtId="0" fontId="7" fillId="0" borderId="1" pivotButton="0" quotePrefix="0" xfId="0"/>
    <xf numFmtId="0" fontId="0" fillId="0" borderId="1" pivotButton="0" quotePrefix="0" xfId="0"/>
    <xf numFmtId="164" fontId="8" fillId="0" borderId="1" pivotButton="0" quotePrefix="0" xfId="0"/>
    <xf numFmtId="164" fontId="8" fillId="0" borderId="0" pivotButton="0" quotePrefix="0" xfId="0"/>
    <xf numFmtId="166" fontId="0" fillId="0" borderId="0" pivotButton="0" quotePrefix="0" xfId="0"/>
    <xf numFmtId="0" fontId="13" fillId="0" borderId="0" applyAlignment="1" pivotButton="0" quotePrefix="0" xfId="0">
      <alignment horizontal="center"/>
    </xf>
    <xf numFmtId="0" fontId="13" fillId="0" borderId="0" pivotButton="0" quotePrefix="0" xfId="0"/>
    <xf numFmtId="164" fontId="0" fillId="0" borderId="0" applyAlignment="1" pivotButton="0" quotePrefix="0" xfId="0">
      <alignment horizontal="right"/>
    </xf>
    <xf numFmtId="0" fontId="12" fillId="0" borderId="0" pivotButton="0" quotePrefix="0" xfId="0"/>
    <xf numFmtId="165" fontId="0" fillId="0" borderId="0" applyAlignment="1" pivotButton="0" quotePrefix="0" xfId="0">
      <alignment horizontal="right"/>
    </xf>
    <xf numFmtId="166" fontId="0" fillId="0" borderId="0" applyAlignment="1" pivotButton="0" quotePrefix="0" xfId="0">
      <alignment horizontal="right"/>
    </xf>
    <xf numFmtId="0" fontId="13" fillId="0" borderId="1" pivotButton="0" quotePrefix="0" xfId="0"/>
    <xf numFmtId="166" fontId="0" fillId="0" borderId="1" applyAlignment="1" pivotButton="0" quotePrefix="0" xfId="0">
      <alignment horizontal="right"/>
    </xf>
    <xf numFmtId="0" fontId="12" fillId="0" borderId="1" pivotButton="0" quotePrefix="0" xfId="0"/>
    <xf numFmtId="49" fontId="0" fillId="0" borderId="1" applyAlignment="1" pivotButton="0" quotePrefix="0" xfId="0">
      <alignment horizontal="right"/>
    </xf>
  </cellXfs>
  <cellStyles count="1">
    <cellStyle name="Normal" xfId="0" builtinId="0" hidden="0"/>
  </cellStyles>
  <dxfs count="2">
    <dxf>
      <fill>
        <patternFill patternType="solid">
          <fgColor rgb="00C6E0B4"/>
        </patternFill>
      </fill>
    </dxf>
    <dxf>
      <fill>
        <patternFill patternType="solid">
          <fgColor rgb="00F4C7C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0000"/>
    <outlinePr summaryBelow="1" summaryRight="1"/>
    <pageSetUpPr/>
  </sheetPr>
  <dimension ref="A1:A33"/>
  <sheetViews>
    <sheetView showGridLines="0" workbookViewId="0">
      <selection activeCell="A1" sqref="A1"/>
    </sheetView>
  </sheetViews>
  <sheetFormatPr baseColWidth="8" defaultRowHeight="15"/>
  <cols>
    <col width="105" customWidth="1" min="1" max="1"/>
  </cols>
  <sheetData>
    <row r="1" ht="26" customHeight="1">
      <c r="A1" s="1" t="inlineStr">
        <is>
          <t>Management Case + Sensitivity Template — How To Use This Workbook</t>
        </is>
      </c>
    </row>
    <row r="3" ht="14" customHeight="1">
      <c r="A3" s="2" t="inlineStr"/>
    </row>
    <row r="4">
      <c r="A4" s="3" t="inlineStr">
        <is>
          <t>WHAT THIS IS</t>
        </is>
      </c>
    </row>
    <row r="5" ht="28" customHeight="1">
      <c r="A5" s="2" t="inlineStr">
        <is>
          <t>A fully generic, reusable credit-analysis template: one Management (base) Case tab, four Sensitivity tabs (Downside, Severe Downside, Reverse Stress, Upside), a live Sensitivity Summary, and a single Assumptions tab that every case pulls from. The row structure, headings and order are IDENTICAL across all five case tabs — only the Assumptions inputs and each tab's own 'flex' cells differ. There is no deal-specific data anywhere in this file — every numeric input defaults to zero and is coloured yellow/blue for you to fill in.</t>
        </is>
      </c>
    </row>
    <row r="6" ht="14" customHeight="1">
      <c r="A6" s="2" t="inlineStr"/>
    </row>
    <row r="7">
      <c r="A7" s="3" t="inlineStr">
        <is>
          <t>STEP 1 — SET UP PERIODS &amp; SEGMENTS (Assumptions tab, Section 0)</t>
        </is>
      </c>
    </row>
    <row r="8" ht="28" customHeight="1">
      <c r="A8" s="2" t="inlineStr">
        <is>
          <t>Rename the 12 period labels to your deal's actual fiscal years (e.g. FY24A...FY31F) — this propagates to every tab automatically. Rename up to 6 revenue segments (or leave the unused ones as 'Segment N' with 0% growth and 0 revenue if your deal has fewer lines of business).</t>
        </is>
      </c>
    </row>
    <row r="9" ht="14" customHeight="1">
      <c r="A9" s="2" t="inlineStr"/>
    </row>
    <row r="10">
      <c r="A10" s="3" t="inlineStr">
        <is>
          <t>STEP 2 — FILL IN HISTORICALS (Assumptions tab, Section 1, columns B–E)</t>
        </is>
      </c>
    </row>
    <row r="11" ht="28" customHeight="1">
      <c r="A11" s="2" t="inlineStr">
        <is>
          <t>Actuals for the last 2–3 fiscal years plus a stub period to deal close. These are identical across every case tab (the past doesn't change under a sensitivity), so they only live here.</t>
        </is>
      </c>
    </row>
    <row r="12" ht="14" customHeight="1">
      <c r="A12" s="2" t="inlineStr"/>
    </row>
    <row r="13">
      <c r="A13" s="3" t="inlineStr">
        <is>
          <t>STEP 3 — FILL IN YOUR MANAGEMENT CASE (Assumptions tab, Section 2, columns F–M)</t>
        </is>
      </c>
    </row>
    <row r="14" ht="28" customHeight="1">
      <c r="A14" s="2" t="inlineStr">
        <is>
          <t>Revenue growth by segment, target gross margin, cost ratios, D&amp;A, capex ratios, tax rate and any acquisition-related cash flows. This is your base case — it flows straight into the '1. Management Case' tab, which has all its flex cells at zero.</t>
        </is>
      </c>
    </row>
    <row r="15" ht="14" customHeight="1">
      <c r="A15" s="2" t="inlineStr"/>
    </row>
    <row r="16">
      <c r="A16" s="3" t="inlineStr">
        <is>
          <t>STEP 4 — FILL IN DEBT &amp; COVENANT TERMS (Assumptions tab, Section 3)</t>
        </is>
      </c>
    </row>
    <row r="17" ht="28" customHeight="1">
      <c r="A17" s="2" t="inlineStr">
        <is>
          <t>Base rate, credit margin, RCF/acquisition-facility limits, term loan opening balance and amortisation profile, opening cash, and the actual covenant levels in your facility agreement.</t>
        </is>
      </c>
    </row>
    <row r="18" ht="14" customHeight="1">
      <c r="A18" s="2" t="inlineStr"/>
    </row>
    <row r="19">
      <c r="A19" s="3" t="inlineStr">
        <is>
          <t>STEP 5 — CALIBRATE THE SENSITIVITY TABS</t>
        </is>
      </c>
    </row>
    <row r="20" ht="28" customHeight="1">
      <c r="A20" s="2" t="inlineStr">
        <is>
          <t>Tabs 2–5 each have a 'Sensitivity Flex Assumptions' block at the top (rows 4–9): single adjustment cells (e.g. revenue growth adjustment in ppt) that shift EVERY forecast period and segment at once, relative to the Assumptions tab base case. They are pre-populated with illustrative starting calibrations — replace these with stress factors that actually fit your deal (a services business's downside looks nothing like a manufacturer's or a lender's; don't reuse the placeholder percentages blindly).</t>
        </is>
      </c>
    </row>
    <row r="21" ht="28" customHeight="1">
      <c r="A21" s="2" t="inlineStr">
        <is>
          <t>Reverse Stress tab: use Excel's Data &gt; What-If Analysis &gt; Goal Seek — set the Covenant Test Result or DSCR headroom cell to 0 by changing the revenue-growth-adjustment cell (C5) — to solve for the precise revenue decline that first breaches a covenant.</t>
        </is>
      </c>
    </row>
    <row r="22" ht="14" customHeight="1">
      <c r="A22" s="2" t="inlineStr"/>
    </row>
    <row r="23">
      <c r="A23" s="3" t="inlineStr">
        <is>
          <t>STEP 6 — READ THE SUMMARY</t>
        </is>
      </c>
    </row>
    <row r="24" ht="28" customHeight="1">
      <c r="A24" s="2" t="inlineStr">
        <is>
          <t>'6. Sensitivity Summary' is a live football-field comparison (leverage, minimum DSCR, minimum interest cover, covenant headroom, breach flag) pulled directly from the five case tabs. Nothing here is re-typed; change an assumption anywhere and this page updates automatically.</t>
        </is>
      </c>
    </row>
    <row r="25" ht="14" customHeight="1">
      <c r="A25" s="2" t="inlineStr"/>
    </row>
    <row r="26">
      <c r="A26" s="3" t="inlineStr">
        <is>
          <t>COLOUR CONVENTION</t>
        </is>
      </c>
    </row>
    <row r="27" ht="28" customHeight="1">
      <c r="A27" s="2" t="inlineStr">
        <is>
          <t>Yellow fill + blue font = input cell (edit these). Black font, no fill = formula (do not overtype — everything downstream is linked and will break). Green/red conditional formatting on credit-metric and covenant-test cells is automatic RAG based on covenant headroom, not a manual override.</t>
        </is>
      </c>
    </row>
    <row r="28" ht="14" customHeight="1">
      <c r="A28" s="2" t="inlineStr"/>
    </row>
    <row r="29">
      <c r="A29" s="3" t="inlineStr">
        <is>
          <t>MODELLING CONVENTIONS WORTH KNOWING</t>
        </is>
      </c>
    </row>
    <row r="30" ht="28" customHeight="1">
      <c r="A30" s="2" t="inlineStr">
        <is>
          <t>• Interest is calculated on the PRIOR period's closing net debt (not an average balance), to keep the workbook non-circular and stable without enabling Excel's iterative-calculation setting.</t>
        </is>
      </c>
    </row>
    <row r="31" ht="28" customHeight="1">
      <c r="A31" s="2" t="inlineStr">
        <is>
          <t>• The Term Loan is modelled as a bullet by default (no scheduled amortisation; full repayment in the final forecast period, toggle via the Assumptions tab). The RCF behaves as a true revolver — it draws automatically to cover any cash shortfall (capped at its facility limit) and sweeps down first out of any surplus. Acquisition-facility draws are paired 1-for-1 with acquisition cash outflows by default, so M&amp;A is modelled as self-funding — leave both rows at 0 if your deal has no bolt-on M&amp;A.</t>
        </is>
      </c>
    </row>
    <row r="32" ht="28" customHeight="1">
      <c r="A32" s="2" t="inlineStr">
        <is>
          <t>• Cash tax is a flat effective rate applied to EBIT (floored at zero — no tax benefit modelled on losses) rather than a full tax computation; replace with an actual tax bridge where materiality warrants it.</t>
        </is>
      </c>
    </row>
    <row r="33" ht="14" customHeight="1">
      <c r="A33" s="2" t="inlineStr">
        <is>
          <t>• 'Other income' flows into EBITDA, consistent with a standard P&amp;L presentation.</t>
        </is>
      </c>
    </row>
  </sheetData>
  <mergeCells count="1">
    <mergeCell ref="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4"/>
  <sheetViews>
    <sheetView showGridLines="0" workbookViewId="0">
      <pane xSplit="1" topLeftCell="B1" activePane="topRight" state="frozen"/>
      <selection pane="topRight" activeCell="A1" sqref="A1"/>
    </sheetView>
  </sheetViews>
  <sheetFormatPr baseColWidth="8" defaultRowHeight="15"/>
  <cols>
    <col width="48" customWidth="1" min="1" max="1"/>
    <col width="11.3" customWidth="1" min="2" max="2"/>
    <col width="11.3" customWidth="1" min="3" max="3"/>
    <col width="11.3" customWidth="1" min="4" max="4"/>
    <col width="11.3" customWidth="1" min="5" max="5"/>
    <col width="11.3" customWidth="1" min="6" max="6"/>
    <col width="11.3" customWidth="1" min="7" max="7"/>
    <col width="11.3" customWidth="1" min="8" max="8"/>
    <col width="11.3" customWidth="1" min="9" max="9"/>
    <col width="11.3" customWidth="1" min="10" max="10"/>
    <col width="11.3" customWidth="1" min="11" max="11"/>
    <col width="11.3" customWidth="1" min="12" max="12"/>
    <col width="11.3" customWidth="1" min="13" max="13"/>
  </cols>
  <sheetData>
    <row r="1" ht="26" customHeight="1">
      <c r="A1" s="1" t="inlineStr">
        <is>
          <t>Assumptions — fill in the yellow cells; everything else in this workbook is a formula</t>
        </is>
      </c>
    </row>
    <row r="2">
      <c r="A2" s="4" t="inlineStr">
        <is>
          <t>Section 0 sets your period labels and segment names once — they flow through to every tab. Section 1 is historical actuals (same across every case). Section 2 is your management-case forecast drivers. Section 3 is debt/rate/covenant terms.</t>
        </is>
      </c>
    </row>
    <row r="4" ht="16" customHeight="1">
      <c r="A4" s="5" t="inlineStr">
        <is>
          <t>0. SETUP — PERIOD LABELS &amp; SEGMENT NAMES  (edit once here, every tab picks these up)</t>
        </is>
      </c>
    </row>
    <row r="5">
      <c r="A5" s="6" t="inlineStr">
        <is>
          <t>Period labels (rename to your deal's actual fiscal years)</t>
        </is>
      </c>
    </row>
    <row r="6" ht="30" customHeight="1">
      <c r="B6" s="7" t="inlineStr">
        <is>
          <t>FY-2A</t>
        </is>
      </c>
      <c r="C6" s="7" t="inlineStr">
        <is>
          <t>FY-1A</t>
        </is>
      </c>
      <c r="D6" s="7" t="inlineStr">
        <is>
          <t>FY0A</t>
        </is>
      </c>
      <c r="E6" s="7" t="inlineStr">
        <is>
          <t>Stub /
At Close</t>
        </is>
      </c>
      <c r="F6" s="7" t="inlineStr">
        <is>
          <t>FY1F</t>
        </is>
      </c>
      <c r="G6" s="7" t="inlineStr">
        <is>
          <t>FY2F</t>
        </is>
      </c>
      <c r="H6" s="7" t="inlineStr">
        <is>
          <t>FY3F</t>
        </is>
      </c>
      <c r="I6" s="7" t="inlineStr">
        <is>
          <t>FY4F</t>
        </is>
      </c>
      <c r="J6" s="7" t="inlineStr">
        <is>
          <t>FY5F</t>
        </is>
      </c>
      <c r="K6" s="7" t="inlineStr">
        <is>
          <t>FY6F</t>
        </is>
      </c>
      <c r="L6" s="7" t="inlineStr">
        <is>
          <t>FY7F</t>
        </is>
      </c>
      <c r="M6" s="7" t="inlineStr">
        <is>
          <t>FY8F</t>
        </is>
      </c>
    </row>
    <row r="8">
      <c r="A8" s="6" t="inlineStr">
        <is>
          <t>Segment names (rename any/all of the up-to-6 revenue segments; leave a row's growth at 0% and revenue blank if you use fewer than 6)</t>
        </is>
      </c>
    </row>
    <row r="9">
      <c r="A9" s="8" t="inlineStr">
        <is>
          <t xml:space="preserve">   Segment 1 name  -&gt;</t>
        </is>
      </c>
      <c r="C9" s="9" t="inlineStr">
        <is>
          <t>Segment 1</t>
        </is>
      </c>
    </row>
    <row r="10">
      <c r="A10" s="8" t="inlineStr">
        <is>
          <t xml:space="preserve">   Segment 2 name  -&gt;</t>
        </is>
      </c>
      <c r="C10" s="9" t="inlineStr">
        <is>
          <t>Segment 2</t>
        </is>
      </c>
    </row>
    <row r="11">
      <c r="A11" s="8" t="inlineStr">
        <is>
          <t xml:space="preserve">   Segment 3 name  -&gt;</t>
        </is>
      </c>
      <c r="C11" s="9" t="inlineStr">
        <is>
          <t>Segment 3</t>
        </is>
      </c>
    </row>
    <row r="12">
      <c r="A12" s="8" t="inlineStr">
        <is>
          <t xml:space="preserve">   Segment 4 name  -&gt;</t>
        </is>
      </c>
      <c r="C12" s="9" t="inlineStr">
        <is>
          <t>Segment 4</t>
        </is>
      </c>
    </row>
    <row r="13">
      <c r="A13" s="8" t="inlineStr">
        <is>
          <t xml:space="preserve">   Segment 5 name  -&gt;</t>
        </is>
      </c>
      <c r="C13" s="9" t="inlineStr">
        <is>
          <t>Segment 5</t>
        </is>
      </c>
    </row>
    <row r="14">
      <c r="A14" s="8" t="inlineStr">
        <is>
          <t xml:space="preserve">   Segment 6 name  -&gt;</t>
        </is>
      </c>
      <c r="C14" s="9" t="inlineStr">
        <is>
          <t>Segment 6</t>
        </is>
      </c>
    </row>
    <row r="16" ht="16" customHeight="1">
      <c r="A16" s="5" t="inlineStr">
        <is>
          <t>1. HISTORICAL &amp; STUB ACTUALS  (£m, columns B–E only — identical across every case tab)</t>
        </is>
      </c>
    </row>
    <row r="17">
      <c r="A17" s="6" t="inlineStr">
        <is>
          <t>Revenue by segment</t>
        </is>
      </c>
    </row>
    <row r="18">
      <c r="A18" s="10">
        <f>"Revenue — "&amp;Assumptions!$C$9</f>
        <v/>
      </c>
      <c r="B18" s="11" t="n">
        <v>0</v>
      </c>
      <c r="C18" s="11" t="n">
        <v>0</v>
      </c>
      <c r="D18" s="11" t="n">
        <v>0</v>
      </c>
      <c r="E18" s="11" t="n">
        <v>0</v>
      </c>
    </row>
    <row r="19">
      <c r="A19" s="10">
        <f>"Revenue — "&amp;Assumptions!$C$10</f>
        <v/>
      </c>
      <c r="B19" s="11" t="n">
        <v>0</v>
      </c>
      <c r="C19" s="11" t="n">
        <v>0</v>
      </c>
      <c r="D19" s="11" t="n">
        <v>0</v>
      </c>
      <c r="E19" s="11" t="n">
        <v>0</v>
      </c>
    </row>
    <row r="20">
      <c r="A20" s="10">
        <f>"Revenue — "&amp;Assumptions!$C$11</f>
        <v/>
      </c>
      <c r="B20" s="11" t="n">
        <v>0</v>
      </c>
      <c r="C20" s="11" t="n">
        <v>0</v>
      </c>
      <c r="D20" s="11" t="n">
        <v>0</v>
      </c>
      <c r="E20" s="11" t="n">
        <v>0</v>
      </c>
    </row>
    <row r="21">
      <c r="A21" s="10">
        <f>"Revenue — "&amp;Assumptions!$C$12</f>
        <v/>
      </c>
      <c r="B21" s="11" t="n">
        <v>0</v>
      </c>
      <c r="C21" s="11" t="n">
        <v>0</v>
      </c>
      <c r="D21" s="11" t="n">
        <v>0</v>
      </c>
      <c r="E21" s="11" t="n">
        <v>0</v>
      </c>
    </row>
    <row r="22">
      <c r="A22" s="10">
        <f>"Revenue — "&amp;Assumptions!$C$13</f>
        <v/>
      </c>
      <c r="B22" s="11" t="n">
        <v>0</v>
      </c>
      <c r="C22" s="11" t="n">
        <v>0</v>
      </c>
      <c r="D22" s="11" t="n">
        <v>0</v>
      </c>
      <c r="E22" s="11" t="n">
        <v>0</v>
      </c>
    </row>
    <row r="23">
      <c r="A23" s="10">
        <f>"Revenue — "&amp;Assumptions!$C$14</f>
        <v/>
      </c>
      <c r="B23" s="11" t="n">
        <v>0</v>
      </c>
      <c r="C23" s="11" t="n">
        <v>0</v>
      </c>
      <c r="D23" s="11" t="n">
        <v>0</v>
      </c>
      <c r="E23" s="11" t="n">
        <v>0</v>
      </c>
    </row>
    <row r="25">
      <c r="A25" s="6" t="inlineStr">
        <is>
          <t>Gross margin % (historical)</t>
        </is>
      </c>
    </row>
    <row r="26">
      <c r="B26" s="12" t="n">
        <v>0</v>
      </c>
      <c r="C26" s="12" t="n">
        <v>0</v>
      </c>
      <c r="D26" s="12" t="n">
        <v>0</v>
      </c>
      <c r="E26" s="12" t="n">
        <v>0</v>
      </c>
    </row>
    <row r="28">
      <c r="A28" s="6" t="inlineStr">
        <is>
          <t>Other income (£m)</t>
        </is>
      </c>
    </row>
    <row r="29">
      <c r="B29" s="11" t="n">
        <v>0</v>
      </c>
      <c r="C29" s="11" t="n">
        <v>0</v>
      </c>
      <c r="D29" s="11" t="n">
        <v>0</v>
      </c>
      <c r="E29" s="11" t="n">
        <v>0</v>
      </c>
    </row>
    <row r="31">
      <c r="A31" s="6" t="inlineStr">
        <is>
          <t>Staff costs (£m, negative = cost)</t>
        </is>
      </c>
    </row>
    <row r="32">
      <c r="B32" s="11" t="n">
        <v>0</v>
      </c>
      <c r="C32" s="11" t="n">
        <v>0</v>
      </c>
      <c r="D32" s="11" t="n">
        <v>0</v>
      </c>
      <c r="E32" s="11" t="n">
        <v>0</v>
      </c>
    </row>
    <row r="34">
      <c r="A34" s="6" t="inlineStr">
        <is>
          <t>Other operating expenses (£m, negative = cost)</t>
        </is>
      </c>
    </row>
    <row r="35">
      <c r="B35" s="11" t="n">
        <v>0</v>
      </c>
      <c r="C35" s="11" t="n">
        <v>0</v>
      </c>
      <c r="D35" s="11" t="n">
        <v>0</v>
      </c>
      <c r="E35" s="11" t="n">
        <v>0</v>
      </c>
    </row>
    <row r="37">
      <c r="A37" s="6" t="inlineStr">
        <is>
          <t>Depreciation &amp; amortisation (£m, negative)</t>
        </is>
      </c>
    </row>
    <row r="38">
      <c r="B38" s="11" t="n">
        <v>0</v>
      </c>
      <c r="C38" s="11" t="n">
        <v>0</v>
      </c>
      <c r="D38" s="11" t="n">
        <v>0</v>
      </c>
      <c r="E38" s="11" t="n">
        <v>0</v>
      </c>
    </row>
    <row r="40">
      <c r="A40" s="6" t="inlineStr">
        <is>
          <t>Non-recurring / QoE adjustments (£m)</t>
        </is>
      </c>
    </row>
    <row r="41">
      <c r="B41" s="11" t="n">
        <v>0</v>
      </c>
      <c r="C41" s="11" t="n">
        <v>0</v>
      </c>
      <c r="D41" s="11" t="n">
        <v>0</v>
      </c>
      <c r="E41" s="11" t="n">
        <v>0</v>
      </c>
    </row>
    <row r="43">
      <c r="A43" s="6" t="inlineStr">
        <is>
          <t>Δ Net working capital (£m, outflow negative)</t>
        </is>
      </c>
    </row>
    <row r="44">
      <c r="B44" s="11" t="n">
        <v>0</v>
      </c>
      <c r="C44" s="11" t="n">
        <v>0</v>
      </c>
      <c r="D44" s="11" t="n">
        <v>0</v>
      </c>
      <c r="E44" s="11" t="n">
        <v>0</v>
      </c>
    </row>
    <row r="46">
      <c r="A46" s="6" t="inlineStr">
        <is>
          <t>Maintenance capex (£m, negative)</t>
        </is>
      </c>
    </row>
    <row r="47">
      <c r="B47" s="11" t="n">
        <v>0</v>
      </c>
      <c r="C47" s="11" t="n">
        <v>0</v>
      </c>
      <c r="D47" s="11" t="n">
        <v>0</v>
      </c>
      <c r="E47" s="11" t="n">
        <v>0</v>
      </c>
    </row>
    <row r="49">
      <c r="A49" s="6" t="inlineStr">
        <is>
          <t>Growth capex (£m, negative)</t>
        </is>
      </c>
    </row>
    <row r="50">
      <c r="B50" s="11" t="n">
        <v>0</v>
      </c>
      <c r="C50" s="11" t="n">
        <v>0</v>
      </c>
      <c r="D50" s="11" t="n">
        <v>0</v>
      </c>
      <c r="E50" s="11" t="n">
        <v>0</v>
      </c>
    </row>
    <row r="52">
      <c r="A52" s="6" t="inlineStr">
        <is>
          <t>Exceptional &amp; other cash items (£m)</t>
        </is>
      </c>
    </row>
    <row r="53">
      <c r="B53" s="11" t="n">
        <v>0</v>
      </c>
      <c r="C53" s="11" t="n">
        <v>0</v>
      </c>
      <c r="D53" s="11" t="n">
        <v>0</v>
      </c>
      <c r="E53" s="11" t="n">
        <v>0</v>
      </c>
    </row>
    <row r="55">
      <c r="A55" s="6" t="inlineStr">
        <is>
          <t>Cash taxes paid (£m, negative)</t>
        </is>
      </c>
    </row>
    <row r="56">
      <c r="B56" s="11" t="n">
        <v>0</v>
      </c>
      <c r="C56" s="11" t="n">
        <v>0</v>
      </c>
      <c r="D56" s="11" t="n">
        <v>0</v>
      </c>
      <c r="E56" s="11" t="n">
        <v>0</v>
      </c>
    </row>
    <row r="58">
      <c r="A58" s="6" t="inlineStr">
        <is>
          <t>Net cash interest (£m, negative, pre-close capital structure)</t>
        </is>
      </c>
    </row>
    <row r="59">
      <c r="B59" s="11" t="n">
        <v>0</v>
      </c>
      <c r="C59" s="11" t="n">
        <v>0</v>
      </c>
      <c r="D59" s="11" t="n">
        <v>0</v>
      </c>
      <c r="E59" s="11" t="n">
        <v>0</v>
      </c>
    </row>
    <row r="61">
      <c r="A61" s="6" t="inlineStr">
        <is>
          <t>Acquisition-related cash outflow (£m, negative — leave 0 if none)</t>
        </is>
      </c>
    </row>
    <row r="62">
      <c r="B62" s="11" t="n">
        <v>0</v>
      </c>
      <c r="C62" s="11" t="n">
        <v>0</v>
      </c>
      <c r="D62" s="11" t="n">
        <v>0</v>
      </c>
      <c r="E62" s="11" t="n">
        <v>0</v>
      </c>
    </row>
    <row r="64">
      <c r="A64" s="6" t="inlineStr">
        <is>
          <t>Acquisition / delayed-draw facility drawdown (£m — leave 0 if none)</t>
        </is>
      </c>
    </row>
    <row r="65">
      <c r="B65" s="11" t="n">
        <v>0</v>
      </c>
      <c r="C65" s="11" t="n">
        <v>0</v>
      </c>
      <c r="D65" s="11" t="n">
        <v>0</v>
      </c>
      <c r="E65" s="11" t="n">
        <v>0</v>
      </c>
    </row>
    <row r="66" ht="16" customHeight="1">
      <c r="A66" s="5" t="inlineStr">
        <is>
          <t>2. FORECAST DRIVERS — MANAGEMENT (BASE) CASE  (columns F–M — every sensitivity tab flexes off these)</t>
        </is>
      </c>
    </row>
    <row r="67">
      <c r="A67" s="6" t="inlineStr">
        <is>
          <t>Revenue growth % YoY, by segment</t>
        </is>
      </c>
    </row>
    <row r="68">
      <c r="A68" s="10">
        <f>"Growth — "&amp;Assumptions!$C$9</f>
        <v/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</row>
    <row r="69">
      <c r="A69" s="10">
        <f>"Growth — "&amp;Assumptions!$C$10</f>
        <v/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</row>
    <row r="70">
      <c r="A70" s="10">
        <f>"Growth — "&amp;Assumptions!$C$11</f>
        <v/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</row>
    <row r="71">
      <c r="A71" s="10">
        <f>"Growth — "&amp;Assumptions!$C$12</f>
        <v/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</row>
    <row r="72">
      <c r="A72" s="10">
        <f>"Growth — "&amp;Assumptions!$C$13</f>
        <v/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</row>
    <row r="73">
      <c r="A73" s="10">
        <f>"Growth — "&amp;Assumptions!$C$14</f>
        <v/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</row>
    <row r="75">
      <c r="A75" s="6" t="inlineStr">
        <is>
          <t>Gross margin % (target)</t>
        </is>
      </c>
    </row>
    <row r="76"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</row>
    <row r="78">
      <c r="A78" s="6" t="inlineStr">
        <is>
          <t>Other income (£m, direct)</t>
        </is>
      </c>
    </row>
    <row r="79">
      <c r="F79" s="11" t="n">
        <v>0</v>
      </c>
      <c r="G79" s="11" t="n">
        <v>0</v>
      </c>
      <c r="H79" s="11" t="n">
        <v>0</v>
      </c>
      <c r="I79" s="11" t="n">
        <v>0</v>
      </c>
      <c r="J79" s="11" t="n">
        <v>0</v>
      </c>
      <c r="K79" s="11" t="n">
        <v>0</v>
      </c>
      <c r="L79" s="11" t="n">
        <v>0</v>
      </c>
      <c r="M79" s="11" t="n">
        <v>0</v>
      </c>
    </row>
    <row r="81">
      <c r="A81" s="6" t="inlineStr">
        <is>
          <t>Staff costs (% of total revenue)</t>
        </is>
      </c>
    </row>
    <row r="82"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</row>
    <row r="84">
      <c r="A84" s="6" t="inlineStr">
        <is>
          <t>Other operating expenses (% of total revenue)</t>
        </is>
      </c>
    </row>
    <row r="85"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</row>
    <row r="87">
      <c r="A87" s="6" t="inlineStr">
        <is>
          <t>Depreciation &amp; amortisation (% of total revenue)</t>
        </is>
      </c>
    </row>
    <row r="88"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</row>
    <row r="90">
      <c r="A90" s="6" t="inlineStr">
        <is>
          <t>Non-recurring / QoE adjustments (£m, direct)</t>
        </is>
      </c>
    </row>
    <row r="91">
      <c r="F91" s="11" t="n">
        <v>0</v>
      </c>
      <c r="G91" s="11" t="n">
        <v>0</v>
      </c>
      <c r="H91" s="11" t="n">
        <v>0</v>
      </c>
      <c r="I91" s="11" t="n">
        <v>0</v>
      </c>
      <c r="J91" s="11" t="n">
        <v>0</v>
      </c>
      <c r="K91" s="11" t="n">
        <v>0</v>
      </c>
      <c r="L91" s="11" t="n">
        <v>0</v>
      </c>
      <c r="M91" s="11" t="n">
        <v>0</v>
      </c>
    </row>
    <row r="93">
      <c r="A93" s="6" t="inlineStr">
        <is>
          <t>Δ Net working capital (£m, direct, outflow negative)</t>
        </is>
      </c>
    </row>
    <row r="94">
      <c r="F94" s="11" t="n">
        <v>0</v>
      </c>
      <c r="G94" s="11" t="n">
        <v>0</v>
      </c>
      <c r="H94" s="11" t="n">
        <v>0</v>
      </c>
      <c r="I94" s="11" t="n">
        <v>0</v>
      </c>
      <c r="J94" s="11" t="n">
        <v>0</v>
      </c>
      <c r="K94" s="11" t="n">
        <v>0</v>
      </c>
      <c r="L94" s="11" t="n">
        <v>0</v>
      </c>
      <c r="M94" s="11" t="n">
        <v>0</v>
      </c>
    </row>
    <row r="96">
      <c r="A96" s="6" t="inlineStr">
        <is>
          <t>Maintenance capex (% of total revenue)</t>
        </is>
      </c>
    </row>
    <row r="97">
      <c r="F97" s="12" t="n">
        <v>0</v>
      </c>
      <c r="G97" s="12" t="n">
        <v>0</v>
      </c>
      <c r="H97" s="12" t="n">
        <v>0</v>
      </c>
      <c r="I97" s="12" t="n">
        <v>0</v>
      </c>
      <c r="J97" s="12" t="n">
        <v>0</v>
      </c>
      <c r="K97" s="12" t="n">
        <v>0</v>
      </c>
      <c r="L97" s="12" t="n">
        <v>0</v>
      </c>
      <c r="M97" s="12" t="n">
        <v>0</v>
      </c>
    </row>
    <row r="99">
      <c r="A99" s="6" t="inlineStr">
        <is>
          <t>Growth capex (% of total revenue)</t>
        </is>
      </c>
    </row>
    <row r="100"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  <c r="K100" s="12" t="n">
        <v>0</v>
      </c>
      <c r="L100" s="12" t="n">
        <v>0</v>
      </c>
      <c r="M100" s="12" t="n">
        <v>0</v>
      </c>
    </row>
    <row r="102">
      <c r="A102" s="6" t="inlineStr">
        <is>
          <t>Exceptional &amp; other cash items (£m, direct)</t>
        </is>
      </c>
    </row>
    <row r="103">
      <c r="F103" s="11" t="n">
        <v>0</v>
      </c>
      <c r="G103" s="11" t="n">
        <v>0</v>
      </c>
      <c r="H103" s="11" t="n">
        <v>0</v>
      </c>
      <c r="I103" s="11" t="n">
        <v>0</v>
      </c>
      <c r="J103" s="11" t="n">
        <v>0</v>
      </c>
      <c r="K103" s="11" t="n">
        <v>0</v>
      </c>
      <c r="L103" s="11" t="n">
        <v>0</v>
      </c>
      <c r="M103" s="11" t="n">
        <v>0</v>
      </c>
    </row>
    <row r="105">
      <c r="A105" s="6" t="inlineStr">
        <is>
          <t>Effective cash tax rate (% of EBIT, floored at zero)</t>
        </is>
      </c>
    </row>
    <row r="106">
      <c r="F106" s="12" t="n">
        <v>0</v>
      </c>
      <c r="G106" s="12" t="n">
        <v>0</v>
      </c>
      <c r="H106" s="12" t="n">
        <v>0</v>
      </c>
      <c r="I106" s="12" t="n">
        <v>0</v>
      </c>
      <c r="J106" s="12" t="n">
        <v>0</v>
      </c>
      <c r="K106" s="12" t="n">
        <v>0</v>
      </c>
      <c r="L106" s="12" t="n">
        <v>0</v>
      </c>
      <c r="M106" s="12" t="n">
        <v>0</v>
      </c>
    </row>
    <row r="108">
      <c r="A108" s="6" t="inlineStr">
        <is>
          <t>Acquisition-related cash outflow (£m, direct — leave 0 if none)</t>
        </is>
      </c>
    </row>
    <row r="109">
      <c r="F109" s="11" t="n">
        <v>0</v>
      </c>
      <c r="G109" s="11" t="n">
        <v>0</v>
      </c>
      <c r="H109" s="11" t="n">
        <v>0</v>
      </c>
      <c r="I109" s="11" t="n">
        <v>0</v>
      </c>
      <c r="J109" s="11" t="n">
        <v>0</v>
      </c>
      <c r="K109" s="11" t="n">
        <v>0</v>
      </c>
      <c r="L109" s="11" t="n">
        <v>0</v>
      </c>
      <c r="M109" s="11" t="n">
        <v>0</v>
      </c>
    </row>
    <row r="111">
      <c r="A111" s="6" t="inlineStr">
        <is>
          <t>Acquisition / delayed-draw facility drawdown (£m, direct — leave 0 if none)</t>
        </is>
      </c>
    </row>
    <row r="112">
      <c r="F112" s="11" t="n">
        <v>0</v>
      </c>
      <c r="G112" s="11" t="n">
        <v>0</v>
      </c>
      <c r="H112" s="11" t="n">
        <v>0</v>
      </c>
      <c r="I112" s="11" t="n">
        <v>0</v>
      </c>
      <c r="J112" s="11" t="n">
        <v>0</v>
      </c>
      <c r="K112" s="11" t="n">
        <v>0</v>
      </c>
      <c r="L112" s="11" t="n">
        <v>0</v>
      </c>
      <c r="M112" s="11" t="n">
        <v>0</v>
      </c>
    </row>
    <row r="113" ht="16" customHeight="1">
      <c r="A113" s="5" t="inlineStr">
        <is>
          <t>3. DEBT, RATE &amp; COVENANT ASSUMPTIONS  (single cells — apply across the whole forecast)</t>
        </is>
      </c>
    </row>
    <row r="114">
      <c r="A114" s="13" t="inlineStr">
        <is>
          <t xml:space="preserve">   Base rate — e.g. SOFR/SONIA (%)</t>
        </is>
      </c>
      <c r="C114" s="14" t="n">
        <v>0</v>
      </c>
    </row>
    <row r="115">
      <c r="A115" s="13" t="inlineStr">
        <is>
          <t xml:space="preserve">   Credit margin over base rate (%)</t>
        </is>
      </c>
      <c r="C115" s="14" t="n">
        <v>0</v>
      </c>
    </row>
    <row r="116">
      <c r="A116" s="13" t="inlineStr">
        <is>
          <t xml:space="preserve">   RCF facility limit (£m)</t>
        </is>
      </c>
      <c r="C116" s="15" t="n">
        <v>0</v>
      </c>
    </row>
    <row r="117">
      <c r="A117" s="13" t="inlineStr">
        <is>
          <t xml:space="preserve">   Acquisition / delayed-draw facility limit (£m)</t>
        </is>
      </c>
      <c r="C117" s="15" t="n">
        <v>0</v>
      </c>
    </row>
    <row r="118">
      <c r="A118" s="13" t="inlineStr">
        <is>
          <t xml:space="preserve">   Term Loan — opening balance at close (£m)</t>
        </is>
      </c>
      <c r="C118" s="15" t="n">
        <v>0</v>
      </c>
    </row>
    <row r="119">
      <c r="A119" s="13" t="inlineStr">
        <is>
          <t xml:space="preserve">   Term Loan — scheduled amortisation (% of opening, p.a.)</t>
        </is>
      </c>
      <c r="C119" s="14" t="n">
        <v>0</v>
      </c>
    </row>
    <row r="120">
      <c r="A120" s="13" t="inlineStr">
        <is>
          <t xml:space="preserve">   Term Loan — repay in full at final forecast period (1=yes, 0=no)</t>
        </is>
      </c>
      <c r="C120" s="16" t="n">
        <v>1</v>
      </c>
    </row>
    <row r="121">
      <c r="A121" s="13" t="inlineStr">
        <is>
          <t xml:space="preserve">   Opening cash at close (£m)</t>
        </is>
      </c>
      <c r="C121" s="15" t="n">
        <v>0</v>
      </c>
    </row>
    <row r="122">
      <c r="A122" s="13" t="inlineStr">
        <is>
          <t xml:space="preserve">   Net leverage covenant ceiling (x Adjusted EBITDA)</t>
        </is>
      </c>
      <c r="C122" s="17" t="n">
        <v>0</v>
      </c>
    </row>
    <row r="123">
      <c r="A123" s="13" t="inlineStr">
        <is>
          <t xml:space="preserve">   Minimum DSCR covenant (x)</t>
        </is>
      </c>
      <c r="C123" s="17" t="n">
        <v>0</v>
      </c>
    </row>
    <row r="124">
      <c r="A124" s="13" t="inlineStr">
        <is>
          <t xml:space="preserve">   Minimum interest cover covenant (x)</t>
        </is>
      </c>
      <c r="C124" s="17" t="n">
        <v>0</v>
      </c>
    </row>
  </sheetData>
  <mergeCells count="6">
    <mergeCell ref="A66:M66"/>
    <mergeCell ref="A1:M1"/>
    <mergeCell ref="A4:M4"/>
    <mergeCell ref="A2:M2"/>
    <mergeCell ref="A113:M113"/>
    <mergeCell ref="A16:M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8"/>
    <outlinePr summaryBelow="1" summaryRight="1"/>
    <pageSetUpPr/>
  </sheetPr>
  <dimension ref="A1:M99"/>
  <sheetViews>
    <sheetView showGridLines="0" workbookViewId="0">
      <pane xSplit="1" topLeftCell="B1" activePane="topRight" state="frozen"/>
      <selection pane="topRight" activeCell="A1" sqref="A1"/>
    </sheetView>
  </sheetViews>
  <sheetFormatPr baseColWidth="8" defaultRowHeight="15"/>
  <cols>
    <col width="42" customWidth="1" min="1" max="1"/>
    <col width="11.3" customWidth="1" min="2" max="2"/>
    <col width="11.3" customWidth="1" min="3" max="3"/>
    <col width="11.3" customWidth="1" min="4" max="4"/>
    <col width="11.3" customWidth="1" min="5" max="5"/>
    <col width="11.3" customWidth="1" min="6" max="6"/>
    <col width="11.3" customWidth="1" min="7" max="7"/>
    <col width="11.3" customWidth="1" min="8" max="8"/>
    <col width="11.3" customWidth="1" min="9" max="9"/>
    <col width="11.3" customWidth="1" min="10" max="10"/>
    <col width="11.3" customWidth="1" min="11" max="11"/>
    <col width="11.3" customWidth="1" min="12" max="12"/>
    <col width="11.3" customWidth="1" min="13" max="13"/>
  </cols>
  <sheetData>
    <row r="1" ht="26" customHeight="1">
      <c r="A1" s="1" t="inlineStr">
        <is>
          <t>1. Management Case</t>
        </is>
      </c>
    </row>
    <row r="2">
      <c r="A2" s="4" t="inlineStr">
        <is>
          <t>Base / management case. Flex cells all zero by default — this tab IS the anchor the sensitivities flex off. Fill in the Assumptions tab; every number here is a formula, nothing is typed directly into this tab.</t>
        </is>
      </c>
    </row>
    <row r="4" ht="16" customHeight="1">
      <c r="A4" s="5" t="inlineStr">
        <is>
          <t>SENSITIVITY FLEX ASSUMPTIONS (this tab only — tweak these, everything below recalculates)</t>
        </is>
      </c>
    </row>
    <row r="5">
      <c r="A5" s="13" t="inlineStr">
        <is>
          <t xml:space="preserve">   Revenue growth adjustment (ppt, added to every segment, every forecast period)</t>
        </is>
      </c>
      <c r="C5" s="18" t="n">
        <v>0</v>
      </c>
    </row>
    <row r="6">
      <c r="A6" s="13" t="inlineStr">
        <is>
          <t xml:space="preserve">   Gross margin compression (ppt, subtracted from target margin)</t>
        </is>
      </c>
      <c r="C6" s="18" t="n">
        <v>0</v>
      </c>
    </row>
    <row r="7">
      <c r="A7" s="13" t="inlineStr">
        <is>
          <t xml:space="preserve">   Cost inflation add-on (ppt of revenue, on 'Other operating expenses')</t>
        </is>
      </c>
      <c r="C7" s="18" t="n">
        <v>0</v>
      </c>
    </row>
    <row r="8">
      <c r="A8" s="13" t="inlineStr">
        <is>
          <t xml:space="preserve">   Capex increase (%, multiplicative uplift to capex ratios)</t>
        </is>
      </c>
      <c r="C8" s="18" t="n">
        <v>0</v>
      </c>
    </row>
    <row r="9">
      <c r="A9" s="13" t="inlineStr">
        <is>
          <t xml:space="preserve">   Working-capital drag increase (%, multiplicative uplift to NWC outflow)</t>
        </is>
      </c>
      <c r="C9" s="18" t="n">
        <v>0</v>
      </c>
    </row>
    <row r="10">
      <c r="A10" s="13" t="inlineStr">
        <is>
          <t xml:space="preserve">   Interest rate shock (bps, added to all-in cost of debt)</t>
        </is>
      </c>
      <c r="C10" s="19" t="n">
        <v>0</v>
      </c>
    </row>
    <row r="12" ht="32" customHeight="1">
      <c r="A12" s="20" t="inlineStr">
        <is>
          <t>£m | Period</t>
        </is>
      </c>
      <c r="B12" s="21">
        <f>Assumptions!B$6</f>
        <v/>
      </c>
      <c r="C12" s="21">
        <f>Assumptions!C$6</f>
        <v/>
      </c>
      <c r="D12" s="21">
        <f>Assumptions!D$6</f>
        <v/>
      </c>
      <c r="E12" s="21">
        <f>Assumptions!E$6</f>
        <v/>
      </c>
      <c r="F12" s="21">
        <f>Assumptions!F$6</f>
        <v/>
      </c>
      <c r="G12" s="21">
        <f>Assumptions!G$6</f>
        <v/>
      </c>
      <c r="H12" s="21">
        <f>Assumptions!H$6</f>
        <v/>
      </c>
      <c r="I12" s="21">
        <f>Assumptions!I$6</f>
        <v/>
      </c>
      <c r="J12" s="21">
        <f>Assumptions!J$6</f>
        <v/>
      </c>
      <c r="K12" s="21">
        <f>Assumptions!K$6</f>
        <v/>
      </c>
      <c r="L12" s="21">
        <f>Assumptions!L$6</f>
        <v/>
      </c>
      <c r="M12" s="21">
        <f>Assumptions!M$6</f>
        <v/>
      </c>
    </row>
    <row r="14" ht="16" customHeight="1">
      <c r="A14" s="5" t="inlineStr">
        <is>
          <t>REVENUE</t>
        </is>
      </c>
    </row>
    <row r="15">
      <c r="A15" s="10">
        <f>Assumptions!$C$9</f>
        <v/>
      </c>
      <c r="B15" s="22">
        <f>Assumptions!B18</f>
        <v/>
      </c>
      <c r="C15" s="22">
        <f>Assumptions!C18</f>
        <v/>
      </c>
      <c r="D15" s="22">
        <f>Assumptions!D18</f>
        <v/>
      </c>
      <c r="E15" s="22">
        <f>Assumptions!E18</f>
        <v/>
      </c>
      <c r="F15" s="23">
        <f>E15*(1+Assumptions!F68+$C$5)</f>
        <v/>
      </c>
      <c r="G15" s="23">
        <f>F15*(1+Assumptions!G68+$C$5)</f>
        <v/>
      </c>
      <c r="H15" s="23">
        <f>G15*(1+Assumptions!H68+$C$5)</f>
        <v/>
      </c>
      <c r="I15" s="23">
        <f>H15*(1+Assumptions!I68+$C$5)</f>
        <v/>
      </c>
      <c r="J15" s="23">
        <f>I15*(1+Assumptions!J68+$C$5)</f>
        <v/>
      </c>
      <c r="K15" s="23">
        <f>J15*(1+Assumptions!K68+$C$5)</f>
        <v/>
      </c>
      <c r="L15" s="23">
        <f>K15*(1+Assumptions!L68+$C$5)</f>
        <v/>
      </c>
      <c r="M15" s="23">
        <f>L15*(1+Assumptions!M68+$C$5)</f>
        <v/>
      </c>
    </row>
    <row r="16">
      <c r="A16" s="10">
        <f>Assumptions!$C$10</f>
        <v/>
      </c>
      <c r="B16" s="22">
        <f>Assumptions!B19</f>
        <v/>
      </c>
      <c r="C16" s="22">
        <f>Assumptions!C19</f>
        <v/>
      </c>
      <c r="D16" s="22">
        <f>Assumptions!D19</f>
        <v/>
      </c>
      <c r="E16" s="22">
        <f>Assumptions!E19</f>
        <v/>
      </c>
      <c r="F16" s="23">
        <f>E16*(1+Assumptions!F69+$C$5)</f>
        <v/>
      </c>
      <c r="G16" s="23">
        <f>F16*(1+Assumptions!G69+$C$5)</f>
        <v/>
      </c>
      <c r="H16" s="23">
        <f>G16*(1+Assumptions!H69+$C$5)</f>
        <v/>
      </c>
      <c r="I16" s="23">
        <f>H16*(1+Assumptions!I69+$C$5)</f>
        <v/>
      </c>
      <c r="J16" s="23">
        <f>I16*(1+Assumptions!J69+$C$5)</f>
        <v/>
      </c>
      <c r="K16" s="23">
        <f>J16*(1+Assumptions!K69+$C$5)</f>
        <v/>
      </c>
      <c r="L16" s="23">
        <f>K16*(1+Assumptions!L69+$C$5)</f>
        <v/>
      </c>
      <c r="M16" s="23">
        <f>L16*(1+Assumptions!M69+$C$5)</f>
        <v/>
      </c>
    </row>
    <row r="17">
      <c r="A17" s="10">
        <f>Assumptions!$C$11</f>
        <v/>
      </c>
      <c r="B17" s="22">
        <f>Assumptions!B20</f>
        <v/>
      </c>
      <c r="C17" s="22">
        <f>Assumptions!C20</f>
        <v/>
      </c>
      <c r="D17" s="22">
        <f>Assumptions!D20</f>
        <v/>
      </c>
      <c r="E17" s="22">
        <f>Assumptions!E20</f>
        <v/>
      </c>
      <c r="F17" s="23">
        <f>E17*(1+Assumptions!F70+$C$5)</f>
        <v/>
      </c>
      <c r="G17" s="23">
        <f>F17*(1+Assumptions!G70+$C$5)</f>
        <v/>
      </c>
      <c r="H17" s="23">
        <f>G17*(1+Assumptions!H70+$C$5)</f>
        <v/>
      </c>
      <c r="I17" s="23">
        <f>H17*(1+Assumptions!I70+$C$5)</f>
        <v/>
      </c>
      <c r="J17" s="23">
        <f>I17*(1+Assumptions!J70+$C$5)</f>
        <v/>
      </c>
      <c r="K17" s="23">
        <f>J17*(1+Assumptions!K70+$C$5)</f>
        <v/>
      </c>
      <c r="L17" s="23">
        <f>K17*(1+Assumptions!L70+$C$5)</f>
        <v/>
      </c>
      <c r="M17" s="23">
        <f>L17*(1+Assumptions!M70+$C$5)</f>
        <v/>
      </c>
    </row>
    <row r="18">
      <c r="A18" s="10">
        <f>Assumptions!$C$12</f>
        <v/>
      </c>
      <c r="B18" s="22">
        <f>Assumptions!B21</f>
        <v/>
      </c>
      <c r="C18" s="22">
        <f>Assumptions!C21</f>
        <v/>
      </c>
      <c r="D18" s="22">
        <f>Assumptions!D21</f>
        <v/>
      </c>
      <c r="E18" s="22">
        <f>Assumptions!E21</f>
        <v/>
      </c>
      <c r="F18" s="23">
        <f>E18*(1+Assumptions!F71+$C$5)</f>
        <v/>
      </c>
      <c r="G18" s="23">
        <f>F18*(1+Assumptions!G71+$C$5)</f>
        <v/>
      </c>
      <c r="H18" s="23">
        <f>G18*(1+Assumptions!H71+$C$5)</f>
        <v/>
      </c>
      <c r="I18" s="23">
        <f>H18*(1+Assumptions!I71+$C$5)</f>
        <v/>
      </c>
      <c r="J18" s="23">
        <f>I18*(1+Assumptions!J71+$C$5)</f>
        <v/>
      </c>
      <c r="K18" s="23">
        <f>J18*(1+Assumptions!K71+$C$5)</f>
        <v/>
      </c>
      <c r="L18" s="23">
        <f>K18*(1+Assumptions!L71+$C$5)</f>
        <v/>
      </c>
      <c r="M18" s="23">
        <f>L18*(1+Assumptions!M71+$C$5)</f>
        <v/>
      </c>
    </row>
    <row r="19">
      <c r="A19" s="10">
        <f>Assumptions!$C$13</f>
        <v/>
      </c>
      <c r="B19" s="22">
        <f>Assumptions!B22</f>
        <v/>
      </c>
      <c r="C19" s="22">
        <f>Assumptions!C22</f>
        <v/>
      </c>
      <c r="D19" s="22">
        <f>Assumptions!D22</f>
        <v/>
      </c>
      <c r="E19" s="22">
        <f>Assumptions!E22</f>
        <v/>
      </c>
      <c r="F19" s="23">
        <f>E19*(1+Assumptions!F72+$C$5)</f>
        <v/>
      </c>
      <c r="G19" s="23">
        <f>F19*(1+Assumptions!G72+$C$5)</f>
        <v/>
      </c>
      <c r="H19" s="23">
        <f>G19*(1+Assumptions!H72+$C$5)</f>
        <v/>
      </c>
      <c r="I19" s="23">
        <f>H19*(1+Assumptions!I72+$C$5)</f>
        <v/>
      </c>
      <c r="J19" s="23">
        <f>I19*(1+Assumptions!J72+$C$5)</f>
        <v/>
      </c>
      <c r="K19" s="23">
        <f>J19*(1+Assumptions!K72+$C$5)</f>
        <v/>
      </c>
      <c r="L19" s="23">
        <f>K19*(1+Assumptions!L72+$C$5)</f>
        <v/>
      </c>
      <c r="M19" s="23">
        <f>L19*(1+Assumptions!M72+$C$5)</f>
        <v/>
      </c>
    </row>
    <row r="20">
      <c r="A20" s="10">
        <f>Assumptions!$C$14</f>
        <v/>
      </c>
      <c r="B20" s="22">
        <f>Assumptions!B23</f>
        <v/>
      </c>
      <c r="C20" s="22">
        <f>Assumptions!C23</f>
        <v/>
      </c>
      <c r="D20" s="22">
        <f>Assumptions!D23</f>
        <v/>
      </c>
      <c r="E20" s="22">
        <f>Assumptions!E23</f>
        <v/>
      </c>
      <c r="F20" s="23">
        <f>E20*(1+Assumptions!F73+$C$5)</f>
        <v/>
      </c>
      <c r="G20" s="23">
        <f>F20*(1+Assumptions!G73+$C$5)</f>
        <v/>
      </c>
      <c r="H20" s="23">
        <f>G20*(1+Assumptions!H73+$C$5)</f>
        <v/>
      </c>
      <c r="I20" s="23">
        <f>H20*(1+Assumptions!I73+$C$5)</f>
        <v/>
      </c>
      <c r="J20" s="23">
        <f>I20*(1+Assumptions!J73+$C$5)</f>
        <v/>
      </c>
      <c r="K20" s="23">
        <f>J20*(1+Assumptions!K73+$C$5)</f>
        <v/>
      </c>
      <c r="L20" s="23">
        <f>K20*(1+Assumptions!L73+$C$5)</f>
        <v/>
      </c>
      <c r="M20" s="23">
        <f>L20*(1+Assumptions!M73+$C$5)</f>
        <v/>
      </c>
    </row>
    <row r="21">
      <c r="A21" s="24" t="inlineStr">
        <is>
          <t>Total Revenue</t>
        </is>
      </c>
      <c r="B21" s="25">
        <f>B15+B16+B17+B18+B19+B20</f>
        <v/>
      </c>
      <c r="C21" s="25">
        <f>C15+C16+C17+C18+C19+C20</f>
        <v/>
      </c>
      <c r="D21" s="25">
        <f>D15+D16+D17+D18+D19+D20</f>
        <v/>
      </c>
      <c r="E21" s="25">
        <f>E15+E16+E17+E18+E19+E20</f>
        <v/>
      </c>
      <c r="F21" s="25">
        <f>F15+F16+F17+F18+F19+F20</f>
        <v/>
      </c>
      <c r="G21" s="25">
        <f>G15+G16+G17+G18+G19+G20</f>
        <v/>
      </c>
      <c r="H21" s="25">
        <f>H15+H16+H17+H18+H19+H20</f>
        <v/>
      </c>
      <c r="I21" s="25">
        <f>I15+I16+I17+I18+I19+I20</f>
        <v/>
      </c>
      <c r="J21" s="25">
        <f>J15+J16+J17+J18+J19+J20</f>
        <v/>
      </c>
      <c r="K21" s="25">
        <f>K15+K16+K17+K18+K19+K20</f>
        <v/>
      </c>
      <c r="L21" s="25">
        <f>L15+L16+L17+L18+L19+L20</f>
        <v/>
      </c>
      <c r="M21" s="25">
        <f>M15+M16+M17+M18+M19+M20</f>
        <v/>
      </c>
    </row>
    <row r="22">
      <c r="A22" s="8" t="inlineStr">
        <is>
          <t>% growth</t>
        </is>
      </c>
      <c r="C22" s="26">
        <f>C21/B21-1</f>
        <v/>
      </c>
      <c r="D22" s="26">
        <f>D21/C21-1</f>
        <v/>
      </c>
      <c r="E22" s="26">
        <f>E21/D21-1</f>
        <v/>
      </c>
      <c r="F22" s="26">
        <f>F21/E21-1</f>
        <v/>
      </c>
      <c r="G22" s="26">
        <f>G21/F21-1</f>
        <v/>
      </c>
      <c r="H22" s="26">
        <f>H21/G21-1</f>
        <v/>
      </c>
      <c r="I22" s="26">
        <f>I21/H21-1</f>
        <v/>
      </c>
      <c r="J22" s="26">
        <f>J21/I21-1</f>
        <v/>
      </c>
      <c r="K22" s="26">
        <f>K21/J21-1</f>
        <v/>
      </c>
      <c r="L22" s="26">
        <f>L21/K21-1</f>
        <v/>
      </c>
      <c r="M22" s="26">
        <f>M21/L21-1</f>
        <v/>
      </c>
    </row>
    <row r="24" ht="16" customHeight="1">
      <c r="A24" s="5" t="inlineStr">
        <is>
          <t>COST OF SALES &amp; GROSS PROFIT</t>
        </is>
      </c>
    </row>
    <row r="25">
      <c r="A25" s="13" t="inlineStr">
        <is>
          <t xml:space="preserve">   Cost of sales / COGS</t>
        </is>
      </c>
      <c r="B25" s="22">
        <f>-B21*(1-Assumptions!B26)</f>
        <v/>
      </c>
      <c r="C25" s="22">
        <f>-C21*(1-Assumptions!C26)</f>
        <v/>
      </c>
      <c r="D25" s="22">
        <f>-D21*(1-Assumptions!D26)</f>
        <v/>
      </c>
      <c r="E25" s="22">
        <f>-E21*(1-Assumptions!E26)</f>
        <v/>
      </c>
      <c r="F25" s="22">
        <f>-F21*(1-(Assumptions!F76-$C$6))</f>
        <v/>
      </c>
      <c r="G25" s="22">
        <f>-G21*(1-(Assumptions!G76-$C$6))</f>
        <v/>
      </c>
      <c r="H25" s="22">
        <f>-H21*(1-(Assumptions!H76-$C$6))</f>
        <v/>
      </c>
      <c r="I25" s="22">
        <f>-I21*(1-(Assumptions!I76-$C$6))</f>
        <v/>
      </c>
      <c r="J25" s="22">
        <f>-J21*(1-(Assumptions!J76-$C$6))</f>
        <v/>
      </c>
      <c r="K25" s="22">
        <f>-K21*(1-(Assumptions!K76-$C$6))</f>
        <v/>
      </c>
      <c r="L25" s="22">
        <f>-L21*(1-(Assumptions!L76-$C$6))</f>
        <v/>
      </c>
      <c r="M25" s="22">
        <f>-M21*(1-(Assumptions!M76-$C$6))</f>
        <v/>
      </c>
    </row>
    <row r="26">
      <c r="A26" s="24" t="inlineStr">
        <is>
          <t>Gross Profit</t>
        </is>
      </c>
      <c r="B26" s="25">
        <f>B21+B25</f>
        <v/>
      </c>
      <c r="C26" s="25">
        <f>C21+C25</f>
        <v/>
      </c>
      <c r="D26" s="25">
        <f>D21+D25</f>
        <v/>
      </c>
      <c r="E26" s="25">
        <f>E21+E25</f>
        <v/>
      </c>
      <c r="F26" s="25">
        <f>F21+F25</f>
        <v/>
      </c>
      <c r="G26" s="25">
        <f>G21+G25</f>
        <v/>
      </c>
      <c r="H26" s="25">
        <f>H21+H25</f>
        <v/>
      </c>
      <c r="I26" s="25">
        <f>I21+I25</f>
        <v/>
      </c>
      <c r="J26" s="25">
        <f>J21+J25</f>
        <v/>
      </c>
      <c r="K26" s="25">
        <f>K21+K25</f>
        <v/>
      </c>
      <c r="L26" s="25">
        <f>L21+L25</f>
        <v/>
      </c>
      <c r="M26" s="25">
        <f>M21+M25</f>
        <v/>
      </c>
    </row>
    <row r="27">
      <c r="A27" s="8" t="inlineStr">
        <is>
          <t>Gross margin %</t>
        </is>
      </c>
      <c r="B27" s="26">
        <f>B26/B21</f>
        <v/>
      </c>
      <c r="C27" s="26">
        <f>C26/C21</f>
        <v/>
      </c>
      <c r="D27" s="26">
        <f>D26/D21</f>
        <v/>
      </c>
      <c r="E27" s="26">
        <f>E26/E21</f>
        <v/>
      </c>
      <c r="F27" s="26">
        <f>F26/F21</f>
        <v/>
      </c>
      <c r="G27" s="26">
        <f>G26/G21</f>
        <v/>
      </c>
      <c r="H27" s="26">
        <f>H26/H21</f>
        <v/>
      </c>
      <c r="I27" s="26">
        <f>I26/I21</f>
        <v/>
      </c>
      <c r="J27" s="26">
        <f>J26/J21</f>
        <v/>
      </c>
      <c r="K27" s="26">
        <f>K26/K21</f>
        <v/>
      </c>
      <c r="L27" s="26">
        <f>L26/L21</f>
        <v/>
      </c>
      <c r="M27" s="26">
        <f>M26/M21</f>
        <v/>
      </c>
    </row>
    <row r="29" ht="16" customHeight="1">
      <c r="A29" s="5" t="inlineStr">
        <is>
          <t>OPERATING EXPENSES</t>
        </is>
      </c>
    </row>
    <row r="30">
      <c r="A30" s="13" t="inlineStr">
        <is>
          <t xml:space="preserve">   Other income</t>
        </is>
      </c>
      <c r="B30" s="22">
        <f>Assumptions!B29</f>
        <v/>
      </c>
      <c r="C30" s="22">
        <f>Assumptions!C29</f>
        <v/>
      </c>
      <c r="D30" s="22">
        <f>Assumptions!D29</f>
        <v/>
      </c>
      <c r="E30" s="22">
        <f>Assumptions!E29</f>
        <v/>
      </c>
      <c r="F30" s="22">
        <f>Assumptions!F79</f>
        <v/>
      </c>
      <c r="G30" s="22">
        <f>Assumptions!G79</f>
        <v/>
      </c>
      <c r="H30" s="22">
        <f>Assumptions!H79</f>
        <v/>
      </c>
      <c r="I30" s="22">
        <f>Assumptions!I79</f>
        <v/>
      </c>
      <c r="J30" s="22">
        <f>Assumptions!J79</f>
        <v/>
      </c>
      <c r="K30" s="22">
        <f>Assumptions!K79</f>
        <v/>
      </c>
      <c r="L30" s="22">
        <f>Assumptions!L79</f>
        <v/>
      </c>
      <c r="M30" s="22">
        <f>Assumptions!M79</f>
        <v/>
      </c>
    </row>
    <row r="31">
      <c r="A31" s="13" t="inlineStr">
        <is>
          <t xml:space="preserve">   Staff costs</t>
        </is>
      </c>
      <c r="B31" s="22">
        <f>Assumptions!B32</f>
        <v/>
      </c>
      <c r="C31" s="22">
        <f>Assumptions!C32</f>
        <v/>
      </c>
      <c r="D31" s="22">
        <f>Assumptions!D32</f>
        <v/>
      </c>
      <c r="E31" s="22">
        <f>Assumptions!E32</f>
        <v/>
      </c>
      <c r="F31" s="22">
        <f>-F21*Assumptions!F82</f>
        <v/>
      </c>
      <c r="G31" s="22">
        <f>-G21*Assumptions!G82</f>
        <v/>
      </c>
      <c r="H31" s="22">
        <f>-H21*Assumptions!H82</f>
        <v/>
      </c>
      <c r="I31" s="22">
        <f>-I21*Assumptions!I82</f>
        <v/>
      </c>
      <c r="J31" s="22">
        <f>-J21*Assumptions!J82</f>
        <v/>
      </c>
      <c r="K31" s="22">
        <f>-K21*Assumptions!K82</f>
        <v/>
      </c>
      <c r="L31" s="22">
        <f>-L21*Assumptions!L82</f>
        <v/>
      </c>
      <c r="M31" s="22">
        <f>-M21*Assumptions!M82</f>
        <v/>
      </c>
    </row>
    <row r="32">
      <c r="A32" s="13" t="inlineStr">
        <is>
          <t xml:space="preserve">   Other operating expenses</t>
        </is>
      </c>
      <c r="B32" s="22">
        <f>Assumptions!B35</f>
        <v/>
      </c>
      <c r="C32" s="22">
        <f>Assumptions!C35</f>
        <v/>
      </c>
      <c r="D32" s="22">
        <f>Assumptions!D35</f>
        <v/>
      </c>
      <c r="E32" s="22">
        <f>Assumptions!E35</f>
        <v/>
      </c>
      <c r="F32" s="22">
        <f>-F21*(Assumptions!F85+$C$7)</f>
        <v/>
      </c>
      <c r="G32" s="22">
        <f>-G21*(Assumptions!G85+$C$7)</f>
        <v/>
      </c>
      <c r="H32" s="22">
        <f>-H21*(Assumptions!H85+$C$7)</f>
        <v/>
      </c>
      <c r="I32" s="22">
        <f>-I21*(Assumptions!I85+$C$7)</f>
        <v/>
      </c>
      <c r="J32" s="22">
        <f>-J21*(Assumptions!J85+$C$7)</f>
        <v/>
      </c>
      <c r="K32" s="22">
        <f>-K21*(Assumptions!K85+$C$7)</f>
        <v/>
      </c>
      <c r="L32" s="22">
        <f>-L21*(Assumptions!L85+$C$7)</f>
        <v/>
      </c>
      <c r="M32" s="22">
        <f>-M21*(Assumptions!M85+$C$7)</f>
        <v/>
      </c>
    </row>
    <row r="33">
      <c r="A33" s="24" t="inlineStr">
        <is>
          <t>Total Operating Expenses</t>
        </is>
      </c>
      <c r="B33" s="25">
        <f>B31+B32</f>
        <v/>
      </c>
      <c r="C33" s="25">
        <f>C31+C32</f>
        <v/>
      </c>
      <c r="D33" s="25">
        <f>D31+D32</f>
        <v/>
      </c>
      <c r="E33" s="25">
        <f>E31+E32</f>
        <v/>
      </c>
      <c r="F33" s="25">
        <f>F31+F32</f>
        <v/>
      </c>
      <c r="G33" s="25">
        <f>G31+G32</f>
        <v/>
      </c>
      <c r="H33" s="25">
        <f>H31+H32</f>
        <v/>
      </c>
      <c r="I33" s="25">
        <f>I31+I32</f>
        <v/>
      </c>
      <c r="J33" s="25">
        <f>J31+J32</f>
        <v/>
      </c>
      <c r="K33" s="25">
        <f>K31+K32</f>
        <v/>
      </c>
      <c r="L33" s="25">
        <f>L31+L32</f>
        <v/>
      </c>
      <c r="M33" s="25">
        <f>M31+M32</f>
        <v/>
      </c>
    </row>
    <row r="34">
      <c r="A34" s="8" t="inlineStr">
        <is>
          <t>Operating expenses — % of sales</t>
        </is>
      </c>
      <c r="B34" s="26">
        <f>-B33/B21</f>
        <v/>
      </c>
      <c r="C34" s="26">
        <f>-C33/C21</f>
        <v/>
      </c>
      <c r="D34" s="26">
        <f>-D33/D21</f>
        <v/>
      </c>
      <c r="E34" s="26">
        <f>-E33/E21</f>
        <v/>
      </c>
      <c r="F34" s="26">
        <f>-F33/F21</f>
        <v/>
      </c>
      <c r="G34" s="26">
        <f>-G33/G21</f>
        <v/>
      </c>
      <c r="H34" s="26">
        <f>-H33/H21</f>
        <v/>
      </c>
      <c r="I34" s="26">
        <f>-I33/I21</f>
        <v/>
      </c>
      <c r="J34" s="26">
        <f>-J33/J21</f>
        <v/>
      </c>
      <c r="K34" s="26">
        <f>-K33/K21</f>
        <v/>
      </c>
      <c r="L34" s="26">
        <f>-L33/L21</f>
        <v/>
      </c>
      <c r="M34" s="26">
        <f>-M33/M21</f>
        <v/>
      </c>
    </row>
    <row r="36" ht="16" customHeight="1">
      <c r="A36" s="5" t="inlineStr">
        <is>
          <t>EBITDA, D&amp;A &amp; EBIT</t>
        </is>
      </c>
    </row>
    <row r="37">
      <c r="A37" s="24" t="inlineStr">
        <is>
          <t>EBITDA</t>
        </is>
      </c>
      <c r="B37" s="25">
        <f>B26+B30+B33</f>
        <v/>
      </c>
      <c r="C37" s="25">
        <f>C26+C30+C33</f>
        <v/>
      </c>
      <c r="D37" s="25">
        <f>D26+D30+D33</f>
        <v/>
      </c>
      <c r="E37" s="25">
        <f>E26+E30+E33</f>
        <v/>
      </c>
      <c r="F37" s="25">
        <f>F26+F30+F33</f>
        <v/>
      </c>
      <c r="G37" s="25">
        <f>G26+G30+G33</f>
        <v/>
      </c>
      <c r="H37" s="25">
        <f>H26+H30+H33</f>
        <v/>
      </c>
      <c r="I37" s="25">
        <f>I26+I30+I33</f>
        <v/>
      </c>
      <c r="J37" s="25">
        <f>J26+J30+J33</f>
        <v/>
      </c>
      <c r="K37" s="25">
        <f>K26+K30+K33</f>
        <v/>
      </c>
      <c r="L37" s="25">
        <f>L26+L30+L33</f>
        <v/>
      </c>
      <c r="M37" s="25">
        <f>M26+M30+M33</f>
        <v/>
      </c>
    </row>
    <row r="38">
      <c r="A38" s="8" t="inlineStr">
        <is>
          <t>EBITDA margin %</t>
        </is>
      </c>
      <c r="B38" s="26">
        <f>B37/B21</f>
        <v/>
      </c>
      <c r="C38" s="26">
        <f>C37/C21</f>
        <v/>
      </c>
      <c r="D38" s="26">
        <f>D37/D21</f>
        <v/>
      </c>
      <c r="E38" s="26">
        <f>E37/E21</f>
        <v/>
      </c>
      <c r="F38" s="26">
        <f>F37/F21</f>
        <v/>
      </c>
      <c r="G38" s="26">
        <f>G37/G21</f>
        <v/>
      </c>
      <c r="H38" s="26">
        <f>H37/H21</f>
        <v/>
      </c>
      <c r="I38" s="26">
        <f>I37/I21</f>
        <v/>
      </c>
      <c r="J38" s="26">
        <f>J37/J21</f>
        <v/>
      </c>
      <c r="K38" s="26">
        <f>K37/K21</f>
        <v/>
      </c>
      <c r="L38" s="26">
        <f>L37/L21</f>
        <v/>
      </c>
      <c r="M38" s="26">
        <f>M37/M21</f>
        <v/>
      </c>
    </row>
    <row r="39">
      <c r="A39" s="13" t="inlineStr">
        <is>
          <t xml:space="preserve">   Depreciation &amp; amortisation</t>
        </is>
      </c>
      <c r="B39" s="22">
        <f>Assumptions!B38</f>
        <v/>
      </c>
      <c r="C39" s="22">
        <f>Assumptions!C38</f>
        <v/>
      </c>
      <c r="D39" s="22">
        <f>Assumptions!D38</f>
        <v/>
      </c>
      <c r="E39" s="22">
        <f>Assumptions!E38</f>
        <v/>
      </c>
      <c r="F39" s="22">
        <f>-F21*Assumptions!F88</f>
        <v/>
      </c>
      <c r="G39" s="22">
        <f>-G21*Assumptions!G88</f>
        <v/>
      </c>
      <c r="H39" s="22">
        <f>-H21*Assumptions!H88</f>
        <v/>
      </c>
      <c r="I39" s="22">
        <f>-I21*Assumptions!I88</f>
        <v/>
      </c>
      <c r="J39" s="22">
        <f>-J21*Assumptions!J88</f>
        <v/>
      </c>
      <c r="K39" s="22">
        <f>-K21*Assumptions!K88</f>
        <v/>
      </c>
      <c r="L39" s="22">
        <f>-L21*Assumptions!L88</f>
        <v/>
      </c>
      <c r="M39" s="22">
        <f>-M21*Assumptions!M88</f>
        <v/>
      </c>
    </row>
    <row r="40">
      <c r="A40" s="24" t="inlineStr">
        <is>
          <t>EBIT</t>
        </is>
      </c>
      <c r="B40" s="25">
        <f>B37+B39</f>
        <v/>
      </c>
      <c r="C40" s="25">
        <f>C37+C39</f>
        <v/>
      </c>
      <c r="D40" s="25">
        <f>D37+D39</f>
        <v/>
      </c>
      <c r="E40" s="25">
        <f>E37+E39</f>
        <v/>
      </c>
      <c r="F40" s="25">
        <f>F37+F39</f>
        <v/>
      </c>
      <c r="G40" s="25">
        <f>G37+G39</f>
        <v/>
      </c>
      <c r="H40" s="25">
        <f>H37+H39</f>
        <v/>
      </c>
      <c r="I40" s="25">
        <f>I37+I39</f>
        <v/>
      </c>
      <c r="J40" s="25">
        <f>J37+J39</f>
        <v/>
      </c>
      <c r="K40" s="25">
        <f>K37+K39</f>
        <v/>
      </c>
      <c r="L40" s="25">
        <f>L37+L39</f>
        <v/>
      </c>
      <c r="M40" s="25">
        <f>M37+M39</f>
        <v/>
      </c>
    </row>
    <row r="41">
      <c r="A41" s="13" t="inlineStr">
        <is>
          <t xml:space="preserve">   Non-recurring / QoE adjustments</t>
        </is>
      </c>
      <c r="B41" s="22">
        <f>Assumptions!B41</f>
        <v/>
      </c>
      <c r="C41" s="22">
        <f>Assumptions!C41</f>
        <v/>
      </c>
      <c r="D41" s="22">
        <f>Assumptions!D41</f>
        <v/>
      </c>
      <c r="E41" s="22">
        <f>Assumptions!E41</f>
        <v/>
      </c>
      <c r="F41" s="22">
        <f>Assumptions!F91</f>
        <v/>
      </c>
      <c r="G41" s="22">
        <f>Assumptions!G91</f>
        <v/>
      </c>
      <c r="H41" s="22">
        <f>Assumptions!H91</f>
        <v/>
      </c>
      <c r="I41" s="22">
        <f>Assumptions!I91</f>
        <v/>
      </c>
      <c r="J41" s="22">
        <f>Assumptions!J91</f>
        <v/>
      </c>
      <c r="K41" s="22">
        <f>Assumptions!K91</f>
        <v/>
      </c>
      <c r="L41" s="22">
        <f>Assumptions!L91</f>
        <v/>
      </c>
      <c r="M41" s="22">
        <f>Assumptions!M91</f>
        <v/>
      </c>
    </row>
    <row r="42">
      <c r="A42" s="24" t="inlineStr">
        <is>
          <t>Adjusted EBITDA</t>
        </is>
      </c>
      <c r="B42" s="25">
        <f>B37+B41</f>
        <v/>
      </c>
      <c r="C42" s="25">
        <f>C37+C41</f>
        <v/>
      </c>
      <c r="D42" s="25">
        <f>D37+D41</f>
        <v/>
      </c>
      <c r="E42" s="25">
        <f>E37+E41</f>
        <v/>
      </c>
      <c r="F42" s="25">
        <f>F37+F41</f>
        <v/>
      </c>
      <c r="G42" s="25">
        <f>G37+G41</f>
        <v/>
      </c>
      <c r="H42" s="25">
        <f>H37+H41</f>
        <v/>
      </c>
      <c r="I42" s="25">
        <f>I37+I41</f>
        <v/>
      </c>
      <c r="J42" s="25">
        <f>J37+J41</f>
        <v/>
      </c>
      <c r="K42" s="25">
        <f>K37+K41</f>
        <v/>
      </c>
      <c r="L42" s="25">
        <f>L37+L41</f>
        <v/>
      </c>
      <c r="M42" s="25">
        <f>M37+M41</f>
        <v/>
      </c>
    </row>
    <row r="43">
      <c r="A43" s="8" t="inlineStr">
        <is>
          <t>Adjusted EBITDA margin %</t>
        </is>
      </c>
      <c r="B43" s="26">
        <f>B42/B21</f>
        <v/>
      </c>
      <c r="C43" s="26">
        <f>C42/C21</f>
        <v/>
      </c>
      <c r="D43" s="26">
        <f>D42/D21</f>
        <v/>
      </c>
      <c r="E43" s="26">
        <f>E42/E21</f>
        <v/>
      </c>
      <c r="F43" s="26">
        <f>F42/F21</f>
        <v/>
      </c>
      <c r="G43" s="26">
        <f>G42/G21</f>
        <v/>
      </c>
      <c r="H43" s="26">
        <f>H42/H21</f>
        <v/>
      </c>
      <c r="I43" s="26">
        <f>I42/I21</f>
        <v/>
      </c>
      <c r="J43" s="26">
        <f>J42/J21</f>
        <v/>
      </c>
      <c r="K43" s="26">
        <f>K42/K21</f>
        <v/>
      </c>
      <c r="L43" s="26">
        <f>L42/L21</f>
        <v/>
      </c>
      <c r="M43" s="26">
        <f>M42/M21</f>
        <v/>
      </c>
    </row>
    <row r="45">
      <c r="A45" s="6" t="inlineStr">
        <is>
          <t>Δ Net working capital</t>
        </is>
      </c>
      <c r="B45" s="22">
        <f>Assumptions!B44</f>
        <v/>
      </c>
      <c r="C45" s="22">
        <f>Assumptions!C44</f>
        <v/>
      </c>
      <c r="D45" s="22">
        <f>Assumptions!D44</f>
        <v/>
      </c>
      <c r="E45" s="22">
        <f>Assumptions!E44</f>
        <v/>
      </c>
      <c r="F45" s="22">
        <f>Assumptions!F94*(1+$C$9)</f>
        <v/>
      </c>
      <c r="G45" s="22">
        <f>Assumptions!G94*(1+$C$9)</f>
        <v/>
      </c>
      <c r="H45" s="22">
        <f>Assumptions!H94*(1+$C$9)</f>
        <v/>
      </c>
      <c r="I45" s="22">
        <f>Assumptions!I94*(1+$C$9)</f>
        <v/>
      </c>
      <c r="J45" s="22">
        <f>Assumptions!J94*(1+$C$9)</f>
        <v/>
      </c>
      <c r="K45" s="22">
        <f>Assumptions!K94*(1+$C$9)</f>
        <v/>
      </c>
      <c r="L45" s="22">
        <f>Assumptions!L94*(1+$C$9)</f>
        <v/>
      </c>
      <c r="M45" s="22">
        <f>Assumptions!M94*(1+$C$9)</f>
        <v/>
      </c>
    </row>
    <row r="46">
      <c r="A46" s="24" t="inlineStr">
        <is>
          <t>Operating Cash Flow</t>
        </is>
      </c>
      <c r="B46" s="25">
        <f>B42+B45</f>
        <v/>
      </c>
      <c r="C46" s="25">
        <f>C42+C45</f>
        <v/>
      </c>
      <c r="D46" s="25">
        <f>D42+D45</f>
        <v/>
      </c>
      <c r="E46" s="25">
        <f>E42+E45</f>
        <v/>
      </c>
      <c r="F46" s="25">
        <f>F42+F45</f>
        <v/>
      </c>
      <c r="G46" s="25">
        <f>G42+G45</f>
        <v/>
      </c>
      <c r="H46" s="25">
        <f>H42+H45</f>
        <v/>
      </c>
      <c r="I46" s="25">
        <f>I42+I45</f>
        <v/>
      </c>
      <c r="J46" s="25">
        <f>J42+J45</f>
        <v/>
      </c>
      <c r="K46" s="25">
        <f>K42+K45</f>
        <v/>
      </c>
      <c r="L46" s="25">
        <f>L42+L45</f>
        <v/>
      </c>
      <c r="M46" s="25">
        <f>M42+M45</f>
        <v/>
      </c>
    </row>
    <row r="47">
      <c r="A47" s="8" t="inlineStr">
        <is>
          <t>OCF : Adjusted EBITDA %</t>
        </is>
      </c>
      <c r="B47" s="26">
        <f>B46/B42</f>
        <v/>
      </c>
      <c r="C47" s="26">
        <f>C46/C42</f>
        <v/>
      </c>
      <c r="D47" s="26">
        <f>D46/D42</f>
        <v/>
      </c>
      <c r="E47" s="26">
        <f>E46/E42</f>
        <v/>
      </c>
      <c r="F47" s="26">
        <f>F46/F42</f>
        <v/>
      </c>
      <c r="G47" s="26">
        <f>G46/G42</f>
        <v/>
      </c>
      <c r="H47" s="26">
        <f>H46/H42</f>
        <v/>
      </c>
      <c r="I47" s="26">
        <f>I46/I42</f>
        <v/>
      </c>
      <c r="J47" s="26">
        <f>J46/J42</f>
        <v/>
      </c>
      <c r="K47" s="26">
        <f>K46/K42</f>
        <v/>
      </c>
      <c r="L47" s="26">
        <f>L46/L42</f>
        <v/>
      </c>
      <c r="M47" s="26">
        <f>M46/M42</f>
        <v/>
      </c>
    </row>
    <row r="49" ht="16" customHeight="1">
      <c r="A49" s="5" t="inlineStr">
        <is>
          <t>CAPEX</t>
        </is>
      </c>
    </row>
    <row r="50">
      <c r="A50" s="13" t="inlineStr">
        <is>
          <t xml:space="preserve">   Maintenance capex</t>
        </is>
      </c>
      <c r="B50" s="22">
        <f>Assumptions!B47</f>
        <v/>
      </c>
      <c r="C50" s="22">
        <f>Assumptions!C47</f>
        <v/>
      </c>
      <c r="D50" s="22">
        <f>Assumptions!D47</f>
        <v/>
      </c>
      <c r="E50" s="22">
        <f>Assumptions!E47</f>
        <v/>
      </c>
      <c r="F50" s="22">
        <f>-F21*Assumptions!F97*(1+$C$8)</f>
        <v/>
      </c>
      <c r="G50" s="22">
        <f>-G21*Assumptions!G97*(1+$C$8)</f>
        <v/>
      </c>
      <c r="H50" s="22">
        <f>-H21*Assumptions!H97*(1+$C$8)</f>
        <v/>
      </c>
      <c r="I50" s="22">
        <f>-I21*Assumptions!I97*(1+$C$8)</f>
        <v/>
      </c>
      <c r="J50" s="22">
        <f>-J21*Assumptions!J97*(1+$C$8)</f>
        <v/>
      </c>
      <c r="K50" s="22">
        <f>-K21*Assumptions!K97*(1+$C$8)</f>
        <v/>
      </c>
      <c r="L50" s="22">
        <f>-L21*Assumptions!L97*(1+$C$8)</f>
        <v/>
      </c>
      <c r="M50" s="22">
        <f>-M21*Assumptions!M97*(1+$C$8)</f>
        <v/>
      </c>
    </row>
    <row r="51">
      <c r="A51" s="13" t="inlineStr">
        <is>
          <t xml:space="preserve">   Growth capex</t>
        </is>
      </c>
      <c r="B51" s="22">
        <f>Assumptions!B50</f>
        <v/>
      </c>
      <c r="C51" s="22">
        <f>Assumptions!C50</f>
        <v/>
      </c>
      <c r="D51" s="22">
        <f>Assumptions!D50</f>
        <v/>
      </c>
      <c r="E51" s="22">
        <f>Assumptions!E50</f>
        <v/>
      </c>
      <c r="F51" s="22">
        <f>-F21*Assumptions!F100*(1+$C$8)</f>
        <v/>
      </c>
      <c r="G51" s="22">
        <f>-G21*Assumptions!G100*(1+$C$8)</f>
        <v/>
      </c>
      <c r="H51" s="22">
        <f>-H21*Assumptions!H100*(1+$C$8)</f>
        <v/>
      </c>
      <c r="I51" s="22">
        <f>-I21*Assumptions!I100*(1+$C$8)</f>
        <v/>
      </c>
      <c r="J51" s="22">
        <f>-J21*Assumptions!J100*(1+$C$8)</f>
        <v/>
      </c>
      <c r="K51" s="22">
        <f>-K21*Assumptions!K100*(1+$C$8)</f>
        <v/>
      </c>
      <c r="L51" s="22">
        <f>-L21*Assumptions!L100*(1+$C$8)</f>
        <v/>
      </c>
      <c r="M51" s="22">
        <f>-M21*Assumptions!M100*(1+$C$8)</f>
        <v/>
      </c>
    </row>
    <row r="52">
      <c r="A52" s="24" t="inlineStr">
        <is>
          <t>Total capex</t>
        </is>
      </c>
      <c r="B52" s="25">
        <f>B50+B51</f>
        <v/>
      </c>
      <c r="C52" s="25">
        <f>C50+C51</f>
        <v/>
      </c>
      <c r="D52" s="25">
        <f>D50+D51</f>
        <v/>
      </c>
      <c r="E52" s="25">
        <f>E50+E51</f>
        <v/>
      </c>
      <c r="F52" s="25">
        <f>F50+F51</f>
        <v/>
      </c>
      <c r="G52" s="25">
        <f>G50+G51</f>
        <v/>
      </c>
      <c r="H52" s="25">
        <f>H50+H51</f>
        <v/>
      </c>
      <c r="I52" s="25">
        <f>I50+I51</f>
        <v/>
      </c>
      <c r="J52" s="25">
        <f>J50+J51</f>
        <v/>
      </c>
      <c r="K52" s="25">
        <f>K50+K51</f>
        <v/>
      </c>
      <c r="L52" s="25">
        <f>L50+L51</f>
        <v/>
      </c>
      <c r="M52" s="25">
        <f>M50+M51</f>
        <v/>
      </c>
    </row>
    <row r="53">
      <c r="A53" s="8" t="inlineStr">
        <is>
          <t>Total capex — % of sales</t>
        </is>
      </c>
      <c r="B53" s="26">
        <f>-B52/B21</f>
        <v/>
      </c>
      <c r="C53" s="26">
        <f>-C52/C21</f>
        <v/>
      </c>
      <c r="D53" s="26">
        <f>-D52/D21</f>
        <v/>
      </c>
      <c r="E53" s="26">
        <f>-E52/E21</f>
        <v/>
      </c>
      <c r="F53" s="26">
        <f>-F52/F21</f>
        <v/>
      </c>
      <c r="G53" s="26">
        <f>-G52/G21</f>
        <v/>
      </c>
      <c r="H53" s="26">
        <f>-H52/H21</f>
        <v/>
      </c>
      <c r="I53" s="26">
        <f>-I52/I21</f>
        <v/>
      </c>
      <c r="J53" s="26">
        <f>-J52/J21</f>
        <v/>
      </c>
      <c r="K53" s="26">
        <f>-K52/K21</f>
        <v/>
      </c>
      <c r="L53" s="26">
        <f>-L52/L21</f>
        <v/>
      </c>
      <c r="M53" s="26">
        <f>-M52/M21</f>
        <v/>
      </c>
    </row>
    <row r="54">
      <c r="A54" s="8" t="inlineStr">
        <is>
          <t>Memo: cash conversion post capex % (of Adjusted EBITDA)</t>
        </is>
      </c>
      <c r="B54" s="26">
        <f>(B46+B52)/B42</f>
        <v/>
      </c>
      <c r="C54" s="26">
        <f>(C46+C52)/C42</f>
        <v/>
      </c>
      <c r="D54" s="26">
        <f>(D46+D52)/D42</f>
        <v/>
      </c>
      <c r="E54" s="26">
        <f>(E46+E52)/E42</f>
        <v/>
      </c>
      <c r="F54" s="26">
        <f>(F46+F52)/F42</f>
        <v/>
      </c>
      <c r="G54" s="26">
        <f>(G46+G52)/G42</f>
        <v/>
      </c>
      <c r="H54" s="26">
        <f>(H46+H52)/H42</f>
        <v/>
      </c>
      <c r="I54" s="26">
        <f>(I46+I52)/I42</f>
        <v/>
      </c>
      <c r="J54" s="26">
        <f>(J46+J52)/J42</f>
        <v/>
      </c>
      <c r="K54" s="26">
        <f>(K46+K52)/K42</f>
        <v/>
      </c>
      <c r="L54" s="26">
        <f>(L46+L52)/L42</f>
        <v/>
      </c>
      <c r="M54" s="26">
        <f>(M46+M52)/M42</f>
        <v/>
      </c>
    </row>
    <row r="56" ht="16" customHeight="1">
      <c r="A56" s="5" t="inlineStr">
        <is>
          <t>CASH AVAILABLE FOR DEBT SERVICE (CFADS)</t>
        </is>
      </c>
    </row>
    <row r="57">
      <c r="A57" s="13" t="inlineStr">
        <is>
          <t xml:space="preserve">   Exceptional &amp; other cash items</t>
        </is>
      </c>
      <c r="B57" s="22">
        <f>Assumptions!B53</f>
        <v/>
      </c>
      <c r="C57" s="22">
        <f>Assumptions!C53</f>
        <v/>
      </c>
      <c r="D57" s="22">
        <f>Assumptions!D53</f>
        <v/>
      </c>
      <c r="E57" s="22">
        <f>Assumptions!E53</f>
        <v/>
      </c>
      <c r="F57" s="22">
        <f>Assumptions!F103</f>
        <v/>
      </c>
      <c r="G57" s="22">
        <f>Assumptions!G103</f>
        <v/>
      </c>
      <c r="H57" s="22">
        <f>Assumptions!H103</f>
        <v/>
      </c>
      <c r="I57" s="22">
        <f>Assumptions!I103</f>
        <v/>
      </c>
      <c r="J57" s="22">
        <f>Assumptions!J103</f>
        <v/>
      </c>
      <c r="K57" s="22">
        <f>Assumptions!K103</f>
        <v/>
      </c>
      <c r="L57" s="22">
        <f>Assumptions!L103</f>
        <v/>
      </c>
      <c r="M57" s="22">
        <f>Assumptions!M103</f>
        <v/>
      </c>
    </row>
    <row r="58">
      <c r="A58" s="13" t="inlineStr">
        <is>
          <t xml:space="preserve">   Cash taxes paid</t>
        </is>
      </c>
      <c r="B58" s="22">
        <f>Assumptions!B56</f>
        <v/>
      </c>
      <c r="C58" s="22">
        <f>Assumptions!C56</f>
        <v/>
      </c>
      <c r="D58" s="22">
        <f>Assumptions!D56</f>
        <v/>
      </c>
      <c r="E58" s="22">
        <f>Assumptions!E56</f>
        <v/>
      </c>
      <c r="F58" s="22">
        <f>-MAX(0,F40)*Assumptions!F106</f>
        <v/>
      </c>
      <c r="G58" s="22">
        <f>-MAX(0,G40)*Assumptions!G106</f>
        <v/>
      </c>
      <c r="H58" s="22">
        <f>-MAX(0,H40)*Assumptions!H106</f>
        <v/>
      </c>
      <c r="I58" s="22">
        <f>-MAX(0,I40)*Assumptions!I106</f>
        <v/>
      </c>
      <c r="J58" s="22">
        <f>-MAX(0,J40)*Assumptions!J106</f>
        <v/>
      </c>
      <c r="K58" s="22">
        <f>-MAX(0,K40)*Assumptions!K106</f>
        <v/>
      </c>
      <c r="L58" s="22">
        <f>-MAX(0,L40)*Assumptions!L106</f>
        <v/>
      </c>
      <c r="M58" s="22">
        <f>-MAX(0,M40)*Assumptions!M106</f>
        <v/>
      </c>
    </row>
    <row r="59">
      <c r="A59" s="24" t="inlineStr">
        <is>
          <t>Cash Available for Debt Service (CFADS)</t>
        </is>
      </c>
      <c r="B59" s="25">
        <f>B46+B52+B57+B58</f>
        <v/>
      </c>
      <c r="C59" s="25">
        <f>C46+C52+C57+C58</f>
        <v/>
      </c>
      <c r="D59" s="25">
        <f>D46+D52+D57+D58</f>
        <v/>
      </c>
      <c r="E59" s="25">
        <f>E46+E52+E57+E58</f>
        <v/>
      </c>
      <c r="F59" s="25">
        <f>F46+F52+F57+F58</f>
        <v/>
      </c>
      <c r="G59" s="25">
        <f>G46+G52+G57+G58</f>
        <v/>
      </c>
      <c r="H59" s="25">
        <f>H46+H52+H57+H58</f>
        <v/>
      </c>
      <c r="I59" s="25">
        <f>I46+I52+I57+I58</f>
        <v/>
      </c>
      <c r="J59" s="25">
        <f>J46+J52+J57+J58</f>
        <v/>
      </c>
      <c r="K59" s="25">
        <f>K46+K52+K57+K58</f>
        <v/>
      </c>
      <c r="L59" s="25">
        <f>L46+L52+L57+L58</f>
        <v/>
      </c>
      <c r="M59" s="25">
        <f>M46+M52+M57+M58</f>
        <v/>
      </c>
    </row>
    <row r="60">
      <c r="A60" s="8" t="inlineStr">
        <is>
          <t>CFADS conversion % (of Adjusted EBITDA)</t>
        </is>
      </c>
      <c r="B60" s="26">
        <f>B59/B42</f>
        <v/>
      </c>
      <c r="C60" s="26">
        <f>C59/C42</f>
        <v/>
      </c>
      <c r="D60" s="26">
        <f>D59/D42</f>
        <v/>
      </c>
      <c r="E60" s="26">
        <f>E59/E42</f>
        <v/>
      </c>
      <c r="F60" s="26">
        <f>F59/F42</f>
        <v/>
      </c>
      <c r="G60" s="26">
        <f>G59/G42</f>
        <v/>
      </c>
      <c r="H60" s="26">
        <f>H59/H42</f>
        <v/>
      </c>
      <c r="I60" s="26">
        <f>I59/I42</f>
        <v/>
      </c>
      <c r="J60" s="26">
        <f>J59/J42</f>
        <v/>
      </c>
      <c r="K60" s="26">
        <f>K59/K42</f>
        <v/>
      </c>
      <c r="L60" s="26">
        <f>L59/L42</f>
        <v/>
      </c>
      <c r="M60" s="26">
        <f>M59/M42</f>
        <v/>
      </c>
    </row>
    <row r="61">
      <c r="A61" s="6" t="inlineStr">
        <is>
          <t>Total net cash interest payments</t>
        </is>
      </c>
      <c r="B61" s="27">
        <f>Assumptions!B59</f>
        <v/>
      </c>
      <c r="C61" s="27">
        <f>Assumptions!C59</f>
        <v/>
      </c>
      <c r="D61" s="27">
        <f>Assumptions!D59</f>
        <v/>
      </c>
      <c r="E61" s="27">
        <f>Assumptions!E59</f>
        <v/>
      </c>
      <c r="F61" s="27">
        <f>-E84*(Assumptions!$C$114+Assumptions!$C$115+$C$10/10000)</f>
        <v/>
      </c>
      <c r="G61" s="27">
        <f>-F84*(Assumptions!$C$114+Assumptions!$C$115+$C$10/10000)</f>
        <v/>
      </c>
      <c r="H61" s="27">
        <f>-G84*(Assumptions!$C$114+Assumptions!$C$115+$C$10/10000)</f>
        <v/>
      </c>
      <c r="I61" s="27">
        <f>-H84*(Assumptions!$C$114+Assumptions!$C$115+$C$10/10000)</f>
        <v/>
      </c>
      <c r="J61" s="27">
        <f>-I84*(Assumptions!$C$114+Assumptions!$C$115+$C$10/10000)</f>
        <v/>
      </c>
      <c r="K61" s="27">
        <f>-J84*(Assumptions!$C$114+Assumptions!$C$115+$C$10/10000)</f>
        <v/>
      </c>
      <c r="L61" s="27">
        <f>-K84*(Assumptions!$C$114+Assumptions!$C$115+$C$10/10000)</f>
        <v/>
      </c>
      <c r="M61" s="27">
        <f>-L84*(Assumptions!$C$114+Assumptions!$C$115+$C$10/10000)</f>
        <v/>
      </c>
    </row>
    <row r="62">
      <c r="A62" s="6" t="inlineStr">
        <is>
          <t>FCF before Debt Payment / Drawdown</t>
        </is>
      </c>
      <c r="B62" s="28">
        <f>B59+B61</f>
        <v/>
      </c>
      <c r="C62" s="28">
        <f>C59+C61</f>
        <v/>
      </c>
      <c r="D62" s="28">
        <f>D59+D61</f>
        <v/>
      </c>
      <c r="E62" s="28">
        <f>E59+E61</f>
        <v/>
      </c>
      <c r="F62" s="28">
        <f>F59+F61</f>
        <v/>
      </c>
      <c r="G62" s="28">
        <f>G59+G61</f>
        <v/>
      </c>
      <c r="H62" s="28">
        <f>H59+H61</f>
        <v/>
      </c>
      <c r="I62" s="28">
        <f>I59+I61</f>
        <v/>
      </c>
      <c r="J62" s="28">
        <f>J59+J61</f>
        <v/>
      </c>
      <c r="K62" s="28">
        <f>K59+K61</f>
        <v/>
      </c>
      <c r="L62" s="28">
        <f>L59+L61</f>
        <v/>
      </c>
      <c r="M62" s="28">
        <f>M59+M61</f>
        <v/>
      </c>
    </row>
    <row r="64" ht="16" customHeight="1">
      <c r="A64" s="5" t="inlineStr">
        <is>
          <t>ACQUISITION / NON-ORGANIC FINANCING  (self-funding — optional, leave 0 if not applicable)</t>
        </is>
      </c>
    </row>
    <row r="65">
      <c r="A65" s="13" t="inlineStr">
        <is>
          <t xml:space="preserve">   Acquisition-related cash outflow</t>
        </is>
      </c>
      <c r="B65" s="22">
        <f>Assumptions!B62</f>
        <v/>
      </c>
      <c r="C65" s="22">
        <f>Assumptions!C62</f>
        <v/>
      </c>
      <c r="D65" s="22">
        <f>Assumptions!D62</f>
        <v/>
      </c>
      <c r="E65" s="22">
        <f>Assumptions!E62</f>
        <v/>
      </c>
      <c r="F65" s="22">
        <f>Assumptions!F109</f>
        <v/>
      </c>
      <c r="G65" s="22">
        <f>Assumptions!G109</f>
        <v/>
      </c>
      <c r="H65" s="22">
        <f>Assumptions!H109</f>
        <v/>
      </c>
      <c r="I65" s="22">
        <f>Assumptions!I109</f>
        <v/>
      </c>
      <c r="J65" s="22">
        <f>Assumptions!J109</f>
        <v/>
      </c>
      <c r="K65" s="22">
        <f>Assumptions!K109</f>
        <v/>
      </c>
      <c r="L65" s="22">
        <f>Assumptions!L109</f>
        <v/>
      </c>
      <c r="M65" s="22">
        <f>Assumptions!M109</f>
        <v/>
      </c>
    </row>
    <row r="66">
      <c r="A66" s="13" t="inlineStr">
        <is>
          <t xml:space="preserve">   Acquisition / delayed-draw facility drawdown</t>
        </is>
      </c>
      <c r="B66" s="22">
        <f>Assumptions!B65</f>
        <v/>
      </c>
      <c r="C66" s="22">
        <f>Assumptions!C65</f>
        <v/>
      </c>
      <c r="D66" s="22">
        <f>Assumptions!D65</f>
        <v/>
      </c>
      <c r="E66" s="22">
        <f>Assumptions!E65</f>
        <v/>
      </c>
      <c r="F66" s="22">
        <f>Assumptions!F112</f>
        <v/>
      </c>
      <c r="G66" s="22">
        <f>Assumptions!G112</f>
        <v/>
      </c>
      <c r="H66" s="22">
        <f>Assumptions!H112</f>
        <v/>
      </c>
      <c r="I66" s="22">
        <f>Assumptions!I112</f>
        <v/>
      </c>
      <c r="J66" s="22">
        <f>Assumptions!J112</f>
        <v/>
      </c>
      <c r="K66" s="22">
        <f>Assumptions!K112</f>
        <v/>
      </c>
      <c r="L66" s="22">
        <f>Assumptions!L112</f>
        <v/>
      </c>
      <c r="M66" s="22">
        <f>Assumptions!M112</f>
        <v/>
      </c>
    </row>
    <row r="67">
      <c r="A67" s="8" t="inlineStr">
        <is>
          <t>Net acquisition-financing impact (memo, should ≈ 0 if fully self-funded)</t>
        </is>
      </c>
      <c r="B67" s="29">
        <f>B65+B66</f>
        <v/>
      </c>
      <c r="C67" s="29">
        <f>C65+C66</f>
        <v/>
      </c>
      <c r="D67" s="29">
        <f>D65+D66</f>
        <v/>
      </c>
      <c r="E67" s="29">
        <f>E65+E66</f>
        <v/>
      </c>
      <c r="F67" s="29">
        <f>F65+F66</f>
        <v/>
      </c>
      <c r="G67" s="29">
        <f>G65+G66</f>
        <v/>
      </c>
      <c r="H67" s="29">
        <f>H65+H66</f>
        <v/>
      </c>
      <c r="I67" s="29">
        <f>I65+I66</f>
        <v/>
      </c>
      <c r="J67" s="29">
        <f>J65+J66</f>
        <v/>
      </c>
      <c r="K67" s="29">
        <f>K65+K66</f>
        <v/>
      </c>
      <c r="L67" s="29">
        <f>L65+L66</f>
        <v/>
      </c>
      <c r="M67" s="29">
        <f>M65+M66</f>
        <v/>
      </c>
    </row>
    <row r="69" ht="16" customHeight="1">
      <c r="A69" s="5" t="inlineStr">
        <is>
          <t>DEBT &amp; CASH ROLL-FORWARD  (Stub/At-Close column = opening balances; pre-close years N/A)</t>
        </is>
      </c>
    </row>
    <row r="70">
      <c r="A70" s="13" t="inlineStr">
        <is>
          <t xml:space="preserve">   Opening cash balance</t>
        </is>
      </c>
      <c r="E70" s="30">
        <f>Assumptions!$C$121</f>
        <v/>
      </c>
      <c r="F70" s="30">
        <f>E77</f>
        <v/>
      </c>
      <c r="G70" s="30">
        <f>F77</f>
        <v/>
      </c>
      <c r="H70" s="30">
        <f>G77</f>
        <v/>
      </c>
      <c r="I70" s="30">
        <f>H77</f>
        <v/>
      </c>
      <c r="J70" s="30">
        <f>I77</f>
        <v/>
      </c>
      <c r="K70" s="30">
        <f>J77</f>
        <v/>
      </c>
      <c r="L70" s="30">
        <f>K77</f>
        <v/>
      </c>
      <c r="M70" s="30">
        <f>L77</f>
        <v/>
      </c>
    </row>
    <row r="71">
      <c r="A71" s="13" t="inlineStr">
        <is>
          <t xml:space="preserve">   (+) FCF before Debt Payment / Drawdown</t>
        </is>
      </c>
      <c r="E71" s="30">
        <f>E62</f>
        <v/>
      </c>
      <c r="F71" s="30">
        <f>F62</f>
        <v/>
      </c>
      <c r="G71" s="30">
        <f>G62</f>
        <v/>
      </c>
      <c r="H71" s="30">
        <f>H62</f>
        <v/>
      </c>
      <c r="I71" s="30">
        <f>I62</f>
        <v/>
      </c>
      <c r="J71" s="30">
        <f>J62</f>
        <v/>
      </c>
      <c r="K71" s="30">
        <f>K62</f>
        <v/>
      </c>
      <c r="L71" s="30">
        <f>L62</f>
        <v/>
      </c>
      <c r="M71" s="30">
        <f>M62</f>
        <v/>
      </c>
    </row>
    <row r="72">
      <c r="A72" s="13" t="inlineStr">
        <is>
          <t xml:space="preserve">   (+) Net acquisition-financing impact</t>
        </is>
      </c>
      <c r="E72" s="30">
        <f>E67</f>
        <v/>
      </c>
      <c r="F72" s="30">
        <f>F67</f>
        <v/>
      </c>
      <c r="G72" s="30">
        <f>G67</f>
        <v/>
      </c>
      <c r="H72" s="30">
        <f>H67</f>
        <v/>
      </c>
      <c r="I72" s="30">
        <f>I67</f>
        <v/>
      </c>
      <c r="J72" s="30">
        <f>J67</f>
        <v/>
      </c>
      <c r="K72" s="30">
        <f>K67</f>
        <v/>
      </c>
      <c r="L72" s="30">
        <f>L67</f>
        <v/>
      </c>
      <c r="M72" s="30">
        <f>M67</f>
        <v/>
      </c>
    </row>
    <row r="73">
      <c r="A73" s="13" t="inlineStr">
        <is>
          <t xml:space="preserve">   (–) Term Loan scheduled amortisation</t>
        </is>
      </c>
      <c r="E73" s="30" t="n">
        <v>0</v>
      </c>
      <c r="F73" s="30">
        <f>-Assumptions!$C$118*Assumptions!$C$119</f>
        <v/>
      </c>
      <c r="G73" s="30">
        <f>-Assumptions!$C$118*Assumptions!$C$119</f>
        <v/>
      </c>
      <c r="H73" s="30">
        <f>-Assumptions!$C$118*Assumptions!$C$119</f>
        <v/>
      </c>
      <c r="I73" s="30">
        <f>-Assumptions!$C$118*Assumptions!$C$119</f>
        <v/>
      </c>
      <c r="J73" s="30">
        <f>-Assumptions!$C$118*Assumptions!$C$119</f>
        <v/>
      </c>
      <c r="K73" s="30">
        <f>-Assumptions!$C$118*Assumptions!$C$119</f>
        <v/>
      </c>
      <c r="L73" s="30">
        <f>-Assumptions!$C$118*Assumptions!$C$119</f>
        <v/>
      </c>
      <c r="M73" s="30">
        <f>-Assumptions!$C$118*Assumptions!$C$119</f>
        <v/>
      </c>
    </row>
    <row r="74">
      <c r="A74" s="13" t="inlineStr">
        <is>
          <t xml:space="preserve">   (–) Term Loan bullet repayment (final forecast period)</t>
        </is>
      </c>
      <c r="E74" s="30" t="n">
        <v>0</v>
      </c>
      <c r="F74" s="30" t="n">
        <v>0</v>
      </c>
      <c r="G74" s="30" t="n">
        <v>0</v>
      </c>
      <c r="H74" s="30" t="n">
        <v>0</v>
      </c>
      <c r="I74" s="30" t="n">
        <v>0</v>
      </c>
      <c r="J74" s="30" t="n">
        <v>0</v>
      </c>
      <c r="K74" s="30" t="n">
        <v>0</v>
      </c>
      <c r="L74" s="30" t="n">
        <v>0</v>
      </c>
      <c r="M74" s="30">
        <f>-L82*Assumptions!$C$120</f>
        <v/>
      </c>
    </row>
    <row r="75">
      <c r="A75" s="31" t="inlineStr">
        <is>
          <t>Net cash before revolver</t>
        </is>
      </c>
      <c r="B75" s="32" t="n"/>
      <c r="C75" s="32" t="n"/>
      <c r="D75" s="32" t="n"/>
      <c r="E75" s="33">
        <f>E70+E71+E72+E73+E74</f>
        <v/>
      </c>
      <c r="F75" s="33">
        <f>F70+F71+F72+F73+F74</f>
        <v/>
      </c>
      <c r="G75" s="33">
        <f>G70+G71+G72+G73+G74</f>
        <v/>
      </c>
      <c r="H75" s="33">
        <f>H70+H71+H72+H73+H74</f>
        <v/>
      </c>
      <c r="I75" s="33">
        <f>I70+I71+I72+I73+I74</f>
        <v/>
      </c>
      <c r="J75" s="33">
        <f>J70+J71+J72+J73+J74</f>
        <v/>
      </c>
      <c r="K75" s="33">
        <f>K70+K71+K72+K73+K74</f>
        <v/>
      </c>
      <c r="L75" s="33">
        <f>L70+L71+L72+L73+L74</f>
        <v/>
      </c>
      <c r="M75" s="33">
        <f>M70+M71+M72+M73+M74</f>
        <v/>
      </c>
    </row>
    <row r="76">
      <c r="A76" s="13" t="inlineStr">
        <is>
          <t xml:space="preserve">   (+/–) RCF drawdown / (repayment)</t>
        </is>
      </c>
      <c r="E76" s="30">
        <f>IF(E75&lt;0,MIN(Assumptions!$C$116-0,-E75),-MIN(0,E75))</f>
        <v/>
      </c>
      <c r="F76" s="30">
        <f>IF(F75&lt;0,MIN(Assumptions!$C$116-E80,-F75),-MIN(E80,F75))</f>
        <v/>
      </c>
      <c r="G76" s="30">
        <f>IF(G75&lt;0,MIN(Assumptions!$C$116-F80,-G75),-MIN(F80,G75))</f>
        <v/>
      </c>
      <c r="H76" s="30">
        <f>IF(H75&lt;0,MIN(Assumptions!$C$116-G80,-H75),-MIN(G80,H75))</f>
        <v/>
      </c>
      <c r="I76" s="30">
        <f>IF(I75&lt;0,MIN(Assumptions!$C$116-H80,-I75),-MIN(H80,I75))</f>
        <v/>
      </c>
      <c r="J76" s="30">
        <f>IF(J75&lt;0,MIN(Assumptions!$C$116-I80,-J75),-MIN(I80,J75))</f>
        <v/>
      </c>
      <c r="K76" s="30">
        <f>IF(K75&lt;0,MIN(Assumptions!$C$116-J80,-K75),-MIN(J80,K75))</f>
        <v/>
      </c>
      <c r="L76" s="30">
        <f>IF(L75&lt;0,MIN(Assumptions!$C$116-K80,-L75),-MIN(K80,L75))</f>
        <v/>
      </c>
      <c r="M76" s="30">
        <f>IF(M75&lt;0,MIN(Assumptions!$C$116-L80,-M75),-MIN(L80,M75))</f>
        <v/>
      </c>
    </row>
    <row r="77">
      <c r="A77" s="24" t="inlineStr">
        <is>
          <t>Closing cash balance</t>
        </is>
      </c>
      <c r="B77" s="32" t="n"/>
      <c r="C77" s="32" t="n"/>
      <c r="D77" s="32" t="n"/>
      <c r="E77" s="28">
        <f>E75+E76</f>
        <v/>
      </c>
      <c r="F77" s="28">
        <f>F75+F76</f>
        <v/>
      </c>
      <c r="G77" s="28">
        <f>G75+G76</f>
        <v/>
      </c>
      <c r="H77" s="28">
        <f>H75+H76</f>
        <v/>
      </c>
      <c r="I77" s="28">
        <f>I75+I76</f>
        <v/>
      </c>
      <c r="J77" s="28">
        <f>J75+J76</f>
        <v/>
      </c>
      <c r="K77" s="28">
        <f>K75+K76</f>
        <v/>
      </c>
      <c r="L77" s="28">
        <f>L75+L76</f>
        <v/>
      </c>
      <c r="M77" s="28">
        <f>M75+M76</f>
        <v/>
      </c>
    </row>
    <row r="79" ht="16" customHeight="1">
      <c r="A79" s="5" t="inlineStr">
        <is>
          <t>DEBT BALANCES (period end)</t>
        </is>
      </c>
    </row>
    <row r="80">
      <c r="A80" s="13" t="inlineStr">
        <is>
          <t xml:space="preserve">   RCF drawn balance</t>
        </is>
      </c>
      <c r="E80" s="30">
        <f>0+E76</f>
        <v/>
      </c>
      <c r="F80" s="30">
        <f>E80+F76</f>
        <v/>
      </c>
      <c r="G80" s="30">
        <f>F80+G76</f>
        <v/>
      </c>
      <c r="H80" s="30">
        <f>G80+H76</f>
        <v/>
      </c>
      <c r="I80" s="30">
        <f>H80+I76</f>
        <v/>
      </c>
      <c r="J80" s="30">
        <f>I80+J76</f>
        <v/>
      </c>
      <c r="K80" s="30">
        <f>J80+K76</f>
        <v/>
      </c>
      <c r="L80" s="30">
        <f>K80+L76</f>
        <v/>
      </c>
      <c r="M80" s="30">
        <f>L80+M76</f>
        <v/>
      </c>
    </row>
    <row r="81">
      <c r="A81" s="13" t="inlineStr">
        <is>
          <t xml:space="preserve">   Acquisition / delayed-draw facility balance</t>
        </is>
      </c>
      <c r="E81" s="30">
        <f>0+E66</f>
        <v/>
      </c>
      <c r="F81" s="30">
        <f>E81+F66</f>
        <v/>
      </c>
      <c r="G81" s="30">
        <f>F81+G66</f>
        <v/>
      </c>
      <c r="H81" s="30">
        <f>G81+H66</f>
        <v/>
      </c>
      <c r="I81" s="30">
        <f>H81+I66</f>
        <v/>
      </c>
      <c r="J81" s="30">
        <f>I81+J66</f>
        <v/>
      </c>
      <c r="K81" s="30">
        <f>J81+K66</f>
        <v/>
      </c>
      <c r="L81" s="30">
        <f>K81+L66</f>
        <v/>
      </c>
      <c r="M81" s="30">
        <f>L81+M66</f>
        <v/>
      </c>
    </row>
    <row r="82">
      <c r="A82" s="13" t="inlineStr">
        <is>
          <t xml:space="preserve">   Term Loan balance</t>
        </is>
      </c>
      <c r="E82" s="30">
        <f>Assumptions!$C$118</f>
        <v/>
      </c>
      <c r="F82" s="30">
        <f>E82+F73+F74</f>
        <v/>
      </c>
      <c r="G82" s="30">
        <f>F82+G73+G74</f>
        <v/>
      </c>
      <c r="H82" s="30">
        <f>G82+H73+H74</f>
        <v/>
      </c>
      <c r="I82" s="30">
        <f>H82+I73+I74</f>
        <v/>
      </c>
      <c r="J82" s="30">
        <f>I82+J73+J74</f>
        <v/>
      </c>
      <c r="K82" s="30">
        <f>J82+K73+K74</f>
        <v/>
      </c>
      <c r="L82" s="30">
        <f>K82+L73+L74</f>
        <v/>
      </c>
      <c r="M82" s="30">
        <f>L82+M73+M74</f>
        <v/>
      </c>
    </row>
    <row r="83">
      <c r="A83" s="24" t="inlineStr">
        <is>
          <t>Total Gross Debt</t>
        </is>
      </c>
      <c r="B83" s="32" t="n"/>
      <c r="C83" s="32" t="n"/>
      <c r="D83" s="32" t="n"/>
      <c r="E83" s="28">
        <f>E80+E81+E82</f>
        <v/>
      </c>
      <c r="F83" s="28">
        <f>F80+F81+F82</f>
        <v/>
      </c>
      <c r="G83" s="28">
        <f>G80+G81+G82</f>
        <v/>
      </c>
      <c r="H83" s="28">
        <f>H80+H81+H82</f>
        <v/>
      </c>
      <c r="I83" s="28">
        <f>I80+I81+I82</f>
        <v/>
      </c>
      <c r="J83" s="28">
        <f>J80+J81+J82</f>
        <v/>
      </c>
      <c r="K83" s="28">
        <f>K80+K81+K82</f>
        <v/>
      </c>
      <c r="L83" s="28">
        <f>L80+L81+L82</f>
        <v/>
      </c>
      <c r="M83" s="28">
        <f>M80+M81+M82</f>
        <v/>
      </c>
    </row>
    <row r="84">
      <c r="A84" s="24" t="inlineStr">
        <is>
          <t>Total Net Debt</t>
        </is>
      </c>
      <c r="B84" s="32" t="n"/>
      <c r="C84" s="32" t="n"/>
      <c r="D84" s="32" t="n"/>
      <c r="E84" s="28">
        <f>E83-E77</f>
        <v/>
      </c>
      <c r="F84" s="28">
        <f>F83-F77</f>
        <v/>
      </c>
      <c r="G84" s="28">
        <f>G83-G77</f>
        <v/>
      </c>
      <c r="H84" s="28">
        <f>H83-H77</f>
        <v/>
      </c>
      <c r="I84" s="28">
        <f>I83-I77</f>
        <v/>
      </c>
      <c r="J84" s="28">
        <f>J83-J77</f>
        <v/>
      </c>
      <c r="K84" s="28">
        <f>K83-K77</f>
        <v/>
      </c>
      <c r="L84" s="28">
        <f>L83-L77</f>
        <v/>
      </c>
      <c r="M84" s="28">
        <f>M83-M77</f>
        <v/>
      </c>
    </row>
    <row r="85">
      <c r="A85" s="8" t="inlineStr">
        <is>
          <t>Undrawn RCF</t>
        </is>
      </c>
      <c r="E85" s="34">
        <f>Assumptions!$C$116-E80</f>
        <v/>
      </c>
      <c r="F85" s="34">
        <f>Assumptions!$C$116-F80</f>
        <v/>
      </c>
      <c r="G85" s="34">
        <f>Assumptions!$C$116-G80</f>
        <v/>
      </c>
      <c r="H85" s="34">
        <f>Assumptions!$C$116-H80</f>
        <v/>
      </c>
      <c r="I85" s="34">
        <f>Assumptions!$C$116-I80</f>
        <v/>
      </c>
      <c r="J85" s="34">
        <f>Assumptions!$C$116-J80</f>
        <v/>
      </c>
      <c r="K85" s="34">
        <f>Assumptions!$C$116-K80</f>
        <v/>
      </c>
      <c r="L85" s="34">
        <f>Assumptions!$C$116-L80</f>
        <v/>
      </c>
      <c r="M85" s="34">
        <f>Assumptions!$C$116-M80</f>
        <v/>
      </c>
    </row>
    <row r="86">
      <c r="A86" s="8" t="inlineStr">
        <is>
          <t>Undrawn acquisition facility</t>
        </is>
      </c>
      <c r="E86" s="34">
        <f>Assumptions!$C$117-E81</f>
        <v/>
      </c>
      <c r="F86" s="34">
        <f>Assumptions!$C$117-F81</f>
        <v/>
      </c>
      <c r="G86" s="34">
        <f>Assumptions!$C$117-G81</f>
        <v/>
      </c>
      <c r="H86" s="34">
        <f>Assumptions!$C$117-H81</f>
        <v/>
      </c>
      <c r="I86" s="34">
        <f>Assumptions!$C$117-I81</f>
        <v/>
      </c>
      <c r="J86" s="34">
        <f>Assumptions!$C$117-J81</f>
        <v/>
      </c>
      <c r="K86" s="34">
        <f>Assumptions!$C$117-K81</f>
        <v/>
      </c>
      <c r="L86" s="34">
        <f>Assumptions!$C$117-L81</f>
        <v/>
      </c>
      <c r="M86" s="34">
        <f>Assumptions!$C$117-M81</f>
        <v/>
      </c>
    </row>
    <row r="88" ht="16" customHeight="1">
      <c r="A88" s="5" t="inlineStr">
        <is>
          <t>CREDIT METRICS</t>
        </is>
      </c>
    </row>
    <row r="89">
      <c r="A89" s="13" t="inlineStr">
        <is>
          <t xml:space="preserve">   Total Gross Debt / Adjusted EBITDA</t>
        </is>
      </c>
      <c r="E89" s="35">
        <f>E83/F42</f>
        <v/>
      </c>
      <c r="F89" s="35">
        <f>F83/F42</f>
        <v/>
      </c>
      <c r="G89" s="35">
        <f>G83/G42</f>
        <v/>
      </c>
      <c r="H89" s="35">
        <f>H83/H42</f>
        <v/>
      </c>
      <c r="I89" s="35">
        <f>I83/I42</f>
        <v/>
      </c>
      <c r="J89" s="35">
        <f>J83/J42</f>
        <v/>
      </c>
      <c r="K89" s="35">
        <f>K83/K42</f>
        <v/>
      </c>
      <c r="L89" s="35">
        <f>L83/L42</f>
        <v/>
      </c>
      <c r="M89" s="35">
        <f>M83/M42</f>
        <v/>
      </c>
    </row>
    <row r="90">
      <c r="A90" s="13" t="inlineStr">
        <is>
          <t xml:space="preserve">   Total Net Debt / Adjusted EBITDA</t>
        </is>
      </c>
      <c r="E90" s="35">
        <f>E84/F42</f>
        <v/>
      </c>
      <c r="F90" s="35">
        <f>F84/F42</f>
        <v/>
      </c>
      <c r="G90" s="35">
        <f>G84/G42</f>
        <v/>
      </c>
      <c r="H90" s="35">
        <f>H84/H42</f>
        <v/>
      </c>
      <c r="I90" s="35">
        <f>I84/I42</f>
        <v/>
      </c>
      <c r="J90" s="35">
        <f>J84/J42</f>
        <v/>
      </c>
      <c r="K90" s="35">
        <f>K84/K42</f>
        <v/>
      </c>
      <c r="L90" s="35">
        <f>L84/L42</f>
        <v/>
      </c>
      <c r="M90" s="35">
        <f>M84/M42</f>
        <v/>
      </c>
    </row>
    <row r="91">
      <c r="A91" s="13" t="inlineStr">
        <is>
          <t xml:space="preserve">   Adjusted EBITDA / Net cash interest (Interest Cover)</t>
        </is>
      </c>
      <c r="F91" s="35">
        <f>F42/(-F61)</f>
        <v/>
      </c>
      <c r="G91" s="35">
        <f>G42/(-G61)</f>
        <v/>
      </c>
      <c r="H91" s="35">
        <f>H42/(-H61)</f>
        <v/>
      </c>
      <c r="I91" s="35">
        <f>I42/(-I61)</f>
        <v/>
      </c>
      <c r="J91" s="35">
        <f>J42/(-J61)</f>
        <v/>
      </c>
      <c r="K91" s="35">
        <f>K42/(-K61)</f>
        <v/>
      </c>
      <c r="L91" s="35">
        <f>L42/(-L61)</f>
        <v/>
      </c>
      <c r="M91" s="35">
        <f>M42/(-M61)</f>
        <v/>
      </c>
    </row>
    <row r="92">
      <c r="A92" s="13" t="inlineStr">
        <is>
          <t xml:space="preserve">   Total DSCR  (CFADS ÷ [interest + mandatory repayments])</t>
        </is>
      </c>
      <c r="F92" s="35">
        <f>F59/(-F61-F73-F74)</f>
        <v/>
      </c>
      <c r="G92" s="35">
        <f>G59/(-G61-G73-G74)</f>
        <v/>
      </c>
      <c r="H92" s="35">
        <f>H59/(-H61-H73-H74)</f>
        <v/>
      </c>
      <c r="I92" s="35">
        <f>I59/(-I61-I73-I74)</f>
        <v/>
      </c>
      <c r="J92" s="35">
        <f>J59/(-J61-J73-J74)</f>
        <v/>
      </c>
      <c r="K92" s="35">
        <f>K59/(-K61-K73-K74)</f>
        <v/>
      </c>
      <c r="L92" s="35">
        <f>L59/(-L61-L73-L74)</f>
        <v/>
      </c>
      <c r="M92" s="35">
        <f>M59/(-M61-M73-M74)</f>
        <v/>
      </c>
    </row>
    <row r="94" ht="16" customHeight="1">
      <c r="A94" s="5" t="inlineStr">
        <is>
          <t>COVENANT HEADROOM</t>
        </is>
      </c>
    </row>
    <row r="95">
      <c r="A95" s="13" t="inlineStr">
        <is>
          <t xml:space="preserve">   Net leverage covenant ceiling (x)</t>
        </is>
      </c>
      <c r="F95" s="35">
        <f>Assumptions!$C$122</f>
        <v/>
      </c>
      <c r="G95" s="35">
        <f>Assumptions!$C$122</f>
        <v/>
      </c>
      <c r="H95" s="35">
        <f>Assumptions!$C$122</f>
        <v/>
      </c>
      <c r="I95" s="35">
        <f>Assumptions!$C$122</f>
        <v/>
      </c>
      <c r="J95" s="35">
        <f>Assumptions!$C$122</f>
        <v/>
      </c>
      <c r="K95" s="35">
        <f>Assumptions!$C$122</f>
        <v/>
      </c>
      <c r="L95" s="35">
        <f>Assumptions!$C$122</f>
        <v/>
      </c>
      <c r="M95" s="35">
        <f>Assumptions!$C$122</f>
        <v/>
      </c>
    </row>
    <row r="96">
      <c r="A96" s="13" t="inlineStr">
        <is>
          <t xml:space="preserve">   Leverage headroom (x, ceiling minus actual — negative = breach)</t>
        </is>
      </c>
      <c r="F96" s="35">
        <f>F95-F90</f>
        <v/>
      </c>
      <c r="G96" s="35">
        <f>G95-G90</f>
        <v/>
      </c>
      <c r="H96" s="35">
        <f>H95-H90</f>
        <v/>
      </c>
      <c r="I96" s="35">
        <f>I95-I90</f>
        <v/>
      </c>
      <c r="J96" s="35">
        <f>J95-J90</f>
        <v/>
      </c>
      <c r="K96" s="35">
        <f>K95-K90</f>
        <v/>
      </c>
      <c r="L96" s="35">
        <f>L95-L90</f>
        <v/>
      </c>
      <c r="M96" s="35">
        <f>M95-M90</f>
        <v/>
      </c>
    </row>
    <row r="97">
      <c r="A97" s="13" t="inlineStr">
        <is>
          <t xml:space="preserve">   Minimum DSCR covenant (x)</t>
        </is>
      </c>
      <c r="F97" s="35">
        <f>Assumptions!$C$123</f>
        <v/>
      </c>
      <c r="G97" s="35">
        <f>Assumptions!$C$123</f>
        <v/>
      </c>
      <c r="H97" s="35">
        <f>Assumptions!$C$123</f>
        <v/>
      </c>
      <c r="I97" s="35">
        <f>Assumptions!$C$123</f>
        <v/>
      </c>
      <c r="J97" s="35">
        <f>Assumptions!$C$123</f>
        <v/>
      </c>
      <c r="K97" s="35">
        <f>Assumptions!$C$123</f>
        <v/>
      </c>
      <c r="L97" s="35">
        <f>Assumptions!$C$123</f>
        <v/>
      </c>
      <c r="M97" s="35">
        <f>Assumptions!$C$123</f>
        <v/>
      </c>
    </row>
    <row r="98">
      <c r="A98" s="13" t="inlineStr">
        <is>
          <t xml:space="preserve">   DSCR headroom (x, actual minus minimum — negative = breach)</t>
        </is>
      </c>
      <c r="F98" s="35">
        <f>F92-F97</f>
        <v/>
      </c>
      <c r="G98" s="35">
        <f>G92-G97</f>
        <v/>
      </c>
      <c r="H98" s="35">
        <f>H92-H97</f>
        <v/>
      </c>
      <c r="I98" s="35">
        <f>I92-I97</f>
        <v/>
      </c>
      <c r="J98" s="35">
        <f>J92-J97</f>
        <v/>
      </c>
      <c r="K98" s="35">
        <f>K92-K97</f>
        <v/>
      </c>
      <c r="L98" s="35">
        <f>L92-L97</f>
        <v/>
      </c>
      <c r="M98" s="35">
        <f>M92-M97</f>
        <v/>
      </c>
    </row>
    <row r="99">
      <c r="A99" s="6" t="inlineStr">
        <is>
          <t>Covenant test result</t>
        </is>
      </c>
      <c r="F99" s="36">
        <f>IF(AND(F96&gt;=0,F98&gt;=0,F91&gt;=Assumptions!$C$124),"PASS","FAIL")</f>
        <v/>
      </c>
      <c r="G99" s="36">
        <f>IF(AND(G96&gt;=0,G98&gt;=0,G91&gt;=Assumptions!$C$124),"PASS","FAIL")</f>
        <v/>
      </c>
      <c r="H99" s="36">
        <f>IF(AND(H96&gt;=0,H98&gt;=0,H91&gt;=Assumptions!$C$124),"PASS","FAIL")</f>
        <v/>
      </c>
      <c r="I99" s="36">
        <f>IF(AND(I96&gt;=0,I98&gt;=0,I91&gt;=Assumptions!$C$124),"PASS","FAIL")</f>
        <v/>
      </c>
      <c r="J99" s="36">
        <f>IF(AND(J96&gt;=0,J98&gt;=0,J91&gt;=Assumptions!$C$124),"PASS","FAIL")</f>
        <v/>
      </c>
      <c r="K99" s="36">
        <f>IF(AND(K96&gt;=0,K98&gt;=0,K91&gt;=Assumptions!$C$124),"PASS","FAIL")</f>
        <v/>
      </c>
      <c r="L99" s="36">
        <f>IF(AND(L96&gt;=0,L98&gt;=0,L91&gt;=Assumptions!$C$124),"PASS","FAIL")</f>
        <v/>
      </c>
      <c r="M99" s="36">
        <f>IF(AND(M96&gt;=0,M98&gt;=0,M91&gt;=Assumptions!$C$124),"PASS","FAIL")</f>
        <v/>
      </c>
    </row>
  </sheetData>
  <mergeCells count="14">
    <mergeCell ref="A36:M36"/>
    <mergeCell ref="A14:M14"/>
    <mergeCell ref="A1:M1"/>
    <mergeCell ref="A94:M94"/>
    <mergeCell ref="A79:M79"/>
    <mergeCell ref="A88:M88"/>
    <mergeCell ref="A56:M56"/>
    <mergeCell ref="A4:M4"/>
    <mergeCell ref="A69:M69"/>
    <mergeCell ref="A29:M29"/>
    <mergeCell ref="A64:M64"/>
    <mergeCell ref="A24:M24"/>
    <mergeCell ref="A2:M2"/>
    <mergeCell ref="A49:M49"/>
  </mergeCells>
  <conditionalFormatting sqref="F99:M99">
    <cfRule type="cellIs" priority="1" operator="equal" dxfId="0">
      <formula>"PASS"</formula>
    </cfRule>
    <cfRule type="cellIs" priority="2" operator="equal" dxfId="1">
      <formula>"FAIL"</formula>
    </cfRule>
  </conditionalFormatting>
  <conditionalFormatting sqref="F96:M96">
    <cfRule type="cellIs" priority="3" operator="lessThan" dxfId="1">
      <formula>0</formula>
    </cfRule>
    <cfRule type="cellIs" priority="4" operator="greaterThanOrEqual" dxfId="0">
      <formula>0</formula>
    </cfRule>
  </conditionalFormatting>
  <conditionalFormatting sqref="F98:M98">
    <cfRule type="cellIs" priority="5" operator="lessThan" dxfId="1">
      <formula>0</formula>
    </cfRule>
    <cfRule type="cellIs" priority="6" operator="greaterThanOrEqual" dxfId="0">
      <formula>0</formula>
    </cfRule>
  </conditionalFormatting>
  <conditionalFormatting sqref="F90:M90">
    <cfRule type="expression" priority="7" dxfId="1">
      <formula>F90&gt;F95</formula>
    </cfRule>
  </conditionalFormatting>
  <conditionalFormatting sqref="F92:M92">
    <cfRule type="expression" priority="8" dxfId="1">
      <formula>F92&lt;1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M99"/>
  <sheetViews>
    <sheetView showGridLines="0" workbookViewId="0">
      <pane xSplit="1" topLeftCell="B1" activePane="topRight" state="frozen"/>
      <selection pane="topRight" activeCell="A1" sqref="A1"/>
    </sheetView>
  </sheetViews>
  <sheetFormatPr baseColWidth="8" defaultRowHeight="15"/>
  <cols>
    <col width="42" customWidth="1" min="1" max="1"/>
    <col width="11.3" customWidth="1" min="2" max="2"/>
    <col width="11.3" customWidth="1" min="3" max="3"/>
    <col width="11.3" customWidth="1" min="4" max="4"/>
    <col width="11.3" customWidth="1" min="5" max="5"/>
    <col width="11.3" customWidth="1" min="6" max="6"/>
    <col width="11.3" customWidth="1" min="7" max="7"/>
    <col width="11.3" customWidth="1" min="8" max="8"/>
    <col width="11.3" customWidth="1" min="9" max="9"/>
    <col width="11.3" customWidth="1" min="10" max="10"/>
    <col width="11.3" customWidth="1" min="11" max="11"/>
    <col width="11.3" customWidth="1" min="12" max="12"/>
    <col width="11.3" customWidth="1" min="13" max="13"/>
  </cols>
  <sheetData>
    <row r="1" ht="26" customHeight="1">
      <c r="A1" s="1" t="inlineStr">
        <is>
          <t>2. Downside Case</t>
        </is>
      </c>
    </row>
    <row r="2">
      <c r="A2" s="4" t="inlineStr">
        <is>
          <t>Mild downside — illustrative starting calibration, recalibrate to your deal: -3ppt revenue growth, 100bps gross-margin compression, cost inflation not recovered, working-capital drag +20%, 100bps rate shock.</t>
        </is>
      </c>
    </row>
    <row r="4" ht="16" customHeight="1">
      <c r="A4" s="5" t="inlineStr">
        <is>
          <t>SENSITIVITY FLEX ASSUMPTIONS (this tab only — tweak these, everything below recalculates)</t>
        </is>
      </c>
    </row>
    <row r="5">
      <c r="A5" s="13" t="inlineStr">
        <is>
          <t xml:space="preserve">   Revenue growth adjustment (ppt, added to every segment, every forecast period)</t>
        </is>
      </c>
      <c r="C5" s="18" t="n">
        <v>-0.03</v>
      </c>
    </row>
    <row r="6">
      <c r="A6" s="13" t="inlineStr">
        <is>
          <t xml:space="preserve">   Gross margin compression (ppt, subtracted from target margin)</t>
        </is>
      </c>
      <c r="C6" s="18" t="n">
        <v>0.01</v>
      </c>
    </row>
    <row r="7">
      <c r="A7" s="13" t="inlineStr">
        <is>
          <t xml:space="preserve">   Cost inflation add-on (ppt of revenue, on 'Other operating expenses')</t>
        </is>
      </c>
      <c r="C7" s="18" t="n">
        <v>0.005</v>
      </c>
    </row>
    <row r="8">
      <c r="A8" s="13" t="inlineStr">
        <is>
          <t xml:space="preserve">   Capex increase (%, multiplicative uplift to capex ratios)</t>
        </is>
      </c>
      <c r="C8" s="18" t="n">
        <v>0.15</v>
      </c>
    </row>
    <row r="9">
      <c r="A9" s="13" t="inlineStr">
        <is>
          <t xml:space="preserve">   Working-capital drag increase (%, multiplicative uplift to NWC outflow)</t>
        </is>
      </c>
      <c r="C9" s="18" t="n">
        <v>0.2</v>
      </c>
    </row>
    <row r="10">
      <c r="A10" s="13" t="inlineStr">
        <is>
          <t xml:space="preserve">   Interest rate shock (bps, added to all-in cost of debt)</t>
        </is>
      </c>
      <c r="C10" s="19" t="n">
        <v>100</v>
      </c>
    </row>
    <row r="12" ht="32" customHeight="1">
      <c r="A12" s="20" t="inlineStr">
        <is>
          <t>£m | Period</t>
        </is>
      </c>
      <c r="B12" s="21">
        <f>Assumptions!B$6</f>
        <v/>
      </c>
      <c r="C12" s="21">
        <f>Assumptions!C$6</f>
        <v/>
      </c>
      <c r="D12" s="21">
        <f>Assumptions!D$6</f>
        <v/>
      </c>
      <c r="E12" s="21">
        <f>Assumptions!E$6</f>
        <v/>
      </c>
      <c r="F12" s="21">
        <f>Assumptions!F$6</f>
        <v/>
      </c>
      <c r="G12" s="21">
        <f>Assumptions!G$6</f>
        <v/>
      </c>
      <c r="H12" s="21">
        <f>Assumptions!H$6</f>
        <v/>
      </c>
      <c r="I12" s="21">
        <f>Assumptions!I$6</f>
        <v/>
      </c>
      <c r="J12" s="21">
        <f>Assumptions!J$6</f>
        <v/>
      </c>
      <c r="K12" s="21">
        <f>Assumptions!K$6</f>
        <v/>
      </c>
      <c r="L12" s="21">
        <f>Assumptions!L$6</f>
        <v/>
      </c>
      <c r="M12" s="21">
        <f>Assumptions!M$6</f>
        <v/>
      </c>
    </row>
    <row r="14" ht="16" customHeight="1">
      <c r="A14" s="5" t="inlineStr">
        <is>
          <t>REVENUE</t>
        </is>
      </c>
    </row>
    <row r="15">
      <c r="A15" s="10">
        <f>Assumptions!$C$9</f>
        <v/>
      </c>
      <c r="B15" s="22">
        <f>Assumptions!B18</f>
        <v/>
      </c>
      <c r="C15" s="22">
        <f>Assumptions!C18</f>
        <v/>
      </c>
      <c r="D15" s="22">
        <f>Assumptions!D18</f>
        <v/>
      </c>
      <c r="E15" s="22">
        <f>Assumptions!E18</f>
        <v/>
      </c>
      <c r="F15" s="23">
        <f>E15*(1+Assumptions!F68+$C$5)</f>
        <v/>
      </c>
      <c r="G15" s="23">
        <f>F15*(1+Assumptions!G68+$C$5)</f>
        <v/>
      </c>
      <c r="H15" s="23">
        <f>G15*(1+Assumptions!H68+$C$5)</f>
        <v/>
      </c>
      <c r="I15" s="23">
        <f>H15*(1+Assumptions!I68+$C$5)</f>
        <v/>
      </c>
      <c r="J15" s="23">
        <f>I15*(1+Assumptions!J68+$C$5)</f>
        <v/>
      </c>
      <c r="K15" s="23">
        <f>J15*(1+Assumptions!K68+$C$5)</f>
        <v/>
      </c>
      <c r="L15" s="23">
        <f>K15*(1+Assumptions!L68+$C$5)</f>
        <v/>
      </c>
      <c r="M15" s="23">
        <f>L15*(1+Assumptions!M68+$C$5)</f>
        <v/>
      </c>
    </row>
    <row r="16">
      <c r="A16" s="10">
        <f>Assumptions!$C$10</f>
        <v/>
      </c>
      <c r="B16" s="22">
        <f>Assumptions!B19</f>
        <v/>
      </c>
      <c r="C16" s="22">
        <f>Assumptions!C19</f>
        <v/>
      </c>
      <c r="D16" s="22">
        <f>Assumptions!D19</f>
        <v/>
      </c>
      <c r="E16" s="22">
        <f>Assumptions!E19</f>
        <v/>
      </c>
      <c r="F16" s="23">
        <f>E16*(1+Assumptions!F69+$C$5)</f>
        <v/>
      </c>
      <c r="G16" s="23">
        <f>F16*(1+Assumptions!G69+$C$5)</f>
        <v/>
      </c>
      <c r="H16" s="23">
        <f>G16*(1+Assumptions!H69+$C$5)</f>
        <v/>
      </c>
      <c r="I16" s="23">
        <f>H16*(1+Assumptions!I69+$C$5)</f>
        <v/>
      </c>
      <c r="J16" s="23">
        <f>I16*(1+Assumptions!J69+$C$5)</f>
        <v/>
      </c>
      <c r="K16" s="23">
        <f>J16*(1+Assumptions!K69+$C$5)</f>
        <v/>
      </c>
      <c r="L16" s="23">
        <f>K16*(1+Assumptions!L69+$C$5)</f>
        <v/>
      </c>
      <c r="M16" s="23">
        <f>L16*(1+Assumptions!M69+$C$5)</f>
        <v/>
      </c>
    </row>
    <row r="17">
      <c r="A17" s="10">
        <f>Assumptions!$C$11</f>
        <v/>
      </c>
      <c r="B17" s="22">
        <f>Assumptions!B20</f>
        <v/>
      </c>
      <c r="C17" s="22">
        <f>Assumptions!C20</f>
        <v/>
      </c>
      <c r="D17" s="22">
        <f>Assumptions!D20</f>
        <v/>
      </c>
      <c r="E17" s="22">
        <f>Assumptions!E20</f>
        <v/>
      </c>
      <c r="F17" s="23">
        <f>E17*(1+Assumptions!F70+$C$5)</f>
        <v/>
      </c>
      <c r="G17" s="23">
        <f>F17*(1+Assumptions!G70+$C$5)</f>
        <v/>
      </c>
      <c r="H17" s="23">
        <f>G17*(1+Assumptions!H70+$C$5)</f>
        <v/>
      </c>
      <c r="I17" s="23">
        <f>H17*(1+Assumptions!I70+$C$5)</f>
        <v/>
      </c>
      <c r="J17" s="23">
        <f>I17*(1+Assumptions!J70+$C$5)</f>
        <v/>
      </c>
      <c r="K17" s="23">
        <f>J17*(1+Assumptions!K70+$C$5)</f>
        <v/>
      </c>
      <c r="L17" s="23">
        <f>K17*(1+Assumptions!L70+$C$5)</f>
        <v/>
      </c>
      <c r="M17" s="23">
        <f>L17*(1+Assumptions!M70+$C$5)</f>
        <v/>
      </c>
    </row>
    <row r="18">
      <c r="A18" s="10">
        <f>Assumptions!$C$12</f>
        <v/>
      </c>
      <c r="B18" s="22">
        <f>Assumptions!B21</f>
        <v/>
      </c>
      <c r="C18" s="22">
        <f>Assumptions!C21</f>
        <v/>
      </c>
      <c r="D18" s="22">
        <f>Assumptions!D21</f>
        <v/>
      </c>
      <c r="E18" s="22">
        <f>Assumptions!E21</f>
        <v/>
      </c>
      <c r="F18" s="23">
        <f>E18*(1+Assumptions!F71+$C$5)</f>
        <v/>
      </c>
      <c r="G18" s="23">
        <f>F18*(1+Assumptions!G71+$C$5)</f>
        <v/>
      </c>
      <c r="H18" s="23">
        <f>G18*(1+Assumptions!H71+$C$5)</f>
        <v/>
      </c>
      <c r="I18" s="23">
        <f>H18*(1+Assumptions!I71+$C$5)</f>
        <v/>
      </c>
      <c r="J18" s="23">
        <f>I18*(1+Assumptions!J71+$C$5)</f>
        <v/>
      </c>
      <c r="K18" s="23">
        <f>J18*(1+Assumptions!K71+$C$5)</f>
        <v/>
      </c>
      <c r="L18" s="23">
        <f>K18*(1+Assumptions!L71+$C$5)</f>
        <v/>
      </c>
      <c r="M18" s="23">
        <f>L18*(1+Assumptions!M71+$C$5)</f>
        <v/>
      </c>
    </row>
    <row r="19">
      <c r="A19" s="10">
        <f>Assumptions!$C$13</f>
        <v/>
      </c>
      <c r="B19" s="22">
        <f>Assumptions!B22</f>
        <v/>
      </c>
      <c r="C19" s="22">
        <f>Assumptions!C22</f>
        <v/>
      </c>
      <c r="D19" s="22">
        <f>Assumptions!D22</f>
        <v/>
      </c>
      <c r="E19" s="22">
        <f>Assumptions!E22</f>
        <v/>
      </c>
      <c r="F19" s="23">
        <f>E19*(1+Assumptions!F72+$C$5)</f>
        <v/>
      </c>
      <c r="G19" s="23">
        <f>F19*(1+Assumptions!G72+$C$5)</f>
        <v/>
      </c>
      <c r="H19" s="23">
        <f>G19*(1+Assumptions!H72+$C$5)</f>
        <v/>
      </c>
      <c r="I19" s="23">
        <f>H19*(1+Assumptions!I72+$C$5)</f>
        <v/>
      </c>
      <c r="J19" s="23">
        <f>I19*(1+Assumptions!J72+$C$5)</f>
        <v/>
      </c>
      <c r="K19" s="23">
        <f>J19*(1+Assumptions!K72+$C$5)</f>
        <v/>
      </c>
      <c r="L19" s="23">
        <f>K19*(1+Assumptions!L72+$C$5)</f>
        <v/>
      </c>
      <c r="M19" s="23">
        <f>L19*(1+Assumptions!M72+$C$5)</f>
        <v/>
      </c>
    </row>
    <row r="20">
      <c r="A20" s="10">
        <f>Assumptions!$C$14</f>
        <v/>
      </c>
      <c r="B20" s="22">
        <f>Assumptions!B23</f>
        <v/>
      </c>
      <c r="C20" s="22">
        <f>Assumptions!C23</f>
        <v/>
      </c>
      <c r="D20" s="22">
        <f>Assumptions!D23</f>
        <v/>
      </c>
      <c r="E20" s="22">
        <f>Assumptions!E23</f>
        <v/>
      </c>
      <c r="F20" s="23">
        <f>E20*(1+Assumptions!F73+$C$5)</f>
        <v/>
      </c>
      <c r="G20" s="23">
        <f>F20*(1+Assumptions!G73+$C$5)</f>
        <v/>
      </c>
      <c r="H20" s="23">
        <f>G20*(1+Assumptions!H73+$C$5)</f>
        <v/>
      </c>
      <c r="I20" s="23">
        <f>H20*(1+Assumptions!I73+$C$5)</f>
        <v/>
      </c>
      <c r="J20" s="23">
        <f>I20*(1+Assumptions!J73+$C$5)</f>
        <v/>
      </c>
      <c r="K20" s="23">
        <f>J20*(1+Assumptions!K73+$C$5)</f>
        <v/>
      </c>
      <c r="L20" s="23">
        <f>K20*(1+Assumptions!L73+$C$5)</f>
        <v/>
      </c>
      <c r="M20" s="23">
        <f>L20*(1+Assumptions!M73+$C$5)</f>
        <v/>
      </c>
    </row>
    <row r="21">
      <c r="A21" s="24" t="inlineStr">
        <is>
          <t>Total Revenue</t>
        </is>
      </c>
      <c r="B21" s="25">
        <f>B15+B16+B17+B18+B19+B20</f>
        <v/>
      </c>
      <c r="C21" s="25">
        <f>C15+C16+C17+C18+C19+C20</f>
        <v/>
      </c>
      <c r="D21" s="25">
        <f>D15+D16+D17+D18+D19+D20</f>
        <v/>
      </c>
      <c r="E21" s="25">
        <f>E15+E16+E17+E18+E19+E20</f>
        <v/>
      </c>
      <c r="F21" s="25">
        <f>F15+F16+F17+F18+F19+F20</f>
        <v/>
      </c>
      <c r="G21" s="25">
        <f>G15+G16+G17+G18+G19+G20</f>
        <v/>
      </c>
      <c r="H21" s="25">
        <f>H15+H16+H17+H18+H19+H20</f>
        <v/>
      </c>
      <c r="I21" s="25">
        <f>I15+I16+I17+I18+I19+I20</f>
        <v/>
      </c>
      <c r="J21" s="25">
        <f>J15+J16+J17+J18+J19+J20</f>
        <v/>
      </c>
      <c r="K21" s="25">
        <f>K15+K16+K17+K18+K19+K20</f>
        <v/>
      </c>
      <c r="L21" s="25">
        <f>L15+L16+L17+L18+L19+L20</f>
        <v/>
      </c>
      <c r="M21" s="25">
        <f>M15+M16+M17+M18+M19+M20</f>
        <v/>
      </c>
    </row>
    <row r="22">
      <c r="A22" s="8" t="inlineStr">
        <is>
          <t>% growth</t>
        </is>
      </c>
      <c r="C22" s="26">
        <f>C21/B21-1</f>
        <v/>
      </c>
      <c r="D22" s="26">
        <f>D21/C21-1</f>
        <v/>
      </c>
      <c r="E22" s="26">
        <f>E21/D21-1</f>
        <v/>
      </c>
      <c r="F22" s="26">
        <f>F21/E21-1</f>
        <v/>
      </c>
      <c r="G22" s="26">
        <f>G21/F21-1</f>
        <v/>
      </c>
      <c r="H22" s="26">
        <f>H21/G21-1</f>
        <v/>
      </c>
      <c r="I22" s="26">
        <f>I21/H21-1</f>
        <v/>
      </c>
      <c r="J22" s="26">
        <f>J21/I21-1</f>
        <v/>
      </c>
      <c r="K22" s="26">
        <f>K21/J21-1</f>
        <v/>
      </c>
      <c r="L22" s="26">
        <f>L21/K21-1</f>
        <v/>
      </c>
      <c r="M22" s="26">
        <f>M21/L21-1</f>
        <v/>
      </c>
    </row>
    <row r="24" ht="16" customHeight="1">
      <c r="A24" s="5" t="inlineStr">
        <is>
          <t>COST OF SALES &amp; GROSS PROFIT</t>
        </is>
      </c>
    </row>
    <row r="25">
      <c r="A25" s="13" t="inlineStr">
        <is>
          <t xml:space="preserve">   Cost of sales / COGS</t>
        </is>
      </c>
      <c r="B25" s="22">
        <f>-B21*(1-Assumptions!B26)</f>
        <v/>
      </c>
      <c r="C25" s="22">
        <f>-C21*(1-Assumptions!C26)</f>
        <v/>
      </c>
      <c r="D25" s="22">
        <f>-D21*(1-Assumptions!D26)</f>
        <v/>
      </c>
      <c r="E25" s="22">
        <f>-E21*(1-Assumptions!E26)</f>
        <v/>
      </c>
      <c r="F25" s="22">
        <f>-F21*(1-(Assumptions!F76-$C$6))</f>
        <v/>
      </c>
      <c r="G25" s="22">
        <f>-G21*(1-(Assumptions!G76-$C$6))</f>
        <v/>
      </c>
      <c r="H25" s="22">
        <f>-H21*(1-(Assumptions!H76-$C$6))</f>
        <v/>
      </c>
      <c r="I25" s="22">
        <f>-I21*(1-(Assumptions!I76-$C$6))</f>
        <v/>
      </c>
      <c r="J25" s="22">
        <f>-J21*(1-(Assumptions!J76-$C$6))</f>
        <v/>
      </c>
      <c r="K25" s="22">
        <f>-K21*(1-(Assumptions!K76-$C$6))</f>
        <v/>
      </c>
      <c r="L25" s="22">
        <f>-L21*(1-(Assumptions!L76-$C$6))</f>
        <v/>
      </c>
      <c r="M25" s="22">
        <f>-M21*(1-(Assumptions!M76-$C$6))</f>
        <v/>
      </c>
    </row>
    <row r="26">
      <c r="A26" s="24" t="inlineStr">
        <is>
          <t>Gross Profit</t>
        </is>
      </c>
      <c r="B26" s="25">
        <f>B21+B25</f>
        <v/>
      </c>
      <c r="C26" s="25">
        <f>C21+C25</f>
        <v/>
      </c>
      <c r="D26" s="25">
        <f>D21+D25</f>
        <v/>
      </c>
      <c r="E26" s="25">
        <f>E21+E25</f>
        <v/>
      </c>
      <c r="F26" s="25">
        <f>F21+F25</f>
        <v/>
      </c>
      <c r="G26" s="25">
        <f>G21+G25</f>
        <v/>
      </c>
      <c r="H26" s="25">
        <f>H21+H25</f>
        <v/>
      </c>
      <c r="I26" s="25">
        <f>I21+I25</f>
        <v/>
      </c>
      <c r="J26" s="25">
        <f>J21+J25</f>
        <v/>
      </c>
      <c r="K26" s="25">
        <f>K21+K25</f>
        <v/>
      </c>
      <c r="L26" s="25">
        <f>L21+L25</f>
        <v/>
      </c>
      <c r="M26" s="25">
        <f>M21+M25</f>
        <v/>
      </c>
    </row>
    <row r="27">
      <c r="A27" s="8" t="inlineStr">
        <is>
          <t>Gross margin %</t>
        </is>
      </c>
      <c r="B27" s="26">
        <f>B26/B21</f>
        <v/>
      </c>
      <c r="C27" s="26">
        <f>C26/C21</f>
        <v/>
      </c>
      <c r="D27" s="26">
        <f>D26/D21</f>
        <v/>
      </c>
      <c r="E27" s="26">
        <f>E26/E21</f>
        <v/>
      </c>
      <c r="F27" s="26">
        <f>F26/F21</f>
        <v/>
      </c>
      <c r="G27" s="26">
        <f>G26/G21</f>
        <v/>
      </c>
      <c r="H27" s="26">
        <f>H26/H21</f>
        <v/>
      </c>
      <c r="I27" s="26">
        <f>I26/I21</f>
        <v/>
      </c>
      <c r="J27" s="26">
        <f>J26/J21</f>
        <v/>
      </c>
      <c r="K27" s="26">
        <f>K26/K21</f>
        <v/>
      </c>
      <c r="L27" s="26">
        <f>L26/L21</f>
        <v/>
      </c>
      <c r="M27" s="26">
        <f>M26/M21</f>
        <v/>
      </c>
    </row>
    <row r="29" ht="16" customHeight="1">
      <c r="A29" s="5" t="inlineStr">
        <is>
          <t>OPERATING EXPENSES</t>
        </is>
      </c>
    </row>
    <row r="30">
      <c r="A30" s="13" t="inlineStr">
        <is>
          <t xml:space="preserve">   Other income</t>
        </is>
      </c>
      <c r="B30" s="22">
        <f>Assumptions!B29</f>
        <v/>
      </c>
      <c r="C30" s="22">
        <f>Assumptions!C29</f>
        <v/>
      </c>
      <c r="D30" s="22">
        <f>Assumptions!D29</f>
        <v/>
      </c>
      <c r="E30" s="22">
        <f>Assumptions!E29</f>
        <v/>
      </c>
      <c r="F30" s="22">
        <f>Assumptions!F79</f>
        <v/>
      </c>
      <c r="G30" s="22">
        <f>Assumptions!G79</f>
        <v/>
      </c>
      <c r="H30" s="22">
        <f>Assumptions!H79</f>
        <v/>
      </c>
      <c r="I30" s="22">
        <f>Assumptions!I79</f>
        <v/>
      </c>
      <c r="J30" s="22">
        <f>Assumptions!J79</f>
        <v/>
      </c>
      <c r="K30" s="22">
        <f>Assumptions!K79</f>
        <v/>
      </c>
      <c r="L30" s="22">
        <f>Assumptions!L79</f>
        <v/>
      </c>
      <c r="M30" s="22">
        <f>Assumptions!M79</f>
        <v/>
      </c>
    </row>
    <row r="31">
      <c r="A31" s="13" t="inlineStr">
        <is>
          <t xml:space="preserve">   Staff costs</t>
        </is>
      </c>
      <c r="B31" s="22">
        <f>Assumptions!B32</f>
        <v/>
      </c>
      <c r="C31" s="22">
        <f>Assumptions!C32</f>
        <v/>
      </c>
      <c r="D31" s="22">
        <f>Assumptions!D32</f>
        <v/>
      </c>
      <c r="E31" s="22">
        <f>Assumptions!E32</f>
        <v/>
      </c>
      <c r="F31" s="22">
        <f>-F21*Assumptions!F82</f>
        <v/>
      </c>
      <c r="G31" s="22">
        <f>-G21*Assumptions!G82</f>
        <v/>
      </c>
      <c r="H31" s="22">
        <f>-H21*Assumptions!H82</f>
        <v/>
      </c>
      <c r="I31" s="22">
        <f>-I21*Assumptions!I82</f>
        <v/>
      </c>
      <c r="J31" s="22">
        <f>-J21*Assumptions!J82</f>
        <v/>
      </c>
      <c r="K31" s="22">
        <f>-K21*Assumptions!K82</f>
        <v/>
      </c>
      <c r="L31" s="22">
        <f>-L21*Assumptions!L82</f>
        <v/>
      </c>
      <c r="M31" s="22">
        <f>-M21*Assumptions!M82</f>
        <v/>
      </c>
    </row>
    <row r="32">
      <c r="A32" s="13" t="inlineStr">
        <is>
          <t xml:space="preserve">   Other operating expenses</t>
        </is>
      </c>
      <c r="B32" s="22">
        <f>Assumptions!B35</f>
        <v/>
      </c>
      <c r="C32" s="22">
        <f>Assumptions!C35</f>
        <v/>
      </c>
      <c r="D32" s="22">
        <f>Assumptions!D35</f>
        <v/>
      </c>
      <c r="E32" s="22">
        <f>Assumptions!E35</f>
        <v/>
      </c>
      <c r="F32" s="22">
        <f>-F21*(Assumptions!F85+$C$7)</f>
        <v/>
      </c>
      <c r="G32" s="22">
        <f>-G21*(Assumptions!G85+$C$7)</f>
        <v/>
      </c>
      <c r="H32" s="22">
        <f>-H21*(Assumptions!H85+$C$7)</f>
        <v/>
      </c>
      <c r="I32" s="22">
        <f>-I21*(Assumptions!I85+$C$7)</f>
        <v/>
      </c>
      <c r="J32" s="22">
        <f>-J21*(Assumptions!J85+$C$7)</f>
        <v/>
      </c>
      <c r="K32" s="22">
        <f>-K21*(Assumptions!K85+$C$7)</f>
        <v/>
      </c>
      <c r="L32" s="22">
        <f>-L21*(Assumptions!L85+$C$7)</f>
        <v/>
      </c>
      <c r="M32" s="22">
        <f>-M21*(Assumptions!M85+$C$7)</f>
        <v/>
      </c>
    </row>
    <row r="33">
      <c r="A33" s="24" t="inlineStr">
        <is>
          <t>Total Operating Expenses</t>
        </is>
      </c>
      <c r="B33" s="25">
        <f>B31+B32</f>
        <v/>
      </c>
      <c r="C33" s="25">
        <f>C31+C32</f>
        <v/>
      </c>
      <c r="D33" s="25">
        <f>D31+D32</f>
        <v/>
      </c>
      <c r="E33" s="25">
        <f>E31+E32</f>
        <v/>
      </c>
      <c r="F33" s="25">
        <f>F31+F32</f>
        <v/>
      </c>
      <c r="G33" s="25">
        <f>G31+G32</f>
        <v/>
      </c>
      <c r="H33" s="25">
        <f>H31+H32</f>
        <v/>
      </c>
      <c r="I33" s="25">
        <f>I31+I32</f>
        <v/>
      </c>
      <c r="J33" s="25">
        <f>J31+J32</f>
        <v/>
      </c>
      <c r="K33" s="25">
        <f>K31+K32</f>
        <v/>
      </c>
      <c r="L33" s="25">
        <f>L31+L32</f>
        <v/>
      </c>
      <c r="M33" s="25">
        <f>M31+M32</f>
        <v/>
      </c>
    </row>
    <row r="34">
      <c r="A34" s="8" t="inlineStr">
        <is>
          <t>Operating expenses — % of sales</t>
        </is>
      </c>
      <c r="B34" s="26">
        <f>-B33/B21</f>
        <v/>
      </c>
      <c r="C34" s="26">
        <f>-C33/C21</f>
        <v/>
      </c>
      <c r="D34" s="26">
        <f>-D33/D21</f>
        <v/>
      </c>
      <c r="E34" s="26">
        <f>-E33/E21</f>
        <v/>
      </c>
      <c r="F34" s="26">
        <f>-F33/F21</f>
        <v/>
      </c>
      <c r="G34" s="26">
        <f>-G33/G21</f>
        <v/>
      </c>
      <c r="H34" s="26">
        <f>-H33/H21</f>
        <v/>
      </c>
      <c r="I34" s="26">
        <f>-I33/I21</f>
        <v/>
      </c>
      <c r="J34" s="26">
        <f>-J33/J21</f>
        <v/>
      </c>
      <c r="K34" s="26">
        <f>-K33/K21</f>
        <v/>
      </c>
      <c r="L34" s="26">
        <f>-L33/L21</f>
        <v/>
      </c>
      <c r="M34" s="26">
        <f>-M33/M21</f>
        <v/>
      </c>
    </row>
    <row r="36" ht="16" customHeight="1">
      <c r="A36" s="5" t="inlineStr">
        <is>
          <t>EBITDA, D&amp;A &amp; EBIT</t>
        </is>
      </c>
    </row>
    <row r="37">
      <c r="A37" s="24" t="inlineStr">
        <is>
          <t>EBITDA</t>
        </is>
      </c>
      <c r="B37" s="25">
        <f>B26+B30+B33</f>
        <v/>
      </c>
      <c r="C37" s="25">
        <f>C26+C30+C33</f>
        <v/>
      </c>
      <c r="D37" s="25">
        <f>D26+D30+D33</f>
        <v/>
      </c>
      <c r="E37" s="25">
        <f>E26+E30+E33</f>
        <v/>
      </c>
      <c r="F37" s="25">
        <f>F26+F30+F33</f>
        <v/>
      </c>
      <c r="G37" s="25">
        <f>G26+G30+G33</f>
        <v/>
      </c>
      <c r="H37" s="25">
        <f>H26+H30+H33</f>
        <v/>
      </c>
      <c r="I37" s="25">
        <f>I26+I30+I33</f>
        <v/>
      </c>
      <c r="J37" s="25">
        <f>J26+J30+J33</f>
        <v/>
      </c>
      <c r="K37" s="25">
        <f>K26+K30+K33</f>
        <v/>
      </c>
      <c r="L37" s="25">
        <f>L26+L30+L33</f>
        <v/>
      </c>
      <c r="M37" s="25">
        <f>M26+M30+M33</f>
        <v/>
      </c>
    </row>
    <row r="38">
      <c r="A38" s="8" t="inlineStr">
        <is>
          <t>EBITDA margin %</t>
        </is>
      </c>
      <c r="B38" s="26">
        <f>B37/B21</f>
        <v/>
      </c>
      <c r="C38" s="26">
        <f>C37/C21</f>
        <v/>
      </c>
      <c r="D38" s="26">
        <f>D37/D21</f>
        <v/>
      </c>
      <c r="E38" s="26">
        <f>E37/E21</f>
        <v/>
      </c>
      <c r="F38" s="26">
        <f>F37/F21</f>
        <v/>
      </c>
      <c r="G38" s="26">
        <f>G37/G21</f>
        <v/>
      </c>
      <c r="H38" s="26">
        <f>H37/H21</f>
        <v/>
      </c>
      <c r="I38" s="26">
        <f>I37/I21</f>
        <v/>
      </c>
      <c r="J38" s="26">
        <f>J37/J21</f>
        <v/>
      </c>
      <c r="K38" s="26">
        <f>K37/K21</f>
        <v/>
      </c>
      <c r="L38" s="26">
        <f>L37/L21</f>
        <v/>
      </c>
      <c r="M38" s="26">
        <f>M37/M21</f>
        <v/>
      </c>
    </row>
    <row r="39">
      <c r="A39" s="13" t="inlineStr">
        <is>
          <t xml:space="preserve">   Depreciation &amp; amortisation</t>
        </is>
      </c>
      <c r="B39" s="22">
        <f>Assumptions!B38</f>
        <v/>
      </c>
      <c r="C39" s="22">
        <f>Assumptions!C38</f>
        <v/>
      </c>
      <c r="D39" s="22">
        <f>Assumptions!D38</f>
        <v/>
      </c>
      <c r="E39" s="22">
        <f>Assumptions!E38</f>
        <v/>
      </c>
      <c r="F39" s="22">
        <f>-F21*Assumptions!F88</f>
        <v/>
      </c>
      <c r="G39" s="22">
        <f>-G21*Assumptions!G88</f>
        <v/>
      </c>
      <c r="H39" s="22">
        <f>-H21*Assumptions!H88</f>
        <v/>
      </c>
      <c r="I39" s="22">
        <f>-I21*Assumptions!I88</f>
        <v/>
      </c>
      <c r="J39" s="22">
        <f>-J21*Assumptions!J88</f>
        <v/>
      </c>
      <c r="K39" s="22">
        <f>-K21*Assumptions!K88</f>
        <v/>
      </c>
      <c r="L39" s="22">
        <f>-L21*Assumptions!L88</f>
        <v/>
      </c>
      <c r="M39" s="22">
        <f>-M21*Assumptions!M88</f>
        <v/>
      </c>
    </row>
    <row r="40">
      <c r="A40" s="24" t="inlineStr">
        <is>
          <t>EBIT</t>
        </is>
      </c>
      <c r="B40" s="25">
        <f>B37+B39</f>
        <v/>
      </c>
      <c r="C40" s="25">
        <f>C37+C39</f>
        <v/>
      </c>
      <c r="D40" s="25">
        <f>D37+D39</f>
        <v/>
      </c>
      <c r="E40" s="25">
        <f>E37+E39</f>
        <v/>
      </c>
      <c r="F40" s="25">
        <f>F37+F39</f>
        <v/>
      </c>
      <c r="G40" s="25">
        <f>G37+G39</f>
        <v/>
      </c>
      <c r="H40" s="25">
        <f>H37+H39</f>
        <v/>
      </c>
      <c r="I40" s="25">
        <f>I37+I39</f>
        <v/>
      </c>
      <c r="J40" s="25">
        <f>J37+J39</f>
        <v/>
      </c>
      <c r="K40" s="25">
        <f>K37+K39</f>
        <v/>
      </c>
      <c r="L40" s="25">
        <f>L37+L39</f>
        <v/>
      </c>
      <c r="M40" s="25">
        <f>M37+M39</f>
        <v/>
      </c>
    </row>
    <row r="41">
      <c r="A41" s="13" t="inlineStr">
        <is>
          <t xml:space="preserve">   Non-recurring / QoE adjustments</t>
        </is>
      </c>
      <c r="B41" s="22">
        <f>Assumptions!B41</f>
        <v/>
      </c>
      <c r="C41" s="22">
        <f>Assumptions!C41</f>
        <v/>
      </c>
      <c r="D41" s="22">
        <f>Assumptions!D41</f>
        <v/>
      </c>
      <c r="E41" s="22">
        <f>Assumptions!E41</f>
        <v/>
      </c>
      <c r="F41" s="22">
        <f>Assumptions!F91</f>
        <v/>
      </c>
      <c r="G41" s="22">
        <f>Assumptions!G91</f>
        <v/>
      </c>
      <c r="H41" s="22">
        <f>Assumptions!H91</f>
        <v/>
      </c>
      <c r="I41" s="22">
        <f>Assumptions!I91</f>
        <v/>
      </c>
      <c r="J41" s="22">
        <f>Assumptions!J91</f>
        <v/>
      </c>
      <c r="K41" s="22">
        <f>Assumptions!K91</f>
        <v/>
      </c>
      <c r="L41" s="22">
        <f>Assumptions!L91</f>
        <v/>
      </c>
      <c r="M41" s="22">
        <f>Assumptions!M91</f>
        <v/>
      </c>
    </row>
    <row r="42">
      <c r="A42" s="24" t="inlineStr">
        <is>
          <t>Adjusted EBITDA</t>
        </is>
      </c>
      <c r="B42" s="25">
        <f>B37+B41</f>
        <v/>
      </c>
      <c r="C42" s="25">
        <f>C37+C41</f>
        <v/>
      </c>
      <c r="D42" s="25">
        <f>D37+D41</f>
        <v/>
      </c>
      <c r="E42" s="25">
        <f>E37+E41</f>
        <v/>
      </c>
      <c r="F42" s="25">
        <f>F37+F41</f>
        <v/>
      </c>
      <c r="G42" s="25">
        <f>G37+G41</f>
        <v/>
      </c>
      <c r="H42" s="25">
        <f>H37+H41</f>
        <v/>
      </c>
      <c r="I42" s="25">
        <f>I37+I41</f>
        <v/>
      </c>
      <c r="J42" s="25">
        <f>J37+J41</f>
        <v/>
      </c>
      <c r="K42" s="25">
        <f>K37+K41</f>
        <v/>
      </c>
      <c r="L42" s="25">
        <f>L37+L41</f>
        <v/>
      </c>
      <c r="M42" s="25">
        <f>M37+M41</f>
        <v/>
      </c>
    </row>
    <row r="43">
      <c r="A43" s="8" t="inlineStr">
        <is>
          <t>Adjusted EBITDA margin %</t>
        </is>
      </c>
      <c r="B43" s="26">
        <f>B42/B21</f>
        <v/>
      </c>
      <c r="C43" s="26">
        <f>C42/C21</f>
        <v/>
      </c>
      <c r="D43" s="26">
        <f>D42/D21</f>
        <v/>
      </c>
      <c r="E43" s="26">
        <f>E42/E21</f>
        <v/>
      </c>
      <c r="F43" s="26">
        <f>F42/F21</f>
        <v/>
      </c>
      <c r="G43" s="26">
        <f>G42/G21</f>
        <v/>
      </c>
      <c r="H43" s="26">
        <f>H42/H21</f>
        <v/>
      </c>
      <c r="I43" s="26">
        <f>I42/I21</f>
        <v/>
      </c>
      <c r="J43" s="26">
        <f>J42/J21</f>
        <v/>
      </c>
      <c r="K43" s="26">
        <f>K42/K21</f>
        <v/>
      </c>
      <c r="L43" s="26">
        <f>L42/L21</f>
        <v/>
      </c>
      <c r="M43" s="26">
        <f>M42/M21</f>
        <v/>
      </c>
    </row>
    <row r="45">
      <c r="A45" s="6" t="inlineStr">
        <is>
          <t>Δ Net working capital</t>
        </is>
      </c>
      <c r="B45" s="22">
        <f>Assumptions!B44</f>
        <v/>
      </c>
      <c r="C45" s="22">
        <f>Assumptions!C44</f>
        <v/>
      </c>
      <c r="D45" s="22">
        <f>Assumptions!D44</f>
        <v/>
      </c>
      <c r="E45" s="22">
        <f>Assumptions!E44</f>
        <v/>
      </c>
      <c r="F45" s="22">
        <f>Assumptions!F94*(1+$C$9)</f>
        <v/>
      </c>
      <c r="G45" s="22">
        <f>Assumptions!G94*(1+$C$9)</f>
        <v/>
      </c>
      <c r="H45" s="22">
        <f>Assumptions!H94*(1+$C$9)</f>
        <v/>
      </c>
      <c r="I45" s="22">
        <f>Assumptions!I94*(1+$C$9)</f>
        <v/>
      </c>
      <c r="J45" s="22">
        <f>Assumptions!J94*(1+$C$9)</f>
        <v/>
      </c>
      <c r="K45" s="22">
        <f>Assumptions!K94*(1+$C$9)</f>
        <v/>
      </c>
      <c r="L45" s="22">
        <f>Assumptions!L94*(1+$C$9)</f>
        <v/>
      </c>
      <c r="M45" s="22">
        <f>Assumptions!M94*(1+$C$9)</f>
        <v/>
      </c>
    </row>
    <row r="46">
      <c r="A46" s="24" t="inlineStr">
        <is>
          <t>Operating Cash Flow</t>
        </is>
      </c>
      <c r="B46" s="25">
        <f>B42+B45</f>
        <v/>
      </c>
      <c r="C46" s="25">
        <f>C42+C45</f>
        <v/>
      </c>
      <c r="D46" s="25">
        <f>D42+D45</f>
        <v/>
      </c>
      <c r="E46" s="25">
        <f>E42+E45</f>
        <v/>
      </c>
      <c r="F46" s="25">
        <f>F42+F45</f>
        <v/>
      </c>
      <c r="G46" s="25">
        <f>G42+G45</f>
        <v/>
      </c>
      <c r="H46" s="25">
        <f>H42+H45</f>
        <v/>
      </c>
      <c r="I46" s="25">
        <f>I42+I45</f>
        <v/>
      </c>
      <c r="J46" s="25">
        <f>J42+J45</f>
        <v/>
      </c>
      <c r="K46" s="25">
        <f>K42+K45</f>
        <v/>
      </c>
      <c r="L46" s="25">
        <f>L42+L45</f>
        <v/>
      </c>
      <c r="M46" s="25">
        <f>M42+M45</f>
        <v/>
      </c>
    </row>
    <row r="47">
      <c r="A47" s="8" t="inlineStr">
        <is>
          <t>OCF : Adjusted EBITDA %</t>
        </is>
      </c>
      <c r="B47" s="26">
        <f>B46/B42</f>
        <v/>
      </c>
      <c r="C47" s="26">
        <f>C46/C42</f>
        <v/>
      </c>
      <c r="D47" s="26">
        <f>D46/D42</f>
        <v/>
      </c>
      <c r="E47" s="26">
        <f>E46/E42</f>
        <v/>
      </c>
      <c r="F47" s="26">
        <f>F46/F42</f>
        <v/>
      </c>
      <c r="G47" s="26">
        <f>G46/G42</f>
        <v/>
      </c>
      <c r="H47" s="26">
        <f>H46/H42</f>
        <v/>
      </c>
      <c r="I47" s="26">
        <f>I46/I42</f>
        <v/>
      </c>
      <c r="J47" s="26">
        <f>J46/J42</f>
        <v/>
      </c>
      <c r="K47" s="26">
        <f>K46/K42</f>
        <v/>
      </c>
      <c r="L47" s="26">
        <f>L46/L42</f>
        <v/>
      </c>
      <c r="M47" s="26">
        <f>M46/M42</f>
        <v/>
      </c>
    </row>
    <row r="49" ht="16" customHeight="1">
      <c r="A49" s="5" t="inlineStr">
        <is>
          <t>CAPEX</t>
        </is>
      </c>
    </row>
    <row r="50">
      <c r="A50" s="13" t="inlineStr">
        <is>
          <t xml:space="preserve">   Maintenance capex</t>
        </is>
      </c>
      <c r="B50" s="22">
        <f>Assumptions!B47</f>
        <v/>
      </c>
      <c r="C50" s="22">
        <f>Assumptions!C47</f>
        <v/>
      </c>
      <c r="D50" s="22">
        <f>Assumptions!D47</f>
        <v/>
      </c>
      <c r="E50" s="22">
        <f>Assumptions!E47</f>
        <v/>
      </c>
      <c r="F50" s="22">
        <f>-F21*Assumptions!F97*(1+$C$8)</f>
        <v/>
      </c>
      <c r="G50" s="22">
        <f>-G21*Assumptions!G97*(1+$C$8)</f>
        <v/>
      </c>
      <c r="H50" s="22">
        <f>-H21*Assumptions!H97*(1+$C$8)</f>
        <v/>
      </c>
      <c r="I50" s="22">
        <f>-I21*Assumptions!I97*(1+$C$8)</f>
        <v/>
      </c>
      <c r="J50" s="22">
        <f>-J21*Assumptions!J97*(1+$C$8)</f>
        <v/>
      </c>
      <c r="K50" s="22">
        <f>-K21*Assumptions!K97*(1+$C$8)</f>
        <v/>
      </c>
      <c r="L50" s="22">
        <f>-L21*Assumptions!L97*(1+$C$8)</f>
        <v/>
      </c>
      <c r="M50" s="22">
        <f>-M21*Assumptions!M97*(1+$C$8)</f>
        <v/>
      </c>
    </row>
    <row r="51">
      <c r="A51" s="13" t="inlineStr">
        <is>
          <t xml:space="preserve">   Growth capex</t>
        </is>
      </c>
      <c r="B51" s="22">
        <f>Assumptions!B50</f>
        <v/>
      </c>
      <c r="C51" s="22">
        <f>Assumptions!C50</f>
        <v/>
      </c>
      <c r="D51" s="22">
        <f>Assumptions!D50</f>
        <v/>
      </c>
      <c r="E51" s="22">
        <f>Assumptions!E50</f>
        <v/>
      </c>
      <c r="F51" s="22">
        <f>-F21*Assumptions!F100*(1+$C$8)</f>
        <v/>
      </c>
      <c r="G51" s="22">
        <f>-G21*Assumptions!G100*(1+$C$8)</f>
        <v/>
      </c>
      <c r="H51" s="22">
        <f>-H21*Assumptions!H100*(1+$C$8)</f>
        <v/>
      </c>
      <c r="I51" s="22">
        <f>-I21*Assumptions!I100*(1+$C$8)</f>
        <v/>
      </c>
      <c r="J51" s="22">
        <f>-J21*Assumptions!J100*(1+$C$8)</f>
        <v/>
      </c>
      <c r="K51" s="22">
        <f>-K21*Assumptions!K100*(1+$C$8)</f>
        <v/>
      </c>
      <c r="L51" s="22">
        <f>-L21*Assumptions!L100*(1+$C$8)</f>
        <v/>
      </c>
      <c r="M51" s="22">
        <f>-M21*Assumptions!M100*(1+$C$8)</f>
        <v/>
      </c>
    </row>
    <row r="52">
      <c r="A52" s="24" t="inlineStr">
        <is>
          <t>Total capex</t>
        </is>
      </c>
      <c r="B52" s="25">
        <f>B50+B51</f>
        <v/>
      </c>
      <c r="C52" s="25">
        <f>C50+C51</f>
        <v/>
      </c>
      <c r="D52" s="25">
        <f>D50+D51</f>
        <v/>
      </c>
      <c r="E52" s="25">
        <f>E50+E51</f>
        <v/>
      </c>
      <c r="F52" s="25">
        <f>F50+F51</f>
        <v/>
      </c>
      <c r="G52" s="25">
        <f>G50+G51</f>
        <v/>
      </c>
      <c r="H52" s="25">
        <f>H50+H51</f>
        <v/>
      </c>
      <c r="I52" s="25">
        <f>I50+I51</f>
        <v/>
      </c>
      <c r="J52" s="25">
        <f>J50+J51</f>
        <v/>
      </c>
      <c r="K52" s="25">
        <f>K50+K51</f>
        <v/>
      </c>
      <c r="L52" s="25">
        <f>L50+L51</f>
        <v/>
      </c>
      <c r="M52" s="25">
        <f>M50+M51</f>
        <v/>
      </c>
    </row>
    <row r="53">
      <c r="A53" s="8" t="inlineStr">
        <is>
          <t>Total capex — % of sales</t>
        </is>
      </c>
      <c r="B53" s="26">
        <f>-B52/B21</f>
        <v/>
      </c>
      <c r="C53" s="26">
        <f>-C52/C21</f>
        <v/>
      </c>
      <c r="D53" s="26">
        <f>-D52/D21</f>
        <v/>
      </c>
      <c r="E53" s="26">
        <f>-E52/E21</f>
        <v/>
      </c>
      <c r="F53" s="26">
        <f>-F52/F21</f>
        <v/>
      </c>
      <c r="G53" s="26">
        <f>-G52/G21</f>
        <v/>
      </c>
      <c r="H53" s="26">
        <f>-H52/H21</f>
        <v/>
      </c>
      <c r="I53" s="26">
        <f>-I52/I21</f>
        <v/>
      </c>
      <c r="J53" s="26">
        <f>-J52/J21</f>
        <v/>
      </c>
      <c r="K53" s="26">
        <f>-K52/K21</f>
        <v/>
      </c>
      <c r="L53" s="26">
        <f>-L52/L21</f>
        <v/>
      </c>
      <c r="M53" s="26">
        <f>-M52/M21</f>
        <v/>
      </c>
    </row>
    <row r="54">
      <c r="A54" s="8" t="inlineStr">
        <is>
          <t>Memo: cash conversion post capex % (of Adjusted EBITDA)</t>
        </is>
      </c>
      <c r="B54" s="26">
        <f>(B46+B52)/B42</f>
        <v/>
      </c>
      <c r="C54" s="26">
        <f>(C46+C52)/C42</f>
        <v/>
      </c>
      <c r="D54" s="26">
        <f>(D46+D52)/D42</f>
        <v/>
      </c>
      <c r="E54" s="26">
        <f>(E46+E52)/E42</f>
        <v/>
      </c>
      <c r="F54" s="26">
        <f>(F46+F52)/F42</f>
        <v/>
      </c>
      <c r="G54" s="26">
        <f>(G46+G52)/G42</f>
        <v/>
      </c>
      <c r="H54" s="26">
        <f>(H46+H52)/H42</f>
        <v/>
      </c>
      <c r="I54" s="26">
        <f>(I46+I52)/I42</f>
        <v/>
      </c>
      <c r="J54" s="26">
        <f>(J46+J52)/J42</f>
        <v/>
      </c>
      <c r="K54" s="26">
        <f>(K46+K52)/K42</f>
        <v/>
      </c>
      <c r="L54" s="26">
        <f>(L46+L52)/L42</f>
        <v/>
      </c>
      <c r="M54" s="26">
        <f>(M46+M52)/M42</f>
        <v/>
      </c>
    </row>
    <row r="56" ht="16" customHeight="1">
      <c r="A56" s="5" t="inlineStr">
        <is>
          <t>CASH AVAILABLE FOR DEBT SERVICE (CFADS)</t>
        </is>
      </c>
    </row>
    <row r="57">
      <c r="A57" s="13" t="inlineStr">
        <is>
          <t xml:space="preserve">   Exceptional &amp; other cash items</t>
        </is>
      </c>
      <c r="B57" s="22">
        <f>Assumptions!B53</f>
        <v/>
      </c>
      <c r="C57" s="22">
        <f>Assumptions!C53</f>
        <v/>
      </c>
      <c r="D57" s="22">
        <f>Assumptions!D53</f>
        <v/>
      </c>
      <c r="E57" s="22">
        <f>Assumptions!E53</f>
        <v/>
      </c>
      <c r="F57" s="22">
        <f>Assumptions!F103</f>
        <v/>
      </c>
      <c r="G57" s="22">
        <f>Assumptions!G103</f>
        <v/>
      </c>
      <c r="H57" s="22">
        <f>Assumptions!H103</f>
        <v/>
      </c>
      <c r="I57" s="22">
        <f>Assumptions!I103</f>
        <v/>
      </c>
      <c r="J57" s="22">
        <f>Assumptions!J103</f>
        <v/>
      </c>
      <c r="K57" s="22">
        <f>Assumptions!K103</f>
        <v/>
      </c>
      <c r="L57" s="22">
        <f>Assumptions!L103</f>
        <v/>
      </c>
      <c r="M57" s="22">
        <f>Assumptions!M103</f>
        <v/>
      </c>
    </row>
    <row r="58">
      <c r="A58" s="13" t="inlineStr">
        <is>
          <t xml:space="preserve">   Cash taxes paid</t>
        </is>
      </c>
      <c r="B58" s="22">
        <f>Assumptions!B56</f>
        <v/>
      </c>
      <c r="C58" s="22">
        <f>Assumptions!C56</f>
        <v/>
      </c>
      <c r="D58" s="22">
        <f>Assumptions!D56</f>
        <v/>
      </c>
      <c r="E58" s="22">
        <f>Assumptions!E56</f>
        <v/>
      </c>
      <c r="F58" s="22">
        <f>-MAX(0,F40)*Assumptions!F106</f>
        <v/>
      </c>
      <c r="G58" s="22">
        <f>-MAX(0,G40)*Assumptions!G106</f>
        <v/>
      </c>
      <c r="H58" s="22">
        <f>-MAX(0,H40)*Assumptions!H106</f>
        <v/>
      </c>
      <c r="I58" s="22">
        <f>-MAX(0,I40)*Assumptions!I106</f>
        <v/>
      </c>
      <c r="J58" s="22">
        <f>-MAX(0,J40)*Assumptions!J106</f>
        <v/>
      </c>
      <c r="K58" s="22">
        <f>-MAX(0,K40)*Assumptions!K106</f>
        <v/>
      </c>
      <c r="L58" s="22">
        <f>-MAX(0,L40)*Assumptions!L106</f>
        <v/>
      </c>
      <c r="M58" s="22">
        <f>-MAX(0,M40)*Assumptions!M106</f>
        <v/>
      </c>
    </row>
    <row r="59">
      <c r="A59" s="24" t="inlineStr">
        <is>
          <t>Cash Available for Debt Service (CFADS)</t>
        </is>
      </c>
      <c r="B59" s="25">
        <f>B46+B52+B57+B58</f>
        <v/>
      </c>
      <c r="C59" s="25">
        <f>C46+C52+C57+C58</f>
        <v/>
      </c>
      <c r="D59" s="25">
        <f>D46+D52+D57+D58</f>
        <v/>
      </c>
      <c r="E59" s="25">
        <f>E46+E52+E57+E58</f>
        <v/>
      </c>
      <c r="F59" s="25">
        <f>F46+F52+F57+F58</f>
        <v/>
      </c>
      <c r="G59" s="25">
        <f>G46+G52+G57+G58</f>
        <v/>
      </c>
      <c r="H59" s="25">
        <f>H46+H52+H57+H58</f>
        <v/>
      </c>
      <c r="I59" s="25">
        <f>I46+I52+I57+I58</f>
        <v/>
      </c>
      <c r="J59" s="25">
        <f>J46+J52+J57+J58</f>
        <v/>
      </c>
      <c r="K59" s="25">
        <f>K46+K52+K57+K58</f>
        <v/>
      </c>
      <c r="L59" s="25">
        <f>L46+L52+L57+L58</f>
        <v/>
      </c>
      <c r="M59" s="25">
        <f>M46+M52+M57+M58</f>
        <v/>
      </c>
    </row>
    <row r="60">
      <c r="A60" s="8" t="inlineStr">
        <is>
          <t>CFADS conversion % (of Adjusted EBITDA)</t>
        </is>
      </c>
      <c r="B60" s="26">
        <f>B59/B42</f>
        <v/>
      </c>
      <c r="C60" s="26">
        <f>C59/C42</f>
        <v/>
      </c>
      <c r="D60" s="26">
        <f>D59/D42</f>
        <v/>
      </c>
      <c r="E60" s="26">
        <f>E59/E42</f>
        <v/>
      </c>
      <c r="F60" s="26">
        <f>F59/F42</f>
        <v/>
      </c>
      <c r="G60" s="26">
        <f>G59/G42</f>
        <v/>
      </c>
      <c r="H60" s="26">
        <f>H59/H42</f>
        <v/>
      </c>
      <c r="I60" s="26">
        <f>I59/I42</f>
        <v/>
      </c>
      <c r="J60" s="26">
        <f>J59/J42</f>
        <v/>
      </c>
      <c r="K60" s="26">
        <f>K59/K42</f>
        <v/>
      </c>
      <c r="L60" s="26">
        <f>L59/L42</f>
        <v/>
      </c>
      <c r="M60" s="26">
        <f>M59/M42</f>
        <v/>
      </c>
    </row>
    <row r="61">
      <c r="A61" s="6" t="inlineStr">
        <is>
          <t>Total net cash interest payments</t>
        </is>
      </c>
      <c r="B61" s="27">
        <f>Assumptions!B59</f>
        <v/>
      </c>
      <c r="C61" s="27">
        <f>Assumptions!C59</f>
        <v/>
      </c>
      <c r="D61" s="27">
        <f>Assumptions!D59</f>
        <v/>
      </c>
      <c r="E61" s="27">
        <f>Assumptions!E59</f>
        <v/>
      </c>
      <c r="F61" s="27">
        <f>-E84*(Assumptions!$C$114+Assumptions!$C$115+$C$10/10000)</f>
        <v/>
      </c>
      <c r="G61" s="27">
        <f>-F84*(Assumptions!$C$114+Assumptions!$C$115+$C$10/10000)</f>
        <v/>
      </c>
      <c r="H61" s="27">
        <f>-G84*(Assumptions!$C$114+Assumptions!$C$115+$C$10/10000)</f>
        <v/>
      </c>
      <c r="I61" s="27">
        <f>-H84*(Assumptions!$C$114+Assumptions!$C$115+$C$10/10000)</f>
        <v/>
      </c>
      <c r="J61" s="27">
        <f>-I84*(Assumptions!$C$114+Assumptions!$C$115+$C$10/10000)</f>
        <v/>
      </c>
      <c r="K61" s="27">
        <f>-J84*(Assumptions!$C$114+Assumptions!$C$115+$C$10/10000)</f>
        <v/>
      </c>
      <c r="L61" s="27">
        <f>-K84*(Assumptions!$C$114+Assumptions!$C$115+$C$10/10000)</f>
        <v/>
      </c>
      <c r="M61" s="27">
        <f>-L84*(Assumptions!$C$114+Assumptions!$C$115+$C$10/10000)</f>
        <v/>
      </c>
    </row>
    <row r="62">
      <c r="A62" s="6" t="inlineStr">
        <is>
          <t>FCF before Debt Payment / Drawdown</t>
        </is>
      </c>
      <c r="B62" s="28">
        <f>B59+B61</f>
        <v/>
      </c>
      <c r="C62" s="28">
        <f>C59+C61</f>
        <v/>
      </c>
      <c r="D62" s="28">
        <f>D59+D61</f>
        <v/>
      </c>
      <c r="E62" s="28">
        <f>E59+E61</f>
        <v/>
      </c>
      <c r="F62" s="28">
        <f>F59+F61</f>
        <v/>
      </c>
      <c r="G62" s="28">
        <f>G59+G61</f>
        <v/>
      </c>
      <c r="H62" s="28">
        <f>H59+H61</f>
        <v/>
      </c>
      <c r="I62" s="28">
        <f>I59+I61</f>
        <v/>
      </c>
      <c r="J62" s="28">
        <f>J59+J61</f>
        <v/>
      </c>
      <c r="K62" s="28">
        <f>K59+K61</f>
        <v/>
      </c>
      <c r="L62" s="28">
        <f>L59+L61</f>
        <v/>
      </c>
      <c r="M62" s="28">
        <f>M59+M61</f>
        <v/>
      </c>
    </row>
    <row r="64" ht="16" customHeight="1">
      <c r="A64" s="5" t="inlineStr">
        <is>
          <t>ACQUISITION / NON-ORGANIC FINANCING  (self-funding — optional, leave 0 if not applicable)</t>
        </is>
      </c>
    </row>
    <row r="65">
      <c r="A65" s="13" t="inlineStr">
        <is>
          <t xml:space="preserve">   Acquisition-related cash outflow</t>
        </is>
      </c>
      <c r="B65" s="22">
        <f>Assumptions!B62</f>
        <v/>
      </c>
      <c r="C65" s="22">
        <f>Assumptions!C62</f>
        <v/>
      </c>
      <c r="D65" s="22">
        <f>Assumptions!D62</f>
        <v/>
      </c>
      <c r="E65" s="22">
        <f>Assumptions!E62</f>
        <v/>
      </c>
      <c r="F65" s="22">
        <f>Assumptions!F109</f>
        <v/>
      </c>
      <c r="G65" s="22">
        <f>Assumptions!G109</f>
        <v/>
      </c>
      <c r="H65" s="22">
        <f>Assumptions!H109</f>
        <v/>
      </c>
      <c r="I65" s="22">
        <f>Assumptions!I109</f>
        <v/>
      </c>
      <c r="J65" s="22">
        <f>Assumptions!J109</f>
        <v/>
      </c>
      <c r="K65" s="22">
        <f>Assumptions!K109</f>
        <v/>
      </c>
      <c r="L65" s="22">
        <f>Assumptions!L109</f>
        <v/>
      </c>
      <c r="M65" s="22">
        <f>Assumptions!M109</f>
        <v/>
      </c>
    </row>
    <row r="66">
      <c r="A66" s="13" t="inlineStr">
        <is>
          <t xml:space="preserve">   Acquisition / delayed-draw facility drawdown</t>
        </is>
      </c>
      <c r="B66" s="22">
        <f>Assumptions!B65</f>
        <v/>
      </c>
      <c r="C66" s="22">
        <f>Assumptions!C65</f>
        <v/>
      </c>
      <c r="D66" s="22">
        <f>Assumptions!D65</f>
        <v/>
      </c>
      <c r="E66" s="22">
        <f>Assumptions!E65</f>
        <v/>
      </c>
      <c r="F66" s="22">
        <f>Assumptions!F112</f>
        <v/>
      </c>
      <c r="G66" s="22">
        <f>Assumptions!G112</f>
        <v/>
      </c>
      <c r="H66" s="22">
        <f>Assumptions!H112</f>
        <v/>
      </c>
      <c r="I66" s="22">
        <f>Assumptions!I112</f>
        <v/>
      </c>
      <c r="J66" s="22">
        <f>Assumptions!J112</f>
        <v/>
      </c>
      <c r="K66" s="22">
        <f>Assumptions!K112</f>
        <v/>
      </c>
      <c r="L66" s="22">
        <f>Assumptions!L112</f>
        <v/>
      </c>
      <c r="M66" s="22">
        <f>Assumptions!M112</f>
        <v/>
      </c>
    </row>
    <row r="67">
      <c r="A67" s="8" t="inlineStr">
        <is>
          <t>Net acquisition-financing impact (memo, should ≈ 0 if fully self-funded)</t>
        </is>
      </c>
      <c r="B67" s="29">
        <f>B65+B66</f>
        <v/>
      </c>
      <c r="C67" s="29">
        <f>C65+C66</f>
        <v/>
      </c>
      <c r="D67" s="29">
        <f>D65+D66</f>
        <v/>
      </c>
      <c r="E67" s="29">
        <f>E65+E66</f>
        <v/>
      </c>
      <c r="F67" s="29">
        <f>F65+F66</f>
        <v/>
      </c>
      <c r="G67" s="29">
        <f>G65+G66</f>
        <v/>
      </c>
      <c r="H67" s="29">
        <f>H65+H66</f>
        <v/>
      </c>
      <c r="I67" s="29">
        <f>I65+I66</f>
        <v/>
      </c>
      <c r="J67" s="29">
        <f>J65+J66</f>
        <v/>
      </c>
      <c r="K67" s="29">
        <f>K65+K66</f>
        <v/>
      </c>
      <c r="L67" s="29">
        <f>L65+L66</f>
        <v/>
      </c>
      <c r="M67" s="29">
        <f>M65+M66</f>
        <v/>
      </c>
    </row>
    <row r="69" ht="16" customHeight="1">
      <c r="A69" s="5" t="inlineStr">
        <is>
          <t>DEBT &amp; CASH ROLL-FORWARD  (Stub/At-Close column = opening balances; pre-close years N/A)</t>
        </is>
      </c>
    </row>
    <row r="70">
      <c r="A70" s="13" t="inlineStr">
        <is>
          <t xml:space="preserve">   Opening cash balance</t>
        </is>
      </c>
      <c r="E70" s="30">
        <f>Assumptions!$C$121</f>
        <v/>
      </c>
      <c r="F70" s="30">
        <f>E77</f>
        <v/>
      </c>
      <c r="G70" s="30">
        <f>F77</f>
        <v/>
      </c>
      <c r="H70" s="30">
        <f>G77</f>
        <v/>
      </c>
      <c r="I70" s="30">
        <f>H77</f>
        <v/>
      </c>
      <c r="J70" s="30">
        <f>I77</f>
        <v/>
      </c>
      <c r="K70" s="30">
        <f>J77</f>
        <v/>
      </c>
      <c r="L70" s="30">
        <f>K77</f>
        <v/>
      </c>
      <c r="M70" s="30">
        <f>L77</f>
        <v/>
      </c>
    </row>
    <row r="71">
      <c r="A71" s="13" t="inlineStr">
        <is>
          <t xml:space="preserve">   (+) FCF before Debt Payment / Drawdown</t>
        </is>
      </c>
      <c r="E71" s="30">
        <f>E62</f>
        <v/>
      </c>
      <c r="F71" s="30">
        <f>F62</f>
        <v/>
      </c>
      <c r="G71" s="30">
        <f>G62</f>
        <v/>
      </c>
      <c r="H71" s="30">
        <f>H62</f>
        <v/>
      </c>
      <c r="I71" s="30">
        <f>I62</f>
        <v/>
      </c>
      <c r="J71" s="30">
        <f>J62</f>
        <v/>
      </c>
      <c r="K71" s="30">
        <f>K62</f>
        <v/>
      </c>
      <c r="L71" s="30">
        <f>L62</f>
        <v/>
      </c>
      <c r="M71" s="30">
        <f>M62</f>
        <v/>
      </c>
    </row>
    <row r="72">
      <c r="A72" s="13" t="inlineStr">
        <is>
          <t xml:space="preserve">   (+) Net acquisition-financing impact</t>
        </is>
      </c>
      <c r="E72" s="30">
        <f>E67</f>
        <v/>
      </c>
      <c r="F72" s="30">
        <f>F67</f>
        <v/>
      </c>
      <c r="G72" s="30">
        <f>G67</f>
        <v/>
      </c>
      <c r="H72" s="30">
        <f>H67</f>
        <v/>
      </c>
      <c r="I72" s="30">
        <f>I67</f>
        <v/>
      </c>
      <c r="J72" s="30">
        <f>J67</f>
        <v/>
      </c>
      <c r="K72" s="30">
        <f>K67</f>
        <v/>
      </c>
      <c r="L72" s="30">
        <f>L67</f>
        <v/>
      </c>
      <c r="M72" s="30">
        <f>M67</f>
        <v/>
      </c>
    </row>
    <row r="73">
      <c r="A73" s="13" t="inlineStr">
        <is>
          <t xml:space="preserve">   (–) Term Loan scheduled amortisation</t>
        </is>
      </c>
      <c r="E73" s="30" t="n">
        <v>0</v>
      </c>
      <c r="F73" s="30">
        <f>-Assumptions!$C$118*Assumptions!$C$119</f>
        <v/>
      </c>
      <c r="G73" s="30">
        <f>-Assumptions!$C$118*Assumptions!$C$119</f>
        <v/>
      </c>
      <c r="H73" s="30">
        <f>-Assumptions!$C$118*Assumptions!$C$119</f>
        <v/>
      </c>
      <c r="I73" s="30">
        <f>-Assumptions!$C$118*Assumptions!$C$119</f>
        <v/>
      </c>
      <c r="J73" s="30">
        <f>-Assumptions!$C$118*Assumptions!$C$119</f>
        <v/>
      </c>
      <c r="K73" s="30">
        <f>-Assumptions!$C$118*Assumptions!$C$119</f>
        <v/>
      </c>
      <c r="L73" s="30">
        <f>-Assumptions!$C$118*Assumptions!$C$119</f>
        <v/>
      </c>
      <c r="M73" s="30">
        <f>-Assumptions!$C$118*Assumptions!$C$119</f>
        <v/>
      </c>
    </row>
    <row r="74">
      <c r="A74" s="13" t="inlineStr">
        <is>
          <t xml:space="preserve">   (–) Term Loan bullet repayment (final forecast period)</t>
        </is>
      </c>
      <c r="E74" s="30" t="n">
        <v>0</v>
      </c>
      <c r="F74" s="30" t="n">
        <v>0</v>
      </c>
      <c r="G74" s="30" t="n">
        <v>0</v>
      </c>
      <c r="H74" s="30" t="n">
        <v>0</v>
      </c>
      <c r="I74" s="30" t="n">
        <v>0</v>
      </c>
      <c r="J74" s="30" t="n">
        <v>0</v>
      </c>
      <c r="K74" s="30" t="n">
        <v>0</v>
      </c>
      <c r="L74" s="30" t="n">
        <v>0</v>
      </c>
      <c r="M74" s="30">
        <f>-L82*Assumptions!$C$120</f>
        <v/>
      </c>
    </row>
    <row r="75">
      <c r="A75" s="31" t="inlineStr">
        <is>
          <t>Net cash before revolver</t>
        </is>
      </c>
      <c r="B75" s="32" t="n"/>
      <c r="C75" s="32" t="n"/>
      <c r="D75" s="32" t="n"/>
      <c r="E75" s="33">
        <f>E70+E71+E72+E73+E74</f>
        <v/>
      </c>
      <c r="F75" s="33">
        <f>F70+F71+F72+F73+F74</f>
        <v/>
      </c>
      <c r="G75" s="33">
        <f>G70+G71+G72+G73+G74</f>
        <v/>
      </c>
      <c r="H75" s="33">
        <f>H70+H71+H72+H73+H74</f>
        <v/>
      </c>
      <c r="I75" s="33">
        <f>I70+I71+I72+I73+I74</f>
        <v/>
      </c>
      <c r="J75" s="33">
        <f>J70+J71+J72+J73+J74</f>
        <v/>
      </c>
      <c r="K75" s="33">
        <f>K70+K71+K72+K73+K74</f>
        <v/>
      </c>
      <c r="L75" s="33">
        <f>L70+L71+L72+L73+L74</f>
        <v/>
      </c>
      <c r="M75" s="33">
        <f>M70+M71+M72+M73+M74</f>
        <v/>
      </c>
    </row>
    <row r="76">
      <c r="A76" s="13" t="inlineStr">
        <is>
          <t xml:space="preserve">   (+/–) RCF drawdown / (repayment)</t>
        </is>
      </c>
      <c r="E76" s="30">
        <f>IF(E75&lt;0,MIN(Assumptions!$C$116-0,-E75),-MIN(0,E75))</f>
        <v/>
      </c>
      <c r="F76" s="30">
        <f>IF(F75&lt;0,MIN(Assumptions!$C$116-E80,-F75),-MIN(E80,F75))</f>
        <v/>
      </c>
      <c r="G76" s="30">
        <f>IF(G75&lt;0,MIN(Assumptions!$C$116-F80,-G75),-MIN(F80,G75))</f>
        <v/>
      </c>
      <c r="H76" s="30">
        <f>IF(H75&lt;0,MIN(Assumptions!$C$116-G80,-H75),-MIN(G80,H75))</f>
        <v/>
      </c>
      <c r="I76" s="30">
        <f>IF(I75&lt;0,MIN(Assumptions!$C$116-H80,-I75),-MIN(H80,I75))</f>
        <v/>
      </c>
      <c r="J76" s="30">
        <f>IF(J75&lt;0,MIN(Assumptions!$C$116-I80,-J75),-MIN(I80,J75))</f>
        <v/>
      </c>
      <c r="K76" s="30">
        <f>IF(K75&lt;0,MIN(Assumptions!$C$116-J80,-K75),-MIN(J80,K75))</f>
        <v/>
      </c>
      <c r="L76" s="30">
        <f>IF(L75&lt;0,MIN(Assumptions!$C$116-K80,-L75),-MIN(K80,L75))</f>
        <v/>
      </c>
      <c r="M76" s="30">
        <f>IF(M75&lt;0,MIN(Assumptions!$C$116-L80,-M75),-MIN(L80,M75))</f>
        <v/>
      </c>
    </row>
    <row r="77">
      <c r="A77" s="24" t="inlineStr">
        <is>
          <t>Closing cash balance</t>
        </is>
      </c>
      <c r="B77" s="32" t="n"/>
      <c r="C77" s="32" t="n"/>
      <c r="D77" s="32" t="n"/>
      <c r="E77" s="28">
        <f>E75+E76</f>
        <v/>
      </c>
      <c r="F77" s="28">
        <f>F75+F76</f>
        <v/>
      </c>
      <c r="G77" s="28">
        <f>G75+G76</f>
        <v/>
      </c>
      <c r="H77" s="28">
        <f>H75+H76</f>
        <v/>
      </c>
      <c r="I77" s="28">
        <f>I75+I76</f>
        <v/>
      </c>
      <c r="J77" s="28">
        <f>J75+J76</f>
        <v/>
      </c>
      <c r="K77" s="28">
        <f>K75+K76</f>
        <v/>
      </c>
      <c r="L77" s="28">
        <f>L75+L76</f>
        <v/>
      </c>
      <c r="M77" s="28">
        <f>M75+M76</f>
        <v/>
      </c>
    </row>
    <row r="79" ht="16" customHeight="1">
      <c r="A79" s="5" t="inlineStr">
        <is>
          <t>DEBT BALANCES (period end)</t>
        </is>
      </c>
    </row>
    <row r="80">
      <c r="A80" s="13" t="inlineStr">
        <is>
          <t xml:space="preserve">   RCF drawn balance</t>
        </is>
      </c>
      <c r="E80" s="30">
        <f>0+E76</f>
        <v/>
      </c>
      <c r="F80" s="30">
        <f>E80+F76</f>
        <v/>
      </c>
      <c r="G80" s="30">
        <f>F80+G76</f>
        <v/>
      </c>
      <c r="H80" s="30">
        <f>G80+H76</f>
        <v/>
      </c>
      <c r="I80" s="30">
        <f>H80+I76</f>
        <v/>
      </c>
      <c r="J80" s="30">
        <f>I80+J76</f>
        <v/>
      </c>
      <c r="K80" s="30">
        <f>J80+K76</f>
        <v/>
      </c>
      <c r="L80" s="30">
        <f>K80+L76</f>
        <v/>
      </c>
      <c r="M80" s="30">
        <f>L80+M76</f>
        <v/>
      </c>
    </row>
    <row r="81">
      <c r="A81" s="13" t="inlineStr">
        <is>
          <t xml:space="preserve">   Acquisition / delayed-draw facility balance</t>
        </is>
      </c>
      <c r="E81" s="30">
        <f>0+E66</f>
        <v/>
      </c>
      <c r="F81" s="30">
        <f>E81+F66</f>
        <v/>
      </c>
      <c r="G81" s="30">
        <f>F81+G66</f>
        <v/>
      </c>
      <c r="H81" s="30">
        <f>G81+H66</f>
        <v/>
      </c>
      <c r="I81" s="30">
        <f>H81+I66</f>
        <v/>
      </c>
      <c r="J81" s="30">
        <f>I81+J66</f>
        <v/>
      </c>
      <c r="K81" s="30">
        <f>J81+K66</f>
        <v/>
      </c>
      <c r="L81" s="30">
        <f>K81+L66</f>
        <v/>
      </c>
      <c r="M81" s="30">
        <f>L81+M66</f>
        <v/>
      </c>
    </row>
    <row r="82">
      <c r="A82" s="13" t="inlineStr">
        <is>
          <t xml:space="preserve">   Term Loan balance</t>
        </is>
      </c>
      <c r="E82" s="30">
        <f>Assumptions!$C$118</f>
        <v/>
      </c>
      <c r="F82" s="30">
        <f>E82+F73+F74</f>
        <v/>
      </c>
      <c r="G82" s="30">
        <f>F82+G73+G74</f>
        <v/>
      </c>
      <c r="H82" s="30">
        <f>G82+H73+H74</f>
        <v/>
      </c>
      <c r="I82" s="30">
        <f>H82+I73+I74</f>
        <v/>
      </c>
      <c r="J82" s="30">
        <f>I82+J73+J74</f>
        <v/>
      </c>
      <c r="K82" s="30">
        <f>J82+K73+K74</f>
        <v/>
      </c>
      <c r="L82" s="30">
        <f>K82+L73+L74</f>
        <v/>
      </c>
      <c r="M82" s="30">
        <f>L82+M73+M74</f>
        <v/>
      </c>
    </row>
    <row r="83">
      <c r="A83" s="24" t="inlineStr">
        <is>
          <t>Total Gross Debt</t>
        </is>
      </c>
      <c r="B83" s="32" t="n"/>
      <c r="C83" s="32" t="n"/>
      <c r="D83" s="32" t="n"/>
      <c r="E83" s="28">
        <f>E80+E81+E82</f>
        <v/>
      </c>
      <c r="F83" s="28">
        <f>F80+F81+F82</f>
        <v/>
      </c>
      <c r="G83" s="28">
        <f>G80+G81+G82</f>
        <v/>
      </c>
      <c r="H83" s="28">
        <f>H80+H81+H82</f>
        <v/>
      </c>
      <c r="I83" s="28">
        <f>I80+I81+I82</f>
        <v/>
      </c>
      <c r="J83" s="28">
        <f>J80+J81+J82</f>
        <v/>
      </c>
      <c r="K83" s="28">
        <f>K80+K81+K82</f>
        <v/>
      </c>
      <c r="L83" s="28">
        <f>L80+L81+L82</f>
        <v/>
      </c>
      <c r="M83" s="28">
        <f>M80+M81+M82</f>
        <v/>
      </c>
    </row>
    <row r="84">
      <c r="A84" s="24" t="inlineStr">
        <is>
          <t>Total Net Debt</t>
        </is>
      </c>
      <c r="B84" s="32" t="n"/>
      <c r="C84" s="32" t="n"/>
      <c r="D84" s="32" t="n"/>
      <c r="E84" s="28">
        <f>E83-E77</f>
        <v/>
      </c>
      <c r="F84" s="28">
        <f>F83-F77</f>
        <v/>
      </c>
      <c r="G84" s="28">
        <f>G83-G77</f>
        <v/>
      </c>
      <c r="H84" s="28">
        <f>H83-H77</f>
        <v/>
      </c>
      <c r="I84" s="28">
        <f>I83-I77</f>
        <v/>
      </c>
      <c r="J84" s="28">
        <f>J83-J77</f>
        <v/>
      </c>
      <c r="K84" s="28">
        <f>K83-K77</f>
        <v/>
      </c>
      <c r="L84" s="28">
        <f>L83-L77</f>
        <v/>
      </c>
      <c r="M84" s="28">
        <f>M83-M77</f>
        <v/>
      </c>
    </row>
    <row r="85">
      <c r="A85" s="8" t="inlineStr">
        <is>
          <t>Undrawn RCF</t>
        </is>
      </c>
      <c r="E85" s="34">
        <f>Assumptions!$C$116-E80</f>
        <v/>
      </c>
      <c r="F85" s="34">
        <f>Assumptions!$C$116-F80</f>
        <v/>
      </c>
      <c r="G85" s="34">
        <f>Assumptions!$C$116-G80</f>
        <v/>
      </c>
      <c r="H85" s="34">
        <f>Assumptions!$C$116-H80</f>
        <v/>
      </c>
      <c r="I85" s="34">
        <f>Assumptions!$C$116-I80</f>
        <v/>
      </c>
      <c r="J85" s="34">
        <f>Assumptions!$C$116-J80</f>
        <v/>
      </c>
      <c r="K85" s="34">
        <f>Assumptions!$C$116-K80</f>
        <v/>
      </c>
      <c r="L85" s="34">
        <f>Assumptions!$C$116-L80</f>
        <v/>
      </c>
      <c r="M85" s="34">
        <f>Assumptions!$C$116-M80</f>
        <v/>
      </c>
    </row>
    <row r="86">
      <c r="A86" s="8" t="inlineStr">
        <is>
          <t>Undrawn acquisition facility</t>
        </is>
      </c>
      <c r="E86" s="34">
        <f>Assumptions!$C$117-E81</f>
        <v/>
      </c>
      <c r="F86" s="34">
        <f>Assumptions!$C$117-F81</f>
        <v/>
      </c>
      <c r="G86" s="34">
        <f>Assumptions!$C$117-G81</f>
        <v/>
      </c>
      <c r="H86" s="34">
        <f>Assumptions!$C$117-H81</f>
        <v/>
      </c>
      <c r="I86" s="34">
        <f>Assumptions!$C$117-I81</f>
        <v/>
      </c>
      <c r="J86" s="34">
        <f>Assumptions!$C$117-J81</f>
        <v/>
      </c>
      <c r="K86" s="34">
        <f>Assumptions!$C$117-K81</f>
        <v/>
      </c>
      <c r="L86" s="34">
        <f>Assumptions!$C$117-L81</f>
        <v/>
      </c>
      <c r="M86" s="34">
        <f>Assumptions!$C$117-M81</f>
        <v/>
      </c>
    </row>
    <row r="88" ht="16" customHeight="1">
      <c r="A88" s="5" t="inlineStr">
        <is>
          <t>CREDIT METRICS</t>
        </is>
      </c>
    </row>
    <row r="89">
      <c r="A89" s="13" t="inlineStr">
        <is>
          <t xml:space="preserve">   Total Gross Debt / Adjusted EBITDA</t>
        </is>
      </c>
      <c r="E89" s="35">
        <f>E83/F42</f>
        <v/>
      </c>
      <c r="F89" s="35">
        <f>F83/F42</f>
        <v/>
      </c>
      <c r="G89" s="35">
        <f>G83/G42</f>
        <v/>
      </c>
      <c r="H89" s="35">
        <f>H83/H42</f>
        <v/>
      </c>
      <c r="I89" s="35">
        <f>I83/I42</f>
        <v/>
      </c>
      <c r="J89" s="35">
        <f>J83/J42</f>
        <v/>
      </c>
      <c r="K89" s="35">
        <f>K83/K42</f>
        <v/>
      </c>
      <c r="L89" s="35">
        <f>L83/L42</f>
        <v/>
      </c>
      <c r="M89" s="35">
        <f>M83/M42</f>
        <v/>
      </c>
    </row>
    <row r="90">
      <c r="A90" s="13" t="inlineStr">
        <is>
          <t xml:space="preserve">   Total Net Debt / Adjusted EBITDA</t>
        </is>
      </c>
      <c r="E90" s="35">
        <f>E84/F42</f>
        <v/>
      </c>
      <c r="F90" s="35">
        <f>F84/F42</f>
        <v/>
      </c>
      <c r="G90" s="35">
        <f>G84/G42</f>
        <v/>
      </c>
      <c r="H90" s="35">
        <f>H84/H42</f>
        <v/>
      </c>
      <c r="I90" s="35">
        <f>I84/I42</f>
        <v/>
      </c>
      <c r="J90" s="35">
        <f>J84/J42</f>
        <v/>
      </c>
      <c r="K90" s="35">
        <f>K84/K42</f>
        <v/>
      </c>
      <c r="L90" s="35">
        <f>L84/L42</f>
        <v/>
      </c>
      <c r="M90" s="35">
        <f>M84/M42</f>
        <v/>
      </c>
    </row>
    <row r="91">
      <c r="A91" s="13" t="inlineStr">
        <is>
          <t xml:space="preserve">   Adjusted EBITDA / Net cash interest (Interest Cover)</t>
        </is>
      </c>
      <c r="F91" s="35">
        <f>F42/(-F61)</f>
        <v/>
      </c>
      <c r="G91" s="35">
        <f>G42/(-G61)</f>
        <v/>
      </c>
      <c r="H91" s="35">
        <f>H42/(-H61)</f>
        <v/>
      </c>
      <c r="I91" s="35">
        <f>I42/(-I61)</f>
        <v/>
      </c>
      <c r="J91" s="35">
        <f>J42/(-J61)</f>
        <v/>
      </c>
      <c r="K91" s="35">
        <f>K42/(-K61)</f>
        <v/>
      </c>
      <c r="L91" s="35">
        <f>L42/(-L61)</f>
        <v/>
      </c>
      <c r="M91" s="35">
        <f>M42/(-M61)</f>
        <v/>
      </c>
    </row>
    <row r="92">
      <c r="A92" s="13" t="inlineStr">
        <is>
          <t xml:space="preserve">   Total DSCR  (CFADS ÷ [interest + mandatory repayments])</t>
        </is>
      </c>
      <c r="F92" s="35">
        <f>F59/(-F61-F73-F74)</f>
        <v/>
      </c>
      <c r="G92" s="35">
        <f>G59/(-G61-G73-G74)</f>
        <v/>
      </c>
      <c r="H92" s="35">
        <f>H59/(-H61-H73-H74)</f>
        <v/>
      </c>
      <c r="I92" s="35">
        <f>I59/(-I61-I73-I74)</f>
        <v/>
      </c>
      <c r="J92" s="35">
        <f>J59/(-J61-J73-J74)</f>
        <v/>
      </c>
      <c r="K92" s="35">
        <f>K59/(-K61-K73-K74)</f>
        <v/>
      </c>
      <c r="L92" s="35">
        <f>L59/(-L61-L73-L74)</f>
        <v/>
      </c>
      <c r="M92" s="35">
        <f>M59/(-M61-M73-M74)</f>
        <v/>
      </c>
    </row>
    <row r="94" ht="16" customHeight="1">
      <c r="A94" s="5" t="inlineStr">
        <is>
          <t>COVENANT HEADROOM</t>
        </is>
      </c>
    </row>
    <row r="95">
      <c r="A95" s="13" t="inlineStr">
        <is>
          <t xml:space="preserve">   Net leverage covenant ceiling (x)</t>
        </is>
      </c>
      <c r="F95" s="35">
        <f>Assumptions!$C$122</f>
        <v/>
      </c>
      <c r="G95" s="35">
        <f>Assumptions!$C$122</f>
        <v/>
      </c>
      <c r="H95" s="35">
        <f>Assumptions!$C$122</f>
        <v/>
      </c>
      <c r="I95" s="35">
        <f>Assumptions!$C$122</f>
        <v/>
      </c>
      <c r="J95" s="35">
        <f>Assumptions!$C$122</f>
        <v/>
      </c>
      <c r="K95" s="35">
        <f>Assumptions!$C$122</f>
        <v/>
      </c>
      <c r="L95" s="35">
        <f>Assumptions!$C$122</f>
        <v/>
      </c>
      <c r="M95" s="35">
        <f>Assumptions!$C$122</f>
        <v/>
      </c>
    </row>
    <row r="96">
      <c r="A96" s="13" t="inlineStr">
        <is>
          <t xml:space="preserve">   Leverage headroom (x, ceiling minus actual — negative = breach)</t>
        </is>
      </c>
      <c r="F96" s="35">
        <f>F95-F90</f>
        <v/>
      </c>
      <c r="G96" s="35">
        <f>G95-G90</f>
        <v/>
      </c>
      <c r="H96" s="35">
        <f>H95-H90</f>
        <v/>
      </c>
      <c r="I96" s="35">
        <f>I95-I90</f>
        <v/>
      </c>
      <c r="J96" s="35">
        <f>J95-J90</f>
        <v/>
      </c>
      <c r="K96" s="35">
        <f>K95-K90</f>
        <v/>
      </c>
      <c r="L96" s="35">
        <f>L95-L90</f>
        <v/>
      </c>
      <c r="M96" s="35">
        <f>M95-M90</f>
        <v/>
      </c>
    </row>
    <row r="97">
      <c r="A97" s="13" t="inlineStr">
        <is>
          <t xml:space="preserve">   Minimum DSCR covenant (x)</t>
        </is>
      </c>
      <c r="F97" s="35">
        <f>Assumptions!$C$123</f>
        <v/>
      </c>
      <c r="G97" s="35">
        <f>Assumptions!$C$123</f>
        <v/>
      </c>
      <c r="H97" s="35">
        <f>Assumptions!$C$123</f>
        <v/>
      </c>
      <c r="I97" s="35">
        <f>Assumptions!$C$123</f>
        <v/>
      </c>
      <c r="J97" s="35">
        <f>Assumptions!$C$123</f>
        <v/>
      </c>
      <c r="K97" s="35">
        <f>Assumptions!$C$123</f>
        <v/>
      </c>
      <c r="L97" s="35">
        <f>Assumptions!$C$123</f>
        <v/>
      </c>
      <c r="M97" s="35">
        <f>Assumptions!$C$123</f>
        <v/>
      </c>
    </row>
    <row r="98">
      <c r="A98" s="13" t="inlineStr">
        <is>
          <t xml:space="preserve">   DSCR headroom (x, actual minus minimum — negative = breach)</t>
        </is>
      </c>
      <c r="F98" s="35">
        <f>F92-F97</f>
        <v/>
      </c>
      <c r="G98" s="35">
        <f>G92-G97</f>
        <v/>
      </c>
      <c r="H98" s="35">
        <f>H92-H97</f>
        <v/>
      </c>
      <c r="I98" s="35">
        <f>I92-I97</f>
        <v/>
      </c>
      <c r="J98" s="35">
        <f>J92-J97</f>
        <v/>
      </c>
      <c r="K98" s="35">
        <f>K92-K97</f>
        <v/>
      </c>
      <c r="L98" s="35">
        <f>L92-L97</f>
        <v/>
      </c>
      <c r="M98" s="35">
        <f>M92-M97</f>
        <v/>
      </c>
    </row>
    <row r="99">
      <c r="A99" s="6" t="inlineStr">
        <is>
          <t>Covenant test result</t>
        </is>
      </c>
      <c r="F99" s="36">
        <f>IF(AND(F96&gt;=0,F98&gt;=0,F91&gt;=Assumptions!$C$124),"PASS","FAIL")</f>
        <v/>
      </c>
      <c r="G99" s="36">
        <f>IF(AND(G96&gt;=0,G98&gt;=0,G91&gt;=Assumptions!$C$124),"PASS","FAIL")</f>
        <v/>
      </c>
      <c r="H99" s="36">
        <f>IF(AND(H96&gt;=0,H98&gt;=0,H91&gt;=Assumptions!$C$124),"PASS","FAIL")</f>
        <v/>
      </c>
      <c r="I99" s="36">
        <f>IF(AND(I96&gt;=0,I98&gt;=0,I91&gt;=Assumptions!$C$124),"PASS","FAIL")</f>
        <v/>
      </c>
      <c r="J99" s="36">
        <f>IF(AND(J96&gt;=0,J98&gt;=0,J91&gt;=Assumptions!$C$124),"PASS","FAIL")</f>
        <v/>
      </c>
      <c r="K99" s="36">
        <f>IF(AND(K96&gt;=0,K98&gt;=0,K91&gt;=Assumptions!$C$124),"PASS","FAIL")</f>
        <v/>
      </c>
      <c r="L99" s="36">
        <f>IF(AND(L96&gt;=0,L98&gt;=0,L91&gt;=Assumptions!$C$124),"PASS","FAIL")</f>
        <v/>
      </c>
      <c r="M99" s="36">
        <f>IF(AND(M96&gt;=0,M98&gt;=0,M91&gt;=Assumptions!$C$124),"PASS","FAIL")</f>
        <v/>
      </c>
    </row>
  </sheetData>
  <mergeCells count="14">
    <mergeCell ref="A36:M36"/>
    <mergeCell ref="A14:M14"/>
    <mergeCell ref="A1:M1"/>
    <mergeCell ref="A94:M94"/>
    <mergeCell ref="A79:M79"/>
    <mergeCell ref="A88:M88"/>
    <mergeCell ref="A56:M56"/>
    <mergeCell ref="A4:M4"/>
    <mergeCell ref="A69:M69"/>
    <mergeCell ref="A29:M29"/>
    <mergeCell ref="A64:M64"/>
    <mergeCell ref="A24:M24"/>
    <mergeCell ref="A2:M2"/>
    <mergeCell ref="A49:M49"/>
  </mergeCells>
  <conditionalFormatting sqref="F99:M99">
    <cfRule type="cellIs" priority="1" operator="equal" dxfId="0">
      <formula>"PASS"</formula>
    </cfRule>
    <cfRule type="cellIs" priority="2" operator="equal" dxfId="1">
      <formula>"FAIL"</formula>
    </cfRule>
  </conditionalFormatting>
  <conditionalFormatting sqref="F96:M96">
    <cfRule type="cellIs" priority="3" operator="lessThan" dxfId="1">
      <formula>0</formula>
    </cfRule>
    <cfRule type="cellIs" priority="4" operator="greaterThanOrEqual" dxfId="0">
      <formula>0</formula>
    </cfRule>
  </conditionalFormatting>
  <conditionalFormatting sqref="F98:M98">
    <cfRule type="cellIs" priority="5" operator="lessThan" dxfId="1">
      <formula>0</formula>
    </cfRule>
    <cfRule type="cellIs" priority="6" operator="greaterThanOrEqual" dxfId="0">
      <formula>0</formula>
    </cfRule>
  </conditionalFormatting>
  <conditionalFormatting sqref="F90:M90">
    <cfRule type="expression" priority="7" dxfId="1">
      <formula>F90&gt;F95</formula>
    </cfRule>
  </conditionalFormatting>
  <conditionalFormatting sqref="F92:M92">
    <cfRule type="expression" priority="8" dxfId="1">
      <formula>F92&lt;1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A1:M99"/>
  <sheetViews>
    <sheetView showGridLines="0" workbookViewId="0">
      <pane xSplit="1" topLeftCell="B1" activePane="topRight" state="frozen"/>
      <selection pane="topRight" activeCell="A1" sqref="A1"/>
    </sheetView>
  </sheetViews>
  <sheetFormatPr baseColWidth="8" defaultRowHeight="15"/>
  <cols>
    <col width="42" customWidth="1" min="1" max="1"/>
    <col width="11.3" customWidth="1" min="2" max="2"/>
    <col width="11.3" customWidth="1" min="3" max="3"/>
    <col width="11.3" customWidth="1" min="4" max="4"/>
    <col width="11.3" customWidth="1" min="5" max="5"/>
    <col width="11.3" customWidth="1" min="6" max="6"/>
    <col width="11.3" customWidth="1" min="7" max="7"/>
    <col width="11.3" customWidth="1" min="8" max="8"/>
    <col width="11.3" customWidth="1" min="9" max="9"/>
    <col width="11.3" customWidth="1" min="10" max="10"/>
    <col width="11.3" customWidth="1" min="11" max="11"/>
    <col width="11.3" customWidth="1" min="12" max="12"/>
    <col width="11.3" customWidth="1" min="13" max="13"/>
  </cols>
  <sheetData>
    <row r="1" ht="26" customHeight="1">
      <c r="A1" s="1" t="inlineStr">
        <is>
          <t>3. Severe Downside Case</t>
        </is>
      </c>
    </row>
    <row r="2">
      <c r="A2" s="4" t="inlineStr">
        <is>
          <t>Severe downside — illustrative starting calibration, recalibrate to your deal: -7ppt revenue growth, 250bps margin compression, working-capital drag +40%, 250bps rate shock.</t>
        </is>
      </c>
    </row>
    <row r="4" ht="16" customHeight="1">
      <c r="A4" s="5" t="inlineStr">
        <is>
          <t>SENSITIVITY FLEX ASSUMPTIONS (this tab only — tweak these, everything below recalculates)</t>
        </is>
      </c>
    </row>
    <row r="5">
      <c r="A5" s="13" t="inlineStr">
        <is>
          <t xml:space="preserve">   Revenue growth adjustment (ppt, added to every segment, every forecast period)</t>
        </is>
      </c>
      <c r="C5" s="18" t="n">
        <v>-0.07000000000000001</v>
      </c>
    </row>
    <row r="6">
      <c r="A6" s="13" t="inlineStr">
        <is>
          <t xml:space="preserve">   Gross margin compression (ppt, subtracted from target margin)</t>
        </is>
      </c>
      <c r="C6" s="18" t="n">
        <v>0.025</v>
      </c>
    </row>
    <row r="7">
      <c r="A7" s="13" t="inlineStr">
        <is>
          <t xml:space="preserve">   Cost inflation add-on (ppt of revenue, on 'Other operating expenses')</t>
        </is>
      </c>
      <c r="C7" s="18" t="n">
        <v>0.012</v>
      </c>
    </row>
    <row r="8">
      <c r="A8" s="13" t="inlineStr">
        <is>
          <t xml:space="preserve">   Capex increase (%, multiplicative uplift to capex ratios)</t>
        </is>
      </c>
      <c r="C8" s="18" t="n">
        <v>0.25</v>
      </c>
    </row>
    <row r="9">
      <c r="A9" s="13" t="inlineStr">
        <is>
          <t xml:space="preserve">   Working-capital drag increase (%, multiplicative uplift to NWC outflow)</t>
        </is>
      </c>
      <c r="C9" s="18" t="n">
        <v>0.4</v>
      </c>
    </row>
    <row r="10">
      <c r="A10" s="13" t="inlineStr">
        <is>
          <t xml:space="preserve">   Interest rate shock (bps, added to all-in cost of debt)</t>
        </is>
      </c>
      <c r="C10" s="19" t="n">
        <v>250</v>
      </c>
    </row>
    <row r="12" ht="32" customHeight="1">
      <c r="A12" s="20" t="inlineStr">
        <is>
          <t>£m | Period</t>
        </is>
      </c>
      <c r="B12" s="21">
        <f>Assumptions!B$6</f>
        <v/>
      </c>
      <c r="C12" s="21">
        <f>Assumptions!C$6</f>
        <v/>
      </c>
      <c r="D12" s="21">
        <f>Assumptions!D$6</f>
        <v/>
      </c>
      <c r="E12" s="21">
        <f>Assumptions!E$6</f>
        <v/>
      </c>
      <c r="F12" s="21">
        <f>Assumptions!F$6</f>
        <v/>
      </c>
      <c r="G12" s="21">
        <f>Assumptions!G$6</f>
        <v/>
      </c>
      <c r="H12" s="21">
        <f>Assumptions!H$6</f>
        <v/>
      </c>
      <c r="I12" s="21">
        <f>Assumptions!I$6</f>
        <v/>
      </c>
      <c r="J12" s="21">
        <f>Assumptions!J$6</f>
        <v/>
      </c>
      <c r="K12" s="21">
        <f>Assumptions!K$6</f>
        <v/>
      </c>
      <c r="L12" s="21">
        <f>Assumptions!L$6</f>
        <v/>
      </c>
      <c r="M12" s="21">
        <f>Assumptions!M$6</f>
        <v/>
      </c>
    </row>
    <row r="14" ht="16" customHeight="1">
      <c r="A14" s="5" t="inlineStr">
        <is>
          <t>REVENUE</t>
        </is>
      </c>
    </row>
    <row r="15">
      <c r="A15" s="10">
        <f>Assumptions!$C$9</f>
        <v/>
      </c>
      <c r="B15" s="22">
        <f>Assumptions!B18</f>
        <v/>
      </c>
      <c r="C15" s="22">
        <f>Assumptions!C18</f>
        <v/>
      </c>
      <c r="D15" s="22">
        <f>Assumptions!D18</f>
        <v/>
      </c>
      <c r="E15" s="22">
        <f>Assumptions!E18</f>
        <v/>
      </c>
      <c r="F15" s="23">
        <f>E15*(1+Assumptions!F68+$C$5)</f>
        <v/>
      </c>
      <c r="G15" s="23">
        <f>F15*(1+Assumptions!G68+$C$5)</f>
        <v/>
      </c>
      <c r="H15" s="23">
        <f>G15*(1+Assumptions!H68+$C$5)</f>
        <v/>
      </c>
      <c r="I15" s="23">
        <f>H15*(1+Assumptions!I68+$C$5)</f>
        <v/>
      </c>
      <c r="J15" s="23">
        <f>I15*(1+Assumptions!J68+$C$5)</f>
        <v/>
      </c>
      <c r="K15" s="23">
        <f>J15*(1+Assumptions!K68+$C$5)</f>
        <v/>
      </c>
      <c r="L15" s="23">
        <f>K15*(1+Assumptions!L68+$C$5)</f>
        <v/>
      </c>
      <c r="M15" s="23">
        <f>L15*(1+Assumptions!M68+$C$5)</f>
        <v/>
      </c>
    </row>
    <row r="16">
      <c r="A16" s="10">
        <f>Assumptions!$C$10</f>
        <v/>
      </c>
      <c r="B16" s="22">
        <f>Assumptions!B19</f>
        <v/>
      </c>
      <c r="C16" s="22">
        <f>Assumptions!C19</f>
        <v/>
      </c>
      <c r="D16" s="22">
        <f>Assumptions!D19</f>
        <v/>
      </c>
      <c r="E16" s="22">
        <f>Assumptions!E19</f>
        <v/>
      </c>
      <c r="F16" s="23">
        <f>E16*(1+Assumptions!F69+$C$5)</f>
        <v/>
      </c>
      <c r="G16" s="23">
        <f>F16*(1+Assumptions!G69+$C$5)</f>
        <v/>
      </c>
      <c r="H16" s="23">
        <f>G16*(1+Assumptions!H69+$C$5)</f>
        <v/>
      </c>
      <c r="I16" s="23">
        <f>H16*(1+Assumptions!I69+$C$5)</f>
        <v/>
      </c>
      <c r="J16" s="23">
        <f>I16*(1+Assumptions!J69+$C$5)</f>
        <v/>
      </c>
      <c r="K16" s="23">
        <f>J16*(1+Assumptions!K69+$C$5)</f>
        <v/>
      </c>
      <c r="L16" s="23">
        <f>K16*(1+Assumptions!L69+$C$5)</f>
        <v/>
      </c>
      <c r="M16" s="23">
        <f>L16*(1+Assumptions!M69+$C$5)</f>
        <v/>
      </c>
    </row>
    <row r="17">
      <c r="A17" s="10">
        <f>Assumptions!$C$11</f>
        <v/>
      </c>
      <c r="B17" s="22">
        <f>Assumptions!B20</f>
        <v/>
      </c>
      <c r="C17" s="22">
        <f>Assumptions!C20</f>
        <v/>
      </c>
      <c r="D17" s="22">
        <f>Assumptions!D20</f>
        <v/>
      </c>
      <c r="E17" s="22">
        <f>Assumptions!E20</f>
        <v/>
      </c>
      <c r="F17" s="23">
        <f>E17*(1+Assumptions!F70+$C$5)</f>
        <v/>
      </c>
      <c r="G17" s="23">
        <f>F17*(1+Assumptions!G70+$C$5)</f>
        <v/>
      </c>
      <c r="H17" s="23">
        <f>G17*(1+Assumptions!H70+$C$5)</f>
        <v/>
      </c>
      <c r="I17" s="23">
        <f>H17*(1+Assumptions!I70+$C$5)</f>
        <v/>
      </c>
      <c r="J17" s="23">
        <f>I17*(1+Assumptions!J70+$C$5)</f>
        <v/>
      </c>
      <c r="K17" s="23">
        <f>J17*(1+Assumptions!K70+$C$5)</f>
        <v/>
      </c>
      <c r="L17" s="23">
        <f>K17*(1+Assumptions!L70+$C$5)</f>
        <v/>
      </c>
      <c r="M17" s="23">
        <f>L17*(1+Assumptions!M70+$C$5)</f>
        <v/>
      </c>
    </row>
    <row r="18">
      <c r="A18" s="10">
        <f>Assumptions!$C$12</f>
        <v/>
      </c>
      <c r="B18" s="22">
        <f>Assumptions!B21</f>
        <v/>
      </c>
      <c r="C18" s="22">
        <f>Assumptions!C21</f>
        <v/>
      </c>
      <c r="D18" s="22">
        <f>Assumptions!D21</f>
        <v/>
      </c>
      <c r="E18" s="22">
        <f>Assumptions!E21</f>
        <v/>
      </c>
      <c r="F18" s="23">
        <f>E18*(1+Assumptions!F71+$C$5)</f>
        <v/>
      </c>
      <c r="G18" s="23">
        <f>F18*(1+Assumptions!G71+$C$5)</f>
        <v/>
      </c>
      <c r="H18" s="23">
        <f>G18*(1+Assumptions!H71+$C$5)</f>
        <v/>
      </c>
      <c r="I18" s="23">
        <f>H18*(1+Assumptions!I71+$C$5)</f>
        <v/>
      </c>
      <c r="J18" s="23">
        <f>I18*(1+Assumptions!J71+$C$5)</f>
        <v/>
      </c>
      <c r="K18" s="23">
        <f>J18*(1+Assumptions!K71+$C$5)</f>
        <v/>
      </c>
      <c r="L18" s="23">
        <f>K18*(1+Assumptions!L71+$C$5)</f>
        <v/>
      </c>
      <c r="M18" s="23">
        <f>L18*(1+Assumptions!M71+$C$5)</f>
        <v/>
      </c>
    </row>
    <row r="19">
      <c r="A19" s="10">
        <f>Assumptions!$C$13</f>
        <v/>
      </c>
      <c r="B19" s="22">
        <f>Assumptions!B22</f>
        <v/>
      </c>
      <c r="C19" s="22">
        <f>Assumptions!C22</f>
        <v/>
      </c>
      <c r="D19" s="22">
        <f>Assumptions!D22</f>
        <v/>
      </c>
      <c r="E19" s="22">
        <f>Assumptions!E22</f>
        <v/>
      </c>
      <c r="F19" s="23">
        <f>E19*(1+Assumptions!F72+$C$5)</f>
        <v/>
      </c>
      <c r="G19" s="23">
        <f>F19*(1+Assumptions!G72+$C$5)</f>
        <v/>
      </c>
      <c r="H19" s="23">
        <f>G19*(1+Assumptions!H72+$C$5)</f>
        <v/>
      </c>
      <c r="I19" s="23">
        <f>H19*(1+Assumptions!I72+$C$5)</f>
        <v/>
      </c>
      <c r="J19" s="23">
        <f>I19*(1+Assumptions!J72+$C$5)</f>
        <v/>
      </c>
      <c r="K19" s="23">
        <f>J19*(1+Assumptions!K72+$C$5)</f>
        <v/>
      </c>
      <c r="L19" s="23">
        <f>K19*(1+Assumptions!L72+$C$5)</f>
        <v/>
      </c>
      <c r="M19" s="23">
        <f>L19*(1+Assumptions!M72+$C$5)</f>
        <v/>
      </c>
    </row>
    <row r="20">
      <c r="A20" s="10">
        <f>Assumptions!$C$14</f>
        <v/>
      </c>
      <c r="B20" s="22">
        <f>Assumptions!B23</f>
        <v/>
      </c>
      <c r="C20" s="22">
        <f>Assumptions!C23</f>
        <v/>
      </c>
      <c r="D20" s="22">
        <f>Assumptions!D23</f>
        <v/>
      </c>
      <c r="E20" s="22">
        <f>Assumptions!E23</f>
        <v/>
      </c>
      <c r="F20" s="23">
        <f>E20*(1+Assumptions!F73+$C$5)</f>
        <v/>
      </c>
      <c r="G20" s="23">
        <f>F20*(1+Assumptions!G73+$C$5)</f>
        <v/>
      </c>
      <c r="H20" s="23">
        <f>G20*(1+Assumptions!H73+$C$5)</f>
        <v/>
      </c>
      <c r="I20" s="23">
        <f>H20*(1+Assumptions!I73+$C$5)</f>
        <v/>
      </c>
      <c r="J20" s="23">
        <f>I20*(1+Assumptions!J73+$C$5)</f>
        <v/>
      </c>
      <c r="K20" s="23">
        <f>J20*(1+Assumptions!K73+$C$5)</f>
        <v/>
      </c>
      <c r="L20" s="23">
        <f>K20*(1+Assumptions!L73+$C$5)</f>
        <v/>
      </c>
      <c r="M20" s="23">
        <f>L20*(1+Assumptions!M73+$C$5)</f>
        <v/>
      </c>
    </row>
    <row r="21">
      <c r="A21" s="24" t="inlineStr">
        <is>
          <t>Total Revenue</t>
        </is>
      </c>
      <c r="B21" s="25">
        <f>B15+B16+B17+B18+B19+B20</f>
        <v/>
      </c>
      <c r="C21" s="25">
        <f>C15+C16+C17+C18+C19+C20</f>
        <v/>
      </c>
      <c r="D21" s="25">
        <f>D15+D16+D17+D18+D19+D20</f>
        <v/>
      </c>
      <c r="E21" s="25">
        <f>E15+E16+E17+E18+E19+E20</f>
        <v/>
      </c>
      <c r="F21" s="25">
        <f>F15+F16+F17+F18+F19+F20</f>
        <v/>
      </c>
      <c r="G21" s="25">
        <f>G15+G16+G17+G18+G19+G20</f>
        <v/>
      </c>
      <c r="H21" s="25">
        <f>H15+H16+H17+H18+H19+H20</f>
        <v/>
      </c>
      <c r="I21" s="25">
        <f>I15+I16+I17+I18+I19+I20</f>
        <v/>
      </c>
      <c r="J21" s="25">
        <f>J15+J16+J17+J18+J19+J20</f>
        <v/>
      </c>
      <c r="K21" s="25">
        <f>K15+K16+K17+K18+K19+K20</f>
        <v/>
      </c>
      <c r="L21" s="25">
        <f>L15+L16+L17+L18+L19+L20</f>
        <v/>
      </c>
      <c r="M21" s="25">
        <f>M15+M16+M17+M18+M19+M20</f>
        <v/>
      </c>
    </row>
    <row r="22">
      <c r="A22" s="8" t="inlineStr">
        <is>
          <t>% growth</t>
        </is>
      </c>
      <c r="C22" s="26">
        <f>C21/B21-1</f>
        <v/>
      </c>
      <c r="D22" s="26">
        <f>D21/C21-1</f>
        <v/>
      </c>
      <c r="E22" s="26">
        <f>E21/D21-1</f>
        <v/>
      </c>
      <c r="F22" s="26">
        <f>F21/E21-1</f>
        <v/>
      </c>
      <c r="G22" s="26">
        <f>G21/F21-1</f>
        <v/>
      </c>
      <c r="H22" s="26">
        <f>H21/G21-1</f>
        <v/>
      </c>
      <c r="I22" s="26">
        <f>I21/H21-1</f>
        <v/>
      </c>
      <c r="J22" s="26">
        <f>J21/I21-1</f>
        <v/>
      </c>
      <c r="K22" s="26">
        <f>K21/J21-1</f>
        <v/>
      </c>
      <c r="L22" s="26">
        <f>L21/K21-1</f>
        <v/>
      </c>
      <c r="M22" s="26">
        <f>M21/L21-1</f>
        <v/>
      </c>
    </row>
    <row r="24" ht="16" customHeight="1">
      <c r="A24" s="5" t="inlineStr">
        <is>
          <t>COST OF SALES &amp; GROSS PROFIT</t>
        </is>
      </c>
    </row>
    <row r="25">
      <c r="A25" s="13" t="inlineStr">
        <is>
          <t xml:space="preserve">   Cost of sales / COGS</t>
        </is>
      </c>
      <c r="B25" s="22">
        <f>-B21*(1-Assumptions!B26)</f>
        <v/>
      </c>
      <c r="C25" s="22">
        <f>-C21*(1-Assumptions!C26)</f>
        <v/>
      </c>
      <c r="D25" s="22">
        <f>-D21*(1-Assumptions!D26)</f>
        <v/>
      </c>
      <c r="E25" s="22">
        <f>-E21*(1-Assumptions!E26)</f>
        <v/>
      </c>
      <c r="F25" s="22">
        <f>-F21*(1-(Assumptions!F76-$C$6))</f>
        <v/>
      </c>
      <c r="G25" s="22">
        <f>-G21*(1-(Assumptions!G76-$C$6))</f>
        <v/>
      </c>
      <c r="H25" s="22">
        <f>-H21*(1-(Assumptions!H76-$C$6))</f>
        <v/>
      </c>
      <c r="I25" s="22">
        <f>-I21*(1-(Assumptions!I76-$C$6))</f>
        <v/>
      </c>
      <c r="J25" s="22">
        <f>-J21*(1-(Assumptions!J76-$C$6))</f>
        <v/>
      </c>
      <c r="K25" s="22">
        <f>-K21*(1-(Assumptions!K76-$C$6))</f>
        <v/>
      </c>
      <c r="L25" s="22">
        <f>-L21*(1-(Assumptions!L76-$C$6))</f>
        <v/>
      </c>
      <c r="M25" s="22">
        <f>-M21*(1-(Assumptions!M76-$C$6))</f>
        <v/>
      </c>
    </row>
    <row r="26">
      <c r="A26" s="24" t="inlineStr">
        <is>
          <t>Gross Profit</t>
        </is>
      </c>
      <c r="B26" s="25">
        <f>B21+B25</f>
        <v/>
      </c>
      <c r="C26" s="25">
        <f>C21+C25</f>
        <v/>
      </c>
      <c r="D26" s="25">
        <f>D21+D25</f>
        <v/>
      </c>
      <c r="E26" s="25">
        <f>E21+E25</f>
        <v/>
      </c>
      <c r="F26" s="25">
        <f>F21+F25</f>
        <v/>
      </c>
      <c r="G26" s="25">
        <f>G21+G25</f>
        <v/>
      </c>
      <c r="H26" s="25">
        <f>H21+H25</f>
        <v/>
      </c>
      <c r="I26" s="25">
        <f>I21+I25</f>
        <v/>
      </c>
      <c r="J26" s="25">
        <f>J21+J25</f>
        <v/>
      </c>
      <c r="K26" s="25">
        <f>K21+K25</f>
        <v/>
      </c>
      <c r="L26" s="25">
        <f>L21+L25</f>
        <v/>
      </c>
      <c r="M26" s="25">
        <f>M21+M25</f>
        <v/>
      </c>
    </row>
    <row r="27">
      <c r="A27" s="8" t="inlineStr">
        <is>
          <t>Gross margin %</t>
        </is>
      </c>
      <c r="B27" s="26">
        <f>B26/B21</f>
        <v/>
      </c>
      <c r="C27" s="26">
        <f>C26/C21</f>
        <v/>
      </c>
      <c r="D27" s="26">
        <f>D26/D21</f>
        <v/>
      </c>
      <c r="E27" s="26">
        <f>E26/E21</f>
        <v/>
      </c>
      <c r="F27" s="26">
        <f>F26/F21</f>
        <v/>
      </c>
      <c r="G27" s="26">
        <f>G26/G21</f>
        <v/>
      </c>
      <c r="H27" s="26">
        <f>H26/H21</f>
        <v/>
      </c>
      <c r="I27" s="26">
        <f>I26/I21</f>
        <v/>
      </c>
      <c r="J27" s="26">
        <f>J26/J21</f>
        <v/>
      </c>
      <c r="K27" s="26">
        <f>K26/K21</f>
        <v/>
      </c>
      <c r="L27" s="26">
        <f>L26/L21</f>
        <v/>
      </c>
      <c r="M27" s="26">
        <f>M26/M21</f>
        <v/>
      </c>
    </row>
    <row r="29" ht="16" customHeight="1">
      <c r="A29" s="5" t="inlineStr">
        <is>
          <t>OPERATING EXPENSES</t>
        </is>
      </c>
    </row>
    <row r="30">
      <c r="A30" s="13" t="inlineStr">
        <is>
          <t xml:space="preserve">   Other income</t>
        </is>
      </c>
      <c r="B30" s="22">
        <f>Assumptions!B29</f>
        <v/>
      </c>
      <c r="C30" s="22">
        <f>Assumptions!C29</f>
        <v/>
      </c>
      <c r="D30" s="22">
        <f>Assumptions!D29</f>
        <v/>
      </c>
      <c r="E30" s="22">
        <f>Assumptions!E29</f>
        <v/>
      </c>
      <c r="F30" s="22">
        <f>Assumptions!F79</f>
        <v/>
      </c>
      <c r="G30" s="22">
        <f>Assumptions!G79</f>
        <v/>
      </c>
      <c r="H30" s="22">
        <f>Assumptions!H79</f>
        <v/>
      </c>
      <c r="I30" s="22">
        <f>Assumptions!I79</f>
        <v/>
      </c>
      <c r="J30" s="22">
        <f>Assumptions!J79</f>
        <v/>
      </c>
      <c r="K30" s="22">
        <f>Assumptions!K79</f>
        <v/>
      </c>
      <c r="L30" s="22">
        <f>Assumptions!L79</f>
        <v/>
      </c>
      <c r="M30" s="22">
        <f>Assumptions!M79</f>
        <v/>
      </c>
    </row>
    <row r="31">
      <c r="A31" s="13" t="inlineStr">
        <is>
          <t xml:space="preserve">   Staff costs</t>
        </is>
      </c>
      <c r="B31" s="22">
        <f>Assumptions!B32</f>
        <v/>
      </c>
      <c r="C31" s="22">
        <f>Assumptions!C32</f>
        <v/>
      </c>
      <c r="D31" s="22">
        <f>Assumptions!D32</f>
        <v/>
      </c>
      <c r="E31" s="22">
        <f>Assumptions!E32</f>
        <v/>
      </c>
      <c r="F31" s="22">
        <f>-F21*Assumptions!F82</f>
        <v/>
      </c>
      <c r="G31" s="22">
        <f>-G21*Assumptions!G82</f>
        <v/>
      </c>
      <c r="H31" s="22">
        <f>-H21*Assumptions!H82</f>
        <v/>
      </c>
      <c r="I31" s="22">
        <f>-I21*Assumptions!I82</f>
        <v/>
      </c>
      <c r="J31" s="22">
        <f>-J21*Assumptions!J82</f>
        <v/>
      </c>
      <c r="K31" s="22">
        <f>-K21*Assumptions!K82</f>
        <v/>
      </c>
      <c r="L31" s="22">
        <f>-L21*Assumptions!L82</f>
        <v/>
      </c>
      <c r="M31" s="22">
        <f>-M21*Assumptions!M82</f>
        <v/>
      </c>
    </row>
    <row r="32">
      <c r="A32" s="13" t="inlineStr">
        <is>
          <t xml:space="preserve">   Other operating expenses</t>
        </is>
      </c>
      <c r="B32" s="22">
        <f>Assumptions!B35</f>
        <v/>
      </c>
      <c r="C32" s="22">
        <f>Assumptions!C35</f>
        <v/>
      </c>
      <c r="D32" s="22">
        <f>Assumptions!D35</f>
        <v/>
      </c>
      <c r="E32" s="22">
        <f>Assumptions!E35</f>
        <v/>
      </c>
      <c r="F32" s="22">
        <f>-F21*(Assumptions!F85+$C$7)</f>
        <v/>
      </c>
      <c r="G32" s="22">
        <f>-G21*(Assumptions!G85+$C$7)</f>
        <v/>
      </c>
      <c r="H32" s="22">
        <f>-H21*(Assumptions!H85+$C$7)</f>
        <v/>
      </c>
      <c r="I32" s="22">
        <f>-I21*(Assumptions!I85+$C$7)</f>
        <v/>
      </c>
      <c r="J32" s="22">
        <f>-J21*(Assumptions!J85+$C$7)</f>
        <v/>
      </c>
      <c r="K32" s="22">
        <f>-K21*(Assumptions!K85+$C$7)</f>
        <v/>
      </c>
      <c r="L32" s="22">
        <f>-L21*(Assumptions!L85+$C$7)</f>
        <v/>
      </c>
      <c r="M32" s="22">
        <f>-M21*(Assumptions!M85+$C$7)</f>
        <v/>
      </c>
    </row>
    <row r="33">
      <c r="A33" s="24" t="inlineStr">
        <is>
          <t>Total Operating Expenses</t>
        </is>
      </c>
      <c r="B33" s="25">
        <f>B31+B32</f>
        <v/>
      </c>
      <c r="C33" s="25">
        <f>C31+C32</f>
        <v/>
      </c>
      <c r="D33" s="25">
        <f>D31+D32</f>
        <v/>
      </c>
      <c r="E33" s="25">
        <f>E31+E32</f>
        <v/>
      </c>
      <c r="F33" s="25">
        <f>F31+F32</f>
        <v/>
      </c>
      <c r="G33" s="25">
        <f>G31+G32</f>
        <v/>
      </c>
      <c r="H33" s="25">
        <f>H31+H32</f>
        <v/>
      </c>
      <c r="I33" s="25">
        <f>I31+I32</f>
        <v/>
      </c>
      <c r="J33" s="25">
        <f>J31+J32</f>
        <v/>
      </c>
      <c r="K33" s="25">
        <f>K31+K32</f>
        <v/>
      </c>
      <c r="L33" s="25">
        <f>L31+L32</f>
        <v/>
      </c>
      <c r="M33" s="25">
        <f>M31+M32</f>
        <v/>
      </c>
    </row>
    <row r="34">
      <c r="A34" s="8" t="inlineStr">
        <is>
          <t>Operating expenses — % of sales</t>
        </is>
      </c>
      <c r="B34" s="26">
        <f>-B33/B21</f>
        <v/>
      </c>
      <c r="C34" s="26">
        <f>-C33/C21</f>
        <v/>
      </c>
      <c r="D34" s="26">
        <f>-D33/D21</f>
        <v/>
      </c>
      <c r="E34" s="26">
        <f>-E33/E21</f>
        <v/>
      </c>
      <c r="F34" s="26">
        <f>-F33/F21</f>
        <v/>
      </c>
      <c r="G34" s="26">
        <f>-G33/G21</f>
        <v/>
      </c>
      <c r="H34" s="26">
        <f>-H33/H21</f>
        <v/>
      </c>
      <c r="I34" s="26">
        <f>-I33/I21</f>
        <v/>
      </c>
      <c r="J34" s="26">
        <f>-J33/J21</f>
        <v/>
      </c>
      <c r="K34" s="26">
        <f>-K33/K21</f>
        <v/>
      </c>
      <c r="L34" s="26">
        <f>-L33/L21</f>
        <v/>
      </c>
      <c r="M34" s="26">
        <f>-M33/M21</f>
        <v/>
      </c>
    </row>
    <row r="36" ht="16" customHeight="1">
      <c r="A36" s="5" t="inlineStr">
        <is>
          <t>EBITDA, D&amp;A &amp; EBIT</t>
        </is>
      </c>
    </row>
    <row r="37">
      <c r="A37" s="24" t="inlineStr">
        <is>
          <t>EBITDA</t>
        </is>
      </c>
      <c r="B37" s="25">
        <f>B26+B30+B33</f>
        <v/>
      </c>
      <c r="C37" s="25">
        <f>C26+C30+C33</f>
        <v/>
      </c>
      <c r="D37" s="25">
        <f>D26+D30+D33</f>
        <v/>
      </c>
      <c r="E37" s="25">
        <f>E26+E30+E33</f>
        <v/>
      </c>
      <c r="F37" s="25">
        <f>F26+F30+F33</f>
        <v/>
      </c>
      <c r="G37" s="25">
        <f>G26+G30+G33</f>
        <v/>
      </c>
      <c r="H37" s="25">
        <f>H26+H30+H33</f>
        <v/>
      </c>
      <c r="I37" s="25">
        <f>I26+I30+I33</f>
        <v/>
      </c>
      <c r="J37" s="25">
        <f>J26+J30+J33</f>
        <v/>
      </c>
      <c r="K37" s="25">
        <f>K26+K30+K33</f>
        <v/>
      </c>
      <c r="L37" s="25">
        <f>L26+L30+L33</f>
        <v/>
      </c>
      <c r="M37" s="25">
        <f>M26+M30+M33</f>
        <v/>
      </c>
    </row>
    <row r="38">
      <c r="A38" s="8" t="inlineStr">
        <is>
          <t>EBITDA margin %</t>
        </is>
      </c>
      <c r="B38" s="26">
        <f>B37/B21</f>
        <v/>
      </c>
      <c r="C38" s="26">
        <f>C37/C21</f>
        <v/>
      </c>
      <c r="D38" s="26">
        <f>D37/D21</f>
        <v/>
      </c>
      <c r="E38" s="26">
        <f>E37/E21</f>
        <v/>
      </c>
      <c r="F38" s="26">
        <f>F37/F21</f>
        <v/>
      </c>
      <c r="G38" s="26">
        <f>G37/G21</f>
        <v/>
      </c>
      <c r="H38" s="26">
        <f>H37/H21</f>
        <v/>
      </c>
      <c r="I38" s="26">
        <f>I37/I21</f>
        <v/>
      </c>
      <c r="J38" s="26">
        <f>J37/J21</f>
        <v/>
      </c>
      <c r="K38" s="26">
        <f>K37/K21</f>
        <v/>
      </c>
      <c r="L38" s="26">
        <f>L37/L21</f>
        <v/>
      </c>
      <c r="M38" s="26">
        <f>M37/M21</f>
        <v/>
      </c>
    </row>
    <row r="39">
      <c r="A39" s="13" t="inlineStr">
        <is>
          <t xml:space="preserve">   Depreciation &amp; amortisation</t>
        </is>
      </c>
      <c r="B39" s="22">
        <f>Assumptions!B38</f>
        <v/>
      </c>
      <c r="C39" s="22">
        <f>Assumptions!C38</f>
        <v/>
      </c>
      <c r="D39" s="22">
        <f>Assumptions!D38</f>
        <v/>
      </c>
      <c r="E39" s="22">
        <f>Assumptions!E38</f>
        <v/>
      </c>
      <c r="F39" s="22">
        <f>-F21*Assumptions!F88</f>
        <v/>
      </c>
      <c r="G39" s="22">
        <f>-G21*Assumptions!G88</f>
        <v/>
      </c>
      <c r="H39" s="22">
        <f>-H21*Assumptions!H88</f>
        <v/>
      </c>
      <c r="I39" s="22">
        <f>-I21*Assumptions!I88</f>
        <v/>
      </c>
      <c r="J39" s="22">
        <f>-J21*Assumptions!J88</f>
        <v/>
      </c>
      <c r="K39" s="22">
        <f>-K21*Assumptions!K88</f>
        <v/>
      </c>
      <c r="L39" s="22">
        <f>-L21*Assumptions!L88</f>
        <v/>
      </c>
      <c r="M39" s="22">
        <f>-M21*Assumptions!M88</f>
        <v/>
      </c>
    </row>
    <row r="40">
      <c r="A40" s="24" t="inlineStr">
        <is>
          <t>EBIT</t>
        </is>
      </c>
      <c r="B40" s="25">
        <f>B37+B39</f>
        <v/>
      </c>
      <c r="C40" s="25">
        <f>C37+C39</f>
        <v/>
      </c>
      <c r="D40" s="25">
        <f>D37+D39</f>
        <v/>
      </c>
      <c r="E40" s="25">
        <f>E37+E39</f>
        <v/>
      </c>
      <c r="F40" s="25">
        <f>F37+F39</f>
        <v/>
      </c>
      <c r="G40" s="25">
        <f>G37+G39</f>
        <v/>
      </c>
      <c r="H40" s="25">
        <f>H37+H39</f>
        <v/>
      </c>
      <c r="I40" s="25">
        <f>I37+I39</f>
        <v/>
      </c>
      <c r="J40" s="25">
        <f>J37+J39</f>
        <v/>
      </c>
      <c r="K40" s="25">
        <f>K37+K39</f>
        <v/>
      </c>
      <c r="L40" s="25">
        <f>L37+L39</f>
        <v/>
      </c>
      <c r="M40" s="25">
        <f>M37+M39</f>
        <v/>
      </c>
    </row>
    <row r="41">
      <c r="A41" s="13" t="inlineStr">
        <is>
          <t xml:space="preserve">   Non-recurring / QoE adjustments</t>
        </is>
      </c>
      <c r="B41" s="22">
        <f>Assumptions!B41</f>
        <v/>
      </c>
      <c r="C41" s="22">
        <f>Assumptions!C41</f>
        <v/>
      </c>
      <c r="D41" s="22">
        <f>Assumptions!D41</f>
        <v/>
      </c>
      <c r="E41" s="22">
        <f>Assumptions!E41</f>
        <v/>
      </c>
      <c r="F41" s="22">
        <f>Assumptions!F91</f>
        <v/>
      </c>
      <c r="G41" s="22">
        <f>Assumptions!G91</f>
        <v/>
      </c>
      <c r="H41" s="22">
        <f>Assumptions!H91</f>
        <v/>
      </c>
      <c r="I41" s="22">
        <f>Assumptions!I91</f>
        <v/>
      </c>
      <c r="J41" s="22">
        <f>Assumptions!J91</f>
        <v/>
      </c>
      <c r="K41" s="22">
        <f>Assumptions!K91</f>
        <v/>
      </c>
      <c r="L41" s="22">
        <f>Assumptions!L91</f>
        <v/>
      </c>
      <c r="M41" s="22">
        <f>Assumptions!M91</f>
        <v/>
      </c>
    </row>
    <row r="42">
      <c r="A42" s="24" t="inlineStr">
        <is>
          <t>Adjusted EBITDA</t>
        </is>
      </c>
      <c r="B42" s="25">
        <f>B37+B41</f>
        <v/>
      </c>
      <c r="C42" s="25">
        <f>C37+C41</f>
        <v/>
      </c>
      <c r="D42" s="25">
        <f>D37+D41</f>
        <v/>
      </c>
      <c r="E42" s="25">
        <f>E37+E41</f>
        <v/>
      </c>
      <c r="F42" s="25">
        <f>F37+F41</f>
        <v/>
      </c>
      <c r="G42" s="25">
        <f>G37+G41</f>
        <v/>
      </c>
      <c r="H42" s="25">
        <f>H37+H41</f>
        <v/>
      </c>
      <c r="I42" s="25">
        <f>I37+I41</f>
        <v/>
      </c>
      <c r="J42" s="25">
        <f>J37+J41</f>
        <v/>
      </c>
      <c r="K42" s="25">
        <f>K37+K41</f>
        <v/>
      </c>
      <c r="L42" s="25">
        <f>L37+L41</f>
        <v/>
      </c>
      <c r="M42" s="25">
        <f>M37+M41</f>
        <v/>
      </c>
    </row>
    <row r="43">
      <c r="A43" s="8" t="inlineStr">
        <is>
          <t>Adjusted EBITDA margin %</t>
        </is>
      </c>
      <c r="B43" s="26">
        <f>B42/B21</f>
        <v/>
      </c>
      <c r="C43" s="26">
        <f>C42/C21</f>
        <v/>
      </c>
      <c r="D43" s="26">
        <f>D42/D21</f>
        <v/>
      </c>
      <c r="E43" s="26">
        <f>E42/E21</f>
        <v/>
      </c>
      <c r="F43" s="26">
        <f>F42/F21</f>
        <v/>
      </c>
      <c r="G43" s="26">
        <f>G42/G21</f>
        <v/>
      </c>
      <c r="H43" s="26">
        <f>H42/H21</f>
        <v/>
      </c>
      <c r="I43" s="26">
        <f>I42/I21</f>
        <v/>
      </c>
      <c r="J43" s="26">
        <f>J42/J21</f>
        <v/>
      </c>
      <c r="K43" s="26">
        <f>K42/K21</f>
        <v/>
      </c>
      <c r="L43" s="26">
        <f>L42/L21</f>
        <v/>
      </c>
      <c r="M43" s="26">
        <f>M42/M21</f>
        <v/>
      </c>
    </row>
    <row r="45">
      <c r="A45" s="6" t="inlineStr">
        <is>
          <t>Δ Net working capital</t>
        </is>
      </c>
      <c r="B45" s="22">
        <f>Assumptions!B44</f>
        <v/>
      </c>
      <c r="C45" s="22">
        <f>Assumptions!C44</f>
        <v/>
      </c>
      <c r="D45" s="22">
        <f>Assumptions!D44</f>
        <v/>
      </c>
      <c r="E45" s="22">
        <f>Assumptions!E44</f>
        <v/>
      </c>
      <c r="F45" s="22">
        <f>Assumptions!F94*(1+$C$9)</f>
        <v/>
      </c>
      <c r="G45" s="22">
        <f>Assumptions!G94*(1+$C$9)</f>
        <v/>
      </c>
      <c r="H45" s="22">
        <f>Assumptions!H94*(1+$C$9)</f>
        <v/>
      </c>
      <c r="I45" s="22">
        <f>Assumptions!I94*(1+$C$9)</f>
        <v/>
      </c>
      <c r="J45" s="22">
        <f>Assumptions!J94*(1+$C$9)</f>
        <v/>
      </c>
      <c r="K45" s="22">
        <f>Assumptions!K94*(1+$C$9)</f>
        <v/>
      </c>
      <c r="L45" s="22">
        <f>Assumptions!L94*(1+$C$9)</f>
        <v/>
      </c>
      <c r="M45" s="22">
        <f>Assumptions!M94*(1+$C$9)</f>
        <v/>
      </c>
    </row>
    <row r="46">
      <c r="A46" s="24" t="inlineStr">
        <is>
          <t>Operating Cash Flow</t>
        </is>
      </c>
      <c r="B46" s="25">
        <f>B42+B45</f>
        <v/>
      </c>
      <c r="C46" s="25">
        <f>C42+C45</f>
        <v/>
      </c>
      <c r="D46" s="25">
        <f>D42+D45</f>
        <v/>
      </c>
      <c r="E46" s="25">
        <f>E42+E45</f>
        <v/>
      </c>
      <c r="F46" s="25">
        <f>F42+F45</f>
        <v/>
      </c>
      <c r="G46" s="25">
        <f>G42+G45</f>
        <v/>
      </c>
      <c r="H46" s="25">
        <f>H42+H45</f>
        <v/>
      </c>
      <c r="I46" s="25">
        <f>I42+I45</f>
        <v/>
      </c>
      <c r="J46" s="25">
        <f>J42+J45</f>
        <v/>
      </c>
      <c r="K46" s="25">
        <f>K42+K45</f>
        <v/>
      </c>
      <c r="L46" s="25">
        <f>L42+L45</f>
        <v/>
      </c>
      <c r="M46" s="25">
        <f>M42+M45</f>
        <v/>
      </c>
    </row>
    <row r="47">
      <c r="A47" s="8" t="inlineStr">
        <is>
          <t>OCF : Adjusted EBITDA %</t>
        </is>
      </c>
      <c r="B47" s="26">
        <f>B46/B42</f>
        <v/>
      </c>
      <c r="C47" s="26">
        <f>C46/C42</f>
        <v/>
      </c>
      <c r="D47" s="26">
        <f>D46/D42</f>
        <v/>
      </c>
      <c r="E47" s="26">
        <f>E46/E42</f>
        <v/>
      </c>
      <c r="F47" s="26">
        <f>F46/F42</f>
        <v/>
      </c>
      <c r="G47" s="26">
        <f>G46/G42</f>
        <v/>
      </c>
      <c r="H47" s="26">
        <f>H46/H42</f>
        <v/>
      </c>
      <c r="I47" s="26">
        <f>I46/I42</f>
        <v/>
      </c>
      <c r="J47" s="26">
        <f>J46/J42</f>
        <v/>
      </c>
      <c r="K47" s="26">
        <f>K46/K42</f>
        <v/>
      </c>
      <c r="L47" s="26">
        <f>L46/L42</f>
        <v/>
      </c>
      <c r="M47" s="26">
        <f>M46/M42</f>
        <v/>
      </c>
    </row>
    <row r="49" ht="16" customHeight="1">
      <c r="A49" s="5" t="inlineStr">
        <is>
          <t>CAPEX</t>
        </is>
      </c>
    </row>
    <row r="50">
      <c r="A50" s="13" t="inlineStr">
        <is>
          <t xml:space="preserve">   Maintenance capex</t>
        </is>
      </c>
      <c r="B50" s="22">
        <f>Assumptions!B47</f>
        <v/>
      </c>
      <c r="C50" s="22">
        <f>Assumptions!C47</f>
        <v/>
      </c>
      <c r="D50" s="22">
        <f>Assumptions!D47</f>
        <v/>
      </c>
      <c r="E50" s="22">
        <f>Assumptions!E47</f>
        <v/>
      </c>
      <c r="F50" s="22">
        <f>-F21*Assumptions!F97*(1+$C$8)</f>
        <v/>
      </c>
      <c r="G50" s="22">
        <f>-G21*Assumptions!G97*(1+$C$8)</f>
        <v/>
      </c>
      <c r="H50" s="22">
        <f>-H21*Assumptions!H97*(1+$C$8)</f>
        <v/>
      </c>
      <c r="I50" s="22">
        <f>-I21*Assumptions!I97*(1+$C$8)</f>
        <v/>
      </c>
      <c r="J50" s="22">
        <f>-J21*Assumptions!J97*(1+$C$8)</f>
        <v/>
      </c>
      <c r="K50" s="22">
        <f>-K21*Assumptions!K97*(1+$C$8)</f>
        <v/>
      </c>
      <c r="L50" s="22">
        <f>-L21*Assumptions!L97*(1+$C$8)</f>
        <v/>
      </c>
      <c r="M50" s="22">
        <f>-M21*Assumptions!M97*(1+$C$8)</f>
        <v/>
      </c>
    </row>
    <row r="51">
      <c r="A51" s="13" t="inlineStr">
        <is>
          <t xml:space="preserve">   Growth capex</t>
        </is>
      </c>
      <c r="B51" s="22">
        <f>Assumptions!B50</f>
        <v/>
      </c>
      <c r="C51" s="22">
        <f>Assumptions!C50</f>
        <v/>
      </c>
      <c r="D51" s="22">
        <f>Assumptions!D50</f>
        <v/>
      </c>
      <c r="E51" s="22">
        <f>Assumptions!E50</f>
        <v/>
      </c>
      <c r="F51" s="22">
        <f>-F21*Assumptions!F100*(1+$C$8)</f>
        <v/>
      </c>
      <c r="G51" s="22">
        <f>-G21*Assumptions!G100*(1+$C$8)</f>
        <v/>
      </c>
      <c r="H51" s="22">
        <f>-H21*Assumptions!H100*(1+$C$8)</f>
        <v/>
      </c>
      <c r="I51" s="22">
        <f>-I21*Assumptions!I100*(1+$C$8)</f>
        <v/>
      </c>
      <c r="J51" s="22">
        <f>-J21*Assumptions!J100*(1+$C$8)</f>
        <v/>
      </c>
      <c r="K51" s="22">
        <f>-K21*Assumptions!K100*(1+$C$8)</f>
        <v/>
      </c>
      <c r="L51" s="22">
        <f>-L21*Assumptions!L100*(1+$C$8)</f>
        <v/>
      </c>
      <c r="M51" s="22">
        <f>-M21*Assumptions!M100*(1+$C$8)</f>
        <v/>
      </c>
    </row>
    <row r="52">
      <c r="A52" s="24" t="inlineStr">
        <is>
          <t>Total capex</t>
        </is>
      </c>
      <c r="B52" s="25">
        <f>B50+B51</f>
        <v/>
      </c>
      <c r="C52" s="25">
        <f>C50+C51</f>
        <v/>
      </c>
      <c r="D52" s="25">
        <f>D50+D51</f>
        <v/>
      </c>
      <c r="E52" s="25">
        <f>E50+E51</f>
        <v/>
      </c>
      <c r="F52" s="25">
        <f>F50+F51</f>
        <v/>
      </c>
      <c r="G52" s="25">
        <f>G50+G51</f>
        <v/>
      </c>
      <c r="H52" s="25">
        <f>H50+H51</f>
        <v/>
      </c>
      <c r="I52" s="25">
        <f>I50+I51</f>
        <v/>
      </c>
      <c r="J52" s="25">
        <f>J50+J51</f>
        <v/>
      </c>
      <c r="K52" s="25">
        <f>K50+K51</f>
        <v/>
      </c>
      <c r="L52" s="25">
        <f>L50+L51</f>
        <v/>
      </c>
      <c r="M52" s="25">
        <f>M50+M51</f>
        <v/>
      </c>
    </row>
    <row r="53">
      <c r="A53" s="8" t="inlineStr">
        <is>
          <t>Total capex — % of sales</t>
        </is>
      </c>
      <c r="B53" s="26">
        <f>-B52/B21</f>
        <v/>
      </c>
      <c r="C53" s="26">
        <f>-C52/C21</f>
        <v/>
      </c>
      <c r="D53" s="26">
        <f>-D52/D21</f>
        <v/>
      </c>
      <c r="E53" s="26">
        <f>-E52/E21</f>
        <v/>
      </c>
      <c r="F53" s="26">
        <f>-F52/F21</f>
        <v/>
      </c>
      <c r="G53" s="26">
        <f>-G52/G21</f>
        <v/>
      </c>
      <c r="H53" s="26">
        <f>-H52/H21</f>
        <v/>
      </c>
      <c r="I53" s="26">
        <f>-I52/I21</f>
        <v/>
      </c>
      <c r="J53" s="26">
        <f>-J52/J21</f>
        <v/>
      </c>
      <c r="K53" s="26">
        <f>-K52/K21</f>
        <v/>
      </c>
      <c r="L53" s="26">
        <f>-L52/L21</f>
        <v/>
      </c>
      <c r="M53" s="26">
        <f>-M52/M21</f>
        <v/>
      </c>
    </row>
    <row r="54">
      <c r="A54" s="8" t="inlineStr">
        <is>
          <t>Memo: cash conversion post capex % (of Adjusted EBITDA)</t>
        </is>
      </c>
      <c r="B54" s="26">
        <f>(B46+B52)/B42</f>
        <v/>
      </c>
      <c r="C54" s="26">
        <f>(C46+C52)/C42</f>
        <v/>
      </c>
      <c r="D54" s="26">
        <f>(D46+D52)/D42</f>
        <v/>
      </c>
      <c r="E54" s="26">
        <f>(E46+E52)/E42</f>
        <v/>
      </c>
      <c r="F54" s="26">
        <f>(F46+F52)/F42</f>
        <v/>
      </c>
      <c r="G54" s="26">
        <f>(G46+G52)/G42</f>
        <v/>
      </c>
      <c r="H54" s="26">
        <f>(H46+H52)/H42</f>
        <v/>
      </c>
      <c r="I54" s="26">
        <f>(I46+I52)/I42</f>
        <v/>
      </c>
      <c r="J54" s="26">
        <f>(J46+J52)/J42</f>
        <v/>
      </c>
      <c r="K54" s="26">
        <f>(K46+K52)/K42</f>
        <v/>
      </c>
      <c r="L54" s="26">
        <f>(L46+L52)/L42</f>
        <v/>
      </c>
      <c r="M54" s="26">
        <f>(M46+M52)/M42</f>
        <v/>
      </c>
    </row>
    <row r="56" ht="16" customHeight="1">
      <c r="A56" s="5" t="inlineStr">
        <is>
          <t>CASH AVAILABLE FOR DEBT SERVICE (CFADS)</t>
        </is>
      </c>
    </row>
    <row r="57">
      <c r="A57" s="13" t="inlineStr">
        <is>
          <t xml:space="preserve">   Exceptional &amp; other cash items</t>
        </is>
      </c>
      <c r="B57" s="22">
        <f>Assumptions!B53</f>
        <v/>
      </c>
      <c r="C57" s="22">
        <f>Assumptions!C53</f>
        <v/>
      </c>
      <c r="D57" s="22">
        <f>Assumptions!D53</f>
        <v/>
      </c>
      <c r="E57" s="22">
        <f>Assumptions!E53</f>
        <v/>
      </c>
      <c r="F57" s="22">
        <f>Assumptions!F103</f>
        <v/>
      </c>
      <c r="G57" s="22">
        <f>Assumptions!G103</f>
        <v/>
      </c>
      <c r="H57" s="22">
        <f>Assumptions!H103</f>
        <v/>
      </c>
      <c r="I57" s="22">
        <f>Assumptions!I103</f>
        <v/>
      </c>
      <c r="J57" s="22">
        <f>Assumptions!J103</f>
        <v/>
      </c>
      <c r="K57" s="22">
        <f>Assumptions!K103</f>
        <v/>
      </c>
      <c r="L57" s="22">
        <f>Assumptions!L103</f>
        <v/>
      </c>
      <c r="M57" s="22">
        <f>Assumptions!M103</f>
        <v/>
      </c>
    </row>
    <row r="58">
      <c r="A58" s="13" t="inlineStr">
        <is>
          <t xml:space="preserve">   Cash taxes paid</t>
        </is>
      </c>
      <c r="B58" s="22">
        <f>Assumptions!B56</f>
        <v/>
      </c>
      <c r="C58" s="22">
        <f>Assumptions!C56</f>
        <v/>
      </c>
      <c r="D58" s="22">
        <f>Assumptions!D56</f>
        <v/>
      </c>
      <c r="E58" s="22">
        <f>Assumptions!E56</f>
        <v/>
      </c>
      <c r="F58" s="22">
        <f>-MAX(0,F40)*Assumptions!F106</f>
        <v/>
      </c>
      <c r="G58" s="22">
        <f>-MAX(0,G40)*Assumptions!G106</f>
        <v/>
      </c>
      <c r="H58" s="22">
        <f>-MAX(0,H40)*Assumptions!H106</f>
        <v/>
      </c>
      <c r="I58" s="22">
        <f>-MAX(0,I40)*Assumptions!I106</f>
        <v/>
      </c>
      <c r="J58" s="22">
        <f>-MAX(0,J40)*Assumptions!J106</f>
        <v/>
      </c>
      <c r="K58" s="22">
        <f>-MAX(0,K40)*Assumptions!K106</f>
        <v/>
      </c>
      <c r="L58" s="22">
        <f>-MAX(0,L40)*Assumptions!L106</f>
        <v/>
      </c>
      <c r="M58" s="22">
        <f>-MAX(0,M40)*Assumptions!M106</f>
        <v/>
      </c>
    </row>
    <row r="59">
      <c r="A59" s="24" t="inlineStr">
        <is>
          <t>Cash Available for Debt Service (CFADS)</t>
        </is>
      </c>
      <c r="B59" s="25">
        <f>B46+B52+B57+B58</f>
        <v/>
      </c>
      <c r="C59" s="25">
        <f>C46+C52+C57+C58</f>
        <v/>
      </c>
      <c r="D59" s="25">
        <f>D46+D52+D57+D58</f>
        <v/>
      </c>
      <c r="E59" s="25">
        <f>E46+E52+E57+E58</f>
        <v/>
      </c>
      <c r="F59" s="25">
        <f>F46+F52+F57+F58</f>
        <v/>
      </c>
      <c r="G59" s="25">
        <f>G46+G52+G57+G58</f>
        <v/>
      </c>
      <c r="H59" s="25">
        <f>H46+H52+H57+H58</f>
        <v/>
      </c>
      <c r="I59" s="25">
        <f>I46+I52+I57+I58</f>
        <v/>
      </c>
      <c r="J59" s="25">
        <f>J46+J52+J57+J58</f>
        <v/>
      </c>
      <c r="K59" s="25">
        <f>K46+K52+K57+K58</f>
        <v/>
      </c>
      <c r="L59" s="25">
        <f>L46+L52+L57+L58</f>
        <v/>
      </c>
      <c r="M59" s="25">
        <f>M46+M52+M57+M58</f>
        <v/>
      </c>
    </row>
    <row r="60">
      <c r="A60" s="8" t="inlineStr">
        <is>
          <t>CFADS conversion % (of Adjusted EBITDA)</t>
        </is>
      </c>
      <c r="B60" s="26">
        <f>B59/B42</f>
        <v/>
      </c>
      <c r="C60" s="26">
        <f>C59/C42</f>
        <v/>
      </c>
      <c r="D60" s="26">
        <f>D59/D42</f>
        <v/>
      </c>
      <c r="E60" s="26">
        <f>E59/E42</f>
        <v/>
      </c>
      <c r="F60" s="26">
        <f>F59/F42</f>
        <v/>
      </c>
      <c r="G60" s="26">
        <f>G59/G42</f>
        <v/>
      </c>
      <c r="H60" s="26">
        <f>H59/H42</f>
        <v/>
      </c>
      <c r="I60" s="26">
        <f>I59/I42</f>
        <v/>
      </c>
      <c r="J60" s="26">
        <f>J59/J42</f>
        <v/>
      </c>
      <c r="K60" s="26">
        <f>K59/K42</f>
        <v/>
      </c>
      <c r="L60" s="26">
        <f>L59/L42</f>
        <v/>
      </c>
      <c r="M60" s="26">
        <f>M59/M42</f>
        <v/>
      </c>
    </row>
    <row r="61">
      <c r="A61" s="6" t="inlineStr">
        <is>
          <t>Total net cash interest payments</t>
        </is>
      </c>
      <c r="B61" s="27">
        <f>Assumptions!B59</f>
        <v/>
      </c>
      <c r="C61" s="27">
        <f>Assumptions!C59</f>
        <v/>
      </c>
      <c r="D61" s="27">
        <f>Assumptions!D59</f>
        <v/>
      </c>
      <c r="E61" s="27">
        <f>Assumptions!E59</f>
        <v/>
      </c>
      <c r="F61" s="27">
        <f>-E84*(Assumptions!$C$114+Assumptions!$C$115+$C$10/10000)</f>
        <v/>
      </c>
      <c r="G61" s="27">
        <f>-F84*(Assumptions!$C$114+Assumptions!$C$115+$C$10/10000)</f>
        <v/>
      </c>
      <c r="H61" s="27">
        <f>-G84*(Assumptions!$C$114+Assumptions!$C$115+$C$10/10000)</f>
        <v/>
      </c>
      <c r="I61" s="27">
        <f>-H84*(Assumptions!$C$114+Assumptions!$C$115+$C$10/10000)</f>
        <v/>
      </c>
      <c r="J61" s="27">
        <f>-I84*(Assumptions!$C$114+Assumptions!$C$115+$C$10/10000)</f>
        <v/>
      </c>
      <c r="K61" s="27">
        <f>-J84*(Assumptions!$C$114+Assumptions!$C$115+$C$10/10000)</f>
        <v/>
      </c>
      <c r="L61" s="27">
        <f>-K84*(Assumptions!$C$114+Assumptions!$C$115+$C$10/10000)</f>
        <v/>
      </c>
      <c r="M61" s="27">
        <f>-L84*(Assumptions!$C$114+Assumptions!$C$115+$C$10/10000)</f>
        <v/>
      </c>
    </row>
    <row r="62">
      <c r="A62" s="6" t="inlineStr">
        <is>
          <t>FCF before Debt Payment / Drawdown</t>
        </is>
      </c>
      <c r="B62" s="28">
        <f>B59+B61</f>
        <v/>
      </c>
      <c r="C62" s="28">
        <f>C59+C61</f>
        <v/>
      </c>
      <c r="D62" s="28">
        <f>D59+D61</f>
        <v/>
      </c>
      <c r="E62" s="28">
        <f>E59+E61</f>
        <v/>
      </c>
      <c r="F62" s="28">
        <f>F59+F61</f>
        <v/>
      </c>
      <c r="G62" s="28">
        <f>G59+G61</f>
        <v/>
      </c>
      <c r="H62" s="28">
        <f>H59+H61</f>
        <v/>
      </c>
      <c r="I62" s="28">
        <f>I59+I61</f>
        <v/>
      </c>
      <c r="J62" s="28">
        <f>J59+J61</f>
        <v/>
      </c>
      <c r="K62" s="28">
        <f>K59+K61</f>
        <v/>
      </c>
      <c r="L62" s="28">
        <f>L59+L61</f>
        <v/>
      </c>
      <c r="M62" s="28">
        <f>M59+M61</f>
        <v/>
      </c>
    </row>
    <row r="64" ht="16" customHeight="1">
      <c r="A64" s="5" t="inlineStr">
        <is>
          <t>ACQUISITION / NON-ORGANIC FINANCING  (self-funding — optional, leave 0 if not applicable)</t>
        </is>
      </c>
    </row>
    <row r="65">
      <c r="A65" s="13" t="inlineStr">
        <is>
          <t xml:space="preserve">   Acquisition-related cash outflow</t>
        </is>
      </c>
      <c r="B65" s="22">
        <f>Assumptions!B62</f>
        <v/>
      </c>
      <c r="C65" s="22">
        <f>Assumptions!C62</f>
        <v/>
      </c>
      <c r="D65" s="22">
        <f>Assumptions!D62</f>
        <v/>
      </c>
      <c r="E65" s="22">
        <f>Assumptions!E62</f>
        <v/>
      </c>
      <c r="F65" s="22">
        <f>Assumptions!F109</f>
        <v/>
      </c>
      <c r="G65" s="22">
        <f>Assumptions!G109</f>
        <v/>
      </c>
      <c r="H65" s="22">
        <f>Assumptions!H109</f>
        <v/>
      </c>
      <c r="I65" s="22">
        <f>Assumptions!I109</f>
        <v/>
      </c>
      <c r="J65" s="22">
        <f>Assumptions!J109</f>
        <v/>
      </c>
      <c r="K65" s="22">
        <f>Assumptions!K109</f>
        <v/>
      </c>
      <c r="L65" s="22">
        <f>Assumptions!L109</f>
        <v/>
      </c>
      <c r="M65" s="22">
        <f>Assumptions!M109</f>
        <v/>
      </c>
    </row>
    <row r="66">
      <c r="A66" s="13" t="inlineStr">
        <is>
          <t xml:space="preserve">   Acquisition / delayed-draw facility drawdown</t>
        </is>
      </c>
      <c r="B66" s="22">
        <f>Assumptions!B65</f>
        <v/>
      </c>
      <c r="C66" s="22">
        <f>Assumptions!C65</f>
        <v/>
      </c>
      <c r="D66" s="22">
        <f>Assumptions!D65</f>
        <v/>
      </c>
      <c r="E66" s="22">
        <f>Assumptions!E65</f>
        <v/>
      </c>
      <c r="F66" s="22">
        <f>Assumptions!F112</f>
        <v/>
      </c>
      <c r="G66" s="22">
        <f>Assumptions!G112</f>
        <v/>
      </c>
      <c r="H66" s="22">
        <f>Assumptions!H112</f>
        <v/>
      </c>
      <c r="I66" s="22">
        <f>Assumptions!I112</f>
        <v/>
      </c>
      <c r="J66" s="22">
        <f>Assumptions!J112</f>
        <v/>
      </c>
      <c r="K66" s="22">
        <f>Assumptions!K112</f>
        <v/>
      </c>
      <c r="L66" s="22">
        <f>Assumptions!L112</f>
        <v/>
      </c>
      <c r="M66" s="22">
        <f>Assumptions!M112</f>
        <v/>
      </c>
    </row>
    <row r="67">
      <c r="A67" s="8" t="inlineStr">
        <is>
          <t>Net acquisition-financing impact (memo, should ≈ 0 if fully self-funded)</t>
        </is>
      </c>
      <c r="B67" s="29">
        <f>B65+B66</f>
        <v/>
      </c>
      <c r="C67" s="29">
        <f>C65+C66</f>
        <v/>
      </c>
      <c r="D67" s="29">
        <f>D65+D66</f>
        <v/>
      </c>
      <c r="E67" s="29">
        <f>E65+E66</f>
        <v/>
      </c>
      <c r="F67" s="29">
        <f>F65+F66</f>
        <v/>
      </c>
      <c r="G67" s="29">
        <f>G65+G66</f>
        <v/>
      </c>
      <c r="H67" s="29">
        <f>H65+H66</f>
        <v/>
      </c>
      <c r="I67" s="29">
        <f>I65+I66</f>
        <v/>
      </c>
      <c r="J67" s="29">
        <f>J65+J66</f>
        <v/>
      </c>
      <c r="K67" s="29">
        <f>K65+K66</f>
        <v/>
      </c>
      <c r="L67" s="29">
        <f>L65+L66</f>
        <v/>
      </c>
      <c r="M67" s="29">
        <f>M65+M66</f>
        <v/>
      </c>
    </row>
    <row r="69" ht="16" customHeight="1">
      <c r="A69" s="5" t="inlineStr">
        <is>
          <t>DEBT &amp; CASH ROLL-FORWARD  (Stub/At-Close column = opening balances; pre-close years N/A)</t>
        </is>
      </c>
    </row>
    <row r="70">
      <c r="A70" s="13" t="inlineStr">
        <is>
          <t xml:space="preserve">   Opening cash balance</t>
        </is>
      </c>
      <c r="E70" s="30">
        <f>Assumptions!$C$121</f>
        <v/>
      </c>
      <c r="F70" s="30">
        <f>E77</f>
        <v/>
      </c>
      <c r="G70" s="30">
        <f>F77</f>
        <v/>
      </c>
      <c r="H70" s="30">
        <f>G77</f>
        <v/>
      </c>
      <c r="I70" s="30">
        <f>H77</f>
        <v/>
      </c>
      <c r="J70" s="30">
        <f>I77</f>
        <v/>
      </c>
      <c r="K70" s="30">
        <f>J77</f>
        <v/>
      </c>
      <c r="L70" s="30">
        <f>K77</f>
        <v/>
      </c>
      <c r="M70" s="30">
        <f>L77</f>
        <v/>
      </c>
    </row>
    <row r="71">
      <c r="A71" s="13" t="inlineStr">
        <is>
          <t xml:space="preserve">   (+) FCF before Debt Payment / Drawdown</t>
        </is>
      </c>
      <c r="E71" s="30">
        <f>E62</f>
        <v/>
      </c>
      <c r="F71" s="30">
        <f>F62</f>
        <v/>
      </c>
      <c r="G71" s="30">
        <f>G62</f>
        <v/>
      </c>
      <c r="H71" s="30">
        <f>H62</f>
        <v/>
      </c>
      <c r="I71" s="30">
        <f>I62</f>
        <v/>
      </c>
      <c r="J71" s="30">
        <f>J62</f>
        <v/>
      </c>
      <c r="K71" s="30">
        <f>K62</f>
        <v/>
      </c>
      <c r="L71" s="30">
        <f>L62</f>
        <v/>
      </c>
      <c r="M71" s="30">
        <f>M62</f>
        <v/>
      </c>
    </row>
    <row r="72">
      <c r="A72" s="13" t="inlineStr">
        <is>
          <t xml:space="preserve">   (+) Net acquisition-financing impact</t>
        </is>
      </c>
      <c r="E72" s="30">
        <f>E67</f>
        <v/>
      </c>
      <c r="F72" s="30">
        <f>F67</f>
        <v/>
      </c>
      <c r="G72" s="30">
        <f>G67</f>
        <v/>
      </c>
      <c r="H72" s="30">
        <f>H67</f>
        <v/>
      </c>
      <c r="I72" s="30">
        <f>I67</f>
        <v/>
      </c>
      <c r="J72" s="30">
        <f>J67</f>
        <v/>
      </c>
      <c r="K72" s="30">
        <f>K67</f>
        <v/>
      </c>
      <c r="L72" s="30">
        <f>L67</f>
        <v/>
      </c>
      <c r="M72" s="30">
        <f>M67</f>
        <v/>
      </c>
    </row>
    <row r="73">
      <c r="A73" s="13" t="inlineStr">
        <is>
          <t xml:space="preserve">   (–) Term Loan scheduled amortisation</t>
        </is>
      </c>
      <c r="E73" s="30" t="n">
        <v>0</v>
      </c>
      <c r="F73" s="30">
        <f>-Assumptions!$C$118*Assumptions!$C$119</f>
        <v/>
      </c>
      <c r="G73" s="30">
        <f>-Assumptions!$C$118*Assumptions!$C$119</f>
        <v/>
      </c>
      <c r="H73" s="30">
        <f>-Assumptions!$C$118*Assumptions!$C$119</f>
        <v/>
      </c>
      <c r="I73" s="30">
        <f>-Assumptions!$C$118*Assumptions!$C$119</f>
        <v/>
      </c>
      <c r="J73" s="30">
        <f>-Assumptions!$C$118*Assumptions!$C$119</f>
        <v/>
      </c>
      <c r="K73" s="30">
        <f>-Assumptions!$C$118*Assumptions!$C$119</f>
        <v/>
      </c>
      <c r="L73" s="30">
        <f>-Assumptions!$C$118*Assumptions!$C$119</f>
        <v/>
      </c>
      <c r="M73" s="30">
        <f>-Assumptions!$C$118*Assumptions!$C$119</f>
        <v/>
      </c>
    </row>
    <row r="74">
      <c r="A74" s="13" t="inlineStr">
        <is>
          <t xml:space="preserve">   (–) Term Loan bullet repayment (final forecast period)</t>
        </is>
      </c>
      <c r="E74" s="30" t="n">
        <v>0</v>
      </c>
      <c r="F74" s="30" t="n">
        <v>0</v>
      </c>
      <c r="G74" s="30" t="n">
        <v>0</v>
      </c>
      <c r="H74" s="30" t="n">
        <v>0</v>
      </c>
      <c r="I74" s="30" t="n">
        <v>0</v>
      </c>
      <c r="J74" s="30" t="n">
        <v>0</v>
      </c>
      <c r="K74" s="30" t="n">
        <v>0</v>
      </c>
      <c r="L74" s="30" t="n">
        <v>0</v>
      </c>
      <c r="M74" s="30">
        <f>-L82*Assumptions!$C$120</f>
        <v/>
      </c>
    </row>
    <row r="75">
      <c r="A75" s="31" t="inlineStr">
        <is>
          <t>Net cash before revolver</t>
        </is>
      </c>
      <c r="B75" s="32" t="n"/>
      <c r="C75" s="32" t="n"/>
      <c r="D75" s="32" t="n"/>
      <c r="E75" s="33">
        <f>E70+E71+E72+E73+E74</f>
        <v/>
      </c>
      <c r="F75" s="33">
        <f>F70+F71+F72+F73+F74</f>
        <v/>
      </c>
      <c r="G75" s="33">
        <f>G70+G71+G72+G73+G74</f>
        <v/>
      </c>
      <c r="H75" s="33">
        <f>H70+H71+H72+H73+H74</f>
        <v/>
      </c>
      <c r="I75" s="33">
        <f>I70+I71+I72+I73+I74</f>
        <v/>
      </c>
      <c r="J75" s="33">
        <f>J70+J71+J72+J73+J74</f>
        <v/>
      </c>
      <c r="K75" s="33">
        <f>K70+K71+K72+K73+K74</f>
        <v/>
      </c>
      <c r="L75" s="33">
        <f>L70+L71+L72+L73+L74</f>
        <v/>
      </c>
      <c r="M75" s="33">
        <f>M70+M71+M72+M73+M74</f>
        <v/>
      </c>
    </row>
    <row r="76">
      <c r="A76" s="13" t="inlineStr">
        <is>
          <t xml:space="preserve">   (+/–) RCF drawdown / (repayment)</t>
        </is>
      </c>
      <c r="E76" s="30">
        <f>IF(E75&lt;0,MIN(Assumptions!$C$116-0,-E75),-MIN(0,E75))</f>
        <v/>
      </c>
      <c r="F76" s="30">
        <f>IF(F75&lt;0,MIN(Assumptions!$C$116-E80,-F75),-MIN(E80,F75))</f>
        <v/>
      </c>
      <c r="G76" s="30">
        <f>IF(G75&lt;0,MIN(Assumptions!$C$116-F80,-G75),-MIN(F80,G75))</f>
        <v/>
      </c>
      <c r="H76" s="30">
        <f>IF(H75&lt;0,MIN(Assumptions!$C$116-G80,-H75),-MIN(G80,H75))</f>
        <v/>
      </c>
      <c r="I76" s="30">
        <f>IF(I75&lt;0,MIN(Assumptions!$C$116-H80,-I75),-MIN(H80,I75))</f>
        <v/>
      </c>
      <c r="J76" s="30">
        <f>IF(J75&lt;0,MIN(Assumptions!$C$116-I80,-J75),-MIN(I80,J75))</f>
        <v/>
      </c>
      <c r="K76" s="30">
        <f>IF(K75&lt;0,MIN(Assumptions!$C$116-J80,-K75),-MIN(J80,K75))</f>
        <v/>
      </c>
      <c r="L76" s="30">
        <f>IF(L75&lt;0,MIN(Assumptions!$C$116-K80,-L75),-MIN(K80,L75))</f>
        <v/>
      </c>
      <c r="M76" s="30">
        <f>IF(M75&lt;0,MIN(Assumptions!$C$116-L80,-M75),-MIN(L80,M75))</f>
        <v/>
      </c>
    </row>
    <row r="77">
      <c r="A77" s="24" t="inlineStr">
        <is>
          <t>Closing cash balance</t>
        </is>
      </c>
      <c r="B77" s="32" t="n"/>
      <c r="C77" s="32" t="n"/>
      <c r="D77" s="32" t="n"/>
      <c r="E77" s="28">
        <f>E75+E76</f>
        <v/>
      </c>
      <c r="F77" s="28">
        <f>F75+F76</f>
        <v/>
      </c>
      <c r="G77" s="28">
        <f>G75+G76</f>
        <v/>
      </c>
      <c r="H77" s="28">
        <f>H75+H76</f>
        <v/>
      </c>
      <c r="I77" s="28">
        <f>I75+I76</f>
        <v/>
      </c>
      <c r="J77" s="28">
        <f>J75+J76</f>
        <v/>
      </c>
      <c r="K77" s="28">
        <f>K75+K76</f>
        <v/>
      </c>
      <c r="L77" s="28">
        <f>L75+L76</f>
        <v/>
      </c>
      <c r="M77" s="28">
        <f>M75+M76</f>
        <v/>
      </c>
    </row>
    <row r="79" ht="16" customHeight="1">
      <c r="A79" s="5" t="inlineStr">
        <is>
          <t>DEBT BALANCES (period end)</t>
        </is>
      </c>
    </row>
    <row r="80">
      <c r="A80" s="13" t="inlineStr">
        <is>
          <t xml:space="preserve">   RCF drawn balance</t>
        </is>
      </c>
      <c r="E80" s="30">
        <f>0+E76</f>
        <v/>
      </c>
      <c r="F80" s="30">
        <f>E80+F76</f>
        <v/>
      </c>
      <c r="G80" s="30">
        <f>F80+G76</f>
        <v/>
      </c>
      <c r="H80" s="30">
        <f>G80+H76</f>
        <v/>
      </c>
      <c r="I80" s="30">
        <f>H80+I76</f>
        <v/>
      </c>
      <c r="J80" s="30">
        <f>I80+J76</f>
        <v/>
      </c>
      <c r="K80" s="30">
        <f>J80+K76</f>
        <v/>
      </c>
      <c r="L80" s="30">
        <f>K80+L76</f>
        <v/>
      </c>
      <c r="M80" s="30">
        <f>L80+M76</f>
        <v/>
      </c>
    </row>
    <row r="81">
      <c r="A81" s="13" t="inlineStr">
        <is>
          <t xml:space="preserve">   Acquisition / delayed-draw facility balance</t>
        </is>
      </c>
      <c r="E81" s="30">
        <f>0+E66</f>
        <v/>
      </c>
      <c r="F81" s="30">
        <f>E81+F66</f>
        <v/>
      </c>
      <c r="G81" s="30">
        <f>F81+G66</f>
        <v/>
      </c>
      <c r="H81" s="30">
        <f>G81+H66</f>
        <v/>
      </c>
      <c r="I81" s="30">
        <f>H81+I66</f>
        <v/>
      </c>
      <c r="J81" s="30">
        <f>I81+J66</f>
        <v/>
      </c>
      <c r="K81" s="30">
        <f>J81+K66</f>
        <v/>
      </c>
      <c r="L81" s="30">
        <f>K81+L66</f>
        <v/>
      </c>
      <c r="M81" s="30">
        <f>L81+M66</f>
        <v/>
      </c>
    </row>
    <row r="82">
      <c r="A82" s="13" t="inlineStr">
        <is>
          <t xml:space="preserve">   Term Loan balance</t>
        </is>
      </c>
      <c r="E82" s="30">
        <f>Assumptions!$C$118</f>
        <v/>
      </c>
      <c r="F82" s="30">
        <f>E82+F73+F74</f>
        <v/>
      </c>
      <c r="G82" s="30">
        <f>F82+G73+G74</f>
        <v/>
      </c>
      <c r="H82" s="30">
        <f>G82+H73+H74</f>
        <v/>
      </c>
      <c r="I82" s="30">
        <f>H82+I73+I74</f>
        <v/>
      </c>
      <c r="J82" s="30">
        <f>I82+J73+J74</f>
        <v/>
      </c>
      <c r="K82" s="30">
        <f>J82+K73+K74</f>
        <v/>
      </c>
      <c r="L82" s="30">
        <f>K82+L73+L74</f>
        <v/>
      </c>
      <c r="M82" s="30">
        <f>L82+M73+M74</f>
        <v/>
      </c>
    </row>
    <row r="83">
      <c r="A83" s="24" t="inlineStr">
        <is>
          <t>Total Gross Debt</t>
        </is>
      </c>
      <c r="B83" s="32" t="n"/>
      <c r="C83" s="32" t="n"/>
      <c r="D83" s="32" t="n"/>
      <c r="E83" s="28">
        <f>E80+E81+E82</f>
        <v/>
      </c>
      <c r="F83" s="28">
        <f>F80+F81+F82</f>
        <v/>
      </c>
      <c r="G83" s="28">
        <f>G80+G81+G82</f>
        <v/>
      </c>
      <c r="H83" s="28">
        <f>H80+H81+H82</f>
        <v/>
      </c>
      <c r="I83" s="28">
        <f>I80+I81+I82</f>
        <v/>
      </c>
      <c r="J83" s="28">
        <f>J80+J81+J82</f>
        <v/>
      </c>
      <c r="K83" s="28">
        <f>K80+K81+K82</f>
        <v/>
      </c>
      <c r="L83" s="28">
        <f>L80+L81+L82</f>
        <v/>
      </c>
      <c r="M83" s="28">
        <f>M80+M81+M82</f>
        <v/>
      </c>
    </row>
    <row r="84">
      <c r="A84" s="24" t="inlineStr">
        <is>
          <t>Total Net Debt</t>
        </is>
      </c>
      <c r="B84" s="32" t="n"/>
      <c r="C84" s="32" t="n"/>
      <c r="D84" s="32" t="n"/>
      <c r="E84" s="28">
        <f>E83-E77</f>
        <v/>
      </c>
      <c r="F84" s="28">
        <f>F83-F77</f>
        <v/>
      </c>
      <c r="G84" s="28">
        <f>G83-G77</f>
        <v/>
      </c>
      <c r="H84" s="28">
        <f>H83-H77</f>
        <v/>
      </c>
      <c r="I84" s="28">
        <f>I83-I77</f>
        <v/>
      </c>
      <c r="J84" s="28">
        <f>J83-J77</f>
        <v/>
      </c>
      <c r="K84" s="28">
        <f>K83-K77</f>
        <v/>
      </c>
      <c r="L84" s="28">
        <f>L83-L77</f>
        <v/>
      </c>
      <c r="M84" s="28">
        <f>M83-M77</f>
        <v/>
      </c>
    </row>
    <row r="85">
      <c r="A85" s="8" t="inlineStr">
        <is>
          <t>Undrawn RCF</t>
        </is>
      </c>
      <c r="E85" s="34">
        <f>Assumptions!$C$116-E80</f>
        <v/>
      </c>
      <c r="F85" s="34">
        <f>Assumptions!$C$116-F80</f>
        <v/>
      </c>
      <c r="G85" s="34">
        <f>Assumptions!$C$116-G80</f>
        <v/>
      </c>
      <c r="H85" s="34">
        <f>Assumptions!$C$116-H80</f>
        <v/>
      </c>
      <c r="I85" s="34">
        <f>Assumptions!$C$116-I80</f>
        <v/>
      </c>
      <c r="J85" s="34">
        <f>Assumptions!$C$116-J80</f>
        <v/>
      </c>
      <c r="K85" s="34">
        <f>Assumptions!$C$116-K80</f>
        <v/>
      </c>
      <c r="L85" s="34">
        <f>Assumptions!$C$116-L80</f>
        <v/>
      </c>
      <c r="M85" s="34">
        <f>Assumptions!$C$116-M80</f>
        <v/>
      </c>
    </row>
    <row r="86">
      <c r="A86" s="8" t="inlineStr">
        <is>
          <t>Undrawn acquisition facility</t>
        </is>
      </c>
      <c r="E86" s="34">
        <f>Assumptions!$C$117-E81</f>
        <v/>
      </c>
      <c r="F86" s="34">
        <f>Assumptions!$C$117-F81</f>
        <v/>
      </c>
      <c r="G86" s="34">
        <f>Assumptions!$C$117-G81</f>
        <v/>
      </c>
      <c r="H86" s="34">
        <f>Assumptions!$C$117-H81</f>
        <v/>
      </c>
      <c r="I86" s="34">
        <f>Assumptions!$C$117-I81</f>
        <v/>
      </c>
      <c r="J86" s="34">
        <f>Assumptions!$C$117-J81</f>
        <v/>
      </c>
      <c r="K86" s="34">
        <f>Assumptions!$C$117-K81</f>
        <v/>
      </c>
      <c r="L86" s="34">
        <f>Assumptions!$C$117-L81</f>
        <v/>
      </c>
      <c r="M86" s="34">
        <f>Assumptions!$C$117-M81</f>
        <v/>
      </c>
    </row>
    <row r="88" ht="16" customHeight="1">
      <c r="A88" s="5" t="inlineStr">
        <is>
          <t>CREDIT METRICS</t>
        </is>
      </c>
    </row>
    <row r="89">
      <c r="A89" s="13" t="inlineStr">
        <is>
          <t xml:space="preserve">   Total Gross Debt / Adjusted EBITDA</t>
        </is>
      </c>
      <c r="E89" s="35">
        <f>E83/F42</f>
        <v/>
      </c>
      <c r="F89" s="35">
        <f>F83/F42</f>
        <v/>
      </c>
      <c r="G89" s="35">
        <f>G83/G42</f>
        <v/>
      </c>
      <c r="H89" s="35">
        <f>H83/H42</f>
        <v/>
      </c>
      <c r="I89" s="35">
        <f>I83/I42</f>
        <v/>
      </c>
      <c r="J89" s="35">
        <f>J83/J42</f>
        <v/>
      </c>
      <c r="K89" s="35">
        <f>K83/K42</f>
        <v/>
      </c>
      <c r="L89" s="35">
        <f>L83/L42</f>
        <v/>
      </c>
      <c r="M89" s="35">
        <f>M83/M42</f>
        <v/>
      </c>
    </row>
    <row r="90">
      <c r="A90" s="13" t="inlineStr">
        <is>
          <t xml:space="preserve">   Total Net Debt / Adjusted EBITDA</t>
        </is>
      </c>
      <c r="E90" s="35">
        <f>E84/F42</f>
        <v/>
      </c>
      <c r="F90" s="35">
        <f>F84/F42</f>
        <v/>
      </c>
      <c r="G90" s="35">
        <f>G84/G42</f>
        <v/>
      </c>
      <c r="H90" s="35">
        <f>H84/H42</f>
        <v/>
      </c>
      <c r="I90" s="35">
        <f>I84/I42</f>
        <v/>
      </c>
      <c r="J90" s="35">
        <f>J84/J42</f>
        <v/>
      </c>
      <c r="K90" s="35">
        <f>K84/K42</f>
        <v/>
      </c>
      <c r="L90" s="35">
        <f>L84/L42</f>
        <v/>
      </c>
      <c r="M90" s="35">
        <f>M84/M42</f>
        <v/>
      </c>
    </row>
    <row r="91">
      <c r="A91" s="13" t="inlineStr">
        <is>
          <t xml:space="preserve">   Adjusted EBITDA / Net cash interest (Interest Cover)</t>
        </is>
      </c>
      <c r="F91" s="35">
        <f>F42/(-F61)</f>
        <v/>
      </c>
      <c r="G91" s="35">
        <f>G42/(-G61)</f>
        <v/>
      </c>
      <c r="H91" s="35">
        <f>H42/(-H61)</f>
        <v/>
      </c>
      <c r="I91" s="35">
        <f>I42/(-I61)</f>
        <v/>
      </c>
      <c r="J91" s="35">
        <f>J42/(-J61)</f>
        <v/>
      </c>
      <c r="K91" s="35">
        <f>K42/(-K61)</f>
        <v/>
      </c>
      <c r="L91" s="35">
        <f>L42/(-L61)</f>
        <v/>
      </c>
      <c r="M91" s="35">
        <f>M42/(-M61)</f>
        <v/>
      </c>
    </row>
    <row r="92">
      <c r="A92" s="13" t="inlineStr">
        <is>
          <t xml:space="preserve">   Total DSCR  (CFADS ÷ [interest + mandatory repayments])</t>
        </is>
      </c>
      <c r="F92" s="35">
        <f>F59/(-F61-F73-F74)</f>
        <v/>
      </c>
      <c r="G92" s="35">
        <f>G59/(-G61-G73-G74)</f>
        <v/>
      </c>
      <c r="H92" s="35">
        <f>H59/(-H61-H73-H74)</f>
        <v/>
      </c>
      <c r="I92" s="35">
        <f>I59/(-I61-I73-I74)</f>
        <v/>
      </c>
      <c r="J92" s="35">
        <f>J59/(-J61-J73-J74)</f>
        <v/>
      </c>
      <c r="K92" s="35">
        <f>K59/(-K61-K73-K74)</f>
        <v/>
      </c>
      <c r="L92" s="35">
        <f>L59/(-L61-L73-L74)</f>
        <v/>
      </c>
      <c r="M92" s="35">
        <f>M59/(-M61-M73-M74)</f>
        <v/>
      </c>
    </row>
    <row r="94" ht="16" customHeight="1">
      <c r="A94" s="5" t="inlineStr">
        <is>
          <t>COVENANT HEADROOM</t>
        </is>
      </c>
    </row>
    <row r="95">
      <c r="A95" s="13" t="inlineStr">
        <is>
          <t xml:space="preserve">   Net leverage covenant ceiling (x)</t>
        </is>
      </c>
      <c r="F95" s="35">
        <f>Assumptions!$C$122</f>
        <v/>
      </c>
      <c r="G95" s="35">
        <f>Assumptions!$C$122</f>
        <v/>
      </c>
      <c r="H95" s="35">
        <f>Assumptions!$C$122</f>
        <v/>
      </c>
      <c r="I95" s="35">
        <f>Assumptions!$C$122</f>
        <v/>
      </c>
      <c r="J95" s="35">
        <f>Assumptions!$C$122</f>
        <v/>
      </c>
      <c r="K95" s="35">
        <f>Assumptions!$C$122</f>
        <v/>
      </c>
      <c r="L95" s="35">
        <f>Assumptions!$C$122</f>
        <v/>
      </c>
      <c r="M95" s="35">
        <f>Assumptions!$C$122</f>
        <v/>
      </c>
    </row>
    <row r="96">
      <c r="A96" s="13" t="inlineStr">
        <is>
          <t xml:space="preserve">   Leverage headroom (x, ceiling minus actual — negative = breach)</t>
        </is>
      </c>
      <c r="F96" s="35">
        <f>F95-F90</f>
        <v/>
      </c>
      <c r="G96" s="35">
        <f>G95-G90</f>
        <v/>
      </c>
      <c r="H96" s="35">
        <f>H95-H90</f>
        <v/>
      </c>
      <c r="I96" s="35">
        <f>I95-I90</f>
        <v/>
      </c>
      <c r="J96" s="35">
        <f>J95-J90</f>
        <v/>
      </c>
      <c r="K96" s="35">
        <f>K95-K90</f>
        <v/>
      </c>
      <c r="L96" s="35">
        <f>L95-L90</f>
        <v/>
      </c>
      <c r="M96" s="35">
        <f>M95-M90</f>
        <v/>
      </c>
    </row>
    <row r="97">
      <c r="A97" s="13" t="inlineStr">
        <is>
          <t xml:space="preserve">   Minimum DSCR covenant (x)</t>
        </is>
      </c>
      <c r="F97" s="35">
        <f>Assumptions!$C$123</f>
        <v/>
      </c>
      <c r="G97" s="35">
        <f>Assumptions!$C$123</f>
        <v/>
      </c>
      <c r="H97" s="35">
        <f>Assumptions!$C$123</f>
        <v/>
      </c>
      <c r="I97" s="35">
        <f>Assumptions!$C$123</f>
        <v/>
      </c>
      <c r="J97" s="35">
        <f>Assumptions!$C$123</f>
        <v/>
      </c>
      <c r="K97" s="35">
        <f>Assumptions!$C$123</f>
        <v/>
      </c>
      <c r="L97" s="35">
        <f>Assumptions!$C$123</f>
        <v/>
      </c>
      <c r="M97" s="35">
        <f>Assumptions!$C$123</f>
        <v/>
      </c>
    </row>
    <row r="98">
      <c r="A98" s="13" t="inlineStr">
        <is>
          <t xml:space="preserve">   DSCR headroom (x, actual minus minimum — negative = breach)</t>
        </is>
      </c>
      <c r="F98" s="35">
        <f>F92-F97</f>
        <v/>
      </c>
      <c r="G98" s="35">
        <f>G92-G97</f>
        <v/>
      </c>
      <c r="H98" s="35">
        <f>H92-H97</f>
        <v/>
      </c>
      <c r="I98" s="35">
        <f>I92-I97</f>
        <v/>
      </c>
      <c r="J98" s="35">
        <f>J92-J97</f>
        <v/>
      </c>
      <c r="K98" s="35">
        <f>K92-K97</f>
        <v/>
      </c>
      <c r="L98" s="35">
        <f>L92-L97</f>
        <v/>
      </c>
      <c r="M98" s="35">
        <f>M92-M97</f>
        <v/>
      </c>
    </row>
    <row r="99">
      <c r="A99" s="6" t="inlineStr">
        <is>
          <t>Covenant test result</t>
        </is>
      </c>
      <c r="F99" s="36">
        <f>IF(AND(F96&gt;=0,F98&gt;=0,F91&gt;=Assumptions!$C$124),"PASS","FAIL")</f>
        <v/>
      </c>
      <c r="G99" s="36">
        <f>IF(AND(G96&gt;=0,G98&gt;=0,G91&gt;=Assumptions!$C$124),"PASS","FAIL")</f>
        <v/>
      </c>
      <c r="H99" s="36">
        <f>IF(AND(H96&gt;=0,H98&gt;=0,H91&gt;=Assumptions!$C$124),"PASS","FAIL")</f>
        <v/>
      </c>
      <c r="I99" s="36">
        <f>IF(AND(I96&gt;=0,I98&gt;=0,I91&gt;=Assumptions!$C$124),"PASS","FAIL")</f>
        <v/>
      </c>
      <c r="J99" s="36">
        <f>IF(AND(J96&gt;=0,J98&gt;=0,J91&gt;=Assumptions!$C$124),"PASS","FAIL")</f>
        <v/>
      </c>
      <c r="K99" s="36">
        <f>IF(AND(K96&gt;=0,K98&gt;=0,K91&gt;=Assumptions!$C$124),"PASS","FAIL")</f>
        <v/>
      </c>
      <c r="L99" s="36">
        <f>IF(AND(L96&gt;=0,L98&gt;=0,L91&gt;=Assumptions!$C$124),"PASS","FAIL")</f>
        <v/>
      </c>
      <c r="M99" s="36">
        <f>IF(AND(M96&gt;=0,M98&gt;=0,M91&gt;=Assumptions!$C$124),"PASS","FAIL")</f>
        <v/>
      </c>
    </row>
  </sheetData>
  <mergeCells count="14">
    <mergeCell ref="A36:M36"/>
    <mergeCell ref="A14:M14"/>
    <mergeCell ref="A1:M1"/>
    <mergeCell ref="A94:M94"/>
    <mergeCell ref="A79:M79"/>
    <mergeCell ref="A88:M88"/>
    <mergeCell ref="A56:M56"/>
    <mergeCell ref="A4:M4"/>
    <mergeCell ref="A69:M69"/>
    <mergeCell ref="A29:M29"/>
    <mergeCell ref="A64:M64"/>
    <mergeCell ref="A24:M24"/>
    <mergeCell ref="A2:M2"/>
    <mergeCell ref="A49:M49"/>
  </mergeCells>
  <conditionalFormatting sqref="F99:M99">
    <cfRule type="cellIs" priority="1" operator="equal" dxfId="0">
      <formula>"PASS"</formula>
    </cfRule>
    <cfRule type="cellIs" priority="2" operator="equal" dxfId="1">
      <formula>"FAIL"</formula>
    </cfRule>
  </conditionalFormatting>
  <conditionalFormatting sqref="F96:M96">
    <cfRule type="cellIs" priority="3" operator="lessThan" dxfId="1">
      <formula>0</formula>
    </cfRule>
    <cfRule type="cellIs" priority="4" operator="greaterThanOrEqual" dxfId="0">
      <formula>0</formula>
    </cfRule>
  </conditionalFormatting>
  <conditionalFormatting sqref="F98:M98">
    <cfRule type="cellIs" priority="5" operator="lessThan" dxfId="1">
      <formula>0</formula>
    </cfRule>
    <cfRule type="cellIs" priority="6" operator="greaterThanOrEqual" dxfId="0">
      <formula>0</formula>
    </cfRule>
  </conditionalFormatting>
  <conditionalFormatting sqref="F90:M90">
    <cfRule type="expression" priority="7" dxfId="1">
      <formula>F90&gt;F95</formula>
    </cfRule>
  </conditionalFormatting>
  <conditionalFormatting sqref="F92:M92">
    <cfRule type="expression" priority="8" dxfId="1">
      <formula>F92&lt;1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A1:M99"/>
  <sheetViews>
    <sheetView showGridLines="0" workbookViewId="0">
      <pane xSplit="1" topLeftCell="B1" activePane="topRight" state="frozen"/>
      <selection pane="topRight" activeCell="A1" sqref="A1"/>
    </sheetView>
  </sheetViews>
  <sheetFormatPr baseColWidth="8" defaultRowHeight="15"/>
  <cols>
    <col width="42" customWidth="1" min="1" max="1"/>
    <col width="11.3" customWidth="1" min="2" max="2"/>
    <col width="11.3" customWidth="1" min="3" max="3"/>
    <col width="11.3" customWidth="1" min="4" max="4"/>
    <col width="11.3" customWidth="1" min="5" max="5"/>
    <col width="11.3" customWidth="1" min="6" max="6"/>
    <col width="11.3" customWidth="1" min="7" max="7"/>
    <col width="11.3" customWidth="1" min="8" max="8"/>
    <col width="11.3" customWidth="1" min="9" max="9"/>
    <col width="11.3" customWidth="1" min="10" max="10"/>
    <col width="11.3" customWidth="1" min="11" max="11"/>
    <col width="11.3" customWidth="1" min="12" max="12"/>
    <col width="11.3" customWidth="1" min="13" max="13"/>
  </cols>
  <sheetData>
    <row r="1" ht="26" customHeight="1">
      <c r="A1" s="1" t="inlineStr">
        <is>
          <t>4. Reverse Stress</t>
        </is>
      </c>
    </row>
    <row r="2">
      <c r="A2" s="4" t="inlineStr">
        <is>
          <t>Other flexes held at an illustrative stress level. Use Data &gt; What-If Analysis &gt; Goal Seek — set the Covenant Test Result / DSCR headroom cell to 0 by changing the revenue-growth-adjustment cell (C5) — to solve for the exact revenue decline that first breaches a covenant.</t>
        </is>
      </c>
    </row>
    <row r="4" ht="16" customHeight="1">
      <c r="A4" s="5" t="inlineStr">
        <is>
          <t>SENSITIVITY FLEX ASSUMPTIONS (this tab only — tweak these, everything below recalculates)</t>
        </is>
      </c>
    </row>
    <row r="5">
      <c r="A5" s="13" t="inlineStr">
        <is>
          <t xml:space="preserve">   Revenue growth adjustment (ppt, added to every segment, every forecast period)</t>
        </is>
      </c>
      <c r="C5" s="18" t="n">
        <v>-0.05</v>
      </c>
    </row>
    <row r="6">
      <c r="A6" s="13" t="inlineStr">
        <is>
          <t xml:space="preserve">   Gross margin compression (ppt, subtracted from target margin)</t>
        </is>
      </c>
      <c r="C6" s="18" t="n">
        <v>0.015</v>
      </c>
    </row>
    <row r="7">
      <c r="A7" s="13" t="inlineStr">
        <is>
          <t xml:space="preserve">   Cost inflation add-on (ppt of revenue, on 'Other operating expenses')</t>
        </is>
      </c>
      <c r="C7" s="18" t="n">
        <v>0.008</v>
      </c>
    </row>
    <row r="8">
      <c r="A8" s="13" t="inlineStr">
        <is>
          <t xml:space="preserve">   Capex increase (%, multiplicative uplift to capex ratios)</t>
        </is>
      </c>
      <c r="C8" s="18" t="n">
        <v>0.2</v>
      </c>
    </row>
    <row r="9">
      <c r="A9" s="13" t="inlineStr">
        <is>
          <t xml:space="preserve">   Working-capital drag increase (%, multiplicative uplift to NWC outflow)</t>
        </is>
      </c>
      <c r="C9" s="18" t="n">
        <v>0.3</v>
      </c>
    </row>
    <row r="10">
      <c r="A10" s="13" t="inlineStr">
        <is>
          <t xml:space="preserve">   Interest rate shock (bps, added to all-in cost of debt)</t>
        </is>
      </c>
      <c r="C10" s="19" t="n">
        <v>150</v>
      </c>
    </row>
    <row r="12" ht="32" customHeight="1">
      <c r="A12" s="20" t="inlineStr">
        <is>
          <t>£m | Period</t>
        </is>
      </c>
      <c r="B12" s="21">
        <f>Assumptions!B$6</f>
        <v/>
      </c>
      <c r="C12" s="21">
        <f>Assumptions!C$6</f>
        <v/>
      </c>
      <c r="D12" s="21">
        <f>Assumptions!D$6</f>
        <v/>
      </c>
      <c r="E12" s="21">
        <f>Assumptions!E$6</f>
        <v/>
      </c>
      <c r="F12" s="21">
        <f>Assumptions!F$6</f>
        <v/>
      </c>
      <c r="G12" s="21">
        <f>Assumptions!G$6</f>
        <v/>
      </c>
      <c r="H12" s="21">
        <f>Assumptions!H$6</f>
        <v/>
      </c>
      <c r="I12" s="21">
        <f>Assumptions!I$6</f>
        <v/>
      </c>
      <c r="J12" s="21">
        <f>Assumptions!J$6</f>
        <v/>
      </c>
      <c r="K12" s="21">
        <f>Assumptions!K$6</f>
        <v/>
      </c>
      <c r="L12" s="21">
        <f>Assumptions!L$6</f>
        <v/>
      </c>
      <c r="M12" s="21">
        <f>Assumptions!M$6</f>
        <v/>
      </c>
    </row>
    <row r="14" ht="16" customHeight="1">
      <c r="A14" s="5" t="inlineStr">
        <is>
          <t>REVENUE</t>
        </is>
      </c>
    </row>
    <row r="15">
      <c r="A15" s="10">
        <f>Assumptions!$C$9</f>
        <v/>
      </c>
      <c r="B15" s="22">
        <f>Assumptions!B18</f>
        <v/>
      </c>
      <c r="C15" s="22">
        <f>Assumptions!C18</f>
        <v/>
      </c>
      <c r="D15" s="22">
        <f>Assumptions!D18</f>
        <v/>
      </c>
      <c r="E15" s="22">
        <f>Assumptions!E18</f>
        <v/>
      </c>
      <c r="F15" s="23">
        <f>E15*(1+Assumptions!F68+$C$5)</f>
        <v/>
      </c>
      <c r="G15" s="23">
        <f>F15*(1+Assumptions!G68+$C$5)</f>
        <v/>
      </c>
      <c r="H15" s="23">
        <f>G15*(1+Assumptions!H68+$C$5)</f>
        <v/>
      </c>
      <c r="I15" s="23">
        <f>H15*(1+Assumptions!I68+$C$5)</f>
        <v/>
      </c>
      <c r="J15" s="23">
        <f>I15*(1+Assumptions!J68+$C$5)</f>
        <v/>
      </c>
      <c r="K15" s="23">
        <f>J15*(1+Assumptions!K68+$C$5)</f>
        <v/>
      </c>
      <c r="L15" s="23">
        <f>K15*(1+Assumptions!L68+$C$5)</f>
        <v/>
      </c>
      <c r="M15" s="23">
        <f>L15*(1+Assumptions!M68+$C$5)</f>
        <v/>
      </c>
    </row>
    <row r="16">
      <c r="A16" s="10">
        <f>Assumptions!$C$10</f>
        <v/>
      </c>
      <c r="B16" s="22">
        <f>Assumptions!B19</f>
        <v/>
      </c>
      <c r="C16" s="22">
        <f>Assumptions!C19</f>
        <v/>
      </c>
      <c r="D16" s="22">
        <f>Assumptions!D19</f>
        <v/>
      </c>
      <c r="E16" s="22">
        <f>Assumptions!E19</f>
        <v/>
      </c>
      <c r="F16" s="23">
        <f>E16*(1+Assumptions!F69+$C$5)</f>
        <v/>
      </c>
      <c r="G16" s="23">
        <f>F16*(1+Assumptions!G69+$C$5)</f>
        <v/>
      </c>
      <c r="H16" s="23">
        <f>G16*(1+Assumptions!H69+$C$5)</f>
        <v/>
      </c>
      <c r="I16" s="23">
        <f>H16*(1+Assumptions!I69+$C$5)</f>
        <v/>
      </c>
      <c r="J16" s="23">
        <f>I16*(1+Assumptions!J69+$C$5)</f>
        <v/>
      </c>
      <c r="K16" s="23">
        <f>J16*(1+Assumptions!K69+$C$5)</f>
        <v/>
      </c>
      <c r="L16" s="23">
        <f>K16*(1+Assumptions!L69+$C$5)</f>
        <v/>
      </c>
      <c r="M16" s="23">
        <f>L16*(1+Assumptions!M69+$C$5)</f>
        <v/>
      </c>
    </row>
    <row r="17">
      <c r="A17" s="10">
        <f>Assumptions!$C$11</f>
        <v/>
      </c>
      <c r="B17" s="22">
        <f>Assumptions!B20</f>
        <v/>
      </c>
      <c r="C17" s="22">
        <f>Assumptions!C20</f>
        <v/>
      </c>
      <c r="D17" s="22">
        <f>Assumptions!D20</f>
        <v/>
      </c>
      <c r="E17" s="22">
        <f>Assumptions!E20</f>
        <v/>
      </c>
      <c r="F17" s="23">
        <f>E17*(1+Assumptions!F70+$C$5)</f>
        <v/>
      </c>
      <c r="G17" s="23">
        <f>F17*(1+Assumptions!G70+$C$5)</f>
        <v/>
      </c>
      <c r="H17" s="23">
        <f>G17*(1+Assumptions!H70+$C$5)</f>
        <v/>
      </c>
      <c r="I17" s="23">
        <f>H17*(1+Assumptions!I70+$C$5)</f>
        <v/>
      </c>
      <c r="J17" s="23">
        <f>I17*(1+Assumptions!J70+$C$5)</f>
        <v/>
      </c>
      <c r="K17" s="23">
        <f>J17*(1+Assumptions!K70+$C$5)</f>
        <v/>
      </c>
      <c r="L17" s="23">
        <f>K17*(1+Assumptions!L70+$C$5)</f>
        <v/>
      </c>
      <c r="M17" s="23">
        <f>L17*(1+Assumptions!M70+$C$5)</f>
        <v/>
      </c>
    </row>
    <row r="18">
      <c r="A18" s="10">
        <f>Assumptions!$C$12</f>
        <v/>
      </c>
      <c r="B18" s="22">
        <f>Assumptions!B21</f>
        <v/>
      </c>
      <c r="C18" s="22">
        <f>Assumptions!C21</f>
        <v/>
      </c>
      <c r="D18" s="22">
        <f>Assumptions!D21</f>
        <v/>
      </c>
      <c r="E18" s="22">
        <f>Assumptions!E21</f>
        <v/>
      </c>
      <c r="F18" s="23">
        <f>E18*(1+Assumptions!F71+$C$5)</f>
        <v/>
      </c>
      <c r="G18" s="23">
        <f>F18*(1+Assumptions!G71+$C$5)</f>
        <v/>
      </c>
      <c r="H18" s="23">
        <f>G18*(1+Assumptions!H71+$C$5)</f>
        <v/>
      </c>
      <c r="I18" s="23">
        <f>H18*(1+Assumptions!I71+$C$5)</f>
        <v/>
      </c>
      <c r="J18" s="23">
        <f>I18*(1+Assumptions!J71+$C$5)</f>
        <v/>
      </c>
      <c r="K18" s="23">
        <f>J18*(1+Assumptions!K71+$C$5)</f>
        <v/>
      </c>
      <c r="L18" s="23">
        <f>K18*(1+Assumptions!L71+$C$5)</f>
        <v/>
      </c>
      <c r="M18" s="23">
        <f>L18*(1+Assumptions!M71+$C$5)</f>
        <v/>
      </c>
    </row>
    <row r="19">
      <c r="A19" s="10">
        <f>Assumptions!$C$13</f>
        <v/>
      </c>
      <c r="B19" s="22">
        <f>Assumptions!B22</f>
        <v/>
      </c>
      <c r="C19" s="22">
        <f>Assumptions!C22</f>
        <v/>
      </c>
      <c r="D19" s="22">
        <f>Assumptions!D22</f>
        <v/>
      </c>
      <c r="E19" s="22">
        <f>Assumptions!E22</f>
        <v/>
      </c>
      <c r="F19" s="23">
        <f>E19*(1+Assumptions!F72+$C$5)</f>
        <v/>
      </c>
      <c r="G19" s="23">
        <f>F19*(1+Assumptions!G72+$C$5)</f>
        <v/>
      </c>
      <c r="H19" s="23">
        <f>G19*(1+Assumptions!H72+$C$5)</f>
        <v/>
      </c>
      <c r="I19" s="23">
        <f>H19*(1+Assumptions!I72+$C$5)</f>
        <v/>
      </c>
      <c r="J19" s="23">
        <f>I19*(1+Assumptions!J72+$C$5)</f>
        <v/>
      </c>
      <c r="K19" s="23">
        <f>J19*(1+Assumptions!K72+$C$5)</f>
        <v/>
      </c>
      <c r="L19" s="23">
        <f>K19*(1+Assumptions!L72+$C$5)</f>
        <v/>
      </c>
      <c r="M19" s="23">
        <f>L19*(1+Assumptions!M72+$C$5)</f>
        <v/>
      </c>
    </row>
    <row r="20">
      <c r="A20" s="10">
        <f>Assumptions!$C$14</f>
        <v/>
      </c>
      <c r="B20" s="22">
        <f>Assumptions!B23</f>
        <v/>
      </c>
      <c r="C20" s="22">
        <f>Assumptions!C23</f>
        <v/>
      </c>
      <c r="D20" s="22">
        <f>Assumptions!D23</f>
        <v/>
      </c>
      <c r="E20" s="22">
        <f>Assumptions!E23</f>
        <v/>
      </c>
      <c r="F20" s="23">
        <f>E20*(1+Assumptions!F73+$C$5)</f>
        <v/>
      </c>
      <c r="G20" s="23">
        <f>F20*(1+Assumptions!G73+$C$5)</f>
        <v/>
      </c>
      <c r="H20" s="23">
        <f>G20*(1+Assumptions!H73+$C$5)</f>
        <v/>
      </c>
      <c r="I20" s="23">
        <f>H20*(1+Assumptions!I73+$C$5)</f>
        <v/>
      </c>
      <c r="J20" s="23">
        <f>I20*(1+Assumptions!J73+$C$5)</f>
        <v/>
      </c>
      <c r="K20" s="23">
        <f>J20*(1+Assumptions!K73+$C$5)</f>
        <v/>
      </c>
      <c r="L20" s="23">
        <f>K20*(1+Assumptions!L73+$C$5)</f>
        <v/>
      </c>
      <c r="M20" s="23">
        <f>L20*(1+Assumptions!M73+$C$5)</f>
        <v/>
      </c>
    </row>
    <row r="21">
      <c r="A21" s="24" t="inlineStr">
        <is>
          <t>Total Revenue</t>
        </is>
      </c>
      <c r="B21" s="25">
        <f>B15+B16+B17+B18+B19+B20</f>
        <v/>
      </c>
      <c r="C21" s="25">
        <f>C15+C16+C17+C18+C19+C20</f>
        <v/>
      </c>
      <c r="D21" s="25">
        <f>D15+D16+D17+D18+D19+D20</f>
        <v/>
      </c>
      <c r="E21" s="25">
        <f>E15+E16+E17+E18+E19+E20</f>
        <v/>
      </c>
      <c r="F21" s="25">
        <f>F15+F16+F17+F18+F19+F20</f>
        <v/>
      </c>
      <c r="G21" s="25">
        <f>G15+G16+G17+G18+G19+G20</f>
        <v/>
      </c>
      <c r="H21" s="25">
        <f>H15+H16+H17+H18+H19+H20</f>
        <v/>
      </c>
      <c r="I21" s="25">
        <f>I15+I16+I17+I18+I19+I20</f>
        <v/>
      </c>
      <c r="J21" s="25">
        <f>J15+J16+J17+J18+J19+J20</f>
        <v/>
      </c>
      <c r="K21" s="25">
        <f>K15+K16+K17+K18+K19+K20</f>
        <v/>
      </c>
      <c r="L21" s="25">
        <f>L15+L16+L17+L18+L19+L20</f>
        <v/>
      </c>
      <c r="M21" s="25">
        <f>M15+M16+M17+M18+M19+M20</f>
        <v/>
      </c>
    </row>
    <row r="22">
      <c r="A22" s="8" t="inlineStr">
        <is>
          <t>% growth</t>
        </is>
      </c>
      <c r="C22" s="26">
        <f>C21/B21-1</f>
        <v/>
      </c>
      <c r="D22" s="26">
        <f>D21/C21-1</f>
        <v/>
      </c>
      <c r="E22" s="26">
        <f>E21/D21-1</f>
        <v/>
      </c>
      <c r="F22" s="26">
        <f>F21/E21-1</f>
        <v/>
      </c>
      <c r="G22" s="26">
        <f>G21/F21-1</f>
        <v/>
      </c>
      <c r="H22" s="26">
        <f>H21/G21-1</f>
        <v/>
      </c>
      <c r="I22" s="26">
        <f>I21/H21-1</f>
        <v/>
      </c>
      <c r="J22" s="26">
        <f>J21/I21-1</f>
        <v/>
      </c>
      <c r="K22" s="26">
        <f>K21/J21-1</f>
        <v/>
      </c>
      <c r="L22" s="26">
        <f>L21/K21-1</f>
        <v/>
      </c>
      <c r="M22" s="26">
        <f>M21/L21-1</f>
        <v/>
      </c>
    </row>
    <row r="24" ht="16" customHeight="1">
      <c r="A24" s="5" t="inlineStr">
        <is>
          <t>COST OF SALES &amp; GROSS PROFIT</t>
        </is>
      </c>
    </row>
    <row r="25">
      <c r="A25" s="13" t="inlineStr">
        <is>
          <t xml:space="preserve">   Cost of sales / COGS</t>
        </is>
      </c>
      <c r="B25" s="22">
        <f>-B21*(1-Assumptions!B26)</f>
        <v/>
      </c>
      <c r="C25" s="22">
        <f>-C21*(1-Assumptions!C26)</f>
        <v/>
      </c>
      <c r="D25" s="22">
        <f>-D21*(1-Assumptions!D26)</f>
        <v/>
      </c>
      <c r="E25" s="22">
        <f>-E21*(1-Assumptions!E26)</f>
        <v/>
      </c>
      <c r="F25" s="22">
        <f>-F21*(1-(Assumptions!F76-$C$6))</f>
        <v/>
      </c>
      <c r="G25" s="22">
        <f>-G21*(1-(Assumptions!G76-$C$6))</f>
        <v/>
      </c>
      <c r="H25" s="22">
        <f>-H21*(1-(Assumptions!H76-$C$6))</f>
        <v/>
      </c>
      <c r="I25" s="22">
        <f>-I21*(1-(Assumptions!I76-$C$6))</f>
        <v/>
      </c>
      <c r="J25" s="22">
        <f>-J21*(1-(Assumptions!J76-$C$6))</f>
        <v/>
      </c>
      <c r="K25" s="22">
        <f>-K21*(1-(Assumptions!K76-$C$6))</f>
        <v/>
      </c>
      <c r="L25" s="22">
        <f>-L21*(1-(Assumptions!L76-$C$6))</f>
        <v/>
      </c>
      <c r="M25" s="22">
        <f>-M21*(1-(Assumptions!M76-$C$6))</f>
        <v/>
      </c>
    </row>
    <row r="26">
      <c r="A26" s="24" t="inlineStr">
        <is>
          <t>Gross Profit</t>
        </is>
      </c>
      <c r="B26" s="25">
        <f>B21+B25</f>
        <v/>
      </c>
      <c r="C26" s="25">
        <f>C21+C25</f>
        <v/>
      </c>
      <c r="D26" s="25">
        <f>D21+D25</f>
        <v/>
      </c>
      <c r="E26" s="25">
        <f>E21+E25</f>
        <v/>
      </c>
      <c r="F26" s="25">
        <f>F21+F25</f>
        <v/>
      </c>
      <c r="G26" s="25">
        <f>G21+G25</f>
        <v/>
      </c>
      <c r="H26" s="25">
        <f>H21+H25</f>
        <v/>
      </c>
      <c r="I26" s="25">
        <f>I21+I25</f>
        <v/>
      </c>
      <c r="J26" s="25">
        <f>J21+J25</f>
        <v/>
      </c>
      <c r="K26" s="25">
        <f>K21+K25</f>
        <v/>
      </c>
      <c r="L26" s="25">
        <f>L21+L25</f>
        <v/>
      </c>
      <c r="M26" s="25">
        <f>M21+M25</f>
        <v/>
      </c>
    </row>
    <row r="27">
      <c r="A27" s="8" t="inlineStr">
        <is>
          <t>Gross margin %</t>
        </is>
      </c>
      <c r="B27" s="26">
        <f>B26/B21</f>
        <v/>
      </c>
      <c r="C27" s="26">
        <f>C26/C21</f>
        <v/>
      </c>
      <c r="D27" s="26">
        <f>D26/D21</f>
        <v/>
      </c>
      <c r="E27" s="26">
        <f>E26/E21</f>
        <v/>
      </c>
      <c r="F27" s="26">
        <f>F26/F21</f>
        <v/>
      </c>
      <c r="G27" s="26">
        <f>G26/G21</f>
        <v/>
      </c>
      <c r="H27" s="26">
        <f>H26/H21</f>
        <v/>
      </c>
      <c r="I27" s="26">
        <f>I26/I21</f>
        <v/>
      </c>
      <c r="J27" s="26">
        <f>J26/J21</f>
        <v/>
      </c>
      <c r="K27" s="26">
        <f>K26/K21</f>
        <v/>
      </c>
      <c r="L27" s="26">
        <f>L26/L21</f>
        <v/>
      </c>
      <c r="M27" s="26">
        <f>M26/M21</f>
        <v/>
      </c>
    </row>
    <row r="29" ht="16" customHeight="1">
      <c r="A29" s="5" t="inlineStr">
        <is>
          <t>OPERATING EXPENSES</t>
        </is>
      </c>
    </row>
    <row r="30">
      <c r="A30" s="13" t="inlineStr">
        <is>
          <t xml:space="preserve">   Other income</t>
        </is>
      </c>
      <c r="B30" s="22">
        <f>Assumptions!B29</f>
        <v/>
      </c>
      <c r="C30" s="22">
        <f>Assumptions!C29</f>
        <v/>
      </c>
      <c r="D30" s="22">
        <f>Assumptions!D29</f>
        <v/>
      </c>
      <c r="E30" s="22">
        <f>Assumptions!E29</f>
        <v/>
      </c>
      <c r="F30" s="22">
        <f>Assumptions!F79</f>
        <v/>
      </c>
      <c r="G30" s="22">
        <f>Assumptions!G79</f>
        <v/>
      </c>
      <c r="H30" s="22">
        <f>Assumptions!H79</f>
        <v/>
      </c>
      <c r="I30" s="22">
        <f>Assumptions!I79</f>
        <v/>
      </c>
      <c r="J30" s="22">
        <f>Assumptions!J79</f>
        <v/>
      </c>
      <c r="K30" s="22">
        <f>Assumptions!K79</f>
        <v/>
      </c>
      <c r="L30" s="22">
        <f>Assumptions!L79</f>
        <v/>
      </c>
      <c r="M30" s="22">
        <f>Assumptions!M79</f>
        <v/>
      </c>
    </row>
    <row r="31">
      <c r="A31" s="13" t="inlineStr">
        <is>
          <t xml:space="preserve">   Staff costs</t>
        </is>
      </c>
      <c r="B31" s="22">
        <f>Assumptions!B32</f>
        <v/>
      </c>
      <c r="C31" s="22">
        <f>Assumptions!C32</f>
        <v/>
      </c>
      <c r="D31" s="22">
        <f>Assumptions!D32</f>
        <v/>
      </c>
      <c r="E31" s="22">
        <f>Assumptions!E32</f>
        <v/>
      </c>
      <c r="F31" s="22">
        <f>-F21*Assumptions!F82</f>
        <v/>
      </c>
      <c r="G31" s="22">
        <f>-G21*Assumptions!G82</f>
        <v/>
      </c>
      <c r="H31" s="22">
        <f>-H21*Assumptions!H82</f>
        <v/>
      </c>
      <c r="I31" s="22">
        <f>-I21*Assumptions!I82</f>
        <v/>
      </c>
      <c r="J31" s="22">
        <f>-J21*Assumptions!J82</f>
        <v/>
      </c>
      <c r="K31" s="22">
        <f>-K21*Assumptions!K82</f>
        <v/>
      </c>
      <c r="L31" s="22">
        <f>-L21*Assumptions!L82</f>
        <v/>
      </c>
      <c r="M31" s="22">
        <f>-M21*Assumptions!M82</f>
        <v/>
      </c>
    </row>
    <row r="32">
      <c r="A32" s="13" t="inlineStr">
        <is>
          <t xml:space="preserve">   Other operating expenses</t>
        </is>
      </c>
      <c r="B32" s="22">
        <f>Assumptions!B35</f>
        <v/>
      </c>
      <c r="C32" s="22">
        <f>Assumptions!C35</f>
        <v/>
      </c>
      <c r="D32" s="22">
        <f>Assumptions!D35</f>
        <v/>
      </c>
      <c r="E32" s="22">
        <f>Assumptions!E35</f>
        <v/>
      </c>
      <c r="F32" s="22">
        <f>-F21*(Assumptions!F85+$C$7)</f>
        <v/>
      </c>
      <c r="G32" s="22">
        <f>-G21*(Assumptions!G85+$C$7)</f>
        <v/>
      </c>
      <c r="H32" s="22">
        <f>-H21*(Assumptions!H85+$C$7)</f>
        <v/>
      </c>
      <c r="I32" s="22">
        <f>-I21*(Assumptions!I85+$C$7)</f>
        <v/>
      </c>
      <c r="J32" s="22">
        <f>-J21*(Assumptions!J85+$C$7)</f>
        <v/>
      </c>
      <c r="K32" s="22">
        <f>-K21*(Assumptions!K85+$C$7)</f>
        <v/>
      </c>
      <c r="L32" s="22">
        <f>-L21*(Assumptions!L85+$C$7)</f>
        <v/>
      </c>
      <c r="M32" s="22">
        <f>-M21*(Assumptions!M85+$C$7)</f>
        <v/>
      </c>
    </row>
    <row r="33">
      <c r="A33" s="24" t="inlineStr">
        <is>
          <t>Total Operating Expenses</t>
        </is>
      </c>
      <c r="B33" s="25">
        <f>B31+B32</f>
        <v/>
      </c>
      <c r="C33" s="25">
        <f>C31+C32</f>
        <v/>
      </c>
      <c r="D33" s="25">
        <f>D31+D32</f>
        <v/>
      </c>
      <c r="E33" s="25">
        <f>E31+E32</f>
        <v/>
      </c>
      <c r="F33" s="25">
        <f>F31+F32</f>
        <v/>
      </c>
      <c r="G33" s="25">
        <f>G31+G32</f>
        <v/>
      </c>
      <c r="H33" s="25">
        <f>H31+H32</f>
        <v/>
      </c>
      <c r="I33" s="25">
        <f>I31+I32</f>
        <v/>
      </c>
      <c r="J33" s="25">
        <f>J31+J32</f>
        <v/>
      </c>
      <c r="K33" s="25">
        <f>K31+K32</f>
        <v/>
      </c>
      <c r="L33" s="25">
        <f>L31+L32</f>
        <v/>
      </c>
      <c r="M33" s="25">
        <f>M31+M32</f>
        <v/>
      </c>
    </row>
    <row r="34">
      <c r="A34" s="8" t="inlineStr">
        <is>
          <t>Operating expenses — % of sales</t>
        </is>
      </c>
      <c r="B34" s="26">
        <f>-B33/B21</f>
        <v/>
      </c>
      <c r="C34" s="26">
        <f>-C33/C21</f>
        <v/>
      </c>
      <c r="D34" s="26">
        <f>-D33/D21</f>
        <v/>
      </c>
      <c r="E34" s="26">
        <f>-E33/E21</f>
        <v/>
      </c>
      <c r="F34" s="26">
        <f>-F33/F21</f>
        <v/>
      </c>
      <c r="G34" s="26">
        <f>-G33/G21</f>
        <v/>
      </c>
      <c r="H34" s="26">
        <f>-H33/H21</f>
        <v/>
      </c>
      <c r="I34" s="26">
        <f>-I33/I21</f>
        <v/>
      </c>
      <c r="J34" s="26">
        <f>-J33/J21</f>
        <v/>
      </c>
      <c r="K34" s="26">
        <f>-K33/K21</f>
        <v/>
      </c>
      <c r="L34" s="26">
        <f>-L33/L21</f>
        <v/>
      </c>
      <c r="M34" s="26">
        <f>-M33/M21</f>
        <v/>
      </c>
    </row>
    <row r="36" ht="16" customHeight="1">
      <c r="A36" s="5" t="inlineStr">
        <is>
          <t>EBITDA, D&amp;A &amp; EBIT</t>
        </is>
      </c>
    </row>
    <row r="37">
      <c r="A37" s="24" t="inlineStr">
        <is>
          <t>EBITDA</t>
        </is>
      </c>
      <c r="B37" s="25">
        <f>B26+B30+B33</f>
        <v/>
      </c>
      <c r="C37" s="25">
        <f>C26+C30+C33</f>
        <v/>
      </c>
      <c r="D37" s="25">
        <f>D26+D30+D33</f>
        <v/>
      </c>
      <c r="E37" s="25">
        <f>E26+E30+E33</f>
        <v/>
      </c>
      <c r="F37" s="25">
        <f>F26+F30+F33</f>
        <v/>
      </c>
      <c r="G37" s="25">
        <f>G26+G30+G33</f>
        <v/>
      </c>
      <c r="H37" s="25">
        <f>H26+H30+H33</f>
        <v/>
      </c>
      <c r="I37" s="25">
        <f>I26+I30+I33</f>
        <v/>
      </c>
      <c r="J37" s="25">
        <f>J26+J30+J33</f>
        <v/>
      </c>
      <c r="K37" s="25">
        <f>K26+K30+K33</f>
        <v/>
      </c>
      <c r="L37" s="25">
        <f>L26+L30+L33</f>
        <v/>
      </c>
      <c r="M37" s="25">
        <f>M26+M30+M33</f>
        <v/>
      </c>
    </row>
    <row r="38">
      <c r="A38" s="8" t="inlineStr">
        <is>
          <t>EBITDA margin %</t>
        </is>
      </c>
      <c r="B38" s="26">
        <f>B37/B21</f>
        <v/>
      </c>
      <c r="C38" s="26">
        <f>C37/C21</f>
        <v/>
      </c>
      <c r="D38" s="26">
        <f>D37/D21</f>
        <v/>
      </c>
      <c r="E38" s="26">
        <f>E37/E21</f>
        <v/>
      </c>
      <c r="F38" s="26">
        <f>F37/F21</f>
        <v/>
      </c>
      <c r="G38" s="26">
        <f>G37/G21</f>
        <v/>
      </c>
      <c r="H38" s="26">
        <f>H37/H21</f>
        <v/>
      </c>
      <c r="I38" s="26">
        <f>I37/I21</f>
        <v/>
      </c>
      <c r="J38" s="26">
        <f>J37/J21</f>
        <v/>
      </c>
      <c r="K38" s="26">
        <f>K37/K21</f>
        <v/>
      </c>
      <c r="L38" s="26">
        <f>L37/L21</f>
        <v/>
      </c>
      <c r="M38" s="26">
        <f>M37/M21</f>
        <v/>
      </c>
    </row>
    <row r="39">
      <c r="A39" s="13" t="inlineStr">
        <is>
          <t xml:space="preserve">   Depreciation &amp; amortisation</t>
        </is>
      </c>
      <c r="B39" s="22">
        <f>Assumptions!B38</f>
        <v/>
      </c>
      <c r="C39" s="22">
        <f>Assumptions!C38</f>
        <v/>
      </c>
      <c r="D39" s="22">
        <f>Assumptions!D38</f>
        <v/>
      </c>
      <c r="E39" s="22">
        <f>Assumptions!E38</f>
        <v/>
      </c>
      <c r="F39" s="22">
        <f>-F21*Assumptions!F88</f>
        <v/>
      </c>
      <c r="G39" s="22">
        <f>-G21*Assumptions!G88</f>
        <v/>
      </c>
      <c r="H39" s="22">
        <f>-H21*Assumptions!H88</f>
        <v/>
      </c>
      <c r="I39" s="22">
        <f>-I21*Assumptions!I88</f>
        <v/>
      </c>
      <c r="J39" s="22">
        <f>-J21*Assumptions!J88</f>
        <v/>
      </c>
      <c r="K39" s="22">
        <f>-K21*Assumptions!K88</f>
        <v/>
      </c>
      <c r="L39" s="22">
        <f>-L21*Assumptions!L88</f>
        <v/>
      </c>
      <c r="M39" s="22">
        <f>-M21*Assumptions!M88</f>
        <v/>
      </c>
    </row>
    <row r="40">
      <c r="A40" s="24" t="inlineStr">
        <is>
          <t>EBIT</t>
        </is>
      </c>
      <c r="B40" s="25">
        <f>B37+B39</f>
        <v/>
      </c>
      <c r="C40" s="25">
        <f>C37+C39</f>
        <v/>
      </c>
      <c r="D40" s="25">
        <f>D37+D39</f>
        <v/>
      </c>
      <c r="E40" s="25">
        <f>E37+E39</f>
        <v/>
      </c>
      <c r="F40" s="25">
        <f>F37+F39</f>
        <v/>
      </c>
      <c r="G40" s="25">
        <f>G37+G39</f>
        <v/>
      </c>
      <c r="H40" s="25">
        <f>H37+H39</f>
        <v/>
      </c>
      <c r="I40" s="25">
        <f>I37+I39</f>
        <v/>
      </c>
      <c r="J40" s="25">
        <f>J37+J39</f>
        <v/>
      </c>
      <c r="K40" s="25">
        <f>K37+K39</f>
        <v/>
      </c>
      <c r="L40" s="25">
        <f>L37+L39</f>
        <v/>
      </c>
      <c r="M40" s="25">
        <f>M37+M39</f>
        <v/>
      </c>
    </row>
    <row r="41">
      <c r="A41" s="13" t="inlineStr">
        <is>
          <t xml:space="preserve">   Non-recurring / QoE adjustments</t>
        </is>
      </c>
      <c r="B41" s="22">
        <f>Assumptions!B41</f>
        <v/>
      </c>
      <c r="C41" s="22">
        <f>Assumptions!C41</f>
        <v/>
      </c>
      <c r="D41" s="22">
        <f>Assumptions!D41</f>
        <v/>
      </c>
      <c r="E41" s="22">
        <f>Assumptions!E41</f>
        <v/>
      </c>
      <c r="F41" s="22">
        <f>Assumptions!F91</f>
        <v/>
      </c>
      <c r="G41" s="22">
        <f>Assumptions!G91</f>
        <v/>
      </c>
      <c r="H41" s="22">
        <f>Assumptions!H91</f>
        <v/>
      </c>
      <c r="I41" s="22">
        <f>Assumptions!I91</f>
        <v/>
      </c>
      <c r="J41" s="22">
        <f>Assumptions!J91</f>
        <v/>
      </c>
      <c r="K41" s="22">
        <f>Assumptions!K91</f>
        <v/>
      </c>
      <c r="L41" s="22">
        <f>Assumptions!L91</f>
        <v/>
      </c>
      <c r="M41" s="22">
        <f>Assumptions!M91</f>
        <v/>
      </c>
    </row>
    <row r="42">
      <c r="A42" s="24" t="inlineStr">
        <is>
          <t>Adjusted EBITDA</t>
        </is>
      </c>
      <c r="B42" s="25">
        <f>B37+B41</f>
        <v/>
      </c>
      <c r="C42" s="25">
        <f>C37+C41</f>
        <v/>
      </c>
      <c r="D42" s="25">
        <f>D37+D41</f>
        <v/>
      </c>
      <c r="E42" s="25">
        <f>E37+E41</f>
        <v/>
      </c>
      <c r="F42" s="25">
        <f>F37+F41</f>
        <v/>
      </c>
      <c r="G42" s="25">
        <f>G37+G41</f>
        <v/>
      </c>
      <c r="H42" s="25">
        <f>H37+H41</f>
        <v/>
      </c>
      <c r="I42" s="25">
        <f>I37+I41</f>
        <v/>
      </c>
      <c r="J42" s="25">
        <f>J37+J41</f>
        <v/>
      </c>
      <c r="K42" s="25">
        <f>K37+K41</f>
        <v/>
      </c>
      <c r="L42" s="25">
        <f>L37+L41</f>
        <v/>
      </c>
      <c r="M42" s="25">
        <f>M37+M41</f>
        <v/>
      </c>
    </row>
    <row r="43">
      <c r="A43" s="8" t="inlineStr">
        <is>
          <t>Adjusted EBITDA margin %</t>
        </is>
      </c>
      <c r="B43" s="26">
        <f>B42/B21</f>
        <v/>
      </c>
      <c r="C43" s="26">
        <f>C42/C21</f>
        <v/>
      </c>
      <c r="D43" s="26">
        <f>D42/D21</f>
        <v/>
      </c>
      <c r="E43" s="26">
        <f>E42/E21</f>
        <v/>
      </c>
      <c r="F43" s="26">
        <f>F42/F21</f>
        <v/>
      </c>
      <c r="G43" s="26">
        <f>G42/G21</f>
        <v/>
      </c>
      <c r="H43" s="26">
        <f>H42/H21</f>
        <v/>
      </c>
      <c r="I43" s="26">
        <f>I42/I21</f>
        <v/>
      </c>
      <c r="J43" s="26">
        <f>J42/J21</f>
        <v/>
      </c>
      <c r="K43" s="26">
        <f>K42/K21</f>
        <v/>
      </c>
      <c r="L43" s="26">
        <f>L42/L21</f>
        <v/>
      </c>
      <c r="M43" s="26">
        <f>M42/M21</f>
        <v/>
      </c>
    </row>
    <row r="45">
      <c r="A45" s="6" t="inlineStr">
        <is>
          <t>Δ Net working capital</t>
        </is>
      </c>
      <c r="B45" s="22">
        <f>Assumptions!B44</f>
        <v/>
      </c>
      <c r="C45" s="22">
        <f>Assumptions!C44</f>
        <v/>
      </c>
      <c r="D45" s="22">
        <f>Assumptions!D44</f>
        <v/>
      </c>
      <c r="E45" s="22">
        <f>Assumptions!E44</f>
        <v/>
      </c>
      <c r="F45" s="22">
        <f>Assumptions!F94*(1+$C$9)</f>
        <v/>
      </c>
      <c r="G45" s="22">
        <f>Assumptions!G94*(1+$C$9)</f>
        <v/>
      </c>
      <c r="H45" s="22">
        <f>Assumptions!H94*(1+$C$9)</f>
        <v/>
      </c>
      <c r="I45" s="22">
        <f>Assumptions!I94*(1+$C$9)</f>
        <v/>
      </c>
      <c r="J45" s="22">
        <f>Assumptions!J94*(1+$C$9)</f>
        <v/>
      </c>
      <c r="K45" s="22">
        <f>Assumptions!K94*(1+$C$9)</f>
        <v/>
      </c>
      <c r="L45" s="22">
        <f>Assumptions!L94*(1+$C$9)</f>
        <v/>
      </c>
      <c r="M45" s="22">
        <f>Assumptions!M94*(1+$C$9)</f>
        <v/>
      </c>
    </row>
    <row r="46">
      <c r="A46" s="24" t="inlineStr">
        <is>
          <t>Operating Cash Flow</t>
        </is>
      </c>
      <c r="B46" s="25">
        <f>B42+B45</f>
        <v/>
      </c>
      <c r="C46" s="25">
        <f>C42+C45</f>
        <v/>
      </c>
      <c r="D46" s="25">
        <f>D42+D45</f>
        <v/>
      </c>
      <c r="E46" s="25">
        <f>E42+E45</f>
        <v/>
      </c>
      <c r="F46" s="25">
        <f>F42+F45</f>
        <v/>
      </c>
      <c r="G46" s="25">
        <f>G42+G45</f>
        <v/>
      </c>
      <c r="H46" s="25">
        <f>H42+H45</f>
        <v/>
      </c>
      <c r="I46" s="25">
        <f>I42+I45</f>
        <v/>
      </c>
      <c r="J46" s="25">
        <f>J42+J45</f>
        <v/>
      </c>
      <c r="K46" s="25">
        <f>K42+K45</f>
        <v/>
      </c>
      <c r="L46" s="25">
        <f>L42+L45</f>
        <v/>
      </c>
      <c r="M46" s="25">
        <f>M42+M45</f>
        <v/>
      </c>
    </row>
    <row r="47">
      <c r="A47" s="8" t="inlineStr">
        <is>
          <t>OCF : Adjusted EBITDA %</t>
        </is>
      </c>
      <c r="B47" s="26">
        <f>B46/B42</f>
        <v/>
      </c>
      <c r="C47" s="26">
        <f>C46/C42</f>
        <v/>
      </c>
      <c r="D47" s="26">
        <f>D46/D42</f>
        <v/>
      </c>
      <c r="E47" s="26">
        <f>E46/E42</f>
        <v/>
      </c>
      <c r="F47" s="26">
        <f>F46/F42</f>
        <v/>
      </c>
      <c r="G47" s="26">
        <f>G46/G42</f>
        <v/>
      </c>
      <c r="H47" s="26">
        <f>H46/H42</f>
        <v/>
      </c>
      <c r="I47" s="26">
        <f>I46/I42</f>
        <v/>
      </c>
      <c r="J47" s="26">
        <f>J46/J42</f>
        <v/>
      </c>
      <c r="K47" s="26">
        <f>K46/K42</f>
        <v/>
      </c>
      <c r="L47" s="26">
        <f>L46/L42</f>
        <v/>
      </c>
      <c r="M47" s="26">
        <f>M46/M42</f>
        <v/>
      </c>
    </row>
    <row r="49" ht="16" customHeight="1">
      <c r="A49" s="5" t="inlineStr">
        <is>
          <t>CAPEX</t>
        </is>
      </c>
    </row>
    <row r="50">
      <c r="A50" s="13" t="inlineStr">
        <is>
          <t xml:space="preserve">   Maintenance capex</t>
        </is>
      </c>
      <c r="B50" s="22">
        <f>Assumptions!B47</f>
        <v/>
      </c>
      <c r="C50" s="22">
        <f>Assumptions!C47</f>
        <v/>
      </c>
      <c r="D50" s="22">
        <f>Assumptions!D47</f>
        <v/>
      </c>
      <c r="E50" s="22">
        <f>Assumptions!E47</f>
        <v/>
      </c>
      <c r="F50" s="22">
        <f>-F21*Assumptions!F97*(1+$C$8)</f>
        <v/>
      </c>
      <c r="G50" s="22">
        <f>-G21*Assumptions!G97*(1+$C$8)</f>
        <v/>
      </c>
      <c r="H50" s="22">
        <f>-H21*Assumptions!H97*(1+$C$8)</f>
        <v/>
      </c>
      <c r="I50" s="22">
        <f>-I21*Assumptions!I97*(1+$C$8)</f>
        <v/>
      </c>
      <c r="J50" s="22">
        <f>-J21*Assumptions!J97*(1+$C$8)</f>
        <v/>
      </c>
      <c r="K50" s="22">
        <f>-K21*Assumptions!K97*(1+$C$8)</f>
        <v/>
      </c>
      <c r="L50" s="22">
        <f>-L21*Assumptions!L97*(1+$C$8)</f>
        <v/>
      </c>
      <c r="M50" s="22">
        <f>-M21*Assumptions!M97*(1+$C$8)</f>
        <v/>
      </c>
    </row>
    <row r="51">
      <c r="A51" s="13" t="inlineStr">
        <is>
          <t xml:space="preserve">   Growth capex</t>
        </is>
      </c>
      <c r="B51" s="22">
        <f>Assumptions!B50</f>
        <v/>
      </c>
      <c r="C51" s="22">
        <f>Assumptions!C50</f>
        <v/>
      </c>
      <c r="D51" s="22">
        <f>Assumptions!D50</f>
        <v/>
      </c>
      <c r="E51" s="22">
        <f>Assumptions!E50</f>
        <v/>
      </c>
      <c r="F51" s="22">
        <f>-F21*Assumptions!F100*(1+$C$8)</f>
        <v/>
      </c>
      <c r="G51" s="22">
        <f>-G21*Assumptions!G100*(1+$C$8)</f>
        <v/>
      </c>
      <c r="H51" s="22">
        <f>-H21*Assumptions!H100*(1+$C$8)</f>
        <v/>
      </c>
      <c r="I51" s="22">
        <f>-I21*Assumptions!I100*(1+$C$8)</f>
        <v/>
      </c>
      <c r="J51" s="22">
        <f>-J21*Assumptions!J100*(1+$C$8)</f>
        <v/>
      </c>
      <c r="K51" s="22">
        <f>-K21*Assumptions!K100*(1+$C$8)</f>
        <v/>
      </c>
      <c r="L51" s="22">
        <f>-L21*Assumptions!L100*(1+$C$8)</f>
        <v/>
      </c>
      <c r="M51" s="22">
        <f>-M21*Assumptions!M100*(1+$C$8)</f>
        <v/>
      </c>
    </row>
    <row r="52">
      <c r="A52" s="24" t="inlineStr">
        <is>
          <t>Total capex</t>
        </is>
      </c>
      <c r="B52" s="25">
        <f>B50+B51</f>
        <v/>
      </c>
      <c r="C52" s="25">
        <f>C50+C51</f>
        <v/>
      </c>
      <c r="D52" s="25">
        <f>D50+D51</f>
        <v/>
      </c>
      <c r="E52" s="25">
        <f>E50+E51</f>
        <v/>
      </c>
      <c r="F52" s="25">
        <f>F50+F51</f>
        <v/>
      </c>
      <c r="G52" s="25">
        <f>G50+G51</f>
        <v/>
      </c>
      <c r="H52" s="25">
        <f>H50+H51</f>
        <v/>
      </c>
      <c r="I52" s="25">
        <f>I50+I51</f>
        <v/>
      </c>
      <c r="J52" s="25">
        <f>J50+J51</f>
        <v/>
      </c>
      <c r="K52" s="25">
        <f>K50+K51</f>
        <v/>
      </c>
      <c r="L52" s="25">
        <f>L50+L51</f>
        <v/>
      </c>
      <c r="M52" s="25">
        <f>M50+M51</f>
        <v/>
      </c>
    </row>
    <row r="53">
      <c r="A53" s="8" t="inlineStr">
        <is>
          <t>Total capex — % of sales</t>
        </is>
      </c>
      <c r="B53" s="26">
        <f>-B52/B21</f>
        <v/>
      </c>
      <c r="C53" s="26">
        <f>-C52/C21</f>
        <v/>
      </c>
      <c r="D53" s="26">
        <f>-D52/D21</f>
        <v/>
      </c>
      <c r="E53" s="26">
        <f>-E52/E21</f>
        <v/>
      </c>
      <c r="F53" s="26">
        <f>-F52/F21</f>
        <v/>
      </c>
      <c r="G53" s="26">
        <f>-G52/G21</f>
        <v/>
      </c>
      <c r="H53" s="26">
        <f>-H52/H21</f>
        <v/>
      </c>
      <c r="I53" s="26">
        <f>-I52/I21</f>
        <v/>
      </c>
      <c r="J53" s="26">
        <f>-J52/J21</f>
        <v/>
      </c>
      <c r="K53" s="26">
        <f>-K52/K21</f>
        <v/>
      </c>
      <c r="L53" s="26">
        <f>-L52/L21</f>
        <v/>
      </c>
      <c r="M53" s="26">
        <f>-M52/M21</f>
        <v/>
      </c>
    </row>
    <row r="54">
      <c r="A54" s="8" t="inlineStr">
        <is>
          <t>Memo: cash conversion post capex % (of Adjusted EBITDA)</t>
        </is>
      </c>
      <c r="B54" s="26">
        <f>(B46+B52)/B42</f>
        <v/>
      </c>
      <c r="C54" s="26">
        <f>(C46+C52)/C42</f>
        <v/>
      </c>
      <c r="D54" s="26">
        <f>(D46+D52)/D42</f>
        <v/>
      </c>
      <c r="E54" s="26">
        <f>(E46+E52)/E42</f>
        <v/>
      </c>
      <c r="F54" s="26">
        <f>(F46+F52)/F42</f>
        <v/>
      </c>
      <c r="G54" s="26">
        <f>(G46+G52)/G42</f>
        <v/>
      </c>
      <c r="H54" s="26">
        <f>(H46+H52)/H42</f>
        <v/>
      </c>
      <c r="I54" s="26">
        <f>(I46+I52)/I42</f>
        <v/>
      </c>
      <c r="J54" s="26">
        <f>(J46+J52)/J42</f>
        <v/>
      </c>
      <c r="K54" s="26">
        <f>(K46+K52)/K42</f>
        <v/>
      </c>
      <c r="L54" s="26">
        <f>(L46+L52)/L42</f>
        <v/>
      </c>
      <c r="M54" s="26">
        <f>(M46+M52)/M42</f>
        <v/>
      </c>
    </row>
    <row r="56" ht="16" customHeight="1">
      <c r="A56" s="5" t="inlineStr">
        <is>
          <t>CASH AVAILABLE FOR DEBT SERVICE (CFADS)</t>
        </is>
      </c>
    </row>
    <row r="57">
      <c r="A57" s="13" t="inlineStr">
        <is>
          <t xml:space="preserve">   Exceptional &amp; other cash items</t>
        </is>
      </c>
      <c r="B57" s="22">
        <f>Assumptions!B53</f>
        <v/>
      </c>
      <c r="C57" s="22">
        <f>Assumptions!C53</f>
        <v/>
      </c>
      <c r="D57" s="22">
        <f>Assumptions!D53</f>
        <v/>
      </c>
      <c r="E57" s="22">
        <f>Assumptions!E53</f>
        <v/>
      </c>
      <c r="F57" s="22">
        <f>Assumptions!F103</f>
        <v/>
      </c>
      <c r="G57" s="22">
        <f>Assumptions!G103</f>
        <v/>
      </c>
      <c r="H57" s="22">
        <f>Assumptions!H103</f>
        <v/>
      </c>
      <c r="I57" s="22">
        <f>Assumptions!I103</f>
        <v/>
      </c>
      <c r="J57" s="22">
        <f>Assumptions!J103</f>
        <v/>
      </c>
      <c r="K57" s="22">
        <f>Assumptions!K103</f>
        <v/>
      </c>
      <c r="L57" s="22">
        <f>Assumptions!L103</f>
        <v/>
      </c>
      <c r="M57" s="22">
        <f>Assumptions!M103</f>
        <v/>
      </c>
    </row>
    <row r="58">
      <c r="A58" s="13" t="inlineStr">
        <is>
          <t xml:space="preserve">   Cash taxes paid</t>
        </is>
      </c>
      <c r="B58" s="22">
        <f>Assumptions!B56</f>
        <v/>
      </c>
      <c r="C58" s="22">
        <f>Assumptions!C56</f>
        <v/>
      </c>
      <c r="D58" s="22">
        <f>Assumptions!D56</f>
        <v/>
      </c>
      <c r="E58" s="22">
        <f>Assumptions!E56</f>
        <v/>
      </c>
      <c r="F58" s="22">
        <f>-MAX(0,F40)*Assumptions!F106</f>
        <v/>
      </c>
      <c r="G58" s="22">
        <f>-MAX(0,G40)*Assumptions!G106</f>
        <v/>
      </c>
      <c r="H58" s="22">
        <f>-MAX(0,H40)*Assumptions!H106</f>
        <v/>
      </c>
      <c r="I58" s="22">
        <f>-MAX(0,I40)*Assumptions!I106</f>
        <v/>
      </c>
      <c r="J58" s="22">
        <f>-MAX(0,J40)*Assumptions!J106</f>
        <v/>
      </c>
      <c r="K58" s="22">
        <f>-MAX(0,K40)*Assumptions!K106</f>
        <v/>
      </c>
      <c r="L58" s="22">
        <f>-MAX(0,L40)*Assumptions!L106</f>
        <v/>
      </c>
      <c r="M58" s="22">
        <f>-MAX(0,M40)*Assumptions!M106</f>
        <v/>
      </c>
    </row>
    <row r="59">
      <c r="A59" s="24" t="inlineStr">
        <is>
          <t>Cash Available for Debt Service (CFADS)</t>
        </is>
      </c>
      <c r="B59" s="25">
        <f>B46+B52+B57+B58</f>
        <v/>
      </c>
      <c r="C59" s="25">
        <f>C46+C52+C57+C58</f>
        <v/>
      </c>
      <c r="D59" s="25">
        <f>D46+D52+D57+D58</f>
        <v/>
      </c>
      <c r="E59" s="25">
        <f>E46+E52+E57+E58</f>
        <v/>
      </c>
      <c r="F59" s="25">
        <f>F46+F52+F57+F58</f>
        <v/>
      </c>
      <c r="G59" s="25">
        <f>G46+G52+G57+G58</f>
        <v/>
      </c>
      <c r="H59" s="25">
        <f>H46+H52+H57+H58</f>
        <v/>
      </c>
      <c r="I59" s="25">
        <f>I46+I52+I57+I58</f>
        <v/>
      </c>
      <c r="J59" s="25">
        <f>J46+J52+J57+J58</f>
        <v/>
      </c>
      <c r="K59" s="25">
        <f>K46+K52+K57+K58</f>
        <v/>
      </c>
      <c r="L59" s="25">
        <f>L46+L52+L57+L58</f>
        <v/>
      </c>
      <c r="M59" s="25">
        <f>M46+M52+M57+M58</f>
        <v/>
      </c>
    </row>
    <row r="60">
      <c r="A60" s="8" t="inlineStr">
        <is>
          <t>CFADS conversion % (of Adjusted EBITDA)</t>
        </is>
      </c>
      <c r="B60" s="26">
        <f>B59/B42</f>
        <v/>
      </c>
      <c r="C60" s="26">
        <f>C59/C42</f>
        <v/>
      </c>
      <c r="D60" s="26">
        <f>D59/D42</f>
        <v/>
      </c>
      <c r="E60" s="26">
        <f>E59/E42</f>
        <v/>
      </c>
      <c r="F60" s="26">
        <f>F59/F42</f>
        <v/>
      </c>
      <c r="G60" s="26">
        <f>G59/G42</f>
        <v/>
      </c>
      <c r="H60" s="26">
        <f>H59/H42</f>
        <v/>
      </c>
      <c r="I60" s="26">
        <f>I59/I42</f>
        <v/>
      </c>
      <c r="J60" s="26">
        <f>J59/J42</f>
        <v/>
      </c>
      <c r="K60" s="26">
        <f>K59/K42</f>
        <v/>
      </c>
      <c r="L60" s="26">
        <f>L59/L42</f>
        <v/>
      </c>
      <c r="M60" s="26">
        <f>M59/M42</f>
        <v/>
      </c>
    </row>
    <row r="61">
      <c r="A61" s="6" t="inlineStr">
        <is>
          <t>Total net cash interest payments</t>
        </is>
      </c>
      <c r="B61" s="27">
        <f>Assumptions!B59</f>
        <v/>
      </c>
      <c r="C61" s="27">
        <f>Assumptions!C59</f>
        <v/>
      </c>
      <c r="D61" s="27">
        <f>Assumptions!D59</f>
        <v/>
      </c>
      <c r="E61" s="27">
        <f>Assumptions!E59</f>
        <v/>
      </c>
      <c r="F61" s="27">
        <f>-E84*(Assumptions!$C$114+Assumptions!$C$115+$C$10/10000)</f>
        <v/>
      </c>
      <c r="G61" s="27">
        <f>-F84*(Assumptions!$C$114+Assumptions!$C$115+$C$10/10000)</f>
        <v/>
      </c>
      <c r="H61" s="27">
        <f>-G84*(Assumptions!$C$114+Assumptions!$C$115+$C$10/10000)</f>
        <v/>
      </c>
      <c r="I61" s="27">
        <f>-H84*(Assumptions!$C$114+Assumptions!$C$115+$C$10/10000)</f>
        <v/>
      </c>
      <c r="J61" s="27">
        <f>-I84*(Assumptions!$C$114+Assumptions!$C$115+$C$10/10000)</f>
        <v/>
      </c>
      <c r="K61" s="27">
        <f>-J84*(Assumptions!$C$114+Assumptions!$C$115+$C$10/10000)</f>
        <v/>
      </c>
      <c r="L61" s="27">
        <f>-K84*(Assumptions!$C$114+Assumptions!$C$115+$C$10/10000)</f>
        <v/>
      </c>
      <c r="M61" s="27">
        <f>-L84*(Assumptions!$C$114+Assumptions!$C$115+$C$10/10000)</f>
        <v/>
      </c>
    </row>
    <row r="62">
      <c r="A62" s="6" t="inlineStr">
        <is>
          <t>FCF before Debt Payment / Drawdown</t>
        </is>
      </c>
      <c r="B62" s="28">
        <f>B59+B61</f>
        <v/>
      </c>
      <c r="C62" s="28">
        <f>C59+C61</f>
        <v/>
      </c>
      <c r="D62" s="28">
        <f>D59+D61</f>
        <v/>
      </c>
      <c r="E62" s="28">
        <f>E59+E61</f>
        <v/>
      </c>
      <c r="F62" s="28">
        <f>F59+F61</f>
        <v/>
      </c>
      <c r="G62" s="28">
        <f>G59+G61</f>
        <v/>
      </c>
      <c r="H62" s="28">
        <f>H59+H61</f>
        <v/>
      </c>
      <c r="I62" s="28">
        <f>I59+I61</f>
        <v/>
      </c>
      <c r="J62" s="28">
        <f>J59+J61</f>
        <v/>
      </c>
      <c r="K62" s="28">
        <f>K59+K61</f>
        <v/>
      </c>
      <c r="L62" s="28">
        <f>L59+L61</f>
        <v/>
      </c>
      <c r="M62" s="28">
        <f>M59+M61</f>
        <v/>
      </c>
    </row>
    <row r="64" ht="16" customHeight="1">
      <c r="A64" s="5" t="inlineStr">
        <is>
          <t>ACQUISITION / NON-ORGANIC FINANCING  (self-funding — optional, leave 0 if not applicable)</t>
        </is>
      </c>
    </row>
    <row r="65">
      <c r="A65" s="13" t="inlineStr">
        <is>
          <t xml:space="preserve">   Acquisition-related cash outflow</t>
        </is>
      </c>
      <c r="B65" s="22">
        <f>Assumptions!B62</f>
        <v/>
      </c>
      <c r="C65" s="22">
        <f>Assumptions!C62</f>
        <v/>
      </c>
      <c r="D65" s="22">
        <f>Assumptions!D62</f>
        <v/>
      </c>
      <c r="E65" s="22">
        <f>Assumptions!E62</f>
        <v/>
      </c>
      <c r="F65" s="22">
        <f>Assumptions!F109</f>
        <v/>
      </c>
      <c r="G65" s="22">
        <f>Assumptions!G109</f>
        <v/>
      </c>
      <c r="H65" s="22">
        <f>Assumptions!H109</f>
        <v/>
      </c>
      <c r="I65" s="22">
        <f>Assumptions!I109</f>
        <v/>
      </c>
      <c r="J65" s="22">
        <f>Assumptions!J109</f>
        <v/>
      </c>
      <c r="K65" s="22">
        <f>Assumptions!K109</f>
        <v/>
      </c>
      <c r="L65" s="22">
        <f>Assumptions!L109</f>
        <v/>
      </c>
      <c r="M65" s="22">
        <f>Assumptions!M109</f>
        <v/>
      </c>
    </row>
    <row r="66">
      <c r="A66" s="13" t="inlineStr">
        <is>
          <t xml:space="preserve">   Acquisition / delayed-draw facility drawdown</t>
        </is>
      </c>
      <c r="B66" s="22">
        <f>Assumptions!B65</f>
        <v/>
      </c>
      <c r="C66" s="22">
        <f>Assumptions!C65</f>
        <v/>
      </c>
      <c r="D66" s="22">
        <f>Assumptions!D65</f>
        <v/>
      </c>
      <c r="E66" s="22">
        <f>Assumptions!E65</f>
        <v/>
      </c>
      <c r="F66" s="22">
        <f>Assumptions!F112</f>
        <v/>
      </c>
      <c r="G66" s="22">
        <f>Assumptions!G112</f>
        <v/>
      </c>
      <c r="H66" s="22">
        <f>Assumptions!H112</f>
        <v/>
      </c>
      <c r="I66" s="22">
        <f>Assumptions!I112</f>
        <v/>
      </c>
      <c r="J66" s="22">
        <f>Assumptions!J112</f>
        <v/>
      </c>
      <c r="K66" s="22">
        <f>Assumptions!K112</f>
        <v/>
      </c>
      <c r="L66" s="22">
        <f>Assumptions!L112</f>
        <v/>
      </c>
      <c r="M66" s="22">
        <f>Assumptions!M112</f>
        <v/>
      </c>
    </row>
    <row r="67">
      <c r="A67" s="8" t="inlineStr">
        <is>
          <t>Net acquisition-financing impact (memo, should ≈ 0 if fully self-funded)</t>
        </is>
      </c>
      <c r="B67" s="29">
        <f>B65+B66</f>
        <v/>
      </c>
      <c r="C67" s="29">
        <f>C65+C66</f>
        <v/>
      </c>
      <c r="D67" s="29">
        <f>D65+D66</f>
        <v/>
      </c>
      <c r="E67" s="29">
        <f>E65+E66</f>
        <v/>
      </c>
      <c r="F67" s="29">
        <f>F65+F66</f>
        <v/>
      </c>
      <c r="G67" s="29">
        <f>G65+G66</f>
        <v/>
      </c>
      <c r="H67" s="29">
        <f>H65+H66</f>
        <v/>
      </c>
      <c r="I67" s="29">
        <f>I65+I66</f>
        <v/>
      </c>
      <c r="J67" s="29">
        <f>J65+J66</f>
        <v/>
      </c>
      <c r="K67" s="29">
        <f>K65+K66</f>
        <v/>
      </c>
      <c r="L67" s="29">
        <f>L65+L66</f>
        <v/>
      </c>
      <c r="M67" s="29">
        <f>M65+M66</f>
        <v/>
      </c>
    </row>
    <row r="69" ht="16" customHeight="1">
      <c r="A69" s="5" t="inlineStr">
        <is>
          <t>DEBT &amp; CASH ROLL-FORWARD  (Stub/At-Close column = opening balances; pre-close years N/A)</t>
        </is>
      </c>
    </row>
    <row r="70">
      <c r="A70" s="13" t="inlineStr">
        <is>
          <t xml:space="preserve">   Opening cash balance</t>
        </is>
      </c>
      <c r="E70" s="30">
        <f>Assumptions!$C$121</f>
        <v/>
      </c>
      <c r="F70" s="30">
        <f>E77</f>
        <v/>
      </c>
      <c r="G70" s="30">
        <f>F77</f>
        <v/>
      </c>
      <c r="H70" s="30">
        <f>G77</f>
        <v/>
      </c>
      <c r="I70" s="30">
        <f>H77</f>
        <v/>
      </c>
      <c r="J70" s="30">
        <f>I77</f>
        <v/>
      </c>
      <c r="K70" s="30">
        <f>J77</f>
        <v/>
      </c>
      <c r="L70" s="30">
        <f>K77</f>
        <v/>
      </c>
      <c r="M70" s="30">
        <f>L77</f>
        <v/>
      </c>
    </row>
    <row r="71">
      <c r="A71" s="13" t="inlineStr">
        <is>
          <t xml:space="preserve">   (+) FCF before Debt Payment / Drawdown</t>
        </is>
      </c>
      <c r="E71" s="30">
        <f>E62</f>
        <v/>
      </c>
      <c r="F71" s="30">
        <f>F62</f>
        <v/>
      </c>
      <c r="G71" s="30">
        <f>G62</f>
        <v/>
      </c>
      <c r="H71" s="30">
        <f>H62</f>
        <v/>
      </c>
      <c r="I71" s="30">
        <f>I62</f>
        <v/>
      </c>
      <c r="J71" s="30">
        <f>J62</f>
        <v/>
      </c>
      <c r="K71" s="30">
        <f>K62</f>
        <v/>
      </c>
      <c r="L71" s="30">
        <f>L62</f>
        <v/>
      </c>
      <c r="M71" s="30">
        <f>M62</f>
        <v/>
      </c>
    </row>
    <row r="72">
      <c r="A72" s="13" t="inlineStr">
        <is>
          <t xml:space="preserve">   (+) Net acquisition-financing impact</t>
        </is>
      </c>
      <c r="E72" s="30">
        <f>E67</f>
        <v/>
      </c>
      <c r="F72" s="30">
        <f>F67</f>
        <v/>
      </c>
      <c r="G72" s="30">
        <f>G67</f>
        <v/>
      </c>
      <c r="H72" s="30">
        <f>H67</f>
        <v/>
      </c>
      <c r="I72" s="30">
        <f>I67</f>
        <v/>
      </c>
      <c r="J72" s="30">
        <f>J67</f>
        <v/>
      </c>
      <c r="K72" s="30">
        <f>K67</f>
        <v/>
      </c>
      <c r="L72" s="30">
        <f>L67</f>
        <v/>
      </c>
      <c r="M72" s="30">
        <f>M67</f>
        <v/>
      </c>
    </row>
    <row r="73">
      <c r="A73" s="13" t="inlineStr">
        <is>
          <t xml:space="preserve">   (–) Term Loan scheduled amortisation</t>
        </is>
      </c>
      <c r="E73" s="30" t="n">
        <v>0</v>
      </c>
      <c r="F73" s="30">
        <f>-Assumptions!$C$118*Assumptions!$C$119</f>
        <v/>
      </c>
      <c r="G73" s="30">
        <f>-Assumptions!$C$118*Assumptions!$C$119</f>
        <v/>
      </c>
      <c r="H73" s="30">
        <f>-Assumptions!$C$118*Assumptions!$C$119</f>
        <v/>
      </c>
      <c r="I73" s="30">
        <f>-Assumptions!$C$118*Assumptions!$C$119</f>
        <v/>
      </c>
      <c r="J73" s="30">
        <f>-Assumptions!$C$118*Assumptions!$C$119</f>
        <v/>
      </c>
      <c r="K73" s="30">
        <f>-Assumptions!$C$118*Assumptions!$C$119</f>
        <v/>
      </c>
      <c r="L73" s="30">
        <f>-Assumptions!$C$118*Assumptions!$C$119</f>
        <v/>
      </c>
      <c r="M73" s="30">
        <f>-Assumptions!$C$118*Assumptions!$C$119</f>
        <v/>
      </c>
    </row>
    <row r="74">
      <c r="A74" s="13" t="inlineStr">
        <is>
          <t xml:space="preserve">   (–) Term Loan bullet repayment (final forecast period)</t>
        </is>
      </c>
      <c r="E74" s="30" t="n">
        <v>0</v>
      </c>
      <c r="F74" s="30" t="n">
        <v>0</v>
      </c>
      <c r="G74" s="30" t="n">
        <v>0</v>
      </c>
      <c r="H74" s="30" t="n">
        <v>0</v>
      </c>
      <c r="I74" s="30" t="n">
        <v>0</v>
      </c>
      <c r="J74" s="30" t="n">
        <v>0</v>
      </c>
      <c r="K74" s="30" t="n">
        <v>0</v>
      </c>
      <c r="L74" s="30" t="n">
        <v>0</v>
      </c>
      <c r="M74" s="30">
        <f>-L82*Assumptions!$C$120</f>
        <v/>
      </c>
    </row>
    <row r="75">
      <c r="A75" s="31" t="inlineStr">
        <is>
          <t>Net cash before revolver</t>
        </is>
      </c>
      <c r="B75" s="32" t="n"/>
      <c r="C75" s="32" t="n"/>
      <c r="D75" s="32" t="n"/>
      <c r="E75" s="33">
        <f>E70+E71+E72+E73+E74</f>
        <v/>
      </c>
      <c r="F75" s="33">
        <f>F70+F71+F72+F73+F74</f>
        <v/>
      </c>
      <c r="G75" s="33">
        <f>G70+G71+G72+G73+G74</f>
        <v/>
      </c>
      <c r="H75" s="33">
        <f>H70+H71+H72+H73+H74</f>
        <v/>
      </c>
      <c r="I75" s="33">
        <f>I70+I71+I72+I73+I74</f>
        <v/>
      </c>
      <c r="J75" s="33">
        <f>J70+J71+J72+J73+J74</f>
        <v/>
      </c>
      <c r="K75" s="33">
        <f>K70+K71+K72+K73+K74</f>
        <v/>
      </c>
      <c r="L75" s="33">
        <f>L70+L71+L72+L73+L74</f>
        <v/>
      </c>
      <c r="M75" s="33">
        <f>M70+M71+M72+M73+M74</f>
        <v/>
      </c>
    </row>
    <row r="76">
      <c r="A76" s="13" t="inlineStr">
        <is>
          <t xml:space="preserve">   (+/–) RCF drawdown / (repayment)</t>
        </is>
      </c>
      <c r="E76" s="30">
        <f>IF(E75&lt;0,MIN(Assumptions!$C$116-0,-E75),-MIN(0,E75))</f>
        <v/>
      </c>
      <c r="F76" s="30">
        <f>IF(F75&lt;0,MIN(Assumptions!$C$116-E80,-F75),-MIN(E80,F75))</f>
        <v/>
      </c>
      <c r="G76" s="30">
        <f>IF(G75&lt;0,MIN(Assumptions!$C$116-F80,-G75),-MIN(F80,G75))</f>
        <v/>
      </c>
      <c r="H76" s="30">
        <f>IF(H75&lt;0,MIN(Assumptions!$C$116-G80,-H75),-MIN(G80,H75))</f>
        <v/>
      </c>
      <c r="I76" s="30">
        <f>IF(I75&lt;0,MIN(Assumptions!$C$116-H80,-I75),-MIN(H80,I75))</f>
        <v/>
      </c>
      <c r="J76" s="30">
        <f>IF(J75&lt;0,MIN(Assumptions!$C$116-I80,-J75),-MIN(I80,J75))</f>
        <v/>
      </c>
      <c r="K76" s="30">
        <f>IF(K75&lt;0,MIN(Assumptions!$C$116-J80,-K75),-MIN(J80,K75))</f>
        <v/>
      </c>
      <c r="L76" s="30">
        <f>IF(L75&lt;0,MIN(Assumptions!$C$116-K80,-L75),-MIN(K80,L75))</f>
        <v/>
      </c>
      <c r="M76" s="30">
        <f>IF(M75&lt;0,MIN(Assumptions!$C$116-L80,-M75),-MIN(L80,M75))</f>
        <v/>
      </c>
    </row>
    <row r="77">
      <c r="A77" s="24" t="inlineStr">
        <is>
          <t>Closing cash balance</t>
        </is>
      </c>
      <c r="B77" s="32" t="n"/>
      <c r="C77" s="32" t="n"/>
      <c r="D77" s="32" t="n"/>
      <c r="E77" s="28">
        <f>E75+E76</f>
        <v/>
      </c>
      <c r="F77" s="28">
        <f>F75+F76</f>
        <v/>
      </c>
      <c r="G77" s="28">
        <f>G75+G76</f>
        <v/>
      </c>
      <c r="H77" s="28">
        <f>H75+H76</f>
        <v/>
      </c>
      <c r="I77" s="28">
        <f>I75+I76</f>
        <v/>
      </c>
      <c r="J77" s="28">
        <f>J75+J76</f>
        <v/>
      </c>
      <c r="K77" s="28">
        <f>K75+K76</f>
        <v/>
      </c>
      <c r="L77" s="28">
        <f>L75+L76</f>
        <v/>
      </c>
      <c r="M77" s="28">
        <f>M75+M76</f>
        <v/>
      </c>
    </row>
    <row r="79" ht="16" customHeight="1">
      <c r="A79" s="5" t="inlineStr">
        <is>
          <t>DEBT BALANCES (period end)</t>
        </is>
      </c>
    </row>
    <row r="80">
      <c r="A80" s="13" t="inlineStr">
        <is>
          <t xml:space="preserve">   RCF drawn balance</t>
        </is>
      </c>
      <c r="E80" s="30">
        <f>0+E76</f>
        <v/>
      </c>
      <c r="F80" s="30">
        <f>E80+F76</f>
        <v/>
      </c>
      <c r="G80" s="30">
        <f>F80+G76</f>
        <v/>
      </c>
      <c r="H80" s="30">
        <f>G80+H76</f>
        <v/>
      </c>
      <c r="I80" s="30">
        <f>H80+I76</f>
        <v/>
      </c>
      <c r="J80" s="30">
        <f>I80+J76</f>
        <v/>
      </c>
      <c r="K80" s="30">
        <f>J80+K76</f>
        <v/>
      </c>
      <c r="L80" s="30">
        <f>K80+L76</f>
        <v/>
      </c>
      <c r="M80" s="30">
        <f>L80+M76</f>
        <v/>
      </c>
    </row>
    <row r="81">
      <c r="A81" s="13" t="inlineStr">
        <is>
          <t xml:space="preserve">   Acquisition / delayed-draw facility balance</t>
        </is>
      </c>
      <c r="E81" s="30">
        <f>0+E66</f>
        <v/>
      </c>
      <c r="F81" s="30">
        <f>E81+F66</f>
        <v/>
      </c>
      <c r="G81" s="30">
        <f>F81+G66</f>
        <v/>
      </c>
      <c r="H81" s="30">
        <f>G81+H66</f>
        <v/>
      </c>
      <c r="I81" s="30">
        <f>H81+I66</f>
        <v/>
      </c>
      <c r="J81" s="30">
        <f>I81+J66</f>
        <v/>
      </c>
      <c r="K81" s="30">
        <f>J81+K66</f>
        <v/>
      </c>
      <c r="L81" s="30">
        <f>K81+L66</f>
        <v/>
      </c>
      <c r="M81" s="30">
        <f>L81+M66</f>
        <v/>
      </c>
    </row>
    <row r="82">
      <c r="A82" s="13" t="inlineStr">
        <is>
          <t xml:space="preserve">   Term Loan balance</t>
        </is>
      </c>
      <c r="E82" s="30">
        <f>Assumptions!$C$118</f>
        <v/>
      </c>
      <c r="F82" s="30">
        <f>E82+F73+F74</f>
        <v/>
      </c>
      <c r="G82" s="30">
        <f>F82+G73+G74</f>
        <v/>
      </c>
      <c r="H82" s="30">
        <f>G82+H73+H74</f>
        <v/>
      </c>
      <c r="I82" s="30">
        <f>H82+I73+I74</f>
        <v/>
      </c>
      <c r="J82" s="30">
        <f>I82+J73+J74</f>
        <v/>
      </c>
      <c r="K82" s="30">
        <f>J82+K73+K74</f>
        <v/>
      </c>
      <c r="L82" s="30">
        <f>K82+L73+L74</f>
        <v/>
      </c>
      <c r="M82" s="30">
        <f>L82+M73+M74</f>
        <v/>
      </c>
    </row>
    <row r="83">
      <c r="A83" s="24" t="inlineStr">
        <is>
          <t>Total Gross Debt</t>
        </is>
      </c>
      <c r="B83" s="32" t="n"/>
      <c r="C83" s="32" t="n"/>
      <c r="D83" s="32" t="n"/>
      <c r="E83" s="28">
        <f>E80+E81+E82</f>
        <v/>
      </c>
      <c r="F83" s="28">
        <f>F80+F81+F82</f>
        <v/>
      </c>
      <c r="G83" s="28">
        <f>G80+G81+G82</f>
        <v/>
      </c>
      <c r="H83" s="28">
        <f>H80+H81+H82</f>
        <v/>
      </c>
      <c r="I83" s="28">
        <f>I80+I81+I82</f>
        <v/>
      </c>
      <c r="J83" s="28">
        <f>J80+J81+J82</f>
        <v/>
      </c>
      <c r="K83" s="28">
        <f>K80+K81+K82</f>
        <v/>
      </c>
      <c r="L83" s="28">
        <f>L80+L81+L82</f>
        <v/>
      </c>
      <c r="M83" s="28">
        <f>M80+M81+M82</f>
        <v/>
      </c>
    </row>
    <row r="84">
      <c r="A84" s="24" t="inlineStr">
        <is>
          <t>Total Net Debt</t>
        </is>
      </c>
      <c r="B84" s="32" t="n"/>
      <c r="C84" s="32" t="n"/>
      <c r="D84" s="32" t="n"/>
      <c r="E84" s="28">
        <f>E83-E77</f>
        <v/>
      </c>
      <c r="F84" s="28">
        <f>F83-F77</f>
        <v/>
      </c>
      <c r="G84" s="28">
        <f>G83-G77</f>
        <v/>
      </c>
      <c r="H84" s="28">
        <f>H83-H77</f>
        <v/>
      </c>
      <c r="I84" s="28">
        <f>I83-I77</f>
        <v/>
      </c>
      <c r="J84" s="28">
        <f>J83-J77</f>
        <v/>
      </c>
      <c r="K84" s="28">
        <f>K83-K77</f>
        <v/>
      </c>
      <c r="L84" s="28">
        <f>L83-L77</f>
        <v/>
      </c>
      <c r="M84" s="28">
        <f>M83-M77</f>
        <v/>
      </c>
    </row>
    <row r="85">
      <c r="A85" s="8" t="inlineStr">
        <is>
          <t>Undrawn RCF</t>
        </is>
      </c>
      <c r="E85" s="34">
        <f>Assumptions!$C$116-E80</f>
        <v/>
      </c>
      <c r="F85" s="34">
        <f>Assumptions!$C$116-F80</f>
        <v/>
      </c>
      <c r="G85" s="34">
        <f>Assumptions!$C$116-G80</f>
        <v/>
      </c>
      <c r="H85" s="34">
        <f>Assumptions!$C$116-H80</f>
        <v/>
      </c>
      <c r="I85" s="34">
        <f>Assumptions!$C$116-I80</f>
        <v/>
      </c>
      <c r="J85" s="34">
        <f>Assumptions!$C$116-J80</f>
        <v/>
      </c>
      <c r="K85" s="34">
        <f>Assumptions!$C$116-K80</f>
        <v/>
      </c>
      <c r="L85" s="34">
        <f>Assumptions!$C$116-L80</f>
        <v/>
      </c>
      <c r="M85" s="34">
        <f>Assumptions!$C$116-M80</f>
        <v/>
      </c>
    </row>
    <row r="86">
      <c r="A86" s="8" t="inlineStr">
        <is>
          <t>Undrawn acquisition facility</t>
        </is>
      </c>
      <c r="E86" s="34">
        <f>Assumptions!$C$117-E81</f>
        <v/>
      </c>
      <c r="F86" s="34">
        <f>Assumptions!$C$117-F81</f>
        <v/>
      </c>
      <c r="G86" s="34">
        <f>Assumptions!$C$117-G81</f>
        <v/>
      </c>
      <c r="H86" s="34">
        <f>Assumptions!$C$117-H81</f>
        <v/>
      </c>
      <c r="I86" s="34">
        <f>Assumptions!$C$117-I81</f>
        <v/>
      </c>
      <c r="J86" s="34">
        <f>Assumptions!$C$117-J81</f>
        <v/>
      </c>
      <c r="K86" s="34">
        <f>Assumptions!$C$117-K81</f>
        <v/>
      </c>
      <c r="L86" s="34">
        <f>Assumptions!$C$117-L81</f>
        <v/>
      </c>
      <c r="M86" s="34">
        <f>Assumptions!$C$117-M81</f>
        <v/>
      </c>
    </row>
    <row r="88" ht="16" customHeight="1">
      <c r="A88" s="5" t="inlineStr">
        <is>
          <t>CREDIT METRICS</t>
        </is>
      </c>
    </row>
    <row r="89">
      <c r="A89" s="13" t="inlineStr">
        <is>
          <t xml:space="preserve">   Total Gross Debt / Adjusted EBITDA</t>
        </is>
      </c>
      <c r="E89" s="35">
        <f>E83/F42</f>
        <v/>
      </c>
      <c r="F89" s="35">
        <f>F83/F42</f>
        <v/>
      </c>
      <c r="G89" s="35">
        <f>G83/G42</f>
        <v/>
      </c>
      <c r="H89" s="35">
        <f>H83/H42</f>
        <v/>
      </c>
      <c r="I89" s="35">
        <f>I83/I42</f>
        <v/>
      </c>
      <c r="J89" s="35">
        <f>J83/J42</f>
        <v/>
      </c>
      <c r="K89" s="35">
        <f>K83/K42</f>
        <v/>
      </c>
      <c r="L89" s="35">
        <f>L83/L42</f>
        <v/>
      </c>
      <c r="M89" s="35">
        <f>M83/M42</f>
        <v/>
      </c>
    </row>
    <row r="90">
      <c r="A90" s="13" t="inlineStr">
        <is>
          <t xml:space="preserve">   Total Net Debt / Adjusted EBITDA</t>
        </is>
      </c>
      <c r="E90" s="35">
        <f>E84/F42</f>
        <v/>
      </c>
      <c r="F90" s="35">
        <f>F84/F42</f>
        <v/>
      </c>
      <c r="G90" s="35">
        <f>G84/G42</f>
        <v/>
      </c>
      <c r="H90" s="35">
        <f>H84/H42</f>
        <v/>
      </c>
      <c r="I90" s="35">
        <f>I84/I42</f>
        <v/>
      </c>
      <c r="J90" s="35">
        <f>J84/J42</f>
        <v/>
      </c>
      <c r="K90" s="35">
        <f>K84/K42</f>
        <v/>
      </c>
      <c r="L90" s="35">
        <f>L84/L42</f>
        <v/>
      </c>
      <c r="M90" s="35">
        <f>M84/M42</f>
        <v/>
      </c>
    </row>
    <row r="91">
      <c r="A91" s="13" t="inlineStr">
        <is>
          <t xml:space="preserve">   Adjusted EBITDA / Net cash interest (Interest Cover)</t>
        </is>
      </c>
      <c r="F91" s="35">
        <f>F42/(-F61)</f>
        <v/>
      </c>
      <c r="G91" s="35">
        <f>G42/(-G61)</f>
        <v/>
      </c>
      <c r="H91" s="35">
        <f>H42/(-H61)</f>
        <v/>
      </c>
      <c r="I91" s="35">
        <f>I42/(-I61)</f>
        <v/>
      </c>
      <c r="J91" s="35">
        <f>J42/(-J61)</f>
        <v/>
      </c>
      <c r="K91" s="35">
        <f>K42/(-K61)</f>
        <v/>
      </c>
      <c r="L91" s="35">
        <f>L42/(-L61)</f>
        <v/>
      </c>
      <c r="M91" s="35">
        <f>M42/(-M61)</f>
        <v/>
      </c>
    </row>
    <row r="92">
      <c r="A92" s="13" t="inlineStr">
        <is>
          <t xml:space="preserve">   Total DSCR  (CFADS ÷ [interest + mandatory repayments])</t>
        </is>
      </c>
      <c r="F92" s="35">
        <f>F59/(-F61-F73-F74)</f>
        <v/>
      </c>
      <c r="G92" s="35">
        <f>G59/(-G61-G73-G74)</f>
        <v/>
      </c>
      <c r="H92" s="35">
        <f>H59/(-H61-H73-H74)</f>
        <v/>
      </c>
      <c r="I92" s="35">
        <f>I59/(-I61-I73-I74)</f>
        <v/>
      </c>
      <c r="J92" s="35">
        <f>J59/(-J61-J73-J74)</f>
        <v/>
      </c>
      <c r="K92" s="35">
        <f>K59/(-K61-K73-K74)</f>
        <v/>
      </c>
      <c r="L92" s="35">
        <f>L59/(-L61-L73-L74)</f>
        <v/>
      </c>
      <c r="M92" s="35">
        <f>M59/(-M61-M73-M74)</f>
        <v/>
      </c>
    </row>
    <row r="94" ht="16" customHeight="1">
      <c r="A94" s="5" t="inlineStr">
        <is>
          <t>COVENANT HEADROOM</t>
        </is>
      </c>
    </row>
    <row r="95">
      <c r="A95" s="13" t="inlineStr">
        <is>
          <t xml:space="preserve">   Net leverage covenant ceiling (x)</t>
        </is>
      </c>
      <c r="F95" s="35">
        <f>Assumptions!$C$122</f>
        <v/>
      </c>
      <c r="G95" s="35">
        <f>Assumptions!$C$122</f>
        <v/>
      </c>
      <c r="H95" s="35">
        <f>Assumptions!$C$122</f>
        <v/>
      </c>
      <c r="I95" s="35">
        <f>Assumptions!$C$122</f>
        <v/>
      </c>
      <c r="J95" s="35">
        <f>Assumptions!$C$122</f>
        <v/>
      </c>
      <c r="K95" s="35">
        <f>Assumptions!$C$122</f>
        <v/>
      </c>
      <c r="L95" s="35">
        <f>Assumptions!$C$122</f>
        <v/>
      </c>
      <c r="M95" s="35">
        <f>Assumptions!$C$122</f>
        <v/>
      </c>
    </row>
    <row r="96">
      <c r="A96" s="13" t="inlineStr">
        <is>
          <t xml:space="preserve">   Leverage headroom (x, ceiling minus actual — negative = breach)</t>
        </is>
      </c>
      <c r="F96" s="35">
        <f>F95-F90</f>
        <v/>
      </c>
      <c r="G96" s="35">
        <f>G95-G90</f>
        <v/>
      </c>
      <c r="H96" s="35">
        <f>H95-H90</f>
        <v/>
      </c>
      <c r="I96" s="35">
        <f>I95-I90</f>
        <v/>
      </c>
      <c r="J96" s="35">
        <f>J95-J90</f>
        <v/>
      </c>
      <c r="K96" s="35">
        <f>K95-K90</f>
        <v/>
      </c>
      <c r="L96" s="35">
        <f>L95-L90</f>
        <v/>
      </c>
      <c r="M96" s="35">
        <f>M95-M90</f>
        <v/>
      </c>
    </row>
    <row r="97">
      <c r="A97" s="13" t="inlineStr">
        <is>
          <t xml:space="preserve">   Minimum DSCR covenant (x)</t>
        </is>
      </c>
      <c r="F97" s="35">
        <f>Assumptions!$C$123</f>
        <v/>
      </c>
      <c r="G97" s="35">
        <f>Assumptions!$C$123</f>
        <v/>
      </c>
      <c r="H97" s="35">
        <f>Assumptions!$C$123</f>
        <v/>
      </c>
      <c r="I97" s="35">
        <f>Assumptions!$C$123</f>
        <v/>
      </c>
      <c r="J97" s="35">
        <f>Assumptions!$C$123</f>
        <v/>
      </c>
      <c r="K97" s="35">
        <f>Assumptions!$C$123</f>
        <v/>
      </c>
      <c r="L97" s="35">
        <f>Assumptions!$C$123</f>
        <v/>
      </c>
      <c r="M97" s="35">
        <f>Assumptions!$C$123</f>
        <v/>
      </c>
    </row>
    <row r="98">
      <c r="A98" s="13" t="inlineStr">
        <is>
          <t xml:space="preserve">   DSCR headroom (x, actual minus minimum — negative = breach)</t>
        </is>
      </c>
      <c r="F98" s="35">
        <f>F92-F97</f>
        <v/>
      </c>
      <c r="G98" s="35">
        <f>G92-G97</f>
        <v/>
      </c>
      <c r="H98" s="35">
        <f>H92-H97</f>
        <v/>
      </c>
      <c r="I98" s="35">
        <f>I92-I97</f>
        <v/>
      </c>
      <c r="J98" s="35">
        <f>J92-J97</f>
        <v/>
      </c>
      <c r="K98" s="35">
        <f>K92-K97</f>
        <v/>
      </c>
      <c r="L98" s="35">
        <f>L92-L97</f>
        <v/>
      </c>
      <c r="M98" s="35">
        <f>M92-M97</f>
        <v/>
      </c>
    </row>
    <row r="99">
      <c r="A99" s="6" t="inlineStr">
        <is>
          <t>Covenant test result</t>
        </is>
      </c>
      <c r="F99" s="36">
        <f>IF(AND(F96&gt;=0,F98&gt;=0,F91&gt;=Assumptions!$C$124),"PASS","FAIL")</f>
        <v/>
      </c>
      <c r="G99" s="36">
        <f>IF(AND(G96&gt;=0,G98&gt;=0,G91&gt;=Assumptions!$C$124),"PASS","FAIL")</f>
        <v/>
      </c>
      <c r="H99" s="36">
        <f>IF(AND(H96&gt;=0,H98&gt;=0,H91&gt;=Assumptions!$C$124),"PASS","FAIL")</f>
        <v/>
      </c>
      <c r="I99" s="36">
        <f>IF(AND(I96&gt;=0,I98&gt;=0,I91&gt;=Assumptions!$C$124),"PASS","FAIL")</f>
        <v/>
      </c>
      <c r="J99" s="36">
        <f>IF(AND(J96&gt;=0,J98&gt;=0,J91&gt;=Assumptions!$C$124),"PASS","FAIL")</f>
        <v/>
      </c>
      <c r="K99" s="36">
        <f>IF(AND(K96&gt;=0,K98&gt;=0,K91&gt;=Assumptions!$C$124),"PASS","FAIL")</f>
        <v/>
      </c>
      <c r="L99" s="36">
        <f>IF(AND(L96&gt;=0,L98&gt;=0,L91&gt;=Assumptions!$C$124),"PASS","FAIL")</f>
        <v/>
      </c>
      <c r="M99" s="36">
        <f>IF(AND(M96&gt;=0,M98&gt;=0,M91&gt;=Assumptions!$C$124),"PASS","FAIL")</f>
        <v/>
      </c>
    </row>
  </sheetData>
  <mergeCells count="14">
    <mergeCell ref="A36:M36"/>
    <mergeCell ref="A14:M14"/>
    <mergeCell ref="A1:M1"/>
    <mergeCell ref="A94:M94"/>
    <mergeCell ref="A79:M79"/>
    <mergeCell ref="A88:M88"/>
    <mergeCell ref="A56:M56"/>
    <mergeCell ref="A4:M4"/>
    <mergeCell ref="A69:M69"/>
    <mergeCell ref="A29:M29"/>
    <mergeCell ref="A64:M64"/>
    <mergeCell ref="A24:M24"/>
    <mergeCell ref="A2:M2"/>
    <mergeCell ref="A49:M49"/>
  </mergeCells>
  <conditionalFormatting sqref="F99:M99">
    <cfRule type="cellIs" priority="1" operator="equal" dxfId="0">
      <formula>"PASS"</formula>
    </cfRule>
    <cfRule type="cellIs" priority="2" operator="equal" dxfId="1">
      <formula>"FAIL"</formula>
    </cfRule>
  </conditionalFormatting>
  <conditionalFormatting sqref="F96:M96">
    <cfRule type="cellIs" priority="3" operator="lessThan" dxfId="1">
      <formula>0</formula>
    </cfRule>
    <cfRule type="cellIs" priority="4" operator="greaterThanOrEqual" dxfId="0">
      <formula>0</formula>
    </cfRule>
  </conditionalFormatting>
  <conditionalFormatting sqref="F98:M98">
    <cfRule type="cellIs" priority="5" operator="lessThan" dxfId="1">
      <formula>0</formula>
    </cfRule>
    <cfRule type="cellIs" priority="6" operator="greaterThanOrEqual" dxfId="0">
      <formula>0</formula>
    </cfRule>
  </conditionalFormatting>
  <conditionalFormatting sqref="F90:M90">
    <cfRule type="expression" priority="7" dxfId="1">
      <formula>F90&gt;F95</formula>
    </cfRule>
  </conditionalFormatting>
  <conditionalFormatting sqref="F92:M92">
    <cfRule type="expression" priority="8" dxfId="1">
      <formula>F92&lt;1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375623"/>
    <outlinePr summaryBelow="1" summaryRight="1"/>
    <pageSetUpPr/>
  </sheetPr>
  <dimension ref="A1:M99"/>
  <sheetViews>
    <sheetView showGridLines="0" workbookViewId="0">
      <pane xSplit="1" topLeftCell="B1" activePane="topRight" state="frozen"/>
      <selection pane="topRight" activeCell="A1" sqref="A1"/>
    </sheetView>
  </sheetViews>
  <sheetFormatPr baseColWidth="8" defaultRowHeight="15"/>
  <cols>
    <col width="42" customWidth="1" min="1" max="1"/>
    <col width="11.3" customWidth="1" min="2" max="2"/>
    <col width="11.3" customWidth="1" min="3" max="3"/>
    <col width="11.3" customWidth="1" min="4" max="4"/>
    <col width="11.3" customWidth="1" min="5" max="5"/>
    <col width="11.3" customWidth="1" min="6" max="6"/>
    <col width="11.3" customWidth="1" min="7" max="7"/>
    <col width="11.3" customWidth="1" min="8" max="8"/>
    <col width="11.3" customWidth="1" min="9" max="9"/>
    <col width="11.3" customWidth="1" min="10" max="10"/>
    <col width="11.3" customWidth="1" min="11" max="11"/>
    <col width="11.3" customWidth="1" min="12" max="12"/>
    <col width="11.3" customWidth="1" min="13" max="13"/>
  </cols>
  <sheetData>
    <row r="1" ht="26" customHeight="1">
      <c r="A1" s="1" t="inlineStr">
        <is>
          <t>5. Upside Case</t>
        </is>
      </c>
    </row>
    <row r="2">
      <c r="A2" s="4" t="inlineStr">
        <is>
          <t>Upside — illustrative starting calibration: +2ppt revenue growth, operating leverage adds margin, rates ease.</t>
        </is>
      </c>
    </row>
    <row r="4" ht="16" customHeight="1">
      <c r="A4" s="5" t="inlineStr">
        <is>
          <t>SENSITIVITY FLEX ASSUMPTIONS (this tab only — tweak these, everything below recalculates)</t>
        </is>
      </c>
    </row>
    <row r="5">
      <c r="A5" s="13" t="inlineStr">
        <is>
          <t xml:space="preserve">   Revenue growth adjustment (ppt, added to every segment, every forecast period)</t>
        </is>
      </c>
      <c r="C5" s="18" t="n">
        <v>0.02</v>
      </c>
    </row>
    <row r="6">
      <c r="A6" s="13" t="inlineStr">
        <is>
          <t xml:space="preserve">   Gross margin compression (ppt, subtracted from target margin)</t>
        </is>
      </c>
      <c r="C6" s="18" t="n">
        <v>-0.005</v>
      </c>
    </row>
    <row r="7">
      <c r="A7" s="13" t="inlineStr">
        <is>
          <t xml:space="preserve">   Cost inflation add-on (ppt of revenue, on 'Other operating expenses')</t>
        </is>
      </c>
      <c r="C7" s="18" t="n">
        <v>-0.003</v>
      </c>
    </row>
    <row r="8">
      <c r="A8" s="13" t="inlineStr">
        <is>
          <t xml:space="preserve">   Capex increase (%, multiplicative uplift to capex ratios)</t>
        </is>
      </c>
      <c r="C8" s="18" t="n">
        <v>-0.05</v>
      </c>
    </row>
    <row r="9">
      <c r="A9" s="13" t="inlineStr">
        <is>
          <t xml:space="preserve">   Working-capital drag increase (%, multiplicative uplift to NWC outflow)</t>
        </is>
      </c>
      <c r="C9" s="18" t="n">
        <v>-0.1</v>
      </c>
    </row>
    <row r="10">
      <c r="A10" s="13" t="inlineStr">
        <is>
          <t xml:space="preserve">   Interest rate shock (bps, added to all-in cost of debt)</t>
        </is>
      </c>
      <c r="C10" s="19" t="n">
        <v>-25</v>
      </c>
    </row>
    <row r="12" ht="32" customHeight="1">
      <c r="A12" s="20" t="inlineStr">
        <is>
          <t>£m | Period</t>
        </is>
      </c>
      <c r="B12" s="21">
        <f>Assumptions!B$6</f>
        <v/>
      </c>
      <c r="C12" s="21">
        <f>Assumptions!C$6</f>
        <v/>
      </c>
      <c r="D12" s="21">
        <f>Assumptions!D$6</f>
        <v/>
      </c>
      <c r="E12" s="21">
        <f>Assumptions!E$6</f>
        <v/>
      </c>
      <c r="F12" s="21">
        <f>Assumptions!F$6</f>
        <v/>
      </c>
      <c r="G12" s="21">
        <f>Assumptions!G$6</f>
        <v/>
      </c>
      <c r="H12" s="21">
        <f>Assumptions!H$6</f>
        <v/>
      </c>
      <c r="I12" s="21">
        <f>Assumptions!I$6</f>
        <v/>
      </c>
      <c r="J12" s="21">
        <f>Assumptions!J$6</f>
        <v/>
      </c>
      <c r="K12" s="21">
        <f>Assumptions!K$6</f>
        <v/>
      </c>
      <c r="L12" s="21">
        <f>Assumptions!L$6</f>
        <v/>
      </c>
      <c r="M12" s="21">
        <f>Assumptions!M$6</f>
        <v/>
      </c>
    </row>
    <row r="14" ht="16" customHeight="1">
      <c r="A14" s="5" t="inlineStr">
        <is>
          <t>REVENUE</t>
        </is>
      </c>
    </row>
    <row r="15">
      <c r="A15" s="10">
        <f>Assumptions!$C$9</f>
        <v/>
      </c>
      <c r="B15" s="22">
        <f>Assumptions!B18</f>
        <v/>
      </c>
      <c r="C15" s="22">
        <f>Assumptions!C18</f>
        <v/>
      </c>
      <c r="D15" s="22">
        <f>Assumptions!D18</f>
        <v/>
      </c>
      <c r="E15" s="22">
        <f>Assumptions!E18</f>
        <v/>
      </c>
      <c r="F15" s="23">
        <f>E15*(1+Assumptions!F68+$C$5)</f>
        <v/>
      </c>
      <c r="G15" s="23">
        <f>F15*(1+Assumptions!G68+$C$5)</f>
        <v/>
      </c>
      <c r="H15" s="23">
        <f>G15*(1+Assumptions!H68+$C$5)</f>
        <v/>
      </c>
      <c r="I15" s="23">
        <f>H15*(1+Assumptions!I68+$C$5)</f>
        <v/>
      </c>
      <c r="J15" s="23">
        <f>I15*(1+Assumptions!J68+$C$5)</f>
        <v/>
      </c>
      <c r="K15" s="23">
        <f>J15*(1+Assumptions!K68+$C$5)</f>
        <v/>
      </c>
      <c r="L15" s="23">
        <f>K15*(1+Assumptions!L68+$C$5)</f>
        <v/>
      </c>
      <c r="M15" s="23">
        <f>L15*(1+Assumptions!M68+$C$5)</f>
        <v/>
      </c>
    </row>
    <row r="16">
      <c r="A16" s="10">
        <f>Assumptions!$C$10</f>
        <v/>
      </c>
      <c r="B16" s="22">
        <f>Assumptions!B19</f>
        <v/>
      </c>
      <c r="C16" s="22">
        <f>Assumptions!C19</f>
        <v/>
      </c>
      <c r="D16" s="22">
        <f>Assumptions!D19</f>
        <v/>
      </c>
      <c r="E16" s="22">
        <f>Assumptions!E19</f>
        <v/>
      </c>
      <c r="F16" s="23">
        <f>E16*(1+Assumptions!F69+$C$5)</f>
        <v/>
      </c>
      <c r="G16" s="23">
        <f>F16*(1+Assumptions!G69+$C$5)</f>
        <v/>
      </c>
      <c r="H16" s="23">
        <f>G16*(1+Assumptions!H69+$C$5)</f>
        <v/>
      </c>
      <c r="I16" s="23">
        <f>H16*(1+Assumptions!I69+$C$5)</f>
        <v/>
      </c>
      <c r="J16" s="23">
        <f>I16*(1+Assumptions!J69+$C$5)</f>
        <v/>
      </c>
      <c r="K16" s="23">
        <f>J16*(1+Assumptions!K69+$C$5)</f>
        <v/>
      </c>
      <c r="L16" s="23">
        <f>K16*(1+Assumptions!L69+$C$5)</f>
        <v/>
      </c>
      <c r="M16" s="23">
        <f>L16*(1+Assumptions!M69+$C$5)</f>
        <v/>
      </c>
    </row>
    <row r="17">
      <c r="A17" s="10">
        <f>Assumptions!$C$11</f>
        <v/>
      </c>
      <c r="B17" s="22">
        <f>Assumptions!B20</f>
        <v/>
      </c>
      <c r="C17" s="22">
        <f>Assumptions!C20</f>
        <v/>
      </c>
      <c r="D17" s="22">
        <f>Assumptions!D20</f>
        <v/>
      </c>
      <c r="E17" s="22">
        <f>Assumptions!E20</f>
        <v/>
      </c>
      <c r="F17" s="23">
        <f>E17*(1+Assumptions!F70+$C$5)</f>
        <v/>
      </c>
      <c r="G17" s="23">
        <f>F17*(1+Assumptions!G70+$C$5)</f>
        <v/>
      </c>
      <c r="H17" s="23">
        <f>G17*(1+Assumptions!H70+$C$5)</f>
        <v/>
      </c>
      <c r="I17" s="23">
        <f>H17*(1+Assumptions!I70+$C$5)</f>
        <v/>
      </c>
      <c r="J17" s="23">
        <f>I17*(1+Assumptions!J70+$C$5)</f>
        <v/>
      </c>
      <c r="K17" s="23">
        <f>J17*(1+Assumptions!K70+$C$5)</f>
        <v/>
      </c>
      <c r="L17" s="23">
        <f>K17*(1+Assumptions!L70+$C$5)</f>
        <v/>
      </c>
      <c r="M17" s="23">
        <f>L17*(1+Assumptions!M70+$C$5)</f>
        <v/>
      </c>
    </row>
    <row r="18">
      <c r="A18" s="10">
        <f>Assumptions!$C$12</f>
        <v/>
      </c>
      <c r="B18" s="22">
        <f>Assumptions!B21</f>
        <v/>
      </c>
      <c r="C18" s="22">
        <f>Assumptions!C21</f>
        <v/>
      </c>
      <c r="D18" s="22">
        <f>Assumptions!D21</f>
        <v/>
      </c>
      <c r="E18" s="22">
        <f>Assumptions!E21</f>
        <v/>
      </c>
      <c r="F18" s="23">
        <f>E18*(1+Assumptions!F71+$C$5)</f>
        <v/>
      </c>
      <c r="G18" s="23">
        <f>F18*(1+Assumptions!G71+$C$5)</f>
        <v/>
      </c>
      <c r="H18" s="23">
        <f>G18*(1+Assumptions!H71+$C$5)</f>
        <v/>
      </c>
      <c r="I18" s="23">
        <f>H18*(1+Assumptions!I71+$C$5)</f>
        <v/>
      </c>
      <c r="J18" s="23">
        <f>I18*(1+Assumptions!J71+$C$5)</f>
        <v/>
      </c>
      <c r="K18" s="23">
        <f>J18*(1+Assumptions!K71+$C$5)</f>
        <v/>
      </c>
      <c r="L18" s="23">
        <f>K18*(1+Assumptions!L71+$C$5)</f>
        <v/>
      </c>
      <c r="M18" s="23">
        <f>L18*(1+Assumptions!M71+$C$5)</f>
        <v/>
      </c>
    </row>
    <row r="19">
      <c r="A19" s="10">
        <f>Assumptions!$C$13</f>
        <v/>
      </c>
      <c r="B19" s="22">
        <f>Assumptions!B22</f>
        <v/>
      </c>
      <c r="C19" s="22">
        <f>Assumptions!C22</f>
        <v/>
      </c>
      <c r="D19" s="22">
        <f>Assumptions!D22</f>
        <v/>
      </c>
      <c r="E19" s="22">
        <f>Assumptions!E22</f>
        <v/>
      </c>
      <c r="F19" s="23">
        <f>E19*(1+Assumptions!F72+$C$5)</f>
        <v/>
      </c>
      <c r="G19" s="23">
        <f>F19*(1+Assumptions!G72+$C$5)</f>
        <v/>
      </c>
      <c r="H19" s="23">
        <f>G19*(1+Assumptions!H72+$C$5)</f>
        <v/>
      </c>
      <c r="I19" s="23">
        <f>H19*(1+Assumptions!I72+$C$5)</f>
        <v/>
      </c>
      <c r="J19" s="23">
        <f>I19*(1+Assumptions!J72+$C$5)</f>
        <v/>
      </c>
      <c r="K19" s="23">
        <f>J19*(1+Assumptions!K72+$C$5)</f>
        <v/>
      </c>
      <c r="L19" s="23">
        <f>K19*(1+Assumptions!L72+$C$5)</f>
        <v/>
      </c>
      <c r="M19" s="23">
        <f>L19*(1+Assumptions!M72+$C$5)</f>
        <v/>
      </c>
    </row>
    <row r="20">
      <c r="A20" s="10">
        <f>Assumptions!$C$14</f>
        <v/>
      </c>
      <c r="B20" s="22">
        <f>Assumptions!B23</f>
        <v/>
      </c>
      <c r="C20" s="22">
        <f>Assumptions!C23</f>
        <v/>
      </c>
      <c r="D20" s="22">
        <f>Assumptions!D23</f>
        <v/>
      </c>
      <c r="E20" s="22">
        <f>Assumptions!E23</f>
        <v/>
      </c>
      <c r="F20" s="23">
        <f>E20*(1+Assumptions!F73+$C$5)</f>
        <v/>
      </c>
      <c r="G20" s="23">
        <f>F20*(1+Assumptions!G73+$C$5)</f>
        <v/>
      </c>
      <c r="H20" s="23">
        <f>G20*(1+Assumptions!H73+$C$5)</f>
        <v/>
      </c>
      <c r="I20" s="23">
        <f>H20*(1+Assumptions!I73+$C$5)</f>
        <v/>
      </c>
      <c r="J20" s="23">
        <f>I20*(1+Assumptions!J73+$C$5)</f>
        <v/>
      </c>
      <c r="K20" s="23">
        <f>J20*(1+Assumptions!K73+$C$5)</f>
        <v/>
      </c>
      <c r="L20" s="23">
        <f>K20*(1+Assumptions!L73+$C$5)</f>
        <v/>
      </c>
      <c r="M20" s="23">
        <f>L20*(1+Assumptions!M73+$C$5)</f>
        <v/>
      </c>
    </row>
    <row r="21">
      <c r="A21" s="24" t="inlineStr">
        <is>
          <t>Total Revenue</t>
        </is>
      </c>
      <c r="B21" s="25">
        <f>B15+B16+B17+B18+B19+B20</f>
        <v/>
      </c>
      <c r="C21" s="25">
        <f>C15+C16+C17+C18+C19+C20</f>
        <v/>
      </c>
      <c r="D21" s="25">
        <f>D15+D16+D17+D18+D19+D20</f>
        <v/>
      </c>
      <c r="E21" s="25">
        <f>E15+E16+E17+E18+E19+E20</f>
        <v/>
      </c>
      <c r="F21" s="25">
        <f>F15+F16+F17+F18+F19+F20</f>
        <v/>
      </c>
      <c r="G21" s="25">
        <f>G15+G16+G17+G18+G19+G20</f>
        <v/>
      </c>
      <c r="H21" s="25">
        <f>H15+H16+H17+H18+H19+H20</f>
        <v/>
      </c>
      <c r="I21" s="25">
        <f>I15+I16+I17+I18+I19+I20</f>
        <v/>
      </c>
      <c r="J21" s="25">
        <f>J15+J16+J17+J18+J19+J20</f>
        <v/>
      </c>
      <c r="K21" s="25">
        <f>K15+K16+K17+K18+K19+K20</f>
        <v/>
      </c>
      <c r="L21" s="25">
        <f>L15+L16+L17+L18+L19+L20</f>
        <v/>
      </c>
      <c r="M21" s="25">
        <f>M15+M16+M17+M18+M19+M20</f>
        <v/>
      </c>
    </row>
    <row r="22">
      <c r="A22" s="8" t="inlineStr">
        <is>
          <t>% growth</t>
        </is>
      </c>
      <c r="C22" s="26">
        <f>C21/B21-1</f>
        <v/>
      </c>
      <c r="D22" s="26">
        <f>D21/C21-1</f>
        <v/>
      </c>
      <c r="E22" s="26">
        <f>E21/D21-1</f>
        <v/>
      </c>
      <c r="F22" s="26">
        <f>F21/E21-1</f>
        <v/>
      </c>
      <c r="G22" s="26">
        <f>G21/F21-1</f>
        <v/>
      </c>
      <c r="H22" s="26">
        <f>H21/G21-1</f>
        <v/>
      </c>
      <c r="I22" s="26">
        <f>I21/H21-1</f>
        <v/>
      </c>
      <c r="J22" s="26">
        <f>J21/I21-1</f>
        <v/>
      </c>
      <c r="K22" s="26">
        <f>K21/J21-1</f>
        <v/>
      </c>
      <c r="L22" s="26">
        <f>L21/K21-1</f>
        <v/>
      </c>
      <c r="M22" s="26">
        <f>M21/L21-1</f>
        <v/>
      </c>
    </row>
    <row r="24" ht="16" customHeight="1">
      <c r="A24" s="5" t="inlineStr">
        <is>
          <t>COST OF SALES &amp; GROSS PROFIT</t>
        </is>
      </c>
    </row>
    <row r="25">
      <c r="A25" s="13" t="inlineStr">
        <is>
          <t xml:space="preserve">   Cost of sales / COGS</t>
        </is>
      </c>
      <c r="B25" s="22">
        <f>-B21*(1-Assumptions!B26)</f>
        <v/>
      </c>
      <c r="C25" s="22">
        <f>-C21*(1-Assumptions!C26)</f>
        <v/>
      </c>
      <c r="D25" s="22">
        <f>-D21*(1-Assumptions!D26)</f>
        <v/>
      </c>
      <c r="E25" s="22">
        <f>-E21*(1-Assumptions!E26)</f>
        <v/>
      </c>
      <c r="F25" s="22">
        <f>-F21*(1-(Assumptions!F76-$C$6))</f>
        <v/>
      </c>
      <c r="G25" s="22">
        <f>-G21*(1-(Assumptions!G76-$C$6))</f>
        <v/>
      </c>
      <c r="H25" s="22">
        <f>-H21*(1-(Assumptions!H76-$C$6))</f>
        <v/>
      </c>
      <c r="I25" s="22">
        <f>-I21*(1-(Assumptions!I76-$C$6))</f>
        <v/>
      </c>
      <c r="J25" s="22">
        <f>-J21*(1-(Assumptions!J76-$C$6))</f>
        <v/>
      </c>
      <c r="K25" s="22">
        <f>-K21*(1-(Assumptions!K76-$C$6))</f>
        <v/>
      </c>
      <c r="L25" s="22">
        <f>-L21*(1-(Assumptions!L76-$C$6))</f>
        <v/>
      </c>
      <c r="M25" s="22">
        <f>-M21*(1-(Assumptions!M76-$C$6))</f>
        <v/>
      </c>
    </row>
    <row r="26">
      <c r="A26" s="24" t="inlineStr">
        <is>
          <t>Gross Profit</t>
        </is>
      </c>
      <c r="B26" s="25">
        <f>B21+B25</f>
        <v/>
      </c>
      <c r="C26" s="25">
        <f>C21+C25</f>
        <v/>
      </c>
      <c r="D26" s="25">
        <f>D21+D25</f>
        <v/>
      </c>
      <c r="E26" s="25">
        <f>E21+E25</f>
        <v/>
      </c>
      <c r="F26" s="25">
        <f>F21+F25</f>
        <v/>
      </c>
      <c r="G26" s="25">
        <f>G21+G25</f>
        <v/>
      </c>
      <c r="H26" s="25">
        <f>H21+H25</f>
        <v/>
      </c>
      <c r="I26" s="25">
        <f>I21+I25</f>
        <v/>
      </c>
      <c r="J26" s="25">
        <f>J21+J25</f>
        <v/>
      </c>
      <c r="K26" s="25">
        <f>K21+K25</f>
        <v/>
      </c>
      <c r="L26" s="25">
        <f>L21+L25</f>
        <v/>
      </c>
      <c r="M26" s="25">
        <f>M21+M25</f>
        <v/>
      </c>
    </row>
    <row r="27">
      <c r="A27" s="8" t="inlineStr">
        <is>
          <t>Gross margin %</t>
        </is>
      </c>
      <c r="B27" s="26">
        <f>B26/B21</f>
        <v/>
      </c>
      <c r="C27" s="26">
        <f>C26/C21</f>
        <v/>
      </c>
      <c r="D27" s="26">
        <f>D26/D21</f>
        <v/>
      </c>
      <c r="E27" s="26">
        <f>E26/E21</f>
        <v/>
      </c>
      <c r="F27" s="26">
        <f>F26/F21</f>
        <v/>
      </c>
      <c r="G27" s="26">
        <f>G26/G21</f>
        <v/>
      </c>
      <c r="H27" s="26">
        <f>H26/H21</f>
        <v/>
      </c>
      <c r="I27" s="26">
        <f>I26/I21</f>
        <v/>
      </c>
      <c r="J27" s="26">
        <f>J26/J21</f>
        <v/>
      </c>
      <c r="K27" s="26">
        <f>K26/K21</f>
        <v/>
      </c>
      <c r="L27" s="26">
        <f>L26/L21</f>
        <v/>
      </c>
      <c r="M27" s="26">
        <f>M26/M21</f>
        <v/>
      </c>
    </row>
    <row r="29" ht="16" customHeight="1">
      <c r="A29" s="5" t="inlineStr">
        <is>
          <t>OPERATING EXPENSES</t>
        </is>
      </c>
    </row>
    <row r="30">
      <c r="A30" s="13" t="inlineStr">
        <is>
          <t xml:space="preserve">   Other income</t>
        </is>
      </c>
      <c r="B30" s="22">
        <f>Assumptions!B29</f>
        <v/>
      </c>
      <c r="C30" s="22">
        <f>Assumptions!C29</f>
        <v/>
      </c>
      <c r="D30" s="22">
        <f>Assumptions!D29</f>
        <v/>
      </c>
      <c r="E30" s="22">
        <f>Assumptions!E29</f>
        <v/>
      </c>
      <c r="F30" s="22">
        <f>Assumptions!F79</f>
        <v/>
      </c>
      <c r="G30" s="22">
        <f>Assumptions!G79</f>
        <v/>
      </c>
      <c r="H30" s="22">
        <f>Assumptions!H79</f>
        <v/>
      </c>
      <c r="I30" s="22">
        <f>Assumptions!I79</f>
        <v/>
      </c>
      <c r="J30" s="22">
        <f>Assumptions!J79</f>
        <v/>
      </c>
      <c r="K30" s="22">
        <f>Assumptions!K79</f>
        <v/>
      </c>
      <c r="L30" s="22">
        <f>Assumptions!L79</f>
        <v/>
      </c>
      <c r="M30" s="22">
        <f>Assumptions!M79</f>
        <v/>
      </c>
    </row>
    <row r="31">
      <c r="A31" s="13" t="inlineStr">
        <is>
          <t xml:space="preserve">   Staff costs</t>
        </is>
      </c>
      <c r="B31" s="22">
        <f>Assumptions!B32</f>
        <v/>
      </c>
      <c r="C31" s="22">
        <f>Assumptions!C32</f>
        <v/>
      </c>
      <c r="D31" s="22">
        <f>Assumptions!D32</f>
        <v/>
      </c>
      <c r="E31" s="22">
        <f>Assumptions!E32</f>
        <v/>
      </c>
      <c r="F31" s="22">
        <f>-F21*Assumptions!F82</f>
        <v/>
      </c>
      <c r="G31" s="22">
        <f>-G21*Assumptions!G82</f>
        <v/>
      </c>
      <c r="H31" s="22">
        <f>-H21*Assumptions!H82</f>
        <v/>
      </c>
      <c r="I31" s="22">
        <f>-I21*Assumptions!I82</f>
        <v/>
      </c>
      <c r="J31" s="22">
        <f>-J21*Assumptions!J82</f>
        <v/>
      </c>
      <c r="K31" s="22">
        <f>-K21*Assumptions!K82</f>
        <v/>
      </c>
      <c r="L31" s="22">
        <f>-L21*Assumptions!L82</f>
        <v/>
      </c>
      <c r="M31" s="22">
        <f>-M21*Assumptions!M82</f>
        <v/>
      </c>
    </row>
    <row r="32">
      <c r="A32" s="13" t="inlineStr">
        <is>
          <t xml:space="preserve">   Other operating expenses</t>
        </is>
      </c>
      <c r="B32" s="22">
        <f>Assumptions!B35</f>
        <v/>
      </c>
      <c r="C32" s="22">
        <f>Assumptions!C35</f>
        <v/>
      </c>
      <c r="D32" s="22">
        <f>Assumptions!D35</f>
        <v/>
      </c>
      <c r="E32" s="22">
        <f>Assumptions!E35</f>
        <v/>
      </c>
      <c r="F32" s="22">
        <f>-F21*(Assumptions!F85+$C$7)</f>
        <v/>
      </c>
      <c r="G32" s="22">
        <f>-G21*(Assumptions!G85+$C$7)</f>
        <v/>
      </c>
      <c r="H32" s="22">
        <f>-H21*(Assumptions!H85+$C$7)</f>
        <v/>
      </c>
      <c r="I32" s="22">
        <f>-I21*(Assumptions!I85+$C$7)</f>
        <v/>
      </c>
      <c r="J32" s="22">
        <f>-J21*(Assumptions!J85+$C$7)</f>
        <v/>
      </c>
      <c r="K32" s="22">
        <f>-K21*(Assumptions!K85+$C$7)</f>
        <v/>
      </c>
      <c r="L32" s="22">
        <f>-L21*(Assumptions!L85+$C$7)</f>
        <v/>
      </c>
      <c r="M32" s="22">
        <f>-M21*(Assumptions!M85+$C$7)</f>
        <v/>
      </c>
    </row>
    <row r="33">
      <c r="A33" s="24" t="inlineStr">
        <is>
          <t>Total Operating Expenses</t>
        </is>
      </c>
      <c r="B33" s="25">
        <f>B31+B32</f>
        <v/>
      </c>
      <c r="C33" s="25">
        <f>C31+C32</f>
        <v/>
      </c>
      <c r="D33" s="25">
        <f>D31+D32</f>
        <v/>
      </c>
      <c r="E33" s="25">
        <f>E31+E32</f>
        <v/>
      </c>
      <c r="F33" s="25">
        <f>F31+F32</f>
        <v/>
      </c>
      <c r="G33" s="25">
        <f>G31+G32</f>
        <v/>
      </c>
      <c r="H33" s="25">
        <f>H31+H32</f>
        <v/>
      </c>
      <c r="I33" s="25">
        <f>I31+I32</f>
        <v/>
      </c>
      <c r="J33" s="25">
        <f>J31+J32</f>
        <v/>
      </c>
      <c r="K33" s="25">
        <f>K31+K32</f>
        <v/>
      </c>
      <c r="L33" s="25">
        <f>L31+L32</f>
        <v/>
      </c>
      <c r="M33" s="25">
        <f>M31+M32</f>
        <v/>
      </c>
    </row>
    <row r="34">
      <c r="A34" s="8" t="inlineStr">
        <is>
          <t>Operating expenses — % of sales</t>
        </is>
      </c>
      <c r="B34" s="26">
        <f>-B33/B21</f>
        <v/>
      </c>
      <c r="C34" s="26">
        <f>-C33/C21</f>
        <v/>
      </c>
      <c r="D34" s="26">
        <f>-D33/D21</f>
        <v/>
      </c>
      <c r="E34" s="26">
        <f>-E33/E21</f>
        <v/>
      </c>
      <c r="F34" s="26">
        <f>-F33/F21</f>
        <v/>
      </c>
      <c r="G34" s="26">
        <f>-G33/G21</f>
        <v/>
      </c>
      <c r="H34" s="26">
        <f>-H33/H21</f>
        <v/>
      </c>
      <c r="I34" s="26">
        <f>-I33/I21</f>
        <v/>
      </c>
      <c r="J34" s="26">
        <f>-J33/J21</f>
        <v/>
      </c>
      <c r="K34" s="26">
        <f>-K33/K21</f>
        <v/>
      </c>
      <c r="L34" s="26">
        <f>-L33/L21</f>
        <v/>
      </c>
      <c r="M34" s="26">
        <f>-M33/M21</f>
        <v/>
      </c>
    </row>
    <row r="36" ht="16" customHeight="1">
      <c r="A36" s="5" t="inlineStr">
        <is>
          <t>EBITDA, D&amp;A &amp; EBIT</t>
        </is>
      </c>
    </row>
    <row r="37">
      <c r="A37" s="24" t="inlineStr">
        <is>
          <t>EBITDA</t>
        </is>
      </c>
      <c r="B37" s="25">
        <f>B26+B30+B33</f>
        <v/>
      </c>
      <c r="C37" s="25">
        <f>C26+C30+C33</f>
        <v/>
      </c>
      <c r="D37" s="25">
        <f>D26+D30+D33</f>
        <v/>
      </c>
      <c r="E37" s="25">
        <f>E26+E30+E33</f>
        <v/>
      </c>
      <c r="F37" s="25">
        <f>F26+F30+F33</f>
        <v/>
      </c>
      <c r="G37" s="25">
        <f>G26+G30+G33</f>
        <v/>
      </c>
      <c r="H37" s="25">
        <f>H26+H30+H33</f>
        <v/>
      </c>
      <c r="I37" s="25">
        <f>I26+I30+I33</f>
        <v/>
      </c>
      <c r="J37" s="25">
        <f>J26+J30+J33</f>
        <v/>
      </c>
      <c r="K37" s="25">
        <f>K26+K30+K33</f>
        <v/>
      </c>
      <c r="L37" s="25">
        <f>L26+L30+L33</f>
        <v/>
      </c>
      <c r="M37" s="25">
        <f>M26+M30+M33</f>
        <v/>
      </c>
    </row>
    <row r="38">
      <c r="A38" s="8" t="inlineStr">
        <is>
          <t>EBITDA margin %</t>
        </is>
      </c>
      <c r="B38" s="26">
        <f>B37/B21</f>
        <v/>
      </c>
      <c r="C38" s="26">
        <f>C37/C21</f>
        <v/>
      </c>
      <c r="D38" s="26">
        <f>D37/D21</f>
        <v/>
      </c>
      <c r="E38" s="26">
        <f>E37/E21</f>
        <v/>
      </c>
      <c r="F38" s="26">
        <f>F37/F21</f>
        <v/>
      </c>
      <c r="G38" s="26">
        <f>G37/G21</f>
        <v/>
      </c>
      <c r="H38" s="26">
        <f>H37/H21</f>
        <v/>
      </c>
      <c r="I38" s="26">
        <f>I37/I21</f>
        <v/>
      </c>
      <c r="J38" s="26">
        <f>J37/J21</f>
        <v/>
      </c>
      <c r="K38" s="26">
        <f>K37/K21</f>
        <v/>
      </c>
      <c r="L38" s="26">
        <f>L37/L21</f>
        <v/>
      </c>
      <c r="M38" s="26">
        <f>M37/M21</f>
        <v/>
      </c>
    </row>
    <row r="39">
      <c r="A39" s="13" t="inlineStr">
        <is>
          <t xml:space="preserve">   Depreciation &amp; amortisation</t>
        </is>
      </c>
      <c r="B39" s="22">
        <f>Assumptions!B38</f>
        <v/>
      </c>
      <c r="C39" s="22">
        <f>Assumptions!C38</f>
        <v/>
      </c>
      <c r="D39" s="22">
        <f>Assumptions!D38</f>
        <v/>
      </c>
      <c r="E39" s="22">
        <f>Assumptions!E38</f>
        <v/>
      </c>
      <c r="F39" s="22">
        <f>-F21*Assumptions!F88</f>
        <v/>
      </c>
      <c r="G39" s="22">
        <f>-G21*Assumptions!G88</f>
        <v/>
      </c>
      <c r="H39" s="22">
        <f>-H21*Assumptions!H88</f>
        <v/>
      </c>
      <c r="I39" s="22">
        <f>-I21*Assumptions!I88</f>
        <v/>
      </c>
      <c r="J39" s="22">
        <f>-J21*Assumptions!J88</f>
        <v/>
      </c>
      <c r="K39" s="22">
        <f>-K21*Assumptions!K88</f>
        <v/>
      </c>
      <c r="L39" s="22">
        <f>-L21*Assumptions!L88</f>
        <v/>
      </c>
      <c r="M39" s="22">
        <f>-M21*Assumptions!M88</f>
        <v/>
      </c>
    </row>
    <row r="40">
      <c r="A40" s="24" t="inlineStr">
        <is>
          <t>EBIT</t>
        </is>
      </c>
      <c r="B40" s="25">
        <f>B37+B39</f>
        <v/>
      </c>
      <c r="C40" s="25">
        <f>C37+C39</f>
        <v/>
      </c>
      <c r="D40" s="25">
        <f>D37+D39</f>
        <v/>
      </c>
      <c r="E40" s="25">
        <f>E37+E39</f>
        <v/>
      </c>
      <c r="F40" s="25">
        <f>F37+F39</f>
        <v/>
      </c>
      <c r="G40" s="25">
        <f>G37+G39</f>
        <v/>
      </c>
      <c r="H40" s="25">
        <f>H37+H39</f>
        <v/>
      </c>
      <c r="I40" s="25">
        <f>I37+I39</f>
        <v/>
      </c>
      <c r="J40" s="25">
        <f>J37+J39</f>
        <v/>
      </c>
      <c r="K40" s="25">
        <f>K37+K39</f>
        <v/>
      </c>
      <c r="L40" s="25">
        <f>L37+L39</f>
        <v/>
      </c>
      <c r="M40" s="25">
        <f>M37+M39</f>
        <v/>
      </c>
    </row>
    <row r="41">
      <c r="A41" s="13" t="inlineStr">
        <is>
          <t xml:space="preserve">   Non-recurring / QoE adjustments</t>
        </is>
      </c>
      <c r="B41" s="22">
        <f>Assumptions!B41</f>
        <v/>
      </c>
      <c r="C41" s="22">
        <f>Assumptions!C41</f>
        <v/>
      </c>
      <c r="D41" s="22">
        <f>Assumptions!D41</f>
        <v/>
      </c>
      <c r="E41" s="22">
        <f>Assumptions!E41</f>
        <v/>
      </c>
      <c r="F41" s="22">
        <f>Assumptions!F91</f>
        <v/>
      </c>
      <c r="G41" s="22">
        <f>Assumptions!G91</f>
        <v/>
      </c>
      <c r="H41" s="22">
        <f>Assumptions!H91</f>
        <v/>
      </c>
      <c r="I41" s="22">
        <f>Assumptions!I91</f>
        <v/>
      </c>
      <c r="J41" s="22">
        <f>Assumptions!J91</f>
        <v/>
      </c>
      <c r="K41" s="22">
        <f>Assumptions!K91</f>
        <v/>
      </c>
      <c r="L41" s="22">
        <f>Assumptions!L91</f>
        <v/>
      </c>
      <c r="M41" s="22">
        <f>Assumptions!M91</f>
        <v/>
      </c>
    </row>
    <row r="42">
      <c r="A42" s="24" t="inlineStr">
        <is>
          <t>Adjusted EBITDA</t>
        </is>
      </c>
      <c r="B42" s="25">
        <f>B37+B41</f>
        <v/>
      </c>
      <c r="C42" s="25">
        <f>C37+C41</f>
        <v/>
      </c>
      <c r="D42" s="25">
        <f>D37+D41</f>
        <v/>
      </c>
      <c r="E42" s="25">
        <f>E37+E41</f>
        <v/>
      </c>
      <c r="F42" s="25">
        <f>F37+F41</f>
        <v/>
      </c>
      <c r="G42" s="25">
        <f>G37+G41</f>
        <v/>
      </c>
      <c r="H42" s="25">
        <f>H37+H41</f>
        <v/>
      </c>
      <c r="I42" s="25">
        <f>I37+I41</f>
        <v/>
      </c>
      <c r="J42" s="25">
        <f>J37+J41</f>
        <v/>
      </c>
      <c r="K42" s="25">
        <f>K37+K41</f>
        <v/>
      </c>
      <c r="L42" s="25">
        <f>L37+L41</f>
        <v/>
      </c>
      <c r="M42" s="25">
        <f>M37+M41</f>
        <v/>
      </c>
    </row>
    <row r="43">
      <c r="A43" s="8" t="inlineStr">
        <is>
          <t>Adjusted EBITDA margin %</t>
        </is>
      </c>
      <c r="B43" s="26">
        <f>B42/B21</f>
        <v/>
      </c>
      <c r="C43" s="26">
        <f>C42/C21</f>
        <v/>
      </c>
      <c r="D43" s="26">
        <f>D42/D21</f>
        <v/>
      </c>
      <c r="E43" s="26">
        <f>E42/E21</f>
        <v/>
      </c>
      <c r="F43" s="26">
        <f>F42/F21</f>
        <v/>
      </c>
      <c r="G43" s="26">
        <f>G42/G21</f>
        <v/>
      </c>
      <c r="H43" s="26">
        <f>H42/H21</f>
        <v/>
      </c>
      <c r="I43" s="26">
        <f>I42/I21</f>
        <v/>
      </c>
      <c r="J43" s="26">
        <f>J42/J21</f>
        <v/>
      </c>
      <c r="K43" s="26">
        <f>K42/K21</f>
        <v/>
      </c>
      <c r="L43" s="26">
        <f>L42/L21</f>
        <v/>
      </c>
      <c r="M43" s="26">
        <f>M42/M21</f>
        <v/>
      </c>
    </row>
    <row r="45">
      <c r="A45" s="6" t="inlineStr">
        <is>
          <t>Δ Net working capital</t>
        </is>
      </c>
      <c r="B45" s="22">
        <f>Assumptions!B44</f>
        <v/>
      </c>
      <c r="C45" s="22">
        <f>Assumptions!C44</f>
        <v/>
      </c>
      <c r="D45" s="22">
        <f>Assumptions!D44</f>
        <v/>
      </c>
      <c r="E45" s="22">
        <f>Assumptions!E44</f>
        <v/>
      </c>
      <c r="F45" s="22">
        <f>Assumptions!F94*(1+$C$9)</f>
        <v/>
      </c>
      <c r="G45" s="22">
        <f>Assumptions!G94*(1+$C$9)</f>
        <v/>
      </c>
      <c r="H45" s="22">
        <f>Assumptions!H94*(1+$C$9)</f>
        <v/>
      </c>
      <c r="I45" s="22">
        <f>Assumptions!I94*(1+$C$9)</f>
        <v/>
      </c>
      <c r="J45" s="22">
        <f>Assumptions!J94*(1+$C$9)</f>
        <v/>
      </c>
      <c r="K45" s="22">
        <f>Assumptions!K94*(1+$C$9)</f>
        <v/>
      </c>
      <c r="L45" s="22">
        <f>Assumptions!L94*(1+$C$9)</f>
        <v/>
      </c>
      <c r="M45" s="22">
        <f>Assumptions!M94*(1+$C$9)</f>
        <v/>
      </c>
    </row>
    <row r="46">
      <c r="A46" s="24" t="inlineStr">
        <is>
          <t>Operating Cash Flow</t>
        </is>
      </c>
      <c r="B46" s="25">
        <f>B42+B45</f>
        <v/>
      </c>
      <c r="C46" s="25">
        <f>C42+C45</f>
        <v/>
      </c>
      <c r="D46" s="25">
        <f>D42+D45</f>
        <v/>
      </c>
      <c r="E46" s="25">
        <f>E42+E45</f>
        <v/>
      </c>
      <c r="F46" s="25">
        <f>F42+F45</f>
        <v/>
      </c>
      <c r="G46" s="25">
        <f>G42+G45</f>
        <v/>
      </c>
      <c r="H46" s="25">
        <f>H42+H45</f>
        <v/>
      </c>
      <c r="I46" s="25">
        <f>I42+I45</f>
        <v/>
      </c>
      <c r="J46" s="25">
        <f>J42+J45</f>
        <v/>
      </c>
      <c r="K46" s="25">
        <f>K42+K45</f>
        <v/>
      </c>
      <c r="L46" s="25">
        <f>L42+L45</f>
        <v/>
      </c>
      <c r="M46" s="25">
        <f>M42+M45</f>
        <v/>
      </c>
    </row>
    <row r="47">
      <c r="A47" s="8" t="inlineStr">
        <is>
          <t>OCF : Adjusted EBITDA %</t>
        </is>
      </c>
      <c r="B47" s="26">
        <f>B46/B42</f>
        <v/>
      </c>
      <c r="C47" s="26">
        <f>C46/C42</f>
        <v/>
      </c>
      <c r="D47" s="26">
        <f>D46/D42</f>
        <v/>
      </c>
      <c r="E47" s="26">
        <f>E46/E42</f>
        <v/>
      </c>
      <c r="F47" s="26">
        <f>F46/F42</f>
        <v/>
      </c>
      <c r="G47" s="26">
        <f>G46/G42</f>
        <v/>
      </c>
      <c r="H47" s="26">
        <f>H46/H42</f>
        <v/>
      </c>
      <c r="I47" s="26">
        <f>I46/I42</f>
        <v/>
      </c>
      <c r="J47" s="26">
        <f>J46/J42</f>
        <v/>
      </c>
      <c r="K47" s="26">
        <f>K46/K42</f>
        <v/>
      </c>
      <c r="L47" s="26">
        <f>L46/L42</f>
        <v/>
      </c>
      <c r="M47" s="26">
        <f>M46/M42</f>
        <v/>
      </c>
    </row>
    <row r="49" ht="16" customHeight="1">
      <c r="A49" s="5" t="inlineStr">
        <is>
          <t>CAPEX</t>
        </is>
      </c>
    </row>
    <row r="50">
      <c r="A50" s="13" t="inlineStr">
        <is>
          <t xml:space="preserve">   Maintenance capex</t>
        </is>
      </c>
      <c r="B50" s="22">
        <f>Assumptions!B47</f>
        <v/>
      </c>
      <c r="C50" s="22">
        <f>Assumptions!C47</f>
        <v/>
      </c>
      <c r="D50" s="22">
        <f>Assumptions!D47</f>
        <v/>
      </c>
      <c r="E50" s="22">
        <f>Assumptions!E47</f>
        <v/>
      </c>
      <c r="F50" s="22">
        <f>-F21*Assumptions!F97*(1+$C$8)</f>
        <v/>
      </c>
      <c r="G50" s="22">
        <f>-G21*Assumptions!G97*(1+$C$8)</f>
        <v/>
      </c>
      <c r="H50" s="22">
        <f>-H21*Assumptions!H97*(1+$C$8)</f>
        <v/>
      </c>
      <c r="I50" s="22">
        <f>-I21*Assumptions!I97*(1+$C$8)</f>
        <v/>
      </c>
      <c r="J50" s="22">
        <f>-J21*Assumptions!J97*(1+$C$8)</f>
        <v/>
      </c>
      <c r="K50" s="22">
        <f>-K21*Assumptions!K97*(1+$C$8)</f>
        <v/>
      </c>
      <c r="L50" s="22">
        <f>-L21*Assumptions!L97*(1+$C$8)</f>
        <v/>
      </c>
      <c r="M50" s="22">
        <f>-M21*Assumptions!M97*(1+$C$8)</f>
        <v/>
      </c>
    </row>
    <row r="51">
      <c r="A51" s="13" t="inlineStr">
        <is>
          <t xml:space="preserve">   Growth capex</t>
        </is>
      </c>
      <c r="B51" s="22">
        <f>Assumptions!B50</f>
        <v/>
      </c>
      <c r="C51" s="22">
        <f>Assumptions!C50</f>
        <v/>
      </c>
      <c r="D51" s="22">
        <f>Assumptions!D50</f>
        <v/>
      </c>
      <c r="E51" s="22">
        <f>Assumptions!E50</f>
        <v/>
      </c>
      <c r="F51" s="22">
        <f>-F21*Assumptions!F100*(1+$C$8)</f>
        <v/>
      </c>
      <c r="G51" s="22">
        <f>-G21*Assumptions!G100*(1+$C$8)</f>
        <v/>
      </c>
      <c r="H51" s="22">
        <f>-H21*Assumptions!H100*(1+$C$8)</f>
        <v/>
      </c>
      <c r="I51" s="22">
        <f>-I21*Assumptions!I100*(1+$C$8)</f>
        <v/>
      </c>
      <c r="J51" s="22">
        <f>-J21*Assumptions!J100*(1+$C$8)</f>
        <v/>
      </c>
      <c r="K51" s="22">
        <f>-K21*Assumptions!K100*(1+$C$8)</f>
        <v/>
      </c>
      <c r="L51" s="22">
        <f>-L21*Assumptions!L100*(1+$C$8)</f>
        <v/>
      </c>
      <c r="M51" s="22">
        <f>-M21*Assumptions!M100*(1+$C$8)</f>
        <v/>
      </c>
    </row>
    <row r="52">
      <c r="A52" s="24" t="inlineStr">
        <is>
          <t>Total capex</t>
        </is>
      </c>
      <c r="B52" s="25">
        <f>B50+B51</f>
        <v/>
      </c>
      <c r="C52" s="25">
        <f>C50+C51</f>
        <v/>
      </c>
      <c r="D52" s="25">
        <f>D50+D51</f>
        <v/>
      </c>
      <c r="E52" s="25">
        <f>E50+E51</f>
        <v/>
      </c>
      <c r="F52" s="25">
        <f>F50+F51</f>
        <v/>
      </c>
      <c r="G52" s="25">
        <f>G50+G51</f>
        <v/>
      </c>
      <c r="H52" s="25">
        <f>H50+H51</f>
        <v/>
      </c>
      <c r="I52" s="25">
        <f>I50+I51</f>
        <v/>
      </c>
      <c r="J52" s="25">
        <f>J50+J51</f>
        <v/>
      </c>
      <c r="K52" s="25">
        <f>K50+K51</f>
        <v/>
      </c>
      <c r="L52" s="25">
        <f>L50+L51</f>
        <v/>
      </c>
      <c r="M52" s="25">
        <f>M50+M51</f>
        <v/>
      </c>
    </row>
    <row r="53">
      <c r="A53" s="8" t="inlineStr">
        <is>
          <t>Total capex — % of sales</t>
        </is>
      </c>
      <c r="B53" s="26">
        <f>-B52/B21</f>
        <v/>
      </c>
      <c r="C53" s="26">
        <f>-C52/C21</f>
        <v/>
      </c>
      <c r="D53" s="26">
        <f>-D52/D21</f>
        <v/>
      </c>
      <c r="E53" s="26">
        <f>-E52/E21</f>
        <v/>
      </c>
      <c r="F53" s="26">
        <f>-F52/F21</f>
        <v/>
      </c>
      <c r="G53" s="26">
        <f>-G52/G21</f>
        <v/>
      </c>
      <c r="H53" s="26">
        <f>-H52/H21</f>
        <v/>
      </c>
      <c r="I53" s="26">
        <f>-I52/I21</f>
        <v/>
      </c>
      <c r="J53" s="26">
        <f>-J52/J21</f>
        <v/>
      </c>
      <c r="K53" s="26">
        <f>-K52/K21</f>
        <v/>
      </c>
      <c r="L53" s="26">
        <f>-L52/L21</f>
        <v/>
      </c>
      <c r="M53" s="26">
        <f>-M52/M21</f>
        <v/>
      </c>
    </row>
    <row r="54">
      <c r="A54" s="8" t="inlineStr">
        <is>
          <t>Memo: cash conversion post capex % (of Adjusted EBITDA)</t>
        </is>
      </c>
      <c r="B54" s="26">
        <f>(B46+B52)/B42</f>
        <v/>
      </c>
      <c r="C54" s="26">
        <f>(C46+C52)/C42</f>
        <v/>
      </c>
      <c r="D54" s="26">
        <f>(D46+D52)/D42</f>
        <v/>
      </c>
      <c r="E54" s="26">
        <f>(E46+E52)/E42</f>
        <v/>
      </c>
      <c r="F54" s="26">
        <f>(F46+F52)/F42</f>
        <v/>
      </c>
      <c r="G54" s="26">
        <f>(G46+G52)/G42</f>
        <v/>
      </c>
      <c r="H54" s="26">
        <f>(H46+H52)/H42</f>
        <v/>
      </c>
      <c r="I54" s="26">
        <f>(I46+I52)/I42</f>
        <v/>
      </c>
      <c r="J54" s="26">
        <f>(J46+J52)/J42</f>
        <v/>
      </c>
      <c r="K54" s="26">
        <f>(K46+K52)/K42</f>
        <v/>
      </c>
      <c r="L54" s="26">
        <f>(L46+L52)/L42</f>
        <v/>
      </c>
      <c r="M54" s="26">
        <f>(M46+M52)/M42</f>
        <v/>
      </c>
    </row>
    <row r="56" ht="16" customHeight="1">
      <c r="A56" s="5" t="inlineStr">
        <is>
          <t>CASH AVAILABLE FOR DEBT SERVICE (CFADS)</t>
        </is>
      </c>
    </row>
    <row r="57">
      <c r="A57" s="13" t="inlineStr">
        <is>
          <t xml:space="preserve">   Exceptional &amp; other cash items</t>
        </is>
      </c>
      <c r="B57" s="22">
        <f>Assumptions!B53</f>
        <v/>
      </c>
      <c r="C57" s="22">
        <f>Assumptions!C53</f>
        <v/>
      </c>
      <c r="D57" s="22">
        <f>Assumptions!D53</f>
        <v/>
      </c>
      <c r="E57" s="22">
        <f>Assumptions!E53</f>
        <v/>
      </c>
      <c r="F57" s="22">
        <f>Assumptions!F103</f>
        <v/>
      </c>
      <c r="G57" s="22">
        <f>Assumptions!G103</f>
        <v/>
      </c>
      <c r="H57" s="22">
        <f>Assumptions!H103</f>
        <v/>
      </c>
      <c r="I57" s="22">
        <f>Assumptions!I103</f>
        <v/>
      </c>
      <c r="J57" s="22">
        <f>Assumptions!J103</f>
        <v/>
      </c>
      <c r="K57" s="22">
        <f>Assumptions!K103</f>
        <v/>
      </c>
      <c r="L57" s="22">
        <f>Assumptions!L103</f>
        <v/>
      </c>
      <c r="M57" s="22">
        <f>Assumptions!M103</f>
        <v/>
      </c>
    </row>
    <row r="58">
      <c r="A58" s="13" t="inlineStr">
        <is>
          <t xml:space="preserve">   Cash taxes paid</t>
        </is>
      </c>
      <c r="B58" s="22">
        <f>Assumptions!B56</f>
        <v/>
      </c>
      <c r="C58" s="22">
        <f>Assumptions!C56</f>
        <v/>
      </c>
      <c r="D58" s="22">
        <f>Assumptions!D56</f>
        <v/>
      </c>
      <c r="E58" s="22">
        <f>Assumptions!E56</f>
        <v/>
      </c>
      <c r="F58" s="22">
        <f>-MAX(0,F40)*Assumptions!F106</f>
        <v/>
      </c>
      <c r="G58" s="22">
        <f>-MAX(0,G40)*Assumptions!G106</f>
        <v/>
      </c>
      <c r="H58" s="22">
        <f>-MAX(0,H40)*Assumptions!H106</f>
        <v/>
      </c>
      <c r="I58" s="22">
        <f>-MAX(0,I40)*Assumptions!I106</f>
        <v/>
      </c>
      <c r="J58" s="22">
        <f>-MAX(0,J40)*Assumptions!J106</f>
        <v/>
      </c>
      <c r="K58" s="22">
        <f>-MAX(0,K40)*Assumptions!K106</f>
        <v/>
      </c>
      <c r="L58" s="22">
        <f>-MAX(0,L40)*Assumptions!L106</f>
        <v/>
      </c>
      <c r="M58" s="22">
        <f>-MAX(0,M40)*Assumptions!M106</f>
        <v/>
      </c>
    </row>
    <row r="59">
      <c r="A59" s="24" t="inlineStr">
        <is>
          <t>Cash Available for Debt Service (CFADS)</t>
        </is>
      </c>
      <c r="B59" s="25">
        <f>B46+B52+B57+B58</f>
        <v/>
      </c>
      <c r="C59" s="25">
        <f>C46+C52+C57+C58</f>
        <v/>
      </c>
      <c r="D59" s="25">
        <f>D46+D52+D57+D58</f>
        <v/>
      </c>
      <c r="E59" s="25">
        <f>E46+E52+E57+E58</f>
        <v/>
      </c>
      <c r="F59" s="25">
        <f>F46+F52+F57+F58</f>
        <v/>
      </c>
      <c r="G59" s="25">
        <f>G46+G52+G57+G58</f>
        <v/>
      </c>
      <c r="H59" s="25">
        <f>H46+H52+H57+H58</f>
        <v/>
      </c>
      <c r="I59" s="25">
        <f>I46+I52+I57+I58</f>
        <v/>
      </c>
      <c r="J59" s="25">
        <f>J46+J52+J57+J58</f>
        <v/>
      </c>
      <c r="K59" s="25">
        <f>K46+K52+K57+K58</f>
        <v/>
      </c>
      <c r="L59" s="25">
        <f>L46+L52+L57+L58</f>
        <v/>
      </c>
      <c r="M59" s="25">
        <f>M46+M52+M57+M58</f>
        <v/>
      </c>
    </row>
    <row r="60">
      <c r="A60" s="8" t="inlineStr">
        <is>
          <t>CFADS conversion % (of Adjusted EBITDA)</t>
        </is>
      </c>
      <c r="B60" s="26">
        <f>B59/B42</f>
        <v/>
      </c>
      <c r="C60" s="26">
        <f>C59/C42</f>
        <v/>
      </c>
      <c r="D60" s="26">
        <f>D59/D42</f>
        <v/>
      </c>
      <c r="E60" s="26">
        <f>E59/E42</f>
        <v/>
      </c>
      <c r="F60" s="26">
        <f>F59/F42</f>
        <v/>
      </c>
      <c r="G60" s="26">
        <f>G59/G42</f>
        <v/>
      </c>
      <c r="H60" s="26">
        <f>H59/H42</f>
        <v/>
      </c>
      <c r="I60" s="26">
        <f>I59/I42</f>
        <v/>
      </c>
      <c r="J60" s="26">
        <f>J59/J42</f>
        <v/>
      </c>
      <c r="K60" s="26">
        <f>K59/K42</f>
        <v/>
      </c>
      <c r="L60" s="26">
        <f>L59/L42</f>
        <v/>
      </c>
      <c r="M60" s="26">
        <f>M59/M42</f>
        <v/>
      </c>
    </row>
    <row r="61">
      <c r="A61" s="6" t="inlineStr">
        <is>
          <t>Total net cash interest payments</t>
        </is>
      </c>
      <c r="B61" s="27">
        <f>Assumptions!B59</f>
        <v/>
      </c>
      <c r="C61" s="27">
        <f>Assumptions!C59</f>
        <v/>
      </c>
      <c r="D61" s="27">
        <f>Assumptions!D59</f>
        <v/>
      </c>
      <c r="E61" s="27">
        <f>Assumptions!E59</f>
        <v/>
      </c>
      <c r="F61" s="27">
        <f>-E84*(Assumptions!$C$114+Assumptions!$C$115+$C$10/10000)</f>
        <v/>
      </c>
      <c r="G61" s="27">
        <f>-F84*(Assumptions!$C$114+Assumptions!$C$115+$C$10/10000)</f>
        <v/>
      </c>
      <c r="H61" s="27">
        <f>-G84*(Assumptions!$C$114+Assumptions!$C$115+$C$10/10000)</f>
        <v/>
      </c>
      <c r="I61" s="27">
        <f>-H84*(Assumptions!$C$114+Assumptions!$C$115+$C$10/10000)</f>
        <v/>
      </c>
      <c r="J61" s="27">
        <f>-I84*(Assumptions!$C$114+Assumptions!$C$115+$C$10/10000)</f>
        <v/>
      </c>
      <c r="K61" s="27">
        <f>-J84*(Assumptions!$C$114+Assumptions!$C$115+$C$10/10000)</f>
        <v/>
      </c>
      <c r="L61" s="27">
        <f>-K84*(Assumptions!$C$114+Assumptions!$C$115+$C$10/10000)</f>
        <v/>
      </c>
      <c r="M61" s="27">
        <f>-L84*(Assumptions!$C$114+Assumptions!$C$115+$C$10/10000)</f>
        <v/>
      </c>
    </row>
    <row r="62">
      <c r="A62" s="6" t="inlineStr">
        <is>
          <t>FCF before Debt Payment / Drawdown</t>
        </is>
      </c>
      <c r="B62" s="28">
        <f>B59+B61</f>
        <v/>
      </c>
      <c r="C62" s="28">
        <f>C59+C61</f>
        <v/>
      </c>
      <c r="D62" s="28">
        <f>D59+D61</f>
        <v/>
      </c>
      <c r="E62" s="28">
        <f>E59+E61</f>
        <v/>
      </c>
      <c r="F62" s="28">
        <f>F59+F61</f>
        <v/>
      </c>
      <c r="G62" s="28">
        <f>G59+G61</f>
        <v/>
      </c>
      <c r="H62" s="28">
        <f>H59+H61</f>
        <v/>
      </c>
      <c r="I62" s="28">
        <f>I59+I61</f>
        <v/>
      </c>
      <c r="J62" s="28">
        <f>J59+J61</f>
        <v/>
      </c>
      <c r="K62" s="28">
        <f>K59+K61</f>
        <v/>
      </c>
      <c r="L62" s="28">
        <f>L59+L61</f>
        <v/>
      </c>
      <c r="M62" s="28">
        <f>M59+M61</f>
        <v/>
      </c>
    </row>
    <row r="64" ht="16" customHeight="1">
      <c r="A64" s="5" t="inlineStr">
        <is>
          <t>ACQUISITION / NON-ORGANIC FINANCING  (self-funding — optional, leave 0 if not applicable)</t>
        </is>
      </c>
    </row>
    <row r="65">
      <c r="A65" s="13" t="inlineStr">
        <is>
          <t xml:space="preserve">   Acquisition-related cash outflow</t>
        </is>
      </c>
      <c r="B65" s="22">
        <f>Assumptions!B62</f>
        <v/>
      </c>
      <c r="C65" s="22">
        <f>Assumptions!C62</f>
        <v/>
      </c>
      <c r="D65" s="22">
        <f>Assumptions!D62</f>
        <v/>
      </c>
      <c r="E65" s="22">
        <f>Assumptions!E62</f>
        <v/>
      </c>
      <c r="F65" s="22">
        <f>Assumptions!F109</f>
        <v/>
      </c>
      <c r="G65" s="22">
        <f>Assumptions!G109</f>
        <v/>
      </c>
      <c r="H65" s="22">
        <f>Assumptions!H109</f>
        <v/>
      </c>
      <c r="I65" s="22">
        <f>Assumptions!I109</f>
        <v/>
      </c>
      <c r="J65" s="22">
        <f>Assumptions!J109</f>
        <v/>
      </c>
      <c r="K65" s="22">
        <f>Assumptions!K109</f>
        <v/>
      </c>
      <c r="L65" s="22">
        <f>Assumptions!L109</f>
        <v/>
      </c>
      <c r="M65" s="22">
        <f>Assumptions!M109</f>
        <v/>
      </c>
    </row>
    <row r="66">
      <c r="A66" s="13" t="inlineStr">
        <is>
          <t xml:space="preserve">   Acquisition / delayed-draw facility drawdown</t>
        </is>
      </c>
      <c r="B66" s="22">
        <f>Assumptions!B65</f>
        <v/>
      </c>
      <c r="C66" s="22">
        <f>Assumptions!C65</f>
        <v/>
      </c>
      <c r="D66" s="22">
        <f>Assumptions!D65</f>
        <v/>
      </c>
      <c r="E66" s="22">
        <f>Assumptions!E65</f>
        <v/>
      </c>
      <c r="F66" s="22">
        <f>Assumptions!F112</f>
        <v/>
      </c>
      <c r="G66" s="22">
        <f>Assumptions!G112</f>
        <v/>
      </c>
      <c r="H66" s="22">
        <f>Assumptions!H112</f>
        <v/>
      </c>
      <c r="I66" s="22">
        <f>Assumptions!I112</f>
        <v/>
      </c>
      <c r="J66" s="22">
        <f>Assumptions!J112</f>
        <v/>
      </c>
      <c r="K66" s="22">
        <f>Assumptions!K112</f>
        <v/>
      </c>
      <c r="L66" s="22">
        <f>Assumptions!L112</f>
        <v/>
      </c>
      <c r="M66" s="22">
        <f>Assumptions!M112</f>
        <v/>
      </c>
    </row>
    <row r="67">
      <c r="A67" s="8" t="inlineStr">
        <is>
          <t>Net acquisition-financing impact (memo, should ≈ 0 if fully self-funded)</t>
        </is>
      </c>
      <c r="B67" s="29">
        <f>B65+B66</f>
        <v/>
      </c>
      <c r="C67" s="29">
        <f>C65+C66</f>
        <v/>
      </c>
      <c r="D67" s="29">
        <f>D65+D66</f>
        <v/>
      </c>
      <c r="E67" s="29">
        <f>E65+E66</f>
        <v/>
      </c>
      <c r="F67" s="29">
        <f>F65+F66</f>
        <v/>
      </c>
      <c r="G67" s="29">
        <f>G65+G66</f>
        <v/>
      </c>
      <c r="H67" s="29">
        <f>H65+H66</f>
        <v/>
      </c>
      <c r="I67" s="29">
        <f>I65+I66</f>
        <v/>
      </c>
      <c r="J67" s="29">
        <f>J65+J66</f>
        <v/>
      </c>
      <c r="K67" s="29">
        <f>K65+K66</f>
        <v/>
      </c>
      <c r="L67" s="29">
        <f>L65+L66</f>
        <v/>
      </c>
      <c r="M67" s="29">
        <f>M65+M66</f>
        <v/>
      </c>
    </row>
    <row r="69" ht="16" customHeight="1">
      <c r="A69" s="5" t="inlineStr">
        <is>
          <t>DEBT &amp; CASH ROLL-FORWARD  (Stub/At-Close column = opening balances; pre-close years N/A)</t>
        </is>
      </c>
    </row>
    <row r="70">
      <c r="A70" s="13" t="inlineStr">
        <is>
          <t xml:space="preserve">   Opening cash balance</t>
        </is>
      </c>
      <c r="E70" s="30">
        <f>Assumptions!$C$121</f>
        <v/>
      </c>
      <c r="F70" s="30">
        <f>E77</f>
        <v/>
      </c>
      <c r="G70" s="30">
        <f>F77</f>
        <v/>
      </c>
      <c r="H70" s="30">
        <f>G77</f>
        <v/>
      </c>
      <c r="I70" s="30">
        <f>H77</f>
        <v/>
      </c>
      <c r="J70" s="30">
        <f>I77</f>
        <v/>
      </c>
      <c r="K70" s="30">
        <f>J77</f>
        <v/>
      </c>
      <c r="L70" s="30">
        <f>K77</f>
        <v/>
      </c>
      <c r="M70" s="30">
        <f>L77</f>
        <v/>
      </c>
    </row>
    <row r="71">
      <c r="A71" s="13" t="inlineStr">
        <is>
          <t xml:space="preserve">   (+) FCF before Debt Payment / Drawdown</t>
        </is>
      </c>
      <c r="E71" s="30">
        <f>E62</f>
        <v/>
      </c>
      <c r="F71" s="30">
        <f>F62</f>
        <v/>
      </c>
      <c r="G71" s="30">
        <f>G62</f>
        <v/>
      </c>
      <c r="H71" s="30">
        <f>H62</f>
        <v/>
      </c>
      <c r="I71" s="30">
        <f>I62</f>
        <v/>
      </c>
      <c r="J71" s="30">
        <f>J62</f>
        <v/>
      </c>
      <c r="K71" s="30">
        <f>K62</f>
        <v/>
      </c>
      <c r="L71" s="30">
        <f>L62</f>
        <v/>
      </c>
      <c r="M71" s="30">
        <f>M62</f>
        <v/>
      </c>
    </row>
    <row r="72">
      <c r="A72" s="13" t="inlineStr">
        <is>
          <t xml:space="preserve">   (+) Net acquisition-financing impact</t>
        </is>
      </c>
      <c r="E72" s="30">
        <f>E67</f>
        <v/>
      </c>
      <c r="F72" s="30">
        <f>F67</f>
        <v/>
      </c>
      <c r="G72" s="30">
        <f>G67</f>
        <v/>
      </c>
      <c r="H72" s="30">
        <f>H67</f>
        <v/>
      </c>
      <c r="I72" s="30">
        <f>I67</f>
        <v/>
      </c>
      <c r="J72" s="30">
        <f>J67</f>
        <v/>
      </c>
      <c r="K72" s="30">
        <f>K67</f>
        <v/>
      </c>
      <c r="L72" s="30">
        <f>L67</f>
        <v/>
      </c>
      <c r="M72" s="30">
        <f>M67</f>
        <v/>
      </c>
    </row>
    <row r="73">
      <c r="A73" s="13" t="inlineStr">
        <is>
          <t xml:space="preserve">   (–) Term Loan scheduled amortisation</t>
        </is>
      </c>
      <c r="E73" s="30" t="n">
        <v>0</v>
      </c>
      <c r="F73" s="30">
        <f>-Assumptions!$C$118*Assumptions!$C$119</f>
        <v/>
      </c>
      <c r="G73" s="30">
        <f>-Assumptions!$C$118*Assumptions!$C$119</f>
        <v/>
      </c>
      <c r="H73" s="30">
        <f>-Assumptions!$C$118*Assumptions!$C$119</f>
        <v/>
      </c>
      <c r="I73" s="30">
        <f>-Assumptions!$C$118*Assumptions!$C$119</f>
        <v/>
      </c>
      <c r="J73" s="30">
        <f>-Assumptions!$C$118*Assumptions!$C$119</f>
        <v/>
      </c>
      <c r="K73" s="30">
        <f>-Assumptions!$C$118*Assumptions!$C$119</f>
        <v/>
      </c>
      <c r="L73" s="30">
        <f>-Assumptions!$C$118*Assumptions!$C$119</f>
        <v/>
      </c>
      <c r="M73" s="30">
        <f>-Assumptions!$C$118*Assumptions!$C$119</f>
        <v/>
      </c>
    </row>
    <row r="74">
      <c r="A74" s="13" t="inlineStr">
        <is>
          <t xml:space="preserve">   (–) Term Loan bullet repayment (final forecast period)</t>
        </is>
      </c>
      <c r="E74" s="30" t="n">
        <v>0</v>
      </c>
      <c r="F74" s="30" t="n">
        <v>0</v>
      </c>
      <c r="G74" s="30" t="n">
        <v>0</v>
      </c>
      <c r="H74" s="30" t="n">
        <v>0</v>
      </c>
      <c r="I74" s="30" t="n">
        <v>0</v>
      </c>
      <c r="J74" s="30" t="n">
        <v>0</v>
      </c>
      <c r="K74" s="30" t="n">
        <v>0</v>
      </c>
      <c r="L74" s="30" t="n">
        <v>0</v>
      </c>
      <c r="M74" s="30">
        <f>-L82*Assumptions!$C$120</f>
        <v/>
      </c>
    </row>
    <row r="75">
      <c r="A75" s="31" t="inlineStr">
        <is>
          <t>Net cash before revolver</t>
        </is>
      </c>
      <c r="B75" s="32" t="n"/>
      <c r="C75" s="32" t="n"/>
      <c r="D75" s="32" t="n"/>
      <c r="E75" s="33">
        <f>E70+E71+E72+E73+E74</f>
        <v/>
      </c>
      <c r="F75" s="33">
        <f>F70+F71+F72+F73+F74</f>
        <v/>
      </c>
      <c r="G75" s="33">
        <f>G70+G71+G72+G73+G74</f>
        <v/>
      </c>
      <c r="H75" s="33">
        <f>H70+H71+H72+H73+H74</f>
        <v/>
      </c>
      <c r="I75" s="33">
        <f>I70+I71+I72+I73+I74</f>
        <v/>
      </c>
      <c r="J75" s="33">
        <f>J70+J71+J72+J73+J74</f>
        <v/>
      </c>
      <c r="K75" s="33">
        <f>K70+K71+K72+K73+K74</f>
        <v/>
      </c>
      <c r="L75" s="33">
        <f>L70+L71+L72+L73+L74</f>
        <v/>
      </c>
      <c r="M75" s="33">
        <f>M70+M71+M72+M73+M74</f>
        <v/>
      </c>
    </row>
    <row r="76">
      <c r="A76" s="13" t="inlineStr">
        <is>
          <t xml:space="preserve">   (+/–) RCF drawdown / (repayment)</t>
        </is>
      </c>
      <c r="E76" s="30">
        <f>IF(E75&lt;0,MIN(Assumptions!$C$116-0,-E75),-MIN(0,E75))</f>
        <v/>
      </c>
      <c r="F76" s="30">
        <f>IF(F75&lt;0,MIN(Assumptions!$C$116-E80,-F75),-MIN(E80,F75))</f>
        <v/>
      </c>
      <c r="G76" s="30">
        <f>IF(G75&lt;0,MIN(Assumptions!$C$116-F80,-G75),-MIN(F80,G75))</f>
        <v/>
      </c>
      <c r="H76" s="30">
        <f>IF(H75&lt;0,MIN(Assumptions!$C$116-G80,-H75),-MIN(G80,H75))</f>
        <v/>
      </c>
      <c r="I76" s="30">
        <f>IF(I75&lt;0,MIN(Assumptions!$C$116-H80,-I75),-MIN(H80,I75))</f>
        <v/>
      </c>
      <c r="J76" s="30">
        <f>IF(J75&lt;0,MIN(Assumptions!$C$116-I80,-J75),-MIN(I80,J75))</f>
        <v/>
      </c>
      <c r="K76" s="30">
        <f>IF(K75&lt;0,MIN(Assumptions!$C$116-J80,-K75),-MIN(J80,K75))</f>
        <v/>
      </c>
      <c r="L76" s="30">
        <f>IF(L75&lt;0,MIN(Assumptions!$C$116-K80,-L75),-MIN(K80,L75))</f>
        <v/>
      </c>
      <c r="M76" s="30">
        <f>IF(M75&lt;0,MIN(Assumptions!$C$116-L80,-M75),-MIN(L80,M75))</f>
        <v/>
      </c>
    </row>
    <row r="77">
      <c r="A77" s="24" t="inlineStr">
        <is>
          <t>Closing cash balance</t>
        </is>
      </c>
      <c r="B77" s="32" t="n"/>
      <c r="C77" s="32" t="n"/>
      <c r="D77" s="32" t="n"/>
      <c r="E77" s="28">
        <f>E75+E76</f>
        <v/>
      </c>
      <c r="F77" s="28">
        <f>F75+F76</f>
        <v/>
      </c>
      <c r="G77" s="28">
        <f>G75+G76</f>
        <v/>
      </c>
      <c r="H77" s="28">
        <f>H75+H76</f>
        <v/>
      </c>
      <c r="I77" s="28">
        <f>I75+I76</f>
        <v/>
      </c>
      <c r="J77" s="28">
        <f>J75+J76</f>
        <v/>
      </c>
      <c r="K77" s="28">
        <f>K75+K76</f>
        <v/>
      </c>
      <c r="L77" s="28">
        <f>L75+L76</f>
        <v/>
      </c>
      <c r="M77" s="28">
        <f>M75+M76</f>
        <v/>
      </c>
    </row>
    <row r="79" ht="16" customHeight="1">
      <c r="A79" s="5" t="inlineStr">
        <is>
          <t>DEBT BALANCES (period end)</t>
        </is>
      </c>
    </row>
    <row r="80">
      <c r="A80" s="13" t="inlineStr">
        <is>
          <t xml:space="preserve">   RCF drawn balance</t>
        </is>
      </c>
      <c r="E80" s="30">
        <f>0+E76</f>
        <v/>
      </c>
      <c r="F80" s="30">
        <f>E80+F76</f>
        <v/>
      </c>
      <c r="G80" s="30">
        <f>F80+G76</f>
        <v/>
      </c>
      <c r="H80" s="30">
        <f>G80+H76</f>
        <v/>
      </c>
      <c r="I80" s="30">
        <f>H80+I76</f>
        <v/>
      </c>
      <c r="J80" s="30">
        <f>I80+J76</f>
        <v/>
      </c>
      <c r="K80" s="30">
        <f>J80+K76</f>
        <v/>
      </c>
      <c r="L80" s="30">
        <f>K80+L76</f>
        <v/>
      </c>
      <c r="M80" s="30">
        <f>L80+M76</f>
        <v/>
      </c>
    </row>
    <row r="81">
      <c r="A81" s="13" t="inlineStr">
        <is>
          <t xml:space="preserve">   Acquisition / delayed-draw facility balance</t>
        </is>
      </c>
      <c r="E81" s="30">
        <f>0+E66</f>
        <v/>
      </c>
      <c r="F81" s="30">
        <f>E81+F66</f>
        <v/>
      </c>
      <c r="G81" s="30">
        <f>F81+G66</f>
        <v/>
      </c>
      <c r="H81" s="30">
        <f>G81+H66</f>
        <v/>
      </c>
      <c r="I81" s="30">
        <f>H81+I66</f>
        <v/>
      </c>
      <c r="J81" s="30">
        <f>I81+J66</f>
        <v/>
      </c>
      <c r="K81" s="30">
        <f>J81+K66</f>
        <v/>
      </c>
      <c r="L81" s="30">
        <f>K81+L66</f>
        <v/>
      </c>
      <c r="M81" s="30">
        <f>L81+M66</f>
        <v/>
      </c>
    </row>
    <row r="82">
      <c r="A82" s="13" t="inlineStr">
        <is>
          <t xml:space="preserve">   Term Loan balance</t>
        </is>
      </c>
      <c r="E82" s="30">
        <f>Assumptions!$C$118</f>
        <v/>
      </c>
      <c r="F82" s="30">
        <f>E82+F73+F74</f>
        <v/>
      </c>
      <c r="G82" s="30">
        <f>F82+G73+G74</f>
        <v/>
      </c>
      <c r="H82" s="30">
        <f>G82+H73+H74</f>
        <v/>
      </c>
      <c r="I82" s="30">
        <f>H82+I73+I74</f>
        <v/>
      </c>
      <c r="J82" s="30">
        <f>I82+J73+J74</f>
        <v/>
      </c>
      <c r="K82" s="30">
        <f>J82+K73+K74</f>
        <v/>
      </c>
      <c r="L82" s="30">
        <f>K82+L73+L74</f>
        <v/>
      </c>
      <c r="M82" s="30">
        <f>L82+M73+M74</f>
        <v/>
      </c>
    </row>
    <row r="83">
      <c r="A83" s="24" t="inlineStr">
        <is>
          <t>Total Gross Debt</t>
        </is>
      </c>
      <c r="B83" s="32" t="n"/>
      <c r="C83" s="32" t="n"/>
      <c r="D83" s="32" t="n"/>
      <c r="E83" s="28">
        <f>E80+E81+E82</f>
        <v/>
      </c>
      <c r="F83" s="28">
        <f>F80+F81+F82</f>
        <v/>
      </c>
      <c r="G83" s="28">
        <f>G80+G81+G82</f>
        <v/>
      </c>
      <c r="H83" s="28">
        <f>H80+H81+H82</f>
        <v/>
      </c>
      <c r="I83" s="28">
        <f>I80+I81+I82</f>
        <v/>
      </c>
      <c r="J83" s="28">
        <f>J80+J81+J82</f>
        <v/>
      </c>
      <c r="K83" s="28">
        <f>K80+K81+K82</f>
        <v/>
      </c>
      <c r="L83" s="28">
        <f>L80+L81+L82</f>
        <v/>
      </c>
      <c r="M83" s="28">
        <f>M80+M81+M82</f>
        <v/>
      </c>
    </row>
    <row r="84">
      <c r="A84" s="24" t="inlineStr">
        <is>
          <t>Total Net Debt</t>
        </is>
      </c>
      <c r="B84" s="32" t="n"/>
      <c r="C84" s="32" t="n"/>
      <c r="D84" s="32" t="n"/>
      <c r="E84" s="28">
        <f>E83-E77</f>
        <v/>
      </c>
      <c r="F84" s="28">
        <f>F83-F77</f>
        <v/>
      </c>
      <c r="G84" s="28">
        <f>G83-G77</f>
        <v/>
      </c>
      <c r="H84" s="28">
        <f>H83-H77</f>
        <v/>
      </c>
      <c r="I84" s="28">
        <f>I83-I77</f>
        <v/>
      </c>
      <c r="J84" s="28">
        <f>J83-J77</f>
        <v/>
      </c>
      <c r="K84" s="28">
        <f>K83-K77</f>
        <v/>
      </c>
      <c r="L84" s="28">
        <f>L83-L77</f>
        <v/>
      </c>
      <c r="M84" s="28">
        <f>M83-M77</f>
        <v/>
      </c>
    </row>
    <row r="85">
      <c r="A85" s="8" t="inlineStr">
        <is>
          <t>Undrawn RCF</t>
        </is>
      </c>
      <c r="E85" s="34">
        <f>Assumptions!$C$116-E80</f>
        <v/>
      </c>
      <c r="F85" s="34">
        <f>Assumptions!$C$116-F80</f>
        <v/>
      </c>
      <c r="G85" s="34">
        <f>Assumptions!$C$116-G80</f>
        <v/>
      </c>
      <c r="H85" s="34">
        <f>Assumptions!$C$116-H80</f>
        <v/>
      </c>
      <c r="I85" s="34">
        <f>Assumptions!$C$116-I80</f>
        <v/>
      </c>
      <c r="J85" s="34">
        <f>Assumptions!$C$116-J80</f>
        <v/>
      </c>
      <c r="K85" s="34">
        <f>Assumptions!$C$116-K80</f>
        <v/>
      </c>
      <c r="L85" s="34">
        <f>Assumptions!$C$116-L80</f>
        <v/>
      </c>
      <c r="M85" s="34">
        <f>Assumptions!$C$116-M80</f>
        <v/>
      </c>
    </row>
    <row r="86">
      <c r="A86" s="8" t="inlineStr">
        <is>
          <t>Undrawn acquisition facility</t>
        </is>
      </c>
      <c r="E86" s="34">
        <f>Assumptions!$C$117-E81</f>
        <v/>
      </c>
      <c r="F86" s="34">
        <f>Assumptions!$C$117-F81</f>
        <v/>
      </c>
      <c r="G86" s="34">
        <f>Assumptions!$C$117-G81</f>
        <v/>
      </c>
      <c r="H86" s="34">
        <f>Assumptions!$C$117-H81</f>
        <v/>
      </c>
      <c r="I86" s="34">
        <f>Assumptions!$C$117-I81</f>
        <v/>
      </c>
      <c r="J86" s="34">
        <f>Assumptions!$C$117-J81</f>
        <v/>
      </c>
      <c r="K86" s="34">
        <f>Assumptions!$C$117-K81</f>
        <v/>
      </c>
      <c r="L86" s="34">
        <f>Assumptions!$C$117-L81</f>
        <v/>
      </c>
      <c r="M86" s="34">
        <f>Assumptions!$C$117-M81</f>
        <v/>
      </c>
    </row>
    <row r="88" ht="16" customHeight="1">
      <c r="A88" s="5" t="inlineStr">
        <is>
          <t>CREDIT METRICS</t>
        </is>
      </c>
    </row>
    <row r="89">
      <c r="A89" s="13" t="inlineStr">
        <is>
          <t xml:space="preserve">   Total Gross Debt / Adjusted EBITDA</t>
        </is>
      </c>
      <c r="E89" s="35">
        <f>E83/F42</f>
        <v/>
      </c>
      <c r="F89" s="35">
        <f>F83/F42</f>
        <v/>
      </c>
      <c r="G89" s="35">
        <f>G83/G42</f>
        <v/>
      </c>
      <c r="H89" s="35">
        <f>H83/H42</f>
        <v/>
      </c>
      <c r="I89" s="35">
        <f>I83/I42</f>
        <v/>
      </c>
      <c r="J89" s="35">
        <f>J83/J42</f>
        <v/>
      </c>
      <c r="K89" s="35">
        <f>K83/K42</f>
        <v/>
      </c>
      <c r="L89" s="35">
        <f>L83/L42</f>
        <v/>
      </c>
      <c r="M89" s="35">
        <f>M83/M42</f>
        <v/>
      </c>
    </row>
    <row r="90">
      <c r="A90" s="13" t="inlineStr">
        <is>
          <t xml:space="preserve">   Total Net Debt / Adjusted EBITDA</t>
        </is>
      </c>
      <c r="E90" s="35">
        <f>E84/F42</f>
        <v/>
      </c>
      <c r="F90" s="35">
        <f>F84/F42</f>
        <v/>
      </c>
      <c r="G90" s="35">
        <f>G84/G42</f>
        <v/>
      </c>
      <c r="H90" s="35">
        <f>H84/H42</f>
        <v/>
      </c>
      <c r="I90" s="35">
        <f>I84/I42</f>
        <v/>
      </c>
      <c r="J90" s="35">
        <f>J84/J42</f>
        <v/>
      </c>
      <c r="K90" s="35">
        <f>K84/K42</f>
        <v/>
      </c>
      <c r="L90" s="35">
        <f>L84/L42</f>
        <v/>
      </c>
      <c r="M90" s="35">
        <f>M84/M42</f>
        <v/>
      </c>
    </row>
    <row r="91">
      <c r="A91" s="13" t="inlineStr">
        <is>
          <t xml:space="preserve">   Adjusted EBITDA / Net cash interest (Interest Cover)</t>
        </is>
      </c>
      <c r="F91" s="35">
        <f>F42/(-F61)</f>
        <v/>
      </c>
      <c r="G91" s="35">
        <f>G42/(-G61)</f>
        <v/>
      </c>
      <c r="H91" s="35">
        <f>H42/(-H61)</f>
        <v/>
      </c>
      <c r="I91" s="35">
        <f>I42/(-I61)</f>
        <v/>
      </c>
      <c r="J91" s="35">
        <f>J42/(-J61)</f>
        <v/>
      </c>
      <c r="K91" s="35">
        <f>K42/(-K61)</f>
        <v/>
      </c>
      <c r="L91" s="35">
        <f>L42/(-L61)</f>
        <v/>
      </c>
      <c r="M91" s="35">
        <f>M42/(-M61)</f>
        <v/>
      </c>
    </row>
    <row r="92">
      <c r="A92" s="13" t="inlineStr">
        <is>
          <t xml:space="preserve">   Total DSCR  (CFADS ÷ [interest + mandatory repayments])</t>
        </is>
      </c>
      <c r="F92" s="35">
        <f>F59/(-F61-F73-F74)</f>
        <v/>
      </c>
      <c r="G92" s="35">
        <f>G59/(-G61-G73-G74)</f>
        <v/>
      </c>
      <c r="H92" s="35">
        <f>H59/(-H61-H73-H74)</f>
        <v/>
      </c>
      <c r="I92" s="35">
        <f>I59/(-I61-I73-I74)</f>
        <v/>
      </c>
      <c r="J92" s="35">
        <f>J59/(-J61-J73-J74)</f>
        <v/>
      </c>
      <c r="K92" s="35">
        <f>K59/(-K61-K73-K74)</f>
        <v/>
      </c>
      <c r="L92" s="35">
        <f>L59/(-L61-L73-L74)</f>
        <v/>
      </c>
      <c r="M92" s="35">
        <f>M59/(-M61-M73-M74)</f>
        <v/>
      </c>
    </row>
    <row r="94" ht="16" customHeight="1">
      <c r="A94" s="5" t="inlineStr">
        <is>
          <t>COVENANT HEADROOM</t>
        </is>
      </c>
    </row>
    <row r="95">
      <c r="A95" s="13" t="inlineStr">
        <is>
          <t xml:space="preserve">   Net leverage covenant ceiling (x)</t>
        </is>
      </c>
      <c r="F95" s="35">
        <f>Assumptions!$C$122</f>
        <v/>
      </c>
      <c r="G95" s="35">
        <f>Assumptions!$C$122</f>
        <v/>
      </c>
      <c r="H95" s="35">
        <f>Assumptions!$C$122</f>
        <v/>
      </c>
      <c r="I95" s="35">
        <f>Assumptions!$C$122</f>
        <v/>
      </c>
      <c r="J95" s="35">
        <f>Assumptions!$C$122</f>
        <v/>
      </c>
      <c r="K95" s="35">
        <f>Assumptions!$C$122</f>
        <v/>
      </c>
      <c r="L95" s="35">
        <f>Assumptions!$C$122</f>
        <v/>
      </c>
      <c r="M95" s="35">
        <f>Assumptions!$C$122</f>
        <v/>
      </c>
    </row>
    <row r="96">
      <c r="A96" s="13" t="inlineStr">
        <is>
          <t xml:space="preserve">   Leverage headroom (x, ceiling minus actual — negative = breach)</t>
        </is>
      </c>
      <c r="F96" s="35">
        <f>F95-F90</f>
        <v/>
      </c>
      <c r="G96" s="35">
        <f>G95-G90</f>
        <v/>
      </c>
      <c r="H96" s="35">
        <f>H95-H90</f>
        <v/>
      </c>
      <c r="I96" s="35">
        <f>I95-I90</f>
        <v/>
      </c>
      <c r="J96" s="35">
        <f>J95-J90</f>
        <v/>
      </c>
      <c r="K96" s="35">
        <f>K95-K90</f>
        <v/>
      </c>
      <c r="L96" s="35">
        <f>L95-L90</f>
        <v/>
      </c>
      <c r="M96" s="35">
        <f>M95-M90</f>
        <v/>
      </c>
    </row>
    <row r="97">
      <c r="A97" s="13" t="inlineStr">
        <is>
          <t xml:space="preserve">   Minimum DSCR covenant (x)</t>
        </is>
      </c>
      <c r="F97" s="35">
        <f>Assumptions!$C$123</f>
        <v/>
      </c>
      <c r="G97" s="35">
        <f>Assumptions!$C$123</f>
        <v/>
      </c>
      <c r="H97" s="35">
        <f>Assumptions!$C$123</f>
        <v/>
      </c>
      <c r="I97" s="35">
        <f>Assumptions!$C$123</f>
        <v/>
      </c>
      <c r="J97" s="35">
        <f>Assumptions!$C$123</f>
        <v/>
      </c>
      <c r="K97" s="35">
        <f>Assumptions!$C$123</f>
        <v/>
      </c>
      <c r="L97" s="35">
        <f>Assumptions!$C$123</f>
        <v/>
      </c>
      <c r="M97" s="35">
        <f>Assumptions!$C$123</f>
        <v/>
      </c>
    </row>
    <row r="98">
      <c r="A98" s="13" t="inlineStr">
        <is>
          <t xml:space="preserve">   DSCR headroom (x, actual minus minimum — negative = breach)</t>
        </is>
      </c>
      <c r="F98" s="35">
        <f>F92-F97</f>
        <v/>
      </c>
      <c r="G98" s="35">
        <f>G92-G97</f>
        <v/>
      </c>
      <c r="H98" s="35">
        <f>H92-H97</f>
        <v/>
      </c>
      <c r="I98" s="35">
        <f>I92-I97</f>
        <v/>
      </c>
      <c r="J98" s="35">
        <f>J92-J97</f>
        <v/>
      </c>
      <c r="K98" s="35">
        <f>K92-K97</f>
        <v/>
      </c>
      <c r="L98" s="35">
        <f>L92-L97</f>
        <v/>
      </c>
      <c r="M98" s="35">
        <f>M92-M97</f>
        <v/>
      </c>
    </row>
    <row r="99">
      <c r="A99" s="6" t="inlineStr">
        <is>
          <t>Covenant test result</t>
        </is>
      </c>
      <c r="F99" s="36">
        <f>IF(AND(F96&gt;=0,F98&gt;=0,F91&gt;=Assumptions!$C$124),"PASS","FAIL")</f>
        <v/>
      </c>
      <c r="G99" s="36">
        <f>IF(AND(G96&gt;=0,G98&gt;=0,G91&gt;=Assumptions!$C$124),"PASS","FAIL")</f>
        <v/>
      </c>
      <c r="H99" s="36">
        <f>IF(AND(H96&gt;=0,H98&gt;=0,H91&gt;=Assumptions!$C$124),"PASS","FAIL")</f>
        <v/>
      </c>
      <c r="I99" s="36">
        <f>IF(AND(I96&gt;=0,I98&gt;=0,I91&gt;=Assumptions!$C$124),"PASS","FAIL")</f>
        <v/>
      </c>
      <c r="J99" s="36">
        <f>IF(AND(J96&gt;=0,J98&gt;=0,J91&gt;=Assumptions!$C$124),"PASS","FAIL")</f>
        <v/>
      </c>
      <c r="K99" s="36">
        <f>IF(AND(K96&gt;=0,K98&gt;=0,K91&gt;=Assumptions!$C$124),"PASS","FAIL")</f>
        <v/>
      </c>
      <c r="L99" s="36">
        <f>IF(AND(L96&gt;=0,L98&gt;=0,L91&gt;=Assumptions!$C$124),"PASS","FAIL")</f>
        <v/>
      </c>
      <c r="M99" s="36">
        <f>IF(AND(M96&gt;=0,M98&gt;=0,M91&gt;=Assumptions!$C$124),"PASS","FAIL")</f>
        <v/>
      </c>
    </row>
  </sheetData>
  <mergeCells count="14">
    <mergeCell ref="A36:M36"/>
    <mergeCell ref="A14:M14"/>
    <mergeCell ref="A1:M1"/>
    <mergeCell ref="A94:M94"/>
    <mergeCell ref="A79:M79"/>
    <mergeCell ref="A88:M88"/>
    <mergeCell ref="A56:M56"/>
    <mergeCell ref="A4:M4"/>
    <mergeCell ref="A69:M69"/>
    <mergeCell ref="A29:M29"/>
    <mergeCell ref="A64:M64"/>
    <mergeCell ref="A24:M24"/>
    <mergeCell ref="A2:M2"/>
    <mergeCell ref="A49:M49"/>
  </mergeCells>
  <conditionalFormatting sqref="F99:M99">
    <cfRule type="cellIs" priority="1" operator="equal" dxfId="0">
      <formula>"PASS"</formula>
    </cfRule>
    <cfRule type="cellIs" priority="2" operator="equal" dxfId="1">
      <formula>"FAIL"</formula>
    </cfRule>
  </conditionalFormatting>
  <conditionalFormatting sqref="F96:M96">
    <cfRule type="cellIs" priority="3" operator="lessThan" dxfId="1">
      <formula>0</formula>
    </cfRule>
    <cfRule type="cellIs" priority="4" operator="greaterThanOrEqual" dxfId="0">
      <formula>0</formula>
    </cfRule>
  </conditionalFormatting>
  <conditionalFormatting sqref="F98:M98">
    <cfRule type="cellIs" priority="5" operator="lessThan" dxfId="1">
      <formula>0</formula>
    </cfRule>
    <cfRule type="cellIs" priority="6" operator="greaterThanOrEqual" dxfId="0">
      <formula>0</formula>
    </cfRule>
  </conditionalFormatting>
  <conditionalFormatting sqref="F90:M90">
    <cfRule type="expression" priority="7" dxfId="1">
      <formula>F90&gt;F95</formula>
    </cfRule>
  </conditionalFormatting>
  <conditionalFormatting sqref="F92:M92">
    <cfRule type="expression" priority="8" dxfId="1">
      <formula>F92&lt;1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08080"/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6" customHeight="1">
      <c r="A1" s="1" t="inlineStr">
        <is>
          <t>Sensitivity Summary — Key Credit Metrics Across Cases</t>
        </is>
      </c>
    </row>
    <row r="2">
      <c r="A2" s="4" t="inlineStr">
        <is>
          <t>Every cell below is a live link into the case tabs — tweak a flex assumption on any case tab and this page updates.</t>
        </is>
      </c>
    </row>
    <row r="4" ht="28" customHeight="1">
      <c r="A4" s="20" t="inlineStr">
        <is>
          <t>Metric</t>
        </is>
      </c>
      <c r="B4" s="21" t="inlineStr">
        <is>
          <t>1. Management Case</t>
        </is>
      </c>
      <c r="C4" s="21" t="inlineStr">
        <is>
          <t>2. Downside Case</t>
        </is>
      </c>
      <c r="D4" s="21" t="inlineStr">
        <is>
          <t>3. Severe Downside Case</t>
        </is>
      </c>
      <c r="E4" s="21" t="inlineStr">
        <is>
          <t>4. Reverse Stress</t>
        </is>
      </c>
      <c r="F4" s="21" t="inlineStr">
        <is>
          <t>5. Upside Case</t>
        </is>
      </c>
    </row>
    <row r="6">
      <c r="A6" s="37" t="inlineStr">
        <is>
          <t>Total Revenue, final forecast period (£m)</t>
        </is>
      </c>
      <c r="B6" s="38">
        <f>'1. Management Case'!M21</f>
        <v/>
      </c>
      <c r="C6" s="38">
        <f>'2. Downside Case'!M21</f>
        <v/>
      </c>
      <c r="D6" s="38">
        <f>'3. Severe Downside Case'!M21</f>
        <v/>
      </c>
      <c r="E6" s="38">
        <f>'4. Reverse Stress'!M21</f>
        <v/>
      </c>
      <c r="F6" s="38">
        <f>'5. Upside Case'!M21</f>
        <v/>
      </c>
    </row>
    <row r="7">
      <c r="A7" s="37" t="inlineStr">
        <is>
          <t>Adjusted EBITDA, final forecast period (£m)</t>
        </is>
      </c>
      <c r="B7" s="38">
        <f>'1. Management Case'!M42</f>
        <v/>
      </c>
      <c r="C7" s="38">
        <f>'2. Downside Case'!M42</f>
        <v/>
      </c>
      <c r="D7" s="38">
        <f>'3. Severe Downside Case'!M42</f>
        <v/>
      </c>
      <c r="E7" s="38">
        <f>'4. Reverse Stress'!M42</f>
        <v/>
      </c>
      <c r="F7" s="38">
        <f>'5. Upside Case'!M42</f>
        <v/>
      </c>
    </row>
    <row r="8">
      <c r="A8" s="39" t="inlineStr">
        <is>
          <t>Adjusted EBITDA margin, final forecast period (%)</t>
        </is>
      </c>
      <c r="B8" s="40">
        <f>'1. Management Case'!M42/'1. Management Case'!M21</f>
        <v/>
      </c>
      <c r="C8" s="40">
        <f>'2. Downside Case'!M42/'2. Downside Case'!M21</f>
        <v/>
      </c>
      <c r="D8" s="40">
        <f>'3. Severe Downside Case'!M42/'3. Severe Downside Case'!M21</f>
        <v/>
      </c>
      <c r="E8" s="40">
        <f>'4. Reverse Stress'!M42/'4. Reverse Stress'!M21</f>
        <v/>
      </c>
      <c r="F8" s="40">
        <f>'5. Upside Case'!M42/'5. Upside Case'!M21</f>
        <v/>
      </c>
    </row>
    <row r="10">
      <c r="A10" s="39" t="inlineStr">
        <is>
          <t>Net Leverage — FY1F (x)</t>
        </is>
      </c>
      <c r="B10" s="41">
        <f>'1. Management Case'!F90</f>
        <v/>
      </c>
      <c r="C10" s="41">
        <f>'2. Downside Case'!F90</f>
        <v/>
      </c>
      <c r="D10" s="41">
        <f>'3. Severe Downside Case'!F90</f>
        <v/>
      </c>
      <c r="E10" s="41">
        <f>'4. Reverse Stress'!F90</f>
        <v/>
      </c>
      <c r="F10" s="41">
        <f>'5. Upside Case'!F90</f>
        <v/>
      </c>
    </row>
    <row r="11">
      <c r="A11" s="39" t="inlineStr">
        <is>
          <t>Net Leverage — mid-forecast (x)</t>
        </is>
      </c>
      <c r="B11" s="41">
        <f>'1. Management Case'!I90</f>
        <v/>
      </c>
      <c r="C11" s="41">
        <f>'2. Downside Case'!I90</f>
        <v/>
      </c>
      <c r="D11" s="41">
        <f>'3. Severe Downside Case'!I90</f>
        <v/>
      </c>
      <c r="E11" s="41">
        <f>'4. Reverse Stress'!I90</f>
        <v/>
      </c>
      <c r="F11" s="41">
        <f>'5. Upside Case'!I90</f>
        <v/>
      </c>
    </row>
    <row r="12">
      <c r="A12" s="42" t="inlineStr">
        <is>
          <t>Net Leverage — final forecast period (x)</t>
        </is>
      </c>
      <c r="B12" s="43">
        <f>'1. Management Case'!M90</f>
        <v/>
      </c>
      <c r="C12" s="43">
        <f>'2. Downside Case'!M90</f>
        <v/>
      </c>
      <c r="D12" s="43">
        <f>'3. Severe Downside Case'!M90</f>
        <v/>
      </c>
      <c r="E12" s="43">
        <f>'4. Reverse Stress'!M90</f>
        <v/>
      </c>
      <c r="F12" s="43">
        <f>'5. Upside Case'!M90</f>
        <v/>
      </c>
    </row>
    <row r="14">
      <c r="A14" s="42" t="inlineStr">
        <is>
          <t>Minimum DSCR across the forecast (x)</t>
        </is>
      </c>
      <c r="B14" s="43">
        <f>MIN('1. Management Case'!F92:M92)</f>
        <v/>
      </c>
      <c r="C14" s="43">
        <f>MIN('2. Downside Case'!F92:M92)</f>
        <v/>
      </c>
      <c r="D14" s="43">
        <f>MIN('3. Severe Downside Case'!F92:M92)</f>
        <v/>
      </c>
      <c r="E14" s="43">
        <f>MIN('4. Reverse Stress'!F92:M92)</f>
        <v/>
      </c>
      <c r="F14" s="43">
        <f>MIN('5. Upside Case'!F92:M92)</f>
        <v/>
      </c>
    </row>
    <row r="15">
      <c r="A15" s="39" t="inlineStr">
        <is>
          <t>Minimum Interest Cover across the forecast (x)</t>
        </is>
      </c>
      <c r="B15" s="41">
        <f>MIN('1. Management Case'!F91:M91)</f>
        <v/>
      </c>
      <c r="C15" s="41">
        <f>MIN('2. Downside Case'!F91:M91)</f>
        <v/>
      </c>
      <c r="D15" s="41">
        <f>MIN('3. Severe Downside Case'!F91:M91)</f>
        <v/>
      </c>
      <c r="E15" s="41">
        <f>MIN('4. Reverse Stress'!F91:M91)</f>
        <v/>
      </c>
      <c r="F15" s="41">
        <f>MIN('5. Upside Case'!F91:M91)</f>
        <v/>
      </c>
    </row>
    <row r="16">
      <c r="A16" s="44" t="inlineStr">
        <is>
          <t>Worst leverage headroom across the forecast (x)</t>
        </is>
      </c>
      <c r="B16" s="43">
        <f>MIN('1. Management Case'!F96:M96)</f>
        <v/>
      </c>
      <c r="C16" s="43">
        <f>MIN('2. Downside Case'!F96:M96)</f>
        <v/>
      </c>
      <c r="D16" s="43">
        <f>MIN('3. Severe Downside Case'!F96:M96)</f>
        <v/>
      </c>
      <c r="E16" s="43">
        <f>MIN('4. Reverse Stress'!F96:M96)</f>
        <v/>
      </c>
      <c r="F16" s="43">
        <f>MIN('5. Upside Case'!F96:M96)</f>
        <v/>
      </c>
    </row>
    <row r="17">
      <c r="A17" s="39" t="inlineStr">
        <is>
          <t>Lowest undrawn RCF across the forecast (£m)</t>
        </is>
      </c>
      <c r="B17" s="38">
        <f>MIN('1. Management Case'!F85:M85)</f>
        <v/>
      </c>
      <c r="C17" s="38">
        <f>MIN('2. Downside Case'!F85:M85)</f>
        <v/>
      </c>
      <c r="D17" s="38">
        <f>MIN('3. Severe Downside Case'!F85:M85)</f>
        <v/>
      </c>
      <c r="E17" s="38">
        <f>MIN('4. Reverse Stress'!F85:M85)</f>
        <v/>
      </c>
      <c r="F17" s="38">
        <f>MIN('5. Upside Case'!F85:M85)</f>
        <v/>
      </c>
    </row>
    <row r="19">
      <c r="A19" s="42" t="inlineStr">
        <is>
          <t>Any covenant breach across the forecast?</t>
        </is>
      </c>
      <c r="B19" s="45">
        <f>IF(COUNTIF('1. Management Case'!F99:M99,"FAIL")&gt;0,"BREACH","Clean")</f>
        <v/>
      </c>
      <c r="C19" s="45">
        <f>IF(COUNTIF('2. Downside Case'!F99:M99,"FAIL")&gt;0,"BREACH","Clean")</f>
        <v/>
      </c>
      <c r="D19" s="45">
        <f>IF(COUNTIF('3. Severe Downside Case'!F99:M99,"FAIL")&gt;0,"BREACH","Clean")</f>
        <v/>
      </c>
      <c r="E19" s="45">
        <f>IF(COUNTIF('4. Reverse Stress'!F99:M99,"FAIL")&gt;0,"BREACH","Clean")</f>
        <v/>
      </c>
      <c r="F19" s="45">
        <f>IF(COUNTIF('5. Upside Case'!F99:M99,"FAIL")&gt;0,"BREACH","Clean")</f>
        <v/>
      </c>
    </row>
  </sheetData>
  <mergeCells count="2">
    <mergeCell ref="A2:F2"/>
    <mergeCell ref="A1:F1"/>
  </mergeCells>
  <conditionalFormatting sqref="B14:F14">
    <cfRule type="cellIs" priority="1" operator="lessThan" dxfId="1">
      <formula>1</formula>
    </cfRule>
  </conditionalFormatting>
  <conditionalFormatting sqref="B16:F16">
    <cfRule type="cellIs" priority="2" operator="lessThan" dxfId="1">
      <formula>0</formula>
    </cfRule>
  </conditionalFormatting>
  <conditionalFormatting sqref="B19:F19">
    <cfRule type="cellIs" priority="3" operator="equal" dxfId="1">
      <formula>"BREACH"</formula>
    </cfRule>
    <cfRule type="cellIs" priority="4" operator="equal" dxfId="0">
      <formula>"Clean"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2026-07-20T16:21:18Z</dcterms:created>
  <dcterms:modified xmlns:dcterms="http://purl.org/dc/terms/" xmlns:xsi="http://www.w3.org/2001/XMLSchema-instance" xsi:type="dcterms:W3CDTF">2026-07-20T16:21:19Z</dcterms:modified>
</cp:coreProperties>
</file>