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Forward Curve" sheetId="2" state="visible" r:id="rId2"/>
    <sheet xmlns:r="http://schemas.openxmlformats.org/officeDocument/2006/relationships" name="Scenario Grid" sheetId="3" state="visible" r:id="rId3"/>
    <sheet xmlns:r="http://schemas.openxmlformats.org/officeDocument/2006/relationships" name="Method" sheetId="4" state="visible" r:id="rId4"/>
  </sheets>
  <definedNames>
    <definedName name="Notional">Inputs!$B$5</definedName>
    <definedName name="SpotNow">Inputs!$B$6</definedName>
    <definedName name="RateUSD">Inputs!$B$7</definedName>
    <definedName name="RateEUR">Inputs!$B$8</definedName>
    <definedName name="EurDeployed">Inputs!$B$11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%"/>
    <numFmt numFmtId="166" formatCode="0&quot; bp&quot;"/>
    <numFmt numFmtId="167" formatCode="0.00000"/>
    <numFmt numFmtId="168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FF0B0B0B"/>
      <sz val="15"/>
    </font>
    <font>
      <name val="Calibri"/>
      <i val="1"/>
      <color rgb="FF33322F"/>
      <sz val="9.5"/>
    </font>
    <font>
      <name val="Calibri"/>
      <b val="1"/>
      <color rgb="FFE34948"/>
      <sz val="9"/>
    </font>
    <font>
      <name val="Calibri"/>
      <color rgb="FF0B0B0B"/>
      <sz val="10"/>
    </font>
    <font>
      <name val="Calibri"/>
      <b val="1"/>
      <color rgb="FF0B0B0B"/>
      <sz val="10"/>
    </font>
    <font>
      <name val="Calibri"/>
      <color rgb="FF33322F"/>
      <sz val="8.5"/>
    </font>
    <font>
      <name val="Calibri"/>
      <b val="1"/>
      <color rgb="FF2A78D6"/>
      <sz val="10"/>
    </font>
    <font>
      <name val="Calibri"/>
      <color rgb="FF33322F"/>
      <sz val="9"/>
    </font>
    <font>
      <name val="Calibri"/>
      <b val="1"/>
      <color rgb="FFA02523"/>
      <sz val="9"/>
    </font>
    <font>
      <name val="Calibri"/>
      <b val="1"/>
      <color rgb="FFFFFFFF"/>
      <sz val="8.5"/>
    </font>
    <font>
      <name val="Calibri"/>
      <i val="1"/>
      <color rgb="FF33322F"/>
      <sz val="8.5"/>
    </font>
    <font>
      <name val="Calibri"/>
      <b val="1"/>
      <color rgb="FFE34948"/>
      <sz val="10"/>
    </font>
    <font>
      <name val="Calibri"/>
      <color rgb="FF0B0B0B"/>
      <sz val="9"/>
    </font>
  </fonts>
  <fills count="6">
    <fill>
      <patternFill/>
    </fill>
    <fill>
      <patternFill patternType="gray125"/>
    </fill>
    <fill>
      <patternFill patternType="solid">
        <fgColor rgb="FFFFF8E1"/>
      </patternFill>
    </fill>
    <fill>
      <patternFill patternType="solid">
        <fgColor rgb="FFF7F6F3"/>
      </patternFill>
    </fill>
    <fill>
      <patternFill patternType="solid">
        <fgColor rgb="FF1F1F1E"/>
      </patternFill>
    </fill>
    <fill>
      <patternFill patternType="solid">
        <fgColor rgb="FFFDF0D3"/>
      </patternFill>
    </fill>
  </fills>
  <borders count="2">
    <border>
      <left/>
      <right/>
      <top/>
      <bottom/>
      <diagonal/>
    </border>
    <border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3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164" fontId="5" fillId="0" borderId="1" applyAlignment="1" pivotButton="0" quotePrefix="0" xfId="0">
      <alignment horizontal="center" vertical="center"/>
    </xf>
    <xf numFmtId="3" fontId="13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8" fontId="1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" customWidth="1" min="3" max="3"/>
    <col width="74" customWidth="1" min="4" max="4"/>
  </cols>
  <sheetData>
    <row r="1">
      <c r="A1" s="1" t="inlineStr">
        <is>
          <t>EURUSD scenario analysis — USD 100m hedge</t>
        </is>
      </c>
    </row>
    <row r="2">
      <c r="A2" s="2" t="inlineStr">
        <is>
          <t>Current spot versus spot at maturity, across tenors. Change anything shaded and every grid recomputes.</t>
        </is>
      </c>
    </row>
    <row r="4">
      <c r="A4" s="3" t="inlineStr">
        <is>
          <t>POSITION  —  edit these</t>
        </is>
      </c>
    </row>
    <row r="5">
      <c r="A5" s="4" t="inlineStr">
        <is>
          <t>Hedged notional (USD)</t>
        </is>
      </c>
      <c r="B5" s="5" t="n">
        <v>100000000</v>
      </c>
      <c r="D5" s="6" t="inlineStr">
        <is>
          <t>The fund holds this much USD asset and sells it forward against EUR.</t>
        </is>
      </c>
    </row>
    <row r="6">
      <c r="A6" s="4" t="inlineStr">
        <is>
          <t>EURUSD spot today</t>
        </is>
      </c>
      <c r="B6" s="7" t="n">
        <v>1.1</v>
      </c>
      <c r="D6" s="6" t="inlineStr">
        <is>
          <t>USD per EUR.</t>
        </is>
      </c>
    </row>
    <row r="7">
      <c r="A7" s="4" t="inlineStr">
        <is>
          <t>USD interest rate</t>
        </is>
      </c>
      <c r="B7" s="8" t="n">
        <v>0.045</v>
      </c>
      <c r="D7" s="6" t="inlineStr"/>
    </row>
    <row r="8">
      <c r="A8" s="4" t="inlineStr">
        <is>
          <t>EUR interest rate</t>
        </is>
      </c>
      <c r="B8" s="8" t="n">
        <v>0.025</v>
      </c>
      <c r="D8" s="6" t="inlineStr">
        <is>
          <t>Fund base currency.</t>
        </is>
      </c>
    </row>
    <row r="10">
      <c r="A10" s="3" t="inlineStr">
        <is>
          <t>DERIVED</t>
        </is>
      </c>
    </row>
    <row r="11">
      <c r="A11" s="4" t="inlineStr">
        <is>
          <t>EUR deployed at inception</t>
        </is>
      </c>
      <c r="B11" s="9">
        <f>Notional/SpotNow</f>
        <v/>
      </c>
      <c r="D11" s="6" t="inlineStr">
        <is>
          <t>What the USD asset cost the fund in euros.</t>
        </is>
      </c>
    </row>
    <row r="12">
      <c r="A12" s="4" t="inlineStr">
        <is>
          <t>Rate differential</t>
        </is>
      </c>
      <c r="B12" s="10">
        <f>(RateUSD-RateEUR)*10000</f>
        <v/>
      </c>
      <c r="D12" s="6" t="inlineStr">
        <is>
          <t>The annual cost of hedging, before any FX move.</t>
        </is>
      </c>
    </row>
    <row r="15">
      <c r="A15" s="3" t="inlineStr">
        <is>
          <t>HOW TO READ THE GRIDS</t>
        </is>
      </c>
    </row>
    <row r="16">
      <c r="A16" s="11" t="inlineStr">
        <is>
          <t>Grid A — hedge P&amp;L in EUR. This is the CASH that settles, and it swings enormously with spot. It is the exposure.</t>
        </is>
      </c>
    </row>
    <row r="17">
      <c r="A17" s="11" t="inlineStr">
        <is>
          <t>Grid B — the same thing as a percentage of the hedged notional.</t>
        </is>
      </c>
    </row>
    <row r="18">
      <c r="A18" s="11" t="inlineStr">
        <is>
          <t>Grid C — the offsetting revaluation of the USD asset in EUR. Equal and opposite to the spot component of grid A.</t>
        </is>
      </c>
    </row>
    <row r="19">
      <c r="A19" s="11" t="inlineStr">
        <is>
          <t>Grid D — grid A plus grid C, the net economic position.</t>
        </is>
      </c>
    </row>
    <row r="20">
      <c r="A20" s="11" t="inlineStr"/>
    </row>
    <row r="21">
      <c r="A21" s="12" t="inlineStr">
        <is>
          <t>Grid D is the important one. Read DOWN any column: the number never changes, whatever spot does. That is the whole</t>
        </is>
      </c>
    </row>
    <row r="22">
      <c r="A22" s="11" t="inlineStr">
        <is>
          <t>'a fully hedged position leaves only the carry' argument, and it is correct. Now read down the same column of grid A,</t>
        </is>
      </c>
    </row>
    <row r="23">
      <c r="A23" s="11" t="inlineStr">
        <is>
          <t>where the number moves by tens of millions. The gap between those two behaviours is the gap between net economic cost</t>
        </is>
      </c>
    </row>
    <row r="24">
      <c r="A24" s="11" t="inlineStr">
        <is>
          <t>and gross unsettled obligation — and a limit has to be written against grid A, not grid D.</t>
        </is>
      </c>
    </row>
    <row r="25">
      <c r="A25" s="11" t="inlineStr"/>
    </row>
    <row r="26">
      <c r="A26" s="11" t="inlineStr">
        <is>
          <t>Grid E — the cash the fund must find at settlement, which is grid A when grid A is negative and zero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Forward curve</t>
        </is>
      </c>
    </row>
    <row r="2">
      <c r="A2" s="2" t="inlineStr">
        <is>
          <t>Built from covered interest parity. Override with traded points where you have them — the override wins.</t>
        </is>
      </c>
    </row>
    <row r="4">
      <c r="A4" s="13" t="inlineStr">
        <is>
          <t>Tenor</t>
        </is>
      </c>
      <c r="B4" s="13" t="inlineStr">
        <is>
          <t>Years</t>
        </is>
      </c>
      <c r="C4" s="13" t="inlineStr">
        <is>
          <t>CIP forward</t>
        </is>
      </c>
      <c r="D4" s="13" t="inlineStr">
        <is>
          <t>Traded points (optional)</t>
        </is>
      </c>
      <c r="E4" s="13" t="inlineStr">
        <is>
          <t>Forward used</t>
        </is>
      </c>
      <c r="F4" s="13" t="inlineStr">
        <is>
          <t>Annualised hedge cost</t>
        </is>
      </c>
    </row>
    <row r="5">
      <c r="A5" s="14" t="inlineStr">
        <is>
          <t>3M</t>
        </is>
      </c>
      <c r="B5" s="15" t="n">
        <v>0.25</v>
      </c>
      <c r="C5" s="16">
        <f>SpotNow*(1+RateUSD*B5)/(1+RateEUR*B5)</f>
        <v/>
      </c>
      <c r="D5" s="17" t="n"/>
      <c r="E5" s="16">
        <f>IF(D5="",C5,SpotNow+D5/10000)</f>
        <v/>
      </c>
      <c r="F5" s="18">
        <f>(E5/SpotNow)^(1/B5)-1</f>
        <v/>
      </c>
    </row>
    <row r="6">
      <c r="A6" s="14" t="inlineStr">
        <is>
          <t>6M</t>
        </is>
      </c>
      <c r="B6" s="15" t="n">
        <v>0.5</v>
      </c>
      <c r="C6" s="16">
        <f>SpotNow*(1+RateUSD*B6)/(1+RateEUR*B6)</f>
        <v/>
      </c>
      <c r="D6" s="17" t="n"/>
      <c r="E6" s="16">
        <f>IF(D6="",C6,SpotNow+D6/10000)</f>
        <v/>
      </c>
      <c r="F6" s="18">
        <f>(E6/SpotNow)^(1/B6)-1</f>
        <v/>
      </c>
    </row>
    <row r="7">
      <c r="A7" s="14" t="inlineStr">
        <is>
          <t>1Y</t>
        </is>
      </c>
      <c r="B7" s="15" t="n">
        <v>1</v>
      </c>
      <c r="C7" s="16">
        <f>SpotNow*(1+RateUSD*B7)/(1+RateEUR*B7)</f>
        <v/>
      </c>
      <c r="D7" s="17" t="n"/>
      <c r="E7" s="16">
        <f>IF(D7="",C7,SpotNow+D7/10000)</f>
        <v/>
      </c>
      <c r="F7" s="18">
        <f>(E7/SpotNow)^(1/B7)-1</f>
        <v/>
      </c>
    </row>
    <row r="8">
      <c r="A8" s="14" t="inlineStr">
        <is>
          <t>2Y</t>
        </is>
      </c>
      <c r="B8" s="15" t="n">
        <v>2</v>
      </c>
      <c r="C8" s="16">
        <f>SpotNow*(1+RateUSD*B8)/(1+RateEUR*B8)</f>
        <v/>
      </c>
      <c r="D8" s="17" t="n"/>
      <c r="E8" s="16">
        <f>IF(D8="",C8,SpotNow+D8/10000)</f>
        <v/>
      </c>
      <c r="F8" s="18">
        <f>(E8/SpotNow)^(1/B8)-1</f>
        <v/>
      </c>
    </row>
    <row r="9">
      <c r="A9" s="14" t="inlineStr">
        <is>
          <t>3Y</t>
        </is>
      </c>
      <c r="B9" s="15" t="n">
        <v>3</v>
      </c>
      <c r="C9" s="16">
        <f>SpotNow*(1+RateUSD*B9)/(1+RateEUR*B9)</f>
        <v/>
      </c>
      <c r="D9" s="17" t="n"/>
      <c r="E9" s="16">
        <f>IF(D9="",C9,SpotNow+D9/10000)</f>
        <v/>
      </c>
      <c r="F9" s="18">
        <f>(E9/SpotNow)^(1/B9)-1</f>
        <v/>
      </c>
    </row>
    <row r="10">
      <c r="A10" s="14" t="inlineStr">
        <is>
          <t>5Y</t>
        </is>
      </c>
      <c r="B10" s="15" t="n">
        <v>5</v>
      </c>
      <c r="C10" s="16">
        <f>SpotNow*(1+RateUSD*B10)/(1+RateEUR*B10)</f>
        <v/>
      </c>
      <c r="D10" s="17" t="n"/>
      <c r="E10" s="16">
        <f>IF(D10="",C10,SpotNow+D10/10000)</f>
        <v/>
      </c>
      <c r="F10" s="18">
        <f>(E10/SpotNow)^(1/B10)-1</f>
        <v/>
      </c>
    </row>
    <row r="11">
      <c r="A11" s="14" t="inlineStr">
        <is>
          <t>7Y</t>
        </is>
      </c>
      <c r="B11" s="15" t="n">
        <v>7</v>
      </c>
      <c r="C11" s="16">
        <f>SpotNow*(1+RateUSD*B11)/(1+RateEUR*B11)</f>
        <v/>
      </c>
      <c r="D11" s="17" t="n"/>
      <c r="E11" s="16">
        <f>IF(D11="",C11,SpotNow+D11/10000)</f>
        <v/>
      </c>
      <c r="F11" s="18">
        <f>(E11/SpotNow)^(1/B11)-1</f>
        <v/>
      </c>
    </row>
    <row r="13">
      <c r="A13" s="19" t="inlineStr">
        <is>
          <t>The 'forward used' column is what every grid on the next sheet is struck 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4948"/>
    <outlinePr summaryBelow="1" summaryRight="1"/>
    <pageSetUpPr/>
  </sheetPr>
  <dimension ref="A1:H10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Scenario grids — spot at maturity (rows) x tenor (columns)</t>
        </is>
      </c>
    </row>
    <row r="2">
      <c r="A2" s="2" t="inlineStr">
        <is>
          <t>USD 100m hedged. Everything links back to Inputs and Forward Curve.</t>
        </is>
      </c>
    </row>
    <row r="4">
      <c r="A4" s="20" t="inlineStr">
        <is>
          <t>A · HEDGE P&amp;L AT MATURITY, EUR</t>
        </is>
      </c>
    </row>
    <row r="5">
      <c r="A5" s="19">
        <f> Notional/K - Notional/S.  This is the cash that settles. Negative means the fund pays.</f>
        <v/>
      </c>
    </row>
    <row r="6">
      <c r="A6" s="13" t="inlineStr">
        <is>
          <t>EURUSD at maturity</t>
        </is>
      </c>
      <c r="B6" s="13" t="inlineStr">
        <is>
          <t>3M</t>
        </is>
      </c>
      <c r="C6" s="13" t="inlineStr">
        <is>
          <t>6M</t>
        </is>
      </c>
      <c r="D6" s="13" t="inlineStr">
        <is>
          <t>1Y</t>
        </is>
      </c>
      <c r="E6" s="13" t="inlineStr">
        <is>
          <t>2Y</t>
        </is>
      </c>
      <c r="F6" s="13" t="inlineStr">
        <is>
          <t>3Y</t>
        </is>
      </c>
      <c r="G6" s="13" t="inlineStr">
        <is>
          <t>5Y</t>
        </is>
      </c>
      <c r="H6" s="13" t="inlineStr">
        <is>
          <t>7Y</t>
        </is>
      </c>
    </row>
    <row r="7">
      <c r="A7" s="21" t="n">
        <v>0.85</v>
      </c>
      <c r="B7" s="22">
        <f>Notional/'Forward Curve'!$E$5-Notional/$A7</f>
        <v/>
      </c>
      <c r="C7" s="22">
        <f>Notional/'Forward Curve'!$E$6-Notional/$A7</f>
        <v/>
      </c>
      <c r="D7" s="22">
        <f>Notional/'Forward Curve'!$E$7-Notional/$A7</f>
        <v/>
      </c>
      <c r="E7" s="22">
        <f>Notional/'Forward Curve'!$E$8-Notional/$A7</f>
        <v/>
      </c>
      <c r="F7" s="22">
        <f>Notional/'Forward Curve'!$E$9-Notional/$A7</f>
        <v/>
      </c>
      <c r="G7" s="22">
        <f>Notional/'Forward Curve'!$E$10-Notional/$A7</f>
        <v/>
      </c>
      <c r="H7" s="22">
        <f>Notional/'Forward Curve'!$E$11-Notional/$A7</f>
        <v/>
      </c>
    </row>
    <row r="8">
      <c r="A8" s="21" t="n">
        <v>0.9</v>
      </c>
      <c r="B8" s="22">
        <f>Notional/'Forward Curve'!$E$5-Notional/$A8</f>
        <v/>
      </c>
      <c r="C8" s="22">
        <f>Notional/'Forward Curve'!$E$6-Notional/$A8</f>
        <v/>
      </c>
      <c r="D8" s="22">
        <f>Notional/'Forward Curve'!$E$7-Notional/$A8</f>
        <v/>
      </c>
      <c r="E8" s="22">
        <f>Notional/'Forward Curve'!$E$8-Notional/$A8</f>
        <v/>
      </c>
      <c r="F8" s="22">
        <f>Notional/'Forward Curve'!$E$9-Notional/$A8</f>
        <v/>
      </c>
      <c r="G8" s="22">
        <f>Notional/'Forward Curve'!$E$10-Notional/$A8</f>
        <v/>
      </c>
      <c r="H8" s="22">
        <f>Notional/'Forward Curve'!$E$11-Notional/$A8</f>
        <v/>
      </c>
    </row>
    <row r="9">
      <c r="A9" s="21" t="n">
        <v>0.95</v>
      </c>
      <c r="B9" s="22">
        <f>Notional/'Forward Curve'!$E$5-Notional/$A9</f>
        <v/>
      </c>
      <c r="C9" s="22">
        <f>Notional/'Forward Curve'!$E$6-Notional/$A9</f>
        <v/>
      </c>
      <c r="D9" s="22">
        <f>Notional/'Forward Curve'!$E$7-Notional/$A9</f>
        <v/>
      </c>
      <c r="E9" s="22">
        <f>Notional/'Forward Curve'!$E$8-Notional/$A9</f>
        <v/>
      </c>
      <c r="F9" s="22">
        <f>Notional/'Forward Curve'!$E$9-Notional/$A9</f>
        <v/>
      </c>
      <c r="G9" s="22">
        <f>Notional/'Forward Curve'!$E$10-Notional/$A9</f>
        <v/>
      </c>
      <c r="H9" s="22">
        <f>Notional/'Forward Curve'!$E$11-Notional/$A9</f>
        <v/>
      </c>
    </row>
    <row r="10">
      <c r="A10" s="21" t="n">
        <v>1</v>
      </c>
      <c r="B10" s="22">
        <f>Notional/'Forward Curve'!$E$5-Notional/$A10</f>
        <v/>
      </c>
      <c r="C10" s="22">
        <f>Notional/'Forward Curve'!$E$6-Notional/$A10</f>
        <v/>
      </c>
      <c r="D10" s="22">
        <f>Notional/'Forward Curve'!$E$7-Notional/$A10</f>
        <v/>
      </c>
      <c r="E10" s="22">
        <f>Notional/'Forward Curve'!$E$8-Notional/$A10</f>
        <v/>
      </c>
      <c r="F10" s="22">
        <f>Notional/'Forward Curve'!$E$9-Notional/$A10</f>
        <v/>
      </c>
      <c r="G10" s="22">
        <f>Notional/'Forward Curve'!$E$10-Notional/$A10</f>
        <v/>
      </c>
      <c r="H10" s="22">
        <f>Notional/'Forward Curve'!$E$11-Notional/$A10</f>
        <v/>
      </c>
    </row>
    <row r="11">
      <c r="A11" s="21" t="n">
        <v>1.05</v>
      </c>
      <c r="B11" s="22">
        <f>Notional/'Forward Curve'!$E$5-Notional/$A11</f>
        <v/>
      </c>
      <c r="C11" s="22">
        <f>Notional/'Forward Curve'!$E$6-Notional/$A11</f>
        <v/>
      </c>
      <c r="D11" s="22">
        <f>Notional/'Forward Curve'!$E$7-Notional/$A11</f>
        <v/>
      </c>
      <c r="E11" s="22">
        <f>Notional/'Forward Curve'!$E$8-Notional/$A11</f>
        <v/>
      </c>
      <c r="F11" s="22">
        <f>Notional/'Forward Curve'!$E$9-Notional/$A11</f>
        <v/>
      </c>
      <c r="G11" s="22">
        <f>Notional/'Forward Curve'!$E$10-Notional/$A11</f>
        <v/>
      </c>
      <c r="H11" s="22">
        <f>Notional/'Forward Curve'!$E$11-Notional/$A11</f>
        <v/>
      </c>
    </row>
    <row r="12">
      <c r="A12" s="23" t="n">
        <v>1.1</v>
      </c>
      <c r="B12" s="22">
        <f>Notional/'Forward Curve'!$E$5-Notional/$A12</f>
        <v/>
      </c>
      <c r="C12" s="22">
        <f>Notional/'Forward Curve'!$E$6-Notional/$A12</f>
        <v/>
      </c>
      <c r="D12" s="22">
        <f>Notional/'Forward Curve'!$E$7-Notional/$A12</f>
        <v/>
      </c>
      <c r="E12" s="22">
        <f>Notional/'Forward Curve'!$E$8-Notional/$A12</f>
        <v/>
      </c>
      <c r="F12" s="22">
        <f>Notional/'Forward Curve'!$E$9-Notional/$A12</f>
        <v/>
      </c>
      <c r="G12" s="22">
        <f>Notional/'Forward Curve'!$E$10-Notional/$A12</f>
        <v/>
      </c>
      <c r="H12" s="22">
        <f>Notional/'Forward Curve'!$E$11-Notional/$A12</f>
        <v/>
      </c>
    </row>
    <row r="13">
      <c r="A13" s="21" t="n">
        <v>1.15</v>
      </c>
      <c r="B13" s="22">
        <f>Notional/'Forward Curve'!$E$5-Notional/$A13</f>
        <v/>
      </c>
      <c r="C13" s="22">
        <f>Notional/'Forward Curve'!$E$6-Notional/$A13</f>
        <v/>
      </c>
      <c r="D13" s="22">
        <f>Notional/'Forward Curve'!$E$7-Notional/$A13</f>
        <v/>
      </c>
      <c r="E13" s="22">
        <f>Notional/'Forward Curve'!$E$8-Notional/$A13</f>
        <v/>
      </c>
      <c r="F13" s="22">
        <f>Notional/'Forward Curve'!$E$9-Notional/$A13</f>
        <v/>
      </c>
      <c r="G13" s="22">
        <f>Notional/'Forward Curve'!$E$10-Notional/$A13</f>
        <v/>
      </c>
      <c r="H13" s="22">
        <f>Notional/'Forward Curve'!$E$11-Notional/$A13</f>
        <v/>
      </c>
    </row>
    <row r="14">
      <c r="A14" s="21" t="n">
        <v>1.2</v>
      </c>
      <c r="B14" s="22">
        <f>Notional/'Forward Curve'!$E$5-Notional/$A14</f>
        <v/>
      </c>
      <c r="C14" s="22">
        <f>Notional/'Forward Curve'!$E$6-Notional/$A14</f>
        <v/>
      </c>
      <c r="D14" s="22">
        <f>Notional/'Forward Curve'!$E$7-Notional/$A14</f>
        <v/>
      </c>
      <c r="E14" s="22">
        <f>Notional/'Forward Curve'!$E$8-Notional/$A14</f>
        <v/>
      </c>
      <c r="F14" s="22">
        <f>Notional/'Forward Curve'!$E$9-Notional/$A14</f>
        <v/>
      </c>
      <c r="G14" s="22">
        <f>Notional/'Forward Curve'!$E$10-Notional/$A14</f>
        <v/>
      </c>
      <c r="H14" s="22">
        <f>Notional/'Forward Curve'!$E$11-Notional/$A14</f>
        <v/>
      </c>
    </row>
    <row r="15">
      <c r="A15" s="21" t="n">
        <v>1.25</v>
      </c>
      <c r="B15" s="22">
        <f>Notional/'Forward Curve'!$E$5-Notional/$A15</f>
        <v/>
      </c>
      <c r="C15" s="22">
        <f>Notional/'Forward Curve'!$E$6-Notional/$A15</f>
        <v/>
      </c>
      <c r="D15" s="22">
        <f>Notional/'Forward Curve'!$E$7-Notional/$A15</f>
        <v/>
      </c>
      <c r="E15" s="22">
        <f>Notional/'Forward Curve'!$E$8-Notional/$A15</f>
        <v/>
      </c>
      <c r="F15" s="22">
        <f>Notional/'Forward Curve'!$E$9-Notional/$A15</f>
        <v/>
      </c>
      <c r="G15" s="22">
        <f>Notional/'Forward Curve'!$E$10-Notional/$A15</f>
        <v/>
      </c>
      <c r="H15" s="22">
        <f>Notional/'Forward Curve'!$E$11-Notional/$A15</f>
        <v/>
      </c>
    </row>
    <row r="16">
      <c r="A16" s="21" t="n">
        <v>1.3</v>
      </c>
      <c r="B16" s="22">
        <f>Notional/'Forward Curve'!$E$5-Notional/$A16</f>
        <v/>
      </c>
      <c r="C16" s="22">
        <f>Notional/'Forward Curve'!$E$6-Notional/$A16</f>
        <v/>
      </c>
      <c r="D16" s="22">
        <f>Notional/'Forward Curve'!$E$7-Notional/$A16</f>
        <v/>
      </c>
      <c r="E16" s="22">
        <f>Notional/'Forward Curve'!$E$8-Notional/$A16</f>
        <v/>
      </c>
      <c r="F16" s="22">
        <f>Notional/'Forward Curve'!$E$9-Notional/$A16</f>
        <v/>
      </c>
      <c r="G16" s="22">
        <f>Notional/'Forward Curve'!$E$10-Notional/$A16</f>
        <v/>
      </c>
      <c r="H16" s="22">
        <f>Notional/'Forward Curve'!$E$11-Notional/$A16</f>
        <v/>
      </c>
    </row>
    <row r="17">
      <c r="A17" s="21" t="n">
        <v>1.35</v>
      </c>
      <c r="B17" s="22">
        <f>Notional/'Forward Curve'!$E$5-Notional/$A17</f>
        <v/>
      </c>
      <c r="C17" s="22">
        <f>Notional/'Forward Curve'!$E$6-Notional/$A17</f>
        <v/>
      </c>
      <c r="D17" s="22">
        <f>Notional/'Forward Curve'!$E$7-Notional/$A17</f>
        <v/>
      </c>
      <c r="E17" s="22">
        <f>Notional/'Forward Curve'!$E$8-Notional/$A17</f>
        <v/>
      </c>
      <c r="F17" s="22">
        <f>Notional/'Forward Curve'!$E$9-Notional/$A17</f>
        <v/>
      </c>
      <c r="G17" s="22">
        <f>Notional/'Forward Curve'!$E$10-Notional/$A17</f>
        <v/>
      </c>
      <c r="H17" s="22">
        <f>Notional/'Forward Curve'!$E$11-Notional/$A17</f>
        <v/>
      </c>
    </row>
    <row r="18">
      <c r="A18" s="21" t="n">
        <v>1.4</v>
      </c>
      <c r="B18" s="22">
        <f>Notional/'Forward Curve'!$E$5-Notional/$A18</f>
        <v/>
      </c>
      <c r="C18" s="22">
        <f>Notional/'Forward Curve'!$E$6-Notional/$A18</f>
        <v/>
      </c>
      <c r="D18" s="22">
        <f>Notional/'Forward Curve'!$E$7-Notional/$A18</f>
        <v/>
      </c>
      <c r="E18" s="22">
        <f>Notional/'Forward Curve'!$E$8-Notional/$A18</f>
        <v/>
      </c>
      <c r="F18" s="22">
        <f>Notional/'Forward Curve'!$E$9-Notional/$A18</f>
        <v/>
      </c>
      <c r="G18" s="22">
        <f>Notional/'Forward Curve'!$E$10-Notional/$A18</f>
        <v/>
      </c>
      <c r="H18" s="22">
        <f>Notional/'Forward Curve'!$E$11-Notional/$A18</f>
        <v/>
      </c>
    </row>
    <row r="19">
      <c r="A19" s="21" t="n">
        <v>1.45</v>
      </c>
      <c r="B19" s="22">
        <f>Notional/'Forward Curve'!$E$5-Notional/$A19</f>
        <v/>
      </c>
      <c r="C19" s="22">
        <f>Notional/'Forward Curve'!$E$6-Notional/$A19</f>
        <v/>
      </c>
      <c r="D19" s="22">
        <f>Notional/'Forward Curve'!$E$7-Notional/$A19</f>
        <v/>
      </c>
      <c r="E19" s="22">
        <f>Notional/'Forward Curve'!$E$8-Notional/$A19</f>
        <v/>
      </c>
      <c r="F19" s="22">
        <f>Notional/'Forward Curve'!$E$9-Notional/$A19</f>
        <v/>
      </c>
      <c r="G19" s="22">
        <f>Notional/'Forward Curve'!$E$10-Notional/$A19</f>
        <v/>
      </c>
      <c r="H19" s="22">
        <f>Notional/'Forward Curve'!$E$11-Notional/$A19</f>
        <v/>
      </c>
    </row>
    <row r="20">
      <c r="A20" s="19" t="inlineStr">
        <is>
          <t>Read down a column: this is the exposure, and it is unbounded.</t>
        </is>
      </c>
    </row>
    <row r="22">
      <c r="A22" s="20" t="inlineStr">
        <is>
          <t>B · HEDGE P&amp;L AS % OF HEDGED NOTIONAL</t>
        </is>
      </c>
    </row>
    <row r="23">
      <c r="A23" s="19" t="inlineStr">
        <is>
          <t>The same grid, scaled. This is the unit the per-hedge limit is written in.</t>
        </is>
      </c>
    </row>
    <row r="24">
      <c r="A24" s="13" t="inlineStr">
        <is>
          <t>EURUSD at maturity</t>
        </is>
      </c>
      <c r="B24" s="13" t="inlineStr">
        <is>
          <t>3M</t>
        </is>
      </c>
      <c r="C24" s="13" t="inlineStr">
        <is>
          <t>6M</t>
        </is>
      </c>
      <c r="D24" s="13" t="inlineStr">
        <is>
          <t>1Y</t>
        </is>
      </c>
      <c r="E24" s="13" t="inlineStr">
        <is>
          <t>2Y</t>
        </is>
      </c>
      <c r="F24" s="13" t="inlineStr">
        <is>
          <t>3Y</t>
        </is>
      </c>
      <c r="G24" s="13" t="inlineStr">
        <is>
          <t>5Y</t>
        </is>
      </c>
      <c r="H24" s="13" t="inlineStr">
        <is>
          <t>7Y</t>
        </is>
      </c>
    </row>
    <row r="25">
      <c r="A25" s="21" t="n">
        <v>0.85</v>
      </c>
      <c r="B25" s="24">
        <f>(Notional/'Forward Curve'!$E$5-Notional/$A25)/EurDeployed</f>
        <v/>
      </c>
      <c r="C25" s="24">
        <f>(Notional/'Forward Curve'!$E$6-Notional/$A25)/EurDeployed</f>
        <v/>
      </c>
      <c r="D25" s="24">
        <f>(Notional/'Forward Curve'!$E$7-Notional/$A25)/EurDeployed</f>
        <v/>
      </c>
      <c r="E25" s="24">
        <f>(Notional/'Forward Curve'!$E$8-Notional/$A25)/EurDeployed</f>
        <v/>
      </c>
      <c r="F25" s="24">
        <f>(Notional/'Forward Curve'!$E$9-Notional/$A25)/EurDeployed</f>
        <v/>
      </c>
      <c r="G25" s="24">
        <f>(Notional/'Forward Curve'!$E$10-Notional/$A25)/EurDeployed</f>
        <v/>
      </c>
      <c r="H25" s="24">
        <f>(Notional/'Forward Curve'!$E$11-Notional/$A25)/EurDeployed</f>
        <v/>
      </c>
    </row>
    <row r="26">
      <c r="A26" s="21" t="n">
        <v>0.9</v>
      </c>
      <c r="B26" s="24">
        <f>(Notional/'Forward Curve'!$E$5-Notional/$A26)/EurDeployed</f>
        <v/>
      </c>
      <c r="C26" s="24">
        <f>(Notional/'Forward Curve'!$E$6-Notional/$A26)/EurDeployed</f>
        <v/>
      </c>
      <c r="D26" s="24">
        <f>(Notional/'Forward Curve'!$E$7-Notional/$A26)/EurDeployed</f>
        <v/>
      </c>
      <c r="E26" s="24">
        <f>(Notional/'Forward Curve'!$E$8-Notional/$A26)/EurDeployed</f>
        <v/>
      </c>
      <c r="F26" s="24">
        <f>(Notional/'Forward Curve'!$E$9-Notional/$A26)/EurDeployed</f>
        <v/>
      </c>
      <c r="G26" s="24">
        <f>(Notional/'Forward Curve'!$E$10-Notional/$A26)/EurDeployed</f>
        <v/>
      </c>
      <c r="H26" s="24">
        <f>(Notional/'Forward Curve'!$E$11-Notional/$A26)/EurDeployed</f>
        <v/>
      </c>
    </row>
    <row r="27">
      <c r="A27" s="21" t="n">
        <v>0.95</v>
      </c>
      <c r="B27" s="24">
        <f>(Notional/'Forward Curve'!$E$5-Notional/$A27)/EurDeployed</f>
        <v/>
      </c>
      <c r="C27" s="24">
        <f>(Notional/'Forward Curve'!$E$6-Notional/$A27)/EurDeployed</f>
        <v/>
      </c>
      <c r="D27" s="24">
        <f>(Notional/'Forward Curve'!$E$7-Notional/$A27)/EurDeployed</f>
        <v/>
      </c>
      <c r="E27" s="24">
        <f>(Notional/'Forward Curve'!$E$8-Notional/$A27)/EurDeployed</f>
        <v/>
      </c>
      <c r="F27" s="24">
        <f>(Notional/'Forward Curve'!$E$9-Notional/$A27)/EurDeployed</f>
        <v/>
      </c>
      <c r="G27" s="24">
        <f>(Notional/'Forward Curve'!$E$10-Notional/$A27)/EurDeployed</f>
        <v/>
      </c>
      <c r="H27" s="24">
        <f>(Notional/'Forward Curve'!$E$11-Notional/$A27)/EurDeployed</f>
        <v/>
      </c>
    </row>
    <row r="28">
      <c r="A28" s="21" t="n">
        <v>1</v>
      </c>
      <c r="B28" s="24">
        <f>(Notional/'Forward Curve'!$E$5-Notional/$A28)/EurDeployed</f>
        <v/>
      </c>
      <c r="C28" s="24">
        <f>(Notional/'Forward Curve'!$E$6-Notional/$A28)/EurDeployed</f>
        <v/>
      </c>
      <c r="D28" s="24">
        <f>(Notional/'Forward Curve'!$E$7-Notional/$A28)/EurDeployed</f>
        <v/>
      </c>
      <c r="E28" s="24">
        <f>(Notional/'Forward Curve'!$E$8-Notional/$A28)/EurDeployed</f>
        <v/>
      </c>
      <c r="F28" s="24">
        <f>(Notional/'Forward Curve'!$E$9-Notional/$A28)/EurDeployed</f>
        <v/>
      </c>
      <c r="G28" s="24">
        <f>(Notional/'Forward Curve'!$E$10-Notional/$A28)/EurDeployed</f>
        <v/>
      </c>
      <c r="H28" s="24">
        <f>(Notional/'Forward Curve'!$E$11-Notional/$A28)/EurDeployed</f>
        <v/>
      </c>
    </row>
    <row r="29">
      <c r="A29" s="21" t="n">
        <v>1.05</v>
      </c>
      <c r="B29" s="24">
        <f>(Notional/'Forward Curve'!$E$5-Notional/$A29)/EurDeployed</f>
        <v/>
      </c>
      <c r="C29" s="24">
        <f>(Notional/'Forward Curve'!$E$6-Notional/$A29)/EurDeployed</f>
        <v/>
      </c>
      <c r="D29" s="24">
        <f>(Notional/'Forward Curve'!$E$7-Notional/$A29)/EurDeployed</f>
        <v/>
      </c>
      <c r="E29" s="24">
        <f>(Notional/'Forward Curve'!$E$8-Notional/$A29)/EurDeployed</f>
        <v/>
      </c>
      <c r="F29" s="24">
        <f>(Notional/'Forward Curve'!$E$9-Notional/$A29)/EurDeployed</f>
        <v/>
      </c>
      <c r="G29" s="24">
        <f>(Notional/'Forward Curve'!$E$10-Notional/$A29)/EurDeployed</f>
        <v/>
      </c>
      <c r="H29" s="24">
        <f>(Notional/'Forward Curve'!$E$11-Notional/$A29)/EurDeployed</f>
        <v/>
      </c>
    </row>
    <row r="30">
      <c r="A30" s="23" t="n">
        <v>1.1</v>
      </c>
      <c r="B30" s="24">
        <f>(Notional/'Forward Curve'!$E$5-Notional/$A30)/EurDeployed</f>
        <v/>
      </c>
      <c r="C30" s="24">
        <f>(Notional/'Forward Curve'!$E$6-Notional/$A30)/EurDeployed</f>
        <v/>
      </c>
      <c r="D30" s="24">
        <f>(Notional/'Forward Curve'!$E$7-Notional/$A30)/EurDeployed</f>
        <v/>
      </c>
      <c r="E30" s="24">
        <f>(Notional/'Forward Curve'!$E$8-Notional/$A30)/EurDeployed</f>
        <v/>
      </c>
      <c r="F30" s="24">
        <f>(Notional/'Forward Curve'!$E$9-Notional/$A30)/EurDeployed</f>
        <v/>
      </c>
      <c r="G30" s="24">
        <f>(Notional/'Forward Curve'!$E$10-Notional/$A30)/EurDeployed</f>
        <v/>
      </c>
      <c r="H30" s="24">
        <f>(Notional/'Forward Curve'!$E$11-Notional/$A30)/EurDeployed</f>
        <v/>
      </c>
    </row>
    <row r="31">
      <c r="A31" s="21" t="n">
        <v>1.15</v>
      </c>
      <c r="B31" s="24">
        <f>(Notional/'Forward Curve'!$E$5-Notional/$A31)/EurDeployed</f>
        <v/>
      </c>
      <c r="C31" s="24">
        <f>(Notional/'Forward Curve'!$E$6-Notional/$A31)/EurDeployed</f>
        <v/>
      </c>
      <c r="D31" s="24">
        <f>(Notional/'Forward Curve'!$E$7-Notional/$A31)/EurDeployed</f>
        <v/>
      </c>
      <c r="E31" s="24">
        <f>(Notional/'Forward Curve'!$E$8-Notional/$A31)/EurDeployed</f>
        <v/>
      </c>
      <c r="F31" s="24">
        <f>(Notional/'Forward Curve'!$E$9-Notional/$A31)/EurDeployed</f>
        <v/>
      </c>
      <c r="G31" s="24">
        <f>(Notional/'Forward Curve'!$E$10-Notional/$A31)/EurDeployed</f>
        <v/>
      </c>
      <c r="H31" s="24">
        <f>(Notional/'Forward Curve'!$E$11-Notional/$A31)/EurDeployed</f>
        <v/>
      </c>
    </row>
    <row r="32">
      <c r="A32" s="21" t="n">
        <v>1.2</v>
      </c>
      <c r="B32" s="24">
        <f>(Notional/'Forward Curve'!$E$5-Notional/$A32)/EurDeployed</f>
        <v/>
      </c>
      <c r="C32" s="24">
        <f>(Notional/'Forward Curve'!$E$6-Notional/$A32)/EurDeployed</f>
        <v/>
      </c>
      <c r="D32" s="24">
        <f>(Notional/'Forward Curve'!$E$7-Notional/$A32)/EurDeployed</f>
        <v/>
      </c>
      <c r="E32" s="24">
        <f>(Notional/'Forward Curve'!$E$8-Notional/$A32)/EurDeployed</f>
        <v/>
      </c>
      <c r="F32" s="24">
        <f>(Notional/'Forward Curve'!$E$9-Notional/$A32)/EurDeployed</f>
        <v/>
      </c>
      <c r="G32" s="24">
        <f>(Notional/'Forward Curve'!$E$10-Notional/$A32)/EurDeployed</f>
        <v/>
      </c>
      <c r="H32" s="24">
        <f>(Notional/'Forward Curve'!$E$11-Notional/$A32)/EurDeployed</f>
        <v/>
      </c>
    </row>
    <row r="33">
      <c r="A33" s="21" t="n">
        <v>1.25</v>
      </c>
      <c r="B33" s="24">
        <f>(Notional/'Forward Curve'!$E$5-Notional/$A33)/EurDeployed</f>
        <v/>
      </c>
      <c r="C33" s="24">
        <f>(Notional/'Forward Curve'!$E$6-Notional/$A33)/EurDeployed</f>
        <v/>
      </c>
      <c r="D33" s="24">
        <f>(Notional/'Forward Curve'!$E$7-Notional/$A33)/EurDeployed</f>
        <v/>
      </c>
      <c r="E33" s="24">
        <f>(Notional/'Forward Curve'!$E$8-Notional/$A33)/EurDeployed</f>
        <v/>
      </c>
      <c r="F33" s="24">
        <f>(Notional/'Forward Curve'!$E$9-Notional/$A33)/EurDeployed</f>
        <v/>
      </c>
      <c r="G33" s="24">
        <f>(Notional/'Forward Curve'!$E$10-Notional/$A33)/EurDeployed</f>
        <v/>
      </c>
      <c r="H33" s="24">
        <f>(Notional/'Forward Curve'!$E$11-Notional/$A33)/EurDeployed</f>
        <v/>
      </c>
    </row>
    <row r="34">
      <c r="A34" s="21" t="n">
        <v>1.3</v>
      </c>
      <c r="B34" s="24">
        <f>(Notional/'Forward Curve'!$E$5-Notional/$A34)/EurDeployed</f>
        <v/>
      </c>
      <c r="C34" s="24">
        <f>(Notional/'Forward Curve'!$E$6-Notional/$A34)/EurDeployed</f>
        <v/>
      </c>
      <c r="D34" s="24">
        <f>(Notional/'Forward Curve'!$E$7-Notional/$A34)/EurDeployed</f>
        <v/>
      </c>
      <c r="E34" s="24">
        <f>(Notional/'Forward Curve'!$E$8-Notional/$A34)/EurDeployed</f>
        <v/>
      </c>
      <c r="F34" s="24">
        <f>(Notional/'Forward Curve'!$E$9-Notional/$A34)/EurDeployed</f>
        <v/>
      </c>
      <c r="G34" s="24">
        <f>(Notional/'Forward Curve'!$E$10-Notional/$A34)/EurDeployed</f>
        <v/>
      </c>
      <c r="H34" s="24">
        <f>(Notional/'Forward Curve'!$E$11-Notional/$A34)/EurDeployed</f>
        <v/>
      </c>
    </row>
    <row r="35">
      <c r="A35" s="21" t="n">
        <v>1.35</v>
      </c>
      <c r="B35" s="24">
        <f>(Notional/'Forward Curve'!$E$5-Notional/$A35)/EurDeployed</f>
        <v/>
      </c>
      <c r="C35" s="24">
        <f>(Notional/'Forward Curve'!$E$6-Notional/$A35)/EurDeployed</f>
        <v/>
      </c>
      <c r="D35" s="24">
        <f>(Notional/'Forward Curve'!$E$7-Notional/$A35)/EurDeployed</f>
        <v/>
      </c>
      <c r="E35" s="24">
        <f>(Notional/'Forward Curve'!$E$8-Notional/$A35)/EurDeployed</f>
        <v/>
      </c>
      <c r="F35" s="24">
        <f>(Notional/'Forward Curve'!$E$9-Notional/$A35)/EurDeployed</f>
        <v/>
      </c>
      <c r="G35" s="24">
        <f>(Notional/'Forward Curve'!$E$10-Notional/$A35)/EurDeployed</f>
        <v/>
      </c>
      <c r="H35" s="24">
        <f>(Notional/'Forward Curve'!$E$11-Notional/$A35)/EurDeployed</f>
        <v/>
      </c>
    </row>
    <row r="36">
      <c r="A36" s="21" t="n">
        <v>1.4</v>
      </c>
      <c r="B36" s="24">
        <f>(Notional/'Forward Curve'!$E$5-Notional/$A36)/EurDeployed</f>
        <v/>
      </c>
      <c r="C36" s="24">
        <f>(Notional/'Forward Curve'!$E$6-Notional/$A36)/EurDeployed</f>
        <v/>
      </c>
      <c r="D36" s="24">
        <f>(Notional/'Forward Curve'!$E$7-Notional/$A36)/EurDeployed</f>
        <v/>
      </c>
      <c r="E36" s="24">
        <f>(Notional/'Forward Curve'!$E$8-Notional/$A36)/EurDeployed</f>
        <v/>
      </c>
      <c r="F36" s="24">
        <f>(Notional/'Forward Curve'!$E$9-Notional/$A36)/EurDeployed</f>
        <v/>
      </c>
      <c r="G36" s="24">
        <f>(Notional/'Forward Curve'!$E$10-Notional/$A36)/EurDeployed</f>
        <v/>
      </c>
      <c r="H36" s="24">
        <f>(Notional/'Forward Curve'!$E$11-Notional/$A36)/EurDeployed</f>
        <v/>
      </c>
    </row>
    <row r="37">
      <c r="A37" s="21" t="n">
        <v>1.45</v>
      </c>
      <c r="B37" s="24">
        <f>(Notional/'Forward Curve'!$E$5-Notional/$A37)/EurDeployed</f>
        <v/>
      </c>
      <c r="C37" s="24">
        <f>(Notional/'Forward Curve'!$E$6-Notional/$A37)/EurDeployed</f>
        <v/>
      </c>
      <c r="D37" s="24">
        <f>(Notional/'Forward Curve'!$E$7-Notional/$A37)/EurDeployed</f>
        <v/>
      </c>
      <c r="E37" s="24">
        <f>(Notional/'Forward Curve'!$E$8-Notional/$A37)/EurDeployed</f>
        <v/>
      </c>
      <c r="F37" s="24">
        <f>(Notional/'Forward Curve'!$E$9-Notional/$A37)/EurDeployed</f>
        <v/>
      </c>
      <c r="G37" s="24">
        <f>(Notional/'Forward Curve'!$E$10-Notional/$A37)/EurDeployed</f>
        <v/>
      </c>
      <c r="H37" s="24">
        <f>(Notional/'Forward Curve'!$E$11-Notional/$A37)/EurDeployed</f>
        <v/>
      </c>
    </row>
    <row r="39">
      <c r="A39" s="20" t="inlineStr">
        <is>
          <t>C · USD ASSET REVALUATION IN EUR</t>
        </is>
      </c>
    </row>
    <row r="40">
      <c r="A40" s="19">
        <f> Notional/S - Notional/SpotNow.  The offsetting gain or loss on the asset, which is unrealised and illiquid.</f>
        <v/>
      </c>
    </row>
    <row r="41">
      <c r="A41" s="13" t="inlineStr">
        <is>
          <t>EURUSD at maturity</t>
        </is>
      </c>
      <c r="B41" s="13" t="inlineStr">
        <is>
          <t>3M</t>
        </is>
      </c>
      <c r="C41" s="13" t="inlineStr">
        <is>
          <t>6M</t>
        </is>
      </c>
      <c r="D41" s="13" t="inlineStr">
        <is>
          <t>1Y</t>
        </is>
      </c>
      <c r="E41" s="13" t="inlineStr">
        <is>
          <t>2Y</t>
        </is>
      </c>
      <c r="F41" s="13" t="inlineStr">
        <is>
          <t>3Y</t>
        </is>
      </c>
      <c r="G41" s="13" t="inlineStr">
        <is>
          <t>5Y</t>
        </is>
      </c>
      <c r="H41" s="13" t="inlineStr">
        <is>
          <t>7Y</t>
        </is>
      </c>
    </row>
    <row r="42">
      <c r="A42" s="21" t="n">
        <v>0.85</v>
      </c>
      <c r="B42" s="22">
        <f>Notional/$A42-EurDeployed</f>
        <v/>
      </c>
      <c r="C42" s="22">
        <f>Notional/$A42-EurDeployed</f>
        <v/>
      </c>
      <c r="D42" s="22">
        <f>Notional/$A42-EurDeployed</f>
        <v/>
      </c>
      <c r="E42" s="22">
        <f>Notional/$A42-EurDeployed</f>
        <v/>
      </c>
      <c r="F42" s="22">
        <f>Notional/$A42-EurDeployed</f>
        <v/>
      </c>
      <c r="G42" s="22">
        <f>Notional/$A42-EurDeployed</f>
        <v/>
      </c>
      <c r="H42" s="22">
        <f>Notional/$A42-EurDeployed</f>
        <v/>
      </c>
    </row>
    <row r="43">
      <c r="A43" s="21" t="n">
        <v>0.9</v>
      </c>
      <c r="B43" s="22">
        <f>Notional/$A43-EurDeployed</f>
        <v/>
      </c>
      <c r="C43" s="22">
        <f>Notional/$A43-EurDeployed</f>
        <v/>
      </c>
      <c r="D43" s="22">
        <f>Notional/$A43-EurDeployed</f>
        <v/>
      </c>
      <c r="E43" s="22">
        <f>Notional/$A43-EurDeployed</f>
        <v/>
      </c>
      <c r="F43" s="22">
        <f>Notional/$A43-EurDeployed</f>
        <v/>
      </c>
      <c r="G43" s="22">
        <f>Notional/$A43-EurDeployed</f>
        <v/>
      </c>
      <c r="H43" s="22">
        <f>Notional/$A43-EurDeployed</f>
        <v/>
      </c>
    </row>
    <row r="44">
      <c r="A44" s="21" t="n">
        <v>0.95</v>
      </c>
      <c r="B44" s="22">
        <f>Notional/$A44-EurDeployed</f>
        <v/>
      </c>
      <c r="C44" s="22">
        <f>Notional/$A44-EurDeployed</f>
        <v/>
      </c>
      <c r="D44" s="22">
        <f>Notional/$A44-EurDeployed</f>
        <v/>
      </c>
      <c r="E44" s="22">
        <f>Notional/$A44-EurDeployed</f>
        <v/>
      </c>
      <c r="F44" s="22">
        <f>Notional/$A44-EurDeployed</f>
        <v/>
      </c>
      <c r="G44" s="22">
        <f>Notional/$A44-EurDeployed</f>
        <v/>
      </c>
      <c r="H44" s="22">
        <f>Notional/$A44-EurDeployed</f>
        <v/>
      </c>
    </row>
    <row r="45">
      <c r="A45" s="21" t="n">
        <v>1</v>
      </c>
      <c r="B45" s="22">
        <f>Notional/$A45-EurDeployed</f>
        <v/>
      </c>
      <c r="C45" s="22">
        <f>Notional/$A45-EurDeployed</f>
        <v/>
      </c>
      <c r="D45" s="22">
        <f>Notional/$A45-EurDeployed</f>
        <v/>
      </c>
      <c r="E45" s="22">
        <f>Notional/$A45-EurDeployed</f>
        <v/>
      </c>
      <c r="F45" s="22">
        <f>Notional/$A45-EurDeployed</f>
        <v/>
      </c>
      <c r="G45" s="22">
        <f>Notional/$A45-EurDeployed</f>
        <v/>
      </c>
      <c r="H45" s="22">
        <f>Notional/$A45-EurDeployed</f>
        <v/>
      </c>
    </row>
    <row r="46">
      <c r="A46" s="21" t="n">
        <v>1.05</v>
      </c>
      <c r="B46" s="22">
        <f>Notional/$A46-EurDeployed</f>
        <v/>
      </c>
      <c r="C46" s="22">
        <f>Notional/$A46-EurDeployed</f>
        <v/>
      </c>
      <c r="D46" s="22">
        <f>Notional/$A46-EurDeployed</f>
        <v/>
      </c>
      <c r="E46" s="22">
        <f>Notional/$A46-EurDeployed</f>
        <v/>
      </c>
      <c r="F46" s="22">
        <f>Notional/$A46-EurDeployed</f>
        <v/>
      </c>
      <c r="G46" s="22">
        <f>Notional/$A46-EurDeployed</f>
        <v/>
      </c>
      <c r="H46" s="22">
        <f>Notional/$A46-EurDeployed</f>
        <v/>
      </c>
    </row>
    <row r="47">
      <c r="A47" s="23" t="n">
        <v>1.1</v>
      </c>
      <c r="B47" s="22">
        <f>Notional/$A47-EurDeployed</f>
        <v/>
      </c>
      <c r="C47" s="22">
        <f>Notional/$A47-EurDeployed</f>
        <v/>
      </c>
      <c r="D47" s="22">
        <f>Notional/$A47-EurDeployed</f>
        <v/>
      </c>
      <c r="E47" s="22">
        <f>Notional/$A47-EurDeployed</f>
        <v/>
      </c>
      <c r="F47" s="22">
        <f>Notional/$A47-EurDeployed</f>
        <v/>
      </c>
      <c r="G47" s="22">
        <f>Notional/$A47-EurDeployed</f>
        <v/>
      </c>
      <c r="H47" s="22">
        <f>Notional/$A47-EurDeployed</f>
        <v/>
      </c>
    </row>
    <row r="48">
      <c r="A48" s="21" t="n">
        <v>1.15</v>
      </c>
      <c r="B48" s="22">
        <f>Notional/$A48-EurDeployed</f>
        <v/>
      </c>
      <c r="C48" s="22">
        <f>Notional/$A48-EurDeployed</f>
        <v/>
      </c>
      <c r="D48" s="22">
        <f>Notional/$A48-EurDeployed</f>
        <v/>
      </c>
      <c r="E48" s="22">
        <f>Notional/$A48-EurDeployed</f>
        <v/>
      </c>
      <c r="F48" s="22">
        <f>Notional/$A48-EurDeployed</f>
        <v/>
      </c>
      <c r="G48" s="22">
        <f>Notional/$A48-EurDeployed</f>
        <v/>
      </c>
      <c r="H48" s="22">
        <f>Notional/$A48-EurDeployed</f>
        <v/>
      </c>
    </row>
    <row r="49">
      <c r="A49" s="21" t="n">
        <v>1.2</v>
      </c>
      <c r="B49" s="22">
        <f>Notional/$A49-EurDeployed</f>
        <v/>
      </c>
      <c r="C49" s="22">
        <f>Notional/$A49-EurDeployed</f>
        <v/>
      </c>
      <c r="D49" s="22">
        <f>Notional/$A49-EurDeployed</f>
        <v/>
      </c>
      <c r="E49" s="22">
        <f>Notional/$A49-EurDeployed</f>
        <v/>
      </c>
      <c r="F49" s="22">
        <f>Notional/$A49-EurDeployed</f>
        <v/>
      </c>
      <c r="G49" s="22">
        <f>Notional/$A49-EurDeployed</f>
        <v/>
      </c>
      <c r="H49" s="22">
        <f>Notional/$A49-EurDeployed</f>
        <v/>
      </c>
    </row>
    <row r="50">
      <c r="A50" s="21" t="n">
        <v>1.25</v>
      </c>
      <c r="B50" s="22">
        <f>Notional/$A50-EurDeployed</f>
        <v/>
      </c>
      <c r="C50" s="22">
        <f>Notional/$A50-EurDeployed</f>
        <v/>
      </c>
      <c r="D50" s="22">
        <f>Notional/$A50-EurDeployed</f>
        <v/>
      </c>
      <c r="E50" s="22">
        <f>Notional/$A50-EurDeployed</f>
        <v/>
      </c>
      <c r="F50" s="22">
        <f>Notional/$A50-EurDeployed</f>
        <v/>
      </c>
      <c r="G50" s="22">
        <f>Notional/$A50-EurDeployed</f>
        <v/>
      </c>
      <c r="H50" s="22">
        <f>Notional/$A50-EurDeployed</f>
        <v/>
      </c>
    </row>
    <row r="51">
      <c r="A51" s="21" t="n">
        <v>1.3</v>
      </c>
      <c r="B51" s="22">
        <f>Notional/$A51-EurDeployed</f>
        <v/>
      </c>
      <c r="C51" s="22">
        <f>Notional/$A51-EurDeployed</f>
        <v/>
      </c>
      <c r="D51" s="22">
        <f>Notional/$A51-EurDeployed</f>
        <v/>
      </c>
      <c r="E51" s="22">
        <f>Notional/$A51-EurDeployed</f>
        <v/>
      </c>
      <c r="F51" s="22">
        <f>Notional/$A51-EurDeployed</f>
        <v/>
      </c>
      <c r="G51" s="22">
        <f>Notional/$A51-EurDeployed</f>
        <v/>
      </c>
      <c r="H51" s="22">
        <f>Notional/$A51-EurDeployed</f>
        <v/>
      </c>
    </row>
    <row r="52">
      <c r="A52" s="21" t="n">
        <v>1.35</v>
      </c>
      <c r="B52" s="22">
        <f>Notional/$A52-EurDeployed</f>
        <v/>
      </c>
      <c r="C52" s="22">
        <f>Notional/$A52-EurDeployed</f>
        <v/>
      </c>
      <c r="D52" s="22">
        <f>Notional/$A52-EurDeployed</f>
        <v/>
      </c>
      <c r="E52" s="22">
        <f>Notional/$A52-EurDeployed</f>
        <v/>
      </c>
      <c r="F52" s="22">
        <f>Notional/$A52-EurDeployed</f>
        <v/>
      </c>
      <c r="G52" s="22">
        <f>Notional/$A52-EurDeployed</f>
        <v/>
      </c>
      <c r="H52" s="22">
        <f>Notional/$A52-EurDeployed</f>
        <v/>
      </c>
    </row>
    <row r="53">
      <c r="A53" s="21" t="n">
        <v>1.4</v>
      </c>
      <c r="B53" s="22">
        <f>Notional/$A53-EurDeployed</f>
        <v/>
      </c>
      <c r="C53" s="22">
        <f>Notional/$A53-EurDeployed</f>
        <v/>
      </c>
      <c r="D53" s="22">
        <f>Notional/$A53-EurDeployed</f>
        <v/>
      </c>
      <c r="E53" s="22">
        <f>Notional/$A53-EurDeployed</f>
        <v/>
      </c>
      <c r="F53" s="22">
        <f>Notional/$A53-EurDeployed</f>
        <v/>
      </c>
      <c r="G53" s="22">
        <f>Notional/$A53-EurDeployed</f>
        <v/>
      </c>
      <c r="H53" s="22">
        <f>Notional/$A53-EurDeployed</f>
        <v/>
      </c>
    </row>
    <row r="54">
      <c r="A54" s="21" t="n">
        <v>1.45</v>
      </c>
      <c r="B54" s="22">
        <f>Notional/$A54-EurDeployed</f>
        <v/>
      </c>
      <c r="C54" s="22">
        <f>Notional/$A54-EurDeployed</f>
        <v/>
      </c>
      <c r="D54" s="22">
        <f>Notional/$A54-EurDeployed</f>
        <v/>
      </c>
      <c r="E54" s="22">
        <f>Notional/$A54-EurDeployed</f>
        <v/>
      </c>
      <c r="F54" s="22">
        <f>Notional/$A54-EurDeployed</f>
        <v/>
      </c>
      <c r="G54" s="22">
        <f>Notional/$A54-EurDeployed</f>
        <v/>
      </c>
      <c r="H54" s="22">
        <f>Notional/$A54-EurDeployed</f>
        <v/>
      </c>
    </row>
    <row r="56">
      <c r="A56" s="20" t="inlineStr">
        <is>
          <t>D · NET ECONOMIC POSITION  =  A + C</t>
        </is>
      </c>
    </row>
    <row r="57">
      <c r="A57" s="19" t="inlineStr">
        <is>
          <t>Hedge plus asset. Read DOWN a column: the number does not move, whatever spot does.</t>
        </is>
      </c>
    </row>
    <row r="58">
      <c r="A58" s="13" t="inlineStr">
        <is>
          <t>EURUSD at maturity</t>
        </is>
      </c>
      <c r="B58" s="13" t="inlineStr">
        <is>
          <t>3M</t>
        </is>
      </c>
      <c r="C58" s="13" t="inlineStr">
        <is>
          <t>6M</t>
        </is>
      </c>
      <c r="D58" s="13" t="inlineStr">
        <is>
          <t>1Y</t>
        </is>
      </c>
      <c r="E58" s="13" t="inlineStr">
        <is>
          <t>2Y</t>
        </is>
      </c>
      <c r="F58" s="13" t="inlineStr">
        <is>
          <t>3Y</t>
        </is>
      </c>
      <c r="G58" s="13" t="inlineStr">
        <is>
          <t>5Y</t>
        </is>
      </c>
      <c r="H58" s="13" t="inlineStr">
        <is>
          <t>7Y</t>
        </is>
      </c>
    </row>
    <row r="59">
      <c r="A59" s="21" t="n">
        <v>0.85</v>
      </c>
      <c r="B59" s="22">
        <f>(Notional/'Forward Curve'!$E$5-Notional/$A59)+(Notional/$A59-EurDeployed)</f>
        <v/>
      </c>
      <c r="C59" s="22">
        <f>(Notional/'Forward Curve'!$E$6-Notional/$A59)+(Notional/$A59-EurDeployed)</f>
        <v/>
      </c>
      <c r="D59" s="22">
        <f>(Notional/'Forward Curve'!$E$7-Notional/$A59)+(Notional/$A59-EurDeployed)</f>
        <v/>
      </c>
      <c r="E59" s="22">
        <f>(Notional/'Forward Curve'!$E$8-Notional/$A59)+(Notional/$A59-EurDeployed)</f>
        <v/>
      </c>
      <c r="F59" s="22">
        <f>(Notional/'Forward Curve'!$E$9-Notional/$A59)+(Notional/$A59-EurDeployed)</f>
        <v/>
      </c>
      <c r="G59" s="22">
        <f>(Notional/'Forward Curve'!$E$10-Notional/$A59)+(Notional/$A59-EurDeployed)</f>
        <v/>
      </c>
      <c r="H59" s="22">
        <f>(Notional/'Forward Curve'!$E$11-Notional/$A59)+(Notional/$A59-EurDeployed)</f>
        <v/>
      </c>
    </row>
    <row r="60">
      <c r="A60" s="21" t="n">
        <v>0.9</v>
      </c>
      <c r="B60" s="22">
        <f>(Notional/'Forward Curve'!$E$5-Notional/$A60)+(Notional/$A60-EurDeployed)</f>
        <v/>
      </c>
      <c r="C60" s="22">
        <f>(Notional/'Forward Curve'!$E$6-Notional/$A60)+(Notional/$A60-EurDeployed)</f>
        <v/>
      </c>
      <c r="D60" s="22">
        <f>(Notional/'Forward Curve'!$E$7-Notional/$A60)+(Notional/$A60-EurDeployed)</f>
        <v/>
      </c>
      <c r="E60" s="22">
        <f>(Notional/'Forward Curve'!$E$8-Notional/$A60)+(Notional/$A60-EurDeployed)</f>
        <v/>
      </c>
      <c r="F60" s="22">
        <f>(Notional/'Forward Curve'!$E$9-Notional/$A60)+(Notional/$A60-EurDeployed)</f>
        <v/>
      </c>
      <c r="G60" s="22">
        <f>(Notional/'Forward Curve'!$E$10-Notional/$A60)+(Notional/$A60-EurDeployed)</f>
        <v/>
      </c>
      <c r="H60" s="22">
        <f>(Notional/'Forward Curve'!$E$11-Notional/$A60)+(Notional/$A60-EurDeployed)</f>
        <v/>
      </c>
    </row>
    <row r="61">
      <c r="A61" s="21" t="n">
        <v>0.95</v>
      </c>
      <c r="B61" s="22">
        <f>(Notional/'Forward Curve'!$E$5-Notional/$A61)+(Notional/$A61-EurDeployed)</f>
        <v/>
      </c>
      <c r="C61" s="22">
        <f>(Notional/'Forward Curve'!$E$6-Notional/$A61)+(Notional/$A61-EurDeployed)</f>
        <v/>
      </c>
      <c r="D61" s="22">
        <f>(Notional/'Forward Curve'!$E$7-Notional/$A61)+(Notional/$A61-EurDeployed)</f>
        <v/>
      </c>
      <c r="E61" s="22">
        <f>(Notional/'Forward Curve'!$E$8-Notional/$A61)+(Notional/$A61-EurDeployed)</f>
        <v/>
      </c>
      <c r="F61" s="22">
        <f>(Notional/'Forward Curve'!$E$9-Notional/$A61)+(Notional/$A61-EurDeployed)</f>
        <v/>
      </c>
      <c r="G61" s="22">
        <f>(Notional/'Forward Curve'!$E$10-Notional/$A61)+(Notional/$A61-EurDeployed)</f>
        <v/>
      </c>
      <c r="H61" s="22">
        <f>(Notional/'Forward Curve'!$E$11-Notional/$A61)+(Notional/$A61-EurDeployed)</f>
        <v/>
      </c>
    </row>
    <row r="62">
      <c r="A62" s="21" t="n">
        <v>1</v>
      </c>
      <c r="B62" s="22">
        <f>(Notional/'Forward Curve'!$E$5-Notional/$A62)+(Notional/$A62-EurDeployed)</f>
        <v/>
      </c>
      <c r="C62" s="22">
        <f>(Notional/'Forward Curve'!$E$6-Notional/$A62)+(Notional/$A62-EurDeployed)</f>
        <v/>
      </c>
      <c r="D62" s="22">
        <f>(Notional/'Forward Curve'!$E$7-Notional/$A62)+(Notional/$A62-EurDeployed)</f>
        <v/>
      </c>
      <c r="E62" s="22">
        <f>(Notional/'Forward Curve'!$E$8-Notional/$A62)+(Notional/$A62-EurDeployed)</f>
        <v/>
      </c>
      <c r="F62" s="22">
        <f>(Notional/'Forward Curve'!$E$9-Notional/$A62)+(Notional/$A62-EurDeployed)</f>
        <v/>
      </c>
      <c r="G62" s="22">
        <f>(Notional/'Forward Curve'!$E$10-Notional/$A62)+(Notional/$A62-EurDeployed)</f>
        <v/>
      </c>
      <c r="H62" s="22">
        <f>(Notional/'Forward Curve'!$E$11-Notional/$A62)+(Notional/$A62-EurDeployed)</f>
        <v/>
      </c>
    </row>
    <row r="63">
      <c r="A63" s="21" t="n">
        <v>1.05</v>
      </c>
      <c r="B63" s="22">
        <f>(Notional/'Forward Curve'!$E$5-Notional/$A63)+(Notional/$A63-EurDeployed)</f>
        <v/>
      </c>
      <c r="C63" s="22">
        <f>(Notional/'Forward Curve'!$E$6-Notional/$A63)+(Notional/$A63-EurDeployed)</f>
        <v/>
      </c>
      <c r="D63" s="22">
        <f>(Notional/'Forward Curve'!$E$7-Notional/$A63)+(Notional/$A63-EurDeployed)</f>
        <v/>
      </c>
      <c r="E63" s="22">
        <f>(Notional/'Forward Curve'!$E$8-Notional/$A63)+(Notional/$A63-EurDeployed)</f>
        <v/>
      </c>
      <c r="F63" s="22">
        <f>(Notional/'Forward Curve'!$E$9-Notional/$A63)+(Notional/$A63-EurDeployed)</f>
        <v/>
      </c>
      <c r="G63" s="22">
        <f>(Notional/'Forward Curve'!$E$10-Notional/$A63)+(Notional/$A63-EurDeployed)</f>
        <v/>
      </c>
      <c r="H63" s="22">
        <f>(Notional/'Forward Curve'!$E$11-Notional/$A63)+(Notional/$A63-EurDeployed)</f>
        <v/>
      </c>
    </row>
    <row r="64">
      <c r="A64" s="23" t="n">
        <v>1.1</v>
      </c>
      <c r="B64" s="22">
        <f>(Notional/'Forward Curve'!$E$5-Notional/$A64)+(Notional/$A64-EurDeployed)</f>
        <v/>
      </c>
      <c r="C64" s="22">
        <f>(Notional/'Forward Curve'!$E$6-Notional/$A64)+(Notional/$A64-EurDeployed)</f>
        <v/>
      </c>
      <c r="D64" s="22">
        <f>(Notional/'Forward Curve'!$E$7-Notional/$A64)+(Notional/$A64-EurDeployed)</f>
        <v/>
      </c>
      <c r="E64" s="22">
        <f>(Notional/'Forward Curve'!$E$8-Notional/$A64)+(Notional/$A64-EurDeployed)</f>
        <v/>
      </c>
      <c r="F64" s="22">
        <f>(Notional/'Forward Curve'!$E$9-Notional/$A64)+(Notional/$A64-EurDeployed)</f>
        <v/>
      </c>
      <c r="G64" s="22">
        <f>(Notional/'Forward Curve'!$E$10-Notional/$A64)+(Notional/$A64-EurDeployed)</f>
        <v/>
      </c>
      <c r="H64" s="22">
        <f>(Notional/'Forward Curve'!$E$11-Notional/$A64)+(Notional/$A64-EurDeployed)</f>
        <v/>
      </c>
    </row>
    <row r="65">
      <c r="A65" s="21" t="n">
        <v>1.15</v>
      </c>
      <c r="B65" s="22">
        <f>(Notional/'Forward Curve'!$E$5-Notional/$A65)+(Notional/$A65-EurDeployed)</f>
        <v/>
      </c>
      <c r="C65" s="22">
        <f>(Notional/'Forward Curve'!$E$6-Notional/$A65)+(Notional/$A65-EurDeployed)</f>
        <v/>
      </c>
      <c r="D65" s="22">
        <f>(Notional/'Forward Curve'!$E$7-Notional/$A65)+(Notional/$A65-EurDeployed)</f>
        <v/>
      </c>
      <c r="E65" s="22">
        <f>(Notional/'Forward Curve'!$E$8-Notional/$A65)+(Notional/$A65-EurDeployed)</f>
        <v/>
      </c>
      <c r="F65" s="22">
        <f>(Notional/'Forward Curve'!$E$9-Notional/$A65)+(Notional/$A65-EurDeployed)</f>
        <v/>
      </c>
      <c r="G65" s="22">
        <f>(Notional/'Forward Curve'!$E$10-Notional/$A65)+(Notional/$A65-EurDeployed)</f>
        <v/>
      </c>
      <c r="H65" s="22">
        <f>(Notional/'Forward Curve'!$E$11-Notional/$A65)+(Notional/$A65-EurDeployed)</f>
        <v/>
      </c>
    </row>
    <row r="66">
      <c r="A66" s="21" t="n">
        <v>1.2</v>
      </c>
      <c r="B66" s="22">
        <f>(Notional/'Forward Curve'!$E$5-Notional/$A66)+(Notional/$A66-EurDeployed)</f>
        <v/>
      </c>
      <c r="C66" s="22">
        <f>(Notional/'Forward Curve'!$E$6-Notional/$A66)+(Notional/$A66-EurDeployed)</f>
        <v/>
      </c>
      <c r="D66" s="22">
        <f>(Notional/'Forward Curve'!$E$7-Notional/$A66)+(Notional/$A66-EurDeployed)</f>
        <v/>
      </c>
      <c r="E66" s="22">
        <f>(Notional/'Forward Curve'!$E$8-Notional/$A66)+(Notional/$A66-EurDeployed)</f>
        <v/>
      </c>
      <c r="F66" s="22">
        <f>(Notional/'Forward Curve'!$E$9-Notional/$A66)+(Notional/$A66-EurDeployed)</f>
        <v/>
      </c>
      <c r="G66" s="22">
        <f>(Notional/'Forward Curve'!$E$10-Notional/$A66)+(Notional/$A66-EurDeployed)</f>
        <v/>
      </c>
      <c r="H66" s="22">
        <f>(Notional/'Forward Curve'!$E$11-Notional/$A66)+(Notional/$A66-EurDeployed)</f>
        <v/>
      </c>
    </row>
    <row r="67">
      <c r="A67" s="21" t="n">
        <v>1.25</v>
      </c>
      <c r="B67" s="22">
        <f>(Notional/'Forward Curve'!$E$5-Notional/$A67)+(Notional/$A67-EurDeployed)</f>
        <v/>
      </c>
      <c r="C67" s="22">
        <f>(Notional/'Forward Curve'!$E$6-Notional/$A67)+(Notional/$A67-EurDeployed)</f>
        <v/>
      </c>
      <c r="D67" s="22">
        <f>(Notional/'Forward Curve'!$E$7-Notional/$A67)+(Notional/$A67-EurDeployed)</f>
        <v/>
      </c>
      <c r="E67" s="22">
        <f>(Notional/'Forward Curve'!$E$8-Notional/$A67)+(Notional/$A67-EurDeployed)</f>
        <v/>
      </c>
      <c r="F67" s="22">
        <f>(Notional/'Forward Curve'!$E$9-Notional/$A67)+(Notional/$A67-EurDeployed)</f>
        <v/>
      </c>
      <c r="G67" s="22">
        <f>(Notional/'Forward Curve'!$E$10-Notional/$A67)+(Notional/$A67-EurDeployed)</f>
        <v/>
      </c>
      <c r="H67" s="22">
        <f>(Notional/'Forward Curve'!$E$11-Notional/$A67)+(Notional/$A67-EurDeployed)</f>
        <v/>
      </c>
    </row>
    <row r="68">
      <c r="A68" s="21" t="n">
        <v>1.3</v>
      </c>
      <c r="B68" s="22">
        <f>(Notional/'Forward Curve'!$E$5-Notional/$A68)+(Notional/$A68-EurDeployed)</f>
        <v/>
      </c>
      <c r="C68" s="22">
        <f>(Notional/'Forward Curve'!$E$6-Notional/$A68)+(Notional/$A68-EurDeployed)</f>
        <v/>
      </c>
      <c r="D68" s="22">
        <f>(Notional/'Forward Curve'!$E$7-Notional/$A68)+(Notional/$A68-EurDeployed)</f>
        <v/>
      </c>
      <c r="E68" s="22">
        <f>(Notional/'Forward Curve'!$E$8-Notional/$A68)+(Notional/$A68-EurDeployed)</f>
        <v/>
      </c>
      <c r="F68" s="22">
        <f>(Notional/'Forward Curve'!$E$9-Notional/$A68)+(Notional/$A68-EurDeployed)</f>
        <v/>
      </c>
      <c r="G68" s="22">
        <f>(Notional/'Forward Curve'!$E$10-Notional/$A68)+(Notional/$A68-EurDeployed)</f>
        <v/>
      </c>
      <c r="H68" s="22">
        <f>(Notional/'Forward Curve'!$E$11-Notional/$A68)+(Notional/$A68-EurDeployed)</f>
        <v/>
      </c>
    </row>
    <row r="69">
      <c r="A69" s="21" t="n">
        <v>1.35</v>
      </c>
      <c r="B69" s="22">
        <f>(Notional/'Forward Curve'!$E$5-Notional/$A69)+(Notional/$A69-EurDeployed)</f>
        <v/>
      </c>
      <c r="C69" s="22">
        <f>(Notional/'Forward Curve'!$E$6-Notional/$A69)+(Notional/$A69-EurDeployed)</f>
        <v/>
      </c>
      <c r="D69" s="22">
        <f>(Notional/'Forward Curve'!$E$7-Notional/$A69)+(Notional/$A69-EurDeployed)</f>
        <v/>
      </c>
      <c r="E69" s="22">
        <f>(Notional/'Forward Curve'!$E$8-Notional/$A69)+(Notional/$A69-EurDeployed)</f>
        <v/>
      </c>
      <c r="F69" s="22">
        <f>(Notional/'Forward Curve'!$E$9-Notional/$A69)+(Notional/$A69-EurDeployed)</f>
        <v/>
      </c>
      <c r="G69" s="22">
        <f>(Notional/'Forward Curve'!$E$10-Notional/$A69)+(Notional/$A69-EurDeployed)</f>
        <v/>
      </c>
      <c r="H69" s="22">
        <f>(Notional/'Forward Curve'!$E$11-Notional/$A69)+(Notional/$A69-EurDeployed)</f>
        <v/>
      </c>
    </row>
    <row r="70">
      <c r="A70" s="21" t="n">
        <v>1.4</v>
      </c>
      <c r="B70" s="22">
        <f>(Notional/'Forward Curve'!$E$5-Notional/$A70)+(Notional/$A70-EurDeployed)</f>
        <v/>
      </c>
      <c r="C70" s="22">
        <f>(Notional/'Forward Curve'!$E$6-Notional/$A70)+(Notional/$A70-EurDeployed)</f>
        <v/>
      </c>
      <c r="D70" s="22">
        <f>(Notional/'Forward Curve'!$E$7-Notional/$A70)+(Notional/$A70-EurDeployed)</f>
        <v/>
      </c>
      <c r="E70" s="22">
        <f>(Notional/'Forward Curve'!$E$8-Notional/$A70)+(Notional/$A70-EurDeployed)</f>
        <v/>
      </c>
      <c r="F70" s="22">
        <f>(Notional/'Forward Curve'!$E$9-Notional/$A70)+(Notional/$A70-EurDeployed)</f>
        <v/>
      </c>
      <c r="G70" s="22">
        <f>(Notional/'Forward Curve'!$E$10-Notional/$A70)+(Notional/$A70-EurDeployed)</f>
        <v/>
      </c>
      <c r="H70" s="22">
        <f>(Notional/'Forward Curve'!$E$11-Notional/$A70)+(Notional/$A70-EurDeployed)</f>
        <v/>
      </c>
    </row>
    <row r="71">
      <c r="A71" s="21" t="n">
        <v>1.45</v>
      </c>
      <c r="B71" s="22">
        <f>(Notional/'Forward Curve'!$E$5-Notional/$A71)+(Notional/$A71-EurDeployed)</f>
        <v/>
      </c>
      <c r="C71" s="22">
        <f>(Notional/'Forward Curve'!$E$6-Notional/$A71)+(Notional/$A71-EurDeployed)</f>
        <v/>
      </c>
      <c r="D71" s="22">
        <f>(Notional/'Forward Curve'!$E$7-Notional/$A71)+(Notional/$A71-EurDeployed)</f>
        <v/>
      </c>
      <c r="E71" s="22">
        <f>(Notional/'Forward Curve'!$E$8-Notional/$A71)+(Notional/$A71-EurDeployed)</f>
        <v/>
      </c>
      <c r="F71" s="22">
        <f>(Notional/'Forward Curve'!$E$9-Notional/$A71)+(Notional/$A71-EurDeployed)</f>
        <v/>
      </c>
      <c r="G71" s="22">
        <f>(Notional/'Forward Curve'!$E$10-Notional/$A71)+(Notional/$A71-EurDeployed)</f>
        <v/>
      </c>
      <c r="H71" s="22">
        <f>(Notional/'Forward Curve'!$E$11-Notional/$A71)+(Notional/$A71-EurDeployed)</f>
        <v/>
      </c>
    </row>
    <row r="72">
      <c r="A72" s="19" t="inlineStr">
        <is>
          <t>Constant down every column — this is the carry cost, and it is the only thing a fully hedged fund actually loses. It is also NOT what a limit should be written against.</t>
        </is>
      </c>
    </row>
    <row r="74">
      <c r="A74" s="20" t="inlineStr">
        <is>
          <t>E · CASH REQUIRED AT SETTLEMENT, EUR</t>
        </is>
      </c>
    </row>
    <row r="75">
      <c r="A75" s="19">
        <f> MAX(0, -A).  What the fund must find, in cash, within two business days of the maturity date.</f>
        <v/>
      </c>
    </row>
    <row r="76">
      <c r="A76" s="13" t="inlineStr">
        <is>
          <t>EURUSD at maturity</t>
        </is>
      </c>
      <c r="B76" s="13" t="inlineStr">
        <is>
          <t>3M</t>
        </is>
      </c>
      <c r="C76" s="13" t="inlineStr">
        <is>
          <t>6M</t>
        </is>
      </c>
      <c r="D76" s="13" t="inlineStr">
        <is>
          <t>1Y</t>
        </is>
      </c>
      <c r="E76" s="13" t="inlineStr">
        <is>
          <t>2Y</t>
        </is>
      </c>
      <c r="F76" s="13" t="inlineStr">
        <is>
          <t>3Y</t>
        </is>
      </c>
      <c r="G76" s="13" t="inlineStr">
        <is>
          <t>5Y</t>
        </is>
      </c>
      <c r="H76" s="13" t="inlineStr">
        <is>
          <t>7Y</t>
        </is>
      </c>
    </row>
    <row r="77">
      <c r="A77" s="21" t="n">
        <v>0.85</v>
      </c>
      <c r="B77" s="22">
        <f>MAX(0,-(Notional/'Forward Curve'!$E$5-Notional/$A77))</f>
        <v/>
      </c>
      <c r="C77" s="22">
        <f>MAX(0,-(Notional/'Forward Curve'!$E$6-Notional/$A77))</f>
        <v/>
      </c>
      <c r="D77" s="22">
        <f>MAX(0,-(Notional/'Forward Curve'!$E$7-Notional/$A77))</f>
        <v/>
      </c>
      <c r="E77" s="22">
        <f>MAX(0,-(Notional/'Forward Curve'!$E$8-Notional/$A77))</f>
        <v/>
      </c>
      <c r="F77" s="22">
        <f>MAX(0,-(Notional/'Forward Curve'!$E$9-Notional/$A77))</f>
        <v/>
      </c>
      <c r="G77" s="22">
        <f>MAX(0,-(Notional/'Forward Curve'!$E$10-Notional/$A77))</f>
        <v/>
      </c>
      <c r="H77" s="22">
        <f>MAX(0,-(Notional/'Forward Curve'!$E$11-Notional/$A77))</f>
        <v/>
      </c>
    </row>
    <row r="78">
      <c r="A78" s="21" t="n">
        <v>0.9</v>
      </c>
      <c r="B78" s="22">
        <f>MAX(0,-(Notional/'Forward Curve'!$E$5-Notional/$A78))</f>
        <v/>
      </c>
      <c r="C78" s="22">
        <f>MAX(0,-(Notional/'Forward Curve'!$E$6-Notional/$A78))</f>
        <v/>
      </c>
      <c r="D78" s="22">
        <f>MAX(0,-(Notional/'Forward Curve'!$E$7-Notional/$A78))</f>
        <v/>
      </c>
      <c r="E78" s="22">
        <f>MAX(0,-(Notional/'Forward Curve'!$E$8-Notional/$A78))</f>
        <v/>
      </c>
      <c r="F78" s="22">
        <f>MAX(0,-(Notional/'Forward Curve'!$E$9-Notional/$A78))</f>
        <v/>
      </c>
      <c r="G78" s="22">
        <f>MAX(0,-(Notional/'Forward Curve'!$E$10-Notional/$A78))</f>
        <v/>
      </c>
      <c r="H78" s="22">
        <f>MAX(0,-(Notional/'Forward Curve'!$E$11-Notional/$A78))</f>
        <v/>
      </c>
    </row>
    <row r="79">
      <c r="A79" s="21" t="n">
        <v>0.95</v>
      </c>
      <c r="B79" s="22">
        <f>MAX(0,-(Notional/'Forward Curve'!$E$5-Notional/$A79))</f>
        <v/>
      </c>
      <c r="C79" s="22">
        <f>MAX(0,-(Notional/'Forward Curve'!$E$6-Notional/$A79))</f>
        <v/>
      </c>
      <c r="D79" s="22">
        <f>MAX(0,-(Notional/'Forward Curve'!$E$7-Notional/$A79))</f>
        <v/>
      </c>
      <c r="E79" s="22">
        <f>MAX(0,-(Notional/'Forward Curve'!$E$8-Notional/$A79))</f>
        <v/>
      </c>
      <c r="F79" s="22">
        <f>MAX(0,-(Notional/'Forward Curve'!$E$9-Notional/$A79))</f>
        <v/>
      </c>
      <c r="G79" s="22">
        <f>MAX(0,-(Notional/'Forward Curve'!$E$10-Notional/$A79))</f>
        <v/>
      </c>
      <c r="H79" s="22">
        <f>MAX(0,-(Notional/'Forward Curve'!$E$11-Notional/$A79))</f>
        <v/>
      </c>
    </row>
    <row r="80">
      <c r="A80" s="21" t="n">
        <v>1</v>
      </c>
      <c r="B80" s="22">
        <f>MAX(0,-(Notional/'Forward Curve'!$E$5-Notional/$A80))</f>
        <v/>
      </c>
      <c r="C80" s="22">
        <f>MAX(0,-(Notional/'Forward Curve'!$E$6-Notional/$A80))</f>
        <v/>
      </c>
      <c r="D80" s="22">
        <f>MAX(0,-(Notional/'Forward Curve'!$E$7-Notional/$A80))</f>
        <v/>
      </c>
      <c r="E80" s="22">
        <f>MAX(0,-(Notional/'Forward Curve'!$E$8-Notional/$A80))</f>
        <v/>
      </c>
      <c r="F80" s="22">
        <f>MAX(0,-(Notional/'Forward Curve'!$E$9-Notional/$A80))</f>
        <v/>
      </c>
      <c r="G80" s="22">
        <f>MAX(0,-(Notional/'Forward Curve'!$E$10-Notional/$A80))</f>
        <v/>
      </c>
      <c r="H80" s="22">
        <f>MAX(0,-(Notional/'Forward Curve'!$E$11-Notional/$A80))</f>
        <v/>
      </c>
    </row>
    <row r="81">
      <c r="A81" s="21" t="n">
        <v>1.05</v>
      </c>
      <c r="B81" s="22">
        <f>MAX(0,-(Notional/'Forward Curve'!$E$5-Notional/$A81))</f>
        <v/>
      </c>
      <c r="C81" s="22">
        <f>MAX(0,-(Notional/'Forward Curve'!$E$6-Notional/$A81))</f>
        <v/>
      </c>
      <c r="D81" s="22">
        <f>MAX(0,-(Notional/'Forward Curve'!$E$7-Notional/$A81))</f>
        <v/>
      </c>
      <c r="E81" s="22">
        <f>MAX(0,-(Notional/'Forward Curve'!$E$8-Notional/$A81))</f>
        <v/>
      </c>
      <c r="F81" s="22">
        <f>MAX(0,-(Notional/'Forward Curve'!$E$9-Notional/$A81))</f>
        <v/>
      </c>
      <c r="G81" s="22">
        <f>MAX(0,-(Notional/'Forward Curve'!$E$10-Notional/$A81))</f>
        <v/>
      </c>
      <c r="H81" s="22">
        <f>MAX(0,-(Notional/'Forward Curve'!$E$11-Notional/$A81))</f>
        <v/>
      </c>
    </row>
    <row r="82">
      <c r="A82" s="23" t="n">
        <v>1.1</v>
      </c>
      <c r="B82" s="22">
        <f>MAX(0,-(Notional/'Forward Curve'!$E$5-Notional/$A82))</f>
        <v/>
      </c>
      <c r="C82" s="22">
        <f>MAX(0,-(Notional/'Forward Curve'!$E$6-Notional/$A82))</f>
        <v/>
      </c>
      <c r="D82" s="22">
        <f>MAX(0,-(Notional/'Forward Curve'!$E$7-Notional/$A82))</f>
        <v/>
      </c>
      <c r="E82" s="22">
        <f>MAX(0,-(Notional/'Forward Curve'!$E$8-Notional/$A82))</f>
        <v/>
      </c>
      <c r="F82" s="22">
        <f>MAX(0,-(Notional/'Forward Curve'!$E$9-Notional/$A82))</f>
        <v/>
      </c>
      <c r="G82" s="22">
        <f>MAX(0,-(Notional/'Forward Curve'!$E$10-Notional/$A82))</f>
        <v/>
      </c>
      <c r="H82" s="22">
        <f>MAX(0,-(Notional/'Forward Curve'!$E$11-Notional/$A82))</f>
        <v/>
      </c>
    </row>
    <row r="83">
      <c r="A83" s="21" t="n">
        <v>1.15</v>
      </c>
      <c r="B83" s="22">
        <f>MAX(0,-(Notional/'Forward Curve'!$E$5-Notional/$A83))</f>
        <v/>
      </c>
      <c r="C83" s="22">
        <f>MAX(0,-(Notional/'Forward Curve'!$E$6-Notional/$A83))</f>
        <v/>
      </c>
      <c r="D83" s="22">
        <f>MAX(0,-(Notional/'Forward Curve'!$E$7-Notional/$A83))</f>
        <v/>
      </c>
      <c r="E83" s="22">
        <f>MAX(0,-(Notional/'Forward Curve'!$E$8-Notional/$A83))</f>
        <v/>
      </c>
      <c r="F83" s="22">
        <f>MAX(0,-(Notional/'Forward Curve'!$E$9-Notional/$A83))</f>
        <v/>
      </c>
      <c r="G83" s="22">
        <f>MAX(0,-(Notional/'Forward Curve'!$E$10-Notional/$A83))</f>
        <v/>
      </c>
      <c r="H83" s="22">
        <f>MAX(0,-(Notional/'Forward Curve'!$E$11-Notional/$A83))</f>
        <v/>
      </c>
    </row>
    <row r="84">
      <c r="A84" s="21" t="n">
        <v>1.2</v>
      </c>
      <c r="B84" s="22">
        <f>MAX(0,-(Notional/'Forward Curve'!$E$5-Notional/$A84))</f>
        <v/>
      </c>
      <c r="C84" s="22">
        <f>MAX(0,-(Notional/'Forward Curve'!$E$6-Notional/$A84))</f>
        <v/>
      </c>
      <c r="D84" s="22">
        <f>MAX(0,-(Notional/'Forward Curve'!$E$7-Notional/$A84))</f>
        <v/>
      </c>
      <c r="E84" s="22">
        <f>MAX(0,-(Notional/'Forward Curve'!$E$8-Notional/$A84))</f>
        <v/>
      </c>
      <c r="F84" s="22">
        <f>MAX(0,-(Notional/'Forward Curve'!$E$9-Notional/$A84))</f>
        <v/>
      </c>
      <c r="G84" s="22">
        <f>MAX(0,-(Notional/'Forward Curve'!$E$10-Notional/$A84))</f>
        <v/>
      </c>
      <c r="H84" s="22">
        <f>MAX(0,-(Notional/'Forward Curve'!$E$11-Notional/$A84))</f>
        <v/>
      </c>
    </row>
    <row r="85">
      <c r="A85" s="21" t="n">
        <v>1.25</v>
      </c>
      <c r="B85" s="22">
        <f>MAX(0,-(Notional/'Forward Curve'!$E$5-Notional/$A85))</f>
        <v/>
      </c>
      <c r="C85" s="22">
        <f>MAX(0,-(Notional/'Forward Curve'!$E$6-Notional/$A85))</f>
        <v/>
      </c>
      <c r="D85" s="22">
        <f>MAX(0,-(Notional/'Forward Curve'!$E$7-Notional/$A85))</f>
        <v/>
      </c>
      <c r="E85" s="22">
        <f>MAX(0,-(Notional/'Forward Curve'!$E$8-Notional/$A85))</f>
        <v/>
      </c>
      <c r="F85" s="22">
        <f>MAX(0,-(Notional/'Forward Curve'!$E$9-Notional/$A85))</f>
        <v/>
      </c>
      <c r="G85" s="22">
        <f>MAX(0,-(Notional/'Forward Curve'!$E$10-Notional/$A85))</f>
        <v/>
      </c>
      <c r="H85" s="22">
        <f>MAX(0,-(Notional/'Forward Curve'!$E$11-Notional/$A85))</f>
        <v/>
      </c>
    </row>
    <row r="86">
      <c r="A86" s="21" t="n">
        <v>1.3</v>
      </c>
      <c r="B86" s="22">
        <f>MAX(0,-(Notional/'Forward Curve'!$E$5-Notional/$A86))</f>
        <v/>
      </c>
      <c r="C86" s="22">
        <f>MAX(0,-(Notional/'Forward Curve'!$E$6-Notional/$A86))</f>
        <v/>
      </c>
      <c r="D86" s="22">
        <f>MAX(0,-(Notional/'Forward Curve'!$E$7-Notional/$A86))</f>
        <v/>
      </c>
      <c r="E86" s="22">
        <f>MAX(0,-(Notional/'Forward Curve'!$E$8-Notional/$A86))</f>
        <v/>
      </c>
      <c r="F86" s="22">
        <f>MAX(0,-(Notional/'Forward Curve'!$E$9-Notional/$A86))</f>
        <v/>
      </c>
      <c r="G86" s="22">
        <f>MAX(0,-(Notional/'Forward Curve'!$E$10-Notional/$A86))</f>
        <v/>
      </c>
      <c r="H86" s="22">
        <f>MAX(0,-(Notional/'Forward Curve'!$E$11-Notional/$A86))</f>
        <v/>
      </c>
    </row>
    <row r="87">
      <c r="A87" s="21" t="n">
        <v>1.35</v>
      </c>
      <c r="B87" s="22">
        <f>MAX(0,-(Notional/'Forward Curve'!$E$5-Notional/$A87))</f>
        <v/>
      </c>
      <c r="C87" s="22">
        <f>MAX(0,-(Notional/'Forward Curve'!$E$6-Notional/$A87))</f>
        <v/>
      </c>
      <c r="D87" s="22">
        <f>MAX(0,-(Notional/'Forward Curve'!$E$7-Notional/$A87))</f>
        <v/>
      </c>
      <c r="E87" s="22">
        <f>MAX(0,-(Notional/'Forward Curve'!$E$8-Notional/$A87))</f>
        <v/>
      </c>
      <c r="F87" s="22">
        <f>MAX(0,-(Notional/'Forward Curve'!$E$9-Notional/$A87))</f>
        <v/>
      </c>
      <c r="G87" s="22">
        <f>MAX(0,-(Notional/'Forward Curve'!$E$10-Notional/$A87))</f>
        <v/>
      </c>
      <c r="H87" s="22">
        <f>MAX(0,-(Notional/'Forward Curve'!$E$11-Notional/$A87))</f>
        <v/>
      </c>
    </row>
    <row r="88">
      <c r="A88" s="21" t="n">
        <v>1.4</v>
      </c>
      <c r="B88" s="22">
        <f>MAX(0,-(Notional/'Forward Curve'!$E$5-Notional/$A88))</f>
        <v/>
      </c>
      <c r="C88" s="22">
        <f>MAX(0,-(Notional/'Forward Curve'!$E$6-Notional/$A88))</f>
        <v/>
      </c>
      <c r="D88" s="22">
        <f>MAX(0,-(Notional/'Forward Curve'!$E$7-Notional/$A88))</f>
        <v/>
      </c>
      <c r="E88" s="22">
        <f>MAX(0,-(Notional/'Forward Curve'!$E$8-Notional/$A88))</f>
        <v/>
      </c>
      <c r="F88" s="22">
        <f>MAX(0,-(Notional/'Forward Curve'!$E$9-Notional/$A88))</f>
        <v/>
      </c>
      <c r="G88" s="22">
        <f>MAX(0,-(Notional/'Forward Curve'!$E$10-Notional/$A88))</f>
        <v/>
      </c>
      <c r="H88" s="22">
        <f>MAX(0,-(Notional/'Forward Curve'!$E$11-Notional/$A88))</f>
        <v/>
      </c>
    </row>
    <row r="89">
      <c r="A89" s="21" t="n">
        <v>1.45</v>
      </c>
      <c r="B89" s="22">
        <f>MAX(0,-(Notional/'Forward Curve'!$E$5-Notional/$A89))</f>
        <v/>
      </c>
      <c r="C89" s="22">
        <f>MAX(0,-(Notional/'Forward Curve'!$E$6-Notional/$A89))</f>
        <v/>
      </c>
      <c r="D89" s="22">
        <f>MAX(0,-(Notional/'Forward Curve'!$E$7-Notional/$A89))</f>
        <v/>
      </c>
      <c r="E89" s="22">
        <f>MAX(0,-(Notional/'Forward Curve'!$E$8-Notional/$A89))</f>
        <v/>
      </c>
      <c r="F89" s="22">
        <f>MAX(0,-(Notional/'Forward Curve'!$E$9-Notional/$A89))</f>
        <v/>
      </c>
      <c r="G89" s="22">
        <f>MAX(0,-(Notional/'Forward Curve'!$E$10-Notional/$A89))</f>
        <v/>
      </c>
      <c r="H89" s="22">
        <f>MAX(0,-(Notional/'Forward Curve'!$E$11-Notional/$A89))</f>
        <v/>
      </c>
    </row>
    <row r="91">
      <c r="A91" s="20" t="inlineStr">
        <is>
          <t>F · CASH REQUIRED AS % OF EUR DEPLOYED</t>
        </is>
      </c>
    </row>
    <row r="92">
      <c r="A92" s="19" t="inlineStr">
        <is>
          <t>The same, scaled against the euro capital originally put to work.</t>
        </is>
      </c>
    </row>
    <row r="93">
      <c r="A93" s="13" t="inlineStr">
        <is>
          <t>EURUSD at maturity</t>
        </is>
      </c>
      <c r="B93" s="13" t="inlineStr">
        <is>
          <t>3M</t>
        </is>
      </c>
      <c r="C93" s="13" t="inlineStr">
        <is>
          <t>6M</t>
        </is>
      </c>
      <c r="D93" s="13" t="inlineStr">
        <is>
          <t>1Y</t>
        </is>
      </c>
      <c r="E93" s="13" t="inlineStr">
        <is>
          <t>2Y</t>
        </is>
      </c>
      <c r="F93" s="13" t="inlineStr">
        <is>
          <t>3Y</t>
        </is>
      </c>
      <c r="G93" s="13" t="inlineStr">
        <is>
          <t>5Y</t>
        </is>
      </c>
      <c r="H93" s="13" t="inlineStr">
        <is>
          <t>7Y</t>
        </is>
      </c>
    </row>
    <row r="94">
      <c r="A94" s="21" t="n">
        <v>0.85</v>
      </c>
      <c r="B94" s="24">
        <f>MAX(0,-(Notional/'Forward Curve'!$E$5-Notional/$A94))/EurDeployed</f>
        <v/>
      </c>
      <c r="C94" s="24">
        <f>MAX(0,-(Notional/'Forward Curve'!$E$6-Notional/$A94))/EurDeployed</f>
        <v/>
      </c>
      <c r="D94" s="24">
        <f>MAX(0,-(Notional/'Forward Curve'!$E$7-Notional/$A94))/EurDeployed</f>
        <v/>
      </c>
      <c r="E94" s="24">
        <f>MAX(0,-(Notional/'Forward Curve'!$E$8-Notional/$A94))/EurDeployed</f>
        <v/>
      </c>
      <c r="F94" s="24">
        <f>MAX(0,-(Notional/'Forward Curve'!$E$9-Notional/$A94))/EurDeployed</f>
        <v/>
      </c>
      <c r="G94" s="24">
        <f>MAX(0,-(Notional/'Forward Curve'!$E$10-Notional/$A94))/EurDeployed</f>
        <v/>
      </c>
      <c r="H94" s="24">
        <f>MAX(0,-(Notional/'Forward Curve'!$E$11-Notional/$A94))/EurDeployed</f>
        <v/>
      </c>
    </row>
    <row r="95">
      <c r="A95" s="21" t="n">
        <v>0.9</v>
      </c>
      <c r="B95" s="24">
        <f>MAX(0,-(Notional/'Forward Curve'!$E$5-Notional/$A95))/EurDeployed</f>
        <v/>
      </c>
      <c r="C95" s="24">
        <f>MAX(0,-(Notional/'Forward Curve'!$E$6-Notional/$A95))/EurDeployed</f>
        <v/>
      </c>
      <c r="D95" s="24">
        <f>MAX(0,-(Notional/'Forward Curve'!$E$7-Notional/$A95))/EurDeployed</f>
        <v/>
      </c>
      <c r="E95" s="24">
        <f>MAX(0,-(Notional/'Forward Curve'!$E$8-Notional/$A95))/EurDeployed</f>
        <v/>
      </c>
      <c r="F95" s="24">
        <f>MAX(0,-(Notional/'Forward Curve'!$E$9-Notional/$A95))/EurDeployed</f>
        <v/>
      </c>
      <c r="G95" s="24">
        <f>MAX(0,-(Notional/'Forward Curve'!$E$10-Notional/$A95))/EurDeployed</f>
        <v/>
      </c>
      <c r="H95" s="24">
        <f>MAX(0,-(Notional/'Forward Curve'!$E$11-Notional/$A95))/EurDeployed</f>
        <v/>
      </c>
    </row>
    <row r="96">
      <c r="A96" s="21" t="n">
        <v>0.95</v>
      </c>
      <c r="B96" s="24">
        <f>MAX(0,-(Notional/'Forward Curve'!$E$5-Notional/$A96))/EurDeployed</f>
        <v/>
      </c>
      <c r="C96" s="24">
        <f>MAX(0,-(Notional/'Forward Curve'!$E$6-Notional/$A96))/EurDeployed</f>
        <v/>
      </c>
      <c r="D96" s="24">
        <f>MAX(0,-(Notional/'Forward Curve'!$E$7-Notional/$A96))/EurDeployed</f>
        <v/>
      </c>
      <c r="E96" s="24">
        <f>MAX(0,-(Notional/'Forward Curve'!$E$8-Notional/$A96))/EurDeployed</f>
        <v/>
      </c>
      <c r="F96" s="24">
        <f>MAX(0,-(Notional/'Forward Curve'!$E$9-Notional/$A96))/EurDeployed</f>
        <v/>
      </c>
      <c r="G96" s="24">
        <f>MAX(0,-(Notional/'Forward Curve'!$E$10-Notional/$A96))/EurDeployed</f>
        <v/>
      </c>
      <c r="H96" s="24">
        <f>MAX(0,-(Notional/'Forward Curve'!$E$11-Notional/$A96))/EurDeployed</f>
        <v/>
      </c>
    </row>
    <row r="97">
      <c r="A97" s="21" t="n">
        <v>1</v>
      </c>
      <c r="B97" s="24">
        <f>MAX(0,-(Notional/'Forward Curve'!$E$5-Notional/$A97))/EurDeployed</f>
        <v/>
      </c>
      <c r="C97" s="24">
        <f>MAX(0,-(Notional/'Forward Curve'!$E$6-Notional/$A97))/EurDeployed</f>
        <v/>
      </c>
      <c r="D97" s="24">
        <f>MAX(0,-(Notional/'Forward Curve'!$E$7-Notional/$A97))/EurDeployed</f>
        <v/>
      </c>
      <c r="E97" s="24">
        <f>MAX(0,-(Notional/'Forward Curve'!$E$8-Notional/$A97))/EurDeployed</f>
        <v/>
      </c>
      <c r="F97" s="24">
        <f>MAX(0,-(Notional/'Forward Curve'!$E$9-Notional/$A97))/EurDeployed</f>
        <v/>
      </c>
      <c r="G97" s="24">
        <f>MAX(0,-(Notional/'Forward Curve'!$E$10-Notional/$A97))/EurDeployed</f>
        <v/>
      </c>
      <c r="H97" s="24">
        <f>MAX(0,-(Notional/'Forward Curve'!$E$11-Notional/$A97))/EurDeployed</f>
        <v/>
      </c>
    </row>
    <row r="98">
      <c r="A98" s="21" t="n">
        <v>1.05</v>
      </c>
      <c r="B98" s="24">
        <f>MAX(0,-(Notional/'Forward Curve'!$E$5-Notional/$A98))/EurDeployed</f>
        <v/>
      </c>
      <c r="C98" s="24">
        <f>MAX(0,-(Notional/'Forward Curve'!$E$6-Notional/$A98))/EurDeployed</f>
        <v/>
      </c>
      <c r="D98" s="24">
        <f>MAX(0,-(Notional/'Forward Curve'!$E$7-Notional/$A98))/EurDeployed</f>
        <v/>
      </c>
      <c r="E98" s="24">
        <f>MAX(0,-(Notional/'Forward Curve'!$E$8-Notional/$A98))/EurDeployed</f>
        <v/>
      </c>
      <c r="F98" s="24">
        <f>MAX(0,-(Notional/'Forward Curve'!$E$9-Notional/$A98))/EurDeployed</f>
        <v/>
      </c>
      <c r="G98" s="24">
        <f>MAX(0,-(Notional/'Forward Curve'!$E$10-Notional/$A98))/EurDeployed</f>
        <v/>
      </c>
      <c r="H98" s="24">
        <f>MAX(0,-(Notional/'Forward Curve'!$E$11-Notional/$A98))/EurDeployed</f>
        <v/>
      </c>
    </row>
    <row r="99">
      <c r="A99" s="23" t="n">
        <v>1.1</v>
      </c>
      <c r="B99" s="24">
        <f>MAX(0,-(Notional/'Forward Curve'!$E$5-Notional/$A99))/EurDeployed</f>
        <v/>
      </c>
      <c r="C99" s="24">
        <f>MAX(0,-(Notional/'Forward Curve'!$E$6-Notional/$A99))/EurDeployed</f>
        <v/>
      </c>
      <c r="D99" s="24">
        <f>MAX(0,-(Notional/'Forward Curve'!$E$7-Notional/$A99))/EurDeployed</f>
        <v/>
      </c>
      <c r="E99" s="24">
        <f>MAX(0,-(Notional/'Forward Curve'!$E$8-Notional/$A99))/EurDeployed</f>
        <v/>
      </c>
      <c r="F99" s="24">
        <f>MAX(0,-(Notional/'Forward Curve'!$E$9-Notional/$A99))/EurDeployed</f>
        <v/>
      </c>
      <c r="G99" s="24">
        <f>MAX(0,-(Notional/'Forward Curve'!$E$10-Notional/$A99))/EurDeployed</f>
        <v/>
      </c>
      <c r="H99" s="24">
        <f>MAX(0,-(Notional/'Forward Curve'!$E$11-Notional/$A99))/EurDeployed</f>
        <v/>
      </c>
    </row>
    <row r="100">
      <c r="A100" s="21" t="n">
        <v>1.15</v>
      </c>
      <c r="B100" s="24">
        <f>MAX(0,-(Notional/'Forward Curve'!$E$5-Notional/$A100))/EurDeployed</f>
        <v/>
      </c>
      <c r="C100" s="24">
        <f>MAX(0,-(Notional/'Forward Curve'!$E$6-Notional/$A100))/EurDeployed</f>
        <v/>
      </c>
      <c r="D100" s="24">
        <f>MAX(0,-(Notional/'Forward Curve'!$E$7-Notional/$A100))/EurDeployed</f>
        <v/>
      </c>
      <c r="E100" s="24">
        <f>MAX(0,-(Notional/'Forward Curve'!$E$8-Notional/$A100))/EurDeployed</f>
        <v/>
      </c>
      <c r="F100" s="24">
        <f>MAX(0,-(Notional/'Forward Curve'!$E$9-Notional/$A100))/EurDeployed</f>
        <v/>
      </c>
      <c r="G100" s="24">
        <f>MAX(0,-(Notional/'Forward Curve'!$E$10-Notional/$A100))/EurDeployed</f>
        <v/>
      </c>
      <c r="H100" s="24">
        <f>MAX(0,-(Notional/'Forward Curve'!$E$11-Notional/$A100))/EurDeployed</f>
        <v/>
      </c>
    </row>
    <row r="101">
      <c r="A101" s="21" t="n">
        <v>1.2</v>
      </c>
      <c r="B101" s="24">
        <f>MAX(0,-(Notional/'Forward Curve'!$E$5-Notional/$A101))/EurDeployed</f>
        <v/>
      </c>
      <c r="C101" s="24">
        <f>MAX(0,-(Notional/'Forward Curve'!$E$6-Notional/$A101))/EurDeployed</f>
        <v/>
      </c>
      <c r="D101" s="24">
        <f>MAX(0,-(Notional/'Forward Curve'!$E$7-Notional/$A101))/EurDeployed</f>
        <v/>
      </c>
      <c r="E101" s="24">
        <f>MAX(0,-(Notional/'Forward Curve'!$E$8-Notional/$A101))/EurDeployed</f>
        <v/>
      </c>
      <c r="F101" s="24">
        <f>MAX(0,-(Notional/'Forward Curve'!$E$9-Notional/$A101))/EurDeployed</f>
        <v/>
      </c>
      <c r="G101" s="24">
        <f>MAX(0,-(Notional/'Forward Curve'!$E$10-Notional/$A101))/EurDeployed</f>
        <v/>
      </c>
      <c r="H101" s="24">
        <f>MAX(0,-(Notional/'Forward Curve'!$E$11-Notional/$A101))/EurDeployed</f>
        <v/>
      </c>
    </row>
    <row r="102">
      <c r="A102" s="21" t="n">
        <v>1.25</v>
      </c>
      <c r="B102" s="24">
        <f>MAX(0,-(Notional/'Forward Curve'!$E$5-Notional/$A102))/EurDeployed</f>
        <v/>
      </c>
      <c r="C102" s="24">
        <f>MAX(0,-(Notional/'Forward Curve'!$E$6-Notional/$A102))/EurDeployed</f>
        <v/>
      </c>
      <c r="D102" s="24">
        <f>MAX(0,-(Notional/'Forward Curve'!$E$7-Notional/$A102))/EurDeployed</f>
        <v/>
      </c>
      <c r="E102" s="24">
        <f>MAX(0,-(Notional/'Forward Curve'!$E$8-Notional/$A102))/EurDeployed</f>
        <v/>
      </c>
      <c r="F102" s="24">
        <f>MAX(0,-(Notional/'Forward Curve'!$E$9-Notional/$A102))/EurDeployed</f>
        <v/>
      </c>
      <c r="G102" s="24">
        <f>MAX(0,-(Notional/'Forward Curve'!$E$10-Notional/$A102))/EurDeployed</f>
        <v/>
      </c>
      <c r="H102" s="24">
        <f>MAX(0,-(Notional/'Forward Curve'!$E$11-Notional/$A102))/EurDeployed</f>
        <v/>
      </c>
    </row>
    <row r="103">
      <c r="A103" s="21" t="n">
        <v>1.3</v>
      </c>
      <c r="B103" s="24">
        <f>MAX(0,-(Notional/'Forward Curve'!$E$5-Notional/$A103))/EurDeployed</f>
        <v/>
      </c>
      <c r="C103" s="24">
        <f>MAX(0,-(Notional/'Forward Curve'!$E$6-Notional/$A103))/EurDeployed</f>
        <v/>
      </c>
      <c r="D103" s="24">
        <f>MAX(0,-(Notional/'Forward Curve'!$E$7-Notional/$A103))/EurDeployed</f>
        <v/>
      </c>
      <c r="E103" s="24">
        <f>MAX(0,-(Notional/'Forward Curve'!$E$8-Notional/$A103))/EurDeployed</f>
        <v/>
      </c>
      <c r="F103" s="24">
        <f>MAX(0,-(Notional/'Forward Curve'!$E$9-Notional/$A103))/EurDeployed</f>
        <v/>
      </c>
      <c r="G103" s="24">
        <f>MAX(0,-(Notional/'Forward Curve'!$E$10-Notional/$A103))/EurDeployed</f>
        <v/>
      </c>
      <c r="H103" s="24">
        <f>MAX(0,-(Notional/'Forward Curve'!$E$11-Notional/$A103))/EurDeployed</f>
        <v/>
      </c>
    </row>
    <row r="104">
      <c r="A104" s="21" t="n">
        <v>1.35</v>
      </c>
      <c r="B104" s="24">
        <f>MAX(0,-(Notional/'Forward Curve'!$E$5-Notional/$A104))/EurDeployed</f>
        <v/>
      </c>
      <c r="C104" s="24">
        <f>MAX(0,-(Notional/'Forward Curve'!$E$6-Notional/$A104))/EurDeployed</f>
        <v/>
      </c>
      <c r="D104" s="24">
        <f>MAX(0,-(Notional/'Forward Curve'!$E$7-Notional/$A104))/EurDeployed</f>
        <v/>
      </c>
      <c r="E104" s="24">
        <f>MAX(0,-(Notional/'Forward Curve'!$E$8-Notional/$A104))/EurDeployed</f>
        <v/>
      </c>
      <c r="F104" s="24">
        <f>MAX(0,-(Notional/'Forward Curve'!$E$9-Notional/$A104))/EurDeployed</f>
        <v/>
      </c>
      <c r="G104" s="24">
        <f>MAX(0,-(Notional/'Forward Curve'!$E$10-Notional/$A104))/EurDeployed</f>
        <v/>
      </c>
      <c r="H104" s="24">
        <f>MAX(0,-(Notional/'Forward Curve'!$E$11-Notional/$A104))/EurDeployed</f>
        <v/>
      </c>
    </row>
    <row r="105">
      <c r="A105" s="21" t="n">
        <v>1.4</v>
      </c>
      <c r="B105" s="24">
        <f>MAX(0,-(Notional/'Forward Curve'!$E$5-Notional/$A105))/EurDeployed</f>
        <v/>
      </c>
      <c r="C105" s="24">
        <f>MAX(0,-(Notional/'Forward Curve'!$E$6-Notional/$A105))/EurDeployed</f>
        <v/>
      </c>
      <c r="D105" s="24">
        <f>MAX(0,-(Notional/'Forward Curve'!$E$7-Notional/$A105))/EurDeployed</f>
        <v/>
      </c>
      <c r="E105" s="24">
        <f>MAX(0,-(Notional/'Forward Curve'!$E$8-Notional/$A105))/EurDeployed</f>
        <v/>
      </c>
      <c r="F105" s="24">
        <f>MAX(0,-(Notional/'Forward Curve'!$E$9-Notional/$A105))/EurDeployed</f>
        <v/>
      </c>
      <c r="G105" s="24">
        <f>MAX(0,-(Notional/'Forward Curve'!$E$10-Notional/$A105))/EurDeployed</f>
        <v/>
      </c>
      <c r="H105" s="24">
        <f>MAX(0,-(Notional/'Forward Curve'!$E$11-Notional/$A105))/EurDeployed</f>
        <v/>
      </c>
    </row>
    <row r="106">
      <c r="A106" s="21" t="n">
        <v>1.45</v>
      </c>
      <c r="B106" s="24">
        <f>MAX(0,-(Notional/'Forward Curve'!$E$5-Notional/$A106))/EurDeployed</f>
        <v/>
      </c>
      <c r="C106" s="24">
        <f>MAX(0,-(Notional/'Forward Curve'!$E$6-Notional/$A106))/EurDeployed</f>
        <v/>
      </c>
      <c r="D106" s="24">
        <f>MAX(0,-(Notional/'Forward Curve'!$E$7-Notional/$A106))/EurDeployed</f>
        <v/>
      </c>
      <c r="E106" s="24">
        <f>MAX(0,-(Notional/'Forward Curve'!$E$8-Notional/$A106))/EurDeployed</f>
        <v/>
      </c>
      <c r="F106" s="24">
        <f>MAX(0,-(Notional/'Forward Curve'!$E$9-Notional/$A106))/EurDeployed</f>
        <v/>
      </c>
      <c r="G106" s="24">
        <f>MAX(0,-(Notional/'Forward Curve'!$E$10-Notional/$A106))/EurDeployed</f>
        <v/>
      </c>
      <c r="H106" s="24">
        <f>MAX(0,-(Notional/'Forward Curve'!$E$11-Notional/$A106))/EurDeployed</f>
        <v/>
      </c>
    </row>
  </sheetData>
  <conditionalFormatting sqref="B7:H19">
    <cfRule type="colorScale" priority="1">
      <colorScale>
        <cfvo type="min"/>
        <cfvo type="num" val="0"/>
        <cfvo type="max"/>
        <color rgb="FFF8D7D6"/>
        <color rgb="FFFFFFFF"/>
        <color rgb="FFDCF3EA"/>
      </colorScale>
    </cfRule>
  </conditionalFormatting>
  <conditionalFormatting sqref="B25:H37">
    <cfRule type="colorScale" priority="2">
      <colorScale>
        <cfvo type="min"/>
        <cfvo type="num" val="0"/>
        <cfvo type="max"/>
        <color rgb="FFF8D7D6"/>
        <color rgb="FFFFFFFF"/>
        <color rgb="FFDCF3EA"/>
      </colorScale>
    </cfRule>
  </conditionalFormatting>
  <conditionalFormatting sqref="B42:H54">
    <cfRule type="colorScale" priority="3">
      <colorScale>
        <cfvo type="min"/>
        <cfvo type="num" val="0"/>
        <cfvo type="max"/>
        <color rgb="FFF8D7D6"/>
        <color rgb="FFFFFFFF"/>
        <color rgb="FFDCF3E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1" t="inlineStr">
        <is>
          <t>Method</t>
        </is>
      </c>
    </row>
    <row r="3" ht="45" customHeight="1">
      <c r="A3" s="25" t="inlineStr">
        <is>
          <t>The position</t>
        </is>
      </c>
      <c r="B3" s="26" t="inlineStr">
        <is>
          <t>A EUR-denominated fund holds a USD asset and sells USD forward against EUR to hedge it.
Contract: sell USD N at rate K (EURUSD, USD per EUR). The fund receives EUR N/K at maturity.</t>
        </is>
      </c>
    </row>
    <row r="4" ht="60" customHeight="1">
      <c r="A4" s="25" t="inlineStr">
        <is>
          <t>Hedge P&amp;L</t>
        </is>
      </c>
      <c r="B4" s="26" t="inlineStr">
        <is>
          <t>At maturity spot S the delivered USD N is worth EUR N/S, so
    hedge P&amp;L in EUR  =  N/K - N/S
Negative when S &lt; K, i.e. a strengthening dollar costs the hedge money.</t>
        </is>
      </c>
    </row>
    <row r="5" ht="45" customHeight="1">
      <c r="A5" s="25" t="inlineStr">
        <is>
          <t>Asset revaluation</t>
        </is>
      </c>
      <c r="B5" s="26" t="inlineStr">
        <is>
          <t>The USD asset was worth EUR N/SpotNow at inception and EUR N/S at maturity, so
    asset revaluation  =  N/S - N/SpotNow</t>
        </is>
      </c>
    </row>
    <row r="6" ht="60" customHeight="1">
      <c r="A6" s="25" t="inlineStr">
        <is>
          <t>Why grid D is flat</t>
        </is>
      </c>
      <c r="B6" s="26" t="inlineStr">
        <is>
          <t>Add them:  (N/K - N/S) + (N/S - N/SpotNow)  =  N/K - N/SpotNow.
The S terms cancel algebraically. The net depends only on the strike and the starting spot — never on where spot ends up.
That is what a working hedge looks like, and it is why 'all that remains is the carry' is a correct statement about ECONOMICS.</t>
        </is>
      </c>
    </row>
    <row r="7" ht="45" customHeight="1">
      <c r="A7" s="25" t="inlineStr">
        <is>
          <t>Why that is not a limit</t>
        </is>
      </c>
      <c r="B7" s="26" t="inlineStr">
        <is>
          <t>Grid A and grid D differ by grid C, which is the unrealised gain locked inside the asset. The dealer nets only
what is inside the netting set; the asset is not in it. Settlement is in cash on grid A, not on grid D.</t>
        </is>
      </c>
    </row>
    <row r="8" ht="45" customHeight="1">
      <c r="A8" s="25" t="inlineStr">
        <is>
          <t>Forward curve</t>
        </is>
      </c>
      <c r="B8" s="26" t="inlineStr">
        <is>
          <t>F = SpotNow x (1 + rUSD*T) / (1 + rEUR*T), simple interest, or the traded points where supplied.
Override with traded points wherever you have them — the CIP forward ignores cross-currency basis.</t>
        </is>
      </c>
    </row>
    <row r="9" ht="30" customHeight="1">
      <c r="A9" s="25" t="inlineStr">
        <is>
          <t>Scenario range</t>
        </is>
      </c>
      <c r="B9" s="26" t="inlineStr">
        <is>
          <t>0.85 to 1.45 covers the realised EURUSD range of the last decade and then some: 1.39 in 2014, 0.96 in 2022.</t>
        </is>
      </c>
    </row>
    <row r="10" ht="30" customHeight="1">
      <c r="A10" s="25" t="inlineStr">
        <is>
          <t>Source</t>
        </is>
      </c>
      <c r="B10" s="26" t="inlineStr">
        <is>
          <t>Built by build_scenario.py alongside HRR_FX_Framework.pdf. See manual sections 3, 7 and 19.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2026-08-28T03:06:13Z</dcterms:created>
  <dcterms:modified xmlns:dcterms="http://purl.org/dc/terms/" xmlns:xsi="http://www.w3.org/2001/XMLSchema-instance" xsi:type="dcterms:W3CDTF">2026-08-28T03:06:13Z</dcterms:modified>
</cp:coreProperties>
</file>