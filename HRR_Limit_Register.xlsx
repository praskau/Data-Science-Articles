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mit Register" sheetId="1" state="visible" r:id="rId1"/>
    <sheet xmlns:r="http://schemas.openxmlformats.org/officeDocument/2006/relationships" name="Red Flags" sheetId="2" state="visible" r:id="rId2"/>
    <sheet xmlns:r="http://schemas.openxmlformats.org/officeDocument/2006/relationships" name="Calibration" sheetId="3" state="visible" r:id="rId3"/>
    <sheet xmlns:r="http://schemas.openxmlformats.org/officeDocument/2006/relationships" name="Notes" sheetId="4" state="visible" r:id="rId4"/>
  </sheets>
  <definedNames>
    <definedName name="_xlnm._FilterDatabase" localSheetId="0" hidden="1">'Limit Register'!$A$4:$L$24</definedName>
    <definedName name="_xlnm.Print_Titles" localSheetId="0">'Limit Register'!$4:$4</definedName>
  </definedNames>
  <calcPr calcId="124519" fullCalcOnLoad="1"/>
</workbook>
</file>

<file path=xl/styles.xml><?xml version="1.0" encoding="utf-8"?>
<styleSheet xmlns="http://schemas.openxmlformats.org/spreadsheetml/2006/main">
  <numFmts count="5">
    <numFmt numFmtId="164" formatCode="0.0%"/>
    <numFmt numFmtId="165" formatCode="0.0000"/>
    <numFmt numFmtId="166" formatCode="0.0"/>
    <numFmt numFmtId="167" formatCode="0.000%"/>
    <numFmt numFmtId="168" formatCode="0.0&quot; bp&quot;"/>
  </numFmts>
  <fonts count="17">
    <font>
      <name val="Calibri"/>
      <family val="2"/>
      <color theme="1"/>
      <sz val="11"/>
      <scheme val="minor"/>
    </font>
    <font>
      <name val="Calibri"/>
      <b val="1"/>
      <color rgb="FF0B0B0B"/>
      <sz val="15"/>
    </font>
    <font>
      <name val="Calibri"/>
      <i val="1"/>
      <color rgb="FF33322F"/>
      <sz val="9.5"/>
    </font>
    <font>
      <name val="Calibri"/>
      <b val="1"/>
      <color rgb="FFFFFFFF"/>
      <sz val="8.5"/>
    </font>
    <font>
      <name val="Calibri"/>
      <color rgb="FF0B0B0B"/>
      <sz val="9"/>
    </font>
    <font>
      <name val="Calibri"/>
      <b val="1"/>
      <color rgb="FF4A3AA7"/>
      <sz val="8.5"/>
    </font>
    <font>
      <name val="Calibri"/>
      <b val="1"/>
      <color rgb="FF0B0B0B"/>
      <sz val="9"/>
    </font>
    <font>
      <name val="Calibri"/>
      <b val="1"/>
      <color rgb="FFA02523"/>
      <sz val="9"/>
    </font>
    <font>
      <name val="Calibri"/>
      <color rgb="FF33322F"/>
      <sz val="8.5"/>
    </font>
    <font>
      <name val="Calibri"/>
      <b val="1"/>
      <color rgb="FF2A78D6"/>
      <sz val="8.5"/>
    </font>
    <font>
      <name val="Calibri"/>
      <b val="1"/>
      <color rgb="FFE34948"/>
      <sz val="8.5"/>
    </font>
    <font>
      <name val="Calibri"/>
      <b val="1"/>
      <color rgb="FF1BAF7A"/>
      <sz val="8.5"/>
    </font>
    <font>
      <name val="Calibri"/>
      <i val="1"/>
      <color rgb="FF33322F"/>
      <sz val="8.5"/>
    </font>
    <font>
      <name val="Calibri"/>
      <i val="1"/>
      <color rgb="FFA02523"/>
      <sz val="8.5"/>
    </font>
    <font>
      <name val="Calibri"/>
      <b val="1"/>
      <color rgb="FFE34948"/>
      <sz val="9"/>
    </font>
    <font>
      <name val="Calibri"/>
      <b val="1"/>
      <color rgb="FF2A78D6"/>
      <sz val="9"/>
    </font>
    <font>
      <name val="Calibri"/>
      <color rgb="FF33322F"/>
      <sz val="9"/>
    </font>
  </fonts>
  <fills count="7">
    <fill>
      <patternFill/>
    </fill>
    <fill>
      <patternFill patternType="gray125"/>
    </fill>
    <fill>
      <patternFill patternType="solid">
        <fgColor rgb="FF1F1F1E"/>
      </patternFill>
    </fill>
    <fill>
      <patternFill patternType="solid">
        <fgColor rgb="FFF7F6F3"/>
      </patternFill>
    </fill>
    <fill>
      <patternFill patternType="solid">
        <fgColor rgb="FFEDA100"/>
      </patternFill>
    </fill>
    <fill>
      <patternFill patternType="solid">
        <fgColor rgb="FFFFF8E1"/>
      </patternFill>
    </fill>
    <fill>
      <patternFill patternType="solid">
        <fgColor rgb="FFFBDEDD"/>
      </patternFill>
    </fill>
  </fills>
  <borders count="2">
    <border>
      <left/>
      <right/>
      <top/>
      <bottom/>
      <diagonal/>
    </border>
    <border>
      <left style="thin">
        <color rgb="FFD8D5CE"/>
      </left>
      <right style="thin">
        <color rgb="FFD8D5CE"/>
      </right>
      <top style="thin">
        <color rgb="FFD8D5CE"/>
      </top>
      <bottom style="thin">
        <color rgb="FFD8D5CE"/>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horizontal="center" vertical="top"/>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0" fillId="5" borderId="1" applyAlignment="1" pivotButton="0" quotePrefix="0" xfId="0">
      <alignment horizontal="center" vertical="center"/>
    </xf>
    <xf numFmtId="0" fontId="6" fillId="0" borderId="1" applyAlignment="1" pivotButton="0" quotePrefix="0" xfId="0">
      <alignment horizontal="center" vertical="center" wrapText="1"/>
    </xf>
    <xf numFmtId="0" fontId="0" fillId="5" borderId="1" applyAlignment="1" pivotButton="0" quotePrefix="0" xfId="0">
      <alignment vertical="top" wrapText="1"/>
    </xf>
    <xf numFmtId="0" fontId="4"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6" fillId="3" borderId="1" applyAlignment="1" pivotButton="0" quotePrefix="0" xfId="0">
      <alignment vertical="top" wrapText="1"/>
    </xf>
    <xf numFmtId="0" fontId="4" fillId="3" borderId="1" applyAlignment="1" pivotButton="0" quotePrefix="0" xfId="0">
      <alignment vertical="top" wrapText="1"/>
    </xf>
    <xf numFmtId="164" fontId="4" fillId="3" borderId="1" applyAlignment="1" pivotButton="0" quotePrefix="0" xfId="0">
      <alignment horizontal="center" vertical="top"/>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0" borderId="1" applyAlignment="1" pivotButton="0" quotePrefix="0" xfId="0">
      <alignment horizontal="center" vertical="center" wrapText="1"/>
    </xf>
    <xf numFmtId="0" fontId="4" fillId="3" borderId="1" applyAlignment="1" pivotButton="0" quotePrefix="0" xfId="0">
      <alignment horizontal="center" vertical="top"/>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0" borderId="1" applyAlignment="1" pivotButton="0" quotePrefix="0" xfId="0">
      <alignment horizontal="center" vertical="top"/>
    </xf>
    <xf numFmtId="0" fontId="11" fillId="0" borderId="1" applyAlignment="1" pivotButton="0" quotePrefix="0" xfId="0">
      <alignment horizontal="center" vertical="center" wrapText="1"/>
    </xf>
    <xf numFmtId="0" fontId="11" fillId="3" borderId="1" applyAlignment="1" pivotButton="0" quotePrefix="0" xfId="0">
      <alignment horizontal="center" vertical="center" wrapText="1"/>
    </xf>
    <xf numFmtId="0" fontId="12" fillId="0" borderId="0" pivotButton="0" quotePrefix="0" xfId="0"/>
    <xf numFmtId="0" fontId="13" fillId="0" borderId="0" pivotButton="0" quotePrefix="0" xfId="0"/>
    <xf numFmtId="0" fontId="8" fillId="0" borderId="1" applyAlignment="1" pivotButton="0" quotePrefix="0" xfId="0">
      <alignment vertical="top" wrapText="1"/>
    </xf>
    <xf numFmtId="0" fontId="4" fillId="5" borderId="1" applyAlignment="1" pivotButton="0" quotePrefix="0" xfId="0">
      <alignment horizontal="center" vertical="center" wrapText="1"/>
    </xf>
    <xf numFmtId="0" fontId="4" fillId="5" borderId="1" applyAlignment="1" pivotButton="0" quotePrefix="0" xfId="0">
      <alignment vertical="top" wrapText="1"/>
    </xf>
    <xf numFmtId="0" fontId="8" fillId="3" borderId="1" applyAlignment="1" pivotButton="0" quotePrefix="0" xfId="0">
      <alignment vertical="top" wrapText="1"/>
    </xf>
    <xf numFmtId="0" fontId="14" fillId="0" borderId="0" pivotButton="0" quotePrefix="0" xfId="0"/>
    <xf numFmtId="0" fontId="4" fillId="0" borderId="1" applyAlignment="1" pivotButton="0" quotePrefix="0" xfId="0">
      <alignment horizontal="left" vertical="center"/>
    </xf>
    <xf numFmtId="9" fontId="4" fillId="0" borderId="1" applyAlignment="1" pivotButton="0" quotePrefix="0" xfId="0">
      <alignment horizontal="center" vertical="center"/>
    </xf>
    <xf numFmtId="0" fontId="7" fillId="6" borderId="1" applyAlignment="1" pivotButton="0" quotePrefix="0" xfId="0">
      <alignment horizontal="left" vertical="center"/>
    </xf>
    <xf numFmtId="9" fontId="7" fillId="6" borderId="1" applyAlignment="1" pivotButton="0" quotePrefix="0" xfId="0">
      <alignment horizontal="center" vertical="center"/>
    </xf>
    <xf numFmtId="0" fontId="4" fillId="0" borderId="1" pivotButton="0" quotePrefix="0" xfId="0"/>
    <xf numFmtId="165" fontId="6" fillId="5" borderId="1" applyAlignment="1" pivotButton="0" quotePrefix="0" xfId="0">
      <alignment horizontal="center"/>
    </xf>
    <xf numFmtId="166" fontId="6" fillId="5" borderId="1" applyAlignment="1" pivotButton="0" quotePrefix="0" xfId="0">
      <alignment horizontal="center"/>
    </xf>
    <xf numFmtId="1" fontId="6" fillId="5" borderId="1" applyAlignment="1" pivotButton="0" quotePrefix="0" xfId="0">
      <alignment horizontal="center"/>
    </xf>
    <xf numFmtId="3" fontId="6" fillId="5" borderId="1" applyAlignment="1" pivotButton="0" quotePrefix="0" xfId="0">
      <alignment horizontal="center"/>
    </xf>
    <xf numFmtId="2" fontId="6" fillId="5" borderId="1" applyAlignment="1" pivotButton="0" quotePrefix="0" xfId="0">
      <alignment horizontal="center"/>
    </xf>
    <xf numFmtId="167" fontId="6" fillId="5" borderId="1" applyAlignment="1" pivotButton="0" quotePrefix="0" xfId="0">
      <alignment horizontal="center"/>
    </xf>
    <xf numFmtId="0" fontId="6" fillId="0" borderId="1" pivotButton="0" quotePrefix="0" xfId="0"/>
    <xf numFmtId="165" fontId="15" fillId="3" borderId="1" applyAlignment="1" pivotButton="0" quotePrefix="0" xfId="0">
      <alignment horizontal="center"/>
    </xf>
    <xf numFmtId="3" fontId="15" fillId="3" borderId="1" applyAlignment="1" pivotButton="0" quotePrefix="0" xfId="0">
      <alignment horizontal="center"/>
    </xf>
    <xf numFmtId="167" fontId="15" fillId="3" borderId="1" applyAlignment="1" pivotButton="0" quotePrefix="0" xfId="0">
      <alignment horizontal="center"/>
    </xf>
    <xf numFmtId="168" fontId="15" fillId="3" borderId="1" applyAlignment="1" pivotButton="0" quotePrefix="0" xfId="0">
      <alignment horizontal="center"/>
    </xf>
    <xf numFmtId="164" fontId="15" fillId="3" borderId="1" applyAlignment="1" pivotButton="0" quotePrefix="0" xfId="0">
      <alignment horizontal="center"/>
    </xf>
    <xf numFmtId="0" fontId="16" fillId="0" borderId="1" applyAlignment="1" pivotButton="0" quotePrefix="0" xfId="0">
      <alignment vertical="top" wrapText="1"/>
    </xf>
  </cellXfs>
  <cellStyles count="1">
    <cellStyle name="Normal" xfId="0" builtinId="0" hidden="0"/>
  </cellStyles>
  <dxfs count="3">
    <dxf>
      <font>
        <name val="Calibri"/>
        <b val="1"/>
        <color rgb="FF0D6B4A"/>
        <sz val="9"/>
      </font>
      <fill>
        <patternFill patternType="solid">
          <fgColor rgb="FFDCF3EA"/>
        </patternFill>
      </fill>
    </dxf>
    <dxf>
      <font>
        <name val="Calibri"/>
        <b val="1"/>
        <color rgb="FF8A5C00"/>
        <sz val="9"/>
      </font>
      <fill>
        <patternFill patternType="solid">
          <fgColor rgb="FFFDF0D3"/>
        </patternFill>
      </fill>
    </dxf>
    <dxf>
      <font>
        <name val="Calibri"/>
        <b val="1"/>
        <color rgb="FFA02523"/>
        <sz val="9"/>
      </font>
      <fill>
        <patternFill patternType="solid">
          <fgColor rgb="FFFBDED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27"/>
  <sheetViews>
    <sheetView workbookViewId="0">
      <pane ySplit="4" topLeftCell="A5" activePane="bottomLeft" state="frozen"/>
      <selection pane="bottomLeft" activeCell="A1" sqref="A1"/>
    </sheetView>
  </sheetViews>
  <sheetFormatPr baseColWidth="8" defaultRowHeight="15"/>
  <cols>
    <col width="4" customWidth="1" min="1" max="1"/>
    <col width="9" customWidth="1" min="2" max="2"/>
    <col width="26" customWidth="1" min="3" max="3"/>
    <col width="42" customWidth="1" min="4" max="4"/>
    <col width="9" customWidth="1" min="5" max="5"/>
    <col width="9" customWidth="1" min="6" max="6"/>
    <col width="11" customWidth="1" min="7" max="7"/>
    <col width="14" customWidth="1" min="8" max="8"/>
    <col width="9" customWidth="1" min="9" max="9"/>
    <col width="19" customWidth="1" min="10" max="10"/>
    <col width="12" customWidth="1" min="11" max="11"/>
    <col width="32" customWidth="1" min="12" max="12"/>
    <col width="2.5" customWidth="1" min="13" max="13"/>
    <col width="14" customWidth="1" min="14" max="14"/>
    <col width="11" customWidth="1" min="15" max="15"/>
    <col width="30" customWidth="1" min="16" max="16"/>
  </cols>
  <sheetData>
    <row r="1" ht="22" customHeight="1">
      <c r="A1" s="1" t="inlineStr">
        <is>
          <t>HRR FX Forwards — Limit Register</t>
        </is>
      </c>
    </row>
    <row r="2" ht="15" customHeight="1">
      <c r="A2" s="2" t="inlineStr">
        <is>
          <t>Populate the shaded column only. Status is computed. Thresholds are derived in sections 19–21 of the manual.</t>
        </is>
      </c>
    </row>
    <row r="4" ht="30" customHeight="1">
      <c r="A4" s="3" t="inlineStr">
        <is>
          <t>#</t>
        </is>
      </c>
      <c r="B4" s="3" t="inlineStr">
        <is>
          <t>Layer</t>
        </is>
      </c>
      <c r="C4" s="3" t="inlineStr">
        <is>
          <t>Limit</t>
        </is>
      </c>
      <c r="D4" s="3" t="inlineStr">
        <is>
          <t>Definition / formula</t>
        </is>
      </c>
      <c r="E4" s="3" t="inlineStr">
        <is>
          <t>Soft</t>
        </is>
      </c>
      <c r="F4" s="3" t="inlineStr">
        <is>
          <t>Hard</t>
        </is>
      </c>
      <c r="G4" s="3" t="inlineStr">
        <is>
          <t>Breach when</t>
        </is>
      </c>
      <c r="H4" s="3" t="inlineStr">
        <is>
          <t>Unit</t>
        </is>
      </c>
      <c r="I4" s="3" t="inlineStr">
        <is>
          <t>Freq</t>
        </is>
      </c>
      <c r="J4" s="3" t="inlineStr">
        <is>
          <t>Data source</t>
        </is>
      </c>
      <c r="K4" s="3" t="inlineStr">
        <is>
          <t>Owner</t>
        </is>
      </c>
      <c r="L4" s="3" t="inlineStr">
        <is>
          <t>On breach</t>
        </is>
      </c>
      <c r="N4" s="4" t="inlineStr">
        <is>
          <t>Current value</t>
        </is>
      </c>
      <c r="O4" s="3" t="inlineStr">
        <is>
          <t>Status</t>
        </is>
      </c>
      <c r="P4" s="4" t="inlineStr">
        <is>
          <t>Comment</t>
        </is>
      </c>
    </row>
    <row r="5" ht="34" customHeight="1">
      <c r="A5" s="5" t="n">
        <v>1</v>
      </c>
      <c r="B5" s="6" t="inlineStr">
        <is>
          <t>Layer 0</t>
        </is>
      </c>
      <c r="C5" s="7" t="inlineStr">
        <is>
          <t>Strike distance from market</t>
        </is>
      </c>
      <c r="D5" s="8" t="inlineStr">
        <is>
          <t>|K/F − 1| on any single booked forward, against the prevailing curve for that value date</t>
        </is>
      </c>
      <c r="E5" s="9" t="n">
        <v>0.054</v>
      </c>
      <c r="F5" s="9" t="n">
        <v>0.115</v>
      </c>
      <c r="G5" s="10" t="inlineStr">
        <is>
          <t>&gt;=</t>
        </is>
      </c>
      <c r="H5" s="11" t="inlineStr">
        <is>
          <t>% (decimal)</t>
        </is>
      </c>
      <c r="I5" s="11" t="inlineStr">
        <is>
          <t>Daily</t>
        </is>
      </c>
      <c r="J5" s="8" t="inlineStr">
        <is>
          <t>Position file + FX curve</t>
        </is>
      </c>
      <c r="K5" s="11" t="inlineStr">
        <is>
          <t>2nd line</t>
        </is>
      </c>
      <c r="L5" s="8" t="inlineStr">
        <is>
          <t>Hard: trade blocked at execution</t>
        </is>
      </c>
      <c r="N5" s="12" t="n"/>
      <c r="O5" s="13">
        <f>IF(N5="","",IF(G5="&gt;=",  IF(AND(F5&lt;&gt;"",N5&gt;=F5),"RED",IF(AND(E5&lt;&gt;"",N5&gt;=E5),"AMBER","GREEN")),  IF(AND(F5&lt;&gt;"",N5&lt;=F5),"RED",IF(AND(E5&lt;&gt;"",N5&lt;=E5),"AMBER","GREEN"))))</f>
        <v/>
      </c>
      <c r="P5" s="14" t="n"/>
    </row>
    <row r="6" ht="34" customHeight="1">
      <c r="A6" s="15" t="n">
        <v>2</v>
      </c>
      <c r="B6" s="16" t="inlineStr">
        <is>
          <t>Layer 1</t>
        </is>
      </c>
      <c r="C6" s="17" t="inlineStr">
        <is>
          <t>Hedge carry cost / gross yield</t>
        </is>
      </c>
      <c r="D6" s="18" t="inlineStr">
        <is>
          <t>Annualised forward points paid, over gross portfolio yield</t>
        </is>
      </c>
      <c r="E6" s="19" t="n">
        <v>0.2</v>
      </c>
      <c r="F6" s="19" t="n">
        <v>0.25</v>
      </c>
      <c r="G6" s="20" t="inlineStr">
        <is>
          <t>&gt;=</t>
        </is>
      </c>
      <c r="H6" s="21" t="inlineStr">
        <is>
          <t>% (decimal)</t>
        </is>
      </c>
      <c r="I6" s="21" t="inlineStr">
        <is>
          <t>Monthly</t>
        </is>
      </c>
      <c r="J6" s="18" t="inlineStr">
        <is>
          <t>Treasury + portfolio</t>
        </is>
      </c>
      <c r="K6" s="21" t="inlineStr">
        <is>
          <t>Treasury</t>
        </is>
      </c>
      <c r="L6" s="18" t="inlineStr">
        <is>
          <t>Hedge-ratio review, not settlement</t>
        </is>
      </c>
      <c r="N6" s="12" t="n"/>
      <c r="O6" s="13">
        <f>IF(N6="","",IF(G6="&gt;=",  IF(AND(F6&lt;&gt;"",N6&gt;=F6),"RED",IF(AND(E6&lt;&gt;"",N6&gt;=E6),"AMBER","GREEN")),  IF(AND(F6&lt;&gt;"",N6&lt;=F6),"RED",IF(AND(E6&lt;&gt;"",N6&lt;=E6),"AMBER","GREEN"))))</f>
        <v/>
      </c>
      <c r="P6" s="14" t="n"/>
    </row>
    <row r="7" ht="34" customHeight="1">
      <c r="A7" s="5" t="n">
        <v>3</v>
      </c>
      <c r="B7" s="22" t="inlineStr">
        <is>
          <t>Layer 1</t>
        </is>
      </c>
      <c r="C7" s="7" t="inlineStr">
        <is>
          <t>Implied financing spread</t>
        </is>
      </c>
      <c r="D7" s="8" t="inlineStr">
        <is>
          <t>(D_mat/D_roll − 1)/τ minus the funding benchmark. See manual §20</t>
        </is>
      </c>
      <c r="E7" s="9" t="n">
        <v>0.015</v>
      </c>
      <c r="F7" s="9" t="n">
        <v>0.025</v>
      </c>
      <c r="G7" s="10" t="inlineStr">
        <is>
          <t>&gt;=</t>
        </is>
      </c>
      <c r="H7" s="11" t="inlineStr">
        <is>
          <t>% (decimal)</t>
        </is>
      </c>
      <c r="I7" s="11" t="inlineStr">
        <is>
          <t>Per roll</t>
        </is>
      </c>
      <c r="J7" s="8" t="inlineStr">
        <is>
          <t>Section 20 check</t>
        </is>
      </c>
      <c r="K7" s="11" t="inlineStr">
        <is>
          <t>Treasury</t>
        </is>
      </c>
      <c r="L7" s="8" t="inlineStr">
        <is>
          <t>Hard: no roll without treasury sign-off</t>
        </is>
      </c>
      <c r="N7" s="12" t="n"/>
      <c r="O7" s="13">
        <f>IF(N7="","",IF(G7="&gt;=",  IF(AND(F7&lt;&gt;"",N7&gt;=F7),"RED",IF(AND(E7&lt;&gt;"",N7&gt;=E7),"AMBER","GREEN")),  IF(AND(F7&lt;&gt;"",N7&lt;=F7),"RED",IF(AND(E7&lt;&gt;"",N7&lt;=E7),"AMBER","GREEN"))))</f>
        <v/>
      </c>
      <c r="P7" s="14" t="n"/>
    </row>
    <row r="8" ht="34" customHeight="1">
      <c r="A8" s="15" t="n">
        <v>4</v>
      </c>
      <c r="B8" s="16" t="inlineStr">
        <is>
          <t>Layer 1</t>
        </is>
      </c>
      <c r="C8" s="17" t="inlineStr">
        <is>
          <t>Cumulative cost of deferral YTD</t>
        </is>
      </c>
      <c r="D8" s="18" t="inlineStr">
        <is>
          <t>Financing paid on deferred balances, bp of hedged notional</t>
        </is>
      </c>
      <c r="E8" s="23" t="n"/>
      <c r="F8" s="23" t="n"/>
      <c r="G8" s="20" t="inlineStr">
        <is>
          <t>&gt;=</t>
        </is>
      </c>
      <c r="H8" s="21" t="inlineStr">
        <is>
          <t>bp</t>
        </is>
      </c>
      <c r="I8" s="21" t="inlineStr">
        <is>
          <t>Monthly</t>
        </is>
      </c>
      <c r="J8" s="18" t="inlineStr">
        <is>
          <t>Section 20 check</t>
        </is>
      </c>
      <c r="K8" s="21" t="inlineStr">
        <is>
          <t>Risk</t>
        </is>
      </c>
      <c r="L8" s="18" t="inlineStr">
        <is>
          <t>Report only — no limit</t>
        </is>
      </c>
      <c r="N8" s="12" t="n"/>
      <c r="O8" s="13">
        <f>IF(N8="","",IF(G8="&gt;=",  IF(AND(F8&lt;&gt;"",N8&gt;=F8),"RED",IF(AND(E8&lt;&gt;"",N8&gt;=E8),"AMBER","GREEN")),  IF(AND(F8&lt;&gt;"",N8&lt;=F8),"RED",IF(AND(E8&lt;&gt;"",N8&lt;=E8),"AMBER","GREEN"))))</f>
        <v/>
      </c>
      <c r="P8" s="14" t="n"/>
    </row>
    <row r="9" ht="34" customHeight="1">
      <c r="A9" s="5" t="n">
        <v>5</v>
      </c>
      <c r="B9" s="24" t="inlineStr">
        <is>
          <t>Layer 2</t>
        </is>
      </c>
      <c r="C9" s="7" t="inlineStr">
        <is>
          <t>Aggregate MTM of FX hedge book</t>
        </is>
      </c>
      <c r="D9" s="8" t="inlineStr">
        <is>
          <t>|Σ mark-to-market of all FX forwards| / NAV. Equals the deferred balance when marked at fair value</t>
        </is>
      </c>
      <c r="E9" s="9" t="n">
        <v>0.02</v>
      </c>
      <c r="F9" s="9" t="n">
        <v>0.03</v>
      </c>
      <c r="G9" s="10" t="inlineStr">
        <is>
          <t>&gt;=</t>
        </is>
      </c>
      <c r="H9" s="11" t="inlineStr">
        <is>
          <t>% of NAV</t>
        </is>
      </c>
      <c r="I9" s="11" t="inlineStr">
        <is>
          <t>Monthly</t>
        </is>
      </c>
      <c r="J9" s="8" t="inlineStr">
        <is>
          <t>Administrator NAV pack</t>
        </is>
      </c>
      <c r="K9" s="11" t="inlineStr">
        <is>
          <t>Risk</t>
        </is>
      </c>
      <c r="L9" s="8" t="inlineStr">
        <is>
          <t>Hard: settle the excess at the next roll</t>
        </is>
      </c>
      <c r="N9" s="12" t="n"/>
      <c r="O9" s="13">
        <f>IF(N9="","",IF(G9="&gt;=",  IF(AND(F9&lt;&gt;"",N9&gt;=F9),"RED",IF(AND(E9&lt;&gt;"",N9&gt;=E9),"AMBER","GREEN")),  IF(AND(F9&lt;&gt;"",N9&lt;=F9),"RED",IF(AND(E9&lt;&gt;"",N9&lt;=E9),"AMBER","GREEN"))))</f>
        <v/>
      </c>
      <c r="P9" s="14" t="n"/>
    </row>
    <row r="10" ht="34" customHeight="1">
      <c r="A10" s="15" t="n">
        <v>6</v>
      </c>
      <c r="B10" s="25" t="inlineStr">
        <is>
          <t>Layer 2</t>
        </is>
      </c>
      <c r="C10" s="17" t="inlineStr">
        <is>
          <t>Deferred balance per hedge</t>
        </is>
      </c>
      <c r="D10" s="18" t="inlineStr">
        <is>
          <t>D / (N/F), the leg's base-currency value</t>
        </is>
      </c>
      <c r="E10" s="19" t="n">
        <v>0.05</v>
      </c>
      <c r="F10" s="19" t="n">
        <v>0.1</v>
      </c>
      <c r="G10" s="20" t="inlineStr">
        <is>
          <t>&gt;=</t>
        </is>
      </c>
      <c r="H10" s="21" t="inlineStr">
        <is>
          <t>% of leg</t>
        </is>
      </c>
      <c r="I10" s="21" t="inlineStr">
        <is>
          <t>Per roll</t>
        </is>
      </c>
      <c r="J10" s="18" t="inlineStr">
        <is>
          <t>Deferred-balance register</t>
        </is>
      </c>
      <c r="K10" s="21" t="inlineStr">
        <is>
          <t>Risk</t>
        </is>
      </c>
      <c r="L10" s="18" t="inlineStr">
        <is>
          <t>Soft = MANDATORY RESET: settle to zero, re-strike at market</t>
        </is>
      </c>
      <c r="N10" s="12" t="n"/>
      <c r="O10" s="13">
        <f>IF(N10="","",IF(G10="&gt;=",  IF(AND(F10&lt;&gt;"",N10&gt;=F10),"RED",IF(AND(E10&lt;&gt;"",N10&gt;=E10),"AMBER","GREEN")),  IF(AND(F10&lt;&gt;"",N10&lt;=F10),"RED",IF(AND(E10&lt;&gt;"",N10&lt;=E10),"AMBER","GREEN"))))</f>
        <v/>
      </c>
      <c r="P10" s="14" t="n"/>
    </row>
    <row r="11" ht="34" customHeight="1">
      <c r="A11" s="5" t="n">
        <v>7</v>
      </c>
      <c r="B11" s="24" t="inlineStr">
        <is>
          <t>Layer 2</t>
        </is>
      </c>
      <c r="C11" s="7" t="inlineStr">
        <is>
          <t>Per-dealer deferred balance</t>
        </is>
      </c>
      <c r="D11" s="8" t="inlineStr">
        <is>
          <t>Σ D by counterparty legal entity / NAV, or the approved unsecured line if lower</t>
        </is>
      </c>
      <c r="E11" s="9" t="n">
        <v>0.01</v>
      </c>
      <c r="F11" s="9" t="n">
        <v>0.015</v>
      </c>
      <c r="G11" s="10" t="inlineStr">
        <is>
          <t>&gt;=</t>
        </is>
      </c>
      <c r="H11" s="11" t="inlineStr">
        <is>
          <t>% of NAV</t>
        </is>
      </c>
      <c r="I11" s="11" t="inlineStr">
        <is>
          <t>Weekly</t>
        </is>
      </c>
      <c r="J11" s="8" t="inlineStr">
        <is>
          <t>Register + credit system</t>
        </is>
      </c>
      <c r="K11" s="11" t="inlineStr">
        <is>
          <t>Credit</t>
        </is>
      </c>
      <c r="L11" s="8" t="inlineStr">
        <is>
          <t>Hard: no further rolls with that dealer</t>
        </is>
      </c>
      <c r="N11" s="12" t="n"/>
      <c r="O11" s="13">
        <f>IF(N11="","",IF(G11="&gt;=",  IF(AND(F11&lt;&gt;"",N11&gt;=F11),"RED",IF(AND(E11&lt;&gt;"",N11&gt;=E11),"AMBER","GREEN")),  IF(AND(F11&lt;&gt;"",N11&lt;=F11),"RED",IF(AND(E11&lt;&gt;"",N11&lt;=E11),"AMBER","GREEN"))))</f>
        <v/>
      </c>
      <c r="P11" s="14" t="n"/>
    </row>
    <row r="12" ht="34" customHeight="1">
      <c r="A12" s="15" t="n">
        <v>8</v>
      </c>
      <c r="B12" s="25" t="inlineStr">
        <is>
          <t>Layer 2</t>
        </is>
      </c>
      <c r="C12" s="17" t="inlineStr">
        <is>
          <t>Structural ceiling utilisation</t>
        </is>
      </c>
      <c r="D12" s="18" t="inlineStr">
        <is>
          <t>u = D(1+cτ) / (N/F). Strike goes to infinity as u → 1; this is the fraction consumed</t>
        </is>
      </c>
      <c r="E12" s="19" t="n">
        <v>0.15</v>
      </c>
      <c r="F12" s="19" t="n">
        <v>0.2</v>
      </c>
      <c r="G12" s="20" t="inlineStr">
        <is>
          <t>&gt;=</t>
        </is>
      </c>
      <c r="H12" s="21" t="inlineStr">
        <is>
          <t>% (decimal)</t>
        </is>
      </c>
      <c r="I12" s="21" t="inlineStr">
        <is>
          <t>Per roll</t>
        </is>
      </c>
      <c r="J12" s="18" t="inlineStr">
        <is>
          <t>Register</t>
        </is>
      </c>
      <c r="K12" s="21" t="inlineStr">
        <is>
          <t>Risk</t>
        </is>
      </c>
      <c r="L12" s="18" t="inlineStr">
        <is>
          <t>Hard: settle, do not roll</t>
        </is>
      </c>
      <c r="N12" s="12" t="n"/>
      <c r="O12" s="13">
        <f>IF(N12="","",IF(G12="&gt;=",  IF(AND(F12&lt;&gt;"",N12&gt;=F12),"RED",IF(AND(E12&lt;&gt;"",N12&gt;=E12),"AMBER","GREEN")),  IF(AND(F12&lt;&gt;"",N12&lt;=F12),"RED",IF(AND(E12&lt;&gt;"",N12&lt;=E12),"AMBER","GREEN"))))</f>
        <v/>
      </c>
      <c r="P12" s="14" t="n"/>
    </row>
    <row r="13" ht="34" customHeight="1">
      <c r="A13" s="5" t="n">
        <v>9</v>
      </c>
      <c r="B13" s="24" t="inlineStr">
        <is>
          <t>Layer 2</t>
        </is>
      </c>
      <c r="C13" s="7" t="inlineStr">
        <is>
          <t>Stressed MTM</t>
        </is>
      </c>
      <c r="D13" s="8" t="inlineStr">
        <is>
          <t>Aggregate MTM after an instantaneous 25% adverse FX move, / NAV</t>
        </is>
      </c>
      <c r="E13" s="9" t="n">
        <v>0.08</v>
      </c>
      <c r="F13" s="26" t="n"/>
      <c r="G13" s="10" t="inlineStr">
        <is>
          <t>&gt;=</t>
        </is>
      </c>
      <c r="H13" s="11" t="inlineStr">
        <is>
          <t>% of NAV</t>
        </is>
      </c>
      <c r="I13" s="11" t="inlineStr">
        <is>
          <t>Monthly</t>
        </is>
      </c>
      <c r="J13" s="8" t="inlineStr">
        <is>
          <t>Risk system</t>
        </is>
      </c>
      <c r="K13" s="11" t="inlineStr">
        <is>
          <t>Risk</t>
        </is>
      </c>
      <c r="L13" s="8" t="inlineStr">
        <is>
          <t>Soft: reduction plan to risk committee</t>
        </is>
      </c>
      <c r="N13" s="12" t="n"/>
      <c r="O13" s="13">
        <f>IF(N13="","",IF(G13="&gt;=",  IF(AND(F13&lt;&gt;"",N13&gt;=F13),"RED",IF(AND(E13&lt;&gt;"",N13&gt;=E13),"AMBER","GREEN")),  IF(AND(F13&lt;&gt;"",N13&lt;=F13),"RED",IF(AND(E13&lt;&gt;"",N13&lt;=E13),"AMBER","GREEN"))))</f>
        <v/>
      </c>
      <c r="P13" s="14" t="n"/>
    </row>
    <row r="14" ht="34" customHeight="1">
      <c r="A14" s="15" t="n">
        <v>10</v>
      </c>
      <c r="B14" s="25" t="inlineStr">
        <is>
          <t>Layer 2</t>
        </is>
      </c>
      <c r="C14" s="17" t="inlineStr">
        <is>
          <t>Maximum consecutive rolls</t>
        </is>
      </c>
      <c r="D14" s="18" t="inlineStr">
        <is>
          <t>Count of consecutive historic-rate rolls on one position</t>
        </is>
      </c>
      <c r="E14" s="23" t="n">
        <v>3</v>
      </c>
      <c r="F14" s="23" t="n">
        <v>4</v>
      </c>
      <c r="G14" s="20" t="inlineStr">
        <is>
          <t>&gt;=</t>
        </is>
      </c>
      <c r="H14" s="21" t="inlineStr">
        <is>
          <t>count</t>
        </is>
      </c>
      <c r="I14" s="21" t="inlineStr">
        <is>
          <t>Per roll</t>
        </is>
      </c>
      <c r="J14" s="18" t="inlineStr">
        <is>
          <t>Register</t>
        </is>
      </c>
      <c r="K14" s="21" t="inlineStr">
        <is>
          <t>Risk</t>
        </is>
      </c>
      <c r="L14" s="18" t="inlineStr">
        <is>
          <t>Hard: settle at market, then may re-open</t>
        </is>
      </c>
      <c r="N14" s="12" t="n"/>
      <c r="O14" s="13">
        <f>IF(N14="","",IF(G14="&gt;=",  IF(AND(F14&lt;&gt;"",N14&gt;=F14),"RED",IF(AND(E14&lt;&gt;"",N14&gt;=E14),"AMBER","GREEN")),  IF(AND(F14&lt;&gt;"",N14&lt;=F14),"RED",IF(AND(E14&lt;&gt;"",N14&lt;=E14),"AMBER","GREEN"))))</f>
        <v/>
      </c>
      <c r="P14" s="14" t="n"/>
    </row>
    <row r="15" ht="34" customHeight="1">
      <c r="A15" s="5" t="n">
        <v>11</v>
      </c>
      <c r="B15" s="24" t="inlineStr">
        <is>
          <t>Layer 2</t>
        </is>
      </c>
      <c r="C15" s="7" t="inlineStr">
        <is>
          <t>Maximum deferral tenor</t>
        </is>
      </c>
      <c r="D15" s="8" t="inlineStr">
        <is>
          <t>Time since first deferral on one position</t>
        </is>
      </c>
      <c r="E15" s="26" t="n">
        <v>2</v>
      </c>
      <c r="F15" s="26" t="n">
        <v>3</v>
      </c>
      <c r="G15" s="10" t="inlineStr">
        <is>
          <t>&gt;=</t>
        </is>
      </c>
      <c r="H15" s="11" t="inlineStr">
        <is>
          <t>years</t>
        </is>
      </c>
      <c r="I15" s="11" t="inlineStr">
        <is>
          <t>Per roll</t>
        </is>
      </c>
      <c r="J15" s="8" t="inlineStr">
        <is>
          <t>Register</t>
        </is>
      </c>
      <c r="K15" s="11" t="inlineStr">
        <is>
          <t>Risk</t>
        </is>
      </c>
      <c r="L15" s="8" t="inlineStr">
        <is>
          <t>Hard: settle. Also capped at the linked asset's repayment date</t>
        </is>
      </c>
      <c r="N15" s="12" t="n"/>
      <c r="O15" s="13">
        <f>IF(N15="","",IF(G15="&gt;=",  IF(AND(F15&lt;&gt;"",N15&gt;=F15),"RED",IF(AND(E15&lt;&gt;"",N15&gt;=E15),"AMBER","GREEN")),  IF(AND(F15&lt;&gt;"",N15&lt;=F15),"RED",IF(AND(E15&lt;&gt;"",N15&lt;=E15),"AMBER","GREEN"))))</f>
        <v/>
      </c>
      <c r="P15" s="14" t="n"/>
    </row>
    <row r="16" ht="34" customHeight="1">
      <c r="A16" s="15" t="n">
        <v>12</v>
      </c>
      <c r="B16" s="25" t="inlineStr">
        <is>
          <t>Layer 2</t>
        </is>
      </c>
      <c r="C16" s="17" t="inlineStr">
        <is>
          <t>Crystallisation concentration</t>
        </is>
      </c>
      <c r="D16" s="18" t="inlineStr">
        <is>
          <t>Largest share of aggregate deferred balance settling in any one month</t>
        </is>
      </c>
      <c r="E16" s="19" t="n">
        <v>0.3</v>
      </c>
      <c r="F16" s="19" t="n">
        <v>0.4</v>
      </c>
      <c r="G16" s="20" t="inlineStr">
        <is>
          <t>&gt;=</t>
        </is>
      </c>
      <c r="H16" s="21" t="inlineStr">
        <is>
          <t>% (decimal)</t>
        </is>
      </c>
      <c r="I16" s="21" t="inlineStr">
        <is>
          <t>Monthly</t>
        </is>
      </c>
      <c r="J16" s="18" t="inlineStr">
        <is>
          <t>Register</t>
        </is>
      </c>
      <c r="K16" s="21" t="inlineStr">
        <is>
          <t>Risk</t>
        </is>
      </c>
      <c r="L16" s="18" t="inlineStr">
        <is>
          <t>Ladder the roll dates</t>
        </is>
      </c>
      <c r="N16" s="12" t="n"/>
      <c r="O16" s="13">
        <f>IF(N16="","",IF(G16="&gt;=",  IF(AND(F16&lt;&gt;"",N16&gt;=F16),"RED",IF(AND(E16&lt;&gt;"",N16&gt;=E16),"AMBER","GREEN")),  IF(AND(F16&lt;&gt;"",N16&lt;=F16),"RED",IF(AND(E16&lt;&gt;"",N16&lt;=E16),"AMBER","GREEN"))))</f>
        <v/>
      </c>
      <c r="P16" s="14" t="n"/>
    </row>
    <row r="17" ht="34" customHeight="1">
      <c r="A17" s="5" t="n">
        <v>13</v>
      </c>
      <c r="B17" s="27" t="inlineStr">
        <is>
          <t>Layer 3</t>
        </is>
      </c>
      <c r="C17" s="7" t="inlineStr">
        <is>
          <t>Hedge ratio, per currency</t>
        </is>
      </c>
      <c r="D17" s="8" t="inlineStr">
        <is>
          <t>Hedge notional / base-ccy value of assets in that currency. Band 95–105%</t>
        </is>
      </c>
      <c r="E17" s="9" t="n">
        <v>0.05</v>
      </c>
      <c r="F17" s="9" t="n">
        <v>0.1</v>
      </c>
      <c r="G17" s="10" t="inlineStr">
        <is>
          <t>&gt;=</t>
        </is>
      </c>
      <c r="H17" s="11" t="inlineStr">
        <is>
          <t>abs dev from 1</t>
        </is>
      </c>
      <c r="I17" s="11" t="inlineStr">
        <is>
          <t>Monthly</t>
        </is>
      </c>
      <c r="J17" s="8" t="inlineStr">
        <is>
          <t>Portfolio + position file</t>
        </is>
      </c>
      <c r="K17" s="11" t="inlineStr">
        <is>
          <t>Portfolio</t>
        </is>
      </c>
      <c r="L17" s="8" t="inlineStr">
        <is>
          <t>Rebalance at next roll — take the cash</t>
        </is>
      </c>
      <c r="N17" s="12" t="n"/>
      <c r="O17" s="13">
        <f>IF(N17="","",IF(G17="&gt;=",  IF(AND(F17&lt;&gt;"",N17&gt;=F17),"RED",IF(AND(E17&lt;&gt;"",N17&gt;=E17),"AMBER","GREEN")),  IF(AND(F17&lt;&gt;"",N17&lt;=F17),"RED",IF(AND(E17&lt;&gt;"",N17&lt;=E17),"AMBER","GREEN"))))</f>
        <v/>
      </c>
      <c r="P17" s="14" t="n"/>
    </row>
    <row r="18" ht="34" customHeight="1">
      <c r="A18" s="15" t="n">
        <v>14</v>
      </c>
      <c r="B18" s="28" t="inlineStr">
        <is>
          <t>Layer 3</t>
        </is>
      </c>
      <c r="C18" s="17" t="inlineStr">
        <is>
          <t>Net open position, per currency</t>
        </is>
      </c>
      <c r="D18" s="18" t="inlineStr">
        <is>
          <t>|Assets − hedge| in that currency, / NAV</t>
        </is>
      </c>
      <c r="E18" s="19" t="n">
        <v>0.015</v>
      </c>
      <c r="F18" s="19" t="n">
        <v>0.02</v>
      </c>
      <c r="G18" s="20" t="inlineStr">
        <is>
          <t>&gt;=</t>
        </is>
      </c>
      <c r="H18" s="21" t="inlineStr">
        <is>
          <t>% of NAV</t>
        </is>
      </c>
      <c r="I18" s="21" t="inlineStr">
        <is>
          <t>Monthly</t>
        </is>
      </c>
      <c r="J18" s="18" t="inlineStr">
        <is>
          <t>Portfolio</t>
        </is>
      </c>
      <c r="K18" s="21" t="inlineStr">
        <is>
          <t>Portfolio</t>
        </is>
      </c>
      <c r="L18" s="18" t="inlineStr">
        <is>
          <t>Rebalance at next roll</t>
        </is>
      </c>
      <c r="N18" s="12" t="n"/>
      <c r="O18" s="13">
        <f>IF(N18="","",IF(G18="&gt;=",  IF(AND(F18&lt;&gt;"",N18&gt;=F18),"RED",IF(AND(E18&lt;&gt;"",N18&gt;=E18),"AMBER","GREEN")),  IF(AND(F18&lt;&gt;"",N18&lt;=F18),"RED",IF(AND(E18&lt;&gt;"",N18&lt;=E18),"AMBER","GREEN"))))</f>
        <v/>
      </c>
      <c r="P18" s="14" t="n"/>
    </row>
    <row r="19" ht="34" customHeight="1">
      <c r="A19" s="5" t="n">
        <v>15</v>
      </c>
      <c r="B19" s="27" t="inlineStr">
        <is>
          <t>Layer 3</t>
        </is>
      </c>
      <c r="C19" s="7" t="inlineStr">
        <is>
          <t>Aggregate net open position</t>
        </is>
      </c>
      <c r="D19" s="8" t="inlineStr">
        <is>
          <t>Σ |NOP| across currencies, / NAV, no netting of uncorrelated pairs</t>
        </is>
      </c>
      <c r="E19" s="9" t="n">
        <v>0.04</v>
      </c>
      <c r="F19" s="9" t="n">
        <v>0.05</v>
      </c>
      <c r="G19" s="10" t="inlineStr">
        <is>
          <t>&gt;=</t>
        </is>
      </c>
      <c r="H19" s="11" t="inlineStr">
        <is>
          <t>% of NAV</t>
        </is>
      </c>
      <c r="I19" s="11" t="inlineStr">
        <is>
          <t>Monthly</t>
        </is>
      </c>
      <c r="J19" s="8" t="inlineStr">
        <is>
          <t>Portfolio</t>
        </is>
      </c>
      <c r="K19" s="11" t="inlineStr">
        <is>
          <t>Risk</t>
        </is>
      </c>
      <c r="L19" s="8" t="inlineStr">
        <is>
          <t>Rebalance</t>
        </is>
      </c>
      <c r="N19" s="12" t="n"/>
      <c r="O19" s="13">
        <f>IF(N19="","",IF(G19="&gt;=",  IF(AND(F19&lt;&gt;"",N19&gt;=F19),"RED",IF(AND(E19&lt;&gt;"",N19&gt;=E19),"AMBER","GREEN")),  IF(AND(F19&lt;&gt;"",N19&lt;=F19),"RED",IF(AND(E19&lt;&gt;"",N19&lt;=E19),"AMBER","GREEN"))))</f>
        <v/>
      </c>
      <c r="P19" s="14" t="n"/>
    </row>
    <row r="20" ht="34" customHeight="1">
      <c r="A20" s="15" t="n">
        <v>16</v>
      </c>
      <c r="B20" s="28" t="inlineStr">
        <is>
          <t>Layer 3</t>
        </is>
      </c>
      <c r="C20" s="17" t="inlineStr">
        <is>
          <t>Notional drift vs linked asset</t>
        </is>
      </c>
      <c r="D20" s="18" t="inlineStr">
        <is>
          <t>|Hedge notional − asset carrying value| / asset carrying value, per asset</t>
        </is>
      </c>
      <c r="E20" s="19" t="n">
        <v>0.05</v>
      </c>
      <c r="F20" s="19" t="n">
        <v>0.1</v>
      </c>
      <c r="G20" s="20" t="inlineStr">
        <is>
          <t>&gt;=</t>
        </is>
      </c>
      <c r="H20" s="21" t="inlineStr">
        <is>
          <t>% (decimal)</t>
        </is>
      </c>
      <c r="I20" s="21" t="inlineStr">
        <is>
          <t>Monthly</t>
        </is>
      </c>
      <c r="J20" s="18" t="inlineStr">
        <is>
          <t>Linkage register</t>
        </is>
      </c>
      <c r="K20" s="21" t="inlineStr">
        <is>
          <t>Portfolio</t>
        </is>
      </c>
      <c r="L20" s="18" t="inlineStr">
        <is>
          <t>Resize the hedge</t>
        </is>
      </c>
      <c r="N20" s="12" t="n"/>
      <c r="O20" s="13">
        <f>IF(N20="","",IF(G20="&gt;=",  IF(AND(F20&lt;&gt;"",N20&gt;=F20),"RED",IF(AND(E20&lt;&gt;"",N20&gt;=E20),"AMBER","GREEN")),  IF(AND(F20&lt;&gt;"",N20&lt;=F20),"RED",IF(AND(E20&lt;&gt;"",N20&lt;=E20),"AMBER","GREEN"))))</f>
        <v/>
      </c>
      <c r="P20" s="14" t="n"/>
    </row>
    <row r="21" ht="34" customHeight="1">
      <c r="A21" s="5" t="n">
        <v>17</v>
      </c>
      <c r="B21" s="27" t="inlineStr">
        <is>
          <t>Layer 3</t>
        </is>
      </c>
      <c r="C21" s="7" t="inlineStr">
        <is>
          <t>Minimum residual asset life at roll</t>
        </is>
      </c>
      <c r="D21" s="8" t="inlineStr">
        <is>
          <t>Expected remaining life of the linked asset at the roll date</t>
        </is>
      </c>
      <c r="E21" s="26" t="n">
        <v>1.5</v>
      </c>
      <c r="F21" s="26" t="n">
        <v>1</v>
      </c>
      <c r="G21" s="10" t="inlineStr">
        <is>
          <t>&lt;=</t>
        </is>
      </c>
      <c r="H21" s="11" t="inlineStr">
        <is>
          <t>years</t>
        </is>
      </c>
      <c r="I21" s="11" t="inlineStr">
        <is>
          <t>Per roll</t>
        </is>
      </c>
      <c r="J21" s="8" t="inlineStr">
        <is>
          <t>Linkage register</t>
        </is>
      </c>
      <c r="K21" s="11" t="inlineStr">
        <is>
          <t>Risk</t>
        </is>
      </c>
      <c r="L21" s="8" t="inlineStr">
        <is>
          <t>Hard: do not roll, settle</t>
        </is>
      </c>
      <c r="N21" s="12" t="n"/>
      <c r="O21" s="13">
        <f>IF(N21="","",IF(G21="&gt;=",  IF(AND(F21&lt;&gt;"",N21&gt;=F21),"RED",IF(AND(E21&lt;&gt;"",N21&gt;=E21),"AMBER","GREEN")),  IF(AND(F21&lt;&gt;"",N21&lt;=F21),"RED",IF(AND(E21&lt;&gt;"",N21&lt;=E21),"AMBER","GREEN"))))</f>
        <v/>
      </c>
      <c r="P21" s="14" t="n"/>
    </row>
    <row r="22" ht="34" customHeight="1">
      <c r="A22" s="15" t="n">
        <v>18</v>
      </c>
      <c r="B22" s="28" t="inlineStr">
        <is>
          <t>Layer 3</t>
        </is>
      </c>
      <c r="C22" s="17" t="inlineStr">
        <is>
          <t>Hedge effectiveness</t>
        </is>
      </c>
      <c r="D22" s="18" t="inlineStr">
        <is>
          <t>Actual vs a hypothetical derivative struck AT MARKET, never vs the booked strike</t>
        </is>
      </c>
      <c r="E22" s="19" t="n">
        <v>0.1</v>
      </c>
      <c r="F22" s="19" t="n">
        <v>0.15</v>
      </c>
      <c r="G22" s="20" t="inlineStr">
        <is>
          <t>&gt;=</t>
        </is>
      </c>
      <c r="H22" s="21" t="inlineStr">
        <is>
          <t>abs dev from 1</t>
        </is>
      </c>
      <c r="I22" s="21" t="inlineStr">
        <is>
          <t>Quarterly</t>
        </is>
      </c>
      <c r="J22" s="18" t="inlineStr">
        <is>
          <t>Accounting</t>
        </is>
      </c>
      <c r="K22" s="21" t="inlineStr">
        <is>
          <t>Finance</t>
        </is>
      </c>
      <c r="L22" s="18" t="inlineStr">
        <is>
          <t>De-designate; review with auditors</t>
        </is>
      </c>
      <c r="N22" s="12" t="n"/>
      <c r="O22" s="13">
        <f>IF(N22="","",IF(G22="&gt;=",  IF(AND(F22&lt;&gt;"",N22&gt;=F22),"RED",IF(AND(E22&lt;&gt;"",N22&gt;=E22),"AMBER","GREEN")),  IF(AND(F22&lt;&gt;"",N22&lt;=F22),"RED",IF(AND(E22&lt;&gt;"",N22&lt;=E22),"AMBER","GREEN"))))</f>
        <v/>
      </c>
      <c r="P22" s="14" t="n"/>
    </row>
    <row r="23" ht="34" customHeight="1">
      <c r="A23" s="5" t="n">
        <v>19</v>
      </c>
      <c r="B23" s="27" t="inlineStr">
        <is>
          <t>Layer 3</t>
        </is>
      </c>
      <c r="C23" s="7" t="inlineStr">
        <is>
          <t>Notional rolling in any single week</t>
        </is>
      </c>
      <c r="D23" s="8" t="inlineStr">
        <is>
          <t>Share of total hedge notional maturing in one week</t>
        </is>
      </c>
      <c r="E23" s="9" t="n">
        <v>0.2</v>
      </c>
      <c r="F23" s="9" t="n">
        <v>0.25</v>
      </c>
      <c r="G23" s="10" t="inlineStr">
        <is>
          <t>&gt;=</t>
        </is>
      </c>
      <c r="H23" s="11" t="inlineStr">
        <is>
          <t>% (decimal)</t>
        </is>
      </c>
      <c r="I23" s="11" t="inlineStr">
        <is>
          <t>Monthly</t>
        </is>
      </c>
      <c r="J23" s="8" t="inlineStr">
        <is>
          <t>Position file</t>
        </is>
      </c>
      <c r="K23" s="11" t="inlineStr">
        <is>
          <t>Treasury</t>
        </is>
      </c>
      <c r="L23" s="8" t="inlineStr">
        <is>
          <t>Ladder the roll dates</t>
        </is>
      </c>
      <c r="N23" s="12" t="n"/>
      <c r="O23" s="13">
        <f>IF(N23="","",IF(G23="&gt;=",  IF(AND(F23&lt;&gt;"",N23&gt;=F23),"RED",IF(AND(E23&lt;&gt;"",N23&gt;=E23),"AMBER","GREEN")),  IF(AND(F23&lt;&gt;"",N23&lt;=F23),"RED",IF(AND(E23&lt;&gt;"",N23&lt;=E23),"AMBER","GREEN"))))</f>
        <v/>
      </c>
      <c r="P23" s="14" t="n"/>
    </row>
    <row r="24" ht="34" customHeight="1">
      <c r="A24" s="15" t="n">
        <v>20</v>
      </c>
      <c r="B24" s="28" t="inlineStr">
        <is>
          <t>Layer 3</t>
        </is>
      </c>
      <c r="C24" s="17" t="inlineStr">
        <is>
          <t>Historic-rate rolls as % of all rolls</t>
        </is>
      </c>
      <c r="D24" s="18" t="inlineStr">
        <is>
          <t>Exception density. Above this it is the operating model, not an exception</t>
        </is>
      </c>
      <c r="E24" s="19" t="n">
        <v>0.2</v>
      </c>
      <c r="F24" s="19" t="n">
        <v>0.3</v>
      </c>
      <c r="G24" s="20" t="inlineStr">
        <is>
          <t>&gt;=</t>
        </is>
      </c>
      <c r="H24" s="21" t="inlineStr">
        <is>
          <t>% (decimal)</t>
        </is>
      </c>
      <c r="I24" s="21" t="inlineStr">
        <is>
          <t>Monthly</t>
        </is>
      </c>
      <c r="J24" s="18" t="inlineStr">
        <is>
          <t>Reason-code report</t>
        </is>
      </c>
      <c r="K24" s="21" t="inlineStr">
        <is>
          <t>2nd line</t>
        </is>
      </c>
      <c r="L24" s="18" t="inlineStr">
        <is>
          <t>Escalate to risk committee</t>
        </is>
      </c>
      <c r="N24" s="12" t="n"/>
      <c r="O24" s="13">
        <f>IF(N24="","",IF(G24="&gt;=",  IF(AND(F24&lt;&gt;"",N24&gt;=F24),"RED",IF(AND(E24&lt;&gt;"",N24&gt;=E24),"AMBER","GREEN")),  IF(AND(F24&lt;&gt;"",N24&lt;=F24),"RED",IF(AND(E24&lt;&gt;"",N24&lt;=E24),"AMBER","GREEN"))))</f>
        <v/>
      </c>
      <c r="P24" s="14" t="n"/>
    </row>
    <row r="26">
      <c r="A26" s="29" t="inlineStr">
        <is>
          <t>Shaded columns are for input. Status compares the current value against the Soft then Hard thresholds; for the two-sided limits (hedge ratio, effectiveness) enter the absolute deviation from 1. The ‘Breach when’ column tells the formula which direction is bad — most limits are ceilings, minimum residual asset life is a floor.</t>
        </is>
      </c>
    </row>
    <row r="27">
      <c r="A27" s="30" t="inlineStr">
        <is>
          <t>Layer 2 row 6 soft threshold is a MANDATORY RESET trigger, not a ceiling: it is designed to bind on ~68% of five-year paths. See manual §19 and the Calibration sheet.</t>
        </is>
      </c>
    </row>
  </sheetData>
  <autoFilter ref="A4:L24"/>
  <mergeCells count="2">
    <mergeCell ref="A2:K2"/>
    <mergeCell ref="A1:K1"/>
  </mergeCells>
  <conditionalFormatting sqref="O5:O24">
    <cfRule type="cellIs" priority="1" operator="equal" dxfId="0">
      <formula>"GREEN"</formula>
    </cfRule>
    <cfRule type="cellIs" priority="2" operator="equal" dxfId="1">
      <formula>"AMBER"</formula>
    </cfRule>
    <cfRule type="cellIs" priority="3" operator="equal" dxfId="2">
      <formula>"RED"</formula>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21"/>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52" customWidth="1" min="3" max="3"/>
    <col width="26" customWidth="1" min="4" max="4"/>
    <col width="11" customWidth="1" min="5" max="5"/>
    <col width="13" customWidth="1" min="6" max="6"/>
    <col width="30" customWidth="1" min="7" max="7"/>
  </cols>
  <sheetData>
    <row r="1" ht="22" customHeight="1">
      <c r="A1" s="1" t="inlineStr">
        <is>
          <t>HRR FX Forwards — Red Flag Checklist</t>
        </is>
      </c>
    </row>
    <row r="2" ht="15" customHeight="1">
      <c r="A2" s="2" t="inlineStr">
        <is>
          <t>Reviewed monthly by second line. Every 'Yes' requires a comment and an escalation decision. Manual §22.</t>
        </is>
      </c>
    </row>
    <row r="4" ht="30" customHeight="1">
      <c r="A4" s="3" t="inlineStr">
        <is>
          <t>#</t>
        </is>
      </c>
      <c r="B4" s="3" t="inlineStr">
        <is>
          <t>Signal</t>
        </is>
      </c>
      <c r="C4" s="3" t="inlineStr">
        <is>
          <t>Why it happens — and why it matters</t>
        </is>
      </c>
      <c r="D4" s="3" t="inlineStr">
        <is>
          <t>Where to look</t>
        </is>
      </c>
      <c r="E4" s="3" t="inlineStr">
        <is>
          <t>Observed?</t>
        </is>
      </c>
      <c r="F4" s="3" t="inlineStr">
        <is>
          <t>Reviewer</t>
        </is>
      </c>
      <c r="G4" s="3" t="inlineStr">
        <is>
          <t>Comment / escalation</t>
        </is>
      </c>
    </row>
    <row r="5" ht="42" customHeight="1">
      <c r="A5" s="5" t="n">
        <v>1</v>
      </c>
      <c r="B5" s="7" t="inlineStr">
        <is>
          <t>A roll on a hedge whose asset has prepaid, defaulted or been written down</t>
        </is>
      </c>
      <c r="C5" s="31" t="inlineStr">
        <is>
          <t>The hedge no longer hedges anything — it is an outright FX position that is also being financed, and the cash flow meant to extinguish the balance no longer exists. The Allfirst fact pattern.</t>
        </is>
      </c>
      <c r="D5" s="31" t="inlineStr">
        <is>
          <t>Linkage register vs roll blotter: any roll where the linked asset is not performing</t>
        </is>
      </c>
      <c r="E5" s="32" t="n"/>
      <c r="F5" s="32" t="n"/>
      <c r="G5" s="33" t="n"/>
    </row>
    <row r="6" ht="42" customHeight="1">
      <c r="A6" s="15" t="n">
        <v>2</v>
      </c>
      <c r="B6" s="17" t="inlineStr">
        <is>
          <t>Strike distance widening across three or more consecutive rolls</t>
        </is>
      </c>
      <c r="C6" s="34" t="inlineStr">
        <is>
          <t>D_t = D_{t-1}(1+cτ) + FX compounds whenever the FX term keeps its sign. Monotonic widening means a trending currency and no reset.</t>
        </is>
      </c>
      <c r="D6" s="34" t="inlineStr">
        <is>
          <t>Sign of the change in |K/F−1| over the last three rolls, per position</t>
        </is>
      </c>
      <c r="E6" s="32" t="n"/>
      <c r="F6" s="32" t="n"/>
      <c r="G6" s="33" t="n"/>
    </row>
    <row r="7" ht="42" customHeight="1">
      <c r="A7" s="5" t="n">
        <v>3</v>
      </c>
      <c r="B7" s="7" t="inlineStr">
        <is>
          <t>Historic-rate rolls rising as a share of all rolls</t>
        </is>
      </c>
      <c r="C7" s="31" t="inlineStr">
        <is>
          <t>The Code treats this as an exception requiring a compliance policy. An exception applied to most rolls is the operating model, and the per-roll rationale test has stopped being applied.</t>
        </is>
      </c>
      <c r="D7" s="31" t="inlineStr">
        <is>
          <t>Layer 3 exception-density ratio, trended over 12 months</t>
        </is>
      </c>
      <c r="E7" s="32" t="n"/>
      <c r="F7" s="32" t="n"/>
      <c r="G7" s="33" t="n"/>
    </row>
    <row r="8" ht="42" customHeight="1">
      <c r="A8" s="15" t="n">
        <v>4</v>
      </c>
      <c r="B8" s="17" t="inlineStr">
        <is>
          <t>Rolls on short-dated, self-liquidating assets</t>
        </is>
      </c>
      <c r="C8" s="34" t="inlineStr">
        <is>
          <t>Trade finance and drawn revolvers generate cash inside the settlement window, so no liquidity mismatch exists. Deferral without a liquidity justification has only a P&amp;L motive.</t>
        </is>
      </c>
      <c r="D8" s="34" t="inlineStr">
        <is>
          <t>Roll blotter filtered by strategy and by linked-asset tenor under 12 months</t>
        </is>
      </c>
      <c r="E8" s="32" t="n"/>
      <c r="F8" s="32" t="n"/>
      <c r="G8" s="33" t="n"/>
    </row>
    <row r="9" ht="42" customHeight="1">
      <c r="A9" s="5" t="n">
        <v>5</v>
      </c>
      <c r="B9" s="7" t="inlineStr">
        <is>
          <t>Deferred balance growing while spot is flat or favourable</t>
        </is>
      </c>
      <c r="C9" s="31" t="inlineStr">
        <is>
          <t>Arithmetically it can then only grow from carry plus financing. Faster than carry explains means a punitive spread or a mis-booking. There is no third explanation.</t>
        </is>
      </c>
      <c r="D9" s="31" t="inlineStr">
        <is>
          <t>Change in balance vs the carry-only projection (Calibration sheet)</t>
        </is>
      </c>
      <c r="E9" s="32" t="n"/>
      <c r="F9" s="32" t="n"/>
      <c r="G9" s="33" t="n"/>
    </row>
    <row r="10" ht="42" customHeight="1">
      <c r="A10" s="15" t="n">
        <v>6</v>
      </c>
      <c r="B10" s="17" t="inlineStr">
        <is>
          <t>Roll requests clustering near period ends</t>
        </is>
      </c>
      <c r="C10" s="34" t="inlineStr">
        <is>
          <t>The defining property is converting a realised loss into an unrealised one. Liquidity needs are indifferent to quarter-ends; P&amp;L optics are not.</t>
        </is>
      </c>
      <c r="D10" s="34" t="inlineStr">
        <is>
          <t>Histogram of roll request dates against the reporting calendar</t>
        </is>
      </c>
      <c r="E10" s="32" t="n"/>
      <c r="F10" s="32" t="n"/>
      <c r="G10" s="33" t="n"/>
    </row>
    <row r="11" ht="42" customHeight="1">
      <c r="A11" s="5" t="n">
        <v>7</v>
      </c>
      <c r="B11" s="7" t="inlineStr">
        <is>
          <t>A near leg that does not match the maturing trade on all five fields</t>
        </is>
      </c>
      <c r="C11" s="31" t="inlineStr">
        <is>
          <t>If notional, pair, value date, direction and rate do not all mirror, the legs do not net — cash moves gross, and the difference is a new position established inside what looks like a roll.</t>
        </is>
      </c>
      <c r="D11" s="31" t="inlineStr">
        <is>
          <t>Pre-settlement match report; any tolerance override</t>
        </is>
      </c>
      <c r="E11" s="32" t="n"/>
      <c r="F11" s="32" t="n"/>
      <c r="G11" s="33" t="n"/>
    </row>
    <row r="12" ht="42" customHeight="1">
      <c r="A12" s="15" t="n">
        <v>8</v>
      </c>
      <c r="B12" s="17" t="inlineStr">
        <is>
          <t>Deferred balance not reconciling to the sum of strike distances</t>
        </is>
      </c>
      <c r="C12" s="34" t="inlineStr">
        <is>
          <t>These agree by construction — u/(1−u) is exact. A break means a trade is missing from the register, a strike is mis-booked, or a roll happened outside the process.</t>
        </is>
      </c>
      <c r="D12" s="34" t="inlineStr">
        <is>
          <t>Daily reconciliation of the register against the position file</t>
        </is>
      </c>
      <c r="E12" s="32" t="n"/>
      <c r="F12" s="32" t="n"/>
      <c r="G12" s="33" t="n"/>
    </row>
    <row r="13" ht="42" customHeight="1">
      <c r="A13" s="5" t="n">
        <v>9</v>
      </c>
      <c r="B13" s="7" t="inlineStr">
        <is>
          <t>Deferred balance rising while reported hedge P&amp;L is flat</t>
        </is>
      </c>
      <c r="C13" s="31" t="inlineStr">
        <is>
          <t>The loss is being carried in the strike instead of the P&amp;L. This is the NAV failure happening in real time, and where an accounting problem becomes an investor-equity problem.</t>
        </is>
      </c>
      <c r="D13" s="31" t="inlineStr">
        <is>
          <t>Hedge P&amp;L in the NAV pack vs the change in the deferred balance</t>
        </is>
      </c>
      <c r="E13" s="32" t="n"/>
      <c r="F13" s="32" t="n"/>
      <c r="G13" s="33" t="n"/>
    </row>
    <row r="14" ht="42" customHeight="1">
      <c r="A14" s="15" t="n">
        <v>10</v>
      </c>
      <c r="B14" s="17" t="inlineStr">
        <is>
          <t>Rolls migrating toward a single dealer</t>
        </is>
      </c>
      <c r="C14" s="34" t="inlineStr">
        <is>
          <t>Rolls need a dealer willing to extend unsecured credit. If only one still is, you have found your capacity constraint and maximised concentration at the same moment.</t>
        </is>
      </c>
      <c r="D14" s="34" t="inlineStr">
        <is>
          <t>Share of rolled notional by counterparty, trended</t>
        </is>
      </c>
      <c r="E14" s="32" t="n"/>
      <c r="F14" s="32" t="n"/>
      <c r="G14" s="33" t="n"/>
    </row>
    <row r="15" ht="42" customHeight="1">
      <c r="A15" s="5" t="n">
        <v>11</v>
      </c>
      <c r="B15" s="7" t="inlineStr">
        <is>
          <t>Implied financing spread widening</t>
        </is>
      </c>
      <c r="C15" s="31" t="inlineStr">
        <is>
          <t>It is the dealer's own read on your credit and line utilisation. It typically moves weeks before their credit committee says anything, making it the earliest warning of a line-pull.</t>
        </is>
      </c>
      <c r="D15" s="31" t="inlineStr">
        <is>
          <t>Section 20 check, trended per dealer</t>
        </is>
      </c>
      <c r="E15" s="32" t="n"/>
      <c r="F15" s="32" t="n"/>
      <c r="G15" s="33" t="n"/>
    </row>
    <row r="16" ht="42" customHeight="1">
      <c r="A16" s="15" t="n">
        <v>12</v>
      </c>
      <c r="B16" s="17" t="inlineStr">
        <is>
          <t>Hedge notional not stepping down with amortisation</t>
        </is>
      </c>
      <c r="C16" s="34" t="inlineStr">
        <is>
          <t>Creates a growing over-hedge. Correcting it costs cash under this technique, so it persists — the structure penalises the correct action.</t>
        </is>
      </c>
      <c r="D16" s="34" t="inlineStr">
        <is>
          <t>Layer 3 notional-drift limit, per asset</t>
        </is>
      </c>
      <c r="E16" s="32" t="n"/>
      <c r="F16" s="32" t="n"/>
      <c r="G16" s="33" t="n"/>
    </row>
    <row r="17" ht="42" customHeight="1">
      <c r="A17" s="5" t="n">
        <v>13</v>
      </c>
      <c r="B17" s="7" t="inlineStr">
        <is>
          <t>Balance exceeding the linked asset's remaining expected cash flows</t>
        </is>
      </c>
      <c r="C17" s="31" t="inlineStr">
        <is>
          <t>The deferral has no exit. Even a fully performing asset can no longer extinguish it, and nobody has been asked where the funding comes from.</t>
        </is>
      </c>
      <c r="D17" s="31" t="inlineStr">
        <is>
          <t>Register: balance vs remaining scheduled principal and interest</t>
        </is>
      </c>
      <c r="E17" s="32" t="n"/>
      <c r="F17" s="32" t="n"/>
      <c r="G17" s="33" t="n"/>
    </row>
    <row r="18" ht="42" customHeight="1">
      <c r="A18" s="15" t="n">
        <v>14</v>
      </c>
      <c r="B18" s="17" t="inlineStr">
        <is>
          <t>Rising confirmation breaks or tolerance overrides on rolled trades</t>
        </is>
      </c>
      <c r="C18" s="34" t="inlineStr">
        <is>
          <t>Off-market rates break rate-tolerance matching and the natural fix is to widen it — disabling the principal detective control for mis-booked FX across the whole book.</t>
        </is>
      </c>
      <c r="D18" s="34" t="inlineStr">
        <is>
          <t>Override log, filtered to the roll reason code</t>
        </is>
      </c>
      <c r="E18" s="32" t="n"/>
      <c r="F18" s="32" t="n"/>
      <c r="G18" s="33" t="n"/>
    </row>
    <row r="19" ht="42" customHeight="1">
      <c r="A19" s="5" t="n">
        <v>15</v>
      </c>
      <c r="B19" s="7" t="inlineStr">
        <is>
          <t>The same person requesting and approving a roll</t>
        </is>
      </c>
      <c r="C19" s="31" t="inlineStr">
        <is>
          <t>The entire risk is discretionary loss deferral by the person whose record the loss would otherwise appear in. The question is never whether they would misuse it, but whether the firm would know.</t>
        </is>
      </c>
      <c r="D19" s="31" t="inlineStr">
        <is>
          <t>Approval log: requester and approver identity, per roll</t>
        </is>
      </c>
      <c r="E19" s="32" t="n"/>
      <c r="F19" s="32" t="n"/>
      <c r="G19" s="33" t="n"/>
    </row>
    <row r="21">
      <c r="A21" s="30" t="inlineStr">
        <is>
          <t>Not a metric, but watch for it: any limit, paper or committee answer that justifies the size of the deferred balance by pointing at the offsetting gain on the asset. The offset is real — it is just not available, not in the netting set, and not guaranteed to survive. See manual §19.</t>
        </is>
      </c>
    </row>
  </sheetData>
  <mergeCells count="3">
    <mergeCell ref="A21:G21"/>
    <mergeCell ref="A2:G2"/>
    <mergeCell ref="A1:G1"/>
  </mergeCells>
  <conditionalFormatting sqref="E5:E19">
    <cfRule type="cellIs" priority="1" operator="equal" dxfId="2">
      <formula>"Yes"</formula>
    </cfRule>
    <cfRule type="cellIs" priority="2" operator="equal" dxfId="0">
      <formula>"No"</formula>
    </cfRule>
  </conditionalFormatting>
  <dataValidations count="1">
    <dataValidation sqref="E5 E6 E7 E8 E9 E10 E11 E12 E13 E14 E15 E16 E17 E18 E19" showDropDown="0" showInputMessage="0" showErrorMessage="0" allowBlank="1" type="list">
      <formula1>"No,Yes,N/A"</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32" customWidth="1" min="1" max="1"/>
    <col width="26" customWidth="1" min="2" max="2"/>
    <col width="26" customWidth="1" min="3" max="3"/>
    <col width="22" customWidth="1" min="4" max="4"/>
    <col width="22" customWidth="1" min="5" max="5"/>
  </cols>
  <sheetData>
    <row r="1" ht="22" customHeight="1">
      <c r="A1" s="1" t="inlineStr">
        <is>
          <t>HRR FX Forwards — Limit Calibration</t>
        </is>
      </c>
    </row>
    <row r="2" ht="15" customHeight="1">
      <c r="A2" s="2" t="inlineStr">
        <is>
          <t>The evidence behind every Layer 2 level. Grids are computed from hrr_model.py; the strike-check block is live.</t>
        </is>
      </c>
    </row>
    <row r="4">
      <c r="A4" s="35" t="inlineStr">
        <is>
          <t>1 · BREACH FREQUENCY — how often would each candidate cap actually bind?</t>
        </is>
      </c>
    </row>
    <row r="5">
      <c r="A5" s="3" t="inlineStr">
        <is>
          <t>Proposed cap</t>
        </is>
      </c>
      <c r="B5" s="3" t="inlineStr">
        <is>
          <t>1-year hedge</t>
        </is>
      </c>
      <c r="C5" s="3" t="inlineStr">
        <is>
          <t>3-year hedge</t>
        </is>
      </c>
      <c r="D5" s="3" t="inlineStr">
        <is>
          <t>5-year hedge</t>
        </is>
      </c>
      <c r="E5" s="3" t="inlineStr">
        <is>
          <t>7-year hedge</t>
        </is>
      </c>
    </row>
    <row r="6">
      <c r="A6" s="36" t="inlineStr">
        <is>
          <t>3% cap</t>
        </is>
      </c>
      <c r="B6" s="37" t="n">
        <v>0.5043833333333333</v>
      </c>
      <c r="C6" s="37" t="n">
        <v>0.69565</v>
      </c>
      <c r="D6" s="37" t="n">
        <v>0.75965</v>
      </c>
      <c r="E6" s="37" t="n">
        <v>0.79145</v>
      </c>
    </row>
    <row r="7">
      <c r="A7" s="38" t="inlineStr">
        <is>
          <t>5% cap</t>
        </is>
      </c>
      <c r="B7" s="39" t="n">
        <v>0.36095</v>
      </c>
      <c r="C7" s="39" t="n">
        <v>0.5939583333333334</v>
      </c>
      <c r="D7" s="39" t="n">
        <v>0.6755416666666667</v>
      </c>
      <c r="E7" s="39" t="n">
        <v>0.72</v>
      </c>
    </row>
    <row r="8">
      <c r="A8" s="36" t="inlineStr">
        <is>
          <t>8% cap</t>
        </is>
      </c>
      <c r="B8" s="37" t="n">
        <v>0.1997416666666667</v>
      </c>
      <c r="C8" s="37" t="n">
        <v>0.4556416666666667</v>
      </c>
      <c r="D8" s="37" t="n">
        <v>0.5596916666666667</v>
      </c>
      <c r="E8" s="37" t="n">
        <v>0.6192</v>
      </c>
    </row>
    <row r="9">
      <c r="A9" s="36" t="inlineStr">
        <is>
          <t>10% cap</t>
        </is>
      </c>
      <c r="B9" s="37" t="n">
        <v>0.1278916666666667</v>
      </c>
      <c r="C9" s="37" t="n">
        <v>0.3773</v>
      </c>
      <c r="D9" s="37" t="n">
        <v>0.4905166666666667</v>
      </c>
      <c r="E9" s="37" t="n">
        <v>0.5578</v>
      </c>
    </row>
    <row r="10">
      <c r="A10" s="36" t="inlineStr">
        <is>
          <t>15% cap</t>
        </is>
      </c>
      <c r="B10" s="37" t="n">
        <v>0.03468333333333333</v>
      </c>
      <c r="C10" s="37" t="n">
        <v>0.223325</v>
      </c>
      <c r="D10" s="37" t="n">
        <v>0.345425</v>
      </c>
      <c r="E10" s="37" t="n">
        <v>0.4245916666666666</v>
      </c>
    </row>
    <row r="11">
      <c r="A11" s="36" t="inlineStr">
        <is>
          <t>20% cap</t>
        </is>
      </c>
      <c r="B11" s="37" t="n">
        <v>0.0078</v>
      </c>
      <c r="C11" s="37" t="n">
        <v>0.12285</v>
      </c>
      <c r="D11" s="37" t="n">
        <v>0.2345916666666667</v>
      </c>
      <c r="E11" s="37" t="n">
        <v>0.3160083333333333</v>
      </c>
    </row>
    <row r="12">
      <c r="A12" s="29" t="inlineStr">
        <is>
          <t>The 5% row is highlighted: as a ceiling it spends most of its life in breach, which is why the register writes it as a mandatory reset trigger instead.</t>
        </is>
      </c>
    </row>
    <row r="14">
      <c r="A14" s="35" t="inlineStr">
        <is>
          <t>2 · PEAK DEFERRED BALANCE PERCENTILES — % of hedged notional</t>
        </is>
      </c>
    </row>
    <row r="15">
      <c r="A15" s="3" t="inlineStr">
        <is>
          <t>Hedge tenor</t>
        </is>
      </c>
      <c r="B15" s="3" t="inlineStr">
        <is>
          <t>p50</t>
        </is>
      </c>
      <c r="C15" s="3" t="inlineStr">
        <is>
          <t>p75</t>
        </is>
      </c>
      <c r="D15" s="3" t="inlineStr">
        <is>
          <t>p95</t>
        </is>
      </c>
      <c r="E15" s="3" t="inlineStr">
        <is>
          <t>p99</t>
        </is>
      </c>
    </row>
    <row r="16">
      <c r="A16" s="36" t="inlineStr">
        <is>
          <t>1-year hedge</t>
        </is>
      </c>
      <c r="B16" s="37" t="n">
        <v>0.03058745363956229</v>
      </c>
      <c r="C16" s="37" t="n">
        <v>0.06921171560603269</v>
      </c>
      <c r="D16" s="37" t="n">
        <v>0.1368532309357008</v>
      </c>
      <c r="E16" s="37" t="n">
        <v>0.1921239567816224</v>
      </c>
    </row>
    <row r="17">
      <c r="A17" s="36" t="inlineStr">
        <is>
          <t>3-year hedge</t>
        </is>
      </c>
      <c r="B17" s="37" t="n">
        <v>0.06982214683309684</v>
      </c>
      <c r="C17" s="37" t="n">
        <v>0.139617558866723</v>
      </c>
      <c r="D17" s="37" t="n">
        <v>0.2687881466920379</v>
      </c>
      <c r="E17" s="37" t="n">
        <v>0.3805258415808077</v>
      </c>
    </row>
    <row r="18">
      <c r="A18" s="36" t="inlineStr">
        <is>
          <t>5-year hedge</t>
        </is>
      </c>
      <c r="B18" s="37" t="n">
        <v>0.09707246047561867</v>
      </c>
      <c r="C18" s="37" t="n">
        <v>0.1919699953012503</v>
      </c>
      <c r="D18" s="37" t="n">
        <v>0.3708833662916048</v>
      </c>
      <c r="E18" s="37" t="n">
        <v>0.5262712147992278</v>
      </c>
    </row>
    <row r="19">
      <c r="A19" s="36" t="inlineStr">
        <is>
          <t>7-year hedge</t>
        </is>
      </c>
      <c r="B19" s="37" t="n">
        <v>0.1202992187346668</v>
      </c>
      <c r="C19" s="37" t="n">
        <v>0.2384926368956185</v>
      </c>
      <c r="D19" s="37" t="n">
        <v>0.467741893379067</v>
      </c>
      <c r="E19" s="37" t="n">
        <v>0.6622083608345791</v>
      </c>
    </row>
    <row r="21">
      <c r="A21" s="35" t="inlineStr">
        <is>
          <t>3 · CARRY ONLY, SPOT PERFECTLY FLAT — what 'rate differential + funding cost' actually gives</t>
        </is>
      </c>
    </row>
    <row r="22">
      <c r="A22" s="3" t="inlineStr">
        <is>
          <t>Hedge tenor</t>
        </is>
      </c>
      <c r="B22" s="3" t="inlineStr">
        <is>
          <t>differential 1.0%</t>
        </is>
      </c>
      <c r="C22" s="3" t="inlineStr">
        <is>
          <t>differential 1.5%</t>
        </is>
      </c>
      <c r="D22" s="3" t="inlineStr">
        <is>
          <t>differential 2.0%</t>
        </is>
      </c>
      <c r="E22" s="3" t="inlineStr">
        <is>
          <t>differential 2.5%</t>
        </is>
      </c>
    </row>
    <row r="23">
      <c r="A23" s="36" t="inlineStr">
        <is>
          <t>1-year hedge</t>
        </is>
      </c>
      <c r="B23" s="37" t="n">
        <v>0.008783487044356615</v>
      </c>
      <c r="C23" s="37" t="n">
        <v>0.01311188811188832</v>
      </c>
      <c r="D23" s="37" t="n">
        <v>0.01739886907351032</v>
      </c>
      <c r="E23" s="37" t="n">
        <v>0.02164502164502189</v>
      </c>
    </row>
    <row r="24">
      <c r="A24" s="36" t="inlineStr">
        <is>
          <t>2-year hedge</t>
        </is>
      </c>
      <c r="B24" s="37" t="n">
        <v>0.01785243741765482</v>
      </c>
      <c r="C24" s="37" t="n">
        <v>0.026649912587413</v>
      </c>
      <c r="D24" s="37" t="n">
        <v>0.03536320139190972</v>
      </c>
      <c r="E24" s="37" t="n">
        <v>0.04399350649350698</v>
      </c>
    </row>
    <row r="25">
      <c r="A25" s="36" t="inlineStr">
        <is>
          <t>3-year hedge</t>
        </is>
      </c>
      <c r="B25" s="37" t="n">
        <v>0.02721612867808522</v>
      </c>
      <c r="C25" s="37" t="n">
        <v>0.04062792285839225</v>
      </c>
      <c r="D25" s="37" t="n">
        <v>0.0539113745106571</v>
      </c>
      <c r="E25" s="37" t="n">
        <v>0.06706831709956784</v>
      </c>
    </row>
    <row r="26">
      <c r="A26" s="36" t="inlineStr">
        <is>
          <t>5-year hedge</t>
        </is>
      </c>
      <c r="B26" s="37" t="n">
        <v>0.0468663614957318</v>
      </c>
      <c r="C26" s="37" t="n">
        <v>0.06996156367511992</v>
      </c>
      <c r="D26" s="37" t="n">
        <v>0.09283575913508642</v>
      </c>
      <c r="E26" s="37" t="n">
        <v>0.1154921051144831</v>
      </c>
    </row>
    <row r="27">
      <c r="A27" s="36" t="inlineStr">
        <is>
          <t>7-year hedge</t>
        </is>
      </c>
      <c r="B27" s="37" t="n">
        <v>0.06781461500493906</v>
      </c>
      <c r="C27" s="37" t="n">
        <v>0.1012328748030476</v>
      </c>
      <c r="D27" s="37" t="n">
        <v>0.1343313426413632</v>
      </c>
      <c r="E27" s="37" t="n">
        <v>0.1671145869764587</v>
      </c>
    </row>
    <row r="28">
      <c r="A28" s="29" t="inlineStr">
        <is>
          <t>A 5-year hedge accumulates 9% of notional in carry alone at a 2.0% differential — before the currency moves at all. This is why a 5% ceiling is too small even on its own definition.</t>
        </is>
      </c>
    </row>
    <row r="30">
      <c r="A30" s="35" t="inlineStr">
        <is>
          <t>4 · WHAT A NAV-BASED CAP IMPLIES, BY HEDGE INTENSITY</t>
        </is>
      </c>
    </row>
    <row r="31">
      <c r="A31" s="3" t="inlineStr">
        <is>
          <t>Hedge intensity</t>
        </is>
      </c>
      <c r="B31" s="3" t="inlineStr">
        <is>
          <t>3% NAV cap = % of notional</t>
        </is>
      </c>
      <c r="C31" s="3" t="inlineStr">
        <is>
          <t>breach freq, 5y</t>
        </is>
      </c>
      <c r="D31" s="3" t="inlineStr">
        <is>
          <t>5% NAV cap = % of notional</t>
        </is>
      </c>
      <c r="E31" s="3" t="inlineStr">
        <is>
          <t>breach freq, 5y</t>
        </is>
      </c>
    </row>
    <row r="32">
      <c r="A32" s="36" t="inlineStr">
        <is>
          <t>hedged notional = 25% of NAV</t>
        </is>
      </c>
      <c r="B32" s="37" t="n">
        <v>0.12</v>
      </c>
      <c r="C32" s="37" t="n">
        <v>0.4293583333333333</v>
      </c>
      <c r="D32" s="37" t="n">
        <v>0.2</v>
      </c>
      <c r="E32" s="37" t="n">
        <v>0.235075</v>
      </c>
    </row>
    <row r="33">
      <c r="A33" s="36" t="inlineStr">
        <is>
          <t>hedged notional = 50% of NAV</t>
        </is>
      </c>
      <c r="B33" s="37" t="n">
        <v>0.06</v>
      </c>
      <c r="C33" s="37" t="n">
        <v>0.6351666666666667</v>
      </c>
      <c r="D33" s="37" t="n">
        <v>0.1</v>
      </c>
      <c r="E33" s="37" t="n">
        <v>0.4918083333333333</v>
      </c>
    </row>
    <row r="34">
      <c r="A34" s="36" t="inlineStr">
        <is>
          <t>hedged notional = 75% of NAV</t>
        </is>
      </c>
      <c r="B34" s="37" t="n">
        <v>0.04</v>
      </c>
      <c r="C34" s="37" t="n">
        <v>0.71655</v>
      </c>
      <c r="D34" s="37" t="n">
        <v>0.06666666666666667</v>
      </c>
      <c r="E34" s="37" t="n">
        <v>0.6102083333333334</v>
      </c>
    </row>
    <row r="35">
      <c r="A35" s="36" t="inlineStr">
        <is>
          <t>hedged notional = 100% of NAV</t>
        </is>
      </c>
      <c r="B35" s="37" t="n">
        <v>0.03</v>
      </c>
      <c r="C35" s="37" t="n">
        <v>0.7584666666666666</v>
      </c>
      <c r="D35" s="37" t="n">
        <v>0.05</v>
      </c>
      <c r="E35" s="37" t="n">
        <v>0.6758583333333333</v>
      </c>
    </row>
    <row r="36">
      <c r="A36" s="29" t="inlineStr">
        <is>
          <t>The same NAV limit is comfortable for a lightly hedged fund and permanently binding for a fully hedged one — which is why the register carries both a NAV limit and a per-hedge limit in % of notional.</t>
        </is>
      </c>
    </row>
    <row r="38">
      <c r="A38" s="35" t="inlineStr">
        <is>
          <t>5 · STRIKE DISTANCE ↔ DEFERRED BALANCE — the Layer 0 mapping</t>
        </is>
      </c>
    </row>
    <row r="39">
      <c r="A39" s="3" t="inlineStr">
        <is>
          <t>Deferred balance</t>
        </is>
      </c>
      <c r="B39" s="3" t="inlineStr">
        <is>
          <t>Strike distance from market</t>
        </is>
      </c>
      <c r="C39" s="3" t="inlineStr">
        <is>
          <t>Headroom to the ceiling</t>
        </is>
      </c>
    </row>
    <row r="40">
      <c r="A40" s="36" t="inlineStr">
        <is>
          <t>2.0% of leg value</t>
        </is>
      </c>
      <c r="B40" s="37" t="n">
        <v>0.02108541379486394</v>
      </c>
      <c r="C40" s="37" t="n">
        <v>0.9793500000000001</v>
      </c>
    </row>
    <row r="41">
      <c r="A41" s="36" t="inlineStr">
        <is>
          <t>5.0% of leg value</t>
        </is>
      </c>
      <c r="B41" s="37" t="n">
        <v>0.05443521813628576</v>
      </c>
      <c r="C41" s="37" t="n">
        <v>0.948375</v>
      </c>
    </row>
    <row r="42">
      <c r="A42" s="36" t="inlineStr">
        <is>
          <t>7.5% of leg value</t>
        </is>
      </c>
      <c r="B42" s="37" t="n">
        <v>0.08393740261499898</v>
      </c>
      <c r="C42" s="37" t="n">
        <v>0.9225625</v>
      </c>
    </row>
    <row r="43">
      <c r="A43" s="36" t="inlineStr">
        <is>
          <t>10.0% of leg value</t>
        </is>
      </c>
      <c r="B43" s="37" t="n">
        <v>0.115137998327293</v>
      </c>
      <c r="C43" s="37" t="n">
        <v>0.8967499999999999</v>
      </c>
    </row>
    <row r="44">
      <c r="A44" s="36" t="inlineStr">
        <is>
          <t>15.0% of leg value</t>
        </is>
      </c>
      <c r="B44" s="37" t="n">
        <v>0.183256914657595</v>
      </c>
      <c r="C44" s="37" t="n">
        <v>0.845125</v>
      </c>
    </row>
    <row r="45">
      <c r="A45" s="36" t="inlineStr">
        <is>
          <t>20.0% of leg value</t>
        </is>
      </c>
      <c r="B45" s="37" t="n">
        <v>0.260239445494644</v>
      </c>
      <c r="C45" s="37" t="n">
        <v>0.7935</v>
      </c>
    </row>
    <row r="46">
      <c r="A46" s="36" t="inlineStr">
        <is>
          <t>30.0% of leg value</t>
        </is>
      </c>
      <c r="B46" s="37" t="n">
        <v>0.4487504527345164</v>
      </c>
      <c r="C46" s="37" t="n">
        <v>0.69025</v>
      </c>
    </row>
    <row r="48">
      <c r="A48" s="35" t="inlineStr">
        <is>
          <t>6 · LIVE STRIKE CHECK — paste market data and the two ticket rates (manual §20)</t>
        </is>
      </c>
    </row>
    <row r="49">
      <c r="A49" s="30" t="inlineStr">
        <is>
          <t>Use the TRADED forward points, never a forward derived from deposit or OIS curves. A 20bp cross-currency basis error misstates the implied dealer spread by ~300bp.</t>
        </is>
      </c>
    </row>
    <row r="51">
      <c r="A51" s="40" t="inlineStr">
        <is>
          <t>Market spot</t>
        </is>
      </c>
      <c r="B51" s="41" t="n">
        <v>1.05</v>
      </c>
    </row>
    <row r="52">
      <c r="A52" s="40" t="inlineStr">
        <is>
          <t>Market forward points (pips)</t>
        </is>
      </c>
      <c r="B52" s="42" t="n">
        <v>204.9</v>
      </c>
    </row>
    <row r="53">
      <c r="A53" s="40" t="inlineStr">
        <is>
          <t>Pip divisor</t>
        </is>
      </c>
      <c r="B53" s="43" t="n">
        <v>10000</v>
      </c>
    </row>
    <row r="54">
      <c r="A54" s="40" t="inlineStr">
        <is>
          <t>Notional (foreign ccy)</t>
        </is>
      </c>
      <c r="B54" s="44" t="n">
        <v>100000000</v>
      </c>
    </row>
    <row r="55">
      <c r="A55" s="40" t="inlineStr">
        <is>
          <t>K_old — maturing contract rate</t>
        </is>
      </c>
      <c r="B55" s="41" t="n">
        <v>1.1215</v>
      </c>
    </row>
    <row r="56">
      <c r="A56" s="40" t="inlineStr">
        <is>
          <t>K_new — new far-leg rate</t>
        </is>
      </c>
      <c r="B56" s="41" t="n">
        <v>1.1475</v>
      </c>
    </row>
    <row r="57">
      <c r="A57" s="40" t="inlineStr">
        <is>
          <t>Tenor of far leg (years)</t>
        </is>
      </c>
      <c r="B57" s="45" t="n">
        <v>1</v>
      </c>
    </row>
    <row r="58">
      <c r="A58" s="40" t="inlineStr">
        <is>
          <t>Funding benchmark (decimal)</t>
        </is>
      </c>
      <c r="B58" s="46" t="n">
        <v>0.025</v>
      </c>
    </row>
    <row r="60">
      <c r="A60" s="47" t="inlineStr">
        <is>
          <t>Market forward  F = spot + points/divisor</t>
        </is>
      </c>
      <c r="B60" s="48">
        <f>B51+B52/B53</f>
        <v/>
      </c>
    </row>
    <row r="61">
      <c r="A61" s="47" t="inlineStr">
        <is>
          <t>Deferred at the roll date   N/S − N/K_old</t>
        </is>
      </c>
      <c r="B61" s="49">
        <f>B54/B51-B54/B55</f>
        <v/>
      </c>
    </row>
    <row r="62">
      <c r="A62" s="47" t="inlineStr">
        <is>
          <t>Deferred at far-leg maturity  N/F − N/K_new</t>
        </is>
      </c>
      <c r="B62" s="49">
        <f>B54/(B51+B52/B53)-B54/B56</f>
        <v/>
      </c>
    </row>
    <row r="63">
      <c r="A63" s="47" t="inlineStr">
        <is>
          <t>Implied financing rate  c</t>
        </is>
      </c>
      <c r="B63" s="50">
        <f>((B54/(B51+B52/B53)-B54/B56)/(B54/B51-B54/B55)-1)/B57</f>
        <v/>
      </c>
    </row>
    <row r="64">
      <c r="A64" s="47" t="inlineStr">
        <is>
          <t>Implied dealer spread over benchmark</t>
        </is>
      </c>
      <c r="B64" s="51">
        <f>(((B54/(B51+B52/B53)-B54/B56)/(B54/B51-B54/B55)-1)/B57-B58)*10000</f>
        <v/>
      </c>
    </row>
    <row r="65">
      <c r="A65" s="47" t="inlineStr">
        <is>
          <t>Strike distance from market  K_new/F − 1</t>
        </is>
      </c>
      <c r="B65" s="52">
        <f>B56/(B51+B52/B53)-1</f>
        <v/>
      </c>
    </row>
    <row r="66">
      <c r="A66" s="47" t="inlineStr">
        <is>
          <t>Ceiling used  u</t>
        </is>
      </c>
      <c r="B66" s="52">
        <f>(B54/(B51+B52/B53)-B54/B56)/(B54/(B51+B52/B53))</f>
        <v/>
      </c>
    </row>
    <row r="68">
      <c r="A68" s="29" t="inlineStr">
        <is>
          <t>With the worked inputs above (Scenario A, first roll) the block returns a 75.0bp implied spread — which is exactly what was priced in. Change any input and every output recomputes.</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04" customWidth="1" min="2" max="2"/>
  </cols>
  <sheetData>
    <row r="1" ht="22" customHeight="1">
      <c r="A1" s="1" t="inlineStr">
        <is>
          <t>HRR FX Forwards — Notes and Assumptions</t>
        </is>
      </c>
    </row>
    <row r="2" ht="15" customHeight="1">
      <c r="A2" s="2" t="inlineStr">
        <is>
          <t>Read once before using the register.</t>
        </is>
      </c>
    </row>
    <row r="4" ht="39" customHeight="1">
      <c r="A4" s="7" t="inlineStr">
        <is>
          <t>The identity behind everything</t>
        </is>
      </c>
      <c r="B4" s="53" t="inlineStr">
        <is>
          <t>The deferred balance decomposes exactly, with no residual, into carry (the interest rate differential) + spot (the FX move) + financing (the dealer's spread on the deferral). The cumulative spot term is identically equal to the base-currency revaluation of the foreign-currency asset.</t>
        </is>
      </c>
    </row>
    <row r="5" ht="39" customHeight="1">
      <c r="A5" s="7" t="inlineStr">
        <is>
          <t>Why that matters for limits</t>
        </is>
      </c>
      <c r="B5" s="53" t="inlineStr">
        <is>
          <t>A limit built on 'rate differential + funding cost' captures carry and financing and omits spot. Spot is the largest of the three, it is unbounded, and it is what the dealer lends and what settles in cash. That formula measures net economic COST; a limit must measure gross unsettled OBLIGATION.</t>
        </is>
      </c>
    </row>
    <row r="6" ht="39" customHeight="1">
      <c r="A6" s="7" t="inlineStr">
        <is>
          <t>Why the offset does not help</t>
        </is>
      </c>
      <c r="B6" s="53" t="inlineStr">
        <is>
          <t>(1) The dealer nets only what is inside the netting set, and the loan is not in it. (2) The offset is illiquid and cannot fund the settlement. (3) The offset can disappear on a default or prepayment while the hedge survives.</t>
        </is>
      </c>
    </row>
    <row r="7" ht="30" customHeight="1">
      <c r="A7" s="7" t="inlineStr">
        <is>
          <t>The Layer 0 identity</t>
        </is>
      </c>
      <c r="B7" s="53" t="inlineStr">
        <is>
          <t>K/F − 1 = u/(1−u), where u = D(1+cτ)/(N/F). Exact. This is why a strike-distance limit is a deferred-balance limit that needs no model, register or reconciliation to enforce.</t>
        </is>
      </c>
    </row>
    <row r="8" ht="39" customHeight="1">
      <c r="A8" s="7" t="inlineStr">
        <is>
          <t>The MTM identity</t>
        </is>
      </c>
      <c r="B8" s="53" t="inlineStr">
        <is>
          <t>At every roll date the mark-to-market of the hedge book equals the deferred balance. So the Layer 2 headline limit can be run off the administrator's NAV pack — PROVIDED the off-market leg is marked at fair value from trade date. If it is carried at par the MTM reads zero and the limit is blind.</t>
        </is>
      </c>
    </row>
    <row r="9" ht="52" customHeight="1">
      <c r="A9" s="7" t="inlineStr">
        <is>
          <t>Hedge ratio is not a substitute</t>
        </is>
      </c>
      <c r="B9" s="53" t="inlineStr">
        <is>
          <t>Hedge ratio and net open position are computed on NOTIONAL; the deferred balance is a VALUATION quantity. In the reference scenario the hedge ratio is 100.0% and the net open position exactly zero at every roll while the deferred balance reaches 11.2% of NAV. Both limits are necessary; neither substitutes for the other.</t>
        </is>
      </c>
    </row>
    <row r="10" ht="39" customHeight="1">
      <c r="A10" s="7" t="inlineStr">
        <is>
          <t>When two layers conflict</t>
        </is>
      </c>
      <c r="B10" s="53" t="inlineStr">
        <is>
          <t>Hedge integrity wins. Rebalance and take the cash. An unhedged position is a breach of investment policy; a deferred balance is a breach of a risk limit, and letting the second justify the first inverts the hierarchy.</t>
        </is>
      </c>
    </row>
    <row r="11" ht="39" customHeight="1">
      <c r="A11" s="7" t="inlineStr">
        <is>
          <t>Model assumptions</t>
        </is>
      </c>
      <c r="B11" s="53" t="inlineStr">
        <is>
          <t>USD 100m hedged notional; EURUSD spot 1.1000; USD 4.5%, EUR 2.5%; dealer spread 75bp over EUR. Forwards from covered interest parity. Monte Carlo: geometric Brownian motion at 8% annualised vol, risk-neutral drift, 120,000 paths, quarterly rolls.</t>
        </is>
      </c>
    </row>
    <row r="12" ht="39" customHeight="1">
      <c r="A12" s="7" t="inlineStr">
        <is>
          <t>Known limitations</t>
        </is>
      </c>
      <c r="B12" s="53" t="inlineStr">
        <is>
          <t>The accrual rate is symmetric in the model; real dealers charge a spread when you owe and pay below benchmark when you are owed, so true cost is higher across a full cycle. Lognormal FX with constant vol understates the tail — read the percentiles as a floor, not a central estimate.</t>
        </is>
      </c>
    </row>
    <row r="13" ht="39" customHeight="1">
      <c r="A13" s="7" t="inlineStr">
        <is>
          <t>Regulatory anchors</t>
        </is>
      </c>
      <c r="B13" s="53" t="inlineStr">
        <is>
          <t>FX Global Code Principle 12 names historical rate rollovers as an exception requiring an internal compliance policy. NY Fed FXC, 'Historical Rate Rollovers: A Dangerous Practice'. APRA APS 180 para 17. AIB/Allfirst (Ludwig Report, 2002).</t>
        </is>
      </c>
    </row>
    <row r="14" ht="39" customHeight="1">
      <c r="A14" s="7" t="inlineStr">
        <is>
          <t>Source</t>
        </is>
      </c>
      <c r="B14" s="53" t="inlineStr">
        <is>
          <t>Generated by build_register.py from hrr_model.py, alongside HRR_FX_Framework.pdf. Both artefacts read the same functions, so thresholds and grids cannot drift apart. Regenerate both after any model change.</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2026-08-28T02:39:27Z</dcterms:created>
  <dcterms:modified xmlns:dcterms="http://purl.org/dc/terms/" xmlns:xsi="http://www.w3.org/2001/XMLSchema-instance" xsi:type="dcterms:W3CDTF">2026-08-28T02:40:46Z</dcterms:modified>
</cp:coreProperties>
</file>