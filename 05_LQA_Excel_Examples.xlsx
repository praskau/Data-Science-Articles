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quity_LQA" sheetId="2" state="visible" r:id="rId2"/>
    <sheet xmlns:r="http://schemas.openxmlformats.org/officeDocument/2006/relationships" name="FixedIncome_L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</font>
    <font>
      <i val="1"/>
      <sz val="10"/>
    </font>
    <font>
      <b val="1"/>
      <color rgb="00FFFFFF"/>
      <sz val="11"/>
    </font>
    <font>
      <b val="1"/>
      <sz val="10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6" fillId="4" borderId="0" pivotButton="0" quotePrefix="0" xfId="0"/>
    <xf numFmtId="10" fontId="0" fillId="5" borderId="1" pivotButton="0" quotePrefix="0" xfId="0"/>
    <xf numFmtId="3" fontId="0" fillId="5" borderId="1" pivotButton="0" quotePrefix="0" xfId="0"/>
    <xf numFmtId="4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4" fontId="0" fillId="6" borderId="1" pivotButton="0" quotePrefix="0" xfId="0"/>
    <xf numFmtId="10" fontId="0" fillId="6" borderId="1" pivotButton="0" quotePrefix="0" xfId="0"/>
    <xf numFmtId="165" fontId="0" fillId="6" borderId="1" pivotButton="0" quotePrefix="0" xfId="0"/>
    <xf numFmtId="4" fontId="0" fillId="6" borderId="1" pivotButton="0" quotePrefix="0" xfId="0"/>
    <xf numFmtId="0" fontId="7" fillId="0" borderId="0" applyAlignment="1" pivotButton="0" quotePrefix="0" xfId="0">
      <alignment vertical="top" wrapText="1"/>
    </xf>
    <xf numFmtId="1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 ht="22" customHeight="1">
      <c r="A1" s="1" t="inlineStr">
        <is>
          <t>Bloomberg LQA — Formula-Driven Excel Companion</t>
        </is>
      </c>
    </row>
    <row r="2">
      <c r="A2" s="2" t="inlineStr">
        <is>
          <t>Equity Methodology + Enhanced GSAC (Fixed Income) Methodology — reconstructed from first principles</t>
        </is>
      </c>
    </row>
    <row r="4">
      <c r="A4" t="inlineStr"/>
    </row>
    <row r="5">
      <c r="A5" t="inlineStr">
        <is>
          <t>This workbook accompanies two written explainers:</t>
        </is>
      </c>
    </row>
    <row r="6">
      <c r="A6" t="inlineStr">
        <is>
          <t xml:space="preserve">  03_EQUITY_explainer_first_principles.md</t>
        </is>
      </c>
    </row>
    <row r="7">
      <c r="A7" t="inlineStr">
        <is>
          <t xml:space="preserve">  04_FIXEDINCOME_explainer_first_principles.md</t>
        </is>
      </c>
    </row>
    <row r="8">
      <c r="A8" t="inlineStr"/>
    </row>
    <row r="9">
      <c r="A9" s="3" t="inlineStr">
        <is>
          <t>HOW TO USE THIS WORKBOOK</t>
        </is>
      </c>
    </row>
    <row r="10">
      <c r="A10" t="inlineStr">
        <is>
          <t>Every yellow cell is an INPUT you can change. Every green cell is a FORMULA that recomputes live from</t>
        </is>
      </c>
    </row>
    <row r="11">
      <c r="A11" t="inlineStr">
        <is>
          <t>the model equations derived in the whitepapers (equation numbers are cited in each row's label). Nothing</t>
        </is>
      </c>
    </row>
    <row r="12">
      <c r="A12" t="inlineStr">
        <is>
          <t>here is hard-coded to a single answer — change a yellow input and every downstream green output updates,</t>
        </is>
      </c>
    </row>
    <row r="13">
      <c r="A13" t="inlineStr">
        <is>
          <t>so you can build intuition for how each model actually behaves (e.g. what happens to cost if volatility</t>
        </is>
      </c>
    </row>
    <row r="14">
      <c r="A14" t="inlineStr">
        <is>
          <t>doubles, or what happens to liquidation horizon if you demand a tighter cost ceiling).</t>
        </is>
      </c>
    </row>
    <row r="15">
      <c r="A15" t="inlineStr"/>
    </row>
    <row r="16">
      <c r="A16" s="3" t="inlineStr">
        <is>
          <t>TAB GUIDE</t>
        </is>
      </c>
    </row>
    <row r="17">
      <c r="A17" t="inlineStr">
        <is>
          <t xml:space="preserve">  Equity_LQA        Three hypothetical stocks (Large-Cap Liquid / Mid-Cap / Small-Cap Illiquid) run through</t>
        </is>
      </c>
    </row>
    <row r="18">
      <c r="A18" t="inlineStr">
        <is>
          <t xml:space="preserve">                    the full transient market-impact cost model, the bid-ask spread model, and the</t>
        </is>
      </c>
    </row>
    <row r="19">
      <c r="A19" t="inlineStr">
        <is>
          <t xml:space="preserve">                    Inverse-Gamma liquidation-horizon distribution — Sections 2-8 of the Equity whitepaper.</t>
        </is>
      </c>
    </row>
    <row r="20">
      <c r="A20" t="inlineStr">
        <is>
          <t xml:space="preserve">  FixedIncome_LQA   Three hypothetical bonds (Liquid Govt / IG Corporate / HY-Illiquid Corporate) run</t>
        </is>
      </c>
    </row>
    <row r="21">
      <c r="A21" t="inlineStr">
        <is>
          <t xml:space="preserve">                    through the Gamma-process available-volume model, the k(C,T) functional form, and the</t>
        </is>
      </c>
    </row>
    <row r="22">
      <c r="A22" t="inlineStr">
        <is>
          <t xml:space="preserve">                    cost/horizon confidence-level solves via a lookup grid — Sections 3-4 and Appendix C</t>
        </is>
      </c>
    </row>
    <row r="23">
      <c r="A23" t="inlineStr">
        <is>
          <t xml:space="preserve">                    of the GSAC whitepaper. Appendix C's own worked numbers (9.9641 days, 0.45%) are</t>
        </is>
      </c>
    </row>
    <row r="24">
      <c r="A24" t="inlineStr">
        <is>
          <t xml:space="preserve">                    reproduced exactly as a formula-correctness check.</t>
        </is>
      </c>
    </row>
    <row r="25">
      <c r="A25" t="inlineStr"/>
    </row>
    <row r="26">
      <c r="A26" s="3" t="inlineStr">
        <is>
          <t>IMPORTANT CAVEATS (please read before treating any number here as production-grade)</t>
        </is>
      </c>
    </row>
    <row r="27">
      <c r="A27" t="inlineStr">
        <is>
          <t>1. All calibration parameters (eta, gamma, delta, kappa, lambda, k1, k2, k3, theta, rho, nu, sigma_impact)</t>
        </is>
      </c>
    </row>
    <row r="28">
      <c r="A28" t="inlineStr">
        <is>
          <t xml:space="preserve">   are ILLUSTRATIVE. The whitepapers describe the functional FORMS precisely, but Bloomberg does not</t>
        </is>
      </c>
    </row>
    <row r="29">
      <c r="A29" t="inlineStr">
        <is>
          <t xml:space="preserve">   publish the actual fitted numerical values (they're proprietary and estimated from Bloomberg's own</t>
        </is>
      </c>
    </row>
    <row r="30">
      <c r="A30" t="inlineStr">
        <is>
          <t xml:space="preserve">   trade/quote data). The formulas are faithful to the paper; the specific parameter VALUES are reasonable,</t>
        </is>
      </c>
    </row>
    <row r="31">
      <c r="A31" t="inlineStr">
        <is>
          <t xml:space="preserve">   illustrative placeholders chosen to produce sensible-looking outputs, not the real calibrated constants.</t>
        </is>
      </c>
    </row>
    <row r="32">
      <c r="A32" t="inlineStr">
        <is>
          <t>2. The 'Cost @ Target Confidence' and 'Horizon @ Target Confidence' cells in the Fixed Income tab are</t>
        </is>
      </c>
    </row>
    <row r="33">
      <c r="A33" t="inlineStr">
        <is>
          <t xml:space="preserve">   solved via a 61-point log-spaced (geometric) lookup grid + linear interpolation (see Grids 1-3 lower on</t>
        </is>
      </c>
    </row>
    <row r="34">
      <c r="A34" t="inlineStr">
        <is>
          <t xml:space="preserve">   that sheet), because the true inverse requires solving a nonlinear equation in the Gamma shape parameter</t>
        </is>
      </c>
    </row>
    <row r="35">
      <c r="A35" t="inlineStr">
        <is>
          <t xml:space="preserve">   — this is the standard way to do it in pure formulas (no macros/Solver needed). Log-spacing concentrates</t>
        </is>
      </c>
    </row>
    <row r="36">
      <c r="A36" t="inlineStr">
        <is>
          <t xml:space="preserve">   resolution where the confidence curve is steepest (near zero cost for highly liquid bonds); independently</t>
        </is>
      </c>
    </row>
    <row r="37">
      <c r="A37" t="inlineStr">
        <is>
          <t xml:space="preserve">   verified in Python against root-solved (Brent's method) values: interpolation error is under 1% for all</t>
        </is>
      </c>
    </row>
    <row r="38">
      <c r="A38" t="inlineStr">
        <is>
          <t xml:space="preserve">   three example bonds across cost, horizon, and median-cost solves.</t>
        </is>
      </c>
    </row>
    <row r="39">
      <c r="A39" t="inlineStr">
        <is>
          <t>3. The Equity tab's 'Cost @ Target Confidence' applies the log-normal quantile to the impact component only</t>
        </is>
      </c>
    </row>
    <row r="40">
      <c r="A40" t="inlineStr">
        <is>
          <t xml:space="preserve">   (Equation 10) and adds the fixed half-spread; it does not re-convolve the additional Brownian noise term</t>
        </is>
      </c>
    </row>
    <row r="41">
      <c r="A41" t="inlineStr">
        <is>
          <t xml:space="preserve">   from Equation 8/11, which would require a mixture-distribution numerical convolution beyond a closed-form</t>
        </is>
      </c>
    </row>
    <row r="42">
      <c r="A42" t="inlineStr">
        <is>
          <t xml:space="preserve">   cell formula. This is flagged inline in the sheet.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Equity LQA — Transient Market Impact Cost &amp; Horizon Model</t>
        </is>
      </c>
    </row>
    <row r="2">
      <c r="A2" s="4" t="inlineStr">
        <is>
          <t>Formulas per Bloomberg Equity Methodology whitepaper (Mar 2021), Sections 2-8. Equation numbers cited per row.</t>
        </is>
      </c>
    </row>
    <row r="4">
      <c r="A4" s="5" t="inlineStr">
        <is>
          <t>INPUTS  (yellow = change these)</t>
        </is>
      </c>
    </row>
    <row r="5">
      <c r="A5" s="6" t="inlineStr">
        <is>
          <t>Security Profile</t>
        </is>
      </c>
      <c r="B5" s="7" t="inlineStr">
        <is>
          <t>Large-Cap (Liquid)</t>
        </is>
      </c>
      <c r="C5" s="7" t="inlineStr">
        <is>
          <t>Mid-Cap</t>
        </is>
      </c>
      <c r="D5" s="7" t="inlineStr">
        <is>
          <t>Small-Cap (Illiquid)</t>
        </is>
      </c>
    </row>
    <row r="6">
      <c r="A6" t="inlineStr">
        <is>
          <t>Daily Price Volatility, sigma_E  (Sec.1)</t>
        </is>
      </c>
      <c r="B6" s="8" t="n">
        <v>0.015</v>
      </c>
      <c r="C6" s="8" t="n">
        <v>0.025</v>
      </c>
      <c r="D6" s="8" t="n">
        <v>0.045</v>
      </c>
    </row>
    <row r="7">
      <c r="A7" t="inlineStr">
        <is>
          <t>Expected Daily Volume, V_E (shares)  (Sec.1)</t>
        </is>
      </c>
      <c r="B7" s="9" t="n">
        <v>8000000</v>
      </c>
      <c r="C7" s="9" t="n">
        <v>1200000</v>
      </c>
      <c r="D7" s="9" t="n">
        <v>150000</v>
      </c>
    </row>
    <row r="8">
      <c r="A8" t="inlineStr">
        <is>
          <t>Target Liquidation Volume, V (shares)  (PY247)</t>
        </is>
      </c>
      <c r="B8" s="9" t="n">
        <v>400000</v>
      </c>
      <c r="C8" s="9" t="n">
        <v>90000</v>
      </c>
      <c r="D8" s="9" t="n">
        <v>20000</v>
      </c>
    </row>
    <row r="9">
      <c r="A9" t="inlineStr">
        <is>
          <t>Target Horizon, tau (trading days)  (PY253)</t>
        </is>
      </c>
      <c r="B9" s="10" t="n">
        <v>0.5</v>
      </c>
      <c r="C9" s="10" t="n">
        <v>1</v>
      </c>
      <c r="D9" s="10" t="n">
        <v>2</v>
      </c>
    </row>
    <row r="10">
      <c r="A10" t="inlineStr">
        <is>
          <t>Impact magnitude, eta  (Eq.7)</t>
        </is>
      </c>
      <c r="B10" s="11" t="n">
        <v>0.5</v>
      </c>
      <c r="C10" s="11" t="n">
        <v>0.6</v>
      </c>
      <c r="D10" s="11" t="n">
        <v>0.8</v>
      </c>
    </row>
    <row r="11">
      <c r="A11" t="inlineStr">
        <is>
          <t>Decay exponent, gamma  (Eq.7)</t>
        </is>
      </c>
      <c r="B11" s="11" t="n">
        <v>0.5</v>
      </c>
      <c r="C11" s="11" t="n">
        <v>0.5</v>
      </c>
      <c r="D11" s="11" t="n">
        <v>0.45</v>
      </c>
    </row>
    <row r="12">
      <c r="A12" t="inlineStr">
        <is>
          <t>Size exponent, delta  (Eq.7)</t>
        </is>
      </c>
      <c r="B12" s="11" t="n">
        <v>0.5</v>
      </c>
      <c r="C12" s="11" t="n">
        <v>0.55</v>
      </c>
      <c r="D12" s="11" t="n">
        <v>0.6</v>
      </c>
    </row>
    <row r="13">
      <c r="A13" t="inlineStr">
        <is>
          <t>Market-cap exponent, nu  (Eq.17)</t>
        </is>
      </c>
      <c r="B13" s="11" t="n">
        <v>0.3</v>
      </c>
      <c r="C13" s="11" t="n">
        <v>0.3</v>
      </c>
      <c r="D13" s="11" t="n">
        <v>0.3</v>
      </c>
    </row>
    <row r="14">
      <c r="A14" t="inlineStr">
        <is>
          <t>Relative market cap, C / Cbar  (Eq.17)</t>
        </is>
      </c>
      <c r="B14" s="10" t="n">
        <v>2.5</v>
      </c>
      <c r="C14" s="10" t="n">
        <v>0.8</v>
      </c>
      <c r="D14" s="10" t="n">
        <v>0.15</v>
      </c>
    </row>
    <row r="15">
      <c r="A15" t="inlineStr">
        <is>
          <t>Quoted bid-ask spread, s_q  (Eq.15)</t>
        </is>
      </c>
      <c r="B15" s="12" t="n">
        <v>0.0005</v>
      </c>
      <c r="C15" s="12" t="n">
        <v>0.0015</v>
      </c>
      <c r="D15" s="12" t="n">
        <v>0.006</v>
      </c>
    </row>
    <row r="16">
      <c r="A16" t="inlineStr">
        <is>
          <t>Spread decay param, rho  (Eq.15)</t>
        </is>
      </c>
      <c r="B16" s="10" t="n">
        <v>20</v>
      </c>
      <c r="C16" s="10" t="n">
        <v>15</v>
      </c>
      <c r="D16" s="10" t="n">
        <v>8</v>
      </c>
    </row>
    <row r="17">
      <c r="A17" t="inlineStr">
        <is>
          <t>Lognormal impact vol, sigma_impact  (Eq.10)</t>
        </is>
      </c>
      <c r="B17" s="10" t="n">
        <v>0.25</v>
      </c>
      <c r="C17" s="10" t="n">
        <v>0.35</v>
      </c>
      <c r="D17" s="10" t="n">
        <v>0.5</v>
      </c>
    </row>
    <row r="18">
      <c r="A18" t="inlineStr">
        <is>
          <t>Horizon rate param, lambda  (Sec.5, Eq.18)</t>
        </is>
      </c>
      <c r="B18" s="10" t="n">
        <v>16</v>
      </c>
      <c r="C18" s="10" t="n">
        <v>10</v>
      </c>
      <c r="D18" s="10" t="n">
        <v>6.67</v>
      </c>
    </row>
    <row r="19">
      <c r="A19" t="inlineStr">
        <is>
          <t>Target Confidence Level, alpha  (PY328)</t>
        </is>
      </c>
      <c r="B19" s="8" t="n">
        <v>0.9</v>
      </c>
      <c r="C19" s="8" t="n">
        <v>0.9</v>
      </c>
      <c r="D19" s="8" t="n">
        <v>0.9</v>
      </c>
    </row>
    <row r="21">
      <c r="A21" s="5" t="inlineStr">
        <is>
          <t>DERIVED OUTPUTS</t>
        </is>
      </c>
    </row>
    <row r="22">
      <c r="A22" t="inlineStr">
        <is>
          <t>kappa = eta / [(1-gamma)(2-gamma)]  (Eq.8)</t>
        </is>
      </c>
      <c r="B22" s="13">
        <f>B10/((1-B11)*(2-B11))</f>
        <v/>
      </c>
      <c r="C22" s="13">
        <f>C10/((1-C11)*(2-C11))</f>
        <v/>
      </c>
      <c r="D22" s="13">
        <f>D10/((1-D11)*(2-D11))</f>
        <v/>
      </c>
    </row>
    <row r="23">
      <c r="A23" t="inlineStr">
        <is>
          <t>beta = 1 - delta - gamma  (Eq.9)</t>
        </is>
      </c>
      <c r="B23" s="13">
        <f>1-B12-B11</f>
        <v/>
      </c>
      <c r="C23" s="13">
        <f>1-C12-C11</f>
        <v/>
      </c>
      <c r="D23" s="13">
        <f>1-D12-D11</f>
        <v/>
      </c>
    </row>
    <row r="24">
      <c r="A24" t="inlineStr">
        <is>
          <t>V / V_E  (order size as % of ADV)</t>
        </is>
      </c>
      <c r="B24" s="14">
        <f>B8/B7</f>
        <v/>
      </c>
      <c r="C24" s="14">
        <f>C8/C7</f>
        <v/>
      </c>
      <c r="D24" s="14">
        <f>D8/D7</f>
        <v/>
      </c>
    </row>
    <row r="25">
      <c r="A25" t="inlineStr">
        <is>
          <t>Impact I(V,tau,M) %  (Eq.9,17)</t>
        </is>
      </c>
      <c r="B25" s="15">
        <f>B6*B22*(B8/B7)^B12*B9^B23*(B14)^B13</f>
        <v/>
      </c>
      <c r="C25" s="15">
        <f>C6*C22*(C8/C7)^C12*C9^C23*(C14)^C13</f>
        <v/>
      </c>
      <c r="D25" s="15">
        <f>D6*D22*(D8/D7)^D12*D9^D23*(D14)^D13</f>
        <v/>
      </c>
    </row>
    <row r="26">
      <c r="A26" t="inlineStr">
        <is>
          <t>Effective spread s_e %  (Eq.15)</t>
        </is>
      </c>
      <c r="B26" s="15">
        <f>0.5*B15/(1+B16*B15)</f>
        <v/>
      </c>
      <c r="C26" s="15">
        <f>0.5*C15/(1+C16*C15)</f>
        <v/>
      </c>
      <c r="D26" s="15">
        <f>0.5*D15/(1+D16*D15)</f>
        <v/>
      </c>
    </row>
    <row r="27">
      <c r="A27" t="inlineStr">
        <is>
          <t>Total Expected Cost %  = I + s_e</t>
        </is>
      </c>
      <c r="B27" s="15">
        <f>B25+B26</f>
        <v/>
      </c>
      <c r="C27" s="15">
        <f>C25+C26</f>
        <v/>
      </c>
      <c r="D27" s="15">
        <f>D25+D26</f>
        <v/>
      </c>
    </row>
    <row r="28">
      <c r="A28" t="inlineStr">
        <is>
          <t>Var[epsilon_I]  (Eq.10, lognormal mean=1)</t>
        </is>
      </c>
      <c r="B28" s="13">
        <f>EXP(B17^2)-1</f>
        <v/>
      </c>
      <c r="C28" s="13">
        <f>EXP(C17^2)-1</f>
        <v/>
      </c>
      <c r="D28" s="13">
        <f>EXP(D17^2)-1</f>
        <v/>
      </c>
    </row>
    <row r="29">
      <c r="A29" t="inlineStr">
        <is>
          <t>Var[Cost]  (Eq.11)</t>
        </is>
      </c>
      <c r="B29" s="13">
        <f>B25^2*B28+(1/3)*B6^2*B9</f>
        <v/>
      </c>
      <c r="C29" s="13">
        <f>C25^2*C28+(1/3)*C6^2*C9</f>
        <v/>
      </c>
      <c r="D29" s="13">
        <f>D25^2*D28+(1/3)*D6^2*D9</f>
        <v/>
      </c>
    </row>
    <row r="30">
      <c r="A30" t="inlineStr">
        <is>
          <t>Std[Cost] %</t>
        </is>
      </c>
      <c r="B30" s="15">
        <f>SQRT(B29)</f>
        <v/>
      </c>
      <c r="C30" s="15">
        <f>SQRT(C29)</f>
        <v/>
      </c>
      <c r="D30" s="15">
        <f>SQRT(D29)</f>
        <v/>
      </c>
    </row>
    <row r="31">
      <c r="A31" t="inlineStr">
        <is>
          <t>Cost @ Target Confidence alpha %  (impact quantile + spread)*</t>
        </is>
      </c>
      <c r="B31" s="15">
        <f>B25*EXP(-B17^2/2+B17*NORM.S.INV(B19))+B26</f>
        <v/>
      </c>
      <c r="C31" s="15">
        <f>C25*EXP(-C17^2/2+C17*NORM.S.INV(C19))+C26</f>
        <v/>
      </c>
      <c r="D31" s="15">
        <f>D25*EXP(-D17^2/2+D17*NORM.S.INV(D19))+D26</f>
        <v/>
      </c>
    </row>
    <row r="32">
      <c r="A32" t="inlineStr">
        <is>
          <t>beta_horizon = (V/V_E) * lambda  (Eq.18)</t>
        </is>
      </c>
      <c r="B32" s="13">
        <f>(B8/B7)*B18</f>
        <v/>
      </c>
      <c r="C32" s="13">
        <f>(C8/C7)*C18</f>
        <v/>
      </c>
      <c r="D32" s="13">
        <f>(D8/D7)*D18</f>
        <v/>
      </c>
    </row>
    <row r="33">
      <c r="A33" t="inlineStr">
        <is>
          <t>Horizon P10 (days)  t_p = -beta_h / LN(p)</t>
        </is>
      </c>
      <c r="B33" s="16">
        <f>-B32/LN(0.10)</f>
        <v/>
      </c>
      <c r="C33" s="16">
        <f>-C32/LN(0.10)</f>
        <v/>
      </c>
      <c r="D33" s="16">
        <f>-D32/LN(0.10)</f>
        <v/>
      </c>
    </row>
    <row r="34">
      <c r="A34" t="inlineStr">
        <is>
          <t>Horizon Median / P50 (days)</t>
        </is>
      </c>
      <c r="B34" s="16">
        <f>-B32/LN(0.50)</f>
        <v/>
      </c>
      <c r="C34" s="16">
        <f>-C32/LN(0.50)</f>
        <v/>
      </c>
      <c r="D34" s="16">
        <f>-D32/LN(0.50)</f>
        <v/>
      </c>
    </row>
    <row r="35">
      <c r="A35" t="inlineStr">
        <is>
          <t>Horizon P90 (days)</t>
        </is>
      </c>
      <c r="B35" s="16">
        <f>-B32/LN(0.90)</f>
        <v/>
      </c>
      <c r="C35" s="16">
        <f>-C32/LN(0.90)</f>
        <v/>
      </c>
      <c r="D35" s="16">
        <f>-D32/LN(0.90)</f>
        <v/>
      </c>
    </row>
    <row r="36">
      <c r="A36" t="inlineStr">
        <is>
          <t>Horizon @ Target Confidence alpha (days)</t>
        </is>
      </c>
      <c r="B36" s="16">
        <f>-B32/LN(B19)</f>
        <v/>
      </c>
      <c r="C36" s="16">
        <f>-C32/LN(C19)</f>
        <v/>
      </c>
      <c r="D36" s="16">
        <f>-D32/LN(D19)</f>
        <v/>
      </c>
    </row>
    <row r="37">
      <c r="A37" t="inlineStr">
        <is>
          <t>Liquidity Score (1-100, relative to this 3-security set; 100=most liquid)*</t>
        </is>
      </c>
      <c r="B37" s="16">
        <f>1+99*(3-RANK(B27,$B$27:$D$27,1))/2</f>
        <v/>
      </c>
      <c r="C37" s="16">
        <f>1+99*(3-RANK(C27,$B$27:$D$27,1))/2</f>
        <v/>
      </c>
      <c r="D37" s="16">
        <f>1+99*(3-RANK(D27,$B$27:$D$27,1))/2</f>
        <v/>
      </c>
    </row>
    <row r="39">
      <c r="A39" s="17" t="inlineStr">
        <is>
          <t>* 'Cost @ Target Confidence' applies the log-normal quantile (Eq.10) to the impact term only and adds the fixed half-spread; it approximates the full mixed impact+Brownian-noise distribution from Eq.8/11 (see README caveat #3). * 'Liquidity Score' here is illustrative and ranked ONLY across these 3 example securities (Bloomberg's real LQA_LIQUIDITY_SCORE, PY275, ranks against the full comparison universe of securities).</t>
        </is>
      </c>
    </row>
    <row r="41">
      <c r="A41" s="5" t="inlineStr">
        <is>
          <t>WORKED EXAMPLE WALKTHROUGH (Large-Cap column, matches explainer doc Section 4.1 / 8.1)</t>
        </is>
      </c>
    </row>
    <row r="42">
      <c r="A42" t="inlineStr">
        <is>
          <t>With eta=0.50, gamma=0.50, delta=0.50: kappa = 0.50/(0.50*1.50) = 0.667; beta = 1-0.50-0.50 = 0.</t>
        </is>
      </c>
    </row>
    <row r="43">
      <c r="A43" t="inlineStr">
        <is>
          <t>V/V_E = 400,000/8,000,000 = 5.0%. Impact I = 0.015 * 0.667 * (0.05)^0.5 * (0.5)^0 * (2.5)^0.3</t>
        </is>
      </c>
    </row>
    <row r="44">
      <c r="A44" t="inlineStr">
        <is>
          <t xml:space="preserve">     = 0.015 * 0.667 * 0.2236 * 1 * 1.3195  ~=  0.00295  ~=  0.295% of trade value.</t>
        </is>
      </c>
    </row>
    <row r="45">
      <c r="A45" t="inlineStr">
        <is>
          <t>beta_horizon = 0.05 * 16 = 0.80. Median horizon = -0.80/LN(0.5) = 1.15 days.</t>
        </is>
      </c>
    </row>
    <row r="46">
      <c r="A46" t="inlineStr">
        <is>
          <t>P90 horizon = -0.80/LN(0.9) = 7.59 days  -&gt;  ratio P90/Median = 6.58x, illustrating the fat right tail.</t>
        </is>
      </c>
    </row>
  </sheetData>
  <mergeCells count="10">
    <mergeCell ref="A1:D1"/>
    <mergeCell ref="A45:D45"/>
    <mergeCell ref="A4:D4"/>
    <mergeCell ref="A21:D21"/>
    <mergeCell ref="A39:D39"/>
    <mergeCell ref="A43:D43"/>
    <mergeCell ref="A41:D41"/>
    <mergeCell ref="A42:D42"/>
    <mergeCell ref="A46:D46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Fixed Income LQA — Gamma-Process Available-Volume Model (GSAC)</t>
        </is>
      </c>
    </row>
    <row r="2">
      <c r="A2" s="4" t="inlineStr">
        <is>
          <t>Formulas per Bloomberg Enhanced GSAC Methodology whitepaper (Nov 2024), Sections 3-4 &amp; Appendix C. Equation numbers cited per row.</t>
        </is>
      </c>
    </row>
    <row r="4">
      <c r="A4" s="5" t="inlineStr">
        <is>
          <t>INPUTS  (yellow = change these)</t>
        </is>
      </c>
    </row>
    <row r="5">
      <c r="B5" s="7" t="inlineStr">
        <is>
          <t>Govt / Agency (Liquid)</t>
        </is>
      </c>
      <c r="C5" s="7" t="inlineStr">
        <is>
          <t>IG Corporate</t>
        </is>
      </c>
      <c r="D5" s="7" t="inlineStr">
        <is>
          <t>HY Corporate (Illiquid)</t>
        </is>
      </c>
    </row>
    <row r="6">
      <c r="A6" t="inlineStr">
        <is>
          <t>Amount Outstanding, Amt ($)</t>
        </is>
      </c>
      <c r="B6" s="9" t="n">
        <v>2000000000</v>
      </c>
      <c r="C6" s="9" t="n">
        <v>400000000</v>
      </c>
      <c r="D6" s="9" t="n">
        <v>100000000</v>
      </c>
    </row>
    <row r="7">
      <c r="A7" t="inlineStr">
        <is>
          <t>Price Volatility, annualized (decimal)</t>
        </is>
      </c>
      <c r="B7" s="8" t="n">
        <v>0.03</v>
      </c>
      <c r="C7" s="8" t="n">
        <v>0.07000000000000001</v>
      </c>
      <c r="D7" s="8" t="n">
        <v>0.14</v>
      </c>
    </row>
    <row r="8">
      <c r="A8" t="inlineStr">
        <is>
          <t>Scale parameter, theta ($)  (Eq.3.1)</t>
        </is>
      </c>
      <c r="B8" s="9" t="n">
        <v>1837500</v>
      </c>
      <c r="C8" s="9" t="n">
        <v>907500</v>
      </c>
      <c r="D8" s="9" t="n">
        <v>843750</v>
      </c>
    </row>
    <row r="9">
      <c r="A9" t="inlineStr">
        <is>
          <t>Sigmoid param k1  (Eq.4.2)</t>
        </is>
      </c>
      <c r="B9" s="11" t="n">
        <v>3.177</v>
      </c>
      <c r="C9" s="11" t="n">
        <v>0.741</v>
      </c>
      <c r="D9" s="11" t="n">
        <v>0.334</v>
      </c>
    </row>
    <row r="10">
      <c r="A10" t="inlineStr">
        <is>
          <t>Sigmoid param k2  (Eq.4.2)</t>
        </is>
      </c>
      <c r="B10" s="10" t="n">
        <v>2</v>
      </c>
      <c r="C10" s="10" t="n">
        <v>2</v>
      </c>
      <c r="D10" s="10" t="n">
        <v>2</v>
      </c>
    </row>
    <row r="11">
      <c r="A11" t="inlineStr">
        <is>
          <t>Volatility exponent k3  (Eq.4.1)</t>
        </is>
      </c>
      <c r="B11" s="10" t="n">
        <v>1</v>
      </c>
      <c r="C11" s="10" t="n">
        <v>1</v>
      </c>
      <c r="D11" s="10" t="n">
        <v>1</v>
      </c>
    </row>
    <row r="12">
      <c r="A12" t="inlineStr">
        <is>
          <t>Target Volume, Vbar ($)  (PY247-equiv)</t>
        </is>
      </c>
      <c r="B12" s="9" t="n">
        <v>10000000</v>
      </c>
      <c r="C12" s="9" t="n">
        <v>2000000</v>
      </c>
      <c r="D12" s="9" t="n">
        <v>1000000</v>
      </c>
    </row>
    <row r="13">
      <c r="A13" t="inlineStr">
        <is>
          <t>Target Horizon, Tbar (days)  (PY253)</t>
        </is>
      </c>
      <c r="B13" s="10" t="n">
        <v>1</v>
      </c>
      <c r="C13" s="10" t="n">
        <v>1</v>
      </c>
      <c r="D13" s="10" t="n">
        <v>3</v>
      </c>
    </row>
    <row r="14">
      <c r="A14" t="inlineStr">
        <is>
          <t>Trial / Ceiling Cost, y (decimal)  (PY250-equiv)</t>
        </is>
      </c>
      <c r="B14" s="8" t="n">
        <v>0.0005</v>
      </c>
      <c r="C14" s="8" t="n">
        <v>0.005</v>
      </c>
      <c r="D14" s="8" t="n">
        <v>0.015</v>
      </c>
    </row>
    <row r="15">
      <c r="A15" t="inlineStr">
        <is>
          <t>Target Confidence, alpha  (PY328)</t>
        </is>
      </c>
      <c r="B15" s="8" t="n">
        <v>0.9</v>
      </c>
      <c r="C15" s="8" t="n">
        <v>0.9</v>
      </c>
      <c r="D15" s="8" t="n">
        <v>0.9</v>
      </c>
    </row>
    <row r="16">
      <c r="A16" t="inlineStr">
        <is>
          <t>LQC Reference Size ($)  (Sec.7.1)</t>
        </is>
      </c>
      <c r="B16" s="9" t="n">
        <v>10000000</v>
      </c>
      <c r="C16" s="9" t="n">
        <v>1000000</v>
      </c>
      <c r="D16" s="9" t="n">
        <v>1000000</v>
      </c>
    </row>
    <row r="17">
      <c r="A17" t="inlineStr">
        <is>
          <t>LQC Reference Horizon (days)  (Sec.7.1)</t>
        </is>
      </c>
      <c r="B17" s="10" t="n">
        <v>1</v>
      </c>
      <c r="C17" s="10" t="n">
        <v>1</v>
      </c>
      <c r="D17" s="10" t="n">
        <v>1</v>
      </c>
    </row>
    <row r="19">
      <c r="A19" s="5" t="inlineStr">
        <is>
          <t>DERIVED — forward spot-check at the trial cost y (Eq.3.13-3.14, 4.1-4.2)</t>
        </is>
      </c>
    </row>
    <row r="20">
      <c r="A20" t="inlineStr">
        <is>
          <t>x = y / Volatility^k3  (Eq.4.1)</t>
        </is>
      </c>
      <c r="B20" s="13">
        <f>B14/B7^B11</f>
        <v/>
      </c>
      <c r="C20" s="13">
        <f>C14/C7^C11</f>
        <v/>
      </c>
      <c r="D20" s="13">
        <f>D14/D7^D11</f>
        <v/>
      </c>
    </row>
    <row r="21">
      <c r="A21" t="inlineStr">
        <is>
          <t>s(k1,k2,x)  (Eq.4.2, sigmoid)</t>
        </is>
      </c>
      <c r="B21" s="13">
        <f>(B9*B20)/(B9*B20+EXP(B10-B9*B20))</f>
        <v/>
      </c>
      <c r="C21" s="13">
        <f>(C9*C20)/(C9*C20+EXP(C10-C9*C20))</f>
        <v/>
      </c>
      <c r="D21" s="13">
        <f>(D9*D20)/(D9*D20+EXP(D10-D9*D20))</f>
        <v/>
      </c>
    </row>
    <row r="22">
      <c r="A22" t="inlineStr">
        <is>
          <t>k(y,Tbar) = Tbar * s * Amt/theta  (Eq.4.1)</t>
        </is>
      </c>
      <c r="B22" s="16">
        <f>B13*B21*B6/B8</f>
        <v/>
      </c>
      <c r="C22" s="16">
        <f>C13*C21*C6/C8</f>
        <v/>
      </c>
      <c r="D22" s="16">
        <f>D13*D21*D6/D8</f>
        <v/>
      </c>
    </row>
    <row r="23">
      <c r="A23" t="inlineStr">
        <is>
          <t>z = Vbar / theta  (Eq.3.14)</t>
        </is>
      </c>
      <c r="B23" s="13">
        <f>B12/B8</f>
        <v/>
      </c>
      <c r="C23" s="13">
        <f>C12/C8</f>
        <v/>
      </c>
      <c r="D23" s="13">
        <f>D12/D8</f>
        <v/>
      </c>
    </row>
    <row r="24">
      <c r="A24" t="inlineStr">
        <is>
          <t>Confidence(Cost &lt;= y) = Q(k,z)  (Eq.3.14)</t>
        </is>
      </c>
      <c r="B24" s="14">
        <f>1-GAMMA.DIST(B23,B22,1,TRUE)</f>
        <v/>
      </c>
      <c r="C24" s="14">
        <f>1-GAMMA.DIST(C23,C22,1,TRUE)</f>
        <v/>
      </c>
      <c r="D24" s="14">
        <f>1-GAMMA.DIST(D23,D22,1,TRUE)</f>
        <v/>
      </c>
    </row>
    <row r="26">
      <c r="A26" s="17" t="inlineStr">
        <is>
          <t>Q(a,z) = the probability of achieving cost &lt;= y given target volume Vbar and horizon Tbar. Implemented as 1 - GAMMA.DIST(z, a, 1, TRUE), i.e. the regularized UPPER incomplete gamma function (Bloomberg Eq.3.14), since Excel's GAMMA.DIST(x,alpha,beta,TRUE) returns the regularized LOWER incomplete gamma P(alpha, x/beta).</t>
        </is>
      </c>
    </row>
    <row r="28">
      <c r="A28" s="5" t="inlineStr">
        <is>
          <t>SOLVED OUTPUTS — via lookup grids below (nonlinear inverse; grid + linear interpolation)</t>
        </is>
      </c>
    </row>
    <row r="29">
      <c r="A29" t="inlineStr">
        <is>
          <t>Cost @ Target Confidence alpha (%)  [from Grid 1 below]</t>
        </is>
      </c>
      <c r="B29" s="15">
        <f>B99</f>
        <v/>
      </c>
      <c r="C29" s="15">
        <f>C99</f>
        <v/>
      </c>
      <c r="D29" s="15">
        <f>D99</f>
        <v/>
      </c>
    </row>
    <row r="30">
      <c r="A30" t="inlineStr">
        <is>
          <t>Horizon @ Target Confidence alpha (days)  [from Grid 2 below, cost ceiling = y]</t>
        </is>
      </c>
      <c r="B30" s="16">
        <f>B166</f>
        <v/>
      </c>
      <c r="C30" s="16">
        <f>C166</f>
        <v/>
      </c>
      <c r="D30" s="16">
        <f>D166</f>
        <v/>
      </c>
    </row>
    <row r="31">
      <c r="A31" t="inlineStr">
        <is>
          <t>Median Cost @ LQC Reference Size/Horizon (%)  [from Grid 3 below]</t>
        </is>
      </c>
      <c r="B31" s="15">
        <f>B233</f>
        <v/>
      </c>
      <c r="C31" s="15">
        <f>C233</f>
        <v/>
      </c>
      <c r="D31" s="15">
        <f>D233</f>
        <v/>
      </c>
    </row>
    <row r="32">
      <c r="A32" t="inlineStr">
        <is>
          <t>LQC = Roundtrip Cost = 2 x Median Cost @ Reference  (Sec.7.1)</t>
        </is>
      </c>
      <c r="B32" s="15">
        <f>2*B31</f>
        <v/>
      </c>
      <c r="C32" s="15">
        <f>2*C31</f>
        <v/>
      </c>
      <c r="D32" s="15">
        <f>2*D31</f>
        <v/>
      </c>
    </row>
    <row r="33">
      <c r="A33" t="inlineStr">
        <is>
          <t>Liquidity Score (1-100 relative to this 3-bond set; 100=most liquid)  (Sec.7.2)</t>
        </is>
      </c>
      <c r="B33" s="16">
        <f>1+99*(3-RANK(B32,$B$32:$D$32,1))/2</f>
        <v/>
      </c>
      <c r="C33" s="16">
        <f>1+99*(3-RANK(C32,$B$32:$D$32,1))/2</f>
        <v/>
      </c>
      <c r="D33" s="16">
        <f>1+99*(3-RANK(D32,$B$32:$D$32,1))/2</f>
        <v/>
      </c>
    </row>
    <row r="35">
      <c r="A35" s="5" t="inlineStr">
        <is>
          <t>GRID 1 — Cost-Confidence lookup  (y = trial cost; holds Target Volume=Vbar, Target Horizon=Tbar)</t>
        </is>
      </c>
    </row>
    <row r="36">
      <c r="A36" s="7" t="inlineStr">
        <is>
          <t>y (trial cost)</t>
        </is>
      </c>
      <c r="B36" s="7" t="inlineStr">
        <is>
          <t>Govt: k(y,Tbar)</t>
        </is>
      </c>
      <c r="C36" s="7" t="inlineStr">
        <is>
          <t>Govt: Q(Cost&lt;=y)</t>
        </is>
      </c>
      <c r="D36" s="7" t="inlineStr">
        <is>
          <t>IGCorp: k(y,Tbar)</t>
        </is>
      </c>
      <c r="E36" s="7" t="inlineStr">
        <is>
          <t>IGCorp: Q(Cost&lt;=y)</t>
        </is>
      </c>
      <c r="F36" s="7" t="inlineStr">
        <is>
          <t>HYCorp: k(y,Tbar)</t>
        </is>
      </c>
      <c r="G36" s="7" t="inlineStr">
        <is>
          <t>HYCorp: Q(Cost&lt;=y)</t>
        </is>
      </c>
    </row>
    <row r="37">
      <c r="A37" s="18" t="n">
        <v>2e-05</v>
      </c>
      <c r="B37" s="19">
        <f>$B$13*(($B$9*($A37/$B$7^$B$11))/($B$9*($A37/$B$7^$B$11)+EXP($B$10-$B$9*($A37/$B$7^$B$11))))*$B$6/$B$8</f>
        <v/>
      </c>
      <c r="C37" s="18">
        <f>1-GAMMA.DIST($B$12/$B$8,B37,1,TRUE)</f>
        <v/>
      </c>
      <c r="D37" s="19">
        <f>$C$13*(($C$9*($A37/$C$7^$C$11))/($C$9*($A37/$C$7^$C$11)+EXP($C$10-$C$9*($A37/$C$7^$C$11))))*$C$6/$C$8</f>
        <v/>
      </c>
      <c r="E37" s="18">
        <f>1-GAMMA.DIST($C$12/$C$8,D37,1,TRUE)</f>
        <v/>
      </c>
      <c r="F37" s="19">
        <f>$D$13*(($D$9*($A37/$D$7^$D$11))/($D$9*($A37/$D$7^$D$11)+EXP($D$10-$D$9*($A37/$D$7^$D$11))))*$D$6/$D$8</f>
        <v/>
      </c>
      <c r="G37" s="18">
        <f>1-GAMMA.DIST($D$12/$D$8,F37,1,TRUE)</f>
        <v/>
      </c>
    </row>
    <row r="38">
      <c r="A38" s="18" t="n">
        <v>2.296488784942412e-05</v>
      </c>
      <c r="B38" s="19">
        <f>$B$13*(($B$9*($A38/$B$7^$B$11))/($B$9*($A38/$B$7^$B$11)+EXP($B$10-$B$9*($A38/$B$7^$B$11))))*$B$6/$B$8</f>
        <v/>
      </c>
      <c r="C38" s="18">
        <f>1-GAMMA.DIST($B$12/$B$8,B38,1,TRUE)</f>
        <v/>
      </c>
      <c r="D38" s="19">
        <f>$C$13*(($C$9*($A38/$C$7^$C$11))/($C$9*($A38/$C$7^$C$11)+EXP($C$10-$C$9*($A38/$C$7^$C$11))))*$C$6/$C$8</f>
        <v/>
      </c>
      <c r="E38" s="18">
        <f>1-GAMMA.DIST($C$12/$C$8,D38,1,TRUE)</f>
        <v/>
      </c>
      <c r="F38" s="19">
        <f>$D$13*(($D$9*($A38/$D$7^$D$11))/($D$9*($A38/$D$7^$D$11)+EXP($D$10-$D$9*($A38/$D$7^$D$11))))*$D$6/$D$8</f>
        <v/>
      </c>
      <c r="G38" s="18">
        <f>1-GAMMA.DIST($D$12/$D$8,F38,1,TRUE)</f>
        <v/>
      </c>
    </row>
    <row r="39">
      <c r="A39" s="18" t="n">
        <v>2.636930369683138e-05</v>
      </c>
      <c r="B39" s="19">
        <f>$B$13*(($B$9*($A39/$B$7^$B$11))/($B$9*($A39/$B$7^$B$11)+EXP($B$10-$B$9*($A39/$B$7^$B$11))))*$B$6/$B$8</f>
        <v/>
      </c>
      <c r="C39" s="18">
        <f>1-GAMMA.DIST($B$12/$B$8,B39,1,TRUE)</f>
        <v/>
      </c>
      <c r="D39" s="19">
        <f>$C$13*(($C$9*($A39/$C$7^$C$11))/($C$9*($A39/$C$7^$C$11)+EXP($C$10-$C$9*($A39/$C$7^$C$11))))*$C$6/$C$8</f>
        <v/>
      </c>
      <c r="E39" s="18">
        <f>1-GAMMA.DIST($C$12/$C$8,D39,1,TRUE)</f>
        <v/>
      </c>
      <c r="F39" s="19">
        <f>$D$13*(($D$9*($A39/$D$7^$D$11))/($D$9*($A39/$D$7^$D$11)+EXP($D$10-$D$9*($A39/$D$7^$D$11))))*$D$6/$D$8</f>
        <v/>
      </c>
      <c r="G39" s="18">
        <f>1-GAMMA.DIST($D$12/$D$8,F39,1,TRUE)</f>
        <v/>
      </c>
    </row>
    <row r="40">
      <c r="A40" s="18" t="n">
        <v>3.027840510325686e-05</v>
      </c>
      <c r="B40" s="19">
        <f>$B$13*(($B$9*($A40/$B$7^$B$11))/($B$9*($A40/$B$7^$B$11)+EXP($B$10-$B$9*($A40/$B$7^$B$11))))*$B$6/$B$8</f>
        <v/>
      </c>
      <c r="C40" s="18">
        <f>1-GAMMA.DIST($B$12/$B$8,B40,1,TRUE)</f>
        <v/>
      </c>
      <c r="D40" s="19">
        <f>$C$13*(($C$9*($A40/$C$7^$C$11))/($C$9*($A40/$C$7^$C$11)+EXP($C$10-$C$9*($A40/$C$7^$C$11))))*$C$6/$C$8</f>
        <v/>
      </c>
      <c r="E40" s="18">
        <f>1-GAMMA.DIST($C$12/$C$8,D40,1,TRUE)</f>
        <v/>
      </c>
      <c r="F40" s="19">
        <f>$D$13*(($D$9*($A40/$D$7^$D$11))/($D$9*($A40/$D$7^$D$11)+EXP($D$10-$D$9*($A40/$D$7^$D$11))))*$D$6/$D$8</f>
        <v/>
      </c>
      <c r="G40" s="18">
        <f>1-GAMMA.DIST($D$12/$D$8,F40,1,TRUE)</f>
        <v/>
      </c>
    </row>
    <row r="41">
      <c r="A41" s="18" t="n">
        <v>3.476700887278624e-05</v>
      </c>
      <c r="B41" s="19">
        <f>$B$13*(($B$9*($A41/$B$7^$B$11))/($B$9*($A41/$B$7^$B$11)+EXP($B$10-$B$9*($A41/$B$7^$B$11))))*$B$6/$B$8</f>
        <v/>
      </c>
      <c r="C41" s="18">
        <f>1-GAMMA.DIST($B$12/$B$8,B41,1,TRUE)</f>
        <v/>
      </c>
      <c r="D41" s="19">
        <f>$C$13*(($C$9*($A41/$C$7^$C$11))/($C$9*($A41/$C$7^$C$11)+EXP($C$10-$C$9*($A41/$C$7^$C$11))))*$C$6/$C$8</f>
        <v/>
      </c>
      <c r="E41" s="18">
        <f>1-GAMMA.DIST($C$12/$C$8,D41,1,TRUE)</f>
        <v/>
      </c>
      <c r="F41" s="19">
        <f>$D$13*(($D$9*($A41/$D$7^$D$11))/($D$9*($A41/$D$7^$D$11)+EXP($D$10-$D$9*($A41/$D$7^$D$11))))*$D$6/$D$8</f>
        <v/>
      </c>
      <c r="G41" s="18">
        <f>1-GAMMA.DIST($D$12/$D$8,F41,1,TRUE)</f>
        <v/>
      </c>
    </row>
    <row r="42">
      <c r="A42" s="18" t="n">
        <v>3.992102298117346e-05</v>
      </c>
      <c r="B42" s="19">
        <f>$B$13*(($B$9*($A42/$B$7^$B$11))/($B$9*($A42/$B$7^$B$11)+EXP($B$10-$B$9*($A42/$B$7^$B$11))))*$B$6/$B$8</f>
        <v/>
      </c>
      <c r="C42" s="18">
        <f>1-GAMMA.DIST($B$12/$B$8,B42,1,TRUE)</f>
        <v/>
      </c>
      <c r="D42" s="19">
        <f>$C$13*(($C$9*($A42/$C$7^$C$11))/($C$9*($A42/$C$7^$C$11)+EXP($C$10-$C$9*($A42/$C$7^$C$11))))*$C$6/$C$8</f>
        <v/>
      </c>
      <c r="E42" s="18">
        <f>1-GAMMA.DIST($C$12/$C$8,D42,1,TRUE)</f>
        <v/>
      </c>
      <c r="F42" s="19">
        <f>$D$13*(($D$9*($A42/$D$7^$D$11))/($D$9*($A42/$D$7^$D$11)+EXP($D$10-$D$9*($A42/$D$7^$D$11))))*$D$6/$D$8</f>
        <v/>
      </c>
      <c r="G42" s="18">
        <f>1-GAMMA.DIST($D$12/$D$8,F42,1,TRUE)</f>
        <v/>
      </c>
    </row>
    <row r="43">
      <c r="A43" s="18" t="n">
        <v>4.583909077984656e-05</v>
      </c>
      <c r="B43" s="19">
        <f>$B$13*(($B$9*($A43/$B$7^$B$11))/($B$9*($A43/$B$7^$B$11)+EXP($B$10-$B$9*($A43/$B$7^$B$11))))*$B$6/$B$8</f>
        <v/>
      </c>
      <c r="C43" s="18">
        <f>1-GAMMA.DIST($B$12/$B$8,B43,1,TRUE)</f>
        <v/>
      </c>
      <c r="D43" s="19">
        <f>$C$13*(($C$9*($A43/$C$7^$C$11))/($C$9*($A43/$C$7^$C$11)+EXP($C$10-$C$9*($A43/$C$7^$C$11))))*$C$6/$C$8</f>
        <v/>
      </c>
      <c r="E43" s="18">
        <f>1-GAMMA.DIST($C$12/$C$8,D43,1,TRUE)</f>
        <v/>
      </c>
      <c r="F43" s="19">
        <f>$D$13*(($D$9*($A43/$D$7^$D$11))/($D$9*($A43/$D$7^$D$11)+EXP($D$10-$D$9*($A43/$D$7^$D$11))))*$D$6/$D$8</f>
        <v/>
      </c>
      <c r="G43" s="18">
        <f>1-GAMMA.DIST($D$12/$D$8,F43,1,TRUE)</f>
        <v/>
      </c>
    </row>
    <row r="44">
      <c r="A44" s="18" t="n">
        <v>5.263447894393736e-05</v>
      </c>
      <c r="B44" s="19">
        <f>$B$13*(($B$9*($A44/$B$7^$B$11))/($B$9*($A44/$B$7^$B$11)+EXP($B$10-$B$9*($A44/$B$7^$B$11))))*$B$6/$B$8</f>
        <v/>
      </c>
      <c r="C44" s="18">
        <f>1-GAMMA.DIST($B$12/$B$8,B44,1,TRUE)</f>
        <v/>
      </c>
      <c r="D44" s="19">
        <f>$C$13*(($C$9*($A44/$C$7^$C$11))/($C$9*($A44/$C$7^$C$11)+EXP($C$10-$C$9*($A44/$C$7^$C$11))))*$C$6/$C$8</f>
        <v/>
      </c>
      <c r="E44" s="18">
        <f>1-GAMMA.DIST($C$12/$C$8,D44,1,TRUE)</f>
        <v/>
      </c>
      <c r="F44" s="19">
        <f>$D$13*(($D$9*($A44/$D$7^$D$11))/($D$9*($A44/$D$7^$D$11)+EXP($D$10-$D$9*($A44/$D$7^$D$11))))*$D$6/$D$8</f>
        <v/>
      </c>
      <c r="G44" s="18">
        <f>1-GAMMA.DIST($D$12/$D$8,F44,1,TRUE)</f>
        <v/>
      </c>
    </row>
    <row r="45">
      <c r="A45" s="18" t="n">
        <v>6.043724529801984e-05</v>
      </c>
      <c r="B45" s="19">
        <f>$B$13*(($B$9*($A45/$B$7^$B$11))/($B$9*($A45/$B$7^$B$11)+EXP($B$10-$B$9*($A45/$B$7^$B$11))))*$B$6/$B$8</f>
        <v/>
      </c>
      <c r="C45" s="18">
        <f>1-GAMMA.DIST($B$12/$B$8,B45,1,TRUE)</f>
        <v/>
      </c>
      <c r="D45" s="19">
        <f>$C$13*(($C$9*($A45/$C$7^$C$11))/($C$9*($A45/$C$7^$C$11)+EXP($C$10-$C$9*($A45/$C$7^$C$11))))*$C$6/$C$8</f>
        <v/>
      </c>
      <c r="E45" s="18">
        <f>1-GAMMA.DIST($C$12/$C$8,D45,1,TRUE)</f>
        <v/>
      </c>
      <c r="F45" s="19">
        <f>$D$13*(($D$9*($A45/$D$7^$D$11))/($D$9*($A45/$D$7^$D$11)+EXP($D$10-$D$9*($A45/$D$7^$D$11))))*$D$6/$D$8</f>
        <v/>
      </c>
      <c r="G45" s="18">
        <f>1-GAMMA.DIST($D$12/$D$8,F45,1,TRUE)</f>
        <v/>
      </c>
    </row>
    <row r="46">
      <c r="A46" s="18" t="n">
        <v>6.939672800985803e-05</v>
      </c>
      <c r="B46" s="19">
        <f>$B$13*(($B$9*($A46/$B$7^$B$11))/($B$9*($A46/$B$7^$B$11)+EXP($B$10-$B$9*($A46/$B$7^$B$11))))*$B$6/$B$8</f>
        <v/>
      </c>
      <c r="C46" s="18">
        <f>1-GAMMA.DIST($B$12/$B$8,B46,1,TRUE)</f>
        <v/>
      </c>
      <c r="D46" s="19">
        <f>$C$13*(($C$9*($A46/$C$7^$C$11))/($C$9*($A46/$C$7^$C$11)+EXP($C$10-$C$9*($A46/$C$7^$C$11))))*$C$6/$C$8</f>
        <v/>
      </c>
      <c r="E46" s="18">
        <f>1-GAMMA.DIST($C$12/$C$8,D46,1,TRUE)</f>
        <v/>
      </c>
      <c r="F46" s="19">
        <f>$D$13*(($D$9*($A46/$D$7^$D$11))/($D$9*($A46/$D$7^$D$11)+EXP($D$10-$D$9*($A46/$D$7^$D$11))))*$D$6/$D$8</f>
        <v/>
      </c>
      <c r="G46" s="18">
        <f>1-GAMMA.DIST($D$12/$D$8,F46,1,TRUE)</f>
        <v/>
      </c>
    </row>
    <row r="47">
      <c r="A47" s="18" t="n">
        <v>7.968440379316894e-05</v>
      </c>
      <c r="B47" s="19">
        <f>$B$13*(($B$9*($A47/$B$7^$B$11))/($B$9*($A47/$B$7^$B$11)+EXP($B$10-$B$9*($A47/$B$7^$B$11))))*$B$6/$B$8</f>
        <v/>
      </c>
      <c r="C47" s="18">
        <f>1-GAMMA.DIST($B$12/$B$8,B47,1,TRUE)</f>
        <v/>
      </c>
      <c r="D47" s="19">
        <f>$C$13*(($C$9*($A47/$C$7^$C$11))/($C$9*($A47/$C$7^$C$11)+EXP($C$10-$C$9*($A47/$C$7^$C$11))))*$C$6/$C$8</f>
        <v/>
      </c>
      <c r="E47" s="18">
        <f>1-GAMMA.DIST($C$12/$C$8,D47,1,TRUE)</f>
        <v/>
      </c>
      <c r="F47" s="19">
        <f>$D$13*(($D$9*($A47/$D$7^$D$11))/($D$9*($A47/$D$7^$D$11)+EXP($D$10-$D$9*($A47/$D$7^$D$11))))*$D$6/$D$8</f>
        <v/>
      </c>
      <c r="G47" s="18">
        <f>1-GAMMA.DIST($D$12/$D$8,F47,1,TRUE)</f>
        <v/>
      </c>
    </row>
    <row r="48">
      <c r="A48" s="18" t="n">
        <v>9.149716982291752e-05</v>
      </c>
      <c r="B48" s="19">
        <f>$B$13*(($B$9*($A48/$B$7^$B$11))/($B$9*($A48/$B$7^$B$11)+EXP($B$10-$B$9*($A48/$B$7^$B$11))))*$B$6/$B$8</f>
        <v/>
      </c>
      <c r="C48" s="18">
        <f>1-GAMMA.DIST($B$12/$B$8,B48,1,TRUE)</f>
        <v/>
      </c>
      <c r="D48" s="19">
        <f>$C$13*(($C$9*($A48/$C$7^$C$11))/($C$9*($A48/$C$7^$C$11)+EXP($C$10-$C$9*($A48/$C$7^$C$11))))*$C$6/$C$8</f>
        <v/>
      </c>
      <c r="E48" s="18">
        <f>1-GAMMA.DIST($C$12/$C$8,D48,1,TRUE)</f>
        <v/>
      </c>
      <c r="F48" s="19">
        <f>$D$13*(($D$9*($A48/$D$7^$D$11))/($D$9*($A48/$D$7^$D$11)+EXP($D$10-$D$9*($A48/$D$7^$D$11))))*$D$6/$D$8</f>
        <v/>
      </c>
      <c r="G48" s="18">
        <f>1-GAMMA.DIST($D$12/$D$8,F48,1,TRUE)</f>
        <v/>
      </c>
    </row>
    <row r="49">
      <c r="A49" s="18" t="n">
        <v>0.0001050611121761507</v>
      </c>
      <c r="B49" s="19">
        <f>$B$13*(($B$9*($A49/$B$7^$B$11))/($B$9*($A49/$B$7^$B$11)+EXP($B$10-$B$9*($A49/$B$7^$B$11))))*$B$6/$B$8</f>
        <v/>
      </c>
      <c r="C49" s="18">
        <f>1-GAMMA.DIST($B$12/$B$8,B49,1,TRUE)</f>
        <v/>
      </c>
      <c r="D49" s="19">
        <f>$C$13*(($C$9*($A49/$C$7^$C$11))/($C$9*($A49/$C$7^$C$11)+EXP($C$10-$C$9*($A49/$C$7^$C$11))))*$C$6/$C$8</f>
        <v/>
      </c>
      <c r="E49" s="18">
        <f>1-GAMMA.DIST($C$12/$C$8,D49,1,TRUE)</f>
        <v/>
      </c>
      <c r="F49" s="19">
        <f>$D$13*(($D$9*($A49/$D$7^$D$11))/($D$9*($A49/$D$7^$D$11)+EXP($D$10-$D$9*($A49/$D$7^$D$11))))*$D$6/$D$8</f>
        <v/>
      </c>
      <c r="G49" s="18">
        <f>1-GAMMA.DIST($D$12/$D$8,F49,1,TRUE)</f>
        <v/>
      </c>
    </row>
    <row r="50">
      <c r="A50" s="18" t="n">
        <v>0.0001206358329230534</v>
      </c>
      <c r="B50" s="19">
        <f>$B$13*(($B$9*($A50/$B$7^$B$11))/($B$9*($A50/$B$7^$B$11)+EXP($B$10-$B$9*($A50/$B$7^$B$11))))*$B$6/$B$8</f>
        <v/>
      </c>
      <c r="C50" s="18">
        <f>1-GAMMA.DIST($B$12/$B$8,B50,1,TRUE)</f>
        <v/>
      </c>
      <c r="D50" s="19">
        <f>$C$13*(($C$9*($A50/$C$7^$C$11))/($C$9*($A50/$C$7^$C$11)+EXP($C$10-$C$9*($A50/$C$7^$C$11))))*$C$6/$C$8</f>
        <v/>
      </c>
      <c r="E50" s="18">
        <f>1-GAMMA.DIST($C$12/$C$8,D50,1,TRUE)</f>
        <v/>
      </c>
      <c r="F50" s="19">
        <f>$D$13*(($D$9*($A50/$D$7^$D$11))/($D$9*($A50/$D$7^$D$11)+EXP($D$10-$D$9*($A50/$D$7^$D$11))))*$D$6/$D$8</f>
        <v/>
      </c>
      <c r="G50" s="18">
        <f>1-GAMMA.DIST($D$12/$D$8,F50,1,TRUE)</f>
        <v/>
      </c>
    </row>
    <row r="51">
      <c r="A51" s="18" t="n">
        <v>0.0001385194186849893</v>
      </c>
      <c r="B51" s="19">
        <f>$B$13*(($B$9*($A51/$B$7^$B$11))/($B$9*($A51/$B$7^$B$11)+EXP($B$10-$B$9*($A51/$B$7^$B$11))))*$B$6/$B$8</f>
        <v/>
      </c>
      <c r="C51" s="18">
        <f>1-GAMMA.DIST($B$12/$B$8,B51,1,TRUE)</f>
        <v/>
      </c>
      <c r="D51" s="19">
        <f>$C$13*(($C$9*($A51/$C$7^$C$11))/($C$9*($A51/$C$7^$C$11)+EXP($C$10-$C$9*($A51/$C$7^$C$11))))*$C$6/$C$8</f>
        <v/>
      </c>
      <c r="E51" s="18">
        <f>1-GAMMA.DIST($C$12/$C$8,D51,1,TRUE)</f>
        <v/>
      </c>
      <c r="F51" s="19">
        <f>$D$13*(($D$9*($A51/$D$7^$D$11))/($D$9*($A51/$D$7^$D$11)+EXP($D$10-$D$9*($A51/$D$7^$D$11))))*$D$6/$D$8</f>
        <v/>
      </c>
      <c r="G51" s="18">
        <f>1-GAMMA.DIST($D$12/$D$8,F51,1,TRUE)</f>
        <v/>
      </c>
    </row>
    <row r="52">
      <c r="A52" s="18" t="n">
        <v>0.0001590541457534101</v>
      </c>
      <c r="B52" s="19">
        <f>$B$13*(($B$9*($A52/$B$7^$B$11))/($B$9*($A52/$B$7^$B$11)+EXP($B$10-$B$9*($A52/$B$7^$B$11))))*$B$6/$B$8</f>
        <v/>
      </c>
      <c r="C52" s="18">
        <f>1-GAMMA.DIST($B$12/$B$8,B52,1,TRUE)</f>
        <v/>
      </c>
      <c r="D52" s="19">
        <f>$C$13*(($C$9*($A52/$C$7^$C$11))/($C$9*($A52/$C$7^$C$11)+EXP($C$10-$C$9*($A52/$C$7^$C$11))))*$C$6/$C$8</f>
        <v/>
      </c>
      <c r="E52" s="18">
        <f>1-GAMMA.DIST($C$12/$C$8,D52,1,TRUE)</f>
        <v/>
      </c>
      <c r="F52" s="19">
        <f>$D$13*(($D$9*($A52/$D$7^$D$11))/($D$9*($A52/$D$7^$D$11)+EXP($D$10-$D$9*($A52/$D$7^$D$11))))*$D$6/$D$8</f>
        <v/>
      </c>
      <c r="G52" s="18">
        <f>1-GAMMA.DIST($D$12/$D$8,F52,1,TRUE)</f>
        <v/>
      </c>
    </row>
    <row r="53">
      <c r="A53" s="18" t="n">
        <v>0.0001826330309606511</v>
      </c>
      <c r="B53" s="19">
        <f>$B$13*(($B$9*($A53/$B$7^$B$11))/($B$9*($A53/$B$7^$B$11)+EXP($B$10-$B$9*($A53/$B$7^$B$11))))*$B$6/$B$8</f>
        <v/>
      </c>
      <c r="C53" s="18">
        <f>1-GAMMA.DIST($B$12/$B$8,B53,1,TRUE)</f>
        <v/>
      </c>
      <c r="D53" s="19">
        <f>$C$13*(($C$9*($A53/$C$7^$C$11))/($C$9*($A53/$C$7^$C$11)+EXP($C$10-$C$9*($A53/$C$7^$C$11))))*$C$6/$C$8</f>
        <v/>
      </c>
      <c r="E53" s="18">
        <f>1-GAMMA.DIST($C$12/$C$8,D53,1,TRUE)</f>
        <v/>
      </c>
      <c r="F53" s="19">
        <f>$D$13*(($D$9*($A53/$D$7^$D$11))/($D$9*($A53/$D$7^$D$11)+EXP($D$10-$D$9*($A53/$D$7^$D$11))))*$D$6/$D$8</f>
        <v/>
      </c>
      <c r="G53" s="18">
        <f>1-GAMMA.DIST($D$12/$D$8,F53,1,TRUE)</f>
        <v/>
      </c>
    </row>
    <row r="54">
      <c r="A54" s="18" t="n">
        <v>0.0002097073536805877</v>
      </c>
      <c r="B54" s="19">
        <f>$B$13*(($B$9*($A54/$B$7^$B$11))/($B$9*($A54/$B$7^$B$11)+EXP($B$10-$B$9*($A54/$B$7^$B$11))))*$B$6/$B$8</f>
        <v/>
      </c>
      <c r="C54" s="18">
        <f>1-GAMMA.DIST($B$12/$B$8,B54,1,TRUE)</f>
        <v/>
      </c>
      <c r="D54" s="19">
        <f>$C$13*(($C$9*($A54/$C$7^$C$11))/($C$9*($A54/$C$7^$C$11)+EXP($C$10-$C$9*($A54/$C$7^$C$11))))*$C$6/$C$8</f>
        <v/>
      </c>
      <c r="E54" s="18">
        <f>1-GAMMA.DIST($C$12/$C$8,D54,1,TRUE)</f>
        <v/>
      </c>
      <c r="F54" s="19">
        <f>$D$13*(($D$9*($A54/$D$7^$D$11))/($D$9*($A54/$D$7^$D$11)+EXP($D$10-$D$9*($A54/$D$7^$D$11))))*$D$6/$D$8</f>
        <v/>
      </c>
      <c r="G54" s="18">
        <f>1-GAMMA.DIST($D$12/$D$8,F54,1,TRUE)</f>
        <v/>
      </c>
    </row>
    <row r="55">
      <c r="A55" s="18" t="n">
        <v>0.0002407952929237107</v>
      </c>
      <c r="B55" s="19">
        <f>$B$13*(($B$9*($A55/$B$7^$B$11))/($B$9*($A55/$B$7^$B$11)+EXP($B$10-$B$9*($A55/$B$7^$B$11))))*$B$6/$B$8</f>
        <v/>
      </c>
      <c r="C55" s="18">
        <f>1-GAMMA.DIST($B$12/$B$8,B55,1,TRUE)</f>
        <v/>
      </c>
      <c r="D55" s="19">
        <f>$C$13*(($C$9*($A55/$C$7^$C$11))/($C$9*($A55/$C$7^$C$11)+EXP($C$10-$C$9*($A55/$C$7^$C$11))))*$C$6/$C$8</f>
        <v/>
      </c>
      <c r="E55" s="18">
        <f>1-GAMMA.DIST($C$12/$C$8,D55,1,TRUE)</f>
        <v/>
      </c>
      <c r="F55" s="19">
        <f>$D$13*(($D$9*($A55/$D$7^$D$11))/($D$9*($A55/$D$7^$D$11)+EXP($D$10-$D$9*($A55/$D$7^$D$11))))*$D$6/$D$8</f>
        <v/>
      </c>
      <c r="G55" s="18">
        <f>1-GAMMA.DIST($D$12/$D$8,F55,1,TRUE)</f>
        <v/>
      </c>
    </row>
    <row r="56">
      <c r="A56" s="18" t="n">
        <v>0.0002764918448331122</v>
      </c>
      <c r="B56" s="19">
        <f>$B$13*(($B$9*($A56/$B$7^$B$11))/($B$9*($A56/$B$7^$B$11)+EXP($B$10-$B$9*($A56/$B$7^$B$11))))*$B$6/$B$8</f>
        <v/>
      </c>
      <c r="C56" s="18">
        <f>1-GAMMA.DIST($B$12/$B$8,B56,1,TRUE)</f>
        <v/>
      </c>
      <c r="D56" s="19">
        <f>$C$13*(($C$9*($A56/$C$7^$C$11))/($C$9*($A56/$C$7^$C$11)+EXP($C$10-$C$9*($A56/$C$7^$C$11))))*$C$6/$C$8</f>
        <v/>
      </c>
      <c r="E56" s="18">
        <f>1-GAMMA.DIST($C$12/$C$8,D56,1,TRUE)</f>
        <v/>
      </c>
      <c r="F56" s="19">
        <f>$D$13*(($D$9*($A56/$D$7^$D$11))/($D$9*($A56/$D$7^$D$11)+EXP($D$10-$D$9*($A56/$D$7^$D$11))))*$D$6/$D$8</f>
        <v/>
      </c>
      <c r="G56" s="18">
        <f>1-GAMMA.DIST($D$12/$D$8,F56,1,TRUE)</f>
        <v/>
      </c>
    </row>
    <row r="57">
      <c r="A57" s="18" t="n">
        <v>0.0003174802103936399</v>
      </c>
      <c r="B57" s="19">
        <f>$B$13*(($B$9*($A57/$B$7^$B$11))/($B$9*($A57/$B$7^$B$11)+EXP($B$10-$B$9*($A57/$B$7^$B$11))))*$B$6/$B$8</f>
        <v/>
      </c>
      <c r="C57" s="18">
        <f>1-GAMMA.DIST($B$12/$B$8,B57,1,TRUE)</f>
        <v/>
      </c>
      <c r="D57" s="19">
        <f>$C$13*(($C$9*($A57/$C$7^$C$11))/($C$9*($A57/$C$7^$C$11)+EXP($C$10-$C$9*($A57/$C$7^$C$11))))*$C$6/$C$8</f>
        <v/>
      </c>
      <c r="E57" s="18">
        <f>1-GAMMA.DIST($C$12/$C$8,D57,1,TRUE)</f>
        <v/>
      </c>
      <c r="F57" s="19">
        <f>$D$13*(($D$9*($A57/$D$7^$D$11))/($D$9*($A57/$D$7^$D$11)+EXP($D$10-$D$9*($A57/$D$7^$D$11))))*$D$6/$D$8</f>
        <v/>
      </c>
      <c r="G57" s="18">
        <f>1-GAMMA.DIST($D$12/$D$8,F57,1,TRUE)</f>
        <v/>
      </c>
    </row>
    <row r="58">
      <c r="A58" s="18" t="n">
        <v>0.0003645448713050756</v>
      </c>
      <c r="B58" s="19">
        <f>$B$13*(($B$9*($A58/$B$7^$B$11))/($B$9*($A58/$B$7^$B$11)+EXP($B$10-$B$9*($A58/$B$7^$B$11))))*$B$6/$B$8</f>
        <v/>
      </c>
      <c r="C58" s="18">
        <f>1-GAMMA.DIST($B$12/$B$8,B58,1,TRUE)</f>
        <v/>
      </c>
      <c r="D58" s="19">
        <f>$C$13*(($C$9*($A58/$C$7^$C$11))/($C$9*($A58/$C$7^$C$11)+EXP($C$10-$C$9*($A58/$C$7^$C$11))))*$C$6/$C$8</f>
        <v/>
      </c>
      <c r="E58" s="18">
        <f>1-GAMMA.DIST($C$12/$C$8,D58,1,TRUE)</f>
        <v/>
      </c>
      <c r="F58" s="19">
        <f>$D$13*(($D$9*($A58/$D$7^$D$11))/($D$9*($A58/$D$7^$D$11)+EXP($D$10-$D$9*($A58/$D$7^$D$11))))*$D$6/$D$8</f>
        <v/>
      </c>
      <c r="G58" s="18">
        <f>1-GAMMA.DIST($D$12/$D$8,F58,1,TRUE)</f>
        <v/>
      </c>
    </row>
    <row r="59">
      <c r="A59" s="18" t="n">
        <v>0.0004185866042801905</v>
      </c>
      <c r="B59" s="19">
        <f>$B$13*(($B$9*($A59/$B$7^$B$11))/($B$9*($A59/$B$7^$B$11)+EXP($B$10-$B$9*($A59/$B$7^$B$11))))*$B$6/$B$8</f>
        <v/>
      </c>
      <c r="C59" s="18">
        <f>1-GAMMA.DIST($B$12/$B$8,B59,1,TRUE)</f>
        <v/>
      </c>
      <c r="D59" s="19">
        <f>$C$13*(($C$9*($A59/$C$7^$C$11))/($C$9*($A59/$C$7^$C$11)+EXP($C$10-$C$9*($A59/$C$7^$C$11))))*$C$6/$C$8</f>
        <v/>
      </c>
      <c r="E59" s="18">
        <f>1-GAMMA.DIST($C$12/$C$8,D59,1,TRUE)</f>
        <v/>
      </c>
      <c r="F59" s="19">
        <f>$D$13*(($D$9*($A59/$D$7^$D$11))/($D$9*($A59/$D$7^$D$11)+EXP($D$10-$D$9*($A59/$D$7^$D$11))))*$D$6/$D$8</f>
        <v/>
      </c>
      <c r="G59" s="18">
        <f>1-GAMMA.DIST($D$12/$D$8,F59,1,TRUE)</f>
        <v/>
      </c>
    </row>
    <row r="60">
      <c r="A60" s="18" t="n">
        <v>0.0004806397211282925</v>
      </c>
      <c r="B60" s="19">
        <f>$B$13*(($B$9*($A60/$B$7^$B$11))/($B$9*($A60/$B$7^$B$11)+EXP($B$10-$B$9*($A60/$B$7^$B$11))))*$B$6/$B$8</f>
        <v/>
      </c>
      <c r="C60" s="18">
        <f>1-GAMMA.DIST($B$12/$B$8,B60,1,TRUE)</f>
        <v/>
      </c>
      <c r="D60" s="19">
        <f>$C$13*(($C$9*($A60/$C$7^$C$11))/($C$9*($A60/$C$7^$C$11)+EXP($C$10-$C$9*($A60/$C$7^$C$11))))*$C$6/$C$8</f>
        <v/>
      </c>
      <c r="E60" s="18">
        <f>1-GAMMA.DIST($C$12/$C$8,D60,1,TRUE)</f>
        <v/>
      </c>
      <c r="F60" s="19">
        <f>$D$13*(($D$9*($A60/$D$7^$D$11))/($D$9*($A60/$D$7^$D$11)+EXP($D$10-$D$9*($A60/$D$7^$D$11))))*$D$6/$D$8</f>
        <v/>
      </c>
      <c r="G60" s="18">
        <f>1-GAMMA.DIST($D$12/$D$8,F60,1,TRUE)</f>
        <v/>
      </c>
    </row>
    <row r="61">
      <c r="A61" s="18" t="n">
        <v>0.000551891864584486</v>
      </c>
      <c r="B61" s="19">
        <f>$B$13*(($B$9*($A61/$B$7^$B$11))/($B$9*($A61/$B$7^$B$11)+EXP($B$10-$B$9*($A61/$B$7^$B$11))))*$B$6/$B$8</f>
        <v/>
      </c>
      <c r="C61" s="18">
        <f>1-GAMMA.DIST($B$12/$B$8,B61,1,TRUE)</f>
        <v/>
      </c>
      <c r="D61" s="19">
        <f>$C$13*(($C$9*($A61/$C$7^$C$11))/($C$9*($A61/$C$7^$C$11)+EXP($C$10-$C$9*($A61/$C$7^$C$11))))*$C$6/$C$8</f>
        <v/>
      </c>
      <c r="E61" s="18">
        <f>1-GAMMA.DIST($C$12/$C$8,D61,1,TRUE)</f>
        <v/>
      </c>
      <c r="F61" s="19">
        <f>$D$13*(($D$9*($A61/$D$7^$D$11))/($D$9*($A61/$D$7^$D$11)+EXP($D$10-$D$9*($A61/$D$7^$D$11))))*$D$6/$D$8</f>
        <v/>
      </c>
      <c r="G61" s="18">
        <f>1-GAMMA.DIST($D$12/$D$8,F61,1,TRUE)</f>
        <v/>
      </c>
    </row>
    <row r="62">
      <c r="A62" s="18" t="n">
        <v>0.0006337067387596142</v>
      </c>
      <c r="B62" s="19">
        <f>$B$13*(($B$9*($A62/$B$7^$B$11))/($B$9*($A62/$B$7^$B$11)+EXP($B$10-$B$9*($A62/$B$7^$B$11))))*$B$6/$B$8</f>
        <v/>
      </c>
      <c r="C62" s="18">
        <f>1-GAMMA.DIST($B$12/$B$8,B62,1,TRUE)</f>
        <v/>
      </c>
      <c r="D62" s="19">
        <f>$C$13*(($C$9*($A62/$C$7^$C$11))/($C$9*($A62/$C$7^$C$11)+EXP($C$10-$C$9*($A62/$C$7^$C$11))))*$C$6/$C$8</f>
        <v/>
      </c>
      <c r="E62" s="18">
        <f>1-GAMMA.DIST($C$12/$C$8,D62,1,TRUE)</f>
        <v/>
      </c>
      <c r="F62" s="19">
        <f>$D$13*(($D$9*($A62/$D$7^$D$11))/($D$9*($A62/$D$7^$D$11)+EXP($D$10-$D$9*($A62/$D$7^$D$11))))*$D$6/$D$8</f>
        <v/>
      </c>
      <c r="G62" s="18">
        <f>1-GAMMA.DIST($D$12/$D$8,F62,1,TRUE)</f>
        <v/>
      </c>
    </row>
    <row r="63">
      <c r="A63" s="18" t="n">
        <v>0.0007276502092519423</v>
      </c>
      <c r="B63" s="19">
        <f>$B$13*(($B$9*($A63/$B$7^$B$11))/($B$9*($A63/$B$7^$B$11)+EXP($B$10-$B$9*($A63/$B$7^$B$11))))*$B$6/$B$8</f>
        <v/>
      </c>
      <c r="C63" s="18">
        <f>1-GAMMA.DIST($B$12/$B$8,B63,1,TRUE)</f>
        <v/>
      </c>
      <c r="D63" s="19">
        <f>$C$13*(($C$9*($A63/$C$7^$C$11))/($C$9*($A63/$C$7^$C$11)+EXP($C$10-$C$9*($A63/$C$7^$C$11))))*$C$6/$C$8</f>
        <v/>
      </c>
      <c r="E63" s="18">
        <f>1-GAMMA.DIST($C$12/$C$8,D63,1,TRUE)</f>
        <v/>
      </c>
      <c r="F63" s="19">
        <f>$D$13*(($D$9*($A63/$D$7^$D$11))/($D$9*($A63/$D$7^$D$11)+EXP($D$10-$D$9*($A63/$D$7^$D$11))))*$D$6/$D$8</f>
        <v/>
      </c>
      <c r="G63" s="18">
        <f>1-GAMMA.DIST($D$12/$D$8,F63,1,TRUE)</f>
        <v/>
      </c>
    </row>
    <row r="64">
      <c r="A64" s="18" t="n">
        <v>0.0008355202724540423</v>
      </c>
      <c r="B64" s="19">
        <f>$B$13*(($B$9*($A64/$B$7^$B$11))/($B$9*($A64/$B$7^$B$11)+EXP($B$10-$B$9*($A64/$B$7^$B$11))))*$B$6/$B$8</f>
        <v/>
      </c>
      <c r="C64" s="18">
        <f>1-GAMMA.DIST($B$12/$B$8,B64,1,TRUE)</f>
        <v/>
      </c>
      <c r="D64" s="19">
        <f>$C$13*(($C$9*($A64/$C$7^$C$11))/($C$9*($A64/$C$7^$C$11)+EXP($C$10-$C$9*($A64/$C$7^$C$11))))*$C$6/$C$8</f>
        <v/>
      </c>
      <c r="E64" s="18">
        <f>1-GAMMA.DIST($C$12/$C$8,D64,1,TRUE)</f>
        <v/>
      </c>
      <c r="F64" s="19">
        <f>$D$13*(($D$9*($A64/$D$7^$D$11))/($D$9*($A64/$D$7^$D$11)+EXP($D$10-$D$9*($A64/$D$7^$D$11))))*$D$6/$D$8</f>
        <v/>
      </c>
      <c r="G64" s="18">
        <f>1-GAMMA.DIST($D$12/$D$8,F64,1,TRUE)</f>
        <v/>
      </c>
    </row>
    <row r="65">
      <c r="A65" s="18" t="n">
        <v>0.0009593814676413682</v>
      </c>
      <c r="B65" s="19">
        <f>$B$13*(($B$9*($A65/$B$7^$B$11))/($B$9*($A65/$B$7^$B$11)+EXP($B$10-$B$9*($A65/$B$7^$B$11))))*$B$6/$B$8</f>
        <v/>
      </c>
      <c r="C65" s="18">
        <f>1-GAMMA.DIST($B$12/$B$8,B65,1,TRUE)</f>
        <v/>
      </c>
      <c r="D65" s="19">
        <f>$C$13*(($C$9*($A65/$C$7^$C$11))/($C$9*($A65/$C$7^$C$11)+EXP($C$10-$C$9*($A65/$C$7^$C$11))))*$C$6/$C$8</f>
        <v/>
      </c>
      <c r="E65" s="18">
        <f>1-GAMMA.DIST($C$12/$C$8,D65,1,TRUE)</f>
        <v/>
      </c>
      <c r="F65" s="19">
        <f>$D$13*(($D$9*($A65/$D$7^$D$11))/($D$9*($A65/$D$7^$D$11)+EXP($D$10-$D$9*($A65/$D$7^$D$11))))*$D$6/$D$8</f>
        <v/>
      </c>
      <c r="G65" s="18">
        <f>1-GAMMA.DIST($D$12/$D$8,F65,1,TRUE)</f>
        <v/>
      </c>
    </row>
    <row r="66">
      <c r="A66" s="18" t="n">
        <v>0.001101604390459997</v>
      </c>
      <c r="B66" s="19">
        <f>$B$13*(($B$9*($A66/$B$7^$B$11))/($B$9*($A66/$B$7^$B$11)+EXP($B$10-$B$9*($A66/$B$7^$B$11))))*$B$6/$B$8</f>
        <v/>
      </c>
      <c r="C66" s="18">
        <f>1-GAMMA.DIST($B$12/$B$8,B66,1,TRUE)</f>
        <v/>
      </c>
      <c r="D66" s="19">
        <f>$C$13*(($C$9*($A66/$C$7^$C$11))/($C$9*($A66/$C$7^$C$11)+EXP($C$10-$C$9*($A66/$C$7^$C$11))))*$C$6/$C$8</f>
        <v/>
      </c>
      <c r="E66" s="18">
        <f>1-GAMMA.DIST($C$12/$C$8,D66,1,TRUE)</f>
        <v/>
      </c>
      <c r="F66" s="19">
        <f>$D$13*(($D$9*($A66/$D$7^$D$11))/($D$9*($A66/$D$7^$D$11)+EXP($D$10-$D$9*($A66/$D$7^$D$11))))*$D$6/$D$8</f>
        <v/>
      </c>
      <c r="G66" s="18">
        <f>1-GAMMA.DIST($D$12/$D$8,F66,1,TRUE)</f>
        <v/>
      </c>
    </row>
    <row r="67">
      <c r="A67" s="18" t="n">
        <v>0.001264911064067352</v>
      </c>
      <c r="B67" s="19">
        <f>$B$13*(($B$9*($A67/$B$7^$B$11))/($B$9*($A67/$B$7^$B$11)+EXP($B$10-$B$9*($A67/$B$7^$B$11))))*$B$6/$B$8</f>
        <v/>
      </c>
      <c r="C67" s="18">
        <f>1-GAMMA.DIST($B$12/$B$8,B67,1,TRUE)</f>
        <v/>
      </c>
      <c r="D67" s="19">
        <f>$C$13*(($C$9*($A67/$C$7^$C$11))/($C$9*($A67/$C$7^$C$11)+EXP($C$10-$C$9*($A67/$C$7^$C$11))))*$C$6/$C$8</f>
        <v/>
      </c>
      <c r="E67" s="18">
        <f>1-GAMMA.DIST($C$12/$C$8,D67,1,TRUE)</f>
        <v/>
      </c>
      <c r="F67" s="19">
        <f>$D$13*(($D$9*($A67/$D$7^$D$11))/($D$9*($A67/$D$7^$D$11)+EXP($D$10-$D$9*($A67/$D$7^$D$11))))*$D$6/$D$8</f>
        <v/>
      </c>
      <c r="G67" s="18">
        <f>1-GAMMA.DIST($D$12/$D$8,F67,1,TRUE)</f>
        <v/>
      </c>
    </row>
    <row r="68">
      <c r="A68" s="18" t="n">
        <v>0.001452427036290124</v>
      </c>
      <c r="B68" s="19">
        <f>$B$13*(($B$9*($A68/$B$7^$B$11))/($B$9*($A68/$B$7^$B$11)+EXP($B$10-$B$9*($A68/$B$7^$B$11))))*$B$6/$B$8</f>
        <v/>
      </c>
      <c r="C68" s="18">
        <f>1-GAMMA.DIST($B$12/$B$8,B68,1,TRUE)</f>
        <v/>
      </c>
      <c r="D68" s="19">
        <f>$C$13*(($C$9*($A68/$C$7^$C$11))/($C$9*($A68/$C$7^$C$11)+EXP($C$10-$C$9*($A68/$C$7^$C$11))))*$C$6/$C$8</f>
        <v/>
      </c>
      <c r="E68" s="18">
        <f>1-GAMMA.DIST($C$12/$C$8,D68,1,TRUE)</f>
        <v/>
      </c>
      <c r="F68" s="19">
        <f>$D$13*(($D$9*($A68/$D$7^$D$11))/($D$9*($A68/$D$7^$D$11)+EXP($D$10-$D$9*($A68/$D$7^$D$11))))*$D$6/$D$8</f>
        <v/>
      </c>
      <c r="G68" s="18">
        <f>1-GAMMA.DIST($D$12/$D$8,F68,1,TRUE)</f>
        <v/>
      </c>
    </row>
    <row r="69">
      <c r="A69" s="18" t="n">
        <v>0.001667741199893706</v>
      </c>
      <c r="B69" s="19">
        <f>$B$13*(($B$9*($A69/$B$7^$B$11))/($B$9*($A69/$B$7^$B$11)+EXP($B$10-$B$9*($A69/$B$7^$B$11))))*$B$6/$B$8</f>
        <v/>
      </c>
      <c r="C69" s="18">
        <f>1-GAMMA.DIST($B$12/$B$8,B69,1,TRUE)</f>
        <v/>
      </c>
      <c r="D69" s="19">
        <f>$C$13*(($C$9*($A69/$C$7^$C$11))/($C$9*($A69/$C$7^$C$11)+EXP($C$10-$C$9*($A69/$C$7^$C$11))))*$C$6/$C$8</f>
        <v/>
      </c>
      <c r="E69" s="18">
        <f>1-GAMMA.DIST($C$12/$C$8,D69,1,TRUE)</f>
        <v/>
      </c>
      <c r="F69" s="19">
        <f>$D$13*(($D$9*($A69/$D$7^$D$11))/($D$9*($A69/$D$7^$D$11)+EXP($D$10-$D$9*($A69/$D$7^$D$11))))*$D$6/$D$8</f>
        <v/>
      </c>
      <c r="G69" s="18">
        <f>1-GAMMA.DIST($D$12/$D$8,F69,1,TRUE)</f>
        <v/>
      </c>
    </row>
    <row r="70">
      <c r="A70" s="18" t="n">
        <v>0.001914974480871149</v>
      </c>
      <c r="B70" s="19">
        <f>$B$13*(($B$9*($A70/$B$7^$B$11))/($B$9*($A70/$B$7^$B$11)+EXP($B$10-$B$9*($A70/$B$7^$B$11))))*$B$6/$B$8</f>
        <v/>
      </c>
      <c r="C70" s="18">
        <f>1-GAMMA.DIST($B$12/$B$8,B70,1,TRUE)</f>
        <v/>
      </c>
      <c r="D70" s="19">
        <f>$C$13*(($C$9*($A70/$C$7^$C$11))/($C$9*($A70/$C$7^$C$11)+EXP($C$10-$C$9*($A70/$C$7^$C$11))))*$C$6/$C$8</f>
        <v/>
      </c>
      <c r="E70" s="18">
        <f>1-GAMMA.DIST($C$12/$C$8,D70,1,TRUE)</f>
        <v/>
      </c>
      <c r="F70" s="19">
        <f>$D$13*(($D$9*($A70/$D$7^$D$11))/($D$9*($A70/$D$7^$D$11)+EXP($D$10-$D$9*($A70/$D$7^$D$11))))*$D$6/$D$8</f>
        <v/>
      </c>
      <c r="G70" s="18">
        <f>1-GAMMA.DIST($D$12/$D$8,F70,1,TRUE)</f>
        <v/>
      </c>
    </row>
    <row r="71">
      <c r="A71" s="18" t="n">
        <v>0.002198858709385755</v>
      </c>
      <c r="B71" s="19">
        <f>$B$13*(($B$9*($A71/$B$7^$B$11))/($B$9*($A71/$B$7^$B$11)+EXP($B$10-$B$9*($A71/$B$7^$B$11))))*$B$6/$B$8</f>
        <v/>
      </c>
      <c r="C71" s="18">
        <f>1-GAMMA.DIST($B$12/$B$8,B71,1,TRUE)</f>
        <v/>
      </c>
      <c r="D71" s="19">
        <f>$C$13*(($C$9*($A71/$C$7^$C$11))/($C$9*($A71/$C$7^$C$11)+EXP($C$10-$C$9*($A71/$C$7^$C$11))))*$C$6/$C$8</f>
        <v/>
      </c>
      <c r="E71" s="18">
        <f>1-GAMMA.DIST($C$12/$C$8,D71,1,TRUE)</f>
        <v/>
      </c>
      <c r="F71" s="19">
        <f>$D$13*(($D$9*($A71/$D$7^$D$11))/($D$9*($A71/$D$7^$D$11)+EXP($D$10-$D$9*($A71/$D$7^$D$11))))*$D$6/$D$8</f>
        <v/>
      </c>
      <c r="G71" s="18">
        <f>1-GAMMA.DIST($D$12/$D$8,F71,1,TRUE)</f>
        <v/>
      </c>
    </row>
    <row r="72">
      <c r="A72" s="18" t="n">
        <v>0.002524827182888667</v>
      </c>
      <c r="B72" s="19">
        <f>$B$13*(($B$9*($A72/$B$7^$B$11))/($B$9*($A72/$B$7^$B$11)+EXP($B$10-$B$9*($A72/$B$7^$B$11))))*$B$6/$B$8</f>
        <v/>
      </c>
      <c r="C72" s="18">
        <f>1-GAMMA.DIST($B$12/$B$8,B72,1,TRUE)</f>
        <v/>
      </c>
      <c r="D72" s="19">
        <f>$C$13*(($C$9*($A72/$C$7^$C$11))/($C$9*($A72/$C$7^$C$11)+EXP($C$10-$C$9*($A72/$C$7^$C$11))))*$C$6/$C$8</f>
        <v/>
      </c>
      <c r="E72" s="18">
        <f>1-GAMMA.DIST($C$12/$C$8,D72,1,TRUE)</f>
        <v/>
      </c>
      <c r="F72" s="19">
        <f>$D$13*(($D$9*($A72/$D$7^$D$11))/($D$9*($A72/$D$7^$D$11)+EXP($D$10-$D$9*($A72/$D$7^$D$11))))*$D$6/$D$8</f>
        <v/>
      </c>
      <c r="G72" s="18">
        <f>1-GAMMA.DIST($D$12/$D$8,F72,1,TRUE)</f>
        <v/>
      </c>
    </row>
    <row r="73">
      <c r="A73" s="18" t="n">
        <v>0.002899118654710782</v>
      </c>
      <c r="B73" s="19">
        <f>$B$13*(($B$9*($A73/$B$7^$B$11))/($B$9*($A73/$B$7^$B$11)+EXP($B$10-$B$9*($A73/$B$7^$B$11))))*$B$6/$B$8</f>
        <v/>
      </c>
      <c r="C73" s="18">
        <f>1-GAMMA.DIST($B$12/$B$8,B73,1,TRUE)</f>
        <v/>
      </c>
      <c r="D73" s="19">
        <f>$C$13*(($C$9*($A73/$C$7^$C$11))/($C$9*($A73/$C$7^$C$11)+EXP($C$10-$C$9*($A73/$C$7^$C$11))))*$C$6/$C$8</f>
        <v/>
      </c>
      <c r="E73" s="18">
        <f>1-GAMMA.DIST($C$12/$C$8,D73,1,TRUE)</f>
        <v/>
      </c>
      <c r="F73" s="19">
        <f>$D$13*(($D$9*($A73/$D$7^$D$11))/($D$9*($A73/$D$7^$D$11)+EXP($D$10-$D$9*($A73/$D$7^$D$11))))*$D$6/$D$8</f>
        <v/>
      </c>
      <c r="G73" s="18">
        <f>1-GAMMA.DIST($D$12/$D$8,F73,1,TRUE)</f>
        <v/>
      </c>
    </row>
    <row r="74">
      <c r="A74" s="18" t="n">
        <v>0.003328896738380322</v>
      </c>
      <c r="B74" s="19">
        <f>$B$13*(($B$9*($A74/$B$7^$B$11))/($B$9*($A74/$B$7^$B$11)+EXP($B$10-$B$9*($A74/$B$7^$B$11))))*$B$6/$B$8</f>
        <v/>
      </c>
      <c r="C74" s="18">
        <f>1-GAMMA.DIST($B$12/$B$8,B74,1,TRUE)</f>
        <v/>
      </c>
      <c r="D74" s="19">
        <f>$C$13*(($C$9*($A74/$C$7^$C$11))/($C$9*($A74/$C$7^$C$11)+EXP($C$10-$C$9*($A74/$C$7^$C$11))))*$C$6/$C$8</f>
        <v/>
      </c>
      <c r="E74" s="18">
        <f>1-GAMMA.DIST($C$12/$C$8,D74,1,TRUE)</f>
        <v/>
      </c>
      <c r="F74" s="19">
        <f>$D$13*(($D$9*($A74/$D$7^$D$11))/($D$9*($A74/$D$7^$D$11)+EXP($D$10-$D$9*($A74/$D$7^$D$11))))*$D$6/$D$8</f>
        <v/>
      </c>
      <c r="G74" s="18">
        <f>1-GAMMA.DIST($D$12/$D$8,F74,1,TRUE)</f>
        <v/>
      </c>
    </row>
    <row r="75">
      <c r="A75" s="18" t="n">
        <v>0.00382238701296089</v>
      </c>
      <c r="B75" s="19">
        <f>$B$13*(($B$9*($A75/$B$7^$B$11))/($B$9*($A75/$B$7^$B$11)+EXP($B$10-$B$9*($A75/$B$7^$B$11))))*$B$6/$B$8</f>
        <v/>
      </c>
      <c r="C75" s="18">
        <f>1-GAMMA.DIST($B$12/$B$8,B75,1,TRUE)</f>
        <v/>
      </c>
      <c r="D75" s="19">
        <f>$C$13*(($C$9*($A75/$C$7^$C$11))/($C$9*($A75/$C$7^$C$11)+EXP($C$10-$C$9*($A75/$C$7^$C$11))))*$C$6/$C$8</f>
        <v/>
      </c>
      <c r="E75" s="18">
        <f>1-GAMMA.DIST($C$12/$C$8,D75,1,TRUE)</f>
        <v/>
      </c>
      <c r="F75" s="19">
        <f>$D$13*(($D$9*($A75/$D$7^$D$11))/($D$9*($A75/$D$7^$D$11)+EXP($D$10-$D$9*($A75/$D$7^$D$11))))*$D$6/$D$8</f>
        <v/>
      </c>
      <c r="G75" s="18">
        <f>1-GAMMA.DIST($D$12/$D$8,F75,1,TRUE)</f>
        <v/>
      </c>
    </row>
    <row r="76">
      <c r="A76" s="18" t="n">
        <v>0.004389034453487106</v>
      </c>
      <c r="B76" s="19">
        <f>$B$13*(($B$9*($A76/$B$7^$B$11))/($B$9*($A76/$B$7^$B$11)+EXP($B$10-$B$9*($A76/$B$7^$B$11))))*$B$6/$B$8</f>
        <v/>
      </c>
      <c r="C76" s="18">
        <f>1-GAMMA.DIST($B$12/$B$8,B76,1,TRUE)</f>
        <v/>
      </c>
      <c r="D76" s="19">
        <f>$C$13*(($C$9*($A76/$C$7^$C$11))/($C$9*($A76/$C$7^$C$11)+EXP($C$10-$C$9*($A76/$C$7^$C$11))))*$C$6/$C$8</f>
        <v/>
      </c>
      <c r="E76" s="18">
        <f>1-GAMMA.DIST($C$12/$C$8,D76,1,TRUE)</f>
        <v/>
      </c>
      <c r="F76" s="19">
        <f>$D$13*(($D$9*($A76/$D$7^$D$11))/($D$9*($A76/$D$7^$D$11)+EXP($D$10-$D$9*($A76/$D$7^$D$11))))*$D$6/$D$8</f>
        <v/>
      </c>
      <c r="G76" s="18">
        <f>1-GAMMA.DIST($D$12/$D$8,F76,1,TRUE)</f>
        <v/>
      </c>
    </row>
    <row r="77">
      <c r="A77" s="18" t="n">
        <v>0.005039684199579491</v>
      </c>
      <c r="B77" s="19">
        <f>$B$13*(($B$9*($A77/$B$7^$B$11))/($B$9*($A77/$B$7^$B$11)+EXP($B$10-$B$9*($A77/$B$7^$B$11))))*$B$6/$B$8</f>
        <v/>
      </c>
      <c r="C77" s="18">
        <f>1-GAMMA.DIST($B$12/$B$8,B77,1,TRUE)</f>
        <v/>
      </c>
      <c r="D77" s="19">
        <f>$C$13*(($C$9*($A77/$C$7^$C$11))/($C$9*($A77/$C$7^$C$11)+EXP($C$10-$C$9*($A77/$C$7^$C$11))))*$C$6/$C$8</f>
        <v/>
      </c>
      <c r="E77" s="18">
        <f>1-GAMMA.DIST($C$12/$C$8,D77,1,TRUE)</f>
        <v/>
      </c>
      <c r="F77" s="19">
        <f>$D$13*(($D$9*($A77/$D$7^$D$11))/($D$9*($A77/$D$7^$D$11)+EXP($D$10-$D$9*($A77/$D$7^$D$11))))*$D$6/$D$8</f>
        <v/>
      </c>
      <c r="G77" s="18">
        <f>1-GAMMA.DIST($D$12/$D$8,F77,1,TRUE)</f>
        <v/>
      </c>
    </row>
    <row r="78">
      <c r="A78" s="18" t="n">
        <v>0.00578678912199289</v>
      </c>
      <c r="B78" s="19">
        <f>$B$13*(($B$9*($A78/$B$7^$B$11))/($B$9*($A78/$B$7^$B$11)+EXP($B$10-$B$9*($A78/$B$7^$B$11))))*$B$6/$B$8</f>
        <v/>
      </c>
      <c r="C78" s="18">
        <f>1-GAMMA.DIST($B$12/$B$8,B78,1,TRUE)</f>
        <v/>
      </c>
      <c r="D78" s="19">
        <f>$C$13*(($C$9*($A78/$C$7^$C$11))/($C$9*($A78/$C$7^$C$11)+EXP($C$10-$C$9*($A78/$C$7^$C$11))))*$C$6/$C$8</f>
        <v/>
      </c>
      <c r="E78" s="18">
        <f>1-GAMMA.DIST($C$12/$C$8,D78,1,TRUE)</f>
        <v/>
      </c>
      <c r="F78" s="19">
        <f>$D$13*(($D$9*($A78/$D$7^$D$11))/($D$9*($A78/$D$7^$D$11)+EXP($D$10-$D$9*($A78/$D$7^$D$11))))*$D$6/$D$8</f>
        <v/>
      </c>
      <c r="G78" s="18">
        <f>1-GAMMA.DIST($D$12/$D$8,F78,1,TRUE)</f>
        <v/>
      </c>
    </row>
    <row r="79">
      <c r="A79" s="18" t="n">
        <v>0.006644648159741706</v>
      </c>
      <c r="B79" s="19">
        <f>$B$13*(($B$9*($A79/$B$7^$B$11))/($B$9*($A79/$B$7^$B$11)+EXP($B$10-$B$9*($A79/$B$7^$B$11))))*$B$6/$B$8</f>
        <v/>
      </c>
      <c r="C79" s="18">
        <f>1-GAMMA.DIST($B$12/$B$8,B79,1,TRUE)</f>
        <v/>
      </c>
      <c r="D79" s="19">
        <f>$C$13*(($C$9*($A79/$C$7^$C$11))/($C$9*($A79/$C$7^$C$11)+EXP($C$10-$C$9*($A79/$C$7^$C$11))))*$C$6/$C$8</f>
        <v/>
      </c>
      <c r="E79" s="18">
        <f>1-GAMMA.DIST($C$12/$C$8,D79,1,TRUE)</f>
        <v/>
      </c>
      <c r="F79" s="19">
        <f>$D$13*(($D$9*($A79/$D$7^$D$11))/($D$9*($A79/$D$7^$D$11)+EXP($D$10-$D$9*($A79/$D$7^$D$11))))*$D$6/$D$8</f>
        <v/>
      </c>
      <c r="G79" s="18">
        <f>1-GAMMA.DIST($D$12/$D$8,F79,1,TRUE)</f>
        <v/>
      </c>
    </row>
    <row r="80">
      <c r="A80" s="18" t="n">
        <v>0.007629679989367534</v>
      </c>
      <c r="B80" s="19">
        <f>$B$13*(($B$9*($A80/$B$7^$B$11))/($B$9*($A80/$B$7^$B$11)+EXP($B$10-$B$9*($A80/$B$7^$B$11))))*$B$6/$B$8</f>
        <v/>
      </c>
      <c r="C80" s="18">
        <f>1-GAMMA.DIST($B$12/$B$8,B80,1,TRUE)</f>
        <v/>
      </c>
      <c r="D80" s="19">
        <f>$C$13*(($C$9*($A80/$C$7^$C$11))/($C$9*($A80/$C$7^$C$11)+EXP($C$10-$C$9*($A80/$C$7^$C$11))))*$C$6/$C$8</f>
        <v/>
      </c>
      <c r="E80" s="18">
        <f>1-GAMMA.DIST($C$12/$C$8,D80,1,TRUE)</f>
        <v/>
      </c>
      <c r="F80" s="19">
        <f>$D$13*(($D$9*($A80/$D$7^$D$11))/($D$9*($A80/$D$7^$D$11)+EXP($D$10-$D$9*($A80/$D$7^$D$11))))*$D$6/$D$8</f>
        <v/>
      </c>
      <c r="G80" s="18">
        <f>1-GAMMA.DIST($D$12/$D$8,F80,1,TRUE)</f>
        <v/>
      </c>
    </row>
    <row r="81">
      <c r="A81" s="18" t="n">
        <v>0.008760737264141037</v>
      </c>
      <c r="B81" s="19">
        <f>$B$13*(($B$9*($A81/$B$7^$B$11))/($B$9*($A81/$B$7^$B$11)+EXP($B$10-$B$9*($A81/$B$7^$B$11))))*$B$6/$B$8</f>
        <v/>
      </c>
      <c r="C81" s="18">
        <f>1-GAMMA.DIST($B$12/$B$8,B81,1,TRUE)</f>
        <v/>
      </c>
      <c r="D81" s="19">
        <f>$C$13*(($C$9*($A81/$C$7^$C$11))/($C$9*($A81/$C$7^$C$11)+EXP($C$10-$C$9*($A81/$C$7^$C$11))))*$C$6/$C$8</f>
        <v/>
      </c>
      <c r="E81" s="18">
        <f>1-GAMMA.DIST($C$12/$C$8,D81,1,TRUE)</f>
        <v/>
      </c>
      <c r="F81" s="19">
        <f>$D$13*(($D$9*($A81/$D$7^$D$11))/($D$9*($A81/$D$7^$D$11)+EXP($D$10-$D$9*($A81/$D$7^$D$11))))*$D$6/$D$8</f>
        <v/>
      </c>
      <c r="G81" s="18">
        <f>1-GAMMA.DIST($D$12/$D$8,F81,1,TRUE)</f>
        <v/>
      </c>
    </row>
    <row r="82">
      <c r="A82" s="18" t="n">
        <v>0.01005946743746348</v>
      </c>
      <c r="B82" s="19">
        <f>$B$13*(($B$9*($A82/$B$7^$B$11))/($B$9*($A82/$B$7^$B$11)+EXP($B$10-$B$9*($A82/$B$7^$B$11))))*$B$6/$B$8</f>
        <v/>
      </c>
      <c r="C82" s="18">
        <f>1-GAMMA.DIST($B$12/$B$8,B82,1,TRUE)</f>
        <v/>
      </c>
      <c r="D82" s="19">
        <f>$C$13*(($C$9*($A82/$C$7^$C$11))/($C$9*($A82/$C$7^$C$11)+EXP($C$10-$C$9*($A82/$C$7^$C$11))))*$C$6/$C$8</f>
        <v/>
      </c>
      <c r="E82" s="18">
        <f>1-GAMMA.DIST($C$12/$C$8,D82,1,TRUE)</f>
        <v/>
      </c>
      <c r="F82" s="19">
        <f>$D$13*(($D$9*($A82/$D$7^$D$11))/($D$9*($A82/$D$7^$D$11)+EXP($D$10-$D$9*($A82/$D$7^$D$11))))*$D$6/$D$8</f>
        <v/>
      </c>
      <c r="G82" s="18">
        <f>1-GAMMA.DIST($D$12/$D$8,F82,1,TRUE)</f>
        <v/>
      </c>
    </row>
    <row r="83">
      <c r="A83" s="18" t="n">
        <v>0.01155072707631414</v>
      </c>
      <c r="B83" s="19">
        <f>$B$13*(($B$9*($A83/$B$7^$B$11))/($B$9*($A83/$B$7^$B$11)+EXP($B$10-$B$9*($A83/$B$7^$B$11))))*$B$6/$B$8</f>
        <v/>
      </c>
      <c r="C83" s="18">
        <f>1-GAMMA.DIST($B$12/$B$8,B83,1,TRUE)</f>
        <v/>
      </c>
      <c r="D83" s="19">
        <f>$C$13*(($C$9*($A83/$C$7^$C$11))/($C$9*($A83/$C$7^$C$11)+EXP($C$10-$C$9*($A83/$C$7^$C$11))))*$C$6/$C$8</f>
        <v/>
      </c>
      <c r="E83" s="18">
        <f>1-GAMMA.DIST($C$12/$C$8,D83,1,TRUE)</f>
        <v/>
      </c>
      <c r="F83" s="19">
        <f>$D$13*(($D$9*($A83/$D$7^$D$11))/($D$9*($A83/$D$7^$D$11)+EXP($D$10-$D$9*($A83/$D$7^$D$11))))*$D$6/$D$8</f>
        <v/>
      </c>
      <c r="G83" s="18">
        <f>1-GAMMA.DIST($D$12/$D$8,F83,1,TRUE)</f>
        <v/>
      </c>
    </row>
    <row r="84">
      <c r="A84" s="18" t="n">
        <v>0.01326305759434303</v>
      </c>
      <c r="B84" s="19">
        <f>$B$13*(($B$9*($A84/$B$7^$B$11))/($B$9*($A84/$B$7^$B$11)+EXP($B$10-$B$9*($A84/$B$7^$B$11))))*$B$6/$B$8</f>
        <v/>
      </c>
      <c r="C84" s="18">
        <f>1-GAMMA.DIST($B$12/$B$8,B84,1,TRUE)</f>
        <v/>
      </c>
      <c r="D84" s="19">
        <f>$C$13*(($C$9*($A84/$C$7^$C$11))/($C$9*($A84/$C$7^$C$11)+EXP($C$10-$C$9*($A84/$C$7^$C$11))))*$C$6/$C$8</f>
        <v/>
      </c>
      <c r="E84" s="18">
        <f>1-GAMMA.DIST($C$12/$C$8,D84,1,TRUE)</f>
        <v/>
      </c>
      <c r="F84" s="19">
        <f>$D$13*(($D$9*($A84/$D$7^$D$11))/($D$9*($A84/$D$7^$D$11)+EXP($D$10-$D$9*($A84/$D$7^$D$11))))*$D$6/$D$8</f>
        <v/>
      </c>
      <c r="G84" s="18">
        <f>1-GAMMA.DIST($D$12/$D$8,F84,1,TRUE)</f>
        <v/>
      </c>
    </row>
    <row r="85">
      <c r="A85" s="18" t="n">
        <v>0.01522923150972703</v>
      </c>
      <c r="B85" s="19">
        <f>$B$13*(($B$9*($A85/$B$7^$B$11))/($B$9*($A85/$B$7^$B$11)+EXP($B$10-$B$9*($A85/$B$7^$B$11))))*$B$6/$B$8</f>
        <v/>
      </c>
      <c r="C85" s="18">
        <f>1-GAMMA.DIST($B$12/$B$8,B85,1,TRUE)</f>
        <v/>
      </c>
      <c r="D85" s="19">
        <f>$C$13*(($C$9*($A85/$C$7^$C$11))/($C$9*($A85/$C$7^$C$11)+EXP($C$10-$C$9*($A85/$C$7^$C$11))))*$C$6/$C$8</f>
        <v/>
      </c>
      <c r="E85" s="18">
        <f>1-GAMMA.DIST($C$12/$C$8,D85,1,TRUE)</f>
        <v/>
      </c>
      <c r="F85" s="19">
        <f>$D$13*(($D$9*($A85/$D$7^$D$11))/($D$9*($A85/$D$7^$D$11)+EXP($D$10-$D$9*($A85/$D$7^$D$11))))*$D$6/$D$8</f>
        <v/>
      </c>
      <c r="G85" s="18">
        <f>1-GAMMA.DIST($D$12/$D$8,F85,1,TRUE)</f>
        <v/>
      </c>
    </row>
    <row r="86">
      <c r="A86" s="18" t="n">
        <v>0.01748687968268985</v>
      </c>
      <c r="B86" s="19">
        <f>$B$13*(($B$9*($A86/$B$7^$B$11))/($B$9*($A86/$B$7^$B$11)+EXP($B$10-$B$9*($A86/$B$7^$B$11))))*$B$6/$B$8</f>
        <v/>
      </c>
      <c r="C86" s="18">
        <f>1-GAMMA.DIST($B$12/$B$8,B86,1,TRUE)</f>
        <v/>
      </c>
      <c r="D86" s="19">
        <f>$C$13*(($C$9*($A86/$C$7^$C$11))/($C$9*($A86/$C$7^$C$11)+EXP($C$10-$C$9*($A86/$C$7^$C$11))))*$C$6/$C$8</f>
        <v/>
      </c>
      <c r="E86" s="18">
        <f>1-GAMMA.DIST($C$12/$C$8,D86,1,TRUE)</f>
        <v/>
      </c>
      <c r="F86" s="19">
        <f>$D$13*(($D$9*($A86/$D$7^$D$11))/($D$9*($A86/$D$7^$D$11)+EXP($D$10-$D$9*($A86/$D$7^$D$11))))*$D$6/$D$8</f>
        <v/>
      </c>
      <c r="G86" s="18">
        <f>1-GAMMA.DIST($D$12/$D$8,F86,1,TRUE)</f>
        <v/>
      </c>
    </row>
    <row r="87">
      <c r="A87" s="18" t="n">
        <v>0.02007921153746729</v>
      </c>
      <c r="B87" s="19">
        <f>$B$13*(($B$9*($A87/$B$7^$B$11))/($B$9*($A87/$B$7^$B$11)+EXP($B$10-$B$9*($A87/$B$7^$B$11))))*$B$6/$B$8</f>
        <v/>
      </c>
      <c r="C87" s="18">
        <f>1-GAMMA.DIST($B$12/$B$8,B87,1,TRUE)</f>
        <v/>
      </c>
      <c r="D87" s="19">
        <f>$C$13*(($C$9*($A87/$C$7^$C$11))/($C$9*($A87/$C$7^$C$11)+EXP($C$10-$C$9*($A87/$C$7^$C$11))))*$C$6/$C$8</f>
        <v/>
      </c>
      <c r="E87" s="18">
        <f>1-GAMMA.DIST($C$12/$C$8,D87,1,TRUE)</f>
        <v/>
      </c>
      <c r="F87" s="19">
        <f>$D$13*(($D$9*($A87/$D$7^$D$11))/($D$9*($A87/$D$7^$D$11)+EXP($D$10-$D$9*($A87/$D$7^$D$11))))*$D$6/$D$8</f>
        <v/>
      </c>
      <c r="G87" s="18">
        <f>1-GAMMA.DIST($D$12/$D$8,F87,1,TRUE)</f>
        <v/>
      </c>
    </row>
    <row r="88">
      <c r="A88" s="18" t="n">
        <v>0.02305584205313995</v>
      </c>
      <c r="B88" s="19">
        <f>$B$13*(($B$9*($A88/$B$7^$B$11))/($B$9*($A88/$B$7^$B$11)+EXP($B$10-$B$9*($A88/$B$7^$B$11))))*$B$6/$B$8</f>
        <v/>
      </c>
      <c r="C88" s="18">
        <f>1-GAMMA.DIST($B$12/$B$8,B88,1,TRUE)</f>
        <v/>
      </c>
      <c r="D88" s="19">
        <f>$C$13*(($C$9*($A88/$C$7^$C$11))/($C$9*($A88/$C$7^$C$11)+EXP($C$10-$C$9*($A88/$C$7^$C$11))))*$C$6/$C$8</f>
        <v/>
      </c>
      <c r="E88" s="18">
        <f>1-GAMMA.DIST($C$12/$C$8,D88,1,TRUE)</f>
        <v/>
      </c>
      <c r="F88" s="19">
        <f>$D$13*(($D$9*($A88/$D$7^$D$11))/($D$9*($A88/$D$7^$D$11)+EXP($D$10-$D$9*($A88/$D$7^$D$11))))*$D$6/$D$8</f>
        <v/>
      </c>
      <c r="G88" s="18">
        <f>1-GAMMA.DIST($D$12/$D$8,F88,1,TRUE)</f>
        <v/>
      </c>
    </row>
    <row r="89">
      <c r="A89" s="18" t="n">
        <v>0.02647374135121977</v>
      </c>
      <c r="B89" s="19">
        <f>$B$13*(($B$9*($A89/$B$7^$B$11))/($B$9*($A89/$B$7^$B$11)+EXP($B$10-$B$9*($A89/$B$7^$B$11))))*$B$6/$B$8</f>
        <v/>
      </c>
      <c r="C89" s="18">
        <f>1-GAMMA.DIST($B$12/$B$8,B89,1,TRUE)</f>
        <v/>
      </c>
      <c r="D89" s="19">
        <f>$C$13*(($C$9*($A89/$C$7^$C$11))/($C$9*($A89/$C$7^$C$11)+EXP($C$10-$C$9*($A89/$C$7^$C$11))))*$C$6/$C$8</f>
        <v/>
      </c>
      <c r="E89" s="18">
        <f>1-GAMMA.DIST($C$12/$C$8,D89,1,TRUE)</f>
        <v/>
      </c>
      <c r="F89" s="19">
        <f>$D$13*(($D$9*($A89/$D$7^$D$11))/($D$9*($A89/$D$7^$D$11)+EXP($D$10-$D$9*($A89/$D$7^$D$11))))*$D$6/$D$8</f>
        <v/>
      </c>
      <c r="G89" s="18">
        <f>1-GAMMA.DIST($D$12/$D$8,F89,1,TRUE)</f>
        <v/>
      </c>
    </row>
    <row r="90">
      <c r="A90" s="18" t="n">
        <v>0.03039832505427117</v>
      </c>
      <c r="B90" s="19">
        <f>$B$13*(($B$9*($A90/$B$7^$B$11))/($B$9*($A90/$B$7^$B$11)+EXP($B$10-$B$9*($A90/$B$7^$B$11))))*$B$6/$B$8</f>
        <v/>
      </c>
      <c r="C90" s="18">
        <f>1-GAMMA.DIST($B$12/$B$8,B90,1,TRUE)</f>
        <v/>
      </c>
      <c r="D90" s="19">
        <f>$C$13*(($C$9*($A90/$C$7^$C$11))/($C$9*($A90/$C$7^$C$11)+EXP($C$10-$C$9*($A90/$C$7^$C$11))))*$C$6/$C$8</f>
        <v/>
      </c>
      <c r="E90" s="18">
        <f>1-GAMMA.DIST($C$12/$C$8,D90,1,TRUE)</f>
        <v/>
      </c>
      <c r="F90" s="19">
        <f>$D$13*(($D$9*($A90/$D$7^$D$11))/($D$9*($A90/$D$7^$D$11)+EXP($D$10-$D$9*($A90/$D$7^$D$11))))*$D$6/$D$8</f>
        <v/>
      </c>
      <c r="G90" s="18">
        <f>1-GAMMA.DIST($D$12/$D$8,F90,1,TRUE)</f>
        <v/>
      </c>
    </row>
    <row r="91">
      <c r="A91" s="18" t="n">
        <v>0.03490470628408385</v>
      </c>
      <c r="B91" s="19">
        <f>$B$13*(($B$9*($A91/$B$7^$B$11))/($B$9*($A91/$B$7^$B$11)+EXP($B$10-$B$9*($A91/$B$7^$B$11))))*$B$6/$B$8</f>
        <v/>
      </c>
      <c r="C91" s="18">
        <f>1-GAMMA.DIST($B$12/$B$8,B91,1,TRUE)</f>
        <v/>
      </c>
      <c r="D91" s="19">
        <f>$C$13*(($C$9*($A91/$C$7^$C$11))/($C$9*($A91/$C$7^$C$11)+EXP($C$10-$C$9*($A91/$C$7^$C$11))))*$C$6/$C$8</f>
        <v/>
      </c>
      <c r="E91" s="18">
        <f>1-GAMMA.DIST($C$12/$C$8,D91,1,TRUE)</f>
        <v/>
      </c>
      <c r="F91" s="19">
        <f>$D$13*(($D$9*($A91/$D$7^$D$11))/($D$9*($A91/$D$7^$D$11)+EXP($D$10-$D$9*($A91/$D$7^$D$11))))*$D$6/$D$8</f>
        <v/>
      </c>
      <c r="G91" s="18">
        <f>1-GAMMA.DIST($D$12/$D$8,F91,1,TRUE)</f>
        <v/>
      </c>
    </row>
    <row r="92">
      <c r="A92" s="18" t="n">
        <v>0.04007913326155373</v>
      </c>
      <c r="B92" s="19">
        <f>$B$13*(($B$9*($A92/$B$7^$B$11))/($B$9*($A92/$B$7^$B$11)+EXP($B$10-$B$9*($A92/$B$7^$B$11))))*$B$6/$B$8</f>
        <v/>
      </c>
      <c r="C92" s="18">
        <f>1-GAMMA.DIST($B$12/$B$8,B92,1,TRUE)</f>
        <v/>
      </c>
      <c r="D92" s="19">
        <f>$C$13*(($C$9*($A92/$C$7^$C$11))/($C$9*($A92/$C$7^$C$11)+EXP($C$10-$C$9*($A92/$C$7^$C$11))))*$C$6/$C$8</f>
        <v/>
      </c>
      <c r="E92" s="18">
        <f>1-GAMMA.DIST($C$12/$C$8,D92,1,TRUE)</f>
        <v/>
      </c>
      <c r="F92" s="19">
        <f>$D$13*(($D$9*($A92/$D$7^$D$11))/($D$9*($A92/$D$7^$D$11)+EXP($D$10-$D$9*($A92/$D$7^$D$11))))*$D$6/$D$8</f>
        <v/>
      </c>
      <c r="G92" s="18">
        <f>1-GAMMA.DIST($D$12/$D$8,F92,1,TRUE)</f>
        <v/>
      </c>
    </row>
    <row r="93">
      <c r="A93" s="18" t="n">
        <v>0.04602064002268527</v>
      </c>
      <c r="B93" s="19">
        <f>$B$13*(($B$9*($A93/$B$7^$B$11))/($B$9*($A93/$B$7^$B$11)+EXP($B$10-$B$9*($A93/$B$7^$B$11))))*$B$6/$B$8</f>
        <v/>
      </c>
      <c r="C93" s="18">
        <f>1-GAMMA.DIST($B$12/$B$8,B93,1,TRUE)</f>
        <v/>
      </c>
      <c r="D93" s="19">
        <f>$C$13*(($C$9*($A93/$C$7^$C$11))/($C$9*($A93/$C$7^$C$11)+EXP($C$10-$C$9*($A93/$C$7^$C$11))))*$C$6/$C$8</f>
        <v/>
      </c>
      <c r="E93" s="18">
        <f>1-GAMMA.DIST($C$12/$C$8,D93,1,TRUE)</f>
        <v/>
      </c>
      <c r="F93" s="19">
        <f>$D$13*(($D$9*($A93/$D$7^$D$11))/($D$9*($A93/$D$7^$D$11)+EXP($D$10-$D$9*($A93/$D$7^$D$11))))*$D$6/$D$8</f>
        <v/>
      </c>
      <c r="G93" s="18">
        <f>1-GAMMA.DIST($D$12/$D$8,F93,1,TRUE)</f>
        <v/>
      </c>
    </row>
    <row r="94">
      <c r="A94" s="18" t="n">
        <v>0.05284294184398428</v>
      </c>
      <c r="B94" s="19">
        <f>$B$13*(($B$9*($A94/$B$7^$B$11))/($B$9*($A94/$B$7^$B$11)+EXP($B$10-$B$9*($A94/$B$7^$B$11))))*$B$6/$B$8</f>
        <v/>
      </c>
      <c r="C94" s="18">
        <f>1-GAMMA.DIST($B$12/$B$8,B94,1,TRUE)</f>
        <v/>
      </c>
      <c r="D94" s="19">
        <f>$C$13*(($C$9*($A94/$C$7^$C$11))/($C$9*($A94/$C$7^$C$11)+EXP($C$10-$C$9*($A94/$C$7^$C$11))))*$C$6/$C$8</f>
        <v/>
      </c>
      <c r="E94" s="18">
        <f>1-GAMMA.DIST($C$12/$C$8,D94,1,TRUE)</f>
        <v/>
      </c>
      <c r="F94" s="19">
        <f>$D$13*(($D$9*($A94/$D$7^$D$11))/($D$9*($A94/$D$7^$D$11)+EXP($D$10-$D$9*($A94/$D$7^$D$11))))*$D$6/$D$8</f>
        <v/>
      </c>
      <c r="G94" s="18">
        <f>1-GAMMA.DIST($D$12/$D$8,F94,1,TRUE)</f>
        <v/>
      </c>
    </row>
    <row r="95">
      <c r="A95" s="18" t="n">
        <v>0.06067661165403703</v>
      </c>
      <c r="B95" s="19">
        <f>$B$13*(($B$9*($A95/$B$7^$B$11))/($B$9*($A95/$B$7^$B$11)+EXP($B$10-$B$9*($A95/$B$7^$B$11))))*$B$6/$B$8</f>
        <v/>
      </c>
      <c r="C95" s="18">
        <f>1-GAMMA.DIST($B$12/$B$8,B95,1,TRUE)</f>
        <v/>
      </c>
      <c r="D95" s="19">
        <f>$C$13*(($C$9*($A95/$C$7^$C$11))/($C$9*($A95/$C$7^$C$11)+EXP($C$10-$C$9*($A95/$C$7^$C$11))))*$C$6/$C$8</f>
        <v/>
      </c>
      <c r="E95" s="18">
        <f>1-GAMMA.DIST($C$12/$C$8,D95,1,TRUE)</f>
        <v/>
      </c>
      <c r="F95" s="19">
        <f>$D$13*(($D$9*($A95/$D$7^$D$11))/($D$9*($A95/$D$7^$D$11)+EXP($D$10-$D$9*($A95/$D$7^$D$11))))*$D$6/$D$8</f>
        <v/>
      </c>
      <c r="G95" s="18">
        <f>1-GAMMA.DIST($D$12/$D$8,F95,1,TRUE)</f>
        <v/>
      </c>
    </row>
    <row r="96">
      <c r="A96" s="18" t="n">
        <v>0.06967157908590101</v>
      </c>
      <c r="B96" s="19">
        <f>$B$13*(($B$9*($A96/$B$7^$B$11))/($B$9*($A96/$B$7^$B$11)+EXP($B$10-$B$9*($A96/$B$7^$B$11))))*$B$6/$B$8</f>
        <v/>
      </c>
      <c r="C96" s="18">
        <f>1-GAMMA.DIST($B$12/$B$8,B96,1,TRUE)</f>
        <v/>
      </c>
      <c r="D96" s="19">
        <f>$C$13*(($C$9*($A96/$C$7^$C$11))/($C$9*($A96/$C$7^$C$11)+EXP($C$10-$C$9*($A96/$C$7^$C$11))))*$C$6/$C$8</f>
        <v/>
      </c>
      <c r="E96" s="18">
        <f>1-GAMMA.DIST($C$12/$C$8,D96,1,TRUE)</f>
        <v/>
      </c>
      <c r="F96" s="19">
        <f>$D$13*(($D$9*($A96/$D$7^$D$11))/($D$9*($A96/$D$7^$D$11)+EXP($D$10-$D$9*($A96/$D$7^$D$11))))*$D$6/$D$8</f>
        <v/>
      </c>
      <c r="G96" s="18">
        <f>1-GAMMA.DIST($D$12/$D$8,F96,1,TRUE)</f>
        <v/>
      </c>
    </row>
    <row r="97">
      <c r="A97" s="18" t="n">
        <v>0.08</v>
      </c>
      <c r="B97" s="19">
        <f>$B$13*(($B$9*($A97/$B$7^$B$11))/($B$9*($A97/$B$7^$B$11)+EXP($B$10-$B$9*($A97/$B$7^$B$11))))*$B$6/$B$8</f>
        <v/>
      </c>
      <c r="C97" s="18">
        <f>1-GAMMA.DIST($B$12/$B$8,B97,1,TRUE)</f>
        <v/>
      </c>
      <c r="D97" s="19">
        <f>$C$13*(($C$9*($A97/$C$7^$C$11))/($C$9*($A97/$C$7^$C$11)+EXP($C$10-$C$9*($A97/$C$7^$C$11))))*$C$6/$C$8</f>
        <v/>
      </c>
      <c r="E97" s="18">
        <f>1-GAMMA.DIST($C$12/$C$8,D97,1,TRUE)</f>
        <v/>
      </c>
      <c r="F97" s="19">
        <f>$D$13*(($D$9*($A97/$D$7^$D$11))/($D$9*($A97/$D$7^$D$11)+EXP($D$10-$D$9*($A97/$D$7^$D$11))))*$D$6/$D$8</f>
        <v/>
      </c>
      <c r="G97" s="18">
        <f>1-GAMMA.DIST($D$12/$D$8,F97,1,TRUE)</f>
        <v/>
      </c>
    </row>
    <row r="99">
      <c r="A99" t="inlineStr">
        <is>
          <t>Interpolated: Cost @ Target Confidence alpha  (Grid 1)</t>
        </is>
      </c>
      <c r="B99" s="15">
        <f>INDEX($A$37:$A$97,MATCH(B15,$C$37:$C$97,1))+(B15-INDEX($C$37:$C$97,MATCH(B15,$C$37:$C$97,1)))/(INDEX($C$37:$C$97,MATCH(B15,$C$37:$C$97,1)+1)-INDEX($C$37:$C$97,MATCH(B15,$C$37:$C$97,1)))*(INDEX($A$37:$A$97,MATCH(B15,$C$37:$C$97,1)+1)-INDEX($A$37:$A$97,MATCH(B15,$C$37:$C$97,1)))</f>
        <v/>
      </c>
      <c r="C99" s="15">
        <f>INDEX($A$37:$A$97,MATCH(C15,$E$37:$E$97,1))+(C15-INDEX($E$37:$E$97,MATCH(C15,$E$37:$E$97,1)))/(INDEX($E$37:$E$97,MATCH(C15,$E$37:$E$97,1)+1)-INDEX($E$37:$E$97,MATCH(C15,$E$37:$E$97,1)))*(INDEX($A$37:$A$97,MATCH(C15,$E$37:$E$97,1)+1)-INDEX($A$37:$A$97,MATCH(C15,$E$37:$E$97,1)))</f>
        <v/>
      </c>
      <c r="D99" s="15">
        <f>INDEX($A$37:$A$97,MATCH(D15,$G$37:$G$97,1))+(D15-INDEX($G$37:$G$97,MATCH(D15,$G$37:$G$97,1)))/(INDEX($G$37:$G$97,MATCH(D15,$G$37:$G$97,1)+1)-INDEX($G$37:$G$97,MATCH(D15,$G$37:$G$97,1)))*(INDEX($A$37:$A$97,MATCH(D15,$G$37:$G$97,1)+1)-INDEX($A$37:$A$97,MATCH(D15,$G$37:$G$97,1)))</f>
        <v/>
      </c>
    </row>
    <row r="102">
      <c r="A102" s="5" t="inlineStr">
        <is>
          <t>GRID 2 — Horizon-Confidence lookup  (T = days; holds Cost Ceiling=y, Target Volume=Vbar)</t>
        </is>
      </c>
    </row>
    <row r="103">
      <c r="A103" s="7" t="inlineStr">
        <is>
          <t>T (days)</t>
        </is>
      </c>
      <c r="B103" s="7" t="inlineStr">
        <is>
          <t>Govt: k(y,T)</t>
        </is>
      </c>
      <c r="C103" s="7" t="inlineStr">
        <is>
          <t>Govt: Q(Horizon&lt;=T)</t>
        </is>
      </c>
      <c r="D103" s="7" t="inlineStr">
        <is>
          <t>IGCorp: k(y,T)</t>
        </is>
      </c>
      <c r="E103" s="7" t="inlineStr">
        <is>
          <t>IGCorp: Q(Horizon&lt;=T)</t>
        </is>
      </c>
      <c r="F103" s="7" t="inlineStr">
        <is>
          <t>HYCorp: k(y,T)</t>
        </is>
      </c>
      <c r="G103" s="7" t="inlineStr">
        <is>
          <t>HYCorp: Q(Horizon&lt;=T)</t>
        </is>
      </c>
    </row>
    <row r="104">
      <c r="A104" s="19" t="n">
        <v>0.02</v>
      </c>
      <c r="B104" s="19">
        <f>$A104*(($B$9*($B$14/$B$7^$B$11))/($B$9*($B$14/$B$7^$B$11)+EXP($B$10-$B$9*($B$14/$B$7^$B$11))))*$B$6/$B$8</f>
        <v/>
      </c>
      <c r="C104" s="18">
        <f>1-GAMMA.DIST($B$12/$B$8,B104,1,TRUE)</f>
        <v/>
      </c>
      <c r="D104" s="19">
        <f>$A104*(($C$9*($C$14/$C$7^$C$11))/($C$9*($C$14/$C$7^$C$11)+EXP($C$10-$C$9*($C$14/$C$7^$C$11))))*$C$6/$C$8</f>
        <v/>
      </c>
      <c r="E104" s="18">
        <f>1-GAMMA.DIST($C$12/$C$8,D104,1,TRUE)</f>
        <v/>
      </c>
      <c r="F104" s="19">
        <f>$A104*(($D$9*($D$14/$D$7^$D$11))/($D$9*($D$14/$D$7^$D$11)+EXP($D$10-$D$9*($D$14/$D$7^$D$11))))*$D$6/$D$8</f>
        <v/>
      </c>
      <c r="G104" s="18">
        <f>1-GAMMA.DIST($D$12/$D$8,F104,1,TRUE)</f>
        <v/>
      </c>
    </row>
    <row r="105">
      <c r="A105" s="19" t="n">
        <v>0.02270111361498761</v>
      </c>
      <c r="B105" s="19">
        <f>$A105*(($B$9*($B$14/$B$7^$B$11))/($B$9*($B$14/$B$7^$B$11)+EXP($B$10-$B$9*($B$14/$B$7^$B$11))))*$B$6/$B$8</f>
        <v/>
      </c>
      <c r="C105" s="18">
        <f>1-GAMMA.DIST($B$12/$B$8,B105,1,TRUE)</f>
        <v/>
      </c>
      <c r="D105" s="19">
        <f>$A105*(($C$9*($C$14/$C$7^$C$11))/($C$9*($C$14/$C$7^$C$11)+EXP($C$10-$C$9*($C$14/$C$7^$C$11))))*$C$6/$C$8</f>
        <v/>
      </c>
      <c r="E105" s="18">
        <f>1-GAMMA.DIST($C$12/$C$8,D105,1,TRUE)</f>
        <v/>
      </c>
      <c r="F105" s="19">
        <f>$A105*(($D$9*($D$14/$D$7^$D$11))/($D$9*($D$14/$D$7^$D$11)+EXP($D$10-$D$9*($D$14/$D$7^$D$11))))*$D$6/$D$8</f>
        <v/>
      </c>
      <c r="G105" s="18">
        <f>1-GAMMA.DIST($D$12/$D$8,F105,1,TRUE)</f>
        <v/>
      </c>
    </row>
    <row r="106">
      <c r="A106" s="19" t="n">
        <v>0.02576702796802879</v>
      </c>
      <c r="B106" s="19">
        <f>$A106*(($B$9*($B$14/$B$7^$B$11))/($B$9*($B$14/$B$7^$B$11)+EXP($B$10-$B$9*($B$14/$B$7^$B$11))))*$B$6/$B$8</f>
        <v/>
      </c>
      <c r="C106" s="18">
        <f>1-GAMMA.DIST($B$12/$B$8,B106,1,TRUE)</f>
        <v/>
      </c>
      <c r="D106" s="19">
        <f>$A106*(($C$9*($C$14/$C$7^$C$11))/($C$9*($C$14/$C$7^$C$11)+EXP($C$10-$C$9*($C$14/$C$7^$C$11))))*$C$6/$C$8</f>
        <v/>
      </c>
      <c r="E106" s="18">
        <f>1-GAMMA.DIST($C$12/$C$8,D106,1,TRUE)</f>
        <v/>
      </c>
      <c r="F106" s="19">
        <f>$A106*(($D$9*($D$14/$D$7^$D$11))/($D$9*($D$14/$D$7^$D$11)+EXP($D$10-$D$9*($D$14/$D$7^$D$11))))*$D$6/$D$8</f>
        <v/>
      </c>
      <c r="G106" s="18">
        <f>1-GAMMA.DIST($D$12/$D$8,F106,1,TRUE)</f>
        <v/>
      </c>
    </row>
    <row r="107">
      <c r="A107" s="19" t="n">
        <v>0.02924701147113925</v>
      </c>
      <c r="B107" s="19">
        <f>$A107*(($B$9*($B$14/$B$7^$B$11))/($B$9*($B$14/$B$7^$B$11)+EXP($B$10-$B$9*($B$14/$B$7^$B$11))))*$B$6/$B$8</f>
        <v/>
      </c>
      <c r="C107" s="18">
        <f>1-GAMMA.DIST($B$12/$B$8,B107,1,TRUE)</f>
        <v/>
      </c>
      <c r="D107" s="19">
        <f>$A107*(($C$9*($C$14/$C$7^$C$11))/($C$9*($C$14/$C$7^$C$11)+EXP($C$10-$C$9*($C$14/$C$7^$C$11))))*$C$6/$C$8</f>
        <v/>
      </c>
      <c r="E107" s="18">
        <f>1-GAMMA.DIST($C$12/$C$8,D107,1,TRUE)</f>
        <v/>
      </c>
      <c r="F107" s="19">
        <f>$A107*(($D$9*($D$14/$D$7^$D$11))/($D$9*($D$14/$D$7^$D$11)+EXP($D$10-$D$9*($D$14/$D$7^$D$11))))*$D$6/$D$8</f>
        <v/>
      </c>
      <c r="G107" s="18">
        <f>1-GAMMA.DIST($D$12/$D$8,F107,1,TRUE)</f>
        <v/>
      </c>
    </row>
    <row r="108">
      <c r="A108" s="19" t="n">
        <v>0.03319698651525889</v>
      </c>
      <c r="B108" s="19">
        <f>$A108*(($B$9*($B$14/$B$7^$B$11))/($B$9*($B$14/$B$7^$B$11)+EXP($B$10-$B$9*($B$14/$B$7^$B$11))))*$B$6/$B$8</f>
        <v/>
      </c>
      <c r="C108" s="18">
        <f>1-GAMMA.DIST($B$12/$B$8,B108,1,TRUE)</f>
        <v/>
      </c>
      <c r="D108" s="19">
        <f>$A108*(($C$9*($C$14/$C$7^$C$11))/($C$9*($C$14/$C$7^$C$11)+EXP($C$10-$C$9*($C$14/$C$7^$C$11))))*$C$6/$C$8</f>
        <v/>
      </c>
      <c r="E108" s="18">
        <f>1-GAMMA.DIST($C$12/$C$8,D108,1,TRUE)</f>
        <v/>
      </c>
      <c r="F108" s="19">
        <f>$A108*(($D$9*($D$14/$D$7^$D$11))/($D$9*($D$14/$D$7^$D$11)+EXP($D$10-$D$9*($D$14/$D$7^$D$11))))*$D$6/$D$8</f>
        <v/>
      </c>
      <c r="G108" s="18">
        <f>1-GAMMA.DIST($D$12/$D$8,F108,1,TRUE)</f>
        <v/>
      </c>
    </row>
    <row r="109">
      <c r="A109" s="19" t="n">
        <v>0.03768042812790518</v>
      </c>
      <c r="B109" s="19">
        <f>$A109*(($B$9*($B$14/$B$7^$B$11))/($B$9*($B$14/$B$7^$B$11)+EXP($B$10-$B$9*($B$14/$B$7^$B$11))))*$B$6/$B$8</f>
        <v/>
      </c>
      <c r="C109" s="18">
        <f>1-GAMMA.DIST($B$12/$B$8,B109,1,TRUE)</f>
        <v/>
      </c>
      <c r="D109" s="19">
        <f>$A109*(($C$9*($C$14/$C$7^$C$11))/($C$9*($C$14/$C$7^$C$11)+EXP($C$10-$C$9*($C$14/$C$7^$C$11))))*$C$6/$C$8</f>
        <v/>
      </c>
      <c r="E109" s="18">
        <f>1-GAMMA.DIST($C$12/$C$8,D109,1,TRUE)</f>
        <v/>
      </c>
      <c r="F109" s="19">
        <f>$A109*(($D$9*($D$14/$D$7^$D$11))/($D$9*($D$14/$D$7^$D$11)+EXP($D$10-$D$9*($D$14/$D$7^$D$11))))*$D$6/$D$8</f>
        <v/>
      </c>
      <c r="G109" s="18">
        <f>1-GAMMA.DIST($D$12/$D$8,F109,1,TRUE)</f>
        <v/>
      </c>
    </row>
    <row r="110">
      <c r="A110" s="19" t="n">
        <v>0.04276938399964753</v>
      </c>
      <c r="B110" s="19">
        <f>$A110*(($B$9*($B$14/$B$7^$B$11))/($B$9*($B$14/$B$7^$B$11)+EXP($B$10-$B$9*($B$14/$B$7^$B$11))))*$B$6/$B$8</f>
        <v/>
      </c>
      <c r="C110" s="18">
        <f>1-GAMMA.DIST($B$12/$B$8,B110,1,TRUE)</f>
        <v/>
      </c>
      <c r="D110" s="19">
        <f>$A110*(($C$9*($C$14/$C$7^$C$11))/($C$9*($C$14/$C$7^$C$11)+EXP($C$10-$C$9*($C$14/$C$7^$C$11))))*$C$6/$C$8</f>
        <v/>
      </c>
      <c r="E110" s="18">
        <f>1-GAMMA.DIST($C$12/$C$8,D110,1,TRUE)</f>
        <v/>
      </c>
      <c r="F110" s="19">
        <f>$A110*(($D$9*($D$14/$D$7^$D$11))/($D$9*($D$14/$D$7^$D$11)+EXP($D$10-$D$9*($D$14/$D$7^$D$11))))*$D$6/$D$8</f>
        <v/>
      </c>
      <c r="G110" s="18">
        <f>1-GAMMA.DIST($D$12/$D$8,F110,1,TRUE)</f>
        <v/>
      </c>
    </row>
    <row r="111">
      <c r="A111" s="19" t="n">
        <v>0.04854563227095158</v>
      </c>
      <c r="B111" s="19">
        <f>$A111*(($B$9*($B$14/$B$7^$B$11))/($B$9*($B$14/$B$7^$B$11)+EXP($B$10-$B$9*($B$14/$B$7^$B$11))))*$B$6/$B$8</f>
        <v/>
      </c>
      <c r="C111" s="18">
        <f>1-GAMMA.DIST($B$12/$B$8,B111,1,TRUE)</f>
        <v/>
      </c>
      <c r="D111" s="19">
        <f>$A111*(($C$9*($C$14/$C$7^$C$11))/($C$9*($C$14/$C$7^$C$11)+EXP($C$10-$C$9*($C$14/$C$7^$C$11))))*$C$6/$C$8</f>
        <v/>
      </c>
      <c r="E111" s="18">
        <f>1-GAMMA.DIST($C$12/$C$8,D111,1,TRUE)</f>
        <v/>
      </c>
      <c r="F111" s="19">
        <f>$A111*(($D$9*($D$14/$D$7^$D$11))/($D$9*($D$14/$D$7^$D$11)+EXP($D$10-$D$9*($D$14/$D$7^$D$11))))*$D$6/$D$8</f>
        <v/>
      </c>
      <c r="G111" s="18">
        <f>1-GAMMA.DIST($D$12/$D$8,F111,1,TRUE)</f>
        <v/>
      </c>
    </row>
    <row r="112">
      <c r="A112" s="19" t="n">
        <v>0.05510199568471404</v>
      </c>
      <c r="B112" s="19">
        <f>$A112*(($B$9*($B$14/$B$7^$B$11))/($B$9*($B$14/$B$7^$B$11)+EXP($B$10-$B$9*($B$14/$B$7^$B$11))))*$B$6/$B$8</f>
        <v/>
      </c>
      <c r="C112" s="18">
        <f>1-GAMMA.DIST($B$12/$B$8,B112,1,TRUE)</f>
        <v/>
      </c>
      <c r="D112" s="19">
        <f>$A112*(($C$9*($C$14/$C$7^$C$11))/($C$9*($C$14/$C$7^$C$11)+EXP($C$10-$C$9*($C$14/$C$7^$C$11))))*$C$6/$C$8</f>
        <v/>
      </c>
      <c r="E112" s="18">
        <f>1-GAMMA.DIST($C$12/$C$8,D112,1,TRUE)</f>
        <v/>
      </c>
      <c r="F112" s="19">
        <f>$A112*(($D$9*($D$14/$D$7^$D$11))/($D$9*($D$14/$D$7^$D$11)+EXP($D$10-$D$9*($D$14/$D$7^$D$11))))*$D$6/$D$8</f>
        <v/>
      </c>
      <c r="G112" s="18">
        <f>1-GAMMA.DIST($D$12/$D$8,F112,1,TRUE)</f>
        <v/>
      </c>
    </row>
    <row r="113">
      <c r="A113" s="19" t="n">
        <v>0.0625438332225625</v>
      </c>
      <c r="B113" s="19">
        <f>$A113*(($B$9*($B$14/$B$7^$B$11))/($B$9*($B$14/$B$7^$B$11)+EXP($B$10-$B$9*($B$14/$B$7^$B$11))))*$B$6/$B$8</f>
        <v/>
      </c>
      <c r="C113" s="18">
        <f>1-GAMMA.DIST($B$12/$B$8,B113,1,TRUE)</f>
        <v/>
      </c>
      <c r="D113" s="19">
        <f>$A113*(($C$9*($C$14/$C$7^$C$11))/($C$9*($C$14/$C$7^$C$11)+EXP($C$10-$C$9*($C$14/$C$7^$C$11))))*$C$6/$C$8</f>
        <v/>
      </c>
      <c r="E113" s="18">
        <f>1-GAMMA.DIST($C$12/$C$8,D113,1,TRUE)</f>
        <v/>
      </c>
      <c r="F113" s="19">
        <f>$A113*(($D$9*($D$14/$D$7^$D$11))/($D$9*($D$14/$D$7^$D$11)+EXP($D$10-$D$9*($D$14/$D$7^$D$11))))*$D$6/$D$8</f>
        <v/>
      </c>
      <c r="G113" s="18">
        <f>1-GAMMA.DIST($D$12/$D$8,F113,1,TRUE)</f>
        <v/>
      </c>
    </row>
    <row r="114">
      <c r="A114" s="19" t="n">
        <v>0.0709907331951114</v>
      </c>
      <c r="B114" s="19">
        <f>$A114*(($B$9*($B$14/$B$7^$B$11))/($B$9*($B$14/$B$7^$B$11)+EXP($B$10-$B$9*($B$14/$B$7^$B$11))))*$B$6/$B$8</f>
        <v/>
      </c>
      <c r="C114" s="18">
        <f>1-GAMMA.DIST($B$12/$B$8,B114,1,TRUE)</f>
        <v/>
      </c>
      <c r="D114" s="19">
        <f>$A114*(($C$9*($C$14/$C$7^$C$11))/($C$9*($C$14/$C$7^$C$11)+EXP($C$10-$C$9*($C$14/$C$7^$C$11))))*$C$6/$C$8</f>
        <v/>
      </c>
      <c r="E114" s="18">
        <f>1-GAMMA.DIST($C$12/$C$8,D114,1,TRUE)</f>
        <v/>
      </c>
      <c r="F114" s="19">
        <f>$A114*(($D$9*($D$14/$D$7^$D$11))/($D$9*($D$14/$D$7^$D$11)+EXP($D$10-$D$9*($D$14/$D$7^$D$11))))*$D$6/$D$8</f>
        <v/>
      </c>
      <c r="G114" s="18">
        <f>1-GAMMA.DIST($D$12/$D$8,F114,1,TRUE)</f>
        <v/>
      </c>
    </row>
    <row r="115">
      <c r="A115" s="19" t="n">
        <v>0.08057843499367481</v>
      </c>
      <c r="B115" s="19">
        <f>$A115*(($B$9*($B$14/$B$7^$B$11))/($B$9*($B$14/$B$7^$B$11)+EXP($B$10-$B$9*($B$14/$B$7^$B$11))))*$B$6/$B$8</f>
        <v/>
      </c>
      <c r="C115" s="18">
        <f>1-GAMMA.DIST($B$12/$B$8,B115,1,TRUE)</f>
        <v/>
      </c>
      <c r="D115" s="19">
        <f>$A115*(($C$9*($C$14/$C$7^$C$11))/($C$9*($C$14/$C$7^$C$11)+EXP($C$10-$C$9*($C$14/$C$7^$C$11))))*$C$6/$C$8</f>
        <v/>
      </c>
      <c r="E115" s="18">
        <f>1-GAMMA.DIST($C$12/$C$8,D115,1,TRUE)</f>
        <v/>
      </c>
      <c r="F115" s="19">
        <f>$A115*(($D$9*($D$14/$D$7^$D$11))/($D$9*($D$14/$D$7^$D$11)+EXP($D$10-$D$9*($D$14/$D$7^$D$11))))*$D$6/$D$8</f>
        <v/>
      </c>
      <c r="G115" s="18">
        <f>1-GAMMA.DIST($D$12/$D$8,F115,1,TRUE)</f>
        <v/>
      </c>
    </row>
    <row r="116">
      <c r="A116" s="19" t="n">
        <v>0.09146101038546528</v>
      </c>
      <c r="B116" s="19">
        <f>$A116*(($B$9*($B$14/$B$7^$B$11))/($B$9*($B$14/$B$7^$B$11)+EXP($B$10-$B$9*($B$14/$B$7^$B$11))))*$B$6/$B$8</f>
        <v/>
      </c>
      <c r="C116" s="18">
        <f>1-GAMMA.DIST($B$12/$B$8,B116,1,TRUE)</f>
        <v/>
      </c>
      <c r="D116" s="19">
        <f>$A116*(($C$9*($C$14/$C$7^$C$11))/($C$9*($C$14/$C$7^$C$11)+EXP($C$10-$C$9*($C$14/$C$7^$C$11))))*$C$6/$C$8</f>
        <v/>
      </c>
      <c r="E116" s="18">
        <f>1-GAMMA.DIST($C$12/$C$8,D116,1,TRUE)</f>
        <v/>
      </c>
      <c r="F116" s="19">
        <f>$A116*(($D$9*($D$14/$D$7^$D$11))/($D$9*($D$14/$D$7^$D$11)+EXP($D$10-$D$9*($D$14/$D$7^$D$11))))*$D$6/$D$8</f>
        <v/>
      </c>
      <c r="G116" s="18">
        <f>1-GAMMA.DIST($D$12/$D$8,F116,1,TRUE)</f>
        <v/>
      </c>
    </row>
    <row r="117">
      <c r="A117" s="19" t="n">
        <v>0.1038133394051004</v>
      </c>
      <c r="B117" s="19">
        <f>$A117*(($B$9*($B$14/$B$7^$B$11))/($B$9*($B$14/$B$7^$B$11)+EXP($B$10-$B$9*($B$14/$B$7^$B$11))))*$B$6/$B$8</f>
        <v/>
      </c>
      <c r="C117" s="18">
        <f>1-GAMMA.DIST($B$12/$B$8,B117,1,TRUE)</f>
        <v/>
      </c>
      <c r="D117" s="19">
        <f>$A117*(($C$9*($C$14/$C$7^$C$11))/($C$9*($C$14/$C$7^$C$11)+EXP($C$10-$C$9*($C$14/$C$7^$C$11))))*$C$6/$C$8</f>
        <v/>
      </c>
      <c r="E117" s="18">
        <f>1-GAMMA.DIST($C$12/$C$8,D117,1,TRUE)</f>
        <v/>
      </c>
      <c r="F117" s="19">
        <f>$A117*(($D$9*($D$14/$D$7^$D$11))/($D$9*($D$14/$D$7^$D$11)+EXP($D$10-$D$9*($D$14/$D$7^$D$11))))*$D$6/$D$8</f>
        <v/>
      </c>
      <c r="G117" s="18">
        <f>1-GAMMA.DIST($D$12/$D$8,F117,1,TRUE)</f>
        <v/>
      </c>
    </row>
    <row r="118">
      <c r="A118" s="19" t="n">
        <v>0.1178339206293228</v>
      </c>
      <c r="B118" s="19">
        <f>$A118*(($B$9*($B$14/$B$7^$B$11))/($B$9*($B$14/$B$7^$B$11)+EXP($B$10-$B$9*($B$14/$B$7^$B$11))))*$B$6/$B$8</f>
        <v/>
      </c>
      <c r="C118" s="18">
        <f>1-GAMMA.DIST($B$12/$B$8,B118,1,TRUE)</f>
        <v/>
      </c>
      <c r="D118" s="19">
        <f>$A118*(($C$9*($C$14/$C$7^$C$11))/($C$9*($C$14/$C$7^$C$11)+EXP($C$10-$C$9*($C$14/$C$7^$C$11))))*$C$6/$C$8</f>
        <v/>
      </c>
      <c r="E118" s="18">
        <f>1-GAMMA.DIST($C$12/$C$8,D118,1,TRUE)</f>
        <v/>
      </c>
      <c r="F118" s="19">
        <f>$A118*(($D$9*($D$14/$D$7^$D$11))/($D$9*($D$14/$D$7^$D$11)+EXP($D$10-$D$9*($D$14/$D$7^$D$11))))*$D$6/$D$8</f>
        <v/>
      </c>
      <c r="G118" s="18">
        <f>1-GAMMA.DIST($D$12/$D$8,F118,1,TRUE)</f>
        <v/>
      </c>
    </row>
    <row r="119">
      <c r="A119" s="19" t="n">
        <v>0.1337480609952844</v>
      </c>
      <c r="B119" s="19">
        <f>$A119*(($B$9*($B$14/$B$7^$B$11))/($B$9*($B$14/$B$7^$B$11)+EXP($B$10-$B$9*($B$14/$B$7^$B$11))))*$B$6/$B$8</f>
        <v/>
      </c>
      <c r="C119" s="18">
        <f>1-GAMMA.DIST($B$12/$B$8,B119,1,TRUE)</f>
        <v/>
      </c>
      <c r="D119" s="19">
        <f>$A119*(($C$9*($C$14/$C$7^$C$11))/($C$9*($C$14/$C$7^$C$11)+EXP($C$10-$C$9*($C$14/$C$7^$C$11))))*$C$6/$C$8</f>
        <v/>
      </c>
      <c r="E119" s="18">
        <f>1-GAMMA.DIST($C$12/$C$8,D119,1,TRUE)</f>
        <v/>
      </c>
      <c r="F119" s="19">
        <f>$A119*(($D$9*($D$14/$D$7^$D$11))/($D$9*($D$14/$D$7^$D$11)+EXP($D$10-$D$9*($D$14/$D$7^$D$11))))*$D$6/$D$8</f>
        <v/>
      </c>
      <c r="G119" s="18">
        <f>1-GAMMA.DIST($D$12/$D$8,F119,1,TRUE)</f>
        <v/>
      </c>
    </row>
    <row r="120">
      <c r="A120" s="19" t="n">
        <v>0.1518114964219122</v>
      </c>
      <c r="B120" s="19">
        <f>$A120*(($B$9*($B$14/$B$7^$B$11))/($B$9*($B$14/$B$7^$B$11)+EXP($B$10-$B$9*($B$14/$B$7^$B$11))))*$B$6/$B$8</f>
        <v/>
      </c>
      <c r="C120" s="18">
        <f>1-GAMMA.DIST($B$12/$B$8,B120,1,TRUE)</f>
        <v/>
      </c>
      <c r="D120" s="19">
        <f>$A120*(($C$9*($C$14/$C$7^$C$11))/($C$9*($C$14/$C$7^$C$11)+EXP($C$10-$C$9*($C$14/$C$7^$C$11))))*$C$6/$C$8</f>
        <v/>
      </c>
      <c r="E120" s="18">
        <f>1-GAMMA.DIST($C$12/$C$8,D120,1,TRUE)</f>
        <v/>
      </c>
      <c r="F120" s="19">
        <f>$A120*(($D$9*($D$14/$D$7^$D$11))/($D$9*($D$14/$D$7^$D$11)+EXP($D$10-$D$9*($D$14/$D$7^$D$11))))*$D$6/$D$8</f>
        <v/>
      </c>
      <c r="G120" s="18">
        <f>1-GAMMA.DIST($D$12/$D$8,F120,1,TRUE)</f>
        <v/>
      </c>
    </row>
    <row r="121">
      <c r="A121" s="19" t="n">
        <v>0.1723145014167557</v>
      </c>
      <c r="B121" s="19">
        <f>$A121*(($B$9*($B$14/$B$7^$B$11))/($B$9*($B$14/$B$7^$B$11)+EXP($B$10-$B$9*($B$14/$B$7^$B$11))))*$B$6/$B$8</f>
        <v/>
      </c>
      <c r="C121" s="18">
        <f>1-GAMMA.DIST($B$12/$B$8,B121,1,TRUE)</f>
        <v/>
      </c>
      <c r="D121" s="19">
        <f>$A121*(($C$9*($C$14/$C$7^$C$11))/($C$9*($C$14/$C$7^$C$11)+EXP($C$10-$C$9*($C$14/$C$7^$C$11))))*$C$6/$C$8</f>
        <v/>
      </c>
      <c r="E121" s="18">
        <f>1-GAMMA.DIST($C$12/$C$8,D121,1,TRUE)</f>
        <v/>
      </c>
      <c r="F121" s="19">
        <f>$A121*(($D$9*($D$14/$D$7^$D$11))/($D$9*($D$14/$D$7^$D$11)+EXP($D$10-$D$9*($D$14/$D$7^$D$11))))*$D$6/$D$8</f>
        <v/>
      </c>
      <c r="G121" s="18">
        <f>1-GAMMA.DIST($D$12/$D$8,F121,1,TRUE)</f>
        <v/>
      </c>
    </row>
    <row r="122">
      <c r="A122" s="19" t="n">
        <v>0.1955865537085857</v>
      </c>
      <c r="B122" s="19">
        <f>$A122*(($B$9*($B$14/$B$7^$B$11))/($B$9*($B$14/$B$7^$B$11)+EXP($B$10-$B$9*($B$14/$B$7^$B$11))))*$B$6/$B$8</f>
        <v/>
      </c>
      <c r="C122" s="18">
        <f>1-GAMMA.DIST($B$12/$B$8,B122,1,TRUE)</f>
        <v/>
      </c>
      <c r="D122" s="19">
        <f>$A122*(($C$9*($C$14/$C$7^$C$11))/($C$9*($C$14/$C$7^$C$11)+EXP($C$10-$C$9*($C$14/$C$7^$C$11))))*$C$6/$C$8</f>
        <v/>
      </c>
      <c r="E122" s="18">
        <f>1-GAMMA.DIST($C$12/$C$8,D122,1,TRUE)</f>
        <v/>
      </c>
      <c r="F122" s="19">
        <f>$A122*(($D$9*($D$14/$D$7^$D$11))/($D$9*($D$14/$D$7^$D$11)+EXP($D$10-$D$9*($D$14/$D$7^$D$11))))*$D$6/$D$8</f>
        <v/>
      </c>
      <c r="G122" s="18">
        <f>1-GAMMA.DIST($D$12/$D$8,F122,1,TRUE)</f>
        <v/>
      </c>
    </row>
    <row r="123">
      <c r="A123" s="19" t="n">
        <v>0.222001628865124</v>
      </c>
      <c r="B123" s="19">
        <f>$A123*(($B$9*($B$14/$B$7^$B$11))/($B$9*($B$14/$B$7^$B$11)+EXP($B$10-$B$9*($B$14/$B$7^$B$11))))*$B$6/$B$8</f>
        <v/>
      </c>
      <c r="C123" s="18">
        <f>1-GAMMA.DIST($B$12/$B$8,B123,1,TRUE)</f>
        <v/>
      </c>
      <c r="D123" s="19">
        <f>$A123*(($C$9*($C$14/$C$7^$C$11))/($C$9*($C$14/$C$7^$C$11)+EXP($C$10-$C$9*($C$14/$C$7^$C$11))))*$C$6/$C$8</f>
        <v/>
      </c>
      <c r="E123" s="18">
        <f>1-GAMMA.DIST($C$12/$C$8,D123,1,TRUE)</f>
        <v/>
      </c>
      <c r="F123" s="19">
        <f>$A123*(($D$9*($D$14/$D$7^$D$11))/($D$9*($D$14/$D$7^$D$11)+EXP($D$10-$D$9*($D$14/$D$7^$D$11))))*$D$6/$D$8</f>
        <v/>
      </c>
      <c r="G123" s="18">
        <f>1-GAMMA.DIST($D$12/$D$8,F123,1,TRUE)</f>
        <v/>
      </c>
    </row>
    <row r="124">
      <c r="A124" s="19" t="n">
        <v>0.2519842099789746</v>
      </c>
      <c r="B124" s="19">
        <f>$A124*(($B$9*($B$14/$B$7^$B$11))/($B$9*($B$14/$B$7^$B$11)+EXP($B$10-$B$9*($B$14/$B$7^$B$11))))*$B$6/$B$8</f>
        <v/>
      </c>
      <c r="C124" s="18">
        <f>1-GAMMA.DIST($B$12/$B$8,B124,1,TRUE)</f>
        <v/>
      </c>
      <c r="D124" s="19">
        <f>$A124*(($C$9*($C$14/$C$7^$C$11))/($C$9*($C$14/$C$7^$C$11)+EXP($C$10-$C$9*($C$14/$C$7^$C$11))))*$C$6/$C$8</f>
        <v/>
      </c>
      <c r="E124" s="18">
        <f>1-GAMMA.DIST($C$12/$C$8,D124,1,TRUE)</f>
        <v/>
      </c>
      <c r="F124" s="19">
        <f>$A124*(($D$9*($D$14/$D$7^$D$11))/($D$9*($D$14/$D$7^$D$11)+EXP($D$10-$D$9*($D$14/$D$7^$D$11))))*$D$6/$D$8</f>
        <v/>
      </c>
      <c r="G124" s="18">
        <f>1-GAMMA.DIST($D$12/$D$8,F124,1,TRUE)</f>
        <v/>
      </c>
    </row>
    <row r="125">
      <c r="A125" s="19" t="n">
        <v>0.2860161089957798</v>
      </c>
      <c r="B125" s="19">
        <f>$A125*(($B$9*($B$14/$B$7^$B$11))/($B$9*($B$14/$B$7^$B$11)+EXP($B$10-$B$9*($B$14/$B$7^$B$11))))*$B$6/$B$8</f>
        <v/>
      </c>
      <c r="C125" s="18">
        <f>1-GAMMA.DIST($B$12/$B$8,B125,1,TRUE)</f>
        <v/>
      </c>
      <c r="D125" s="19">
        <f>$A125*(($C$9*($C$14/$C$7^$C$11))/($C$9*($C$14/$C$7^$C$11)+EXP($C$10-$C$9*($C$14/$C$7^$C$11))))*$C$6/$C$8</f>
        <v/>
      </c>
      <c r="E125" s="18">
        <f>1-GAMMA.DIST($C$12/$C$8,D125,1,TRUE)</f>
        <v/>
      </c>
      <c r="F125" s="19">
        <f>$A125*(($D$9*($D$14/$D$7^$D$11))/($D$9*($D$14/$D$7^$D$11)+EXP($D$10-$D$9*($D$14/$D$7^$D$11))))*$D$6/$D$8</f>
        <v/>
      </c>
      <c r="G125" s="18">
        <f>1-GAMMA.DIST($D$12/$D$8,F125,1,TRUE)</f>
        <v/>
      </c>
    </row>
    <row r="126">
      <c r="A126" s="19" t="n">
        <v>0.3246442093014939</v>
      </c>
      <c r="B126" s="19">
        <f>$A126*(($B$9*($B$14/$B$7^$B$11))/($B$9*($B$14/$B$7^$B$11)+EXP($B$10-$B$9*($B$14/$B$7^$B$11))))*$B$6/$B$8</f>
        <v/>
      </c>
      <c r="C126" s="18">
        <f>1-GAMMA.DIST($B$12/$B$8,B126,1,TRUE)</f>
        <v/>
      </c>
      <c r="D126" s="19">
        <f>$A126*(($C$9*($C$14/$C$7^$C$11))/($C$9*($C$14/$C$7^$C$11)+EXP($C$10-$C$9*($C$14/$C$7^$C$11))))*$C$6/$C$8</f>
        <v/>
      </c>
      <c r="E126" s="18">
        <f>1-GAMMA.DIST($C$12/$C$8,D126,1,TRUE)</f>
        <v/>
      </c>
      <c r="F126" s="19">
        <f>$A126*(($D$9*($D$14/$D$7^$D$11))/($D$9*($D$14/$D$7^$D$11)+EXP($D$10-$D$9*($D$14/$D$7^$D$11))))*$D$6/$D$8</f>
        <v/>
      </c>
      <c r="G126" s="18">
        <f>1-GAMMA.DIST($D$12/$D$8,F126,1,TRUE)</f>
        <v/>
      </c>
    </row>
    <row r="127">
      <c r="A127" s="19" t="n">
        <v>0.3684892539900516</v>
      </c>
      <c r="B127" s="19">
        <f>$A127*(($B$9*($B$14/$B$7^$B$11))/($B$9*($B$14/$B$7^$B$11)+EXP($B$10-$B$9*($B$14/$B$7^$B$11))))*$B$6/$B$8</f>
        <v/>
      </c>
      <c r="C127" s="18">
        <f>1-GAMMA.DIST($B$12/$B$8,B127,1,TRUE)</f>
        <v/>
      </c>
      <c r="D127" s="19">
        <f>$A127*(($C$9*($C$14/$C$7^$C$11))/($C$9*($C$14/$C$7^$C$11)+EXP($C$10-$C$9*($C$14/$C$7^$C$11))))*$C$6/$C$8</f>
        <v/>
      </c>
      <c r="E127" s="18">
        <f>1-GAMMA.DIST($C$12/$C$8,D127,1,TRUE)</f>
        <v/>
      </c>
      <c r="F127" s="19">
        <f>$A127*(($D$9*($D$14/$D$7^$D$11))/($D$9*($D$14/$D$7^$D$11)+EXP($D$10-$D$9*($D$14/$D$7^$D$11))))*$D$6/$D$8</f>
        <v/>
      </c>
      <c r="G127" s="18">
        <f>1-GAMMA.DIST($D$12/$D$8,F127,1,TRUE)</f>
        <v/>
      </c>
    </row>
    <row r="128">
      <c r="A128" s="19" t="n">
        <v>0.4182558210365094</v>
      </c>
      <c r="B128" s="19">
        <f>$A128*(($B$9*($B$14/$B$7^$B$11))/($B$9*($B$14/$B$7^$B$11)+EXP($B$10-$B$9*($B$14/$B$7^$B$11))))*$B$6/$B$8</f>
        <v/>
      </c>
      <c r="C128" s="18">
        <f>1-GAMMA.DIST($B$12/$B$8,B128,1,TRUE)</f>
        <v/>
      </c>
      <c r="D128" s="19">
        <f>$A128*(($C$9*($C$14/$C$7^$C$11))/($C$9*($C$14/$C$7^$C$11)+EXP($C$10-$C$9*($C$14/$C$7^$C$11))))*$C$6/$C$8</f>
        <v/>
      </c>
      <c r="E128" s="18">
        <f>1-GAMMA.DIST($C$12/$C$8,D128,1,TRUE)</f>
        <v/>
      </c>
      <c r="F128" s="19">
        <f>$A128*(($D$9*($D$14/$D$7^$D$11))/($D$9*($D$14/$D$7^$D$11)+EXP($D$10-$D$9*($D$14/$D$7^$D$11))))*$D$6/$D$8</f>
        <v/>
      </c>
      <c r="G128" s="18">
        <f>1-GAMMA.DIST($D$12/$D$8,F128,1,TRUE)</f>
        <v/>
      </c>
    </row>
    <row r="129">
      <c r="A129" s="19" t="n">
        <v>0.4747436456739862</v>
      </c>
      <c r="B129" s="19">
        <f>$A129*(($B$9*($B$14/$B$7^$B$11))/($B$9*($B$14/$B$7^$B$11)+EXP($B$10-$B$9*($B$14/$B$7^$B$11))))*$B$6/$B$8</f>
        <v/>
      </c>
      <c r="C129" s="18">
        <f>1-GAMMA.DIST($B$12/$B$8,B129,1,TRUE)</f>
        <v/>
      </c>
      <c r="D129" s="19">
        <f>$A129*(($C$9*($C$14/$C$7^$C$11))/($C$9*($C$14/$C$7^$C$11)+EXP($C$10-$C$9*($C$14/$C$7^$C$11))))*$C$6/$C$8</f>
        <v/>
      </c>
      <c r="E129" s="18">
        <f>1-GAMMA.DIST($C$12/$C$8,D129,1,TRUE)</f>
        <v/>
      </c>
      <c r="F129" s="19">
        <f>$A129*(($D$9*($D$14/$D$7^$D$11))/($D$9*($D$14/$D$7^$D$11)+EXP($D$10-$D$9*($D$14/$D$7^$D$11))))*$D$6/$D$8</f>
        <v/>
      </c>
      <c r="G129" s="18">
        <f>1-GAMMA.DIST($D$12/$D$8,F129,1,TRUE)</f>
        <v/>
      </c>
    </row>
    <row r="130">
      <c r="A130" s="19" t="n">
        <v>0.538860471921929</v>
      </c>
      <c r="B130" s="19">
        <f>$A130*(($B$9*($B$14/$B$7^$B$11))/($B$9*($B$14/$B$7^$B$11)+EXP($B$10-$B$9*($B$14/$B$7^$B$11))))*$B$6/$B$8</f>
        <v/>
      </c>
      <c r="C130" s="18">
        <f>1-GAMMA.DIST($B$12/$B$8,B130,1,TRUE)</f>
        <v/>
      </c>
      <c r="D130" s="19">
        <f>$A130*(($C$9*($C$14/$C$7^$C$11))/($C$9*($C$14/$C$7^$C$11)+EXP($C$10-$C$9*($C$14/$C$7^$C$11))))*$C$6/$C$8</f>
        <v/>
      </c>
      <c r="E130" s="18">
        <f>1-GAMMA.DIST($C$12/$C$8,D130,1,TRUE)</f>
        <v/>
      </c>
      <c r="F130" s="19">
        <f>$A130*(($D$9*($D$14/$D$7^$D$11))/($D$9*($D$14/$D$7^$D$11)+EXP($D$10-$D$9*($D$14/$D$7^$D$11))))*$D$6/$D$8</f>
        <v/>
      </c>
      <c r="G130" s="18">
        <f>1-GAMMA.DIST($D$12/$D$8,F130,1,TRUE)</f>
        <v/>
      </c>
    </row>
    <row r="131">
      <c r="A131" s="19" t="n">
        <v>0.6116366397862776</v>
      </c>
      <c r="B131" s="19">
        <f>$A131*(($B$9*($B$14/$B$7^$B$11))/($B$9*($B$14/$B$7^$B$11)+EXP($B$10-$B$9*($B$14/$B$7^$B$11))))*$B$6/$B$8</f>
        <v/>
      </c>
      <c r="C131" s="18">
        <f>1-GAMMA.DIST($B$12/$B$8,B131,1,TRUE)</f>
        <v/>
      </c>
      <c r="D131" s="19">
        <f>$A131*(($C$9*($C$14/$C$7^$C$11))/($C$9*($C$14/$C$7^$C$11)+EXP($C$10-$C$9*($C$14/$C$7^$C$11))))*$C$6/$C$8</f>
        <v/>
      </c>
      <c r="E131" s="18">
        <f>1-GAMMA.DIST($C$12/$C$8,D131,1,TRUE)</f>
        <v/>
      </c>
      <c r="F131" s="19">
        <f>$A131*(($D$9*($D$14/$D$7^$D$11))/($D$9*($D$14/$D$7^$D$11)+EXP($D$10-$D$9*($D$14/$D$7^$D$11))))*$D$6/$D$8</f>
        <v/>
      </c>
      <c r="G131" s="18">
        <f>1-GAMMA.DIST($D$12/$D$8,F131,1,TRUE)</f>
        <v/>
      </c>
    </row>
    <row r="132">
      <c r="A132" s="19" t="n">
        <v>0.6942416425438768</v>
      </c>
      <c r="B132" s="19">
        <f>$A132*(($B$9*($B$14/$B$7^$B$11))/($B$9*($B$14/$B$7^$B$11)+EXP($B$10-$B$9*($B$14/$B$7^$B$11))))*$B$6/$B$8</f>
        <v/>
      </c>
      <c r="C132" s="18">
        <f>1-GAMMA.DIST($B$12/$B$8,B132,1,TRUE)</f>
        <v/>
      </c>
      <c r="D132" s="19">
        <f>$A132*(($C$9*($C$14/$C$7^$C$11))/($C$9*($C$14/$C$7^$C$11)+EXP($C$10-$C$9*($C$14/$C$7^$C$11))))*$C$6/$C$8</f>
        <v/>
      </c>
      <c r="E132" s="18">
        <f>1-GAMMA.DIST($C$12/$C$8,D132,1,TRUE)</f>
        <v/>
      </c>
      <c r="F132" s="19">
        <f>$A132*(($D$9*($D$14/$D$7^$D$11))/($D$9*($D$14/$D$7^$D$11)+EXP($D$10-$D$9*($D$14/$D$7^$D$11))))*$D$6/$D$8</f>
        <v/>
      </c>
      <c r="G132" s="18">
        <f>1-GAMMA.DIST($D$12/$D$8,F132,1,TRUE)</f>
        <v/>
      </c>
    </row>
    <row r="133">
      <c r="A133" s="19" t="n">
        <v>0.7880029201822082</v>
      </c>
      <c r="B133" s="19">
        <f>$A133*(($B$9*($B$14/$B$7^$B$11))/($B$9*($B$14/$B$7^$B$11)+EXP($B$10-$B$9*($B$14/$B$7^$B$11))))*$B$6/$B$8</f>
        <v/>
      </c>
      <c r="C133" s="18">
        <f>1-GAMMA.DIST($B$12/$B$8,B133,1,TRUE)</f>
        <v/>
      </c>
      <c r="D133" s="19">
        <f>$A133*(($C$9*($C$14/$C$7^$C$11))/($C$9*($C$14/$C$7^$C$11)+EXP($C$10-$C$9*($C$14/$C$7^$C$11))))*$C$6/$C$8</f>
        <v/>
      </c>
      <c r="E133" s="18">
        <f>1-GAMMA.DIST($C$12/$C$8,D133,1,TRUE)</f>
        <v/>
      </c>
      <c r="F133" s="19">
        <f>$A133*(($D$9*($D$14/$D$7^$D$11))/($D$9*($D$14/$D$7^$D$11)+EXP($D$10-$D$9*($D$14/$D$7^$D$11))))*$D$6/$D$8</f>
        <v/>
      </c>
      <c r="G133" s="18">
        <f>1-GAMMA.DIST($D$12/$D$8,F133,1,TRUE)</f>
        <v/>
      </c>
    </row>
    <row r="134">
      <c r="A134" s="19" t="n">
        <v>0.894427190999916</v>
      </c>
      <c r="B134" s="19">
        <f>$A134*(($B$9*($B$14/$B$7^$B$11))/($B$9*($B$14/$B$7^$B$11)+EXP($B$10-$B$9*($B$14/$B$7^$B$11))))*$B$6/$B$8</f>
        <v/>
      </c>
      <c r="C134" s="18">
        <f>1-GAMMA.DIST($B$12/$B$8,B134,1,TRUE)</f>
        <v/>
      </c>
      <c r="D134" s="19">
        <f>$A134*(($C$9*($C$14/$C$7^$C$11))/($C$9*($C$14/$C$7^$C$11)+EXP($C$10-$C$9*($C$14/$C$7^$C$11))))*$C$6/$C$8</f>
        <v/>
      </c>
      <c r="E134" s="18">
        <f>1-GAMMA.DIST($C$12/$C$8,D134,1,TRUE)</f>
        <v/>
      </c>
      <c r="F134" s="19">
        <f>$A134*(($D$9*($D$14/$D$7^$D$11))/($D$9*($D$14/$D$7^$D$11)+EXP($D$10-$D$9*($D$14/$D$7^$D$11))))*$D$6/$D$8</f>
        <v/>
      </c>
      <c r="G134" s="18">
        <f>1-GAMMA.DIST($D$12/$D$8,F134,1,TRUE)</f>
        <v/>
      </c>
    </row>
    <row r="135">
      <c r="A135" s="19" t="n">
        <v>1.015224664161166</v>
      </c>
      <c r="B135" s="19">
        <f>$A135*(($B$9*($B$14/$B$7^$B$11))/($B$9*($B$14/$B$7^$B$11)+EXP($B$10-$B$9*($B$14/$B$7^$B$11))))*$B$6/$B$8</f>
        <v/>
      </c>
      <c r="C135" s="18">
        <f>1-GAMMA.DIST($B$12/$B$8,B135,1,TRUE)</f>
        <v/>
      </c>
      <c r="D135" s="19">
        <f>$A135*(($C$9*($C$14/$C$7^$C$11))/($C$9*($C$14/$C$7^$C$11)+EXP($C$10-$C$9*($C$14/$C$7^$C$11))))*$C$6/$C$8</f>
        <v/>
      </c>
      <c r="E135" s="18">
        <f>1-GAMMA.DIST($C$12/$C$8,D135,1,TRUE)</f>
        <v/>
      </c>
      <c r="F135" s="19">
        <f>$A135*(($D$9*($D$14/$D$7^$D$11))/($D$9*($D$14/$D$7^$D$11)+EXP($D$10-$D$9*($D$14/$D$7^$D$11))))*$D$6/$D$8</f>
        <v/>
      </c>
      <c r="G135" s="18">
        <f>1-GAMMA.DIST($D$12/$D$8,F135,1,TRUE)</f>
        <v/>
      </c>
    </row>
    <row r="136">
      <c r="A136" s="19" t="n">
        <v>1.152336522293013</v>
      </c>
      <c r="B136" s="19">
        <f>$A136*(($B$9*($B$14/$B$7^$B$11))/($B$9*($B$14/$B$7^$B$11)+EXP($B$10-$B$9*($B$14/$B$7^$B$11))))*$B$6/$B$8</f>
        <v/>
      </c>
      <c r="C136" s="18">
        <f>1-GAMMA.DIST($B$12/$B$8,B136,1,TRUE)</f>
        <v/>
      </c>
      <c r="D136" s="19">
        <f>$A136*(($C$9*($C$14/$C$7^$C$11))/($C$9*($C$14/$C$7^$C$11)+EXP($C$10-$C$9*($C$14/$C$7^$C$11))))*$C$6/$C$8</f>
        <v/>
      </c>
      <c r="E136" s="18">
        <f>1-GAMMA.DIST($C$12/$C$8,D136,1,TRUE)</f>
        <v/>
      </c>
      <c r="F136" s="19">
        <f>$A136*(($D$9*($D$14/$D$7^$D$11))/($D$9*($D$14/$D$7^$D$11)+EXP($D$10-$D$9*($D$14/$D$7^$D$11))))*$D$6/$D$8</f>
        <v/>
      </c>
      <c r="G136" s="18">
        <f>1-GAMMA.DIST($D$12/$D$8,F136,1,TRUE)</f>
        <v/>
      </c>
    </row>
    <row r="137">
      <c r="A137" s="19" t="n">
        <v>1.30796611576367</v>
      </c>
      <c r="B137" s="19">
        <f>$A137*(($B$9*($B$14/$B$7^$B$11))/($B$9*($B$14/$B$7^$B$11)+EXP($B$10-$B$9*($B$14/$B$7^$B$11))))*$B$6/$B$8</f>
        <v/>
      </c>
      <c r="C137" s="18">
        <f>1-GAMMA.DIST($B$12/$B$8,B137,1,TRUE)</f>
        <v/>
      </c>
      <c r="D137" s="19">
        <f>$A137*(($C$9*($C$14/$C$7^$C$11))/($C$9*($C$14/$C$7^$C$11)+EXP($C$10-$C$9*($C$14/$C$7^$C$11))))*$C$6/$C$8</f>
        <v/>
      </c>
      <c r="E137" s="18">
        <f>1-GAMMA.DIST($C$12/$C$8,D137,1,TRUE)</f>
        <v/>
      </c>
      <c r="F137" s="19">
        <f>$A137*(($D$9*($D$14/$D$7^$D$11))/($D$9*($D$14/$D$7^$D$11)+EXP($D$10-$D$9*($D$14/$D$7^$D$11))))*$D$6/$D$8</f>
        <v/>
      </c>
      <c r="G137" s="18">
        <f>1-GAMMA.DIST($D$12/$D$8,F137,1,TRUE)</f>
        <v/>
      </c>
    </row>
    <row r="138">
      <c r="A138" s="19" t="n">
        <v>1.484614369925255</v>
      </c>
      <c r="B138" s="19">
        <f>$A138*(($B$9*($B$14/$B$7^$B$11))/($B$9*($B$14/$B$7^$B$11)+EXP($B$10-$B$9*($B$14/$B$7^$B$11))))*$B$6/$B$8</f>
        <v/>
      </c>
      <c r="C138" s="18">
        <f>1-GAMMA.DIST($B$12/$B$8,B138,1,TRUE)</f>
        <v/>
      </c>
      <c r="D138" s="19">
        <f>$A138*(($C$9*($C$14/$C$7^$C$11))/($C$9*($C$14/$C$7^$C$11)+EXP($C$10-$C$9*($C$14/$C$7^$C$11))))*$C$6/$C$8</f>
        <v/>
      </c>
      <c r="E138" s="18">
        <f>1-GAMMA.DIST($C$12/$C$8,D138,1,TRUE)</f>
        <v/>
      </c>
      <c r="F138" s="19">
        <f>$A138*(($D$9*($D$14/$D$7^$D$11))/($D$9*($D$14/$D$7^$D$11)+EXP($D$10-$D$9*($D$14/$D$7^$D$11))))*$D$6/$D$8</f>
        <v/>
      </c>
      <c r="G138" s="18">
        <f>1-GAMMA.DIST($D$12/$D$8,F138,1,TRUE)</f>
        <v/>
      </c>
    </row>
    <row r="139">
      <c r="A139" s="19" t="n">
        <v>1.685119974305823</v>
      </c>
      <c r="B139" s="19">
        <f>$A139*(($B$9*($B$14/$B$7^$B$11))/($B$9*($B$14/$B$7^$B$11)+EXP($B$10-$B$9*($B$14/$B$7^$B$11))))*$B$6/$B$8</f>
        <v/>
      </c>
      <c r="C139" s="18">
        <f>1-GAMMA.DIST($B$12/$B$8,B139,1,TRUE)</f>
        <v/>
      </c>
      <c r="D139" s="19">
        <f>$A139*(($C$9*($C$14/$C$7^$C$11))/($C$9*($C$14/$C$7^$C$11)+EXP($C$10-$C$9*($C$14/$C$7^$C$11))))*$C$6/$C$8</f>
        <v/>
      </c>
      <c r="E139" s="18">
        <f>1-GAMMA.DIST($C$12/$C$8,D139,1,TRUE)</f>
        <v/>
      </c>
      <c r="F139" s="19">
        <f>$A139*(($D$9*($D$14/$D$7^$D$11))/($D$9*($D$14/$D$7^$D$11)+EXP($D$10-$D$9*($D$14/$D$7^$D$11))))*$D$6/$D$8</f>
        <v/>
      </c>
      <c r="G139" s="18">
        <f>1-GAMMA.DIST($D$12/$D$8,F139,1,TRUE)</f>
        <v/>
      </c>
    </row>
    <row r="140">
      <c r="A140" s="19" t="n">
        <v>1.912704999580074</v>
      </c>
      <c r="B140" s="19">
        <f>$A140*(($B$9*($B$14/$B$7^$B$11))/($B$9*($B$14/$B$7^$B$11)+EXP($B$10-$B$9*($B$14/$B$7^$B$11))))*$B$6/$B$8</f>
        <v/>
      </c>
      <c r="C140" s="18">
        <f>1-GAMMA.DIST($B$12/$B$8,B140,1,TRUE)</f>
        <v/>
      </c>
      <c r="D140" s="19">
        <f>$A140*(($C$9*($C$14/$C$7^$C$11))/($C$9*($C$14/$C$7^$C$11)+EXP($C$10-$C$9*($C$14/$C$7^$C$11))))*$C$6/$C$8</f>
        <v/>
      </c>
      <c r="E140" s="18">
        <f>1-GAMMA.DIST($C$12/$C$8,D140,1,TRUE)</f>
        <v/>
      </c>
      <c r="F140" s="19">
        <f>$A140*(($D$9*($D$14/$D$7^$D$11))/($D$9*($D$14/$D$7^$D$11)+EXP($D$10-$D$9*($D$14/$D$7^$D$11))))*$D$6/$D$8</f>
        <v/>
      </c>
      <c r="G140" s="18">
        <f>1-GAMMA.DIST($D$12/$D$8,F140,1,TRUE)</f>
        <v/>
      </c>
    </row>
    <row r="141">
      <c r="A141" s="19" t="n">
        <v>2.171026675371105</v>
      </c>
      <c r="B141" s="19">
        <f>$A141*(($B$9*($B$14/$B$7^$B$11))/($B$9*($B$14/$B$7^$B$11)+EXP($B$10-$B$9*($B$14/$B$7^$B$11))))*$B$6/$B$8</f>
        <v/>
      </c>
      <c r="C141" s="18">
        <f>1-GAMMA.DIST($B$12/$B$8,B141,1,TRUE)</f>
        <v/>
      </c>
      <c r="D141" s="19">
        <f>$A141*(($C$9*($C$14/$C$7^$C$11))/($C$9*($C$14/$C$7^$C$11)+EXP($C$10-$C$9*($C$14/$C$7^$C$11))))*$C$6/$C$8</f>
        <v/>
      </c>
      <c r="E141" s="18">
        <f>1-GAMMA.DIST($C$12/$C$8,D141,1,TRUE)</f>
        <v/>
      </c>
      <c r="F141" s="19">
        <f>$A141*(($D$9*($D$14/$D$7^$D$11))/($D$9*($D$14/$D$7^$D$11)+EXP($D$10-$D$9*($D$14/$D$7^$D$11))))*$D$6/$D$8</f>
        <v/>
      </c>
      <c r="G141" s="18">
        <f>1-GAMMA.DIST($D$12/$D$8,F141,1,TRUE)</f>
        <v/>
      </c>
    </row>
    <row r="142">
      <c r="A142" s="19" t="n">
        <v>2.464236160938412</v>
      </c>
      <c r="B142" s="19">
        <f>$A142*(($B$9*($B$14/$B$7^$B$11))/($B$9*($B$14/$B$7^$B$11)+EXP($B$10-$B$9*($B$14/$B$7^$B$11))))*$B$6/$B$8</f>
        <v/>
      </c>
      <c r="C142" s="18">
        <f>1-GAMMA.DIST($B$12/$B$8,B142,1,TRUE)</f>
        <v/>
      </c>
      <c r="D142" s="19">
        <f>$A142*(($C$9*($C$14/$C$7^$C$11))/($C$9*($C$14/$C$7^$C$11)+EXP($C$10-$C$9*($C$14/$C$7^$C$11))))*$C$6/$C$8</f>
        <v/>
      </c>
      <c r="E142" s="18">
        <f>1-GAMMA.DIST($C$12/$C$8,D142,1,TRUE)</f>
        <v/>
      </c>
      <c r="F142" s="19">
        <f>$A142*(($D$9*($D$14/$D$7^$D$11))/($D$9*($D$14/$D$7^$D$11)+EXP($D$10-$D$9*($D$14/$D$7^$D$11))))*$D$6/$D$8</f>
        <v/>
      </c>
      <c r="G142" s="18">
        <f>1-GAMMA.DIST($D$12/$D$8,F142,1,TRUE)</f>
        <v/>
      </c>
    </row>
    <row r="143">
      <c r="A143" s="19" t="n">
        <v>2.797045253181191</v>
      </c>
      <c r="B143" s="19">
        <f>$A143*(($B$9*($B$14/$B$7^$B$11))/($B$9*($B$14/$B$7^$B$11)+EXP($B$10-$B$9*($B$14/$B$7^$B$11))))*$B$6/$B$8</f>
        <v/>
      </c>
      <c r="C143" s="18">
        <f>1-GAMMA.DIST($B$12/$B$8,B143,1,TRUE)</f>
        <v/>
      </c>
      <c r="D143" s="19">
        <f>$A143*(($C$9*($C$14/$C$7^$C$11))/($C$9*($C$14/$C$7^$C$11)+EXP($C$10-$C$9*($C$14/$C$7^$C$11))))*$C$6/$C$8</f>
        <v/>
      </c>
      <c r="E143" s="18">
        <f>1-GAMMA.DIST($C$12/$C$8,D143,1,TRUE)</f>
        <v/>
      </c>
      <c r="F143" s="19">
        <f>$A143*(($D$9*($D$14/$D$7^$D$11))/($D$9*($D$14/$D$7^$D$11)+EXP($D$10-$D$9*($D$14/$D$7^$D$11))))*$D$6/$D$8</f>
        <v/>
      </c>
      <c r="G143" s="18">
        <f>1-GAMMA.DIST($D$12/$D$8,F143,1,TRUE)</f>
        <v/>
      </c>
    </row>
    <row r="144">
      <c r="A144" s="19" t="n">
        <v>3.174802103936398</v>
      </c>
      <c r="B144" s="19">
        <f>$A144*(($B$9*($B$14/$B$7^$B$11))/($B$9*($B$14/$B$7^$B$11)+EXP($B$10-$B$9*($B$14/$B$7^$B$11))))*$B$6/$B$8</f>
        <v/>
      </c>
      <c r="C144" s="18">
        <f>1-GAMMA.DIST($B$12/$B$8,B144,1,TRUE)</f>
        <v/>
      </c>
      <c r="D144" s="19">
        <f>$A144*(($C$9*($C$14/$C$7^$C$11))/($C$9*($C$14/$C$7^$C$11)+EXP($C$10-$C$9*($C$14/$C$7^$C$11))))*$C$6/$C$8</f>
        <v/>
      </c>
      <c r="E144" s="18">
        <f>1-GAMMA.DIST($C$12/$C$8,D144,1,TRUE)</f>
        <v/>
      </c>
      <c r="F144" s="19">
        <f>$A144*(($D$9*($D$14/$D$7^$D$11))/($D$9*($D$14/$D$7^$D$11)+EXP($D$10-$D$9*($D$14/$D$7^$D$11))))*$D$6/$D$8</f>
        <v/>
      </c>
      <c r="G144" s="18">
        <f>1-GAMMA.DIST($D$12/$D$8,F144,1,TRUE)</f>
        <v/>
      </c>
    </row>
    <row r="145">
      <c r="A145" s="19" t="n">
        <v>3.603577163328095</v>
      </c>
      <c r="B145" s="19">
        <f>$A145*(($B$9*($B$14/$B$7^$B$11))/($B$9*($B$14/$B$7^$B$11)+EXP($B$10-$B$9*($B$14/$B$7^$B$11))))*$B$6/$B$8</f>
        <v/>
      </c>
      <c r="C145" s="18">
        <f>1-GAMMA.DIST($B$12/$B$8,B145,1,TRUE)</f>
        <v/>
      </c>
      <c r="D145" s="19">
        <f>$A145*(($C$9*($C$14/$C$7^$C$11))/($C$9*($C$14/$C$7^$C$11)+EXP($C$10-$C$9*($C$14/$C$7^$C$11))))*$C$6/$C$8</f>
        <v/>
      </c>
      <c r="E145" s="18">
        <f>1-GAMMA.DIST($C$12/$C$8,D145,1,TRUE)</f>
        <v/>
      </c>
      <c r="F145" s="19">
        <f>$A145*(($D$9*($D$14/$D$7^$D$11))/($D$9*($D$14/$D$7^$D$11)+EXP($D$10-$D$9*($D$14/$D$7^$D$11))))*$D$6/$D$8</f>
        <v/>
      </c>
      <c r="G145" s="18">
        <f>1-GAMMA.DIST($D$12/$D$8,F145,1,TRUE)</f>
        <v/>
      </c>
    </row>
    <row r="146">
      <c r="A146" s="19" t="n">
        <v>4.090260730254291</v>
      </c>
      <c r="B146" s="19">
        <f>$A146*(($B$9*($B$14/$B$7^$B$11))/($B$9*($B$14/$B$7^$B$11)+EXP($B$10-$B$9*($B$14/$B$7^$B$11))))*$B$6/$B$8</f>
        <v/>
      </c>
      <c r="C146" s="18">
        <f>1-GAMMA.DIST($B$12/$B$8,B146,1,TRUE)</f>
        <v/>
      </c>
      <c r="D146" s="19">
        <f>$A146*(($C$9*($C$14/$C$7^$C$11))/($C$9*($C$14/$C$7^$C$11)+EXP($C$10-$C$9*($C$14/$C$7^$C$11))))*$C$6/$C$8</f>
        <v/>
      </c>
      <c r="E146" s="18">
        <f>1-GAMMA.DIST($C$12/$C$8,D146,1,TRUE)</f>
        <v/>
      </c>
      <c r="F146" s="19">
        <f>$A146*(($D$9*($D$14/$D$7^$D$11))/($D$9*($D$14/$D$7^$D$11)+EXP($D$10-$D$9*($D$14/$D$7^$D$11))))*$D$6/$D$8</f>
        <v/>
      </c>
      <c r="G146" s="18">
        <f>1-GAMMA.DIST($D$12/$D$8,F146,1,TRUE)</f>
        <v/>
      </c>
    </row>
    <row r="147">
      <c r="A147" s="19" t="n">
        <v>4.642673677621243</v>
      </c>
      <c r="B147" s="19">
        <f>$A147*(($B$9*($B$14/$B$7^$B$11))/($B$9*($B$14/$B$7^$B$11)+EXP($B$10-$B$9*($B$14/$B$7^$B$11))))*$B$6/$B$8</f>
        <v/>
      </c>
      <c r="C147" s="18">
        <f>1-GAMMA.DIST($B$12/$B$8,B147,1,TRUE)</f>
        <v/>
      </c>
      <c r="D147" s="19">
        <f>$A147*(($C$9*($C$14/$C$7^$C$11))/($C$9*($C$14/$C$7^$C$11)+EXP($C$10-$C$9*($C$14/$C$7^$C$11))))*$C$6/$C$8</f>
        <v/>
      </c>
      <c r="E147" s="18">
        <f>1-GAMMA.DIST($C$12/$C$8,D147,1,TRUE)</f>
        <v/>
      </c>
      <c r="F147" s="19">
        <f>$A147*(($D$9*($D$14/$D$7^$D$11))/($D$9*($D$14/$D$7^$D$11)+EXP($D$10-$D$9*($D$14/$D$7^$D$11))))*$D$6/$D$8</f>
        <v/>
      </c>
      <c r="G147" s="18">
        <f>1-GAMMA.DIST($D$12/$D$8,F147,1,TRUE)</f>
        <v/>
      </c>
    </row>
    <row r="148">
      <c r="A148" s="19" t="n">
        <v>5.269693131649608</v>
      </c>
      <c r="B148" s="19">
        <f>$A148*(($B$9*($B$14/$B$7^$B$11))/($B$9*($B$14/$B$7^$B$11)+EXP($B$10-$B$9*($B$14/$B$7^$B$11))))*$B$6/$B$8</f>
        <v/>
      </c>
      <c r="C148" s="18">
        <f>1-GAMMA.DIST($B$12/$B$8,B148,1,TRUE)</f>
        <v/>
      </c>
      <c r="D148" s="19">
        <f>$A148*(($C$9*($C$14/$C$7^$C$11))/($C$9*($C$14/$C$7^$C$11)+EXP($C$10-$C$9*($C$14/$C$7^$C$11))))*$C$6/$C$8</f>
        <v/>
      </c>
      <c r="E148" s="18">
        <f>1-GAMMA.DIST($C$12/$C$8,D148,1,TRUE)</f>
        <v/>
      </c>
      <c r="F148" s="19">
        <f>$A148*(($D$9*($D$14/$D$7^$D$11))/($D$9*($D$14/$D$7^$D$11)+EXP($D$10-$D$9*($D$14/$D$7^$D$11))))*$D$6/$D$8</f>
        <v/>
      </c>
      <c r="G148" s="18">
        <f>1-GAMMA.DIST($D$12/$D$8,F148,1,TRUE)</f>
        <v/>
      </c>
    </row>
    <row r="149">
      <c r="A149" s="19" t="n">
        <v>5.981395124884882</v>
      </c>
      <c r="B149" s="19">
        <f>$A149*(($B$9*($B$14/$B$7^$B$11))/($B$9*($B$14/$B$7^$B$11)+EXP($B$10-$B$9*($B$14/$B$7^$B$11))))*$B$6/$B$8</f>
        <v/>
      </c>
      <c r="C149" s="18">
        <f>1-GAMMA.DIST($B$12/$B$8,B149,1,TRUE)</f>
        <v/>
      </c>
      <c r="D149" s="19">
        <f>$A149*(($C$9*($C$14/$C$7^$C$11))/($C$9*($C$14/$C$7^$C$11)+EXP($C$10-$C$9*($C$14/$C$7^$C$11))))*$C$6/$C$8</f>
        <v/>
      </c>
      <c r="E149" s="18">
        <f>1-GAMMA.DIST($C$12/$C$8,D149,1,TRUE)</f>
        <v/>
      </c>
      <c r="F149" s="19">
        <f>$A149*(($D$9*($D$14/$D$7^$D$11))/($D$9*($D$14/$D$7^$D$11)+EXP($D$10-$D$9*($D$14/$D$7^$D$11))))*$D$6/$D$8</f>
        <v/>
      </c>
      <c r="G149" s="18">
        <f>1-GAMMA.DIST($D$12/$D$8,F149,1,TRUE)</f>
        <v/>
      </c>
    </row>
    <row r="150">
      <c r="A150" s="19" t="n">
        <v>6.789216515307238</v>
      </c>
      <c r="B150" s="19">
        <f>$A150*(($B$9*($B$14/$B$7^$B$11))/($B$9*($B$14/$B$7^$B$11)+EXP($B$10-$B$9*($B$14/$B$7^$B$11))))*$B$6/$B$8</f>
        <v/>
      </c>
      <c r="C150" s="18">
        <f>1-GAMMA.DIST($B$12/$B$8,B150,1,TRUE)</f>
        <v/>
      </c>
      <c r="D150" s="19">
        <f>$A150*(($C$9*($C$14/$C$7^$C$11))/($C$9*($C$14/$C$7^$C$11)+EXP($C$10-$C$9*($C$14/$C$7^$C$11))))*$C$6/$C$8</f>
        <v/>
      </c>
      <c r="E150" s="18">
        <f>1-GAMMA.DIST($C$12/$C$8,D150,1,TRUE)</f>
        <v/>
      </c>
      <c r="F150" s="19">
        <f>$A150*(($D$9*($D$14/$D$7^$D$11))/($D$9*($D$14/$D$7^$D$11)+EXP($D$10-$D$9*($D$14/$D$7^$D$11))))*$D$6/$D$8</f>
        <v/>
      </c>
      <c r="G150" s="18">
        <f>1-GAMMA.DIST($D$12/$D$8,F150,1,TRUE)</f>
        <v/>
      </c>
    </row>
    <row r="151">
      <c r="A151" s="19" t="n">
        <v>7.70613877353699</v>
      </c>
      <c r="B151" s="19">
        <f>$A151*(($B$9*($B$14/$B$7^$B$11))/($B$9*($B$14/$B$7^$B$11)+EXP($B$10-$B$9*($B$14/$B$7^$B$11))))*$B$6/$B$8</f>
        <v/>
      </c>
      <c r="C151" s="18">
        <f>1-GAMMA.DIST($B$12/$B$8,B151,1,TRUE)</f>
        <v/>
      </c>
      <c r="D151" s="19">
        <f>$A151*(($C$9*($C$14/$C$7^$C$11))/($C$9*($C$14/$C$7^$C$11)+EXP($C$10-$C$9*($C$14/$C$7^$C$11))))*$C$6/$C$8</f>
        <v/>
      </c>
      <c r="E151" s="18">
        <f>1-GAMMA.DIST($C$12/$C$8,D151,1,TRUE)</f>
        <v/>
      </c>
      <c r="F151" s="19">
        <f>$A151*(($D$9*($D$14/$D$7^$D$11))/($D$9*($D$14/$D$7^$D$11)+EXP($D$10-$D$9*($D$14/$D$7^$D$11))))*$D$6/$D$8</f>
        <v/>
      </c>
      <c r="G151" s="18">
        <f>1-GAMMA.DIST($D$12/$D$8,F151,1,TRUE)</f>
        <v/>
      </c>
    </row>
    <row r="152">
      <c r="A152" s="19" t="n">
        <v>8.746896591546228</v>
      </c>
      <c r="B152" s="19">
        <f>$A152*(($B$9*($B$14/$B$7^$B$11))/($B$9*($B$14/$B$7^$B$11)+EXP($B$10-$B$9*($B$14/$B$7^$B$11))))*$B$6/$B$8</f>
        <v/>
      </c>
      <c r="C152" s="18">
        <f>1-GAMMA.DIST($B$12/$B$8,B152,1,TRUE)</f>
        <v/>
      </c>
      <c r="D152" s="19">
        <f>$A152*(($C$9*($C$14/$C$7^$C$11))/($C$9*($C$14/$C$7^$C$11)+EXP($C$10-$C$9*($C$14/$C$7^$C$11))))*$C$6/$C$8</f>
        <v/>
      </c>
      <c r="E152" s="18">
        <f>1-GAMMA.DIST($C$12/$C$8,D152,1,TRUE)</f>
        <v/>
      </c>
      <c r="F152" s="19">
        <f>$A152*(($D$9*($D$14/$D$7^$D$11))/($D$9*($D$14/$D$7^$D$11)+EXP($D$10-$D$9*($D$14/$D$7^$D$11))))*$D$6/$D$8</f>
        <v/>
      </c>
      <c r="G152" s="18">
        <f>1-GAMMA.DIST($D$12/$D$8,F152,1,TRUE)</f>
        <v/>
      </c>
    </row>
    <row r="153">
      <c r="A153" s="19" t="n">
        <v>9.928214665161933</v>
      </c>
      <c r="B153" s="19">
        <f>$A153*(($B$9*($B$14/$B$7^$B$11))/($B$9*($B$14/$B$7^$B$11)+EXP($B$10-$B$9*($B$14/$B$7^$B$11))))*$B$6/$B$8</f>
        <v/>
      </c>
      <c r="C153" s="18">
        <f>1-GAMMA.DIST($B$12/$B$8,B153,1,TRUE)</f>
        <v/>
      </c>
      <c r="D153" s="19">
        <f>$A153*(($C$9*($C$14/$C$7^$C$11))/($C$9*($C$14/$C$7^$C$11)+EXP($C$10-$C$9*($C$14/$C$7^$C$11))))*$C$6/$C$8</f>
        <v/>
      </c>
      <c r="E153" s="18">
        <f>1-GAMMA.DIST($C$12/$C$8,D153,1,TRUE)</f>
        <v/>
      </c>
      <c r="F153" s="19">
        <f>$A153*(($D$9*($D$14/$D$7^$D$11))/($D$9*($D$14/$D$7^$D$11)+EXP($D$10-$D$9*($D$14/$D$7^$D$11))))*$D$6/$D$8</f>
        <v/>
      </c>
      <c r="G153" s="18">
        <f>1-GAMMA.DIST($D$12/$D$8,F153,1,TRUE)</f>
        <v/>
      </c>
    </row>
    <row r="154">
      <c r="A154" s="19" t="n">
        <v>11.26907645539137</v>
      </c>
      <c r="B154" s="19">
        <f>$A154*(($B$9*($B$14/$B$7^$B$11))/($B$9*($B$14/$B$7^$B$11)+EXP($B$10-$B$9*($B$14/$B$7^$B$11))))*$B$6/$B$8</f>
        <v/>
      </c>
      <c r="C154" s="18">
        <f>1-GAMMA.DIST($B$12/$B$8,B154,1,TRUE)</f>
        <v/>
      </c>
      <c r="D154" s="19">
        <f>$A154*(($C$9*($C$14/$C$7^$C$11))/($C$9*($C$14/$C$7^$C$11)+EXP($C$10-$C$9*($C$14/$C$7^$C$11))))*$C$6/$C$8</f>
        <v/>
      </c>
      <c r="E154" s="18">
        <f>1-GAMMA.DIST($C$12/$C$8,D154,1,TRUE)</f>
        <v/>
      </c>
      <c r="F154" s="19">
        <f>$A154*(($D$9*($D$14/$D$7^$D$11))/($D$9*($D$14/$D$7^$D$11)+EXP($D$10-$D$9*($D$14/$D$7^$D$11))))*$D$6/$D$8</f>
        <v/>
      </c>
      <c r="G154" s="18">
        <f>1-GAMMA.DIST($D$12/$D$8,F154,1,TRUE)</f>
        <v/>
      </c>
    </row>
    <row r="155">
      <c r="A155" s="19" t="n">
        <v>12.79102924749106</v>
      </c>
      <c r="B155" s="19">
        <f>$A155*(($B$9*($B$14/$B$7^$B$11))/($B$9*($B$14/$B$7^$B$11)+EXP($B$10-$B$9*($B$14/$B$7^$B$11))))*$B$6/$B$8</f>
        <v/>
      </c>
      <c r="C155" s="18">
        <f>1-GAMMA.DIST($B$12/$B$8,B155,1,TRUE)</f>
        <v/>
      </c>
      <c r="D155" s="19">
        <f>$A155*(($C$9*($C$14/$C$7^$C$11))/($C$9*($C$14/$C$7^$C$11)+EXP($C$10-$C$9*($C$14/$C$7^$C$11))))*$C$6/$C$8</f>
        <v/>
      </c>
      <c r="E155" s="18">
        <f>1-GAMMA.DIST($C$12/$C$8,D155,1,TRUE)</f>
        <v/>
      </c>
      <c r="F155" s="19">
        <f>$A155*(($D$9*($D$14/$D$7^$D$11))/($D$9*($D$14/$D$7^$D$11)+EXP($D$10-$D$9*($D$14/$D$7^$D$11))))*$D$6/$D$8</f>
        <v/>
      </c>
      <c r="G155" s="18">
        <f>1-GAMMA.DIST($D$12/$D$8,F155,1,TRUE)</f>
        <v/>
      </c>
    </row>
    <row r="156">
      <c r="A156" s="19" t="n">
        <v>14.5185304099962</v>
      </c>
      <c r="B156" s="19">
        <f>$A156*(($B$9*($B$14/$B$7^$B$11))/($B$9*($B$14/$B$7^$B$11)+EXP($B$10-$B$9*($B$14/$B$7^$B$11))))*$B$6/$B$8</f>
        <v/>
      </c>
      <c r="C156" s="18">
        <f>1-GAMMA.DIST($B$12/$B$8,B156,1,TRUE)</f>
        <v/>
      </c>
      <c r="D156" s="19">
        <f>$A156*(($C$9*($C$14/$C$7^$C$11))/($C$9*($C$14/$C$7^$C$11)+EXP($C$10-$C$9*($C$14/$C$7^$C$11))))*$C$6/$C$8</f>
        <v/>
      </c>
      <c r="E156" s="18">
        <f>1-GAMMA.DIST($C$12/$C$8,D156,1,TRUE)</f>
        <v/>
      </c>
      <c r="F156" s="19">
        <f>$A156*(($D$9*($D$14/$D$7^$D$11))/($D$9*($D$14/$D$7^$D$11)+EXP($D$10-$D$9*($D$14/$D$7^$D$11))))*$D$6/$D$8</f>
        <v/>
      </c>
      <c r="G156" s="18">
        <f>1-GAMMA.DIST($D$12/$D$8,F156,1,TRUE)</f>
        <v/>
      </c>
    </row>
    <row r="157">
      <c r="A157" s="19" t="n">
        <v>16.47934041799881</v>
      </c>
      <c r="B157" s="19">
        <f>$A157*(($B$9*($B$14/$B$7^$B$11))/($B$9*($B$14/$B$7^$B$11)+EXP($B$10-$B$9*($B$14/$B$7^$B$11))))*$B$6/$B$8</f>
        <v/>
      </c>
      <c r="C157" s="18">
        <f>1-GAMMA.DIST($B$12/$B$8,B157,1,TRUE)</f>
        <v/>
      </c>
      <c r="D157" s="19">
        <f>$A157*(($C$9*($C$14/$C$7^$C$11))/($C$9*($C$14/$C$7^$C$11)+EXP($C$10-$C$9*($C$14/$C$7^$C$11))))*$C$6/$C$8</f>
        <v/>
      </c>
      <c r="E157" s="18">
        <f>1-GAMMA.DIST($C$12/$C$8,D157,1,TRUE)</f>
        <v/>
      </c>
      <c r="F157" s="19">
        <f>$A157*(($D$9*($D$14/$D$7^$D$11))/($D$9*($D$14/$D$7^$D$11)+EXP($D$10-$D$9*($D$14/$D$7^$D$11))))*$D$6/$D$8</f>
        <v/>
      </c>
      <c r="G157" s="18">
        <f>1-GAMMA.DIST($D$12/$D$8,F157,1,TRUE)</f>
        <v/>
      </c>
    </row>
    <row r="158">
      <c r="A158" s="19" t="n">
        <v>18.70496895645243</v>
      </c>
      <c r="B158" s="19">
        <f>$A158*(($B$9*($B$14/$B$7^$B$11))/($B$9*($B$14/$B$7^$B$11)+EXP($B$10-$B$9*($B$14/$B$7^$B$11))))*$B$6/$B$8</f>
        <v/>
      </c>
      <c r="C158" s="18">
        <f>1-GAMMA.DIST($B$12/$B$8,B158,1,TRUE)</f>
        <v/>
      </c>
      <c r="D158" s="19">
        <f>$A158*(($C$9*($C$14/$C$7^$C$11))/($C$9*($C$14/$C$7^$C$11)+EXP($C$10-$C$9*($C$14/$C$7^$C$11))))*$C$6/$C$8</f>
        <v/>
      </c>
      <c r="E158" s="18">
        <f>1-GAMMA.DIST($C$12/$C$8,D158,1,TRUE)</f>
        <v/>
      </c>
      <c r="F158" s="19">
        <f>$A158*(($D$9*($D$14/$D$7^$D$11))/($D$9*($D$14/$D$7^$D$11)+EXP($D$10-$D$9*($D$14/$D$7^$D$11))))*$D$6/$D$8</f>
        <v/>
      </c>
      <c r="G158" s="18">
        <f>1-GAMMA.DIST($D$12/$D$8,F158,1,TRUE)</f>
        <v/>
      </c>
    </row>
    <row r="159">
      <c r="A159" s="19" t="n">
        <v>21.23118127226213</v>
      </c>
      <c r="B159" s="19">
        <f>$A159*(($B$9*($B$14/$B$7^$B$11))/($B$9*($B$14/$B$7^$B$11)+EXP($B$10-$B$9*($B$14/$B$7^$B$11))))*$B$6/$B$8</f>
        <v/>
      </c>
      <c r="C159" s="18">
        <f>1-GAMMA.DIST($B$12/$B$8,B159,1,TRUE)</f>
        <v/>
      </c>
      <c r="D159" s="19">
        <f>$A159*(($C$9*($C$14/$C$7^$C$11))/($C$9*($C$14/$C$7^$C$11)+EXP($C$10-$C$9*($C$14/$C$7^$C$11))))*$C$6/$C$8</f>
        <v/>
      </c>
      <c r="E159" s="18">
        <f>1-GAMMA.DIST($C$12/$C$8,D159,1,TRUE)</f>
        <v/>
      </c>
      <c r="F159" s="19">
        <f>$A159*(($D$9*($D$14/$D$7^$D$11))/($D$9*($D$14/$D$7^$D$11)+EXP($D$10-$D$9*($D$14/$D$7^$D$11))))*$D$6/$D$8</f>
        <v/>
      </c>
      <c r="G159" s="18">
        <f>1-GAMMA.DIST($D$12/$D$8,F159,1,TRUE)</f>
        <v/>
      </c>
    </row>
    <row r="160">
      <c r="A160" s="19" t="n">
        <v>24.098572912101</v>
      </c>
      <c r="B160" s="19">
        <f>$A160*(($B$9*($B$14/$B$7^$B$11))/($B$9*($B$14/$B$7^$B$11)+EXP($B$10-$B$9*($B$14/$B$7^$B$11))))*$B$6/$B$8</f>
        <v/>
      </c>
      <c r="C160" s="18">
        <f>1-GAMMA.DIST($B$12/$B$8,B160,1,TRUE)</f>
        <v/>
      </c>
      <c r="D160" s="19">
        <f>$A160*(($C$9*($C$14/$C$7^$C$11))/($C$9*($C$14/$C$7^$C$11)+EXP($C$10-$C$9*($C$14/$C$7^$C$11))))*$C$6/$C$8</f>
        <v/>
      </c>
      <c r="E160" s="18">
        <f>1-GAMMA.DIST($C$12/$C$8,D160,1,TRUE)</f>
        <v/>
      </c>
      <c r="F160" s="19">
        <f>$A160*(($D$9*($D$14/$D$7^$D$11))/($D$9*($D$14/$D$7^$D$11)+EXP($D$10-$D$9*($D$14/$D$7^$D$11))))*$D$6/$D$8</f>
        <v/>
      </c>
      <c r="G160" s="18">
        <f>1-GAMMA.DIST($D$12/$D$8,F160,1,TRUE)</f>
        <v/>
      </c>
    </row>
    <row r="161">
      <c r="A161" s="19" t="n">
        <v>27.35322208183337</v>
      </c>
      <c r="B161" s="19">
        <f>$A161*(($B$9*($B$14/$B$7^$B$11))/($B$9*($B$14/$B$7^$B$11)+EXP($B$10-$B$9*($B$14/$B$7^$B$11))))*$B$6/$B$8</f>
        <v/>
      </c>
      <c r="C161" s="18">
        <f>1-GAMMA.DIST($B$12/$B$8,B161,1,TRUE)</f>
        <v/>
      </c>
      <c r="D161" s="19">
        <f>$A161*(($C$9*($C$14/$C$7^$C$11))/($C$9*($C$14/$C$7^$C$11)+EXP($C$10-$C$9*($C$14/$C$7^$C$11))))*$C$6/$C$8</f>
        <v/>
      </c>
      <c r="E161" s="18">
        <f>1-GAMMA.DIST($C$12/$C$8,D161,1,TRUE)</f>
        <v/>
      </c>
      <c r="F161" s="19">
        <f>$A161*(($D$9*($D$14/$D$7^$D$11))/($D$9*($D$14/$D$7^$D$11)+EXP($D$10-$D$9*($D$14/$D$7^$D$11))))*$D$6/$D$8</f>
        <v/>
      </c>
      <c r="G161" s="18">
        <f>1-GAMMA.DIST($D$12/$D$8,F161,1,TRUE)</f>
        <v/>
      </c>
    </row>
    <row r="162">
      <c r="A162" s="19" t="n">
        <v>31.04743011078437</v>
      </c>
      <c r="B162" s="19">
        <f>$A162*(($B$9*($B$14/$B$7^$B$11))/($B$9*($B$14/$B$7^$B$11)+EXP($B$10-$B$9*($B$14/$B$7^$B$11))))*$B$6/$B$8</f>
        <v/>
      </c>
      <c r="C162" s="18">
        <f>1-GAMMA.DIST($B$12/$B$8,B162,1,TRUE)</f>
        <v/>
      </c>
      <c r="D162" s="19">
        <f>$A162*(($C$9*($C$14/$C$7^$C$11))/($C$9*($C$14/$C$7^$C$11)+EXP($C$10-$C$9*($C$14/$C$7^$C$11))))*$C$6/$C$8</f>
        <v/>
      </c>
      <c r="E162" s="18">
        <f>1-GAMMA.DIST($C$12/$C$8,D162,1,TRUE)</f>
        <v/>
      </c>
      <c r="F162" s="19">
        <f>$A162*(($D$9*($D$14/$D$7^$D$11))/($D$9*($D$14/$D$7^$D$11)+EXP($D$10-$D$9*($D$14/$D$7^$D$11))))*$D$6/$D$8</f>
        <v/>
      </c>
      <c r="G162" s="18">
        <f>1-GAMMA.DIST($D$12/$D$8,F162,1,TRUE)</f>
        <v/>
      </c>
    </row>
    <row r="163">
      <c r="A163" s="19" t="n">
        <v>35.24056191991515</v>
      </c>
      <c r="B163" s="19">
        <f>$A163*(($B$9*($B$14/$B$7^$B$11))/($B$9*($B$14/$B$7^$B$11)+EXP($B$10-$B$9*($B$14/$B$7^$B$11))))*$B$6/$B$8</f>
        <v/>
      </c>
      <c r="C163" s="18">
        <f>1-GAMMA.DIST($B$12/$B$8,B163,1,TRUE)</f>
        <v/>
      </c>
      <c r="D163" s="19">
        <f>$A163*(($C$9*($C$14/$C$7^$C$11))/($C$9*($C$14/$C$7^$C$11)+EXP($C$10-$C$9*($C$14/$C$7^$C$11))))*$C$6/$C$8</f>
        <v/>
      </c>
      <c r="E163" s="18">
        <f>1-GAMMA.DIST($C$12/$C$8,D163,1,TRUE)</f>
        <v/>
      </c>
      <c r="F163" s="19">
        <f>$A163*(($D$9*($D$14/$D$7^$D$11))/($D$9*($D$14/$D$7^$D$11)+EXP($D$10-$D$9*($D$14/$D$7^$D$11))))*$D$6/$D$8</f>
        <v/>
      </c>
      <c r="G163" s="18">
        <f>1-GAMMA.DIST($D$12/$D$8,F163,1,TRUE)</f>
        <v/>
      </c>
    </row>
    <row r="164">
      <c r="A164" s="19" t="n">
        <v>40</v>
      </c>
      <c r="B164" s="19">
        <f>$A164*(($B$9*($B$14/$B$7^$B$11))/($B$9*($B$14/$B$7^$B$11)+EXP($B$10-$B$9*($B$14/$B$7^$B$11))))*$B$6/$B$8</f>
        <v/>
      </c>
      <c r="C164" s="18">
        <f>1-GAMMA.DIST($B$12/$B$8,B164,1,TRUE)</f>
        <v/>
      </c>
      <c r="D164" s="19">
        <f>$A164*(($C$9*($C$14/$C$7^$C$11))/($C$9*($C$14/$C$7^$C$11)+EXP($C$10-$C$9*($C$14/$C$7^$C$11))))*$C$6/$C$8</f>
        <v/>
      </c>
      <c r="E164" s="18">
        <f>1-GAMMA.DIST($C$12/$C$8,D164,1,TRUE)</f>
        <v/>
      </c>
      <c r="F164" s="19">
        <f>$A164*(($D$9*($D$14/$D$7^$D$11))/($D$9*($D$14/$D$7^$D$11)+EXP($D$10-$D$9*($D$14/$D$7^$D$11))))*$D$6/$D$8</f>
        <v/>
      </c>
      <c r="G164" s="18">
        <f>1-GAMMA.DIST($D$12/$D$8,F164,1,TRUE)</f>
        <v/>
      </c>
    </row>
    <row r="166">
      <c r="A166" t="inlineStr">
        <is>
          <t>Interpolated: Horizon @ Target Confidence alpha (days)  (Grid 2)</t>
        </is>
      </c>
      <c r="B166" s="16">
        <f>INDEX($A$104:$A$164,MATCH(B15,$C$104:$C$164,1))+(B15-INDEX($C$104:$C$164,MATCH(B15,$C$104:$C$164,1)))/(INDEX($C$104:$C$164,MATCH(B15,$C$104:$C$164,1)+1)-INDEX($C$104:$C$164,MATCH(B15,$C$104:$C$164,1)))*(INDEX($A$104:$A$164,MATCH(B15,$C$104:$C$164,1)+1)-INDEX($A$104:$A$164,MATCH(B15,$C$104:$C$164,1)))</f>
        <v/>
      </c>
      <c r="C166" s="16">
        <f>INDEX($A$104:$A$164,MATCH(C15,$E$104:$E$164,1))+(C15-INDEX($E$104:$E$164,MATCH(C15,$E$104:$E$164,1)))/(INDEX($E$104:$E$164,MATCH(C15,$E$104:$E$164,1)+1)-INDEX($E$104:$E$164,MATCH(C15,$E$104:$E$164,1)))*(INDEX($A$104:$A$164,MATCH(C15,$E$104:$E$164,1)+1)-INDEX($A$104:$A$164,MATCH(C15,$E$104:$E$164,1)))</f>
        <v/>
      </c>
      <c r="D166" s="16">
        <f>INDEX($A$104:$A$164,MATCH(D15,$G$104:$G$164,1))+(D15-INDEX($G$104:$G$164,MATCH(D15,$G$104:$G$164,1)))/(INDEX($G$104:$G$164,MATCH(D15,$G$104:$G$164,1)+1)-INDEX($G$104:$G$164,MATCH(D15,$G$104:$G$164,1)))*(INDEX($A$104:$A$164,MATCH(D15,$G$104:$G$164,1)+1)-INDEX($A$104:$A$164,MATCH(D15,$G$104:$G$164,1)))</f>
        <v/>
      </c>
    </row>
    <row r="169">
      <c r="A169" s="5" t="inlineStr">
        <is>
          <t>GRID 3 — LQC Reference Cost lookup  (y = trial cost; holds LQC Reference Size &amp; Horizon)</t>
        </is>
      </c>
    </row>
    <row r="170">
      <c r="A170" s="7" t="inlineStr">
        <is>
          <t>y (trial cost)</t>
        </is>
      </c>
      <c r="B170" s="7" t="inlineStr">
        <is>
          <t>Govt: k(y,RefT)</t>
        </is>
      </c>
      <c r="C170" s="7" t="inlineStr">
        <is>
          <t>Govt: Q</t>
        </is>
      </c>
      <c r="D170" s="7" t="inlineStr">
        <is>
          <t>IGCorp: k(y,RefT)</t>
        </is>
      </c>
      <c r="E170" s="7" t="inlineStr">
        <is>
          <t>IGCorp: Q</t>
        </is>
      </c>
      <c r="F170" s="7" t="inlineStr">
        <is>
          <t>HYCorp: k(y,RefT)</t>
        </is>
      </c>
      <c r="G170" s="7" t="inlineStr">
        <is>
          <t>HYCorp: Q</t>
        </is>
      </c>
    </row>
    <row r="171">
      <c r="A171" s="18" t="n">
        <v>2e-05</v>
      </c>
      <c r="B171" s="19">
        <f>$B$17*(($B$9*($A171/$B$7^$B$11))/($B$9*($A171/$B$7^$B$11)+EXP($B$10-$B$9*($A171/$B$7^$B$11))))*$B$6/$B$8</f>
        <v/>
      </c>
      <c r="C171" s="18">
        <f>1-GAMMA.DIST($B$16/$B$8,B171,1,TRUE)</f>
        <v/>
      </c>
      <c r="D171" s="19">
        <f>$C$17*(($C$9*($A171/$C$7^$C$11))/($C$9*($A171/$C$7^$C$11)+EXP($C$10-$C$9*($A171/$C$7^$C$11))))*$C$6/$C$8</f>
        <v/>
      </c>
      <c r="E171" s="18">
        <f>1-GAMMA.DIST($C$16/$C$8,D171,1,TRUE)</f>
        <v/>
      </c>
      <c r="F171" s="19">
        <f>$D$17*(($D$9*($A171/$D$7^$D$11))/($D$9*($A171/$D$7^$D$11)+EXP($D$10-$D$9*($A171/$D$7^$D$11))))*$D$6/$D$8</f>
        <v/>
      </c>
      <c r="G171" s="18">
        <f>1-GAMMA.DIST($D$16/$D$8,F171,1,TRUE)</f>
        <v/>
      </c>
    </row>
    <row r="172">
      <c r="A172" s="18" t="n">
        <v>2.296488784942412e-05</v>
      </c>
      <c r="B172" s="19">
        <f>$B$17*(($B$9*($A172/$B$7^$B$11))/($B$9*($A172/$B$7^$B$11)+EXP($B$10-$B$9*($A172/$B$7^$B$11))))*$B$6/$B$8</f>
        <v/>
      </c>
      <c r="C172" s="18">
        <f>1-GAMMA.DIST($B$16/$B$8,B172,1,TRUE)</f>
        <v/>
      </c>
      <c r="D172" s="19">
        <f>$C$17*(($C$9*($A172/$C$7^$C$11))/($C$9*($A172/$C$7^$C$11)+EXP($C$10-$C$9*($A172/$C$7^$C$11))))*$C$6/$C$8</f>
        <v/>
      </c>
      <c r="E172" s="18">
        <f>1-GAMMA.DIST($C$16/$C$8,D172,1,TRUE)</f>
        <v/>
      </c>
      <c r="F172" s="19">
        <f>$D$17*(($D$9*($A172/$D$7^$D$11))/($D$9*($A172/$D$7^$D$11)+EXP($D$10-$D$9*($A172/$D$7^$D$11))))*$D$6/$D$8</f>
        <v/>
      </c>
      <c r="G172" s="18">
        <f>1-GAMMA.DIST($D$16/$D$8,F172,1,TRUE)</f>
        <v/>
      </c>
    </row>
    <row r="173">
      <c r="A173" s="18" t="n">
        <v>2.636930369683138e-05</v>
      </c>
      <c r="B173" s="19">
        <f>$B$17*(($B$9*($A173/$B$7^$B$11))/($B$9*($A173/$B$7^$B$11)+EXP($B$10-$B$9*($A173/$B$7^$B$11))))*$B$6/$B$8</f>
        <v/>
      </c>
      <c r="C173" s="18">
        <f>1-GAMMA.DIST($B$16/$B$8,B173,1,TRUE)</f>
        <v/>
      </c>
      <c r="D173" s="19">
        <f>$C$17*(($C$9*($A173/$C$7^$C$11))/($C$9*($A173/$C$7^$C$11)+EXP($C$10-$C$9*($A173/$C$7^$C$11))))*$C$6/$C$8</f>
        <v/>
      </c>
      <c r="E173" s="18">
        <f>1-GAMMA.DIST($C$16/$C$8,D173,1,TRUE)</f>
        <v/>
      </c>
      <c r="F173" s="19">
        <f>$D$17*(($D$9*($A173/$D$7^$D$11))/($D$9*($A173/$D$7^$D$11)+EXP($D$10-$D$9*($A173/$D$7^$D$11))))*$D$6/$D$8</f>
        <v/>
      </c>
      <c r="G173" s="18">
        <f>1-GAMMA.DIST($D$16/$D$8,F173,1,TRUE)</f>
        <v/>
      </c>
    </row>
    <row r="174">
      <c r="A174" s="18" t="n">
        <v>3.027840510325686e-05</v>
      </c>
      <c r="B174" s="19">
        <f>$B$17*(($B$9*($A174/$B$7^$B$11))/($B$9*($A174/$B$7^$B$11)+EXP($B$10-$B$9*($A174/$B$7^$B$11))))*$B$6/$B$8</f>
        <v/>
      </c>
      <c r="C174" s="18">
        <f>1-GAMMA.DIST($B$16/$B$8,B174,1,TRUE)</f>
        <v/>
      </c>
      <c r="D174" s="19">
        <f>$C$17*(($C$9*($A174/$C$7^$C$11))/($C$9*($A174/$C$7^$C$11)+EXP($C$10-$C$9*($A174/$C$7^$C$11))))*$C$6/$C$8</f>
        <v/>
      </c>
      <c r="E174" s="18">
        <f>1-GAMMA.DIST($C$16/$C$8,D174,1,TRUE)</f>
        <v/>
      </c>
      <c r="F174" s="19">
        <f>$D$17*(($D$9*($A174/$D$7^$D$11))/($D$9*($A174/$D$7^$D$11)+EXP($D$10-$D$9*($A174/$D$7^$D$11))))*$D$6/$D$8</f>
        <v/>
      </c>
      <c r="G174" s="18">
        <f>1-GAMMA.DIST($D$16/$D$8,F174,1,TRUE)</f>
        <v/>
      </c>
    </row>
    <row r="175">
      <c r="A175" s="18" t="n">
        <v>3.476700887278624e-05</v>
      </c>
      <c r="B175" s="19">
        <f>$B$17*(($B$9*($A175/$B$7^$B$11))/($B$9*($A175/$B$7^$B$11)+EXP($B$10-$B$9*($A175/$B$7^$B$11))))*$B$6/$B$8</f>
        <v/>
      </c>
      <c r="C175" s="18">
        <f>1-GAMMA.DIST($B$16/$B$8,B175,1,TRUE)</f>
        <v/>
      </c>
      <c r="D175" s="19">
        <f>$C$17*(($C$9*($A175/$C$7^$C$11))/($C$9*($A175/$C$7^$C$11)+EXP($C$10-$C$9*($A175/$C$7^$C$11))))*$C$6/$C$8</f>
        <v/>
      </c>
      <c r="E175" s="18">
        <f>1-GAMMA.DIST($C$16/$C$8,D175,1,TRUE)</f>
        <v/>
      </c>
      <c r="F175" s="19">
        <f>$D$17*(($D$9*($A175/$D$7^$D$11))/($D$9*($A175/$D$7^$D$11)+EXP($D$10-$D$9*($A175/$D$7^$D$11))))*$D$6/$D$8</f>
        <v/>
      </c>
      <c r="G175" s="18">
        <f>1-GAMMA.DIST($D$16/$D$8,F175,1,TRUE)</f>
        <v/>
      </c>
    </row>
    <row r="176">
      <c r="A176" s="18" t="n">
        <v>3.992102298117346e-05</v>
      </c>
      <c r="B176" s="19">
        <f>$B$17*(($B$9*($A176/$B$7^$B$11))/($B$9*($A176/$B$7^$B$11)+EXP($B$10-$B$9*($A176/$B$7^$B$11))))*$B$6/$B$8</f>
        <v/>
      </c>
      <c r="C176" s="18">
        <f>1-GAMMA.DIST($B$16/$B$8,B176,1,TRUE)</f>
        <v/>
      </c>
      <c r="D176" s="19">
        <f>$C$17*(($C$9*($A176/$C$7^$C$11))/($C$9*($A176/$C$7^$C$11)+EXP($C$10-$C$9*($A176/$C$7^$C$11))))*$C$6/$C$8</f>
        <v/>
      </c>
      <c r="E176" s="18">
        <f>1-GAMMA.DIST($C$16/$C$8,D176,1,TRUE)</f>
        <v/>
      </c>
      <c r="F176" s="19">
        <f>$D$17*(($D$9*($A176/$D$7^$D$11))/($D$9*($A176/$D$7^$D$11)+EXP($D$10-$D$9*($A176/$D$7^$D$11))))*$D$6/$D$8</f>
        <v/>
      </c>
      <c r="G176" s="18">
        <f>1-GAMMA.DIST($D$16/$D$8,F176,1,TRUE)</f>
        <v/>
      </c>
    </row>
    <row r="177">
      <c r="A177" s="18" t="n">
        <v>4.583909077984656e-05</v>
      </c>
      <c r="B177" s="19">
        <f>$B$17*(($B$9*($A177/$B$7^$B$11))/($B$9*($A177/$B$7^$B$11)+EXP($B$10-$B$9*($A177/$B$7^$B$11))))*$B$6/$B$8</f>
        <v/>
      </c>
      <c r="C177" s="18">
        <f>1-GAMMA.DIST($B$16/$B$8,B177,1,TRUE)</f>
        <v/>
      </c>
      <c r="D177" s="19">
        <f>$C$17*(($C$9*($A177/$C$7^$C$11))/($C$9*($A177/$C$7^$C$11)+EXP($C$10-$C$9*($A177/$C$7^$C$11))))*$C$6/$C$8</f>
        <v/>
      </c>
      <c r="E177" s="18">
        <f>1-GAMMA.DIST($C$16/$C$8,D177,1,TRUE)</f>
        <v/>
      </c>
      <c r="F177" s="19">
        <f>$D$17*(($D$9*($A177/$D$7^$D$11))/($D$9*($A177/$D$7^$D$11)+EXP($D$10-$D$9*($A177/$D$7^$D$11))))*$D$6/$D$8</f>
        <v/>
      </c>
      <c r="G177" s="18">
        <f>1-GAMMA.DIST($D$16/$D$8,F177,1,TRUE)</f>
        <v/>
      </c>
    </row>
    <row r="178">
      <c r="A178" s="18" t="n">
        <v>5.263447894393736e-05</v>
      </c>
      <c r="B178" s="19">
        <f>$B$17*(($B$9*($A178/$B$7^$B$11))/($B$9*($A178/$B$7^$B$11)+EXP($B$10-$B$9*($A178/$B$7^$B$11))))*$B$6/$B$8</f>
        <v/>
      </c>
      <c r="C178" s="18">
        <f>1-GAMMA.DIST($B$16/$B$8,B178,1,TRUE)</f>
        <v/>
      </c>
      <c r="D178" s="19">
        <f>$C$17*(($C$9*($A178/$C$7^$C$11))/($C$9*($A178/$C$7^$C$11)+EXP($C$10-$C$9*($A178/$C$7^$C$11))))*$C$6/$C$8</f>
        <v/>
      </c>
      <c r="E178" s="18">
        <f>1-GAMMA.DIST($C$16/$C$8,D178,1,TRUE)</f>
        <v/>
      </c>
      <c r="F178" s="19">
        <f>$D$17*(($D$9*($A178/$D$7^$D$11))/($D$9*($A178/$D$7^$D$11)+EXP($D$10-$D$9*($A178/$D$7^$D$11))))*$D$6/$D$8</f>
        <v/>
      </c>
      <c r="G178" s="18">
        <f>1-GAMMA.DIST($D$16/$D$8,F178,1,TRUE)</f>
        <v/>
      </c>
    </row>
    <row r="179">
      <c r="A179" s="18" t="n">
        <v>6.043724529801984e-05</v>
      </c>
      <c r="B179" s="19">
        <f>$B$17*(($B$9*($A179/$B$7^$B$11))/($B$9*($A179/$B$7^$B$11)+EXP($B$10-$B$9*($A179/$B$7^$B$11))))*$B$6/$B$8</f>
        <v/>
      </c>
      <c r="C179" s="18">
        <f>1-GAMMA.DIST($B$16/$B$8,B179,1,TRUE)</f>
        <v/>
      </c>
      <c r="D179" s="19">
        <f>$C$17*(($C$9*($A179/$C$7^$C$11))/($C$9*($A179/$C$7^$C$11)+EXP($C$10-$C$9*($A179/$C$7^$C$11))))*$C$6/$C$8</f>
        <v/>
      </c>
      <c r="E179" s="18">
        <f>1-GAMMA.DIST($C$16/$C$8,D179,1,TRUE)</f>
        <v/>
      </c>
      <c r="F179" s="19">
        <f>$D$17*(($D$9*($A179/$D$7^$D$11))/($D$9*($A179/$D$7^$D$11)+EXP($D$10-$D$9*($A179/$D$7^$D$11))))*$D$6/$D$8</f>
        <v/>
      </c>
      <c r="G179" s="18">
        <f>1-GAMMA.DIST($D$16/$D$8,F179,1,TRUE)</f>
        <v/>
      </c>
    </row>
    <row r="180">
      <c r="A180" s="18" t="n">
        <v>6.939672800985803e-05</v>
      </c>
      <c r="B180" s="19">
        <f>$B$17*(($B$9*($A180/$B$7^$B$11))/($B$9*($A180/$B$7^$B$11)+EXP($B$10-$B$9*($A180/$B$7^$B$11))))*$B$6/$B$8</f>
        <v/>
      </c>
      <c r="C180" s="18">
        <f>1-GAMMA.DIST($B$16/$B$8,B180,1,TRUE)</f>
        <v/>
      </c>
      <c r="D180" s="19">
        <f>$C$17*(($C$9*($A180/$C$7^$C$11))/($C$9*($A180/$C$7^$C$11)+EXP($C$10-$C$9*($A180/$C$7^$C$11))))*$C$6/$C$8</f>
        <v/>
      </c>
      <c r="E180" s="18">
        <f>1-GAMMA.DIST($C$16/$C$8,D180,1,TRUE)</f>
        <v/>
      </c>
      <c r="F180" s="19">
        <f>$D$17*(($D$9*($A180/$D$7^$D$11))/($D$9*($A180/$D$7^$D$11)+EXP($D$10-$D$9*($A180/$D$7^$D$11))))*$D$6/$D$8</f>
        <v/>
      </c>
      <c r="G180" s="18">
        <f>1-GAMMA.DIST($D$16/$D$8,F180,1,TRUE)</f>
        <v/>
      </c>
    </row>
    <row r="181">
      <c r="A181" s="18" t="n">
        <v>7.968440379316894e-05</v>
      </c>
      <c r="B181" s="19">
        <f>$B$17*(($B$9*($A181/$B$7^$B$11))/($B$9*($A181/$B$7^$B$11)+EXP($B$10-$B$9*($A181/$B$7^$B$11))))*$B$6/$B$8</f>
        <v/>
      </c>
      <c r="C181" s="18">
        <f>1-GAMMA.DIST($B$16/$B$8,B181,1,TRUE)</f>
        <v/>
      </c>
      <c r="D181" s="19">
        <f>$C$17*(($C$9*($A181/$C$7^$C$11))/($C$9*($A181/$C$7^$C$11)+EXP($C$10-$C$9*($A181/$C$7^$C$11))))*$C$6/$C$8</f>
        <v/>
      </c>
      <c r="E181" s="18">
        <f>1-GAMMA.DIST($C$16/$C$8,D181,1,TRUE)</f>
        <v/>
      </c>
      <c r="F181" s="19">
        <f>$D$17*(($D$9*($A181/$D$7^$D$11))/($D$9*($A181/$D$7^$D$11)+EXP($D$10-$D$9*($A181/$D$7^$D$11))))*$D$6/$D$8</f>
        <v/>
      </c>
      <c r="G181" s="18">
        <f>1-GAMMA.DIST($D$16/$D$8,F181,1,TRUE)</f>
        <v/>
      </c>
    </row>
    <row r="182">
      <c r="A182" s="18" t="n">
        <v>9.149716982291752e-05</v>
      </c>
      <c r="B182" s="19">
        <f>$B$17*(($B$9*($A182/$B$7^$B$11))/($B$9*($A182/$B$7^$B$11)+EXP($B$10-$B$9*($A182/$B$7^$B$11))))*$B$6/$B$8</f>
        <v/>
      </c>
      <c r="C182" s="18">
        <f>1-GAMMA.DIST($B$16/$B$8,B182,1,TRUE)</f>
        <v/>
      </c>
      <c r="D182" s="19">
        <f>$C$17*(($C$9*($A182/$C$7^$C$11))/($C$9*($A182/$C$7^$C$11)+EXP($C$10-$C$9*($A182/$C$7^$C$11))))*$C$6/$C$8</f>
        <v/>
      </c>
      <c r="E182" s="18">
        <f>1-GAMMA.DIST($C$16/$C$8,D182,1,TRUE)</f>
        <v/>
      </c>
      <c r="F182" s="19">
        <f>$D$17*(($D$9*($A182/$D$7^$D$11))/($D$9*($A182/$D$7^$D$11)+EXP($D$10-$D$9*($A182/$D$7^$D$11))))*$D$6/$D$8</f>
        <v/>
      </c>
      <c r="G182" s="18">
        <f>1-GAMMA.DIST($D$16/$D$8,F182,1,TRUE)</f>
        <v/>
      </c>
    </row>
    <row r="183">
      <c r="A183" s="18" t="n">
        <v>0.0001050611121761507</v>
      </c>
      <c r="B183" s="19">
        <f>$B$17*(($B$9*($A183/$B$7^$B$11))/($B$9*($A183/$B$7^$B$11)+EXP($B$10-$B$9*($A183/$B$7^$B$11))))*$B$6/$B$8</f>
        <v/>
      </c>
      <c r="C183" s="18">
        <f>1-GAMMA.DIST($B$16/$B$8,B183,1,TRUE)</f>
        <v/>
      </c>
      <c r="D183" s="19">
        <f>$C$17*(($C$9*($A183/$C$7^$C$11))/($C$9*($A183/$C$7^$C$11)+EXP($C$10-$C$9*($A183/$C$7^$C$11))))*$C$6/$C$8</f>
        <v/>
      </c>
      <c r="E183" s="18">
        <f>1-GAMMA.DIST($C$16/$C$8,D183,1,TRUE)</f>
        <v/>
      </c>
      <c r="F183" s="19">
        <f>$D$17*(($D$9*($A183/$D$7^$D$11))/($D$9*($A183/$D$7^$D$11)+EXP($D$10-$D$9*($A183/$D$7^$D$11))))*$D$6/$D$8</f>
        <v/>
      </c>
      <c r="G183" s="18">
        <f>1-GAMMA.DIST($D$16/$D$8,F183,1,TRUE)</f>
        <v/>
      </c>
    </row>
    <row r="184">
      <c r="A184" s="18" t="n">
        <v>0.0001206358329230534</v>
      </c>
      <c r="B184" s="19">
        <f>$B$17*(($B$9*($A184/$B$7^$B$11))/($B$9*($A184/$B$7^$B$11)+EXP($B$10-$B$9*($A184/$B$7^$B$11))))*$B$6/$B$8</f>
        <v/>
      </c>
      <c r="C184" s="18">
        <f>1-GAMMA.DIST($B$16/$B$8,B184,1,TRUE)</f>
        <v/>
      </c>
      <c r="D184" s="19">
        <f>$C$17*(($C$9*($A184/$C$7^$C$11))/($C$9*($A184/$C$7^$C$11)+EXP($C$10-$C$9*($A184/$C$7^$C$11))))*$C$6/$C$8</f>
        <v/>
      </c>
      <c r="E184" s="18">
        <f>1-GAMMA.DIST($C$16/$C$8,D184,1,TRUE)</f>
        <v/>
      </c>
      <c r="F184" s="19">
        <f>$D$17*(($D$9*($A184/$D$7^$D$11))/($D$9*($A184/$D$7^$D$11)+EXP($D$10-$D$9*($A184/$D$7^$D$11))))*$D$6/$D$8</f>
        <v/>
      </c>
      <c r="G184" s="18">
        <f>1-GAMMA.DIST($D$16/$D$8,F184,1,TRUE)</f>
        <v/>
      </c>
    </row>
    <row r="185">
      <c r="A185" s="18" t="n">
        <v>0.0001385194186849893</v>
      </c>
      <c r="B185" s="19">
        <f>$B$17*(($B$9*($A185/$B$7^$B$11))/($B$9*($A185/$B$7^$B$11)+EXP($B$10-$B$9*($A185/$B$7^$B$11))))*$B$6/$B$8</f>
        <v/>
      </c>
      <c r="C185" s="18">
        <f>1-GAMMA.DIST($B$16/$B$8,B185,1,TRUE)</f>
        <v/>
      </c>
      <c r="D185" s="19">
        <f>$C$17*(($C$9*($A185/$C$7^$C$11))/($C$9*($A185/$C$7^$C$11)+EXP($C$10-$C$9*($A185/$C$7^$C$11))))*$C$6/$C$8</f>
        <v/>
      </c>
      <c r="E185" s="18">
        <f>1-GAMMA.DIST($C$16/$C$8,D185,1,TRUE)</f>
        <v/>
      </c>
      <c r="F185" s="19">
        <f>$D$17*(($D$9*($A185/$D$7^$D$11))/($D$9*($A185/$D$7^$D$11)+EXP($D$10-$D$9*($A185/$D$7^$D$11))))*$D$6/$D$8</f>
        <v/>
      </c>
      <c r="G185" s="18">
        <f>1-GAMMA.DIST($D$16/$D$8,F185,1,TRUE)</f>
        <v/>
      </c>
    </row>
    <row r="186">
      <c r="A186" s="18" t="n">
        <v>0.0001590541457534101</v>
      </c>
      <c r="B186" s="19">
        <f>$B$17*(($B$9*($A186/$B$7^$B$11))/($B$9*($A186/$B$7^$B$11)+EXP($B$10-$B$9*($A186/$B$7^$B$11))))*$B$6/$B$8</f>
        <v/>
      </c>
      <c r="C186" s="18">
        <f>1-GAMMA.DIST($B$16/$B$8,B186,1,TRUE)</f>
        <v/>
      </c>
      <c r="D186" s="19">
        <f>$C$17*(($C$9*($A186/$C$7^$C$11))/($C$9*($A186/$C$7^$C$11)+EXP($C$10-$C$9*($A186/$C$7^$C$11))))*$C$6/$C$8</f>
        <v/>
      </c>
      <c r="E186" s="18">
        <f>1-GAMMA.DIST($C$16/$C$8,D186,1,TRUE)</f>
        <v/>
      </c>
      <c r="F186" s="19">
        <f>$D$17*(($D$9*($A186/$D$7^$D$11))/($D$9*($A186/$D$7^$D$11)+EXP($D$10-$D$9*($A186/$D$7^$D$11))))*$D$6/$D$8</f>
        <v/>
      </c>
      <c r="G186" s="18">
        <f>1-GAMMA.DIST($D$16/$D$8,F186,1,TRUE)</f>
        <v/>
      </c>
    </row>
    <row r="187">
      <c r="A187" s="18" t="n">
        <v>0.0001826330309606511</v>
      </c>
      <c r="B187" s="19">
        <f>$B$17*(($B$9*($A187/$B$7^$B$11))/($B$9*($A187/$B$7^$B$11)+EXP($B$10-$B$9*($A187/$B$7^$B$11))))*$B$6/$B$8</f>
        <v/>
      </c>
      <c r="C187" s="18">
        <f>1-GAMMA.DIST($B$16/$B$8,B187,1,TRUE)</f>
        <v/>
      </c>
      <c r="D187" s="19">
        <f>$C$17*(($C$9*($A187/$C$7^$C$11))/($C$9*($A187/$C$7^$C$11)+EXP($C$10-$C$9*($A187/$C$7^$C$11))))*$C$6/$C$8</f>
        <v/>
      </c>
      <c r="E187" s="18">
        <f>1-GAMMA.DIST($C$16/$C$8,D187,1,TRUE)</f>
        <v/>
      </c>
      <c r="F187" s="19">
        <f>$D$17*(($D$9*($A187/$D$7^$D$11))/($D$9*($A187/$D$7^$D$11)+EXP($D$10-$D$9*($A187/$D$7^$D$11))))*$D$6/$D$8</f>
        <v/>
      </c>
      <c r="G187" s="18">
        <f>1-GAMMA.DIST($D$16/$D$8,F187,1,TRUE)</f>
        <v/>
      </c>
    </row>
    <row r="188">
      <c r="A188" s="18" t="n">
        <v>0.0002097073536805877</v>
      </c>
      <c r="B188" s="19">
        <f>$B$17*(($B$9*($A188/$B$7^$B$11))/($B$9*($A188/$B$7^$B$11)+EXP($B$10-$B$9*($A188/$B$7^$B$11))))*$B$6/$B$8</f>
        <v/>
      </c>
      <c r="C188" s="18">
        <f>1-GAMMA.DIST($B$16/$B$8,B188,1,TRUE)</f>
        <v/>
      </c>
      <c r="D188" s="19">
        <f>$C$17*(($C$9*($A188/$C$7^$C$11))/($C$9*($A188/$C$7^$C$11)+EXP($C$10-$C$9*($A188/$C$7^$C$11))))*$C$6/$C$8</f>
        <v/>
      </c>
      <c r="E188" s="18">
        <f>1-GAMMA.DIST($C$16/$C$8,D188,1,TRUE)</f>
        <v/>
      </c>
      <c r="F188" s="19">
        <f>$D$17*(($D$9*($A188/$D$7^$D$11))/($D$9*($A188/$D$7^$D$11)+EXP($D$10-$D$9*($A188/$D$7^$D$11))))*$D$6/$D$8</f>
        <v/>
      </c>
      <c r="G188" s="18">
        <f>1-GAMMA.DIST($D$16/$D$8,F188,1,TRUE)</f>
        <v/>
      </c>
    </row>
    <row r="189">
      <c r="A189" s="18" t="n">
        <v>0.0002407952929237107</v>
      </c>
      <c r="B189" s="19">
        <f>$B$17*(($B$9*($A189/$B$7^$B$11))/($B$9*($A189/$B$7^$B$11)+EXP($B$10-$B$9*($A189/$B$7^$B$11))))*$B$6/$B$8</f>
        <v/>
      </c>
      <c r="C189" s="18">
        <f>1-GAMMA.DIST($B$16/$B$8,B189,1,TRUE)</f>
        <v/>
      </c>
      <c r="D189" s="19">
        <f>$C$17*(($C$9*($A189/$C$7^$C$11))/($C$9*($A189/$C$7^$C$11)+EXP($C$10-$C$9*($A189/$C$7^$C$11))))*$C$6/$C$8</f>
        <v/>
      </c>
      <c r="E189" s="18">
        <f>1-GAMMA.DIST($C$16/$C$8,D189,1,TRUE)</f>
        <v/>
      </c>
      <c r="F189" s="19">
        <f>$D$17*(($D$9*($A189/$D$7^$D$11))/($D$9*($A189/$D$7^$D$11)+EXP($D$10-$D$9*($A189/$D$7^$D$11))))*$D$6/$D$8</f>
        <v/>
      </c>
      <c r="G189" s="18">
        <f>1-GAMMA.DIST($D$16/$D$8,F189,1,TRUE)</f>
        <v/>
      </c>
    </row>
    <row r="190">
      <c r="A190" s="18" t="n">
        <v>0.0002764918448331122</v>
      </c>
      <c r="B190" s="19">
        <f>$B$17*(($B$9*($A190/$B$7^$B$11))/($B$9*($A190/$B$7^$B$11)+EXP($B$10-$B$9*($A190/$B$7^$B$11))))*$B$6/$B$8</f>
        <v/>
      </c>
      <c r="C190" s="18">
        <f>1-GAMMA.DIST($B$16/$B$8,B190,1,TRUE)</f>
        <v/>
      </c>
      <c r="D190" s="19">
        <f>$C$17*(($C$9*($A190/$C$7^$C$11))/($C$9*($A190/$C$7^$C$11)+EXP($C$10-$C$9*($A190/$C$7^$C$11))))*$C$6/$C$8</f>
        <v/>
      </c>
      <c r="E190" s="18">
        <f>1-GAMMA.DIST($C$16/$C$8,D190,1,TRUE)</f>
        <v/>
      </c>
      <c r="F190" s="19">
        <f>$D$17*(($D$9*($A190/$D$7^$D$11))/($D$9*($A190/$D$7^$D$11)+EXP($D$10-$D$9*($A190/$D$7^$D$11))))*$D$6/$D$8</f>
        <v/>
      </c>
      <c r="G190" s="18">
        <f>1-GAMMA.DIST($D$16/$D$8,F190,1,TRUE)</f>
        <v/>
      </c>
    </row>
    <row r="191">
      <c r="A191" s="18" t="n">
        <v>0.0003174802103936399</v>
      </c>
      <c r="B191" s="19">
        <f>$B$17*(($B$9*($A191/$B$7^$B$11))/($B$9*($A191/$B$7^$B$11)+EXP($B$10-$B$9*($A191/$B$7^$B$11))))*$B$6/$B$8</f>
        <v/>
      </c>
      <c r="C191" s="18">
        <f>1-GAMMA.DIST($B$16/$B$8,B191,1,TRUE)</f>
        <v/>
      </c>
      <c r="D191" s="19">
        <f>$C$17*(($C$9*($A191/$C$7^$C$11))/($C$9*($A191/$C$7^$C$11)+EXP($C$10-$C$9*($A191/$C$7^$C$11))))*$C$6/$C$8</f>
        <v/>
      </c>
      <c r="E191" s="18">
        <f>1-GAMMA.DIST($C$16/$C$8,D191,1,TRUE)</f>
        <v/>
      </c>
      <c r="F191" s="19">
        <f>$D$17*(($D$9*($A191/$D$7^$D$11))/($D$9*($A191/$D$7^$D$11)+EXP($D$10-$D$9*($A191/$D$7^$D$11))))*$D$6/$D$8</f>
        <v/>
      </c>
      <c r="G191" s="18">
        <f>1-GAMMA.DIST($D$16/$D$8,F191,1,TRUE)</f>
        <v/>
      </c>
    </row>
    <row r="192">
      <c r="A192" s="18" t="n">
        <v>0.0003645448713050756</v>
      </c>
      <c r="B192" s="19">
        <f>$B$17*(($B$9*($A192/$B$7^$B$11))/($B$9*($A192/$B$7^$B$11)+EXP($B$10-$B$9*($A192/$B$7^$B$11))))*$B$6/$B$8</f>
        <v/>
      </c>
      <c r="C192" s="18">
        <f>1-GAMMA.DIST($B$16/$B$8,B192,1,TRUE)</f>
        <v/>
      </c>
      <c r="D192" s="19">
        <f>$C$17*(($C$9*($A192/$C$7^$C$11))/($C$9*($A192/$C$7^$C$11)+EXP($C$10-$C$9*($A192/$C$7^$C$11))))*$C$6/$C$8</f>
        <v/>
      </c>
      <c r="E192" s="18">
        <f>1-GAMMA.DIST($C$16/$C$8,D192,1,TRUE)</f>
        <v/>
      </c>
      <c r="F192" s="19">
        <f>$D$17*(($D$9*($A192/$D$7^$D$11))/($D$9*($A192/$D$7^$D$11)+EXP($D$10-$D$9*($A192/$D$7^$D$11))))*$D$6/$D$8</f>
        <v/>
      </c>
      <c r="G192" s="18">
        <f>1-GAMMA.DIST($D$16/$D$8,F192,1,TRUE)</f>
        <v/>
      </c>
    </row>
    <row r="193">
      <c r="A193" s="18" t="n">
        <v>0.0004185866042801905</v>
      </c>
      <c r="B193" s="19">
        <f>$B$17*(($B$9*($A193/$B$7^$B$11))/($B$9*($A193/$B$7^$B$11)+EXP($B$10-$B$9*($A193/$B$7^$B$11))))*$B$6/$B$8</f>
        <v/>
      </c>
      <c r="C193" s="18">
        <f>1-GAMMA.DIST($B$16/$B$8,B193,1,TRUE)</f>
        <v/>
      </c>
      <c r="D193" s="19">
        <f>$C$17*(($C$9*($A193/$C$7^$C$11))/($C$9*($A193/$C$7^$C$11)+EXP($C$10-$C$9*($A193/$C$7^$C$11))))*$C$6/$C$8</f>
        <v/>
      </c>
      <c r="E193" s="18">
        <f>1-GAMMA.DIST($C$16/$C$8,D193,1,TRUE)</f>
        <v/>
      </c>
      <c r="F193" s="19">
        <f>$D$17*(($D$9*($A193/$D$7^$D$11))/($D$9*($A193/$D$7^$D$11)+EXP($D$10-$D$9*($A193/$D$7^$D$11))))*$D$6/$D$8</f>
        <v/>
      </c>
      <c r="G193" s="18">
        <f>1-GAMMA.DIST($D$16/$D$8,F193,1,TRUE)</f>
        <v/>
      </c>
    </row>
    <row r="194">
      <c r="A194" s="18" t="n">
        <v>0.0004806397211282925</v>
      </c>
      <c r="B194" s="19">
        <f>$B$17*(($B$9*($A194/$B$7^$B$11))/($B$9*($A194/$B$7^$B$11)+EXP($B$10-$B$9*($A194/$B$7^$B$11))))*$B$6/$B$8</f>
        <v/>
      </c>
      <c r="C194" s="18">
        <f>1-GAMMA.DIST($B$16/$B$8,B194,1,TRUE)</f>
        <v/>
      </c>
      <c r="D194" s="19">
        <f>$C$17*(($C$9*($A194/$C$7^$C$11))/($C$9*($A194/$C$7^$C$11)+EXP($C$10-$C$9*($A194/$C$7^$C$11))))*$C$6/$C$8</f>
        <v/>
      </c>
      <c r="E194" s="18">
        <f>1-GAMMA.DIST($C$16/$C$8,D194,1,TRUE)</f>
        <v/>
      </c>
      <c r="F194" s="19">
        <f>$D$17*(($D$9*($A194/$D$7^$D$11))/($D$9*($A194/$D$7^$D$11)+EXP($D$10-$D$9*($A194/$D$7^$D$11))))*$D$6/$D$8</f>
        <v/>
      </c>
      <c r="G194" s="18">
        <f>1-GAMMA.DIST($D$16/$D$8,F194,1,TRUE)</f>
        <v/>
      </c>
    </row>
    <row r="195">
      <c r="A195" s="18" t="n">
        <v>0.000551891864584486</v>
      </c>
      <c r="B195" s="19">
        <f>$B$17*(($B$9*($A195/$B$7^$B$11))/($B$9*($A195/$B$7^$B$11)+EXP($B$10-$B$9*($A195/$B$7^$B$11))))*$B$6/$B$8</f>
        <v/>
      </c>
      <c r="C195" s="18">
        <f>1-GAMMA.DIST($B$16/$B$8,B195,1,TRUE)</f>
        <v/>
      </c>
      <c r="D195" s="19">
        <f>$C$17*(($C$9*($A195/$C$7^$C$11))/($C$9*($A195/$C$7^$C$11)+EXP($C$10-$C$9*($A195/$C$7^$C$11))))*$C$6/$C$8</f>
        <v/>
      </c>
      <c r="E195" s="18">
        <f>1-GAMMA.DIST($C$16/$C$8,D195,1,TRUE)</f>
        <v/>
      </c>
      <c r="F195" s="19">
        <f>$D$17*(($D$9*($A195/$D$7^$D$11))/($D$9*($A195/$D$7^$D$11)+EXP($D$10-$D$9*($A195/$D$7^$D$11))))*$D$6/$D$8</f>
        <v/>
      </c>
      <c r="G195" s="18">
        <f>1-GAMMA.DIST($D$16/$D$8,F195,1,TRUE)</f>
        <v/>
      </c>
    </row>
    <row r="196">
      <c r="A196" s="18" t="n">
        <v>0.0006337067387596142</v>
      </c>
      <c r="B196" s="19">
        <f>$B$17*(($B$9*($A196/$B$7^$B$11))/($B$9*($A196/$B$7^$B$11)+EXP($B$10-$B$9*($A196/$B$7^$B$11))))*$B$6/$B$8</f>
        <v/>
      </c>
      <c r="C196" s="18">
        <f>1-GAMMA.DIST($B$16/$B$8,B196,1,TRUE)</f>
        <v/>
      </c>
      <c r="D196" s="19">
        <f>$C$17*(($C$9*($A196/$C$7^$C$11))/($C$9*($A196/$C$7^$C$11)+EXP($C$10-$C$9*($A196/$C$7^$C$11))))*$C$6/$C$8</f>
        <v/>
      </c>
      <c r="E196" s="18">
        <f>1-GAMMA.DIST($C$16/$C$8,D196,1,TRUE)</f>
        <v/>
      </c>
      <c r="F196" s="19">
        <f>$D$17*(($D$9*($A196/$D$7^$D$11))/($D$9*($A196/$D$7^$D$11)+EXP($D$10-$D$9*($A196/$D$7^$D$11))))*$D$6/$D$8</f>
        <v/>
      </c>
      <c r="G196" s="18">
        <f>1-GAMMA.DIST($D$16/$D$8,F196,1,TRUE)</f>
        <v/>
      </c>
    </row>
    <row r="197">
      <c r="A197" s="18" t="n">
        <v>0.0007276502092519423</v>
      </c>
      <c r="B197" s="19">
        <f>$B$17*(($B$9*($A197/$B$7^$B$11))/($B$9*($A197/$B$7^$B$11)+EXP($B$10-$B$9*($A197/$B$7^$B$11))))*$B$6/$B$8</f>
        <v/>
      </c>
      <c r="C197" s="18">
        <f>1-GAMMA.DIST($B$16/$B$8,B197,1,TRUE)</f>
        <v/>
      </c>
      <c r="D197" s="19">
        <f>$C$17*(($C$9*($A197/$C$7^$C$11))/($C$9*($A197/$C$7^$C$11)+EXP($C$10-$C$9*($A197/$C$7^$C$11))))*$C$6/$C$8</f>
        <v/>
      </c>
      <c r="E197" s="18">
        <f>1-GAMMA.DIST($C$16/$C$8,D197,1,TRUE)</f>
        <v/>
      </c>
      <c r="F197" s="19">
        <f>$D$17*(($D$9*($A197/$D$7^$D$11))/($D$9*($A197/$D$7^$D$11)+EXP($D$10-$D$9*($A197/$D$7^$D$11))))*$D$6/$D$8</f>
        <v/>
      </c>
      <c r="G197" s="18">
        <f>1-GAMMA.DIST($D$16/$D$8,F197,1,TRUE)</f>
        <v/>
      </c>
    </row>
    <row r="198">
      <c r="A198" s="18" t="n">
        <v>0.0008355202724540423</v>
      </c>
      <c r="B198" s="19">
        <f>$B$17*(($B$9*($A198/$B$7^$B$11))/($B$9*($A198/$B$7^$B$11)+EXP($B$10-$B$9*($A198/$B$7^$B$11))))*$B$6/$B$8</f>
        <v/>
      </c>
      <c r="C198" s="18">
        <f>1-GAMMA.DIST($B$16/$B$8,B198,1,TRUE)</f>
        <v/>
      </c>
      <c r="D198" s="19">
        <f>$C$17*(($C$9*($A198/$C$7^$C$11))/($C$9*($A198/$C$7^$C$11)+EXP($C$10-$C$9*($A198/$C$7^$C$11))))*$C$6/$C$8</f>
        <v/>
      </c>
      <c r="E198" s="18">
        <f>1-GAMMA.DIST($C$16/$C$8,D198,1,TRUE)</f>
        <v/>
      </c>
      <c r="F198" s="19">
        <f>$D$17*(($D$9*($A198/$D$7^$D$11))/($D$9*($A198/$D$7^$D$11)+EXP($D$10-$D$9*($A198/$D$7^$D$11))))*$D$6/$D$8</f>
        <v/>
      </c>
      <c r="G198" s="18">
        <f>1-GAMMA.DIST($D$16/$D$8,F198,1,TRUE)</f>
        <v/>
      </c>
    </row>
    <row r="199">
      <c r="A199" s="18" t="n">
        <v>0.0009593814676413682</v>
      </c>
      <c r="B199" s="19">
        <f>$B$17*(($B$9*($A199/$B$7^$B$11))/($B$9*($A199/$B$7^$B$11)+EXP($B$10-$B$9*($A199/$B$7^$B$11))))*$B$6/$B$8</f>
        <v/>
      </c>
      <c r="C199" s="18">
        <f>1-GAMMA.DIST($B$16/$B$8,B199,1,TRUE)</f>
        <v/>
      </c>
      <c r="D199" s="19">
        <f>$C$17*(($C$9*($A199/$C$7^$C$11))/($C$9*($A199/$C$7^$C$11)+EXP($C$10-$C$9*($A199/$C$7^$C$11))))*$C$6/$C$8</f>
        <v/>
      </c>
      <c r="E199" s="18">
        <f>1-GAMMA.DIST($C$16/$C$8,D199,1,TRUE)</f>
        <v/>
      </c>
      <c r="F199" s="19">
        <f>$D$17*(($D$9*($A199/$D$7^$D$11))/($D$9*($A199/$D$7^$D$11)+EXP($D$10-$D$9*($A199/$D$7^$D$11))))*$D$6/$D$8</f>
        <v/>
      </c>
      <c r="G199" s="18">
        <f>1-GAMMA.DIST($D$16/$D$8,F199,1,TRUE)</f>
        <v/>
      </c>
    </row>
    <row r="200">
      <c r="A200" s="18" t="n">
        <v>0.001101604390459997</v>
      </c>
      <c r="B200" s="19">
        <f>$B$17*(($B$9*($A200/$B$7^$B$11))/($B$9*($A200/$B$7^$B$11)+EXP($B$10-$B$9*($A200/$B$7^$B$11))))*$B$6/$B$8</f>
        <v/>
      </c>
      <c r="C200" s="18">
        <f>1-GAMMA.DIST($B$16/$B$8,B200,1,TRUE)</f>
        <v/>
      </c>
      <c r="D200" s="19">
        <f>$C$17*(($C$9*($A200/$C$7^$C$11))/($C$9*($A200/$C$7^$C$11)+EXP($C$10-$C$9*($A200/$C$7^$C$11))))*$C$6/$C$8</f>
        <v/>
      </c>
      <c r="E200" s="18">
        <f>1-GAMMA.DIST($C$16/$C$8,D200,1,TRUE)</f>
        <v/>
      </c>
      <c r="F200" s="19">
        <f>$D$17*(($D$9*($A200/$D$7^$D$11))/($D$9*($A200/$D$7^$D$11)+EXP($D$10-$D$9*($A200/$D$7^$D$11))))*$D$6/$D$8</f>
        <v/>
      </c>
      <c r="G200" s="18">
        <f>1-GAMMA.DIST($D$16/$D$8,F200,1,TRUE)</f>
        <v/>
      </c>
    </row>
    <row r="201">
      <c r="A201" s="18" t="n">
        <v>0.001264911064067352</v>
      </c>
      <c r="B201" s="19">
        <f>$B$17*(($B$9*($A201/$B$7^$B$11))/($B$9*($A201/$B$7^$B$11)+EXP($B$10-$B$9*($A201/$B$7^$B$11))))*$B$6/$B$8</f>
        <v/>
      </c>
      <c r="C201" s="18">
        <f>1-GAMMA.DIST($B$16/$B$8,B201,1,TRUE)</f>
        <v/>
      </c>
      <c r="D201" s="19">
        <f>$C$17*(($C$9*($A201/$C$7^$C$11))/($C$9*($A201/$C$7^$C$11)+EXP($C$10-$C$9*($A201/$C$7^$C$11))))*$C$6/$C$8</f>
        <v/>
      </c>
      <c r="E201" s="18">
        <f>1-GAMMA.DIST($C$16/$C$8,D201,1,TRUE)</f>
        <v/>
      </c>
      <c r="F201" s="19">
        <f>$D$17*(($D$9*($A201/$D$7^$D$11))/($D$9*($A201/$D$7^$D$11)+EXP($D$10-$D$9*($A201/$D$7^$D$11))))*$D$6/$D$8</f>
        <v/>
      </c>
      <c r="G201" s="18">
        <f>1-GAMMA.DIST($D$16/$D$8,F201,1,TRUE)</f>
        <v/>
      </c>
    </row>
    <row r="202">
      <c r="A202" s="18" t="n">
        <v>0.001452427036290124</v>
      </c>
      <c r="B202" s="19">
        <f>$B$17*(($B$9*($A202/$B$7^$B$11))/($B$9*($A202/$B$7^$B$11)+EXP($B$10-$B$9*($A202/$B$7^$B$11))))*$B$6/$B$8</f>
        <v/>
      </c>
      <c r="C202" s="18">
        <f>1-GAMMA.DIST($B$16/$B$8,B202,1,TRUE)</f>
        <v/>
      </c>
      <c r="D202" s="19">
        <f>$C$17*(($C$9*($A202/$C$7^$C$11))/($C$9*($A202/$C$7^$C$11)+EXP($C$10-$C$9*($A202/$C$7^$C$11))))*$C$6/$C$8</f>
        <v/>
      </c>
      <c r="E202" s="18">
        <f>1-GAMMA.DIST($C$16/$C$8,D202,1,TRUE)</f>
        <v/>
      </c>
      <c r="F202" s="19">
        <f>$D$17*(($D$9*($A202/$D$7^$D$11))/($D$9*($A202/$D$7^$D$11)+EXP($D$10-$D$9*($A202/$D$7^$D$11))))*$D$6/$D$8</f>
        <v/>
      </c>
      <c r="G202" s="18">
        <f>1-GAMMA.DIST($D$16/$D$8,F202,1,TRUE)</f>
        <v/>
      </c>
    </row>
    <row r="203">
      <c r="A203" s="18" t="n">
        <v>0.001667741199893706</v>
      </c>
      <c r="B203" s="19">
        <f>$B$17*(($B$9*($A203/$B$7^$B$11))/($B$9*($A203/$B$7^$B$11)+EXP($B$10-$B$9*($A203/$B$7^$B$11))))*$B$6/$B$8</f>
        <v/>
      </c>
      <c r="C203" s="18">
        <f>1-GAMMA.DIST($B$16/$B$8,B203,1,TRUE)</f>
        <v/>
      </c>
      <c r="D203" s="19">
        <f>$C$17*(($C$9*($A203/$C$7^$C$11))/($C$9*($A203/$C$7^$C$11)+EXP($C$10-$C$9*($A203/$C$7^$C$11))))*$C$6/$C$8</f>
        <v/>
      </c>
      <c r="E203" s="18">
        <f>1-GAMMA.DIST($C$16/$C$8,D203,1,TRUE)</f>
        <v/>
      </c>
      <c r="F203" s="19">
        <f>$D$17*(($D$9*($A203/$D$7^$D$11))/($D$9*($A203/$D$7^$D$11)+EXP($D$10-$D$9*($A203/$D$7^$D$11))))*$D$6/$D$8</f>
        <v/>
      </c>
      <c r="G203" s="18">
        <f>1-GAMMA.DIST($D$16/$D$8,F203,1,TRUE)</f>
        <v/>
      </c>
    </row>
    <row r="204">
      <c r="A204" s="18" t="n">
        <v>0.001914974480871149</v>
      </c>
      <c r="B204" s="19">
        <f>$B$17*(($B$9*($A204/$B$7^$B$11))/($B$9*($A204/$B$7^$B$11)+EXP($B$10-$B$9*($A204/$B$7^$B$11))))*$B$6/$B$8</f>
        <v/>
      </c>
      <c r="C204" s="18">
        <f>1-GAMMA.DIST($B$16/$B$8,B204,1,TRUE)</f>
        <v/>
      </c>
      <c r="D204" s="19">
        <f>$C$17*(($C$9*($A204/$C$7^$C$11))/($C$9*($A204/$C$7^$C$11)+EXP($C$10-$C$9*($A204/$C$7^$C$11))))*$C$6/$C$8</f>
        <v/>
      </c>
      <c r="E204" s="18">
        <f>1-GAMMA.DIST($C$16/$C$8,D204,1,TRUE)</f>
        <v/>
      </c>
      <c r="F204" s="19">
        <f>$D$17*(($D$9*($A204/$D$7^$D$11))/($D$9*($A204/$D$7^$D$11)+EXP($D$10-$D$9*($A204/$D$7^$D$11))))*$D$6/$D$8</f>
        <v/>
      </c>
      <c r="G204" s="18">
        <f>1-GAMMA.DIST($D$16/$D$8,F204,1,TRUE)</f>
        <v/>
      </c>
    </row>
    <row r="205">
      <c r="A205" s="18" t="n">
        <v>0.002198858709385755</v>
      </c>
      <c r="B205" s="19">
        <f>$B$17*(($B$9*($A205/$B$7^$B$11))/($B$9*($A205/$B$7^$B$11)+EXP($B$10-$B$9*($A205/$B$7^$B$11))))*$B$6/$B$8</f>
        <v/>
      </c>
      <c r="C205" s="18">
        <f>1-GAMMA.DIST($B$16/$B$8,B205,1,TRUE)</f>
        <v/>
      </c>
      <c r="D205" s="19">
        <f>$C$17*(($C$9*($A205/$C$7^$C$11))/($C$9*($A205/$C$7^$C$11)+EXP($C$10-$C$9*($A205/$C$7^$C$11))))*$C$6/$C$8</f>
        <v/>
      </c>
      <c r="E205" s="18">
        <f>1-GAMMA.DIST($C$16/$C$8,D205,1,TRUE)</f>
        <v/>
      </c>
      <c r="F205" s="19">
        <f>$D$17*(($D$9*($A205/$D$7^$D$11))/($D$9*($A205/$D$7^$D$11)+EXP($D$10-$D$9*($A205/$D$7^$D$11))))*$D$6/$D$8</f>
        <v/>
      </c>
      <c r="G205" s="18">
        <f>1-GAMMA.DIST($D$16/$D$8,F205,1,TRUE)</f>
        <v/>
      </c>
    </row>
    <row r="206">
      <c r="A206" s="18" t="n">
        <v>0.002524827182888667</v>
      </c>
      <c r="B206" s="19">
        <f>$B$17*(($B$9*($A206/$B$7^$B$11))/($B$9*($A206/$B$7^$B$11)+EXP($B$10-$B$9*($A206/$B$7^$B$11))))*$B$6/$B$8</f>
        <v/>
      </c>
      <c r="C206" s="18">
        <f>1-GAMMA.DIST($B$16/$B$8,B206,1,TRUE)</f>
        <v/>
      </c>
      <c r="D206" s="19">
        <f>$C$17*(($C$9*($A206/$C$7^$C$11))/($C$9*($A206/$C$7^$C$11)+EXP($C$10-$C$9*($A206/$C$7^$C$11))))*$C$6/$C$8</f>
        <v/>
      </c>
      <c r="E206" s="18">
        <f>1-GAMMA.DIST($C$16/$C$8,D206,1,TRUE)</f>
        <v/>
      </c>
      <c r="F206" s="19">
        <f>$D$17*(($D$9*($A206/$D$7^$D$11))/($D$9*($A206/$D$7^$D$11)+EXP($D$10-$D$9*($A206/$D$7^$D$11))))*$D$6/$D$8</f>
        <v/>
      </c>
      <c r="G206" s="18">
        <f>1-GAMMA.DIST($D$16/$D$8,F206,1,TRUE)</f>
        <v/>
      </c>
    </row>
    <row r="207">
      <c r="A207" s="18" t="n">
        <v>0.002899118654710782</v>
      </c>
      <c r="B207" s="19">
        <f>$B$17*(($B$9*($A207/$B$7^$B$11))/($B$9*($A207/$B$7^$B$11)+EXP($B$10-$B$9*($A207/$B$7^$B$11))))*$B$6/$B$8</f>
        <v/>
      </c>
      <c r="C207" s="18">
        <f>1-GAMMA.DIST($B$16/$B$8,B207,1,TRUE)</f>
        <v/>
      </c>
      <c r="D207" s="19">
        <f>$C$17*(($C$9*($A207/$C$7^$C$11))/($C$9*($A207/$C$7^$C$11)+EXP($C$10-$C$9*($A207/$C$7^$C$11))))*$C$6/$C$8</f>
        <v/>
      </c>
      <c r="E207" s="18">
        <f>1-GAMMA.DIST($C$16/$C$8,D207,1,TRUE)</f>
        <v/>
      </c>
      <c r="F207" s="19">
        <f>$D$17*(($D$9*($A207/$D$7^$D$11))/($D$9*($A207/$D$7^$D$11)+EXP($D$10-$D$9*($A207/$D$7^$D$11))))*$D$6/$D$8</f>
        <v/>
      </c>
      <c r="G207" s="18">
        <f>1-GAMMA.DIST($D$16/$D$8,F207,1,TRUE)</f>
        <v/>
      </c>
    </row>
    <row r="208">
      <c r="A208" s="18" t="n">
        <v>0.003328896738380322</v>
      </c>
      <c r="B208" s="19">
        <f>$B$17*(($B$9*($A208/$B$7^$B$11))/($B$9*($A208/$B$7^$B$11)+EXP($B$10-$B$9*($A208/$B$7^$B$11))))*$B$6/$B$8</f>
        <v/>
      </c>
      <c r="C208" s="18">
        <f>1-GAMMA.DIST($B$16/$B$8,B208,1,TRUE)</f>
        <v/>
      </c>
      <c r="D208" s="19">
        <f>$C$17*(($C$9*($A208/$C$7^$C$11))/($C$9*($A208/$C$7^$C$11)+EXP($C$10-$C$9*($A208/$C$7^$C$11))))*$C$6/$C$8</f>
        <v/>
      </c>
      <c r="E208" s="18">
        <f>1-GAMMA.DIST($C$16/$C$8,D208,1,TRUE)</f>
        <v/>
      </c>
      <c r="F208" s="19">
        <f>$D$17*(($D$9*($A208/$D$7^$D$11))/($D$9*($A208/$D$7^$D$11)+EXP($D$10-$D$9*($A208/$D$7^$D$11))))*$D$6/$D$8</f>
        <v/>
      </c>
      <c r="G208" s="18">
        <f>1-GAMMA.DIST($D$16/$D$8,F208,1,TRUE)</f>
        <v/>
      </c>
    </row>
    <row r="209">
      <c r="A209" s="18" t="n">
        <v>0.00382238701296089</v>
      </c>
      <c r="B209" s="19">
        <f>$B$17*(($B$9*($A209/$B$7^$B$11))/($B$9*($A209/$B$7^$B$11)+EXP($B$10-$B$9*($A209/$B$7^$B$11))))*$B$6/$B$8</f>
        <v/>
      </c>
      <c r="C209" s="18">
        <f>1-GAMMA.DIST($B$16/$B$8,B209,1,TRUE)</f>
        <v/>
      </c>
      <c r="D209" s="19">
        <f>$C$17*(($C$9*($A209/$C$7^$C$11))/($C$9*($A209/$C$7^$C$11)+EXP($C$10-$C$9*($A209/$C$7^$C$11))))*$C$6/$C$8</f>
        <v/>
      </c>
      <c r="E209" s="18">
        <f>1-GAMMA.DIST($C$16/$C$8,D209,1,TRUE)</f>
        <v/>
      </c>
      <c r="F209" s="19">
        <f>$D$17*(($D$9*($A209/$D$7^$D$11))/($D$9*($A209/$D$7^$D$11)+EXP($D$10-$D$9*($A209/$D$7^$D$11))))*$D$6/$D$8</f>
        <v/>
      </c>
      <c r="G209" s="18">
        <f>1-GAMMA.DIST($D$16/$D$8,F209,1,TRUE)</f>
        <v/>
      </c>
    </row>
    <row r="210">
      <c r="A210" s="18" t="n">
        <v>0.004389034453487106</v>
      </c>
      <c r="B210" s="19">
        <f>$B$17*(($B$9*($A210/$B$7^$B$11))/($B$9*($A210/$B$7^$B$11)+EXP($B$10-$B$9*($A210/$B$7^$B$11))))*$B$6/$B$8</f>
        <v/>
      </c>
      <c r="C210" s="18">
        <f>1-GAMMA.DIST($B$16/$B$8,B210,1,TRUE)</f>
        <v/>
      </c>
      <c r="D210" s="19">
        <f>$C$17*(($C$9*($A210/$C$7^$C$11))/($C$9*($A210/$C$7^$C$11)+EXP($C$10-$C$9*($A210/$C$7^$C$11))))*$C$6/$C$8</f>
        <v/>
      </c>
      <c r="E210" s="18">
        <f>1-GAMMA.DIST($C$16/$C$8,D210,1,TRUE)</f>
        <v/>
      </c>
      <c r="F210" s="19">
        <f>$D$17*(($D$9*($A210/$D$7^$D$11))/($D$9*($A210/$D$7^$D$11)+EXP($D$10-$D$9*($A210/$D$7^$D$11))))*$D$6/$D$8</f>
        <v/>
      </c>
      <c r="G210" s="18">
        <f>1-GAMMA.DIST($D$16/$D$8,F210,1,TRUE)</f>
        <v/>
      </c>
    </row>
    <row r="211">
      <c r="A211" s="18" t="n">
        <v>0.005039684199579491</v>
      </c>
      <c r="B211" s="19">
        <f>$B$17*(($B$9*($A211/$B$7^$B$11))/($B$9*($A211/$B$7^$B$11)+EXP($B$10-$B$9*($A211/$B$7^$B$11))))*$B$6/$B$8</f>
        <v/>
      </c>
      <c r="C211" s="18">
        <f>1-GAMMA.DIST($B$16/$B$8,B211,1,TRUE)</f>
        <v/>
      </c>
      <c r="D211" s="19">
        <f>$C$17*(($C$9*($A211/$C$7^$C$11))/($C$9*($A211/$C$7^$C$11)+EXP($C$10-$C$9*($A211/$C$7^$C$11))))*$C$6/$C$8</f>
        <v/>
      </c>
      <c r="E211" s="18">
        <f>1-GAMMA.DIST($C$16/$C$8,D211,1,TRUE)</f>
        <v/>
      </c>
      <c r="F211" s="19">
        <f>$D$17*(($D$9*($A211/$D$7^$D$11))/($D$9*($A211/$D$7^$D$11)+EXP($D$10-$D$9*($A211/$D$7^$D$11))))*$D$6/$D$8</f>
        <v/>
      </c>
      <c r="G211" s="18">
        <f>1-GAMMA.DIST($D$16/$D$8,F211,1,TRUE)</f>
        <v/>
      </c>
    </row>
    <row r="212">
      <c r="A212" s="18" t="n">
        <v>0.00578678912199289</v>
      </c>
      <c r="B212" s="19">
        <f>$B$17*(($B$9*($A212/$B$7^$B$11))/($B$9*($A212/$B$7^$B$11)+EXP($B$10-$B$9*($A212/$B$7^$B$11))))*$B$6/$B$8</f>
        <v/>
      </c>
      <c r="C212" s="18">
        <f>1-GAMMA.DIST($B$16/$B$8,B212,1,TRUE)</f>
        <v/>
      </c>
      <c r="D212" s="19">
        <f>$C$17*(($C$9*($A212/$C$7^$C$11))/($C$9*($A212/$C$7^$C$11)+EXP($C$10-$C$9*($A212/$C$7^$C$11))))*$C$6/$C$8</f>
        <v/>
      </c>
      <c r="E212" s="18">
        <f>1-GAMMA.DIST($C$16/$C$8,D212,1,TRUE)</f>
        <v/>
      </c>
      <c r="F212" s="19">
        <f>$D$17*(($D$9*($A212/$D$7^$D$11))/($D$9*($A212/$D$7^$D$11)+EXP($D$10-$D$9*($A212/$D$7^$D$11))))*$D$6/$D$8</f>
        <v/>
      </c>
      <c r="G212" s="18">
        <f>1-GAMMA.DIST($D$16/$D$8,F212,1,TRUE)</f>
        <v/>
      </c>
    </row>
    <row r="213">
      <c r="A213" s="18" t="n">
        <v>0.006644648159741706</v>
      </c>
      <c r="B213" s="19">
        <f>$B$17*(($B$9*($A213/$B$7^$B$11))/($B$9*($A213/$B$7^$B$11)+EXP($B$10-$B$9*($A213/$B$7^$B$11))))*$B$6/$B$8</f>
        <v/>
      </c>
      <c r="C213" s="18">
        <f>1-GAMMA.DIST($B$16/$B$8,B213,1,TRUE)</f>
        <v/>
      </c>
      <c r="D213" s="19">
        <f>$C$17*(($C$9*($A213/$C$7^$C$11))/($C$9*($A213/$C$7^$C$11)+EXP($C$10-$C$9*($A213/$C$7^$C$11))))*$C$6/$C$8</f>
        <v/>
      </c>
      <c r="E213" s="18">
        <f>1-GAMMA.DIST($C$16/$C$8,D213,1,TRUE)</f>
        <v/>
      </c>
      <c r="F213" s="19">
        <f>$D$17*(($D$9*($A213/$D$7^$D$11))/($D$9*($A213/$D$7^$D$11)+EXP($D$10-$D$9*($A213/$D$7^$D$11))))*$D$6/$D$8</f>
        <v/>
      </c>
      <c r="G213" s="18">
        <f>1-GAMMA.DIST($D$16/$D$8,F213,1,TRUE)</f>
        <v/>
      </c>
    </row>
    <row r="214">
      <c r="A214" s="18" t="n">
        <v>0.007629679989367534</v>
      </c>
      <c r="B214" s="19">
        <f>$B$17*(($B$9*($A214/$B$7^$B$11))/($B$9*($A214/$B$7^$B$11)+EXP($B$10-$B$9*($A214/$B$7^$B$11))))*$B$6/$B$8</f>
        <v/>
      </c>
      <c r="C214" s="18">
        <f>1-GAMMA.DIST($B$16/$B$8,B214,1,TRUE)</f>
        <v/>
      </c>
      <c r="D214" s="19">
        <f>$C$17*(($C$9*($A214/$C$7^$C$11))/($C$9*($A214/$C$7^$C$11)+EXP($C$10-$C$9*($A214/$C$7^$C$11))))*$C$6/$C$8</f>
        <v/>
      </c>
      <c r="E214" s="18">
        <f>1-GAMMA.DIST($C$16/$C$8,D214,1,TRUE)</f>
        <v/>
      </c>
      <c r="F214" s="19">
        <f>$D$17*(($D$9*($A214/$D$7^$D$11))/($D$9*($A214/$D$7^$D$11)+EXP($D$10-$D$9*($A214/$D$7^$D$11))))*$D$6/$D$8</f>
        <v/>
      </c>
      <c r="G214" s="18">
        <f>1-GAMMA.DIST($D$16/$D$8,F214,1,TRUE)</f>
        <v/>
      </c>
    </row>
    <row r="215">
      <c r="A215" s="18" t="n">
        <v>0.008760737264141037</v>
      </c>
      <c r="B215" s="19">
        <f>$B$17*(($B$9*($A215/$B$7^$B$11))/($B$9*($A215/$B$7^$B$11)+EXP($B$10-$B$9*($A215/$B$7^$B$11))))*$B$6/$B$8</f>
        <v/>
      </c>
      <c r="C215" s="18">
        <f>1-GAMMA.DIST($B$16/$B$8,B215,1,TRUE)</f>
        <v/>
      </c>
      <c r="D215" s="19">
        <f>$C$17*(($C$9*($A215/$C$7^$C$11))/($C$9*($A215/$C$7^$C$11)+EXP($C$10-$C$9*($A215/$C$7^$C$11))))*$C$6/$C$8</f>
        <v/>
      </c>
      <c r="E215" s="18">
        <f>1-GAMMA.DIST($C$16/$C$8,D215,1,TRUE)</f>
        <v/>
      </c>
      <c r="F215" s="19">
        <f>$D$17*(($D$9*($A215/$D$7^$D$11))/($D$9*($A215/$D$7^$D$11)+EXP($D$10-$D$9*($A215/$D$7^$D$11))))*$D$6/$D$8</f>
        <v/>
      </c>
      <c r="G215" s="18">
        <f>1-GAMMA.DIST($D$16/$D$8,F215,1,TRUE)</f>
        <v/>
      </c>
    </row>
    <row r="216">
      <c r="A216" s="18" t="n">
        <v>0.01005946743746348</v>
      </c>
      <c r="B216" s="19">
        <f>$B$17*(($B$9*($A216/$B$7^$B$11))/($B$9*($A216/$B$7^$B$11)+EXP($B$10-$B$9*($A216/$B$7^$B$11))))*$B$6/$B$8</f>
        <v/>
      </c>
      <c r="C216" s="18">
        <f>1-GAMMA.DIST($B$16/$B$8,B216,1,TRUE)</f>
        <v/>
      </c>
      <c r="D216" s="19">
        <f>$C$17*(($C$9*($A216/$C$7^$C$11))/($C$9*($A216/$C$7^$C$11)+EXP($C$10-$C$9*($A216/$C$7^$C$11))))*$C$6/$C$8</f>
        <v/>
      </c>
      <c r="E216" s="18">
        <f>1-GAMMA.DIST($C$16/$C$8,D216,1,TRUE)</f>
        <v/>
      </c>
      <c r="F216" s="19">
        <f>$D$17*(($D$9*($A216/$D$7^$D$11))/($D$9*($A216/$D$7^$D$11)+EXP($D$10-$D$9*($A216/$D$7^$D$11))))*$D$6/$D$8</f>
        <v/>
      </c>
      <c r="G216" s="18">
        <f>1-GAMMA.DIST($D$16/$D$8,F216,1,TRUE)</f>
        <v/>
      </c>
    </row>
    <row r="217">
      <c r="A217" s="18" t="n">
        <v>0.01155072707631414</v>
      </c>
      <c r="B217" s="19">
        <f>$B$17*(($B$9*($A217/$B$7^$B$11))/($B$9*($A217/$B$7^$B$11)+EXP($B$10-$B$9*($A217/$B$7^$B$11))))*$B$6/$B$8</f>
        <v/>
      </c>
      <c r="C217" s="18">
        <f>1-GAMMA.DIST($B$16/$B$8,B217,1,TRUE)</f>
        <v/>
      </c>
      <c r="D217" s="19">
        <f>$C$17*(($C$9*($A217/$C$7^$C$11))/($C$9*($A217/$C$7^$C$11)+EXP($C$10-$C$9*($A217/$C$7^$C$11))))*$C$6/$C$8</f>
        <v/>
      </c>
      <c r="E217" s="18">
        <f>1-GAMMA.DIST($C$16/$C$8,D217,1,TRUE)</f>
        <v/>
      </c>
      <c r="F217" s="19">
        <f>$D$17*(($D$9*($A217/$D$7^$D$11))/($D$9*($A217/$D$7^$D$11)+EXP($D$10-$D$9*($A217/$D$7^$D$11))))*$D$6/$D$8</f>
        <v/>
      </c>
      <c r="G217" s="18">
        <f>1-GAMMA.DIST($D$16/$D$8,F217,1,TRUE)</f>
        <v/>
      </c>
    </row>
    <row r="218">
      <c r="A218" s="18" t="n">
        <v>0.01326305759434303</v>
      </c>
      <c r="B218" s="19">
        <f>$B$17*(($B$9*($A218/$B$7^$B$11))/($B$9*($A218/$B$7^$B$11)+EXP($B$10-$B$9*($A218/$B$7^$B$11))))*$B$6/$B$8</f>
        <v/>
      </c>
      <c r="C218" s="18">
        <f>1-GAMMA.DIST($B$16/$B$8,B218,1,TRUE)</f>
        <v/>
      </c>
      <c r="D218" s="19">
        <f>$C$17*(($C$9*($A218/$C$7^$C$11))/($C$9*($A218/$C$7^$C$11)+EXP($C$10-$C$9*($A218/$C$7^$C$11))))*$C$6/$C$8</f>
        <v/>
      </c>
      <c r="E218" s="18">
        <f>1-GAMMA.DIST($C$16/$C$8,D218,1,TRUE)</f>
        <v/>
      </c>
      <c r="F218" s="19">
        <f>$D$17*(($D$9*($A218/$D$7^$D$11))/($D$9*($A218/$D$7^$D$11)+EXP($D$10-$D$9*($A218/$D$7^$D$11))))*$D$6/$D$8</f>
        <v/>
      </c>
      <c r="G218" s="18">
        <f>1-GAMMA.DIST($D$16/$D$8,F218,1,TRUE)</f>
        <v/>
      </c>
    </row>
    <row r="219">
      <c r="A219" s="18" t="n">
        <v>0.01522923150972703</v>
      </c>
      <c r="B219" s="19">
        <f>$B$17*(($B$9*($A219/$B$7^$B$11))/($B$9*($A219/$B$7^$B$11)+EXP($B$10-$B$9*($A219/$B$7^$B$11))))*$B$6/$B$8</f>
        <v/>
      </c>
      <c r="C219" s="18">
        <f>1-GAMMA.DIST($B$16/$B$8,B219,1,TRUE)</f>
        <v/>
      </c>
      <c r="D219" s="19">
        <f>$C$17*(($C$9*($A219/$C$7^$C$11))/($C$9*($A219/$C$7^$C$11)+EXP($C$10-$C$9*($A219/$C$7^$C$11))))*$C$6/$C$8</f>
        <v/>
      </c>
      <c r="E219" s="18">
        <f>1-GAMMA.DIST($C$16/$C$8,D219,1,TRUE)</f>
        <v/>
      </c>
      <c r="F219" s="19">
        <f>$D$17*(($D$9*($A219/$D$7^$D$11))/($D$9*($A219/$D$7^$D$11)+EXP($D$10-$D$9*($A219/$D$7^$D$11))))*$D$6/$D$8</f>
        <v/>
      </c>
      <c r="G219" s="18">
        <f>1-GAMMA.DIST($D$16/$D$8,F219,1,TRUE)</f>
        <v/>
      </c>
    </row>
    <row r="220">
      <c r="A220" s="18" t="n">
        <v>0.01748687968268985</v>
      </c>
      <c r="B220" s="19">
        <f>$B$17*(($B$9*($A220/$B$7^$B$11))/($B$9*($A220/$B$7^$B$11)+EXP($B$10-$B$9*($A220/$B$7^$B$11))))*$B$6/$B$8</f>
        <v/>
      </c>
      <c r="C220" s="18">
        <f>1-GAMMA.DIST($B$16/$B$8,B220,1,TRUE)</f>
        <v/>
      </c>
      <c r="D220" s="19">
        <f>$C$17*(($C$9*($A220/$C$7^$C$11))/($C$9*($A220/$C$7^$C$11)+EXP($C$10-$C$9*($A220/$C$7^$C$11))))*$C$6/$C$8</f>
        <v/>
      </c>
      <c r="E220" s="18">
        <f>1-GAMMA.DIST($C$16/$C$8,D220,1,TRUE)</f>
        <v/>
      </c>
      <c r="F220" s="19">
        <f>$D$17*(($D$9*($A220/$D$7^$D$11))/($D$9*($A220/$D$7^$D$11)+EXP($D$10-$D$9*($A220/$D$7^$D$11))))*$D$6/$D$8</f>
        <v/>
      </c>
      <c r="G220" s="18">
        <f>1-GAMMA.DIST($D$16/$D$8,F220,1,TRUE)</f>
        <v/>
      </c>
    </row>
    <row r="221">
      <c r="A221" s="18" t="n">
        <v>0.02007921153746729</v>
      </c>
      <c r="B221" s="19">
        <f>$B$17*(($B$9*($A221/$B$7^$B$11))/($B$9*($A221/$B$7^$B$11)+EXP($B$10-$B$9*($A221/$B$7^$B$11))))*$B$6/$B$8</f>
        <v/>
      </c>
      <c r="C221" s="18">
        <f>1-GAMMA.DIST($B$16/$B$8,B221,1,TRUE)</f>
        <v/>
      </c>
      <c r="D221" s="19">
        <f>$C$17*(($C$9*($A221/$C$7^$C$11))/($C$9*($A221/$C$7^$C$11)+EXP($C$10-$C$9*($A221/$C$7^$C$11))))*$C$6/$C$8</f>
        <v/>
      </c>
      <c r="E221" s="18">
        <f>1-GAMMA.DIST($C$16/$C$8,D221,1,TRUE)</f>
        <v/>
      </c>
      <c r="F221" s="19">
        <f>$D$17*(($D$9*($A221/$D$7^$D$11))/($D$9*($A221/$D$7^$D$11)+EXP($D$10-$D$9*($A221/$D$7^$D$11))))*$D$6/$D$8</f>
        <v/>
      </c>
      <c r="G221" s="18">
        <f>1-GAMMA.DIST($D$16/$D$8,F221,1,TRUE)</f>
        <v/>
      </c>
    </row>
    <row r="222">
      <c r="A222" s="18" t="n">
        <v>0.02305584205313995</v>
      </c>
      <c r="B222" s="19">
        <f>$B$17*(($B$9*($A222/$B$7^$B$11))/($B$9*($A222/$B$7^$B$11)+EXP($B$10-$B$9*($A222/$B$7^$B$11))))*$B$6/$B$8</f>
        <v/>
      </c>
      <c r="C222" s="18">
        <f>1-GAMMA.DIST($B$16/$B$8,B222,1,TRUE)</f>
        <v/>
      </c>
      <c r="D222" s="19">
        <f>$C$17*(($C$9*($A222/$C$7^$C$11))/($C$9*($A222/$C$7^$C$11)+EXP($C$10-$C$9*($A222/$C$7^$C$11))))*$C$6/$C$8</f>
        <v/>
      </c>
      <c r="E222" s="18">
        <f>1-GAMMA.DIST($C$16/$C$8,D222,1,TRUE)</f>
        <v/>
      </c>
      <c r="F222" s="19">
        <f>$D$17*(($D$9*($A222/$D$7^$D$11))/($D$9*($A222/$D$7^$D$11)+EXP($D$10-$D$9*($A222/$D$7^$D$11))))*$D$6/$D$8</f>
        <v/>
      </c>
      <c r="G222" s="18">
        <f>1-GAMMA.DIST($D$16/$D$8,F222,1,TRUE)</f>
        <v/>
      </c>
    </row>
    <row r="223">
      <c r="A223" s="18" t="n">
        <v>0.02647374135121977</v>
      </c>
      <c r="B223" s="19">
        <f>$B$17*(($B$9*($A223/$B$7^$B$11))/($B$9*($A223/$B$7^$B$11)+EXP($B$10-$B$9*($A223/$B$7^$B$11))))*$B$6/$B$8</f>
        <v/>
      </c>
      <c r="C223" s="18">
        <f>1-GAMMA.DIST($B$16/$B$8,B223,1,TRUE)</f>
        <v/>
      </c>
      <c r="D223" s="19">
        <f>$C$17*(($C$9*($A223/$C$7^$C$11))/($C$9*($A223/$C$7^$C$11)+EXP($C$10-$C$9*($A223/$C$7^$C$11))))*$C$6/$C$8</f>
        <v/>
      </c>
      <c r="E223" s="18">
        <f>1-GAMMA.DIST($C$16/$C$8,D223,1,TRUE)</f>
        <v/>
      </c>
      <c r="F223" s="19">
        <f>$D$17*(($D$9*($A223/$D$7^$D$11))/($D$9*($A223/$D$7^$D$11)+EXP($D$10-$D$9*($A223/$D$7^$D$11))))*$D$6/$D$8</f>
        <v/>
      </c>
      <c r="G223" s="18">
        <f>1-GAMMA.DIST($D$16/$D$8,F223,1,TRUE)</f>
        <v/>
      </c>
    </row>
    <row r="224">
      <c r="A224" s="18" t="n">
        <v>0.03039832505427117</v>
      </c>
      <c r="B224" s="19">
        <f>$B$17*(($B$9*($A224/$B$7^$B$11))/($B$9*($A224/$B$7^$B$11)+EXP($B$10-$B$9*($A224/$B$7^$B$11))))*$B$6/$B$8</f>
        <v/>
      </c>
      <c r="C224" s="18">
        <f>1-GAMMA.DIST($B$16/$B$8,B224,1,TRUE)</f>
        <v/>
      </c>
      <c r="D224" s="19">
        <f>$C$17*(($C$9*($A224/$C$7^$C$11))/($C$9*($A224/$C$7^$C$11)+EXP($C$10-$C$9*($A224/$C$7^$C$11))))*$C$6/$C$8</f>
        <v/>
      </c>
      <c r="E224" s="18">
        <f>1-GAMMA.DIST($C$16/$C$8,D224,1,TRUE)</f>
        <v/>
      </c>
      <c r="F224" s="19">
        <f>$D$17*(($D$9*($A224/$D$7^$D$11))/($D$9*($A224/$D$7^$D$11)+EXP($D$10-$D$9*($A224/$D$7^$D$11))))*$D$6/$D$8</f>
        <v/>
      </c>
      <c r="G224" s="18">
        <f>1-GAMMA.DIST($D$16/$D$8,F224,1,TRUE)</f>
        <v/>
      </c>
    </row>
    <row r="225">
      <c r="A225" s="18" t="n">
        <v>0.03490470628408385</v>
      </c>
      <c r="B225" s="19">
        <f>$B$17*(($B$9*($A225/$B$7^$B$11))/($B$9*($A225/$B$7^$B$11)+EXP($B$10-$B$9*($A225/$B$7^$B$11))))*$B$6/$B$8</f>
        <v/>
      </c>
      <c r="C225" s="18">
        <f>1-GAMMA.DIST($B$16/$B$8,B225,1,TRUE)</f>
        <v/>
      </c>
      <c r="D225" s="19">
        <f>$C$17*(($C$9*($A225/$C$7^$C$11))/($C$9*($A225/$C$7^$C$11)+EXP($C$10-$C$9*($A225/$C$7^$C$11))))*$C$6/$C$8</f>
        <v/>
      </c>
      <c r="E225" s="18">
        <f>1-GAMMA.DIST($C$16/$C$8,D225,1,TRUE)</f>
        <v/>
      </c>
      <c r="F225" s="19">
        <f>$D$17*(($D$9*($A225/$D$7^$D$11))/($D$9*($A225/$D$7^$D$11)+EXP($D$10-$D$9*($A225/$D$7^$D$11))))*$D$6/$D$8</f>
        <v/>
      </c>
      <c r="G225" s="18">
        <f>1-GAMMA.DIST($D$16/$D$8,F225,1,TRUE)</f>
        <v/>
      </c>
    </row>
    <row r="226">
      <c r="A226" s="18" t="n">
        <v>0.04007913326155373</v>
      </c>
      <c r="B226" s="19">
        <f>$B$17*(($B$9*($A226/$B$7^$B$11))/($B$9*($A226/$B$7^$B$11)+EXP($B$10-$B$9*($A226/$B$7^$B$11))))*$B$6/$B$8</f>
        <v/>
      </c>
      <c r="C226" s="18">
        <f>1-GAMMA.DIST($B$16/$B$8,B226,1,TRUE)</f>
        <v/>
      </c>
      <c r="D226" s="19">
        <f>$C$17*(($C$9*($A226/$C$7^$C$11))/($C$9*($A226/$C$7^$C$11)+EXP($C$10-$C$9*($A226/$C$7^$C$11))))*$C$6/$C$8</f>
        <v/>
      </c>
      <c r="E226" s="18">
        <f>1-GAMMA.DIST($C$16/$C$8,D226,1,TRUE)</f>
        <v/>
      </c>
      <c r="F226" s="19">
        <f>$D$17*(($D$9*($A226/$D$7^$D$11))/($D$9*($A226/$D$7^$D$11)+EXP($D$10-$D$9*($A226/$D$7^$D$11))))*$D$6/$D$8</f>
        <v/>
      </c>
      <c r="G226" s="18">
        <f>1-GAMMA.DIST($D$16/$D$8,F226,1,TRUE)</f>
        <v/>
      </c>
    </row>
    <row r="227">
      <c r="A227" s="18" t="n">
        <v>0.04602064002268527</v>
      </c>
      <c r="B227" s="19">
        <f>$B$17*(($B$9*($A227/$B$7^$B$11))/($B$9*($A227/$B$7^$B$11)+EXP($B$10-$B$9*($A227/$B$7^$B$11))))*$B$6/$B$8</f>
        <v/>
      </c>
      <c r="C227" s="18">
        <f>1-GAMMA.DIST($B$16/$B$8,B227,1,TRUE)</f>
        <v/>
      </c>
      <c r="D227" s="19">
        <f>$C$17*(($C$9*($A227/$C$7^$C$11))/($C$9*($A227/$C$7^$C$11)+EXP($C$10-$C$9*($A227/$C$7^$C$11))))*$C$6/$C$8</f>
        <v/>
      </c>
      <c r="E227" s="18">
        <f>1-GAMMA.DIST($C$16/$C$8,D227,1,TRUE)</f>
        <v/>
      </c>
      <c r="F227" s="19">
        <f>$D$17*(($D$9*($A227/$D$7^$D$11))/($D$9*($A227/$D$7^$D$11)+EXP($D$10-$D$9*($A227/$D$7^$D$11))))*$D$6/$D$8</f>
        <v/>
      </c>
      <c r="G227" s="18">
        <f>1-GAMMA.DIST($D$16/$D$8,F227,1,TRUE)</f>
        <v/>
      </c>
    </row>
    <row r="228">
      <c r="A228" s="18" t="n">
        <v>0.05284294184398428</v>
      </c>
      <c r="B228" s="19">
        <f>$B$17*(($B$9*($A228/$B$7^$B$11))/($B$9*($A228/$B$7^$B$11)+EXP($B$10-$B$9*($A228/$B$7^$B$11))))*$B$6/$B$8</f>
        <v/>
      </c>
      <c r="C228" s="18">
        <f>1-GAMMA.DIST($B$16/$B$8,B228,1,TRUE)</f>
        <v/>
      </c>
      <c r="D228" s="19">
        <f>$C$17*(($C$9*($A228/$C$7^$C$11))/($C$9*($A228/$C$7^$C$11)+EXP($C$10-$C$9*($A228/$C$7^$C$11))))*$C$6/$C$8</f>
        <v/>
      </c>
      <c r="E228" s="18">
        <f>1-GAMMA.DIST($C$16/$C$8,D228,1,TRUE)</f>
        <v/>
      </c>
      <c r="F228" s="19">
        <f>$D$17*(($D$9*($A228/$D$7^$D$11))/($D$9*($A228/$D$7^$D$11)+EXP($D$10-$D$9*($A228/$D$7^$D$11))))*$D$6/$D$8</f>
        <v/>
      </c>
      <c r="G228" s="18">
        <f>1-GAMMA.DIST($D$16/$D$8,F228,1,TRUE)</f>
        <v/>
      </c>
    </row>
    <row r="229">
      <c r="A229" s="18" t="n">
        <v>0.06067661165403703</v>
      </c>
      <c r="B229" s="19">
        <f>$B$17*(($B$9*($A229/$B$7^$B$11))/($B$9*($A229/$B$7^$B$11)+EXP($B$10-$B$9*($A229/$B$7^$B$11))))*$B$6/$B$8</f>
        <v/>
      </c>
      <c r="C229" s="18">
        <f>1-GAMMA.DIST($B$16/$B$8,B229,1,TRUE)</f>
        <v/>
      </c>
      <c r="D229" s="19">
        <f>$C$17*(($C$9*($A229/$C$7^$C$11))/($C$9*($A229/$C$7^$C$11)+EXP($C$10-$C$9*($A229/$C$7^$C$11))))*$C$6/$C$8</f>
        <v/>
      </c>
      <c r="E229" s="18">
        <f>1-GAMMA.DIST($C$16/$C$8,D229,1,TRUE)</f>
        <v/>
      </c>
      <c r="F229" s="19">
        <f>$D$17*(($D$9*($A229/$D$7^$D$11))/($D$9*($A229/$D$7^$D$11)+EXP($D$10-$D$9*($A229/$D$7^$D$11))))*$D$6/$D$8</f>
        <v/>
      </c>
      <c r="G229" s="18">
        <f>1-GAMMA.DIST($D$16/$D$8,F229,1,TRUE)</f>
        <v/>
      </c>
    </row>
    <row r="230">
      <c r="A230" s="18" t="n">
        <v>0.06967157908590101</v>
      </c>
      <c r="B230" s="19">
        <f>$B$17*(($B$9*($A230/$B$7^$B$11))/($B$9*($A230/$B$7^$B$11)+EXP($B$10-$B$9*($A230/$B$7^$B$11))))*$B$6/$B$8</f>
        <v/>
      </c>
      <c r="C230" s="18">
        <f>1-GAMMA.DIST($B$16/$B$8,B230,1,TRUE)</f>
        <v/>
      </c>
      <c r="D230" s="19">
        <f>$C$17*(($C$9*($A230/$C$7^$C$11))/($C$9*($A230/$C$7^$C$11)+EXP($C$10-$C$9*($A230/$C$7^$C$11))))*$C$6/$C$8</f>
        <v/>
      </c>
      <c r="E230" s="18">
        <f>1-GAMMA.DIST($C$16/$C$8,D230,1,TRUE)</f>
        <v/>
      </c>
      <c r="F230" s="19">
        <f>$D$17*(($D$9*($A230/$D$7^$D$11))/($D$9*($A230/$D$7^$D$11)+EXP($D$10-$D$9*($A230/$D$7^$D$11))))*$D$6/$D$8</f>
        <v/>
      </c>
      <c r="G230" s="18">
        <f>1-GAMMA.DIST($D$16/$D$8,F230,1,TRUE)</f>
        <v/>
      </c>
    </row>
    <row r="231">
      <c r="A231" s="18" t="n">
        <v>0.08</v>
      </c>
      <c r="B231" s="19">
        <f>$B$17*(($B$9*($A231/$B$7^$B$11))/($B$9*($A231/$B$7^$B$11)+EXP($B$10-$B$9*($A231/$B$7^$B$11))))*$B$6/$B$8</f>
        <v/>
      </c>
      <c r="C231" s="18">
        <f>1-GAMMA.DIST($B$16/$B$8,B231,1,TRUE)</f>
        <v/>
      </c>
      <c r="D231" s="19">
        <f>$C$17*(($C$9*($A231/$C$7^$C$11))/($C$9*($A231/$C$7^$C$11)+EXP($C$10-$C$9*($A231/$C$7^$C$11))))*$C$6/$C$8</f>
        <v/>
      </c>
      <c r="E231" s="18">
        <f>1-GAMMA.DIST($C$16/$C$8,D231,1,TRUE)</f>
        <v/>
      </c>
      <c r="F231" s="19">
        <f>$D$17*(($D$9*($A231/$D$7^$D$11))/($D$9*($A231/$D$7^$D$11)+EXP($D$10-$D$9*($A231/$D$7^$D$11))))*$D$6/$D$8</f>
        <v/>
      </c>
      <c r="G231" s="18">
        <f>1-GAMMA.DIST($D$16/$D$8,F231,1,TRUE)</f>
        <v/>
      </c>
    </row>
    <row r="233">
      <c r="A233" t="inlineStr">
        <is>
          <t>Interpolated: Median Cost (alpha=50%) @ LQC Reference Size/Horizon  (Grid 3)</t>
        </is>
      </c>
      <c r="B233" s="15">
        <f>INDEX($A$171:$A$231,MATCH(0.5,$C$171:$C$231,1))+(0.5-INDEX($C$171:$C$231,MATCH(0.5,$C$171:$C$231,1)))/(INDEX($C$171:$C$231,MATCH(0.5,$C$171:$C$231,1)+1)-INDEX($C$171:$C$231,MATCH(0.5,$C$171:$C$231,1)))*(INDEX($A$171:$A$231,MATCH(0.5,$C$171:$C$231,1)+1)-INDEX($A$171:$A$231,MATCH(0.5,$C$171:$C$231,1)))</f>
        <v/>
      </c>
      <c r="C233" s="15">
        <f>INDEX($A$171:$A$231,MATCH(0.5,$E$171:$E$231,1))+(0.5-INDEX($E$171:$E$231,MATCH(0.5,$E$171:$E$231,1)))/(INDEX($E$171:$E$231,MATCH(0.5,$E$171:$E$231,1)+1)-INDEX($E$171:$E$231,MATCH(0.5,$E$171:$E$231,1)))*(INDEX($A$171:$A$231,MATCH(0.5,$E$171:$E$231,1)+1)-INDEX($A$171:$A$231,MATCH(0.5,$E$171:$E$231,1)))</f>
        <v/>
      </c>
      <c r="D233" s="15">
        <f>INDEX($A$171:$A$231,MATCH(0.5,$G$171:$G$231,1))+(0.5-INDEX($G$171:$G$231,MATCH(0.5,$G$171:$G$231,1)))/(INDEX($G$171:$G$231,MATCH(0.5,$G$171:$G$231,1)+1)-INDEX($G$171:$G$231,MATCH(0.5,$G$171:$G$231,1)))*(INDEX($A$171:$A$231,MATCH(0.5,$G$171:$G$231,1)+1)-INDEX($A$171:$A$231,MATCH(0.5,$G$171:$G$231,1)))</f>
        <v/>
      </c>
    </row>
    <row r="236">
      <c r="A236" s="5" t="inlineStr">
        <is>
          <t>APPENDIX C REPRODUCTION — paper's own worked numbers (formula-correctness check, not the Gamma model)</t>
        </is>
      </c>
    </row>
    <row r="237">
      <c r="A237" s="17" t="inlineStr">
        <is>
          <t>This block is a SEPARATE, simplified illustration from the Gamma-process model above — see explainer doc Section 11. It reproduces the whitepaper's own toy discrete dataset (Table 9) and Examples 1-4 using plain conditional-expectation formulas (SUMPRODUCT/SUMIFS). The two computed answers below should exactly match the paper's stated results: 9.9641 days (Eq. C.1) and 0.45% (Eq. C.2).</t>
        </is>
      </c>
    </row>
    <row r="239">
      <c r="A239" s="7" t="inlineStr">
        <is>
          <t>LV (Million)</t>
        </is>
      </c>
      <c r="B239" s="7" t="inlineStr">
        <is>
          <t>LC (%)</t>
        </is>
      </c>
      <c r="C239" s="7" t="inlineStr">
        <is>
          <t>LH (Days)</t>
        </is>
      </c>
      <c r="D239" s="7" t="inlineStr">
        <is>
          <t>Observations (Count)</t>
        </is>
      </c>
    </row>
    <row r="240">
      <c r="A240" s="9" t="n">
        <v>1</v>
      </c>
      <c r="B240" s="8" t="n">
        <v>0.005</v>
      </c>
      <c r="C240" s="9" t="n">
        <v>1</v>
      </c>
      <c r="D240" s="9" t="n">
        <v>1</v>
      </c>
    </row>
    <row r="241">
      <c r="A241" s="9" t="n">
        <v>1</v>
      </c>
      <c r="B241" s="8" t="n">
        <v>0.004</v>
      </c>
      <c r="C241" s="9" t="n">
        <v>10</v>
      </c>
      <c r="D241" s="9" t="n">
        <v>250</v>
      </c>
    </row>
    <row r="242">
      <c r="A242" s="9" t="n">
        <v>2</v>
      </c>
      <c r="B242" s="8" t="n">
        <v>0.004500000000000001</v>
      </c>
      <c r="C242" s="9" t="n">
        <v>10</v>
      </c>
      <c r="D242" s="9" t="n">
        <v>750</v>
      </c>
    </row>
    <row r="243">
      <c r="A243" s="9" t="n">
        <v>1</v>
      </c>
      <c r="B243" s="8" t="n">
        <v>0.005</v>
      </c>
      <c r="C243" s="9" t="n">
        <v>10</v>
      </c>
      <c r="D243" s="9" t="n">
        <v>250</v>
      </c>
    </row>
    <row r="245">
      <c r="A245" t="inlineStr">
        <is>
          <t>Example 2: E[LH | LC=0.50%, V=1MM]  (Eq. C.1 — paper states 9.9641 days)</t>
        </is>
      </c>
      <c r="B245" s="13">
        <f>SUMPRODUCT(($B$240:$B$243=0.005)*($A$240:$A$243=1)*$C$240:$C$243*$D$240:$D$243)/SUMPRODUCT(($B$240:$B$243=0.005)*($A$240:$A$243=1)*$D$240:$D$243)</f>
        <v/>
      </c>
    </row>
    <row r="246">
      <c r="A246" t="inlineStr">
        <is>
          <t>Example 4: E[LC | LV=1MM, LH=10 days]  (Eq. C.2 — paper states 0.45%)</t>
        </is>
      </c>
      <c r="B246" s="15">
        <f>SUMPRODUCT(($A$240:$A$243=1)*($C$240:$C$243=10)*$B$240:$B$243*$D$240:$D$243)/SUMPRODUCT(($A$240:$A$243=1)*($C$240:$C$243=10)*$D$240:$D$243)</f>
        <v/>
      </c>
    </row>
  </sheetData>
  <mergeCells count="10">
    <mergeCell ref="A1:D1"/>
    <mergeCell ref="A169:G169"/>
    <mergeCell ref="A102:G102"/>
    <mergeCell ref="A237:D237"/>
    <mergeCell ref="A236:D236"/>
    <mergeCell ref="A4:D4"/>
    <mergeCell ref="A26:D26"/>
    <mergeCell ref="A35:G35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2026-07-27T03:42:11Z</dcterms:created>
  <dcterms:modified xmlns:dcterms="http://purl.org/dc/terms/" xmlns:xsi="http://www.w3.org/2001/XMLSchema-instance" xsi:type="dcterms:W3CDTF">2026-07-27T03:42:11Z</dcterms:modified>
</cp:coreProperties>
</file>