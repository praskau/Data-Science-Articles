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Change_Shocks" sheetId="2" state="visible" r:id="rId2"/>
    <sheet xmlns:r="http://schemas.openxmlformats.org/officeDocument/2006/relationships" name="2_Rate_Levels" sheetId="3" state="visible" r:id="rId3"/>
    <sheet xmlns:r="http://schemas.openxmlformats.org/officeDocument/2006/relationships" name="3_Derived_P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+#,##0;-#,##0"/>
    <numFmt numFmtId="166" formatCode="+0.00%;-0.00%"/>
    <numFmt numFmtId="167" formatCode="0.0"/>
    <numFmt numFmtId="168" formatCode="+0.0;-0.0"/>
  </numFmts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0"/>
    </font>
    <font>
      <b val="1"/>
      <color rgb="000B1F4B"/>
    </font>
    <font>
      <b val="1"/>
    </font>
    <font>
      <b val="1"/>
      <color rgb="000B1F4B"/>
      <sz val="1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0B1F4B"/>
      </patternFill>
    </fill>
    <fill>
      <patternFill patternType="solid">
        <fgColor rgb="00FDF3E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B9C2D6"/>
      </left>
      <right style="thin">
        <color rgb="00B9C2D6"/>
      </right>
      <top style="thin">
        <color rgb="00B9C2D6"/>
      </top>
      <bottom style="thin">
        <color rgb="00B9C2D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4" fillId="0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0" fontId="0" fillId="4" borderId="1" pivotButton="0" quotePrefix="0" xfId="0"/>
    <xf numFmtId="166" fontId="0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7" fontId="0" fillId="4" borderId="1" pivotButton="0" quotePrefix="0" xfId="0"/>
    <xf numFmtId="168" fontId="0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2" fontId="0" fillId="4" borderId="1" pivotButton="0" quotePrefix="0" xfId="0"/>
    <xf numFmtId="165" fontId="0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BoE Private Markets SWES — APT Factor Shock File (v2, formula-transparent)</t>
        </is>
      </c>
    </row>
    <row r="2">
      <c r="A2" s="2" t="inlineStr"/>
    </row>
    <row r="3">
      <c r="A3" s="2" t="inlineStr">
        <is>
          <t>Source: BoE Private Markets SWES Variable Paths annex. Generated 2026-07-10. Methodology: SWES_PrivateCredit_Framework.pdf Sections 5.3 &amp; 7.</t>
        </is>
      </c>
    </row>
    <row r="4">
      <c r="A4" s="2" t="inlineStr"/>
    </row>
    <row r="5">
      <c r="A5" s="2" t="inlineStr">
        <is>
          <t>FIVE CUMULATIVE RUNS — each is one instantaneous APT scenario applied to the SAME jump-off portfolio:</t>
        </is>
      </c>
    </row>
    <row r="6">
      <c r="A6" s="2" t="inlineStr">
        <is>
          <t xml:space="preserve">  Run 1 (end-Y1) ... Run 5 (end-Y5). Each run carries the ENTIRE journey from jump-off to that year-end.</t>
        </is>
      </c>
    </row>
    <row r="7">
      <c r="A7" s="2" t="inlineStr">
        <is>
          <t xml:space="preserve">  Never apply an annual change to an already-shocked base: the end-Y2 scenario REPLACES the end-Y1 scenario, it does not stack on it.</t>
        </is>
      </c>
    </row>
    <row r="8">
      <c r="A8" s="2" t="inlineStr">
        <is>
          <t xml:space="preserve">  Year-on-year incremental P&amp;L (if templates require) = result(Run n) − result(Run n−1), plus coupon carry computed outside APT.</t>
        </is>
      </c>
    </row>
    <row r="9">
      <c r="A9" s="2" t="inlineStr">
        <is>
          <t xml:space="preserve">  Run 2 (end-Y2) is the peak / max-drawdown point for the credit book: spreads peak end-Y2 across the annex.</t>
        </is>
      </c>
    </row>
    <row r="10">
      <c r="A10" s="2" t="inlineStr"/>
    </row>
    <row r="11">
      <c r="A11" s="2" t="inlineStr">
        <is>
          <t>ALL CUMULATIVE CELLS ARE LIVE FORMULAS, chained year by year for auditability:</t>
        </is>
      </c>
    </row>
    <row r="12">
      <c r="A12" s="2" t="inlineStr">
        <is>
          <t xml:space="preserve">  % change variables : cum(n) = (1+cum(n−1)) × (1+annual(n)) − 1     e.g. FTSE end-Y2 = (1−0.31)×(1−0.06)−1 = −35.1%</t>
        </is>
      </c>
    </row>
    <row r="13">
      <c r="A13" s="2" t="inlineStr">
        <is>
          <t xml:space="preserve">  bp change variables: cum(n) = cum(n−1) + annual(n)                  e.g. GBP HY end-Y2 = 390+400 = +790bp</t>
        </is>
      </c>
    </row>
    <row r="14">
      <c r="A14" s="2" t="inlineStr">
        <is>
          <t xml:space="preserve">  level variables    : Run 1 = end-Y1 level, interpolated as (avgY1+avgY2)/2 on monotone paths, or Y1 avg where Y1 is the</t>
        </is>
      </c>
    </row>
    <row r="15">
      <c r="A15" s="2" t="inlineStr">
        <is>
          <t xml:space="preserve">                       path extreme (IF formula visible in cell — e.g. VIX, gilt yields). Runs 2–5 = Y2..Y5 annual averages.</t>
        </is>
      </c>
    </row>
    <row r="16">
      <c r="A16" s="2" t="inlineStr">
        <is>
          <t xml:space="preserve">                       Enter jump-off levels in the yellow column; shock columns (level − jump-off) compute automatically.</t>
        </is>
      </c>
    </row>
    <row r="17">
      <c r="A17" s="2" t="inlineStr"/>
    </row>
    <row r="18">
      <c r="A18" s="2" t="inlineStr">
        <is>
          <t>SHEET GUIDE:</t>
        </is>
      </c>
    </row>
    <row r="19">
      <c r="A19" s="2" t="inlineStr">
        <is>
          <t xml:space="preserve">  1_Change_Shocks : 'Annual change' variables — cumulative Run 1–5 shocks, ready to apply (subject to APT's relative-return convention).</t>
        </is>
      </c>
    </row>
    <row r="20">
      <c r="A20" s="2" t="inlineStr">
        <is>
          <t xml:space="preserve">  2_Rate_Levels   : 'Annual average level' variables — stressed levels per run + jump-off input + computed shocks.</t>
        </is>
      </c>
    </row>
    <row r="21">
      <c r="A21" s="2" t="inlineStr">
        <is>
          <t xml:space="preserve">  3_Derived_PC    : Private credit discount-margin expansion — live formulas: beta × LSTA leveraged loan spread anchor (Sheet 1).</t>
        </is>
      </c>
    </row>
    <row r="22">
      <c r="A22" s="2" t="inlineStr">
        <is>
          <t xml:space="preserve">                    Betas are WORKING ASSUMPTIONS pending Cliffwater CDLI / Lincoln / KBRA calibration.</t>
        </is>
      </c>
    </row>
    <row r="23">
      <c r="A23" s="2" t="inlineStr"/>
    </row>
    <row r="24">
      <c r="A24" s="2" t="inlineStr">
        <is>
          <t>NOTE ON APT RELATIVE-RETURN CONVENTION: if APT requires factor shocks as relative returns (ΔX/X₀), divide bp and level shocks by</t>
        </is>
      </c>
    </row>
    <row r="25">
      <c r="A25" s="2" t="inlineStr">
        <is>
          <t xml:space="preserve">  jump-off levels (e.g. GBP HY +790bp on a 450bp jump-off = +176% relative). % change rows are already relative returns.</t>
        </is>
      </c>
    </row>
    <row r="26">
      <c r="A26" s="2" t="inlineStr">
        <is>
          <t>USE COLUMN: 'Engine 2 input' rows (amber) feed the fundamental credit overlay — do not load into APT.</t>
        </is>
      </c>
    </row>
    <row r="27">
      <c r="A27" s="2" t="inlineStr">
        <is>
          <t>CHECK FIRST: participant guidance-pack conventions (jump-off date, FX, static vs action-adjusted balance sheet) override defaults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38" customWidth="1" min="4" max="4"/>
    <col width="3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15" customWidth="1" min="12" max="12"/>
    <col width="13" customWidth="1" min="13" max="13"/>
    <col width="13" customWidth="1" min="14" max="14"/>
    <col width="13" customWidth="1" min="15" max="15"/>
  </cols>
  <sheetData>
    <row r="1">
      <c r="A1" s="3" t="inlineStr">
        <is>
          <t>Group</t>
        </is>
      </c>
      <c r="B1" s="3" t="inlineStr">
        <is>
          <t>Variable</t>
        </is>
      </c>
      <c r="C1" s="3" t="inlineStr">
        <is>
          <t>Unit of shock</t>
        </is>
      </c>
      <c r="D1" s="3" t="inlineStr">
        <is>
          <t>APT factor family</t>
        </is>
      </c>
      <c r="E1" s="3" t="inlineStr">
        <is>
          <t>Use</t>
        </is>
      </c>
      <c r="F1" s="3" t="inlineStr">
        <is>
          <t>Y1 annual</t>
        </is>
      </c>
      <c r="G1" s="3" t="inlineStr">
        <is>
          <t>Y2 annual</t>
        </is>
      </c>
      <c r="H1" s="3" t="inlineStr">
        <is>
          <t>Y3 annual</t>
        </is>
      </c>
      <c r="I1" s="3" t="inlineStr">
        <is>
          <t>Y4 annual</t>
        </is>
      </c>
      <c r="J1" s="3" t="inlineStr">
        <is>
          <t>Y5 annual</t>
        </is>
      </c>
      <c r="K1" s="3" t="inlineStr">
        <is>
          <t>Run 1 cum end-Y1</t>
        </is>
      </c>
      <c r="L1" s="3" t="inlineStr">
        <is>
          <t>Run 2 cum end-Y2 (PEAK)</t>
        </is>
      </c>
      <c r="M1" s="3" t="inlineStr">
        <is>
          <t>Run 3 cum end-Y3</t>
        </is>
      </c>
      <c r="N1" s="3" t="inlineStr">
        <is>
          <t>Run 4 cum end-Y4</t>
        </is>
      </c>
      <c r="O1" s="3" t="inlineStr">
        <is>
          <t>Run 5 cum end-Y5</t>
        </is>
      </c>
    </row>
    <row r="2">
      <c r="A2" s="4" t="inlineStr">
        <is>
          <t>UK macro</t>
        </is>
      </c>
      <c r="B2" s="5" t="inlineStr">
        <is>
          <t>UK real GDP</t>
        </is>
      </c>
      <c r="C2" s="5" t="inlineStr">
        <is>
          <t>% (compounded)</t>
        </is>
      </c>
      <c r="D2" s="5" t="inlineStr">
        <is>
          <t>n/a — macro</t>
        </is>
      </c>
      <c r="E2" s="5" t="inlineStr">
        <is>
          <t>Engine 2 input</t>
        </is>
      </c>
      <c r="F2" s="6" t="n">
        <v>-0.02</v>
      </c>
      <c r="G2" s="6" t="n">
        <v>-0.02</v>
      </c>
      <c r="H2" s="6" t="n">
        <v>0.007</v>
      </c>
      <c r="I2" s="6" t="n">
        <v>0.007</v>
      </c>
      <c r="J2" s="6" t="n">
        <v>0.007</v>
      </c>
      <c r="K2" s="6">
        <f>F2</f>
        <v/>
      </c>
      <c r="L2" s="7">
        <f>(1+K2)*(1+G2)-1</f>
        <v/>
      </c>
      <c r="M2" s="6">
        <f>(1+L2)*(1+H2)-1</f>
        <v/>
      </c>
      <c r="N2" s="6">
        <f>(1+M2)*(1+I2)-1</f>
        <v/>
      </c>
      <c r="O2" s="6">
        <f>(1+N2)*(1+J2)-1</f>
        <v/>
      </c>
    </row>
    <row r="3">
      <c r="A3" s="4" t="inlineStr">
        <is>
          <t>UK macro</t>
        </is>
      </c>
      <c r="B3" s="5" t="inlineStr">
        <is>
          <t>UK nominal GDP</t>
        </is>
      </c>
      <c r="C3" s="5" t="inlineStr">
        <is>
          <t>% (compounded)</t>
        </is>
      </c>
      <c r="D3" s="5" t="inlineStr">
        <is>
          <t>n/a — macro</t>
        </is>
      </c>
      <c r="E3" s="5" t="inlineStr">
        <is>
          <t>Engine 2 input</t>
        </is>
      </c>
      <c r="F3" s="6" t="n">
        <v>-0.015</v>
      </c>
      <c r="G3" s="6" t="n">
        <v>-0.015</v>
      </c>
      <c r="H3" s="6" t="n">
        <v>0.015</v>
      </c>
      <c r="I3" s="6" t="n">
        <v>0.03</v>
      </c>
      <c r="J3" s="6" t="n">
        <v>0.035</v>
      </c>
      <c r="K3" s="6">
        <f>F3</f>
        <v/>
      </c>
      <c r="L3" s="7">
        <f>(1+K3)*(1+G3)-1</f>
        <v/>
      </c>
      <c r="M3" s="6">
        <f>(1+L3)*(1+H3)-1</f>
        <v/>
      </c>
      <c r="N3" s="6">
        <f>(1+M3)*(1+I3)-1</f>
        <v/>
      </c>
      <c r="O3" s="6">
        <f>(1+N3)*(1+J3)-1</f>
        <v/>
      </c>
    </row>
    <row r="4">
      <c r="A4" s="4" t="inlineStr">
        <is>
          <t>UK macro</t>
        </is>
      </c>
      <c r="B4" s="5" t="inlineStr">
        <is>
          <t>UK house prices</t>
        </is>
      </c>
      <c r="C4" s="5" t="inlineStr">
        <is>
          <t>% (compounded)</t>
        </is>
      </c>
      <c r="D4" s="5" t="inlineStr">
        <is>
          <t>n/a — macro</t>
        </is>
      </c>
      <c r="E4" s="5" t="inlineStr">
        <is>
          <t>Engine 2 input</t>
        </is>
      </c>
      <c r="F4" s="6" t="n">
        <v>-0.05</v>
      </c>
      <c r="G4" s="6" t="n">
        <v>-0.12</v>
      </c>
      <c r="H4" s="6" t="n">
        <v>-0.11</v>
      </c>
      <c r="I4" s="6" t="n">
        <v>0.02</v>
      </c>
      <c r="J4" s="6" t="n">
        <v>0.07000000000000001</v>
      </c>
      <c r="K4" s="6">
        <f>F4</f>
        <v/>
      </c>
      <c r="L4" s="7">
        <f>(1+K4)*(1+G4)-1</f>
        <v/>
      </c>
      <c r="M4" s="6">
        <f>(1+L4)*(1+H4)-1</f>
        <v/>
      </c>
      <c r="N4" s="6">
        <f>(1+M4)*(1+I4)-1</f>
        <v/>
      </c>
      <c r="O4" s="6">
        <f>(1+N4)*(1+J4)-1</f>
        <v/>
      </c>
    </row>
    <row r="5">
      <c r="A5" s="4" t="inlineStr">
        <is>
          <t>UK macro</t>
        </is>
      </c>
      <c r="B5" s="5" t="inlineStr">
        <is>
          <t>UK commercial real estate prices</t>
        </is>
      </c>
      <c r="C5" s="5" t="inlineStr">
        <is>
          <t>% (compounded)</t>
        </is>
      </c>
      <c r="D5" s="5" t="inlineStr">
        <is>
          <t>n/a — macro</t>
        </is>
      </c>
      <c r="E5" s="5" t="inlineStr">
        <is>
          <t>Engine 2 input</t>
        </is>
      </c>
      <c r="F5" s="6" t="n">
        <v>-0.13</v>
      </c>
      <c r="G5" s="6" t="n">
        <v>-0.21</v>
      </c>
      <c r="H5" s="6" t="n">
        <v>-0.01</v>
      </c>
      <c r="I5" s="6" t="n">
        <v>0.07000000000000001</v>
      </c>
      <c r="J5" s="6" t="n">
        <v>0.07000000000000001</v>
      </c>
      <c r="K5" s="6">
        <f>F5</f>
        <v/>
      </c>
      <c r="L5" s="7">
        <f>(1+K5)*(1+G5)-1</f>
        <v/>
      </c>
      <c r="M5" s="6">
        <f>(1+L5)*(1+H5)-1</f>
        <v/>
      </c>
      <c r="N5" s="6">
        <f>(1+M5)*(1+I5)-1</f>
        <v/>
      </c>
      <c r="O5" s="6">
        <f>(1+N5)*(1+J5)-1</f>
        <v/>
      </c>
    </row>
    <row r="6">
      <c r="A6" s="4" t="inlineStr">
        <is>
          <t>UK macro</t>
        </is>
      </c>
      <c r="B6" s="5" t="inlineStr">
        <is>
          <t>UK CPI</t>
        </is>
      </c>
      <c r="C6" s="5" t="inlineStr">
        <is>
          <t>% (compounded)</t>
        </is>
      </c>
      <c r="D6" s="5" t="inlineStr">
        <is>
          <t>n/a — macro</t>
        </is>
      </c>
      <c r="E6" s="5" t="inlineStr">
        <is>
          <t>Engine 2 input</t>
        </is>
      </c>
      <c r="F6" s="6" t="n">
        <v>0.07000000000000001</v>
      </c>
      <c r="G6" s="6" t="n">
        <v>0.045</v>
      </c>
      <c r="H6" s="6" t="n">
        <v>0.027</v>
      </c>
      <c r="I6" s="6" t="n">
        <v>0.023</v>
      </c>
      <c r="J6" s="6" t="n">
        <v>0.02</v>
      </c>
      <c r="K6" s="6">
        <f>F6</f>
        <v/>
      </c>
      <c r="L6" s="7">
        <f>(1+K6)*(1+G6)-1</f>
        <v/>
      </c>
      <c r="M6" s="6">
        <f>(1+L6)*(1+H6)-1</f>
        <v/>
      </c>
      <c r="N6" s="6">
        <f>(1+M6)*(1+I6)-1</f>
        <v/>
      </c>
      <c r="O6" s="6">
        <f>(1+N6)*(1+J6)-1</f>
        <v/>
      </c>
    </row>
    <row r="7">
      <c r="A7" s="4" t="inlineStr">
        <is>
          <t>US macro</t>
        </is>
      </c>
      <c r="B7" s="5" t="inlineStr">
        <is>
          <t>US real GDP</t>
        </is>
      </c>
      <c r="C7" s="5" t="inlineStr">
        <is>
          <t>% (compounded)</t>
        </is>
      </c>
      <c r="D7" s="5" t="inlineStr">
        <is>
          <t>n/a — macro</t>
        </is>
      </c>
      <c r="E7" s="5" t="inlineStr">
        <is>
          <t>Engine 2 input</t>
        </is>
      </c>
      <c r="F7" s="6" t="n">
        <v>-0.015</v>
      </c>
      <c r="G7" s="6" t="n">
        <v>-0.015</v>
      </c>
      <c r="H7" s="6" t="n">
        <v>0.007</v>
      </c>
      <c r="I7" s="6" t="n">
        <v>0.007</v>
      </c>
      <c r="J7" s="6" t="n">
        <v>0.007</v>
      </c>
      <c r="K7" s="6">
        <f>F7</f>
        <v/>
      </c>
      <c r="L7" s="7">
        <f>(1+K7)*(1+G7)-1</f>
        <v/>
      </c>
      <c r="M7" s="6">
        <f>(1+L7)*(1+H7)-1</f>
        <v/>
      </c>
      <c r="N7" s="6">
        <f>(1+M7)*(1+I7)-1</f>
        <v/>
      </c>
      <c r="O7" s="6">
        <f>(1+N7)*(1+J7)-1</f>
        <v/>
      </c>
    </row>
    <row r="8">
      <c r="A8" s="4" t="inlineStr">
        <is>
          <t>US macro</t>
        </is>
      </c>
      <c r="B8" s="5" t="inlineStr">
        <is>
          <t>US house prices</t>
        </is>
      </c>
      <c r="C8" s="5" t="inlineStr">
        <is>
          <t>% (compounded)</t>
        </is>
      </c>
      <c r="D8" s="5" t="inlineStr">
        <is>
          <t>n/a — macro</t>
        </is>
      </c>
      <c r="E8" s="5" t="inlineStr">
        <is>
          <t>Engine 2 input</t>
        </is>
      </c>
      <c r="F8" s="6" t="n">
        <v>-0.04</v>
      </c>
      <c r="G8" s="6" t="n">
        <v>-0.1</v>
      </c>
      <c r="H8" s="6" t="n">
        <v>-0.11</v>
      </c>
      <c r="I8" s="6" t="n">
        <v>0.01</v>
      </c>
      <c r="J8" s="6" t="n">
        <v>0.1</v>
      </c>
      <c r="K8" s="6">
        <f>F8</f>
        <v/>
      </c>
      <c r="L8" s="7">
        <f>(1+K8)*(1+G8)-1</f>
        <v/>
      </c>
      <c r="M8" s="6">
        <f>(1+L8)*(1+H8)-1</f>
        <v/>
      </c>
      <c r="N8" s="6">
        <f>(1+M8)*(1+I8)-1</f>
        <v/>
      </c>
      <c r="O8" s="6">
        <f>(1+N8)*(1+J8)-1</f>
        <v/>
      </c>
    </row>
    <row r="9">
      <c r="A9" s="4" t="inlineStr">
        <is>
          <t>US macro</t>
        </is>
      </c>
      <c r="B9" s="5" t="inlineStr">
        <is>
          <t>US commercial real estate prices</t>
        </is>
      </c>
      <c r="C9" s="5" t="inlineStr">
        <is>
          <t>% (compounded)</t>
        </is>
      </c>
      <c r="D9" s="5" t="inlineStr">
        <is>
          <t>n/a — macro</t>
        </is>
      </c>
      <c r="E9" s="5" t="inlineStr">
        <is>
          <t>Engine 2 input</t>
        </is>
      </c>
      <c r="F9" s="6" t="n">
        <v>-0.16</v>
      </c>
      <c r="G9" s="6" t="n">
        <v>-0.25</v>
      </c>
      <c r="H9" s="6" t="n">
        <v>-0.06</v>
      </c>
      <c r="I9" s="6" t="n">
        <v>0.14</v>
      </c>
      <c r="J9" s="6" t="n">
        <v>0.14</v>
      </c>
      <c r="K9" s="6">
        <f>F9</f>
        <v/>
      </c>
      <c r="L9" s="7">
        <f>(1+K9)*(1+G9)-1</f>
        <v/>
      </c>
      <c r="M9" s="6">
        <f>(1+L9)*(1+H9)-1</f>
        <v/>
      </c>
      <c r="N9" s="6">
        <f>(1+M9)*(1+I9)-1</f>
        <v/>
      </c>
      <c r="O9" s="6">
        <f>(1+N9)*(1+J9)-1</f>
        <v/>
      </c>
    </row>
    <row r="10">
      <c r="A10" s="4" t="inlineStr">
        <is>
          <t>US macro</t>
        </is>
      </c>
      <c r="B10" s="5" t="inlineStr">
        <is>
          <t>US PCE price index</t>
        </is>
      </c>
      <c r="C10" s="5" t="inlineStr">
        <is>
          <t>% (compounded)</t>
        </is>
      </c>
      <c r="D10" s="5" t="inlineStr">
        <is>
          <t>n/a — macro</t>
        </is>
      </c>
      <c r="E10" s="5" t="inlineStr">
        <is>
          <t>Engine 2 input</t>
        </is>
      </c>
      <c r="F10" s="6" t="n">
        <v>0.052</v>
      </c>
      <c r="G10" s="6" t="n">
        <v>0.038</v>
      </c>
      <c r="H10" s="6" t="n">
        <v>0.027</v>
      </c>
      <c r="I10" s="6" t="n">
        <v>0.023</v>
      </c>
      <c r="J10" s="6" t="n">
        <v>0.02</v>
      </c>
      <c r="K10" s="6">
        <f>F10</f>
        <v/>
      </c>
      <c r="L10" s="7">
        <f>(1+K10)*(1+G10)-1</f>
        <v/>
      </c>
      <c r="M10" s="6">
        <f>(1+L10)*(1+H10)-1</f>
        <v/>
      </c>
      <c r="N10" s="6">
        <f>(1+M10)*(1+I10)-1</f>
        <v/>
      </c>
      <c r="O10" s="6">
        <f>(1+N10)*(1+J10)-1</f>
        <v/>
      </c>
    </row>
    <row r="11">
      <c r="A11" s="4" t="inlineStr">
        <is>
          <t>Euro area macro</t>
        </is>
      </c>
      <c r="B11" s="5" t="inlineStr">
        <is>
          <t>Euro area real GDP</t>
        </is>
      </c>
      <c r="C11" s="5" t="inlineStr">
        <is>
          <t>% (compounded)</t>
        </is>
      </c>
      <c r="D11" s="5" t="inlineStr">
        <is>
          <t>n/a — macro</t>
        </is>
      </c>
      <c r="E11" s="5" t="inlineStr">
        <is>
          <t>Engine 2 input</t>
        </is>
      </c>
      <c r="F11" s="6" t="n">
        <v>-0.015</v>
      </c>
      <c r="G11" s="6" t="n">
        <v>-0.015</v>
      </c>
      <c r="H11" s="6" t="n">
        <v>0.006</v>
      </c>
      <c r="I11" s="6" t="n">
        <v>0.006</v>
      </c>
      <c r="J11" s="6" t="n">
        <v>0.006</v>
      </c>
      <c r="K11" s="6">
        <f>F11</f>
        <v/>
      </c>
      <c r="L11" s="7">
        <f>(1+K11)*(1+G11)-1</f>
        <v/>
      </c>
      <c r="M11" s="6">
        <f>(1+L11)*(1+H11)-1</f>
        <v/>
      </c>
      <c r="N11" s="6">
        <f>(1+M11)*(1+I11)-1</f>
        <v/>
      </c>
      <c r="O11" s="6">
        <f>(1+N11)*(1+J11)-1</f>
        <v/>
      </c>
    </row>
    <row r="12">
      <c r="A12" s="4" t="inlineStr">
        <is>
          <t>Euro area macro</t>
        </is>
      </c>
      <c r="B12" s="5" t="inlineStr">
        <is>
          <t>Euro area house prices</t>
        </is>
      </c>
      <c r="C12" s="5" t="inlineStr">
        <is>
          <t>% (compounded)</t>
        </is>
      </c>
      <c r="D12" s="5" t="inlineStr">
        <is>
          <t>n/a — macro</t>
        </is>
      </c>
      <c r="E12" s="5" t="inlineStr">
        <is>
          <t>Engine 2 input</t>
        </is>
      </c>
      <c r="F12" s="6" t="n">
        <v>-0.02</v>
      </c>
      <c r="G12" s="6" t="n">
        <v>-0.08</v>
      </c>
      <c r="H12" s="6" t="n">
        <v>-0.09</v>
      </c>
      <c r="I12" s="6" t="n">
        <v>0</v>
      </c>
      <c r="J12" s="6" t="n">
        <v>0.07000000000000001</v>
      </c>
      <c r="K12" s="6">
        <f>F12</f>
        <v/>
      </c>
      <c r="L12" s="7">
        <f>(1+K12)*(1+G12)-1</f>
        <v/>
      </c>
      <c r="M12" s="6">
        <f>(1+L12)*(1+H12)-1</f>
        <v/>
      </c>
      <c r="N12" s="6">
        <f>(1+M12)*(1+I12)-1</f>
        <v/>
      </c>
      <c r="O12" s="6">
        <f>(1+N12)*(1+J12)-1</f>
        <v/>
      </c>
    </row>
    <row r="13">
      <c r="A13" s="4" t="inlineStr">
        <is>
          <t>Euro area macro</t>
        </is>
      </c>
      <c r="B13" s="5" t="inlineStr">
        <is>
          <t>Euro area commercial real estate prices</t>
        </is>
      </c>
      <c r="C13" s="5" t="inlineStr">
        <is>
          <t>% (compounded)</t>
        </is>
      </c>
      <c r="D13" s="5" t="inlineStr">
        <is>
          <t>n/a — macro</t>
        </is>
      </c>
      <c r="E13" s="5" t="inlineStr">
        <is>
          <t>Engine 2 input</t>
        </is>
      </c>
      <c r="F13" s="6" t="n">
        <v>-0.14</v>
      </c>
      <c r="G13" s="6" t="n">
        <v>-0.23</v>
      </c>
      <c r="H13" s="6" t="n">
        <v>-0.06</v>
      </c>
      <c r="I13" s="6" t="n">
        <v>0.11</v>
      </c>
      <c r="J13" s="6" t="n">
        <v>0.11</v>
      </c>
      <c r="K13" s="6">
        <f>F13</f>
        <v/>
      </c>
      <c r="L13" s="7">
        <f>(1+K13)*(1+G13)-1</f>
        <v/>
      </c>
      <c r="M13" s="6">
        <f>(1+L13)*(1+H13)-1</f>
        <v/>
      </c>
      <c r="N13" s="6">
        <f>(1+M13)*(1+I13)-1</f>
        <v/>
      </c>
      <c r="O13" s="6">
        <f>(1+N13)*(1+J13)-1</f>
        <v/>
      </c>
    </row>
    <row r="14">
      <c r="A14" s="4" t="inlineStr">
        <is>
          <t>Euro area macro</t>
        </is>
      </c>
      <c r="B14" s="5" t="inlineStr">
        <is>
          <t>Euro area HICP</t>
        </is>
      </c>
      <c r="C14" s="5" t="inlineStr">
        <is>
          <t>% (compounded)</t>
        </is>
      </c>
      <c r="D14" s="5" t="inlineStr">
        <is>
          <t>n/a — macro</t>
        </is>
      </c>
      <c r="E14" s="5" t="inlineStr">
        <is>
          <t>Engine 2 input</t>
        </is>
      </c>
      <c r="F14" s="6" t="n">
        <v>0.06</v>
      </c>
      <c r="G14" s="6" t="n">
        <v>0.042</v>
      </c>
      <c r="H14" s="6" t="n">
        <v>0.027</v>
      </c>
      <c r="I14" s="6" t="n">
        <v>0.023</v>
      </c>
      <c r="J14" s="6" t="n">
        <v>0.02</v>
      </c>
      <c r="K14" s="6">
        <f>F14</f>
        <v/>
      </c>
      <c r="L14" s="7">
        <f>(1+K14)*(1+G14)-1</f>
        <v/>
      </c>
      <c r="M14" s="6">
        <f>(1+L14)*(1+H14)-1</f>
        <v/>
      </c>
      <c r="N14" s="6">
        <f>(1+M14)*(1+I14)-1</f>
        <v/>
      </c>
      <c r="O14" s="6">
        <f>(1+N14)*(1+J14)-1</f>
        <v/>
      </c>
    </row>
    <row r="15">
      <c r="A15" s="8" t="inlineStr">
        <is>
          <t>Corporate bond spreads</t>
        </is>
      </c>
      <c r="B15" s="9" t="inlineStr">
        <is>
          <t>Sterling IG corporate bond spread</t>
        </is>
      </c>
      <c r="C15" s="9" t="inlineStr">
        <is>
          <t>bp (summed)</t>
        </is>
      </c>
      <c r="D15" s="9" t="inlineStr">
        <is>
          <t>Credit spread factor — GBP by rating</t>
        </is>
      </c>
      <c r="E15" s="9" t="inlineStr">
        <is>
          <t>APT factor</t>
        </is>
      </c>
      <c r="F15" s="10" t="n">
        <v>120</v>
      </c>
      <c r="G15" s="10" t="n">
        <v>110</v>
      </c>
      <c r="H15" s="10" t="n">
        <v>-50</v>
      </c>
      <c r="I15" s="10" t="n">
        <v>-50</v>
      </c>
      <c r="J15" s="10" t="n">
        <v>-50</v>
      </c>
      <c r="K15" s="10">
        <f>F15</f>
        <v/>
      </c>
      <c r="L15" s="11">
        <f>K15+G15</f>
        <v/>
      </c>
      <c r="M15" s="10">
        <f>L15+H15</f>
        <v/>
      </c>
      <c r="N15" s="10">
        <f>M15+I15</f>
        <v/>
      </c>
      <c r="O15" s="10">
        <f>N15+J15</f>
        <v/>
      </c>
    </row>
    <row r="16">
      <c r="A16" s="8" t="inlineStr">
        <is>
          <t>Corporate bond spreads</t>
        </is>
      </c>
      <c r="B16" s="9" t="inlineStr">
        <is>
          <t>Sterling AAA corporate bond spread</t>
        </is>
      </c>
      <c r="C16" s="9" t="inlineStr">
        <is>
          <t>bp (summed)</t>
        </is>
      </c>
      <c r="D16" s="9" t="inlineStr">
        <is>
          <t>Credit spread factor — GBP by rating</t>
        </is>
      </c>
      <c r="E16" s="9" t="inlineStr">
        <is>
          <t>APT factor</t>
        </is>
      </c>
      <c r="F16" s="10" t="n">
        <v>50</v>
      </c>
      <c r="G16" s="10" t="n">
        <v>40</v>
      </c>
      <c r="H16" s="10" t="n">
        <v>-20</v>
      </c>
      <c r="I16" s="10" t="n">
        <v>-20</v>
      </c>
      <c r="J16" s="10" t="n">
        <v>-20</v>
      </c>
      <c r="K16" s="10">
        <f>F16</f>
        <v/>
      </c>
      <c r="L16" s="11">
        <f>K16+G16</f>
        <v/>
      </c>
      <c r="M16" s="10">
        <f>L16+H16</f>
        <v/>
      </c>
      <c r="N16" s="10">
        <f>M16+I16</f>
        <v/>
      </c>
      <c r="O16" s="10">
        <f>N16+J16</f>
        <v/>
      </c>
    </row>
    <row r="17">
      <c r="A17" s="8" t="inlineStr">
        <is>
          <t>Corporate bond spreads</t>
        </is>
      </c>
      <c r="B17" s="9" t="inlineStr">
        <is>
          <t>Sterling AA corporate bond spread</t>
        </is>
      </c>
      <c r="C17" s="9" t="inlineStr">
        <is>
          <t>bp (summed)</t>
        </is>
      </c>
      <c r="D17" s="9" t="inlineStr">
        <is>
          <t>Credit spread factor — GBP by rating</t>
        </is>
      </c>
      <c r="E17" s="9" t="inlineStr">
        <is>
          <t>APT factor</t>
        </is>
      </c>
      <c r="F17" s="10" t="n">
        <v>100</v>
      </c>
      <c r="G17" s="10" t="n">
        <v>70</v>
      </c>
      <c r="H17" s="10" t="n">
        <v>-40</v>
      </c>
      <c r="I17" s="10" t="n">
        <v>-40</v>
      </c>
      <c r="J17" s="10" t="n">
        <v>-40</v>
      </c>
      <c r="K17" s="10">
        <f>F17</f>
        <v/>
      </c>
      <c r="L17" s="11">
        <f>K17+G17</f>
        <v/>
      </c>
      <c r="M17" s="10">
        <f>L17+H17</f>
        <v/>
      </c>
      <c r="N17" s="10">
        <f>M17+I17</f>
        <v/>
      </c>
      <c r="O17" s="10">
        <f>N17+J17</f>
        <v/>
      </c>
    </row>
    <row r="18">
      <c r="A18" s="8" t="inlineStr">
        <is>
          <t>Corporate bond spreads</t>
        </is>
      </c>
      <c r="B18" s="9" t="inlineStr">
        <is>
          <t>Sterling A corporate bond spread</t>
        </is>
      </c>
      <c r="C18" s="9" t="inlineStr">
        <is>
          <t>bp (summed)</t>
        </is>
      </c>
      <c r="D18" s="9" t="inlineStr">
        <is>
          <t>Credit spread factor — GBP by rating</t>
        </is>
      </c>
      <c r="E18" s="9" t="inlineStr">
        <is>
          <t>APT factor</t>
        </is>
      </c>
      <c r="F18" s="10" t="n">
        <v>140</v>
      </c>
      <c r="G18" s="10" t="n">
        <v>110</v>
      </c>
      <c r="H18" s="10" t="n">
        <v>-60</v>
      </c>
      <c r="I18" s="10" t="n">
        <v>-60</v>
      </c>
      <c r="J18" s="10" t="n">
        <v>-60</v>
      </c>
      <c r="K18" s="10">
        <f>F18</f>
        <v/>
      </c>
      <c r="L18" s="11">
        <f>K18+G18</f>
        <v/>
      </c>
      <c r="M18" s="10">
        <f>L18+H18</f>
        <v/>
      </c>
      <c r="N18" s="10">
        <f>M18+I18</f>
        <v/>
      </c>
      <c r="O18" s="10">
        <f>N18+J18</f>
        <v/>
      </c>
    </row>
    <row r="19">
      <c r="A19" s="8" t="inlineStr">
        <is>
          <t>Corporate bond spreads</t>
        </is>
      </c>
      <c r="B19" s="9" t="inlineStr">
        <is>
          <t>Sterling BBB corporate bond spread</t>
        </is>
      </c>
      <c r="C19" s="9" t="inlineStr">
        <is>
          <t>bp (summed)</t>
        </is>
      </c>
      <c r="D19" s="9" t="inlineStr">
        <is>
          <t>Credit spread factor — GBP by rating</t>
        </is>
      </c>
      <c r="E19" s="9" t="inlineStr">
        <is>
          <t>APT factor</t>
        </is>
      </c>
      <c r="F19" s="10" t="n">
        <v>180</v>
      </c>
      <c r="G19" s="10" t="n">
        <v>150</v>
      </c>
      <c r="H19" s="10" t="n">
        <v>-70</v>
      </c>
      <c r="I19" s="10" t="n">
        <v>-70</v>
      </c>
      <c r="J19" s="10" t="n">
        <v>-70</v>
      </c>
      <c r="K19" s="10">
        <f>F19</f>
        <v/>
      </c>
      <c r="L19" s="11">
        <f>K19+G19</f>
        <v/>
      </c>
      <c r="M19" s="10">
        <f>L19+H19</f>
        <v/>
      </c>
      <c r="N19" s="10">
        <f>M19+I19</f>
        <v/>
      </c>
      <c r="O19" s="10">
        <f>N19+J19</f>
        <v/>
      </c>
    </row>
    <row r="20">
      <c r="A20" s="8" t="inlineStr">
        <is>
          <t>Corporate bond spreads</t>
        </is>
      </c>
      <c r="B20" s="9" t="inlineStr">
        <is>
          <t>Sterling HY corporate bond spread</t>
        </is>
      </c>
      <c r="C20" s="9" t="inlineStr">
        <is>
          <t>bp (summed)</t>
        </is>
      </c>
      <c r="D20" s="9" t="inlineStr">
        <is>
          <t>Credit spread factor — GBP by rating</t>
        </is>
      </c>
      <c r="E20" s="9" t="inlineStr">
        <is>
          <t>APT factor</t>
        </is>
      </c>
      <c r="F20" s="10" t="n">
        <v>390</v>
      </c>
      <c r="G20" s="10" t="n">
        <v>400</v>
      </c>
      <c r="H20" s="10" t="n">
        <v>-200</v>
      </c>
      <c r="I20" s="10" t="n">
        <v>-200</v>
      </c>
      <c r="J20" s="10" t="n">
        <v>-200</v>
      </c>
      <c r="K20" s="10">
        <f>F20</f>
        <v/>
      </c>
      <c r="L20" s="11">
        <f>K20+G20</f>
        <v/>
      </c>
      <c r="M20" s="10">
        <f>L20+H20</f>
        <v/>
      </c>
      <c r="N20" s="10">
        <f>M20+I20</f>
        <v/>
      </c>
      <c r="O20" s="10">
        <f>N20+J20</f>
        <v/>
      </c>
    </row>
    <row r="21">
      <c r="A21" s="8" t="inlineStr">
        <is>
          <t>Corporate bond spreads</t>
        </is>
      </c>
      <c r="B21" s="9" t="inlineStr">
        <is>
          <t>Sterling BB corporate bond spread</t>
        </is>
      </c>
      <c r="C21" s="9" t="inlineStr">
        <is>
          <t>bp (summed)</t>
        </is>
      </c>
      <c r="D21" s="9" t="inlineStr">
        <is>
          <t>Credit spread factor — GBP by rating</t>
        </is>
      </c>
      <c r="E21" s="9" t="inlineStr">
        <is>
          <t>APT factor</t>
        </is>
      </c>
      <c r="F21" s="10" t="n">
        <v>370</v>
      </c>
      <c r="G21" s="10" t="n">
        <v>310</v>
      </c>
      <c r="H21" s="10" t="n">
        <v>-160</v>
      </c>
      <c r="I21" s="10" t="n">
        <v>-160</v>
      </c>
      <c r="J21" s="10" t="n">
        <v>-160</v>
      </c>
      <c r="K21" s="10">
        <f>F21</f>
        <v/>
      </c>
      <c r="L21" s="11">
        <f>K21+G21</f>
        <v/>
      </c>
      <c r="M21" s="10">
        <f>L21+H21</f>
        <v/>
      </c>
      <c r="N21" s="10">
        <f>M21+I21</f>
        <v/>
      </c>
      <c r="O21" s="10">
        <f>N21+J21</f>
        <v/>
      </c>
    </row>
    <row r="22">
      <c r="A22" s="8" t="inlineStr">
        <is>
          <t>Corporate bond spreads</t>
        </is>
      </c>
      <c r="B22" s="9" t="inlineStr">
        <is>
          <t>Sterling B corporate bond spread</t>
        </is>
      </c>
      <c r="C22" s="9" t="inlineStr">
        <is>
          <t>bp (summed)</t>
        </is>
      </c>
      <c r="D22" s="9" t="inlineStr">
        <is>
          <t>Credit spread factor — GBP by rating</t>
        </is>
      </c>
      <c r="E22" s="9" t="inlineStr">
        <is>
          <t>APT factor</t>
        </is>
      </c>
      <c r="F22" s="10" t="n">
        <v>440</v>
      </c>
      <c r="G22" s="10" t="n">
        <v>420</v>
      </c>
      <c r="H22" s="10" t="n">
        <v>-210</v>
      </c>
      <c r="I22" s="10" t="n">
        <v>-210</v>
      </c>
      <c r="J22" s="10" t="n">
        <v>-210</v>
      </c>
      <c r="K22" s="10">
        <f>F22</f>
        <v/>
      </c>
      <c r="L22" s="11">
        <f>K22+G22</f>
        <v/>
      </c>
      <c r="M22" s="10">
        <f>L22+H22</f>
        <v/>
      </c>
      <c r="N22" s="10">
        <f>M22+I22</f>
        <v/>
      </c>
      <c r="O22" s="10">
        <f>N22+J22</f>
        <v/>
      </c>
    </row>
    <row r="23">
      <c r="A23" s="8" t="inlineStr">
        <is>
          <t>Corporate bond spreads</t>
        </is>
      </c>
      <c r="B23" s="9" t="inlineStr">
        <is>
          <t>Sterling CCC corporate bond spread</t>
        </is>
      </c>
      <c r="C23" s="9" t="inlineStr">
        <is>
          <t>bp (summed)</t>
        </is>
      </c>
      <c r="D23" s="9" t="inlineStr">
        <is>
          <t>Credit spread factor — GBP by rating</t>
        </is>
      </c>
      <c r="E23" s="9" t="inlineStr">
        <is>
          <t>APT factor</t>
        </is>
      </c>
      <c r="F23" s="10" t="n">
        <v>380</v>
      </c>
      <c r="G23" s="10" t="n">
        <v>380</v>
      </c>
      <c r="H23" s="10" t="n">
        <v>-360</v>
      </c>
      <c r="I23" s="10" t="n">
        <v>-360</v>
      </c>
      <c r="J23" s="10" t="n">
        <v>-360</v>
      </c>
      <c r="K23" s="10">
        <f>F23</f>
        <v/>
      </c>
      <c r="L23" s="11">
        <f>K23+G23</f>
        <v/>
      </c>
      <c r="M23" s="10">
        <f>L23+H23</f>
        <v/>
      </c>
      <c r="N23" s="10">
        <f>M23+I23</f>
        <v/>
      </c>
      <c r="O23" s="10">
        <f>N23+J23</f>
        <v/>
      </c>
    </row>
    <row r="24">
      <c r="A24" s="8" t="inlineStr">
        <is>
          <t>Corporate bond spreads</t>
        </is>
      </c>
      <c r="B24" s="9" t="inlineStr">
        <is>
          <t>US dollar IG corporate bond spread</t>
        </is>
      </c>
      <c r="C24" s="9" t="inlineStr">
        <is>
          <t>bp (summed)</t>
        </is>
      </c>
      <c r="D24" s="9" t="inlineStr">
        <is>
          <t>Credit spread factor — USD by rating</t>
        </is>
      </c>
      <c r="E24" s="9" t="inlineStr">
        <is>
          <t>APT factor</t>
        </is>
      </c>
      <c r="F24" s="10" t="n">
        <v>130</v>
      </c>
      <c r="G24" s="10" t="n">
        <v>110</v>
      </c>
      <c r="H24" s="10" t="n">
        <v>-50</v>
      </c>
      <c r="I24" s="10" t="n">
        <v>-50</v>
      </c>
      <c r="J24" s="10" t="n">
        <v>-50</v>
      </c>
      <c r="K24" s="10">
        <f>F24</f>
        <v/>
      </c>
      <c r="L24" s="11">
        <f>K24+G24</f>
        <v/>
      </c>
      <c r="M24" s="10">
        <f>L24+H24</f>
        <v/>
      </c>
      <c r="N24" s="10">
        <f>M24+I24</f>
        <v/>
      </c>
      <c r="O24" s="10">
        <f>N24+J24</f>
        <v/>
      </c>
    </row>
    <row r="25">
      <c r="A25" s="8" t="inlineStr">
        <is>
          <t>Corporate bond spreads</t>
        </is>
      </c>
      <c r="B25" s="9" t="inlineStr">
        <is>
          <t>US dollar AAA corporate bond spread</t>
        </is>
      </c>
      <c r="C25" s="9" t="inlineStr">
        <is>
          <t>bp (summed)</t>
        </is>
      </c>
      <c r="D25" s="9" t="inlineStr">
        <is>
          <t>Credit spread factor — USD by rating</t>
        </is>
      </c>
      <c r="E25" s="9" t="inlineStr">
        <is>
          <t>APT factor</t>
        </is>
      </c>
      <c r="F25" s="10" t="n">
        <v>50</v>
      </c>
      <c r="G25" s="10" t="n">
        <v>40</v>
      </c>
      <c r="H25" s="10" t="n">
        <v>-20</v>
      </c>
      <c r="I25" s="10" t="n">
        <v>-20</v>
      </c>
      <c r="J25" s="10" t="n">
        <v>-20</v>
      </c>
      <c r="K25" s="10">
        <f>F25</f>
        <v/>
      </c>
      <c r="L25" s="11">
        <f>K25+G25</f>
        <v/>
      </c>
      <c r="M25" s="10">
        <f>L25+H25</f>
        <v/>
      </c>
      <c r="N25" s="10">
        <f>M25+I25</f>
        <v/>
      </c>
      <c r="O25" s="10">
        <f>N25+J25</f>
        <v/>
      </c>
    </row>
    <row r="26">
      <c r="A26" s="8" t="inlineStr">
        <is>
          <t>Corporate bond spreads</t>
        </is>
      </c>
      <c r="B26" s="9" t="inlineStr">
        <is>
          <t>US dollar AA corporate bond spread</t>
        </is>
      </c>
      <c r="C26" s="9" t="inlineStr">
        <is>
          <t>bp (summed)</t>
        </is>
      </c>
      <c r="D26" s="9" t="inlineStr">
        <is>
          <t>Credit spread factor — USD by rating</t>
        </is>
      </c>
      <c r="E26" s="9" t="inlineStr">
        <is>
          <t>APT factor</t>
        </is>
      </c>
      <c r="F26" s="10" t="n">
        <v>100</v>
      </c>
      <c r="G26" s="10" t="n">
        <v>70</v>
      </c>
      <c r="H26" s="10" t="n">
        <v>-40</v>
      </c>
      <c r="I26" s="10" t="n">
        <v>-40</v>
      </c>
      <c r="J26" s="10" t="n">
        <v>-40</v>
      </c>
      <c r="K26" s="10">
        <f>F26</f>
        <v/>
      </c>
      <c r="L26" s="11">
        <f>K26+G26</f>
        <v/>
      </c>
      <c r="M26" s="10">
        <f>L26+H26</f>
        <v/>
      </c>
      <c r="N26" s="10">
        <f>M26+I26</f>
        <v/>
      </c>
      <c r="O26" s="10">
        <f>N26+J26</f>
        <v/>
      </c>
    </row>
    <row r="27">
      <c r="A27" s="8" t="inlineStr">
        <is>
          <t>Corporate bond spreads</t>
        </is>
      </c>
      <c r="B27" s="9" t="inlineStr">
        <is>
          <t>US dollar A corporate bond spread</t>
        </is>
      </c>
      <c r="C27" s="9" t="inlineStr">
        <is>
          <t>bp (summed)</t>
        </is>
      </c>
      <c r="D27" s="9" t="inlineStr">
        <is>
          <t>Credit spread factor — USD by rating</t>
        </is>
      </c>
      <c r="E27" s="9" t="inlineStr">
        <is>
          <t>APT factor</t>
        </is>
      </c>
      <c r="F27" s="10" t="n">
        <v>150</v>
      </c>
      <c r="G27" s="10" t="n">
        <v>110</v>
      </c>
      <c r="H27" s="10" t="n">
        <v>-60</v>
      </c>
      <c r="I27" s="10" t="n">
        <v>-60</v>
      </c>
      <c r="J27" s="10" t="n">
        <v>-60</v>
      </c>
      <c r="K27" s="10">
        <f>F27</f>
        <v/>
      </c>
      <c r="L27" s="11">
        <f>K27+G27</f>
        <v/>
      </c>
      <c r="M27" s="10">
        <f>L27+H27</f>
        <v/>
      </c>
      <c r="N27" s="10">
        <f>M27+I27</f>
        <v/>
      </c>
      <c r="O27" s="10">
        <f>N27+J27</f>
        <v/>
      </c>
    </row>
    <row r="28">
      <c r="A28" s="8" t="inlineStr">
        <is>
          <t>Corporate bond spreads</t>
        </is>
      </c>
      <c r="B28" s="9" t="inlineStr">
        <is>
          <t>US dollar BBB corporate bond spread</t>
        </is>
      </c>
      <c r="C28" s="9" t="inlineStr">
        <is>
          <t>bp (summed)</t>
        </is>
      </c>
      <c r="D28" s="9" t="inlineStr">
        <is>
          <t>Credit spread factor — USD by rating</t>
        </is>
      </c>
      <c r="E28" s="9" t="inlineStr">
        <is>
          <t>APT factor</t>
        </is>
      </c>
      <c r="F28" s="10" t="n">
        <v>190</v>
      </c>
      <c r="G28" s="10" t="n">
        <v>150</v>
      </c>
      <c r="H28" s="10" t="n">
        <v>-70</v>
      </c>
      <c r="I28" s="10" t="n">
        <v>-70</v>
      </c>
      <c r="J28" s="10" t="n">
        <v>-70</v>
      </c>
      <c r="K28" s="10">
        <f>F28</f>
        <v/>
      </c>
      <c r="L28" s="11">
        <f>K28+G28</f>
        <v/>
      </c>
      <c r="M28" s="10">
        <f>L28+H28</f>
        <v/>
      </c>
      <c r="N28" s="10">
        <f>M28+I28</f>
        <v/>
      </c>
      <c r="O28" s="10">
        <f>N28+J28</f>
        <v/>
      </c>
    </row>
    <row r="29">
      <c r="A29" s="8" t="inlineStr">
        <is>
          <t>Corporate bond spreads</t>
        </is>
      </c>
      <c r="B29" s="9" t="inlineStr">
        <is>
          <t>US dollar HY corporate bond spread</t>
        </is>
      </c>
      <c r="C29" s="9" t="inlineStr">
        <is>
          <t>bp (summed)</t>
        </is>
      </c>
      <c r="D29" s="9" t="inlineStr">
        <is>
          <t>Credit spread factor — USD by rating</t>
        </is>
      </c>
      <c r="E29" s="9" t="inlineStr">
        <is>
          <t>APT factor</t>
        </is>
      </c>
      <c r="F29" s="10" t="n">
        <v>490</v>
      </c>
      <c r="G29" s="10" t="n">
        <v>400</v>
      </c>
      <c r="H29" s="10" t="n">
        <v>-200</v>
      </c>
      <c r="I29" s="10" t="n">
        <v>-200</v>
      </c>
      <c r="J29" s="10" t="n">
        <v>-200</v>
      </c>
      <c r="K29" s="10">
        <f>F29</f>
        <v/>
      </c>
      <c r="L29" s="11">
        <f>K29+G29</f>
        <v/>
      </c>
      <c r="M29" s="10">
        <f>L29+H29</f>
        <v/>
      </c>
      <c r="N29" s="10">
        <f>M29+I29</f>
        <v/>
      </c>
      <c r="O29" s="10">
        <f>N29+J29</f>
        <v/>
      </c>
    </row>
    <row r="30">
      <c r="A30" s="8" t="inlineStr">
        <is>
          <t>Corporate bond spreads</t>
        </is>
      </c>
      <c r="B30" s="9" t="inlineStr">
        <is>
          <t>US dollar BB corporate bond spread</t>
        </is>
      </c>
      <c r="C30" s="9" t="inlineStr">
        <is>
          <t>bp (summed)</t>
        </is>
      </c>
      <c r="D30" s="9" t="inlineStr">
        <is>
          <t>Credit spread factor — USD by rating</t>
        </is>
      </c>
      <c r="E30" s="9" t="inlineStr">
        <is>
          <t>APT factor</t>
        </is>
      </c>
      <c r="F30" s="10" t="n">
        <v>440</v>
      </c>
      <c r="G30" s="10" t="n">
        <v>310</v>
      </c>
      <c r="H30" s="10" t="n">
        <v>-160</v>
      </c>
      <c r="I30" s="10" t="n">
        <v>-160</v>
      </c>
      <c r="J30" s="10" t="n">
        <v>-160</v>
      </c>
      <c r="K30" s="10">
        <f>F30</f>
        <v/>
      </c>
      <c r="L30" s="11">
        <f>K30+G30</f>
        <v/>
      </c>
      <c r="M30" s="10">
        <f>L30+H30</f>
        <v/>
      </c>
      <c r="N30" s="10">
        <f>M30+I30</f>
        <v/>
      </c>
      <c r="O30" s="10">
        <f>N30+J30</f>
        <v/>
      </c>
    </row>
    <row r="31">
      <c r="A31" s="8" t="inlineStr">
        <is>
          <t>Corporate bond spreads</t>
        </is>
      </c>
      <c r="B31" s="9" t="inlineStr">
        <is>
          <t>US dollar B corporate bond spread</t>
        </is>
      </c>
      <c r="C31" s="9" t="inlineStr">
        <is>
          <t>bp (summed)</t>
        </is>
      </c>
      <c r="D31" s="9" t="inlineStr">
        <is>
          <t>Credit spread factor — USD by rating</t>
        </is>
      </c>
      <c r="E31" s="9" t="inlineStr">
        <is>
          <t>APT factor</t>
        </is>
      </c>
      <c r="F31" s="10" t="n">
        <v>530</v>
      </c>
      <c r="G31" s="10" t="n">
        <v>420</v>
      </c>
      <c r="H31" s="10" t="n">
        <v>-210</v>
      </c>
      <c r="I31" s="10" t="n">
        <v>-210</v>
      </c>
      <c r="J31" s="10" t="n">
        <v>-210</v>
      </c>
      <c r="K31" s="10">
        <f>F31</f>
        <v/>
      </c>
      <c r="L31" s="11">
        <f>K31+G31</f>
        <v/>
      </c>
      <c r="M31" s="10">
        <f>L31+H31</f>
        <v/>
      </c>
      <c r="N31" s="10">
        <f>M31+I31</f>
        <v/>
      </c>
      <c r="O31" s="10">
        <f>N31+J31</f>
        <v/>
      </c>
    </row>
    <row r="32">
      <c r="A32" s="8" t="inlineStr">
        <is>
          <t>Corporate bond spreads</t>
        </is>
      </c>
      <c r="B32" s="9" t="inlineStr">
        <is>
          <t>US dollar CCC corporate bond spread</t>
        </is>
      </c>
      <c r="C32" s="9" t="inlineStr">
        <is>
          <t>bp (summed)</t>
        </is>
      </c>
      <c r="D32" s="9" t="inlineStr">
        <is>
          <t>Credit spread factor — USD by rating</t>
        </is>
      </c>
      <c r="E32" s="9" t="inlineStr">
        <is>
          <t>APT factor</t>
        </is>
      </c>
      <c r="F32" s="10" t="n">
        <v>600</v>
      </c>
      <c r="G32" s="10" t="n">
        <v>720</v>
      </c>
      <c r="H32" s="10" t="n">
        <v>-360</v>
      </c>
      <c r="I32" s="10" t="n">
        <v>-360</v>
      </c>
      <c r="J32" s="10" t="n">
        <v>-360</v>
      </c>
      <c r="K32" s="10">
        <f>F32</f>
        <v/>
      </c>
      <c r="L32" s="11">
        <f>K32+G32</f>
        <v/>
      </c>
      <c r="M32" s="10">
        <f>L32+H32</f>
        <v/>
      </c>
      <c r="N32" s="10">
        <f>M32+I32</f>
        <v/>
      </c>
      <c r="O32" s="10">
        <f>N32+J32</f>
        <v/>
      </c>
    </row>
    <row r="33">
      <c r="A33" s="4" t="inlineStr">
        <is>
          <t>Sector revenues</t>
        </is>
      </c>
      <c r="B33" s="5" t="inlineStr">
        <is>
          <t>UK average revenue - Aggregate</t>
        </is>
      </c>
      <c r="C33" s="5" t="inlineStr">
        <is>
          <t>% (compounded)</t>
        </is>
      </c>
      <c r="D33" s="5" t="inlineStr">
        <is>
          <t>n/a — borrower fundamentals</t>
        </is>
      </c>
      <c r="E33" s="5" t="inlineStr">
        <is>
          <t>Engine 2 input</t>
        </is>
      </c>
      <c r="F33" s="6" t="n">
        <v>-0.05</v>
      </c>
      <c r="G33" s="6" t="n">
        <v>-0.05</v>
      </c>
      <c r="H33" s="6" t="n">
        <v>0.04</v>
      </c>
      <c r="I33" s="6" t="n">
        <v>0.05</v>
      </c>
      <c r="J33" s="6" t="n">
        <v>0.06</v>
      </c>
      <c r="K33" s="6">
        <f>F33</f>
        <v/>
      </c>
      <c r="L33" s="7">
        <f>(1+K33)*(1+G33)-1</f>
        <v/>
      </c>
      <c r="M33" s="6">
        <f>(1+L33)*(1+H33)-1</f>
        <v/>
      </c>
      <c r="N33" s="6">
        <f>(1+M33)*(1+I33)-1</f>
        <v/>
      </c>
      <c r="O33" s="6">
        <f>(1+N33)*(1+J33)-1</f>
        <v/>
      </c>
    </row>
    <row r="34">
      <c r="A34" s="4" t="inlineStr">
        <is>
          <t>Sector revenues</t>
        </is>
      </c>
      <c r="B34" s="5" t="inlineStr">
        <is>
          <t>UK average revenue - Consumer Discretionary</t>
        </is>
      </c>
      <c r="C34" s="5" t="inlineStr">
        <is>
          <t>% (compounded)</t>
        </is>
      </c>
      <c r="D34" s="5" t="inlineStr">
        <is>
          <t>n/a — borrower fundamentals</t>
        </is>
      </c>
      <c r="E34" s="5" t="inlineStr">
        <is>
          <t>Engine 2 input</t>
        </is>
      </c>
      <c r="F34" s="6" t="n">
        <v>-0.1</v>
      </c>
      <c r="G34" s="6" t="n">
        <v>-0.11</v>
      </c>
      <c r="H34" s="6" t="n">
        <v>0.11</v>
      </c>
      <c r="I34" s="6" t="n">
        <v>0.1</v>
      </c>
      <c r="J34" s="6" t="n">
        <v>0.08</v>
      </c>
      <c r="K34" s="6">
        <f>F34</f>
        <v/>
      </c>
      <c r="L34" s="7">
        <f>(1+K34)*(1+G34)-1</f>
        <v/>
      </c>
      <c r="M34" s="6">
        <f>(1+L34)*(1+H34)-1</f>
        <v/>
      </c>
      <c r="N34" s="6">
        <f>(1+M34)*(1+I34)-1</f>
        <v/>
      </c>
      <c r="O34" s="6">
        <f>(1+N34)*(1+J34)-1</f>
        <v/>
      </c>
    </row>
    <row r="35">
      <c r="A35" s="4" t="inlineStr">
        <is>
          <t>Sector revenues</t>
        </is>
      </c>
      <c r="B35" s="5" t="inlineStr">
        <is>
          <t>UK average revenue - Consumer Staples</t>
        </is>
      </c>
      <c r="C35" s="5" t="inlineStr">
        <is>
          <t>% (compounded)</t>
        </is>
      </c>
      <c r="D35" s="5" t="inlineStr">
        <is>
          <t>n/a — borrower fundamentals</t>
        </is>
      </c>
      <c r="E35" s="5" t="inlineStr">
        <is>
          <t>Engine 2 input</t>
        </is>
      </c>
      <c r="F35" s="6" t="n">
        <v>-0.05</v>
      </c>
      <c r="G35" s="6" t="n">
        <v>-0.05</v>
      </c>
      <c r="H35" s="6" t="n">
        <v>0.04</v>
      </c>
      <c r="I35" s="6" t="n">
        <v>0.05</v>
      </c>
      <c r="J35" s="6" t="n">
        <v>0.04</v>
      </c>
      <c r="K35" s="6">
        <f>F35</f>
        <v/>
      </c>
      <c r="L35" s="7">
        <f>(1+K35)*(1+G35)-1</f>
        <v/>
      </c>
      <c r="M35" s="6">
        <f>(1+L35)*(1+H35)-1</f>
        <v/>
      </c>
      <c r="N35" s="6">
        <f>(1+M35)*(1+I35)-1</f>
        <v/>
      </c>
      <c r="O35" s="6">
        <f>(1+N35)*(1+J35)-1</f>
        <v/>
      </c>
    </row>
    <row r="36">
      <c r="A36" s="4" t="inlineStr">
        <is>
          <t>Sector revenues</t>
        </is>
      </c>
      <c r="B36" s="5" t="inlineStr">
        <is>
          <t>UK average revenue - Energy</t>
        </is>
      </c>
      <c r="C36" s="5" t="inlineStr">
        <is>
          <t>% (compounded)</t>
        </is>
      </c>
      <c r="D36" s="5" t="inlineStr">
        <is>
          <t>n/a — borrower fundamentals</t>
        </is>
      </c>
      <c r="E36" s="5" t="inlineStr">
        <is>
          <t>Engine 2 input</t>
        </is>
      </c>
      <c r="F36" s="6" t="n">
        <v>0.08</v>
      </c>
      <c r="G36" s="6" t="n">
        <v>0.07000000000000001</v>
      </c>
      <c r="H36" s="6" t="n">
        <v>-0.02</v>
      </c>
      <c r="I36" s="6" t="n">
        <v>-0.01</v>
      </c>
      <c r="J36" s="6" t="n">
        <v>-0.02</v>
      </c>
      <c r="K36" s="6">
        <f>F36</f>
        <v/>
      </c>
      <c r="L36" s="7">
        <f>(1+K36)*(1+G36)-1</f>
        <v/>
      </c>
      <c r="M36" s="6">
        <f>(1+L36)*(1+H36)-1</f>
        <v/>
      </c>
      <c r="N36" s="6">
        <f>(1+M36)*(1+I36)-1</f>
        <v/>
      </c>
      <c r="O36" s="6">
        <f>(1+N36)*(1+J36)-1</f>
        <v/>
      </c>
    </row>
    <row r="37">
      <c r="A37" s="4" t="inlineStr">
        <is>
          <t>Sector revenues</t>
        </is>
      </c>
      <c r="B37" s="5" t="inlineStr">
        <is>
          <t>UK average revenue - Financial Services</t>
        </is>
      </c>
      <c r="C37" s="5" t="inlineStr">
        <is>
          <t>% (compounded)</t>
        </is>
      </c>
      <c r="D37" s="5" t="inlineStr">
        <is>
          <t>n/a — borrower fundamentals</t>
        </is>
      </c>
      <c r="E37" s="5" t="inlineStr">
        <is>
          <t>Engine 2 input</t>
        </is>
      </c>
      <c r="F37" s="6" t="n">
        <v>-0.1</v>
      </c>
      <c r="G37" s="6" t="n">
        <v>-0.11</v>
      </c>
      <c r="H37" s="6" t="n">
        <v>0.05</v>
      </c>
      <c r="I37" s="6" t="n">
        <v>0.06</v>
      </c>
      <c r="J37" s="6" t="n">
        <v>0.05</v>
      </c>
      <c r="K37" s="6">
        <f>F37</f>
        <v/>
      </c>
      <c r="L37" s="7">
        <f>(1+K37)*(1+G37)-1</f>
        <v/>
      </c>
      <c r="M37" s="6">
        <f>(1+L37)*(1+H37)-1</f>
        <v/>
      </c>
      <c r="N37" s="6">
        <f>(1+M37)*(1+I37)-1</f>
        <v/>
      </c>
      <c r="O37" s="6">
        <f>(1+N37)*(1+J37)-1</f>
        <v/>
      </c>
    </row>
    <row r="38">
      <c r="A38" s="4" t="inlineStr">
        <is>
          <t>Sector revenues</t>
        </is>
      </c>
      <c r="B38" s="5" t="inlineStr">
        <is>
          <t>UK average revenue - Health Care</t>
        </is>
      </c>
      <c r="C38" s="5" t="inlineStr">
        <is>
          <t>% (compounded)</t>
        </is>
      </c>
      <c r="D38" s="5" t="inlineStr">
        <is>
          <t>n/a — borrower fundamentals</t>
        </is>
      </c>
      <c r="E38" s="5" t="inlineStr">
        <is>
          <t>Engine 2 input</t>
        </is>
      </c>
      <c r="F38" s="6" t="n">
        <v>-0.05</v>
      </c>
      <c r="G38" s="6" t="n">
        <v>-0.05</v>
      </c>
      <c r="H38" s="6" t="n">
        <v>0.04</v>
      </c>
      <c r="I38" s="6" t="n">
        <v>0.05</v>
      </c>
      <c r="J38" s="6" t="n">
        <v>0.04</v>
      </c>
      <c r="K38" s="6">
        <f>F38</f>
        <v/>
      </c>
      <c r="L38" s="7">
        <f>(1+K38)*(1+G38)-1</f>
        <v/>
      </c>
      <c r="M38" s="6">
        <f>(1+L38)*(1+H38)-1</f>
        <v/>
      </c>
      <c r="N38" s="6">
        <f>(1+M38)*(1+I38)-1</f>
        <v/>
      </c>
      <c r="O38" s="6">
        <f>(1+N38)*(1+J38)-1</f>
        <v/>
      </c>
    </row>
    <row r="39">
      <c r="A39" s="4" t="inlineStr">
        <is>
          <t>Sector revenues</t>
        </is>
      </c>
      <c r="B39" s="5" t="inlineStr">
        <is>
          <t>UK average revenue - Industrial</t>
        </is>
      </c>
      <c r="C39" s="5" t="inlineStr">
        <is>
          <t>% (compounded)</t>
        </is>
      </c>
      <c r="D39" s="5" t="inlineStr">
        <is>
          <t>n/a — borrower fundamentals</t>
        </is>
      </c>
      <c r="E39" s="5" t="inlineStr">
        <is>
          <t>Engine 2 input</t>
        </is>
      </c>
      <c r="F39" s="6" t="n">
        <v>-0.1</v>
      </c>
      <c r="G39" s="6" t="n">
        <v>-0.11</v>
      </c>
      <c r="H39" s="6" t="n">
        <v>0.11</v>
      </c>
      <c r="I39" s="6" t="n">
        <v>0.1</v>
      </c>
      <c r="J39" s="6" t="n">
        <v>0.08</v>
      </c>
      <c r="K39" s="6">
        <f>F39</f>
        <v/>
      </c>
      <c r="L39" s="7">
        <f>(1+K39)*(1+G39)-1</f>
        <v/>
      </c>
      <c r="M39" s="6">
        <f>(1+L39)*(1+H39)-1</f>
        <v/>
      </c>
      <c r="N39" s="6">
        <f>(1+M39)*(1+I39)-1</f>
        <v/>
      </c>
      <c r="O39" s="6">
        <f>(1+N39)*(1+J39)-1</f>
        <v/>
      </c>
    </row>
    <row r="40">
      <c r="A40" s="4" t="inlineStr">
        <is>
          <t>Sector revenues</t>
        </is>
      </c>
      <c r="B40" s="5" t="inlineStr">
        <is>
          <t>UK average revenue - Materials</t>
        </is>
      </c>
      <c r="C40" s="5" t="inlineStr">
        <is>
          <t>% (compounded)</t>
        </is>
      </c>
      <c r="D40" s="5" t="inlineStr">
        <is>
          <t>n/a — borrower fundamentals</t>
        </is>
      </c>
      <c r="E40" s="5" t="inlineStr">
        <is>
          <t>Engine 2 input</t>
        </is>
      </c>
      <c r="F40" s="6" t="n">
        <v>-0.05</v>
      </c>
      <c r="G40" s="6" t="n">
        <v>-0.05</v>
      </c>
      <c r="H40" s="6" t="n">
        <v>0.04</v>
      </c>
      <c r="I40" s="6" t="n">
        <v>0.05</v>
      </c>
      <c r="J40" s="6" t="n">
        <v>0.04</v>
      </c>
      <c r="K40" s="6">
        <f>F40</f>
        <v/>
      </c>
      <c r="L40" s="7">
        <f>(1+K40)*(1+G40)-1</f>
        <v/>
      </c>
      <c r="M40" s="6">
        <f>(1+L40)*(1+H40)-1</f>
        <v/>
      </c>
      <c r="N40" s="6">
        <f>(1+M40)*(1+I40)-1</f>
        <v/>
      </c>
      <c r="O40" s="6">
        <f>(1+N40)*(1+J40)-1</f>
        <v/>
      </c>
    </row>
    <row r="41">
      <c r="A41" s="4" t="inlineStr">
        <is>
          <t>Sector revenues</t>
        </is>
      </c>
      <c r="B41" s="5" t="inlineStr">
        <is>
          <t>UK average revenue - Real Estate</t>
        </is>
      </c>
      <c r="C41" s="5" t="inlineStr">
        <is>
          <t>% (compounded)</t>
        </is>
      </c>
      <c r="D41" s="5" t="inlineStr">
        <is>
          <t>n/a — borrower fundamentals</t>
        </is>
      </c>
      <c r="E41" s="5" t="inlineStr">
        <is>
          <t>Engine 2 input</t>
        </is>
      </c>
      <c r="F41" s="6" t="n">
        <v>-0.1</v>
      </c>
      <c r="G41" s="6" t="n">
        <v>-0.11</v>
      </c>
      <c r="H41" s="6" t="n">
        <v>0.11</v>
      </c>
      <c r="I41" s="6" t="n">
        <v>0.1</v>
      </c>
      <c r="J41" s="6" t="n">
        <v>0.08</v>
      </c>
      <c r="K41" s="6">
        <f>F41</f>
        <v/>
      </c>
      <c r="L41" s="7">
        <f>(1+K41)*(1+G41)-1</f>
        <v/>
      </c>
      <c r="M41" s="6">
        <f>(1+L41)*(1+H41)-1</f>
        <v/>
      </c>
      <c r="N41" s="6">
        <f>(1+M41)*(1+I41)-1</f>
        <v/>
      </c>
      <c r="O41" s="6">
        <f>(1+N41)*(1+J41)-1</f>
        <v/>
      </c>
    </row>
    <row r="42">
      <c r="A42" s="4" t="inlineStr">
        <is>
          <t>Sector revenues</t>
        </is>
      </c>
      <c r="B42" s="5" t="inlineStr">
        <is>
          <t>UK average revenue - Technology</t>
        </is>
      </c>
      <c r="C42" s="5" t="inlineStr">
        <is>
          <t>% (compounded)</t>
        </is>
      </c>
      <c r="D42" s="5" t="inlineStr">
        <is>
          <t>n/a — borrower fundamentals</t>
        </is>
      </c>
      <c r="E42" s="5" t="inlineStr">
        <is>
          <t>Engine 2 input</t>
        </is>
      </c>
      <c r="F42" s="6" t="n">
        <v>-0.1</v>
      </c>
      <c r="G42" s="6" t="n">
        <v>-0.11</v>
      </c>
      <c r="H42" s="6" t="n">
        <v>0.05</v>
      </c>
      <c r="I42" s="6" t="n">
        <v>0.06</v>
      </c>
      <c r="J42" s="6" t="n">
        <v>0.05</v>
      </c>
      <c r="K42" s="6">
        <f>F42</f>
        <v/>
      </c>
      <c r="L42" s="7">
        <f>(1+K42)*(1+G42)-1</f>
        <v/>
      </c>
      <c r="M42" s="6">
        <f>(1+L42)*(1+H42)-1</f>
        <v/>
      </c>
      <c r="N42" s="6">
        <f>(1+M42)*(1+I42)-1</f>
        <v/>
      </c>
      <c r="O42" s="6">
        <f>(1+N42)*(1+J42)-1</f>
        <v/>
      </c>
    </row>
    <row r="43">
      <c r="A43" s="4" t="inlineStr">
        <is>
          <t>Sector revenues</t>
        </is>
      </c>
      <c r="B43" s="5" t="inlineStr">
        <is>
          <t>UK average revenue - Telecom</t>
        </is>
      </c>
      <c r="C43" s="5" t="inlineStr">
        <is>
          <t>% (compounded)</t>
        </is>
      </c>
      <c r="D43" s="5" t="inlineStr">
        <is>
          <t>n/a — borrower fundamentals</t>
        </is>
      </c>
      <c r="E43" s="5" t="inlineStr">
        <is>
          <t>Engine 2 input</t>
        </is>
      </c>
      <c r="F43" s="6" t="n">
        <v>-0.05</v>
      </c>
      <c r="G43" s="6" t="n">
        <v>-0.05</v>
      </c>
      <c r="H43" s="6" t="n">
        <v>0.04</v>
      </c>
      <c r="I43" s="6" t="n">
        <v>0.05</v>
      </c>
      <c r="J43" s="6" t="n">
        <v>0.04</v>
      </c>
      <c r="K43" s="6">
        <f>F43</f>
        <v/>
      </c>
      <c r="L43" s="7">
        <f>(1+K43)*(1+G43)-1</f>
        <v/>
      </c>
      <c r="M43" s="6">
        <f>(1+L43)*(1+H43)-1</f>
        <v/>
      </c>
      <c r="N43" s="6">
        <f>(1+M43)*(1+I43)-1</f>
        <v/>
      </c>
      <c r="O43" s="6">
        <f>(1+N43)*(1+J43)-1</f>
        <v/>
      </c>
    </row>
    <row r="44">
      <c r="A44" s="4" t="inlineStr">
        <is>
          <t>Sector revenues</t>
        </is>
      </c>
      <c r="B44" s="5" t="inlineStr">
        <is>
          <t>UK average revenue - Utilities</t>
        </is>
      </c>
      <c r="C44" s="5" t="inlineStr">
        <is>
          <t>% (compounded)</t>
        </is>
      </c>
      <c r="D44" s="5" t="inlineStr">
        <is>
          <t>n/a — borrower fundamentals</t>
        </is>
      </c>
      <c r="E44" s="5" t="inlineStr">
        <is>
          <t>Engine 2 input</t>
        </is>
      </c>
      <c r="F44" s="6" t="n">
        <v>0.02</v>
      </c>
      <c r="G44" s="6" t="n">
        <v>0.03</v>
      </c>
      <c r="H44" s="6" t="n">
        <v>-0.01</v>
      </c>
      <c r="I44" s="6" t="n">
        <v>0</v>
      </c>
      <c r="J44" s="6" t="n">
        <v>-0.01</v>
      </c>
      <c r="K44" s="6">
        <f>F44</f>
        <v/>
      </c>
      <c r="L44" s="7">
        <f>(1+K44)*(1+G44)-1</f>
        <v/>
      </c>
      <c r="M44" s="6">
        <f>(1+L44)*(1+H44)-1</f>
        <v/>
      </c>
      <c r="N44" s="6">
        <f>(1+M44)*(1+I44)-1</f>
        <v/>
      </c>
      <c r="O44" s="6">
        <f>(1+N44)*(1+J44)-1</f>
        <v/>
      </c>
    </row>
    <row r="45">
      <c r="A45" s="4" t="inlineStr">
        <is>
          <t>Sector revenues</t>
        </is>
      </c>
      <c r="B45" s="5" t="inlineStr">
        <is>
          <t>US average revenue - Aggregate</t>
        </is>
      </c>
      <c r="C45" s="5" t="inlineStr">
        <is>
          <t>% (compounded)</t>
        </is>
      </c>
      <c r="D45" s="5" t="inlineStr">
        <is>
          <t>n/a — borrower fundamentals</t>
        </is>
      </c>
      <c r="E45" s="5" t="inlineStr">
        <is>
          <t>Engine 2 input</t>
        </is>
      </c>
      <c r="F45" s="6" t="n">
        <v>-0.05</v>
      </c>
      <c r="G45" s="6" t="n">
        <v>-0.05</v>
      </c>
      <c r="H45" s="6" t="n">
        <v>0.04</v>
      </c>
      <c r="I45" s="6" t="n">
        <v>0.05</v>
      </c>
      <c r="J45" s="6" t="n">
        <v>0.06</v>
      </c>
      <c r="K45" s="6">
        <f>F45</f>
        <v/>
      </c>
      <c r="L45" s="7">
        <f>(1+K45)*(1+G45)-1</f>
        <v/>
      </c>
      <c r="M45" s="6">
        <f>(1+L45)*(1+H45)-1</f>
        <v/>
      </c>
      <c r="N45" s="6">
        <f>(1+M45)*(1+I45)-1</f>
        <v/>
      </c>
      <c r="O45" s="6">
        <f>(1+N45)*(1+J45)-1</f>
        <v/>
      </c>
    </row>
    <row r="46">
      <c r="A46" s="4" t="inlineStr">
        <is>
          <t>Sector revenues</t>
        </is>
      </c>
      <c r="B46" s="5" t="inlineStr">
        <is>
          <t>US average revenue - Consumer Discretionary</t>
        </is>
      </c>
      <c r="C46" s="5" t="inlineStr">
        <is>
          <t>% (compounded)</t>
        </is>
      </c>
      <c r="D46" s="5" t="inlineStr">
        <is>
          <t>n/a — borrower fundamentals</t>
        </is>
      </c>
      <c r="E46" s="5" t="inlineStr">
        <is>
          <t>Engine 2 input</t>
        </is>
      </c>
      <c r="F46" s="6" t="n">
        <v>-0.1</v>
      </c>
      <c r="G46" s="6" t="n">
        <v>-0.11</v>
      </c>
      <c r="H46" s="6" t="n">
        <v>0.11</v>
      </c>
      <c r="I46" s="6" t="n">
        <v>0.1</v>
      </c>
      <c r="J46" s="6" t="n">
        <v>0.08</v>
      </c>
      <c r="K46" s="6">
        <f>F46</f>
        <v/>
      </c>
      <c r="L46" s="7">
        <f>(1+K46)*(1+G46)-1</f>
        <v/>
      </c>
      <c r="M46" s="6">
        <f>(1+L46)*(1+H46)-1</f>
        <v/>
      </c>
      <c r="N46" s="6">
        <f>(1+M46)*(1+I46)-1</f>
        <v/>
      </c>
      <c r="O46" s="6">
        <f>(1+N46)*(1+J46)-1</f>
        <v/>
      </c>
    </row>
    <row r="47">
      <c r="A47" s="4" t="inlineStr">
        <is>
          <t>Sector revenues</t>
        </is>
      </c>
      <c r="B47" s="5" t="inlineStr">
        <is>
          <t>US average revenue - Consumer Staples</t>
        </is>
      </c>
      <c r="C47" s="5" t="inlineStr">
        <is>
          <t>% (compounded)</t>
        </is>
      </c>
      <c r="D47" s="5" t="inlineStr">
        <is>
          <t>n/a — borrower fundamentals</t>
        </is>
      </c>
      <c r="E47" s="5" t="inlineStr">
        <is>
          <t>Engine 2 input</t>
        </is>
      </c>
      <c r="F47" s="6" t="n">
        <v>-0.05</v>
      </c>
      <c r="G47" s="6" t="n">
        <v>-0.05</v>
      </c>
      <c r="H47" s="6" t="n">
        <v>0.04</v>
      </c>
      <c r="I47" s="6" t="n">
        <v>0.05</v>
      </c>
      <c r="J47" s="6" t="n">
        <v>0.04</v>
      </c>
      <c r="K47" s="6">
        <f>F47</f>
        <v/>
      </c>
      <c r="L47" s="7">
        <f>(1+K47)*(1+G47)-1</f>
        <v/>
      </c>
      <c r="M47" s="6">
        <f>(1+L47)*(1+H47)-1</f>
        <v/>
      </c>
      <c r="N47" s="6">
        <f>(1+M47)*(1+I47)-1</f>
        <v/>
      </c>
      <c r="O47" s="6">
        <f>(1+N47)*(1+J47)-1</f>
        <v/>
      </c>
    </row>
    <row r="48">
      <c r="A48" s="4" t="inlineStr">
        <is>
          <t>Sector revenues</t>
        </is>
      </c>
      <c r="B48" s="5" t="inlineStr">
        <is>
          <t>US average revenue - Energy</t>
        </is>
      </c>
      <c r="C48" s="5" t="inlineStr">
        <is>
          <t>% (compounded)</t>
        </is>
      </c>
      <c r="D48" s="5" t="inlineStr">
        <is>
          <t>n/a — borrower fundamentals</t>
        </is>
      </c>
      <c r="E48" s="5" t="inlineStr">
        <is>
          <t>Engine 2 input</t>
        </is>
      </c>
      <c r="F48" s="6" t="n">
        <v>0.15</v>
      </c>
      <c r="G48" s="6" t="n">
        <v>0.13</v>
      </c>
      <c r="H48" s="6" t="n">
        <v>-0.02</v>
      </c>
      <c r="I48" s="6" t="n">
        <v>-0.03</v>
      </c>
      <c r="J48" s="6" t="n">
        <v>-0.02</v>
      </c>
      <c r="K48" s="6">
        <f>F48</f>
        <v/>
      </c>
      <c r="L48" s="7">
        <f>(1+K48)*(1+G48)-1</f>
        <v/>
      </c>
      <c r="M48" s="6">
        <f>(1+L48)*(1+H48)-1</f>
        <v/>
      </c>
      <c r="N48" s="6">
        <f>(1+M48)*(1+I48)-1</f>
        <v/>
      </c>
      <c r="O48" s="6">
        <f>(1+N48)*(1+J48)-1</f>
        <v/>
      </c>
    </row>
    <row r="49">
      <c r="A49" s="4" t="inlineStr">
        <is>
          <t>Sector revenues</t>
        </is>
      </c>
      <c r="B49" s="5" t="inlineStr">
        <is>
          <t>US average revenue - Financial Services</t>
        </is>
      </c>
      <c r="C49" s="5" t="inlineStr">
        <is>
          <t>% (compounded)</t>
        </is>
      </c>
      <c r="D49" s="5" t="inlineStr">
        <is>
          <t>n/a — borrower fundamentals</t>
        </is>
      </c>
      <c r="E49" s="5" t="inlineStr">
        <is>
          <t>Engine 2 input</t>
        </is>
      </c>
      <c r="F49" s="6" t="n">
        <v>-0.1</v>
      </c>
      <c r="G49" s="6" t="n">
        <v>-0.11</v>
      </c>
      <c r="H49" s="6" t="n">
        <v>0.05</v>
      </c>
      <c r="I49" s="6" t="n">
        <v>0.06</v>
      </c>
      <c r="J49" s="6" t="n">
        <v>0.05</v>
      </c>
      <c r="K49" s="6">
        <f>F49</f>
        <v/>
      </c>
      <c r="L49" s="7">
        <f>(1+K49)*(1+G49)-1</f>
        <v/>
      </c>
      <c r="M49" s="6">
        <f>(1+L49)*(1+H49)-1</f>
        <v/>
      </c>
      <c r="N49" s="6">
        <f>(1+M49)*(1+I49)-1</f>
        <v/>
      </c>
      <c r="O49" s="6">
        <f>(1+N49)*(1+J49)-1</f>
        <v/>
      </c>
    </row>
    <row r="50">
      <c r="A50" s="4" t="inlineStr">
        <is>
          <t>Sector revenues</t>
        </is>
      </c>
      <c r="B50" s="5" t="inlineStr">
        <is>
          <t>US average revenue - Health Care</t>
        </is>
      </c>
      <c r="C50" s="5" t="inlineStr">
        <is>
          <t>% (compounded)</t>
        </is>
      </c>
      <c r="D50" s="5" t="inlineStr">
        <is>
          <t>n/a — borrower fundamentals</t>
        </is>
      </c>
      <c r="E50" s="5" t="inlineStr">
        <is>
          <t>Engine 2 input</t>
        </is>
      </c>
      <c r="F50" s="6" t="n">
        <v>-0.05</v>
      </c>
      <c r="G50" s="6" t="n">
        <v>-0.05</v>
      </c>
      <c r="H50" s="6" t="n">
        <v>0.04</v>
      </c>
      <c r="I50" s="6" t="n">
        <v>0.05</v>
      </c>
      <c r="J50" s="6" t="n">
        <v>0.04</v>
      </c>
      <c r="K50" s="6">
        <f>F50</f>
        <v/>
      </c>
      <c r="L50" s="7">
        <f>(1+K50)*(1+G50)-1</f>
        <v/>
      </c>
      <c r="M50" s="6">
        <f>(1+L50)*(1+H50)-1</f>
        <v/>
      </c>
      <c r="N50" s="6">
        <f>(1+M50)*(1+I50)-1</f>
        <v/>
      </c>
      <c r="O50" s="6">
        <f>(1+N50)*(1+J50)-1</f>
        <v/>
      </c>
    </row>
    <row r="51">
      <c r="A51" s="4" t="inlineStr">
        <is>
          <t>Sector revenues</t>
        </is>
      </c>
      <c r="B51" s="5" t="inlineStr">
        <is>
          <t>US average revenue - Industrial</t>
        </is>
      </c>
      <c r="C51" s="5" t="inlineStr">
        <is>
          <t>% (compounded)</t>
        </is>
      </c>
      <c r="D51" s="5" t="inlineStr">
        <is>
          <t>n/a — borrower fundamentals</t>
        </is>
      </c>
      <c r="E51" s="5" t="inlineStr">
        <is>
          <t>Engine 2 input</t>
        </is>
      </c>
      <c r="F51" s="6" t="n">
        <v>-0.1</v>
      </c>
      <c r="G51" s="6" t="n">
        <v>-0.11</v>
      </c>
      <c r="H51" s="6" t="n">
        <v>0.11</v>
      </c>
      <c r="I51" s="6" t="n">
        <v>0.1</v>
      </c>
      <c r="J51" s="6" t="n">
        <v>0.08</v>
      </c>
      <c r="K51" s="6">
        <f>F51</f>
        <v/>
      </c>
      <c r="L51" s="7">
        <f>(1+K51)*(1+G51)-1</f>
        <v/>
      </c>
      <c r="M51" s="6">
        <f>(1+L51)*(1+H51)-1</f>
        <v/>
      </c>
      <c r="N51" s="6">
        <f>(1+M51)*(1+I51)-1</f>
        <v/>
      </c>
      <c r="O51" s="6">
        <f>(1+N51)*(1+J51)-1</f>
        <v/>
      </c>
    </row>
    <row r="52">
      <c r="A52" s="4" t="inlineStr">
        <is>
          <t>Sector revenues</t>
        </is>
      </c>
      <c r="B52" s="5" t="inlineStr">
        <is>
          <t>US average revenue - Materials</t>
        </is>
      </c>
      <c r="C52" s="5" t="inlineStr">
        <is>
          <t>% (compounded)</t>
        </is>
      </c>
      <c r="D52" s="5" t="inlineStr">
        <is>
          <t>n/a — borrower fundamentals</t>
        </is>
      </c>
      <c r="E52" s="5" t="inlineStr">
        <is>
          <t>Engine 2 input</t>
        </is>
      </c>
      <c r="F52" s="6" t="n">
        <v>-0.05</v>
      </c>
      <c r="G52" s="6" t="n">
        <v>-0.05</v>
      </c>
      <c r="H52" s="6" t="n">
        <v>0.04</v>
      </c>
      <c r="I52" s="6" t="n">
        <v>0.05</v>
      </c>
      <c r="J52" s="6" t="n">
        <v>0.04</v>
      </c>
      <c r="K52" s="6">
        <f>F52</f>
        <v/>
      </c>
      <c r="L52" s="7">
        <f>(1+K52)*(1+G52)-1</f>
        <v/>
      </c>
      <c r="M52" s="6">
        <f>(1+L52)*(1+H52)-1</f>
        <v/>
      </c>
      <c r="N52" s="6">
        <f>(1+M52)*(1+I52)-1</f>
        <v/>
      </c>
      <c r="O52" s="6">
        <f>(1+N52)*(1+J52)-1</f>
        <v/>
      </c>
    </row>
    <row r="53">
      <c r="A53" s="4" t="inlineStr">
        <is>
          <t>Sector revenues</t>
        </is>
      </c>
      <c r="B53" s="5" t="inlineStr">
        <is>
          <t>US average revenue - Real Estate</t>
        </is>
      </c>
      <c r="C53" s="5" t="inlineStr">
        <is>
          <t>% (compounded)</t>
        </is>
      </c>
      <c r="D53" s="5" t="inlineStr">
        <is>
          <t>n/a — borrower fundamentals</t>
        </is>
      </c>
      <c r="E53" s="5" t="inlineStr">
        <is>
          <t>Engine 2 input</t>
        </is>
      </c>
      <c r="F53" s="6" t="n">
        <v>-0.1</v>
      </c>
      <c r="G53" s="6" t="n">
        <v>-0.11</v>
      </c>
      <c r="H53" s="6" t="n">
        <v>0.11</v>
      </c>
      <c r="I53" s="6" t="n">
        <v>0.1</v>
      </c>
      <c r="J53" s="6" t="n">
        <v>0.08</v>
      </c>
      <c r="K53" s="6">
        <f>F53</f>
        <v/>
      </c>
      <c r="L53" s="7">
        <f>(1+K53)*(1+G53)-1</f>
        <v/>
      </c>
      <c r="M53" s="6">
        <f>(1+L53)*(1+H53)-1</f>
        <v/>
      </c>
      <c r="N53" s="6">
        <f>(1+M53)*(1+I53)-1</f>
        <v/>
      </c>
      <c r="O53" s="6">
        <f>(1+N53)*(1+J53)-1</f>
        <v/>
      </c>
    </row>
    <row r="54">
      <c r="A54" s="4" t="inlineStr">
        <is>
          <t>Sector revenues</t>
        </is>
      </c>
      <c r="B54" s="5" t="inlineStr">
        <is>
          <t>US average revenue - Technology</t>
        </is>
      </c>
      <c r="C54" s="5" t="inlineStr">
        <is>
          <t>% (compounded)</t>
        </is>
      </c>
      <c r="D54" s="5" t="inlineStr">
        <is>
          <t>n/a — borrower fundamentals</t>
        </is>
      </c>
      <c r="E54" s="5" t="inlineStr">
        <is>
          <t>Engine 2 input</t>
        </is>
      </c>
      <c r="F54" s="6" t="n">
        <v>-0.1</v>
      </c>
      <c r="G54" s="6" t="n">
        <v>-0.11</v>
      </c>
      <c r="H54" s="6" t="n">
        <v>0.05</v>
      </c>
      <c r="I54" s="6" t="n">
        <v>0.06</v>
      </c>
      <c r="J54" s="6" t="n">
        <v>0.05</v>
      </c>
      <c r="K54" s="6">
        <f>F54</f>
        <v/>
      </c>
      <c r="L54" s="7">
        <f>(1+K54)*(1+G54)-1</f>
        <v/>
      </c>
      <c r="M54" s="6">
        <f>(1+L54)*(1+H54)-1</f>
        <v/>
      </c>
      <c r="N54" s="6">
        <f>(1+M54)*(1+I54)-1</f>
        <v/>
      </c>
      <c r="O54" s="6">
        <f>(1+N54)*(1+J54)-1</f>
        <v/>
      </c>
    </row>
    <row r="55">
      <c r="A55" s="4" t="inlineStr">
        <is>
          <t>Sector revenues</t>
        </is>
      </c>
      <c r="B55" s="5" t="inlineStr">
        <is>
          <t>US average revenue - Telecom</t>
        </is>
      </c>
      <c r="C55" s="5" t="inlineStr">
        <is>
          <t>% (compounded)</t>
        </is>
      </c>
      <c r="D55" s="5" t="inlineStr">
        <is>
          <t>n/a — borrower fundamentals</t>
        </is>
      </c>
      <c r="E55" s="5" t="inlineStr">
        <is>
          <t>Engine 2 input</t>
        </is>
      </c>
      <c r="F55" s="6" t="n">
        <v>-0.05</v>
      </c>
      <c r="G55" s="6" t="n">
        <v>-0.05</v>
      </c>
      <c r="H55" s="6" t="n">
        <v>0.04</v>
      </c>
      <c r="I55" s="6" t="n">
        <v>0.05</v>
      </c>
      <c r="J55" s="6" t="n">
        <v>0.04</v>
      </c>
      <c r="K55" s="6">
        <f>F55</f>
        <v/>
      </c>
      <c r="L55" s="7">
        <f>(1+K55)*(1+G55)-1</f>
        <v/>
      </c>
      <c r="M55" s="6">
        <f>(1+L55)*(1+H55)-1</f>
        <v/>
      </c>
      <c r="N55" s="6">
        <f>(1+M55)*(1+I55)-1</f>
        <v/>
      </c>
      <c r="O55" s="6">
        <f>(1+N55)*(1+J55)-1</f>
        <v/>
      </c>
    </row>
    <row r="56">
      <c r="A56" s="4" t="inlineStr">
        <is>
          <t>Sector revenues</t>
        </is>
      </c>
      <c r="B56" s="5" t="inlineStr">
        <is>
          <t>US average revenue - Utilities</t>
        </is>
      </c>
      <c r="C56" s="5" t="inlineStr">
        <is>
          <t>% (compounded)</t>
        </is>
      </c>
      <c r="D56" s="5" t="inlineStr">
        <is>
          <t>n/a — borrower fundamentals</t>
        </is>
      </c>
      <c r="E56" s="5" t="inlineStr">
        <is>
          <t>Engine 2 input</t>
        </is>
      </c>
      <c r="F56" s="6" t="n">
        <v>0.05</v>
      </c>
      <c r="G56" s="6" t="n">
        <v>0.05</v>
      </c>
      <c r="H56" s="6" t="n">
        <v>-0.01</v>
      </c>
      <c r="I56" s="6" t="n">
        <v>-0.01</v>
      </c>
      <c r="J56" s="6" t="n">
        <v>-0.01</v>
      </c>
      <c r="K56" s="6">
        <f>F56</f>
        <v/>
      </c>
      <c r="L56" s="7">
        <f>(1+K56)*(1+G56)-1</f>
        <v/>
      </c>
      <c r="M56" s="6">
        <f>(1+L56)*(1+H56)-1</f>
        <v/>
      </c>
      <c r="N56" s="6">
        <f>(1+M56)*(1+I56)-1</f>
        <v/>
      </c>
      <c r="O56" s="6">
        <f>(1+N56)*(1+J56)-1</f>
        <v/>
      </c>
    </row>
    <row r="57">
      <c r="A57" s="8" t="inlineStr">
        <is>
          <t>Equity prices</t>
        </is>
      </c>
      <c r="B57" s="9" t="inlineStr">
        <is>
          <t>FTSE All-Share</t>
        </is>
      </c>
      <c r="C57" s="9" t="inlineStr">
        <is>
          <t>% (compounded)</t>
        </is>
      </c>
      <c r="D57" s="9" t="inlineStr">
        <is>
          <t>Equity index / industry factor</t>
        </is>
      </c>
      <c r="E57" s="9" t="inlineStr">
        <is>
          <t>APT factor</t>
        </is>
      </c>
      <c r="F57" s="12" t="n">
        <v>-0.31</v>
      </c>
      <c r="G57" s="12" t="n">
        <v>-0.06</v>
      </c>
      <c r="H57" s="12" t="n">
        <v>0.11</v>
      </c>
      <c r="I57" s="12" t="n">
        <v>0.11</v>
      </c>
      <c r="J57" s="12" t="n">
        <v>0.13</v>
      </c>
      <c r="K57" s="12">
        <f>F57</f>
        <v/>
      </c>
      <c r="L57" s="13">
        <f>(1+K57)*(1+G57)-1</f>
        <v/>
      </c>
      <c r="M57" s="12">
        <f>(1+L57)*(1+H57)-1</f>
        <v/>
      </c>
      <c r="N57" s="12">
        <f>(1+M57)*(1+I57)-1</f>
        <v/>
      </c>
      <c r="O57" s="12">
        <f>(1+N57)*(1+J57)-1</f>
        <v/>
      </c>
    </row>
    <row r="58">
      <c r="A58" s="8" t="inlineStr">
        <is>
          <t>Equity prices</t>
        </is>
      </c>
      <c r="B58" s="9" t="inlineStr">
        <is>
          <t>FTSE 350</t>
        </is>
      </c>
      <c r="C58" s="9" t="inlineStr">
        <is>
          <t>% (compounded)</t>
        </is>
      </c>
      <c r="D58" s="9" t="inlineStr">
        <is>
          <t>Equity index / industry factor</t>
        </is>
      </c>
      <c r="E58" s="9" t="inlineStr">
        <is>
          <t>APT factor</t>
        </is>
      </c>
      <c r="F58" s="12" t="n">
        <v>-0.31</v>
      </c>
      <c r="G58" s="12" t="n">
        <v>-0.06</v>
      </c>
      <c r="H58" s="12" t="n">
        <v>0.11</v>
      </c>
      <c r="I58" s="12" t="n">
        <v>0.11</v>
      </c>
      <c r="J58" s="12" t="n">
        <v>0.13</v>
      </c>
      <c r="K58" s="12">
        <f>F58</f>
        <v/>
      </c>
      <c r="L58" s="13">
        <f>(1+K58)*(1+G58)-1</f>
        <v/>
      </c>
      <c r="M58" s="12">
        <f>(1+L58)*(1+H58)-1</f>
        <v/>
      </c>
      <c r="N58" s="12">
        <f>(1+M58)*(1+I58)-1</f>
        <v/>
      </c>
      <c r="O58" s="12">
        <f>(1+N58)*(1+J58)-1</f>
        <v/>
      </c>
    </row>
    <row r="59">
      <c r="A59" s="8" t="inlineStr">
        <is>
          <t>Equity prices</t>
        </is>
      </c>
      <c r="B59" s="9" t="inlineStr">
        <is>
          <t>FTSE 350 - Consumer Discretionary</t>
        </is>
      </c>
      <c r="C59" s="9" t="inlineStr">
        <is>
          <t>% (compounded)</t>
        </is>
      </c>
      <c r="D59" s="9" t="inlineStr">
        <is>
          <t>Equity index / industry factor</t>
        </is>
      </c>
      <c r="E59" s="9" t="inlineStr">
        <is>
          <t>APT factor</t>
        </is>
      </c>
      <c r="F59" s="12" t="n">
        <v>-0.35</v>
      </c>
      <c r="G59" s="12" t="n">
        <v>-0.08</v>
      </c>
      <c r="H59" s="12" t="n">
        <v>0.15</v>
      </c>
      <c r="I59" s="12" t="n">
        <v>0.13</v>
      </c>
      <c r="J59" s="12" t="n">
        <v>0.15</v>
      </c>
      <c r="K59" s="12">
        <f>F59</f>
        <v/>
      </c>
      <c r="L59" s="13">
        <f>(1+K59)*(1+G59)-1</f>
        <v/>
      </c>
      <c r="M59" s="12">
        <f>(1+L59)*(1+H59)-1</f>
        <v/>
      </c>
      <c r="N59" s="12">
        <f>(1+M59)*(1+I59)-1</f>
        <v/>
      </c>
      <c r="O59" s="12">
        <f>(1+N59)*(1+J59)-1</f>
        <v/>
      </c>
    </row>
    <row r="60">
      <c r="A60" s="8" t="inlineStr">
        <is>
          <t>Equity prices</t>
        </is>
      </c>
      <c r="B60" s="9" t="inlineStr">
        <is>
          <t>FTSE 350 - Consumer Staples</t>
        </is>
      </c>
      <c r="C60" s="9" t="inlineStr">
        <is>
          <t>% (compounded)</t>
        </is>
      </c>
      <c r="D60" s="9" t="inlineStr">
        <is>
          <t>Equity index / industry factor</t>
        </is>
      </c>
      <c r="E60" s="9" t="inlineStr">
        <is>
          <t>APT factor</t>
        </is>
      </c>
      <c r="F60" s="12" t="n">
        <v>-0.3</v>
      </c>
      <c r="G60" s="12" t="n">
        <v>-0.07000000000000001</v>
      </c>
      <c r="H60" s="12" t="n">
        <v>0.11</v>
      </c>
      <c r="I60" s="12" t="n">
        <v>0.1</v>
      </c>
      <c r="J60" s="12" t="n">
        <v>0.13</v>
      </c>
      <c r="K60" s="12">
        <f>F60</f>
        <v/>
      </c>
      <c r="L60" s="13">
        <f>(1+K60)*(1+G60)-1</f>
        <v/>
      </c>
      <c r="M60" s="12">
        <f>(1+L60)*(1+H60)-1</f>
        <v/>
      </c>
      <c r="N60" s="12">
        <f>(1+M60)*(1+I60)-1</f>
        <v/>
      </c>
      <c r="O60" s="12">
        <f>(1+N60)*(1+J60)-1</f>
        <v/>
      </c>
    </row>
    <row r="61">
      <c r="A61" s="8" t="inlineStr">
        <is>
          <t>Equity prices</t>
        </is>
      </c>
      <c r="B61" s="9" t="inlineStr">
        <is>
          <t>FTSE 350 - Energy</t>
        </is>
      </c>
      <c r="C61" s="9" t="inlineStr">
        <is>
          <t>% (compounded)</t>
        </is>
      </c>
      <c r="D61" s="9" t="inlineStr">
        <is>
          <t>Equity index / industry factor</t>
        </is>
      </c>
      <c r="E61" s="9" t="inlineStr">
        <is>
          <t>APT factor</t>
        </is>
      </c>
      <c r="F61" s="12" t="n">
        <v>0.14</v>
      </c>
      <c r="G61" s="12" t="n">
        <v>0.05</v>
      </c>
      <c r="H61" s="12" t="n">
        <v>0.02</v>
      </c>
      <c r="I61" s="12" t="n">
        <v>0.02</v>
      </c>
      <c r="J61" s="12" t="n">
        <v>0.05</v>
      </c>
      <c r="K61" s="12">
        <f>F61</f>
        <v/>
      </c>
      <c r="L61" s="13">
        <f>(1+K61)*(1+G61)-1</f>
        <v/>
      </c>
      <c r="M61" s="12">
        <f>(1+L61)*(1+H61)-1</f>
        <v/>
      </c>
      <c r="N61" s="12">
        <f>(1+M61)*(1+I61)-1</f>
        <v/>
      </c>
      <c r="O61" s="12">
        <f>(1+N61)*(1+J61)-1</f>
        <v/>
      </c>
    </row>
    <row r="62">
      <c r="A62" s="8" t="inlineStr">
        <is>
          <t>Equity prices</t>
        </is>
      </c>
      <c r="B62" s="9" t="inlineStr">
        <is>
          <t>FTSE 350 - Financial Services</t>
        </is>
      </c>
      <c r="C62" s="9" t="inlineStr">
        <is>
          <t>% (compounded)</t>
        </is>
      </c>
      <c r="D62" s="9" t="inlineStr">
        <is>
          <t>Equity index / industry factor</t>
        </is>
      </c>
      <c r="E62" s="9" t="inlineStr">
        <is>
          <t>APT factor</t>
        </is>
      </c>
      <c r="F62" s="12" t="n">
        <v>-0.41</v>
      </c>
      <c r="G62" s="12" t="n">
        <v>-0.15</v>
      </c>
      <c r="H62" s="12" t="n">
        <v>0.18</v>
      </c>
      <c r="I62" s="12" t="n">
        <v>0.14</v>
      </c>
      <c r="J62" s="12" t="n">
        <v>0.15</v>
      </c>
      <c r="K62" s="12">
        <f>F62</f>
        <v/>
      </c>
      <c r="L62" s="13">
        <f>(1+K62)*(1+G62)-1</f>
        <v/>
      </c>
      <c r="M62" s="12">
        <f>(1+L62)*(1+H62)-1</f>
        <v/>
      </c>
      <c r="N62" s="12">
        <f>(1+M62)*(1+I62)-1</f>
        <v/>
      </c>
      <c r="O62" s="12">
        <f>(1+N62)*(1+J62)-1</f>
        <v/>
      </c>
    </row>
    <row r="63">
      <c r="A63" s="8" t="inlineStr">
        <is>
          <t>Equity prices</t>
        </is>
      </c>
      <c r="B63" s="9" t="inlineStr">
        <is>
          <t>FTSE 350 - Health Care</t>
        </is>
      </c>
      <c r="C63" s="9" t="inlineStr">
        <is>
          <t>% (compounded)</t>
        </is>
      </c>
      <c r="D63" s="9" t="inlineStr">
        <is>
          <t>Equity index / industry factor</t>
        </is>
      </c>
      <c r="E63" s="9" t="inlineStr">
        <is>
          <t>APT factor</t>
        </is>
      </c>
      <c r="F63" s="12" t="n">
        <v>-0.3</v>
      </c>
      <c r="G63" s="12" t="n">
        <v>-0.07000000000000001</v>
      </c>
      <c r="H63" s="12" t="n">
        <v>0.11</v>
      </c>
      <c r="I63" s="12" t="n">
        <v>0.1</v>
      </c>
      <c r="J63" s="12" t="n">
        <v>0.13</v>
      </c>
      <c r="K63" s="12">
        <f>F63</f>
        <v/>
      </c>
      <c r="L63" s="13">
        <f>(1+K63)*(1+G63)-1</f>
        <v/>
      </c>
      <c r="M63" s="12">
        <f>(1+L63)*(1+H63)-1</f>
        <v/>
      </c>
      <c r="N63" s="12">
        <f>(1+M63)*(1+I63)-1</f>
        <v/>
      </c>
      <c r="O63" s="12">
        <f>(1+N63)*(1+J63)-1</f>
        <v/>
      </c>
    </row>
    <row r="64">
      <c r="A64" s="8" t="inlineStr">
        <is>
          <t>Equity prices</t>
        </is>
      </c>
      <c r="B64" s="9" t="inlineStr">
        <is>
          <t>FTSE 350 - Industrial</t>
        </is>
      </c>
      <c r="C64" s="9" t="inlineStr">
        <is>
          <t>% (compounded)</t>
        </is>
      </c>
      <c r="D64" s="9" t="inlineStr">
        <is>
          <t>Equity index / industry factor</t>
        </is>
      </c>
      <c r="E64" s="9" t="inlineStr">
        <is>
          <t>APT factor</t>
        </is>
      </c>
      <c r="F64" s="12" t="n">
        <v>-0.41</v>
      </c>
      <c r="G64" s="12" t="n">
        <v>-0.15</v>
      </c>
      <c r="H64" s="12" t="n">
        <v>0.26</v>
      </c>
      <c r="I64" s="12" t="n">
        <v>0.19</v>
      </c>
      <c r="J64" s="12" t="n">
        <v>0.2</v>
      </c>
      <c r="K64" s="12">
        <f>F64</f>
        <v/>
      </c>
      <c r="L64" s="13">
        <f>(1+K64)*(1+G64)-1</f>
        <v/>
      </c>
      <c r="M64" s="12">
        <f>(1+L64)*(1+H64)-1</f>
        <v/>
      </c>
      <c r="N64" s="12">
        <f>(1+M64)*(1+I64)-1</f>
        <v/>
      </c>
      <c r="O64" s="12">
        <f>(1+N64)*(1+J64)-1</f>
        <v/>
      </c>
    </row>
    <row r="65">
      <c r="A65" s="8" t="inlineStr">
        <is>
          <t>Equity prices</t>
        </is>
      </c>
      <c r="B65" s="9" t="inlineStr">
        <is>
          <t>FTSE 350 - Materials</t>
        </is>
      </c>
      <c r="C65" s="9" t="inlineStr">
        <is>
          <t>% (compounded)</t>
        </is>
      </c>
      <c r="D65" s="9" t="inlineStr">
        <is>
          <t>Equity index / industry factor</t>
        </is>
      </c>
      <c r="E65" s="9" t="inlineStr">
        <is>
          <t>APT factor</t>
        </is>
      </c>
      <c r="F65" s="12" t="n">
        <v>-0.33</v>
      </c>
      <c r="G65" s="12" t="n">
        <v>-0.03</v>
      </c>
      <c r="H65" s="12" t="n">
        <v>0.08</v>
      </c>
      <c r="I65" s="12" t="n">
        <v>0.11</v>
      </c>
      <c r="J65" s="12" t="n">
        <v>0.13</v>
      </c>
      <c r="K65" s="12">
        <f>F65</f>
        <v/>
      </c>
      <c r="L65" s="13">
        <f>(1+K65)*(1+G65)-1</f>
        <v/>
      </c>
      <c r="M65" s="12">
        <f>(1+L65)*(1+H65)-1</f>
        <v/>
      </c>
      <c r="N65" s="12">
        <f>(1+M65)*(1+I65)-1</f>
        <v/>
      </c>
      <c r="O65" s="12">
        <f>(1+N65)*(1+J65)-1</f>
        <v/>
      </c>
    </row>
    <row r="66">
      <c r="A66" s="8" t="inlineStr">
        <is>
          <t>Equity prices</t>
        </is>
      </c>
      <c r="B66" s="9" t="inlineStr">
        <is>
          <t>FTSE 350 - Real Estate</t>
        </is>
      </c>
      <c r="C66" s="9" t="inlineStr">
        <is>
          <t>% (compounded)</t>
        </is>
      </c>
      <c r="D66" s="9" t="inlineStr">
        <is>
          <t>Equity index / industry factor</t>
        </is>
      </c>
      <c r="E66" s="9" t="inlineStr">
        <is>
          <t>APT factor</t>
        </is>
      </c>
      <c r="F66" s="12" t="n">
        <v>-0.44</v>
      </c>
      <c r="G66" s="12" t="n">
        <v>-0.11</v>
      </c>
      <c r="H66" s="12" t="n">
        <v>0.22</v>
      </c>
      <c r="I66" s="12" t="n">
        <v>0.21</v>
      </c>
      <c r="J66" s="12" t="n">
        <v>0.22</v>
      </c>
      <c r="K66" s="12">
        <f>F66</f>
        <v/>
      </c>
      <c r="L66" s="13">
        <f>(1+K66)*(1+G66)-1</f>
        <v/>
      </c>
      <c r="M66" s="12">
        <f>(1+L66)*(1+H66)-1</f>
        <v/>
      </c>
      <c r="N66" s="12">
        <f>(1+M66)*(1+I66)-1</f>
        <v/>
      </c>
      <c r="O66" s="12">
        <f>(1+N66)*(1+J66)-1</f>
        <v/>
      </c>
    </row>
    <row r="67">
      <c r="A67" s="8" t="inlineStr">
        <is>
          <t>Equity prices</t>
        </is>
      </c>
      <c r="B67" s="9" t="inlineStr">
        <is>
          <t>FTSE 350 - Technology</t>
        </is>
      </c>
      <c r="C67" s="9" t="inlineStr">
        <is>
          <t>% (compounded)</t>
        </is>
      </c>
      <c r="D67" s="9" t="inlineStr">
        <is>
          <t>Equity index / industry factor</t>
        </is>
      </c>
      <c r="E67" s="9" t="inlineStr">
        <is>
          <t>APT factor</t>
        </is>
      </c>
      <c r="F67" s="12" t="n">
        <v>-0.44</v>
      </c>
      <c r="G67" s="12" t="n">
        <v>-0.11</v>
      </c>
      <c r="H67" s="12" t="n">
        <v>0.12</v>
      </c>
      <c r="I67" s="12" t="n">
        <v>0.16</v>
      </c>
      <c r="J67" s="12" t="n">
        <v>0.15</v>
      </c>
      <c r="K67" s="12">
        <f>F67</f>
        <v/>
      </c>
      <c r="L67" s="13">
        <f>(1+K67)*(1+G67)-1</f>
        <v/>
      </c>
      <c r="M67" s="12">
        <f>(1+L67)*(1+H67)-1</f>
        <v/>
      </c>
      <c r="N67" s="12">
        <f>(1+M67)*(1+I67)-1</f>
        <v/>
      </c>
      <c r="O67" s="12">
        <f>(1+N67)*(1+J67)-1</f>
        <v/>
      </c>
    </row>
    <row r="68">
      <c r="A68" s="8" t="inlineStr">
        <is>
          <t>Equity prices</t>
        </is>
      </c>
      <c r="B68" s="9" t="inlineStr">
        <is>
          <t>FTSE 350 - Telecom</t>
        </is>
      </c>
      <c r="C68" s="9" t="inlineStr">
        <is>
          <t>% (compounded)</t>
        </is>
      </c>
      <c r="D68" s="9" t="inlineStr">
        <is>
          <t>Equity index / industry factor</t>
        </is>
      </c>
      <c r="E68" s="9" t="inlineStr">
        <is>
          <t>APT factor</t>
        </is>
      </c>
      <c r="F68" s="12" t="n">
        <v>-0.31</v>
      </c>
      <c r="G68" s="12" t="n">
        <v>-0.06</v>
      </c>
      <c r="H68" s="12" t="n">
        <v>0.11</v>
      </c>
      <c r="I68" s="12" t="n">
        <v>0.1</v>
      </c>
      <c r="J68" s="12" t="n">
        <v>0.11</v>
      </c>
      <c r="K68" s="12">
        <f>F68</f>
        <v/>
      </c>
      <c r="L68" s="13">
        <f>(1+K68)*(1+G68)-1</f>
        <v/>
      </c>
      <c r="M68" s="12">
        <f>(1+L68)*(1+H68)-1</f>
        <v/>
      </c>
      <c r="N68" s="12">
        <f>(1+M68)*(1+I68)-1</f>
        <v/>
      </c>
      <c r="O68" s="12">
        <f>(1+N68)*(1+J68)-1</f>
        <v/>
      </c>
    </row>
    <row r="69">
      <c r="A69" s="8" t="inlineStr">
        <is>
          <t>Equity prices</t>
        </is>
      </c>
      <c r="B69" s="9" t="inlineStr">
        <is>
          <t>FTSE 350 - Utilities</t>
        </is>
      </c>
      <c r="C69" s="9" t="inlineStr">
        <is>
          <t>% (compounded)</t>
        </is>
      </c>
      <c r="D69" s="9" t="inlineStr">
        <is>
          <t>Equity index / industry factor</t>
        </is>
      </c>
      <c r="E69" s="9" t="inlineStr">
        <is>
          <t>APT factor</t>
        </is>
      </c>
      <c r="F69" s="12" t="n">
        <v>0.03</v>
      </c>
      <c r="G69" s="12" t="n">
        <v>0.02</v>
      </c>
      <c r="H69" s="12" t="n">
        <v>0.04</v>
      </c>
      <c r="I69" s="12" t="n">
        <v>0.03</v>
      </c>
      <c r="J69" s="12" t="n">
        <v>0.04</v>
      </c>
      <c r="K69" s="12">
        <f>F69</f>
        <v/>
      </c>
      <c r="L69" s="13">
        <f>(1+K69)*(1+G69)-1</f>
        <v/>
      </c>
      <c r="M69" s="12">
        <f>(1+L69)*(1+H69)-1</f>
        <v/>
      </c>
      <c r="N69" s="12">
        <f>(1+M69)*(1+I69)-1</f>
        <v/>
      </c>
      <c r="O69" s="12">
        <f>(1+N69)*(1+J69)-1</f>
        <v/>
      </c>
    </row>
    <row r="70">
      <c r="A70" s="8" t="inlineStr">
        <is>
          <t>Equity prices</t>
        </is>
      </c>
      <c r="B70" s="9" t="inlineStr">
        <is>
          <t>S&amp;P 500</t>
        </is>
      </c>
      <c r="C70" s="9" t="inlineStr">
        <is>
          <t>% (compounded)</t>
        </is>
      </c>
      <c r="D70" s="9" t="inlineStr">
        <is>
          <t>Equity index / industry factor</t>
        </is>
      </c>
      <c r="E70" s="9" t="inlineStr">
        <is>
          <t>APT factor</t>
        </is>
      </c>
      <c r="F70" s="12" t="n">
        <v>-0.36</v>
      </c>
      <c r="G70" s="12" t="n">
        <v>-0.06</v>
      </c>
      <c r="H70" s="12" t="n">
        <v>0.12</v>
      </c>
      <c r="I70" s="12" t="n">
        <v>0.12</v>
      </c>
      <c r="J70" s="12" t="n">
        <v>0.13</v>
      </c>
      <c r="K70" s="12">
        <f>F70</f>
        <v/>
      </c>
      <c r="L70" s="13">
        <f>(1+K70)*(1+G70)-1</f>
        <v/>
      </c>
      <c r="M70" s="12">
        <f>(1+L70)*(1+H70)-1</f>
        <v/>
      </c>
      <c r="N70" s="12">
        <f>(1+M70)*(1+I70)-1</f>
        <v/>
      </c>
      <c r="O70" s="12">
        <f>(1+N70)*(1+J70)-1</f>
        <v/>
      </c>
    </row>
    <row r="71">
      <c r="A71" s="8" t="inlineStr">
        <is>
          <t>Equity prices</t>
        </is>
      </c>
      <c r="B71" s="9" t="inlineStr">
        <is>
          <t>S&amp;P 500 - Consumer Discretionary</t>
        </is>
      </c>
      <c r="C71" s="9" t="inlineStr">
        <is>
          <t>% (compounded)</t>
        </is>
      </c>
      <c r="D71" s="9" t="inlineStr">
        <is>
          <t>Equity index / industry factor</t>
        </is>
      </c>
      <c r="E71" s="9" t="inlineStr">
        <is>
          <t>APT factor</t>
        </is>
      </c>
      <c r="F71" s="12" t="n">
        <v>-0.42</v>
      </c>
      <c r="G71" s="12" t="n">
        <v>-0.05</v>
      </c>
      <c r="H71" s="12" t="n">
        <v>0.18</v>
      </c>
      <c r="I71" s="12" t="n">
        <v>0.18</v>
      </c>
      <c r="J71" s="12" t="n">
        <v>0.19</v>
      </c>
      <c r="K71" s="12">
        <f>F71</f>
        <v/>
      </c>
      <c r="L71" s="13">
        <f>(1+K71)*(1+G71)-1</f>
        <v/>
      </c>
      <c r="M71" s="12">
        <f>(1+L71)*(1+H71)-1</f>
        <v/>
      </c>
      <c r="N71" s="12">
        <f>(1+M71)*(1+I71)-1</f>
        <v/>
      </c>
      <c r="O71" s="12">
        <f>(1+N71)*(1+J71)-1</f>
        <v/>
      </c>
    </row>
    <row r="72">
      <c r="A72" s="8" t="inlineStr">
        <is>
          <t>Equity prices</t>
        </is>
      </c>
      <c r="B72" s="9" t="inlineStr">
        <is>
          <t>S&amp;P 500 - Consumer Staples</t>
        </is>
      </c>
      <c r="C72" s="9" t="inlineStr">
        <is>
          <t>% (compounded)</t>
        </is>
      </c>
      <c r="D72" s="9" t="inlineStr">
        <is>
          <t>Equity index / industry factor</t>
        </is>
      </c>
      <c r="E72" s="9" t="inlineStr">
        <is>
          <t>APT factor</t>
        </is>
      </c>
      <c r="F72" s="12" t="n">
        <v>-0.28</v>
      </c>
      <c r="G72" s="12" t="n">
        <v>-0.03</v>
      </c>
      <c r="H72" s="12" t="n">
        <v>0.06</v>
      </c>
      <c r="I72" s="12" t="n">
        <v>0.07000000000000001</v>
      </c>
      <c r="J72" s="12" t="n">
        <v>0.08</v>
      </c>
      <c r="K72" s="12">
        <f>F72</f>
        <v/>
      </c>
      <c r="L72" s="13">
        <f>(1+K72)*(1+G72)-1</f>
        <v/>
      </c>
      <c r="M72" s="12">
        <f>(1+L72)*(1+H72)-1</f>
        <v/>
      </c>
      <c r="N72" s="12">
        <f>(1+M72)*(1+I72)-1</f>
        <v/>
      </c>
      <c r="O72" s="12">
        <f>(1+N72)*(1+J72)-1</f>
        <v/>
      </c>
    </row>
    <row r="73">
      <c r="A73" s="8" t="inlineStr">
        <is>
          <t>Equity prices</t>
        </is>
      </c>
      <c r="B73" s="9" t="inlineStr">
        <is>
          <t>S&amp;P 500 - Energy</t>
        </is>
      </c>
      <c r="C73" s="9" t="inlineStr">
        <is>
          <t>% (compounded)</t>
        </is>
      </c>
      <c r="D73" s="9" t="inlineStr">
        <is>
          <t>Equity index / industry factor</t>
        </is>
      </c>
      <c r="E73" s="9" t="inlineStr">
        <is>
          <t>APT factor</t>
        </is>
      </c>
      <c r="F73" s="12" t="n">
        <v>0.3</v>
      </c>
      <c r="G73" s="12" t="n">
        <v>0.12</v>
      </c>
      <c r="H73" s="12" t="n">
        <v>0</v>
      </c>
      <c r="I73" s="12" t="n">
        <v>0.01</v>
      </c>
      <c r="J73" s="12" t="n">
        <v>0.04</v>
      </c>
      <c r="K73" s="12">
        <f>F73</f>
        <v/>
      </c>
      <c r="L73" s="13">
        <f>(1+K73)*(1+G73)-1</f>
        <v/>
      </c>
      <c r="M73" s="12">
        <f>(1+L73)*(1+H73)-1</f>
        <v/>
      </c>
      <c r="N73" s="12">
        <f>(1+M73)*(1+I73)-1</f>
        <v/>
      </c>
      <c r="O73" s="12">
        <f>(1+N73)*(1+J73)-1</f>
        <v/>
      </c>
    </row>
    <row r="74">
      <c r="A74" s="8" t="inlineStr">
        <is>
          <t>Equity prices</t>
        </is>
      </c>
      <c r="B74" s="9" t="inlineStr">
        <is>
          <t>S&amp;P 500 - Financial Services</t>
        </is>
      </c>
      <c r="C74" s="9" t="inlineStr">
        <is>
          <t>% (compounded)</t>
        </is>
      </c>
      <c r="D74" s="9" t="inlineStr">
        <is>
          <t>Equity index / industry factor</t>
        </is>
      </c>
      <c r="E74" s="9" t="inlineStr">
        <is>
          <t>APT factor</t>
        </is>
      </c>
      <c r="F74" s="12" t="n">
        <v>-0.44</v>
      </c>
      <c r="G74" s="12" t="n">
        <v>-0.11</v>
      </c>
      <c r="H74" s="12" t="n">
        <v>0.16</v>
      </c>
      <c r="I74" s="12" t="n">
        <v>0.14</v>
      </c>
      <c r="J74" s="12" t="n">
        <v>0.17</v>
      </c>
      <c r="K74" s="12">
        <f>F74</f>
        <v/>
      </c>
      <c r="L74" s="13">
        <f>(1+K74)*(1+G74)-1</f>
        <v/>
      </c>
      <c r="M74" s="12">
        <f>(1+L74)*(1+H74)-1</f>
        <v/>
      </c>
      <c r="N74" s="12">
        <f>(1+M74)*(1+I74)-1</f>
        <v/>
      </c>
      <c r="O74" s="12">
        <f>(1+N74)*(1+J74)-1</f>
        <v/>
      </c>
    </row>
    <row r="75">
      <c r="A75" s="8" t="inlineStr">
        <is>
          <t>Equity prices</t>
        </is>
      </c>
      <c r="B75" s="9" t="inlineStr">
        <is>
          <t>S&amp;P 500 - Health Care</t>
        </is>
      </c>
      <c r="C75" s="9" t="inlineStr">
        <is>
          <t>% (compounded)</t>
        </is>
      </c>
      <c r="D75" s="9" t="inlineStr">
        <is>
          <t>Equity index / industry factor</t>
        </is>
      </c>
      <c r="E75" s="9" t="inlineStr">
        <is>
          <t>APT factor</t>
        </is>
      </c>
      <c r="F75" s="12" t="n">
        <v>-0.28</v>
      </c>
      <c r="G75" s="12" t="n">
        <v>-0.03</v>
      </c>
      <c r="H75" s="12" t="n">
        <v>0.06</v>
      </c>
      <c r="I75" s="12" t="n">
        <v>0.07000000000000001</v>
      </c>
      <c r="J75" s="12" t="n">
        <v>0.08</v>
      </c>
      <c r="K75" s="12">
        <f>F75</f>
        <v/>
      </c>
      <c r="L75" s="13">
        <f>(1+K75)*(1+G75)-1</f>
        <v/>
      </c>
      <c r="M75" s="12">
        <f>(1+L75)*(1+H75)-1</f>
        <v/>
      </c>
      <c r="N75" s="12">
        <f>(1+M75)*(1+I75)-1</f>
        <v/>
      </c>
      <c r="O75" s="12">
        <f>(1+N75)*(1+J75)-1</f>
        <v/>
      </c>
    </row>
    <row r="76">
      <c r="A76" s="8" t="inlineStr">
        <is>
          <t>Equity prices</t>
        </is>
      </c>
      <c r="B76" s="9" t="inlineStr">
        <is>
          <t>S&amp;P 500 - Industrial</t>
        </is>
      </c>
      <c r="C76" s="9" t="inlineStr">
        <is>
          <t>% (compounded)</t>
        </is>
      </c>
      <c r="D76" s="9" t="inlineStr">
        <is>
          <t>Equity index / industry factor</t>
        </is>
      </c>
      <c r="E76" s="9" t="inlineStr">
        <is>
          <t>APT factor</t>
        </is>
      </c>
      <c r="F76" s="12" t="n">
        <v>-0.36</v>
      </c>
      <c r="G76" s="12" t="n">
        <v>-0.06</v>
      </c>
      <c r="H76" s="12" t="n">
        <v>0.15</v>
      </c>
      <c r="I76" s="12" t="n">
        <v>0.16</v>
      </c>
      <c r="J76" s="12" t="n">
        <v>0.16</v>
      </c>
      <c r="K76" s="12">
        <f>F76</f>
        <v/>
      </c>
      <c r="L76" s="13">
        <f>(1+K76)*(1+G76)-1</f>
        <v/>
      </c>
      <c r="M76" s="12">
        <f>(1+L76)*(1+H76)-1</f>
        <v/>
      </c>
      <c r="N76" s="12">
        <f>(1+M76)*(1+I76)-1</f>
        <v/>
      </c>
      <c r="O76" s="12">
        <f>(1+N76)*(1+J76)-1</f>
        <v/>
      </c>
    </row>
    <row r="77">
      <c r="A77" s="8" t="inlineStr">
        <is>
          <t>Equity prices</t>
        </is>
      </c>
      <c r="B77" s="9" t="inlineStr">
        <is>
          <t>S&amp;P 500 - Materials</t>
        </is>
      </c>
      <c r="C77" s="9" t="inlineStr">
        <is>
          <t>% (compounded)</t>
        </is>
      </c>
      <c r="D77" s="9" t="inlineStr">
        <is>
          <t>Equity index / industry factor</t>
        </is>
      </c>
      <c r="E77" s="9" t="inlineStr">
        <is>
          <t>APT factor</t>
        </is>
      </c>
      <c r="F77" s="12" t="n">
        <v>-0.3</v>
      </c>
      <c r="G77" s="12" t="n">
        <v>0</v>
      </c>
      <c r="H77" s="12" t="n">
        <v>0.03</v>
      </c>
      <c r="I77" s="12" t="n">
        <v>0.07000000000000001</v>
      </c>
      <c r="J77" s="12" t="n">
        <v>0.09</v>
      </c>
      <c r="K77" s="12">
        <f>F77</f>
        <v/>
      </c>
      <c r="L77" s="13">
        <f>(1+K77)*(1+G77)-1</f>
        <v/>
      </c>
      <c r="M77" s="12">
        <f>(1+L77)*(1+H77)-1</f>
        <v/>
      </c>
      <c r="N77" s="12">
        <f>(1+M77)*(1+I77)-1</f>
        <v/>
      </c>
      <c r="O77" s="12">
        <f>(1+N77)*(1+J77)-1</f>
        <v/>
      </c>
    </row>
    <row r="78">
      <c r="A78" s="8" t="inlineStr">
        <is>
          <t>Equity prices</t>
        </is>
      </c>
      <c r="B78" s="9" t="inlineStr">
        <is>
          <t>S&amp;P 500 - Real Estate</t>
        </is>
      </c>
      <c r="C78" s="9" t="inlineStr">
        <is>
          <t>% (compounded)</t>
        </is>
      </c>
      <c r="D78" s="9" t="inlineStr">
        <is>
          <t>Equity index / industry factor</t>
        </is>
      </c>
      <c r="E78" s="9" t="inlineStr">
        <is>
          <t>APT factor</t>
        </is>
      </c>
      <c r="F78" s="12" t="n">
        <v>-0.42</v>
      </c>
      <c r="G78" s="12" t="n">
        <v>-0.05</v>
      </c>
      <c r="H78" s="12" t="n">
        <v>0.18</v>
      </c>
      <c r="I78" s="12" t="n">
        <v>0.18</v>
      </c>
      <c r="J78" s="12" t="n">
        <v>0.19</v>
      </c>
      <c r="K78" s="12">
        <f>F78</f>
        <v/>
      </c>
      <c r="L78" s="13">
        <f>(1+K78)*(1+G78)-1</f>
        <v/>
      </c>
      <c r="M78" s="12">
        <f>(1+L78)*(1+H78)-1</f>
        <v/>
      </c>
      <c r="N78" s="12">
        <f>(1+M78)*(1+I78)-1</f>
        <v/>
      </c>
      <c r="O78" s="12">
        <f>(1+N78)*(1+J78)-1</f>
        <v/>
      </c>
    </row>
    <row r="79">
      <c r="A79" s="8" t="inlineStr">
        <is>
          <t>Equity prices</t>
        </is>
      </c>
      <c r="B79" s="9" t="inlineStr">
        <is>
          <t>S&amp;P 500 - Technology</t>
        </is>
      </c>
      <c r="C79" s="9" t="inlineStr">
        <is>
          <t>% (compounded)</t>
        </is>
      </c>
      <c r="D79" s="9" t="inlineStr">
        <is>
          <t>Equity index / industry factor</t>
        </is>
      </c>
      <c r="E79" s="9" t="inlineStr">
        <is>
          <t>APT factor</t>
        </is>
      </c>
      <c r="F79" s="12" t="n">
        <v>-0.43</v>
      </c>
      <c r="G79" s="12" t="n">
        <v>-0.12</v>
      </c>
      <c r="H79" s="12" t="n">
        <v>0.16</v>
      </c>
      <c r="I79" s="12" t="n">
        <v>0.16</v>
      </c>
      <c r="J79" s="12" t="n">
        <v>0.15</v>
      </c>
      <c r="K79" s="12">
        <f>F79</f>
        <v/>
      </c>
      <c r="L79" s="13">
        <f>(1+K79)*(1+G79)-1</f>
        <v/>
      </c>
      <c r="M79" s="12">
        <f>(1+L79)*(1+H79)-1</f>
        <v/>
      </c>
      <c r="N79" s="12">
        <f>(1+M79)*(1+I79)-1</f>
        <v/>
      </c>
      <c r="O79" s="12">
        <f>(1+N79)*(1+J79)-1</f>
        <v/>
      </c>
    </row>
    <row r="80">
      <c r="A80" s="8" t="inlineStr">
        <is>
          <t>Equity prices</t>
        </is>
      </c>
      <c r="B80" s="9" t="inlineStr">
        <is>
          <t>S&amp;P 500 - Telecom</t>
        </is>
      </c>
      <c r="C80" s="9" t="inlineStr">
        <is>
          <t>% (compounded)</t>
        </is>
      </c>
      <c r="D80" s="9" t="inlineStr">
        <is>
          <t>Equity index / industry factor</t>
        </is>
      </c>
      <c r="E80" s="9" t="inlineStr">
        <is>
          <t>APT factor</t>
        </is>
      </c>
      <c r="F80" s="12" t="n">
        <v>-0.35</v>
      </c>
      <c r="G80" s="12" t="n">
        <v>-0.08</v>
      </c>
      <c r="H80" s="12" t="n">
        <v>0.12</v>
      </c>
      <c r="I80" s="12" t="n">
        <v>0.09</v>
      </c>
      <c r="J80" s="12" t="n">
        <v>0.12</v>
      </c>
      <c r="K80" s="12">
        <f>F80</f>
        <v/>
      </c>
      <c r="L80" s="13">
        <f>(1+K80)*(1+G80)-1</f>
        <v/>
      </c>
      <c r="M80" s="12">
        <f>(1+L80)*(1+H80)-1</f>
        <v/>
      </c>
      <c r="N80" s="12">
        <f>(1+M80)*(1+I80)-1</f>
        <v/>
      </c>
      <c r="O80" s="12">
        <f>(1+N80)*(1+J80)-1</f>
        <v/>
      </c>
    </row>
    <row r="81">
      <c r="A81" s="8" t="inlineStr">
        <is>
          <t>Equity prices</t>
        </is>
      </c>
      <c r="B81" s="9" t="inlineStr">
        <is>
          <t>S&amp;P 500 - Utilities</t>
        </is>
      </c>
      <c r="C81" s="9" t="inlineStr">
        <is>
          <t>% (compounded)</t>
        </is>
      </c>
      <c r="D81" s="9" t="inlineStr">
        <is>
          <t>Equity index / industry factor</t>
        </is>
      </c>
      <c r="E81" s="9" t="inlineStr">
        <is>
          <t>APT factor</t>
        </is>
      </c>
      <c r="F81" s="12" t="n">
        <v>0.01</v>
      </c>
      <c r="G81" s="12" t="n">
        <v>0.04</v>
      </c>
      <c r="H81" s="12" t="n">
        <v>0.02</v>
      </c>
      <c r="I81" s="12" t="n">
        <v>0.02</v>
      </c>
      <c r="J81" s="12" t="n">
        <v>0.04</v>
      </c>
      <c r="K81" s="12">
        <f>F81</f>
        <v/>
      </c>
      <c r="L81" s="13">
        <f>(1+K81)*(1+G81)-1</f>
        <v/>
      </c>
      <c r="M81" s="12">
        <f>(1+L81)*(1+H81)-1</f>
        <v/>
      </c>
      <c r="N81" s="12">
        <f>(1+M81)*(1+I81)-1</f>
        <v/>
      </c>
      <c r="O81" s="12">
        <f>(1+N81)*(1+J81)-1</f>
        <v/>
      </c>
    </row>
    <row r="82">
      <c r="A82" s="4" t="inlineStr">
        <is>
          <t>Equity multiples</t>
        </is>
      </c>
      <c r="B82" s="5" t="inlineStr">
        <is>
          <t>UK EV/EBITDA - Aggregate</t>
        </is>
      </c>
      <c r="C82" s="5" t="inlineStr">
        <is>
          <t>% (compounded)</t>
        </is>
      </c>
      <c r="D82" s="5" t="inlineStr">
        <is>
          <t>n/a — valuation multiple</t>
        </is>
      </c>
      <c r="E82" s="5" t="inlineStr">
        <is>
          <t>Engine 2 input (LTV / equity cushion)</t>
        </is>
      </c>
      <c r="F82" s="6" t="n">
        <v>-0.26</v>
      </c>
      <c r="G82" s="6" t="n">
        <v>0.04</v>
      </c>
      <c r="H82" s="6" t="n">
        <v>0.04</v>
      </c>
      <c r="I82" s="6" t="n">
        <v>0.03</v>
      </c>
      <c r="J82" s="6" t="n">
        <v>0.03</v>
      </c>
      <c r="K82" s="6">
        <f>F82</f>
        <v/>
      </c>
      <c r="L82" s="7">
        <f>(1+K82)*(1+G82)-1</f>
        <v/>
      </c>
      <c r="M82" s="6">
        <f>(1+L82)*(1+H82)-1</f>
        <v/>
      </c>
      <c r="N82" s="6">
        <f>(1+M82)*(1+I82)-1</f>
        <v/>
      </c>
      <c r="O82" s="6">
        <f>(1+N82)*(1+J82)-1</f>
        <v/>
      </c>
    </row>
    <row r="83">
      <c r="A83" s="4" t="inlineStr">
        <is>
          <t>Equity multiples</t>
        </is>
      </c>
      <c r="B83" s="5" t="inlineStr">
        <is>
          <t>UK EV/EBITDA - Consumer Discretionary</t>
        </is>
      </c>
      <c r="C83" s="5" t="inlineStr">
        <is>
          <t>% (compounded)</t>
        </is>
      </c>
      <c r="D83" s="5" t="inlineStr">
        <is>
          <t>n/a — valuation multiple</t>
        </is>
      </c>
      <c r="E83" s="5" t="inlineStr">
        <is>
          <t>Engine 2 input (LTV / equity cushion)</t>
        </is>
      </c>
      <c r="F83" s="6" t="n">
        <v>-0.25</v>
      </c>
      <c r="G83" s="6" t="n">
        <v>0.03</v>
      </c>
      <c r="H83" s="6" t="n">
        <v>0.03</v>
      </c>
      <c r="I83" s="6" t="n">
        <v>0.03</v>
      </c>
      <c r="J83" s="6" t="n">
        <v>0.03</v>
      </c>
      <c r="K83" s="6">
        <f>F83</f>
        <v/>
      </c>
      <c r="L83" s="7">
        <f>(1+K83)*(1+G83)-1</f>
        <v/>
      </c>
      <c r="M83" s="6">
        <f>(1+L83)*(1+H83)-1</f>
        <v/>
      </c>
      <c r="N83" s="6">
        <f>(1+M83)*(1+I83)-1</f>
        <v/>
      </c>
      <c r="O83" s="6">
        <f>(1+N83)*(1+J83)-1</f>
        <v/>
      </c>
    </row>
    <row r="84">
      <c r="A84" s="4" t="inlineStr">
        <is>
          <t>Equity multiples</t>
        </is>
      </c>
      <c r="B84" s="5" t="inlineStr">
        <is>
          <t>UK EV/EBITDA - Consumer Staples</t>
        </is>
      </c>
      <c r="C84" s="5" t="inlineStr">
        <is>
          <t>% (compounded)</t>
        </is>
      </c>
      <c r="D84" s="5" t="inlineStr">
        <is>
          <t>n/a — valuation multiple</t>
        </is>
      </c>
      <c r="E84" s="5" t="inlineStr">
        <is>
          <t>Engine 2 input (LTV / equity cushion)</t>
        </is>
      </c>
      <c r="F84" s="6" t="n">
        <v>-0.25</v>
      </c>
      <c r="G84" s="6" t="n">
        <v>0</v>
      </c>
      <c r="H84" s="6" t="n">
        <v>0.05</v>
      </c>
      <c r="I84" s="6" t="n">
        <v>0.05</v>
      </c>
      <c r="J84" s="6" t="n">
        <v>0.04</v>
      </c>
      <c r="K84" s="6">
        <f>F84</f>
        <v/>
      </c>
      <c r="L84" s="7">
        <f>(1+K84)*(1+G84)-1</f>
        <v/>
      </c>
      <c r="M84" s="6">
        <f>(1+L84)*(1+H84)-1</f>
        <v/>
      </c>
      <c r="N84" s="6">
        <f>(1+M84)*(1+I84)-1</f>
        <v/>
      </c>
      <c r="O84" s="6">
        <f>(1+N84)*(1+J84)-1</f>
        <v/>
      </c>
    </row>
    <row r="85">
      <c r="A85" s="4" t="inlineStr">
        <is>
          <t>Equity multiples</t>
        </is>
      </c>
      <c r="B85" s="5" t="inlineStr">
        <is>
          <t>UK EV/EBITDA - Energy</t>
        </is>
      </c>
      <c r="C85" s="5" t="inlineStr">
        <is>
          <t>% (compounded)</t>
        </is>
      </c>
      <c r="D85" s="5" t="inlineStr">
        <is>
          <t>n/a — valuation multiple</t>
        </is>
      </c>
      <c r="E85" s="5" t="inlineStr">
        <is>
          <t>Engine 2 input (LTV / equity cushion)</t>
        </is>
      </c>
      <c r="F85" s="6" t="n">
        <v>0</v>
      </c>
      <c r="G85" s="6" t="n">
        <v>0</v>
      </c>
      <c r="H85" s="6" t="n">
        <v>0.05</v>
      </c>
      <c r="I85" s="6" t="n">
        <v>0.05</v>
      </c>
      <c r="J85" s="6" t="n">
        <v>0.05</v>
      </c>
      <c r="K85" s="6">
        <f>F85</f>
        <v/>
      </c>
      <c r="L85" s="7">
        <f>(1+K85)*(1+G85)-1</f>
        <v/>
      </c>
      <c r="M85" s="6">
        <f>(1+L85)*(1+H85)-1</f>
        <v/>
      </c>
      <c r="N85" s="6">
        <f>(1+M85)*(1+I85)-1</f>
        <v/>
      </c>
      <c r="O85" s="6">
        <f>(1+N85)*(1+J85)-1</f>
        <v/>
      </c>
    </row>
    <row r="86">
      <c r="A86" s="4" t="inlineStr">
        <is>
          <t>Equity multiples</t>
        </is>
      </c>
      <c r="B86" s="5" t="inlineStr">
        <is>
          <t>UK EV/EBITDA - Financial Services</t>
        </is>
      </c>
      <c r="C86" s="5" t="inlineStr">
        <is>
          <t>% (compounded)</t>
        </is>
      </c>
      <c r="D86" s="5" t="inlineStr">
        <is>
          <t>n/a — valuation multiple</t>
        </is>
      </c>
      <c r="E86" s="5" t="inlineStr">
        <is>
          <t>Engine 2 input (LTV / equity cushion)</t>
        </is>
      </c>
      <c r="F86" s="6" t="n">
        <v>-0.32</v>
      </c>
      <c r="G86" s="6" t="n">
        <v>0</v>
      </c>
      <c r="H86" s="6" t="n">
        <v>0.08</v>
      </c>
      <c r="I86" s="6" t="n">
        <v>0.08</v>
      </c>
      <c r="J86" s="6" t="n">
        <v>0.07000000000000001</v>
      </c>
      <c r="K86" s="6">
        <f>F86</f>
        <v/>
      </c>
      <c r="L86" s="7">
        <f>(1+K86)*(1+G86)-1</f>
        <v/>
      </c>
      <c r="M86" s="6">
        <f>(1+L86)*(1+H86)-1</f>
        <v/>
      </c>
      <c r="N86" s="6">
        <f>(1+M86)*(1+I86)-1</f>
        <v/>
      </c>
      <c r="O86" s="6">
        <f>(1+N86)*(1+J86)-1</f>
        <v/>
      </c>
    </row>
    <row r="87">
      <c r="A87" s="4" t="inlineStr">
        <is>
          <t>Equity multiples</t>
        </is>
      </c>
      <c r="B87" s="5" t="inlineStr">
        <is>
          <t>UK EV/EBITDA - Health Care</t>
        </is>
      </c>
      <c r="C87" s="5" t="inlineStr">
        <is>
          <t>% (compounded)</t>
        </is>
      </c>
      <c r="D87" s="5" t="inlineStr">
        <is>
          <t>n/a — valuation multiple</t>
        </is>
      </c>
      <c r="E87" s="5" t="inlineStr">
        <is>
          <t>Engine 2 input (LTV / equity cushion)</t>
        </is>
      </c>
      <c r="F87" s="6" t="n">
        <v>-0.25</v>
      </c>
      <c r="G87" s="6" t="n">
        <v>0</v>
      </c>
      <c r="H87" s="6" t="n">
        <v>0.05</v>
      </c>
      <c r="I87" s="6" t="n">
        <v>0.05</v>
      </c>
      <c r="J87" s="6" t="n">
        <v>0.04</v>
      </c>
      <c r="K87" s="6">
        <f>F87</f>
        <v/>
      </c>
      <c r="L87" s="7">
        <f>(1+K87)*(1+G87)-1</f>
        <v/>
      </c>
      <c r="M87" s="6">
        <f>(1+L87)*(1+H87)-1</f>
        <v/>
      </c>
      <c r="N87" s="6">
        <f>(1+M87)*(1+I87)-1</f>
        <v/>
      </c>
      <c r="O87" s="6">
        <f>(1+N87)*(1+J87)-1</f>
        <v/>
      </c>
    </row>
    <row r="88">
      <c r="A88" s="4" t="inlineStr">
        <is>
          <t>Equity multiples</t>
        </is>
      </c>
      <c r="B88" s="5" t="inlineStr">
        <is>
          <t>UK EV/EBITDA - Industrial</t>
        </is>
      </c>
      <c r="C88" s="5" t="inlineStr">
        <is>
          <t>% (compounded)</t>
        </is>
      </c>
      <c r="D88" s="5" t="inlineStr">
        <is>
          <t>n/a — valuation multiple</t>
        </is>
      </c>
      <c r="E88" s="5" t="inlineStr">
        <is>
          <t>Engine 2 input (LTV / equity cushion)</t>
        </is>
      </c>
      <c r="F88" s="6" t="n">
        <v>-0.32</v>
      </c>
      <c r="G88" s="6" t="n">
        <v>0</v>
      </c>
      <c r="H88" s="6" t="n">
        <v>0.08</v>
      </c>
      <c r="I88" s="6" t="n">
        <v>0.07000000000000001</v>
      </c>
      <c r="J88" s="6" t="n">
        <v>0.07000000000000001</v>
      </c>
      <c r="K88" s="6">
        <f>F88</f>
        <v/>
      </c>
      <c r="L88" s="7">
        <f>(1+K88)*(1+G88)-1</f>
        <v/>
      </c>
      <c r="M88" s="6">
        <f>(1+L88)*(1+H88)-1</f>
        <v/>
      </c>
      <c r="N88" s="6">
        <f>(1+M88)*(1+I88)-1</f>
        <v/>
      </c>
      <c r="O88" s="6">
        <f>(1+N88)*(1+J88)-1</f>
        <v/>
      </c>
    </row>
    <row r="89">
      <c r="A89" s="4" t="inlineStr">
        <is>
          <t>Equity multiples</t>
        </is>
      </c>
      <c r="B89" s="5" t="inlineStr">
        <is>
          <t>UK EV/EBITDA - Materials</t>
        </is>
      </c>
      <c r="C89" s="5" t="inlineStr">
        <is>
          <t>% (compounded)</t>
        </is>
      </c>
      <c r="D89" s="5" t="inlineStr">
        <is>
          <t>n/a — valuation multiple</t>
        </is>
      </c>
      <c r="E89" s="5" t="inlineStr">
        <is>
          <t>Engine 2 input (LTV / equity cushion)</t>
        </is>
      </c>
      <c r="F89" s="6" t="n">
        <v>-0.28</v>
      </c>
      <c r="G89" s="6" t="n">
        <v>0.05</v>
      </c>
      <c r="H89" s="6" t="n">
        <v>0.04</v>
      </c>
      <c r="I89" s="6" t="n">
        <v>0.04</v>
      </c>
      <c r="J89" s="6" t="n">
        <v>0.04</v>
      </c>
      <c r="K89" s="6">
        <f>F89</f>
        <v/>
      </c>
      <c r="L89" s="7">
        <f>(1+K89)*(1+G89)-1</f>
        <v/>
      </c>
      <c r="M89" s="6">
        <f>(1+L89)*(1+H89)-1</f>
        <v/>
      </c>
      <c r="N89" s="6">
        <f>(1+M89)*(1+I89)-1</f>
        <v/>
      </c>
      <c r="O89" s="6">
        <f>(1+N89)*(1+J89)-1</f>
        <v/>
      </c>
    </row>
    <row r="90">
      <c r="A90" s="4" t="inlineStr">
        <is>
          <t>Equity multiples</t>
        </is>
      </c>
      <c r="B90" s="5" t="inlineStr">
        <is>
          <t>UK EV/EBITDA - Real Estate</t>
        </is>
      </c>
      <c r="C90" s="5" t="inlineStr">
        <is>
          <t>% (compounded)</t>
        </is>
      </c>
      <c r="D90" s="5" t="inlineStr">
        <is>
          <t>n/a — valuation multiple</t>
        </is>
      </c>
      <c r="E90" s="5" t="inlineStr">
        <is>
          <t>Engine 2 input (LTV / equity cushion)</t>
        </is>
      </c>
      <c r="F90" s="6" t="n">
        <v>-0.36</v>
      </c>
      <c r="G90" s="6" t="n">
        <v>0.07000000000000001</v>
      </c>
      <c r="H90" s="6" t="n">
        <v>0.07000000000000001</v>
      </c>
      <c r="I90" s="6" t="n">
        <v>0.06</v>
      </c>
      <c r="J90" s="6" t="n">
        <v>0.06</v>
      </c>
      <c r="K90" s="6">
        <f>F90</f>
        <v/>
      </c>
      <c r="L90" s="7">
        <f>(1+K90)*(1+G90)-1</f>
        <v/>
      </c>
      <c r="M90" s="6">
        <f>(1+L90)*(1+H90)-1</f>
        <v/>
      </c>
      <c r="N90" s="6">
        <f>(1+M90)*(1+I90)-1</f>
        <v/>
      </c>
      <c r="O90" s="6">
        <f>(1+N90)*(1+J90)-1</f>
        <v/>
      </c>
    </row>
    <row r="91">
      <c r="A91" s="4" t="inlineStr">
        <is>
          <t>Equity multiples</t>
        </is>
      </c>
      <c r="B91" s="5" t="inlineStr">
        <is>
          <t>UK EV/EBITDA - Technology</t>
        </is>
      </c>
      <c r="C91" s="5" t="inlineStr">
        <is>
          <t>% (compounded)</t>
        </is>
      </c>
      <c r="D91" s="5" t="inlineStr">
        <is>
          <t>n/a — valuation multiple</t>
        </is>
      </c>
      <c r="E91" s="5" t="inlineStr">
        <is>
          <t>Engine 2 input (LTV / equity cushion)</t>
        </is>
      </c>
      <c r="F91" s="6" t="n">
        <v>-0.36</v>
      </c>
      <c r="G91" s="6" t="n">
        <v>0.07000000000000001</v>
      </c>
      <c r="H91" s="6" t="n">
        <v>0.07000000000000001</v>
      </c>
      <c r="I91" s="6" t="n">
        <v>0.06</v>
      </c>
      <c r="J91" s="6" t="n">
        <v>0.06</v>
      </c>
      <c r="K91" s="6">
        <f>F91</f>
        <v/>
      </c>
      <c r="L91" s="7">
        <f>(1+K91)*(1+G91)-1</f>
        <v/>
      </c>
      <c r="M91" s="6">
        <f>(1+L91)*(1+H91)-1</f>
        <v/>
      </c>
      <c r="N91" s="6">
        <f>(1+M91)*(1+I91)-1</f>
        <v/>
      </c>
      <c r="O91" s="6">
        <f>(1+N91)*(1+J91)-1</f>
        <v/>
      </c>
    </row>
    <row r="92">
      <c r="A92" s="4" t="inlineStr">
        <is>
          <t>Equity multiples</t>
        </is>
      </c>
      <c r="B92" s="5" t="inlineStr">
        <is>
          <t>UK EV/EBITDA - Telecom</t>
        </is>
      </c>
      <c r="C92" s="5" t="inlineStr">
        <is>
          <t>% (compounded)</t>
        </is>
      </c>
      <c r="D92" s="5" t="inlineStr">
        <is>
          <t>n/a — valuation multiple</t>
        </is>
      </c>
      <c r="E92" s="5" t="inlineStr">
        <is>
          <t>Engine 2 input (LTV / equity cushion)</t>
        </is>
      </c>
      <c r="F92" s="6" t="n">
        <v>-0.26</v>
      </c>
      <c r="G92" s="6" t="n">
        <v>0.04</v>
      </c>
      <c r="H92" s="6" t="n">
        <v>0.04</v>
      </c>
      <c r="I92" s="6" t="n">
        <v>0.03</v>
      </c>
      <c r="J92" s="6" t="n">
        <v>0.03</v>
      </c>
      <c r="K92" s="6">
        <f>F92</f>
        <v/>
      </c>
      <c r="L92" s="7">
        <f>(1+K92)*(1+G92)-1</f>
        <v/>
      </c>
      <c r="M92" s="6">
        <f>(1+L92)*(1+H92)-1</f>
        <v/>
      </c>
      <c r="N92" s="6">
        <f>(1+M92)*(1+I92)-1</f>
        <v/>
      </c>
      <c r="O92" s="6">
        <f>(1+N92)*(1+J92)-1</f>
        <v/>
      </c>
    </row>
    <row r="93">
      <c r="A93" s="4" t="inlineStr">
        <is>
          <t>Equity multiples</t>
        </is>
      </c>
      <c r="B93" s="5" t="inlineStr">
        <is>
          <t>UK EV/EBITDA -  Utilities</t>
        </is>
      </c>
      <c r="C93" s="5" t="inlineStr">
        <is>
          <t>% (compounded)</t>
        </is>
      </c>
      <c r="D93" s="5" t="inlineStr">
        <is>
          <t>n/a — valuation multiple</t>
        </is>
      </c>
      <c r="E93" s="5" t="inlineStr">
        <is>
          <t>Engine 2 input (LTV / equity cushion)</t>
        </is>
      </c>
      <c r="F93" s="6" t="n">
        <v>-0.01</v>
      </c>
      <c r="G93" s="6" t="n">
        <v>0</v>
      </c>
      <c r="H93" s="6" t="n">
        <v>0.05</v>
      </c>
      <c r="I93" s="6" t="n">
        <v>0.05</v>
      </c>
      <c r="J93" s="6" t="n">
        <v>0.04</v>
      </c>
      <c r="K93" s="6">
        <f>F93</f>
        <v/>
      </c>
      <c r="L93" s="7">
        <f>(1+K93)*(1+G93)-1</f>
        <v/>
      </c>
      <c r="M93" s="6">
        <f>(1+L93)*(1+H93)-1</f>
        <v/>
      </c>
      <c r="N93" s="6">
        <f>(1+M93)*(1+I93)-1</f>
        <v/>
      </c>
      <c r="O93" s="6">
        <f>(1+N93)*(1+J93)-1</f>
        <v/>
      </c>
    </row>
    <row r="94">
      <c r="A94" s="4" t="inlineStr">
        <is>
          <t>Equity multiples</t>
        </is>
      </c>
      <c r="B94" s="5" t="inlineStr">
        <is>
          <t>US EV/EBITDA - Aggregate</t>
        </is>
      </c>
      <c r="C94" s="5" t="inlineStr">
        <is>
          <t>% (compounded)</t>
        </is>
      </c>
      <c r="D94" s="5" t="inlineStr">
        <is>
          <t>n/a — valuation multiple</t>
        </is>
      </c>
      <c r="E94" s="5" t="inlineStr">
        <is>
          <t>Engine 2 input (LTV / equity cushion)</t>
        </is>
      </c>
      <c r="F94" s="6" t="n">
        <v>-0.32</v>
      </c>
      <c r="G94" s="6" t="n">
        <v>0.04</v>
      </c>
      <c r="H94" s="6" t="n">
        <v>0.04</v>
      </c>
      <c r="I94" s="6" t="n">
        <v>0.04</v>
      </c>
      <c r="J94" s="6" t="n">
        <v>0.04</v>
      </c>
      <c r="K94" s="6">
        <f>F94</f>
        <v/>
      </c>
      <c r="L94" s="7">
        <f>(1+K94)*(1+G94)-1</f>
        <v/>
      </c>
      <c r="M94" s="6">
        <f>(1+L94)*(1+H94)-1</f>
        <v/>
      </c>
      <c r="N94" s="6">
        <f>(1+M94)*(1+I94)-1</f>
        <v/>
      </c>
      <c r="O94" s="6">
        <f>(1+N94)*(1+J94)-1</f>
        <v/>
      </c>
    </row>
    <row r="95">
      <c r="A95" s="4" t="inlineStr">
        <is>
          <t>Equity multiples</t>
        </is>
      </c>
      <c r="B95" s="5" t="inlineStr">
        <is>
          <t>US EV/EBITDA - Consumer Discretionary</t>
        </is>
      </c>
      <c r="C95" s="5" t="inlineStr">
        <is>
          <t>% (compounded)</t>
        </is>
      </c>
      <c r="D95" s="5" t="inlineStr">
        <is>
          <t>n/a — valuation multiple</t>
        </is>
      </c>
      <c r="E95" s="5" t="inlineStr">
        <is>
          <t>Engine 2 input (LTV / equity cushion)</t>
        </is>
      </c>
      <c r="F95" s="6" t="n">
        <v>-0.33</v>
      </c>
      <c r="G95" s="6" t="n">
        <v>0.07000000000000001</v>
      </c>
      <c r="H95" s="6" t="n">
        <v>0.07000000000000001</v>
      </c>
      <c r="I95" s="6" t="n">
        <v>0.06</v>
      </c>
      <c r="J95" s="6" t="n">
        <v>0.06</v>
      </c>
      <c r="K95" s="6">
        <f>F95</f>
        <v/>
      </c>
      <c r="L95" s="7">
        <f>(1+K95)*(1+G95)-1</f>
        <v/>
      </c>
      <c r="M95" s="6">
        <f>(1+L95)*(1+H95)-1</f>
        <v/>
      </c>
      <c r="N95" s="6">
        <f>(1+M95)*(1+I95)-1</f>
        <v/>
      </c>
      <c r="O95" s="6">
        <f>(1+N95)*(1+J95)-1</f>
        <v/>
      </c>
    </row>
    <row r="96">
      <c r="A96" s="4" t="inlineStr">
        <is>
          <t>Equity multiples</t>
        </is>
      </c>
      <c r="B96" s="5" t="inlineStr">
        <is>
          <t>US EV/EBITDA - Consumer Staples</t>
        </is>
      </c>
      <c r="C96" s="5" t="inlineStr">
        <is>
          <t>% (compounded)</t>
        </is>
      </c>
      <c r="D96" s="5" t="inlineStr">
        <is>
          <t>n/a — valuation multiple</t>
        </is>
      </c>
      <c r="E96" s="5" t="inlineStr">
        <is>
          <t>Engine 2 input (LTV / equity cushion)</t>
        </is>
      </c>
      <c r="F96" s="6" t="n">
        <v>-0.23</v>
      </c>
      <c r="G96" s="6" t="n">
        <v>0.02</v>
      </c>
      <c r="H96" s="6" t="n">
        <v>0.02</v>
      </c>
      <c r="I96" s="6" t="n">
        <v>0.02</v>
      </c>
      <c r="J96" s="6" t="n">
        <v>0.01</v>
      </c>
      <c r="K96" s="6">
        <f>F96</f>
        <v/>
      </c>
      <c r="L96" s="7">
        <f>(1+K96)*(1+G96)-1</f>
        <v/>
      </c>
      <c r="M96" s="6">
        <f>(1+L96)*(1+H96)-1</f>
        <v/>
      </c>
      <c r="N96" s="6">
        <f>(1+M96)*(1+I96)-1</f>
        <v/>
      </c>
      <c r="O96" s="6">
        <f>(1+N96)*(1+J96)-1</f>
        <v/>
      </c>
    </row>
    <row r="97">
      <c r="A97" s="4" t="inlineStr">
        <is>
          <t>Equity multiples</t>
        </is>
      </c>
      <c r="B97" s="5" t="inlineStr">
        <is>
          <t>US EV/EBITDA - Energy</t>
        </is>
      </c>
      <c r="C97" s="5" t="inlineStr">
        <is>
          <t>% (compounded)</t>
        </is>
      </c>
      <c r="D97" s="5" t="inlineStr">
        <is>
          <t>n/a — valuation multiple</t>
        </is>
      </c>
      <c r="E97" s="5" t="inlineStr">
        <is>
          <t>Engine 2 input (LTV / equity cushion)</t>
        </is>
      </c>
      <c r="F97" s="6" t="n">
        <v>0.04</v>
      </c>
      <c r="G97" s="6" t="n">
        <v>0</v>
      </c>
      <c r="H97" s="6" t="n">
        <v>0.05</v>
      </c>
      <c r="I97" s="6" t="n">
        <v>0.05</v>
      </c>
      <c r="J97" s="6" t="n">
        <v>0.05</v>
      </c>
      <c r="K97" s="6">
        <f>F97</f>
        <v/>
      </c>
      <c r="L97" s="7">
        <f>(1+K97)*(1+G97)-1</f>
        <v/>
      </c>
      <c r="M97" s="6">
        <f>(1+L97)*(1+H97)-1</f>
        <v/>
      </c>
      <c r="N97" s="6">
        <f>(1+M97)*(1+I97)-1</f>
        <v/>
      </c>
      <c r="O97" s="6">
        <f>(1+N97)*(1+J97)-1</f>
        <v/>
      </c>
    </row>
    <row r="98">
      <c r="A98" s="4" t="inlineStr">
        <is>
          <t>Equity multiples</t>
        </is>
      </c>
      <c r="B98" s="5" t="inlineStr">
        <is>
          <t>US EV/EBITDA - Financial Services</t>
        </is>
      </c>
      <c r="C98" s="5" t="inlineStr">
        <is>
          <t>% (compounded)</t>
        </is>
      </c>
      <c r="D98" s="5" t="inlineStr">
        <is>
          <t>n/a — valuation multiple</t>
        </is>
      </c>
      <c r="E98" s="5" t="inlineStr">
        <is>
          <t>Engine 2 input (LTV / equity cushion)</t>
        </is>
      </c>
      <c r="F98" s="6" t="n">
        <v>-0.36</v>
      </c>
      <c r="G98" s="6" t="n">
        <v>0.08</v>
      </c>
      <c r="H98" s="6" t="n">
        <v>0.07000000000000001</v>
      </c>
      <c r="I98" s="6" t="n">
        <v>0.07000000000000001</v>
      </c>
      <c r="J98" s="6" t="n">
        <v>0.06</v>
      </c>
      <c r="K98" s="6">
        <f>F98</f>
        <v/>
      </c>
      <c r="L98" s="7">
        <f>(1+K98)*(1+G98)-1</f>
        <v/>
      </c>
      <c r="M98" s="6">
        <f>(1+L98)*(1+H98)-1</f>
        <v/>
      </c>
      <c r="N98" s="6">
        <f>(1+M98)*(1+I98)-1</f>
        <v/>
      </c>
      <c r="O98" s="6">
        <f>(1+N98)*(1+J98)-1</f>
        <v/>
      </c>
    </row>
    <row r="99">
      <c r="A99" s="4" t="inlineStr">
        <is>
          <t>Equity multiples</t>
        </is>
      </c>
      <c r="B99" s="5" t="inlineStr">
        <is>
          <t>US EV/EBITDA - Health Care</t>
        </is>
      </c>
      <c r="C99" s="5" t="inlineStr">
        <is>
          <t>% (compounded)</t>
        </is>
      </c>
      <c r="D99" s="5" t="inlineStr">
        <is>
          <t>n/a — valuation multiple</t>
        </is>
      </c>
      <c r="E99" s="5" t="inlineStr">
        <is>
          <t>Engine 2 input (LTV / equity cushion)</t>
        </is>
      </c>
      <c r="F99" s="6" t="n">
        <v>-0.23</v>
      </c>
      <c r="G99" s="6" t="n">
        <v>0.02</v>
      </c>
      <c r="H99" s="6" t="n">
        <v>0.02</v>
      </c>
      <c r="I99" s="6" t="n">
        <v>0.02</v>
      </c>
      <c r="J99" s="6" t="n">
        <v>0.01</v>
      </c>
      <c r="K99" s="6">
        <f>F99</f>
        <v/>
      </c>
      <c r="L99" s="7">
        <f>(1+K99)*(1+G99)-1</f>
        <v/>
      </c>
      <c r="M99" s="6">
        <f>(1+L99)*(1+H99)-1</f>
        <v/>
      </c>
      <c r="N99" s="6">
        <f>(1+M99)*(1+I99)-1</f>
        <v/>
      </c>
      <c r="O99" s="6">
        <f>(1+N99)*(1+J99)-1</f>
        <v/>
      </c>
    </row>
    <row r="100">
      <c r="A100" s="4" t="inlineStr">
        <is>
          <t>Equity multiples</t>
        </is>
      </c>
      <c r="B100" s="5" t="inlineStr">
        <is>
          <t>US EV/EBITDA - Industrial</t>
        </is>
      </c>
      <c r="C100" s="5" t="inlineStr">
        <is>
          <t>% (compounded)</t>
        </is>
      </c>
      <c r="D100" s="5" t="inlineStr">
        <is>
          <t>n/a — valuation multiple</t>
        </is>
      </c>
      <c r="E100" s="5" t="inlineStr">
        <is>
          <t>Engine 2 input (LTV / equity cushion)</t>
        </is>
      </c>
      <c r="F100" s="6" t="n">
        <v>-0.26</v>
      </c>
      <c r="G100" s="6" t="n">
        <v>0.04</v>
      </c>
      <c r="H100" s="6" t="n">
        <v>0.04</v>
      </c>
      <c r="I100" s="6" t="n">
        <v>0.04</v>
      </c>
      <c r="J100" s="6" t="n">
        <v>0.04</v>
      </c>
      <c r="K100" s="6">
        <f>F100</f>
        <v/>
      </c>
      <c r="L100" s="7">
        <f>(1+K100)*(1+G100)-1</f>
        <v/>
      </c>
      <c r="M100" s="6">
        <f>(1+L100)*(1+H100)-1</f>
        <v/>
      </c>
      <c r="N100" s="6">
        <f>(1+M100)*(1+I100)-1</f>
        <v/>
      </c>
      <c r="O100" s="6">
        <f>(1+N100)*(1+J100)-1</f>
        <v/>
      </c>
    </row>
    <row r="101">
      <c r="A101" s="4" t="inlineStr">
        <is>
          <t>Equity multiples</t>
        </is>
      </c>
      <c r="B101" s="5" t="inlineStr">
        <is>
          <t>US EV/EBITDA - Materials</t>
        </is>
      </c>
      <c r="C101" s="5" t="inlineStr">
        <is>
          <t>% (compounded)</t>
        </is>
      </c>
      <c r="D101" s="5" t="inlineStr">
        <is>
          <t>n/a — valuation multiple</t>
        </is>
      </c>
      <c r="E101" s="5" t="inlineStr">
        <is>
          <t>Engine 2 input (LTV / equity cushion)</t>
        </is>
      </c>
      <c r="F101" s="6" t="n">
        <v>-0.25</v>
      </c>
      <c r="G101" s="6" t="n">
        <v>0.02</v>
      </c>
      <c r="H101" s="6" t="n">
        <v>0.02</v>
      </c>
      <c r="I101" s="6" t="n">
        <v>0.02</v>
      </c>
      <c r="J101" s="6" t="n">
        <v>0.02</v>
      </c>
      <c r="K101" s="6">
        <f>F101</f>
        <v/>
      </c>
      <c r="L101" s="7">
        <f>(1+K101)*(1+G101)-1</f>
        <v/>
      </c>
      <c r="M101" s="6">
        <f>(1+L101)*(1+H101)-1</f>
        <v/>
      </c>
      <c r="N101" s="6">
        <f>(1+M101)*(1+I101)-1</f>
        <v/>
      </c>
      <c r="O101" s="6">
        <f>(1+N101)*(1+J101)-1</f>
        <v/>
      </c>
    </row>
    <row r="102">
      <c r="A102" s="4" t="inlineStr">
        <is>
          <t>Equity multiples</t>
        </is>
      </c>
      <c r="B102" s="5" t="inlineStr">
        <is>
          <t>US EV/EBITDA - Real Estate</t>
        </is>
      </c>
      <c r="C102" s="5" t="inlineStr">
        <is>
          <t>% (compounded)</t>
        </is>
      </c>
      <c r="D102" s="5" t="inlineStr">
        <is>
          <t>n/a — valuation multiple</t>
        </is>
      </c>
      <c r="E102" s="5" t="inlineStr">
        <is>
          <t>Engine 2 input (LTV / equity cushion)</t>
        </is>
      </c>
      <c r="F102" s="6" t="n">
        <v>-0.33</v>
      </c>
      <c r="G102" s="6" t="n">
        <v>0.07000000000000001</v>
      </c>
      <c r="H102" s="6" t="n">
        <v>0.07000000000000001</v>
      </c>
      <c r="I102" s="6" t="n">
        <v>0.06</v>
      </c>
      <c r="J102" s="6" t="n">
        <v>0.06</v>
      </c>
      <c r="K102" s="6">
        <f>F102</f>
        <v/>
      </c>
      <c r="L102" s="7">
        <f>(1+K102)*(1+G102)-1</f>
        <v/>
      </c>
      <c r="M102" s="6">
        <f>(1+L102)*(1+H102)-1</f>
        <v/>
      </c>
      <c r="N102" s="6">
        <f>(1+M102)*(1+I102)-1</f>
        <v/>
      </c>
      <c r="O102" s="6">
        <f>(1+N102)*(1+J102)-1</f>
        <v/>
      </c>
    </row>
    <row r="103">
      <c r="A103" s="4" t="inlineStr">
        <is>
          <t>Equity multiples</t>
        </is>
      </c>
      <c r="B103" s="5" t="inlineStr">
        <is>
          <t>US EV/EBITDA - Technology</t>
        </is>
      </c>
      <c r="C103" s="5" t="inlineStr">
        <is>
          <t>% (compounded)</t>
        </is>
      </c>
      <c r="D103" s="5" t="inlineStr">
        <is>
          <t>n/a — valuation multiple</t>
        </is>
      </c>
      <c r="E103" s="5" t="inlineStr">
        <is>
          <t>Engine 2 input (LTV / equity cushion)</t>
        </is>
      </c>
      <c r="F103" s="6" t="n">
        <v>-0.34</v>
      </c>
      <c r="G103" s="6" t="n">
        <v>0.07000000000000001</v>
      </c>
      <c r="H103" s="6" t="n">
        <v>0.07000000000000001</v>
      </c>
      <c r="I103" s="6" t="n">
        <v>0.06</v>
      </c>
      <c r="J103" s="6" t="n">
        <v>0.06</v>
      </c>
      <c r="K103" s="6">
        <f>F103</f>
        <v/>
      </c>
      <c r="L103" s="7">
        <f>(1+K103)*(1+G103)-1</f>
        <v/>
      </c>
      <c r="M103" s="6">
        <f>(1+L103)*(1+H103)-1</f>
        <v/>
      </c>
      <c r="N103" s="6">
        <f>(1+M103)*(1+I103)-1</f>
        <v/>
      </c>
      <c r="O103" s="6">
        <f>(1+N103)*(1+J103)-1</f>
        <v/>
      </c>
    </row>
    <row r="104">
      <c r="A104" s="4" t="inlineStr">
        <is>
          <t>Equity multiples</t>
        </is>
      </c>
      <c r="B104" s="5" t="inlineStr">
        <is>
          <t>US EV/EBITDA - Telecom</t>
        </is>
      </c>
      <c r="C104" s="5" t="inlineStr">
        <is>
          <t>% (compounded)</t>
        </is>
      </c>
      <c r="D104" s="5" t="inlineStr">
        <is>
          <t>n/a — valuation multiple</t>
        </is>
      </c>
      <c r="E104" s="5" t="inlineStr">
        <is>
          <t>Engine 2 input (LTV / equity cushion)</t>
        </is>
      </c>
      <c r="F104" s="6" t="n">
        <v>-0.3</v>
      </c>
      <c r="G104" s="6" t="n">
        <v>-0.01</v>
      </c>
      <c r="H104" s="6" t="n">
        <v>0.05</v>
      </c>
      <c r="I104" s="6" t="n">
        <v>0.05</v>
      </c>
      <c r="J104" s="6" t="n">
        <v>0.04</v>
      </c>
      <c r="K104" s="6">
        <f>F104</f>
        <v/>
      </c>
      <c r="L104" s="7">
        <f>(1+K104)*(1+G104)-1</f>
        <v/>
      </c>
      <c r="M104" s="6">
        <f>(1+L104)*(1+H104)-1</f>
        <v/>
      </c>
      <c r="N104" s="6">
        <f>(1+M104)*(1+I104)-1</f>
        <v/>
      </c>
      <c r="O104" s="6">
        <f>(1+N104)*(1+J104)-1</f>
        <v/>
      </c>
    </row>
    <row r="105">
      <c r="A105" s="4" t="inlineStr">
        <is>
          <t>Equity multiples</t>
        </is>
      </c>
      <c r="B105" s="5" t="inlineStr">
        <is>
          <t>US EV/EBITDA - Utilities</t>
        </is>
      </c>
      <c r="C105" s="5" t="inlineStr">
        <is>
          <t>% (compounded)</t>
        </is>
      </c>
      <c r="D105" s="5" t="inlineStr">
        <is>
          <t>n/a — valuation multiple</t>
        </is>
      </c>
      <c r="E105" s="5" t="inlineStr">
        <is>
          <t>Engine 2 input (LTV / equity cushion)</t>
        </is>
      </c>
      <c r="F105" s="6" t="n">
        <v>-0.07000000000000001</v>
      </c>
      <c r="G105" s="6" t="n">
        <v>0</v>
      </c>
      <c r="H105" s="6" t="n">
        <v>0.04</v>
      </c>
      <c r="I105" s="6" t="n">
        <v>0.04</v>
      </c>
      <c r="J105" s="6" t="n">
        <v>0.04</v>
      </c>
      <c r="K105" s="6">
        <f>F105</f>
        <v/>
      </c>
      <c r="L105" s="7">
        <f>(1+K105)*(1+G105)-1</f>
        <v/>
      </c>
      <c r="M105" s="6">
        <f>(1+L105)*(1+H105)-1</f>
        <v/>
      </c>
      <c r="N105" s="6">
        <f>(1+M105)*(1+I105)-1</f>
        <v/>
      </c>
      <c r="O105" s="6">
        <f>(1+N105)*(1+J105)-1</f>
        <v/>
      </c>
    </row>
    <row r="106">
      <c r="A106" s="4" t="inlineStr">
        <is>
          <t>Leveraged loan indices (LLIs)</t>
        </is>
      </c>
      <c r="B106" s="5" t="inlineStr">
        <is>
          <t>Morningstar LSTA US Leveraged Loan price index</t>
        </is>
      </c>
      <c r="C106" s="5" t="inlineStr">
        <is>
          <t>% (compounded)</t>
        </is>
      </c>
      <c r="D106" s="5" t="inlineStr">
        <is>
          <t>Loan price index</t>
        </is>
      </c>
      <c r="E106" s="5" t="inlineStr">
        <is>
          <t>Cross-check vs FRN revaluation</t>
        </is>
      </c>
      <c r="F106" s="6" t="n">
        <v>-0.28</v>
      </c>
      <c r="G106" s="6" t="n">
        <v>-0.1</v>
      </c>
      <c r="H106" s="6" t="n">
        <v>0.11</v>
      </c>
      <c r="I106" s="6" t="n">
        <v>0.11</v>
      </c>
      <c r="J106" s="6" t="n">
        <v>0.11</v>
      </c>
      <c r="K106" s="6">
        <f>F106</f>
        <v/>
      </c>
      <c r="L106" s="7">
        <f>(1+K106)*(1+G106)-1</f>
        <v/>
      </c>
      <c r="M106" s="6">
        <f>(1+L106)*(1+H106)-1</f>
        <v/>
      </c>
      <c r="N106" s="6">
        <f>(1+M106)*(1+I106)-1</f>
        <v/>
      </c>
      <c r="O106" s="6">
        <f>(1+N106)*(1+J106)-1</f>
        <v/>
      </c>
    </row>
    <row r="107">
      <c r="A107" s="4" t="inlineStr">
        <is>
          <t>Leveraged loan indices (LLIs)</t>
        </is>
      </c>
      <c r="B107" s="5" t="inlineStr">
        <is>
          <t>Morningstar LSTA US BB Ratings Loan price index</t>
        </is>
      </c>
      <c r="C107" s="5" t="inlineStr">
        <is>
          <t>% (compounded)</t>
        </is>
      </c>
      <c r="D107" s="5" t="inlineStr">
        <is>
          <t>Loan price index</t>
        </is>
      </c>
      <c r="E107" s="5" t="inlineStr">
        <is>
          <t>Cross-check vs FRN revaluation</t>
        </is>
      </c>
      <c r="F107" s="6" t="n">
        <v>-0.23</v>
      </c>
      <c r="G107" s="6" t="n">
        <v>-0.06</v>
      </c>
      <c r="H107" s="6" t="n">
        <v>0.1</v>
      </c>
      <c r="I107" s="6" t="n">
        <v>0.1</v>
      </c>
      <c r="J107" s="6" t="n">
        <v>0.1</v>
      </c>
      <c r="K107" s="6">
        <f>F107</f>
        <v/>
      </c>
      <c r="L107" s="7">
        <f>(1+K107)*(1+G107)-1</f>
        <v/>
      </c>
      <c r="M107" s="6">
        <f>(1+L107)*(1+H107)-1</f>
        <v/>
      </c>
      <c r="N107" s="6">
        <f>(1+M107)*(1+I107)-1</f>
        <v/>
      </c>
      <c r="O107" s="6">
        <f>(1+N107)*(1+J107)-1</f>
        <v/>
      </c>
    </row>
    <row r="108">
      <c r="A108" s="4" t="inlineStr">
        <is>
          <t>Leveraged loan indices (LLIs)</t>
        </is>
      </c>
      <c r="B108" s="5" t="inlineStr">
        <is>
          <t>Morningstar European Leveraged Loan price index</t>
        </is>
      </c>
      <c r="C108" s="5" t="inlineStr">
        <is>
          <t>% (compounded)</t>
        </is>
      </c>
      <c r="D108" s="5" t="inlineStr">
        <is>
          <t>Loan price index</t>
        </is>
      </c>
      <c r="E108" s="5" t="inlineStr">
        <is>
          <t>Cross-check vs FRN revaluation</t>
        </is>
      </c>
      <c r="F108" s="6" t="n">
        <v>-0.28</v>
      </c>
      <c r="G108" s="6" t="n">
        <v>-0.1</v>
      </c>
      <c r="H108" s="6" t="n">
        <v>0.11</v>
      </c>
      <c r="I108" s="6" t="n">
        <v>0.11</v>
      </c>
      <c r="J108" s="6" t="n">
        <v>0.11</v>
      </c>
      <c r="K108" s="6">
        <f>F108</f>
        <v/>
      </c>
      <c r="L108" s="7">
        <f>(1+K108)*(1+G108)-1</f>
        <v/>
      </c>
      <c r="M108" s="6">
        <f>(1+L108)*(1+H108)-1</f>
        <v/>
      </c>
      <c r="N108" s="6">
        <f>(1+M108)*(1+I108)-1</f>
        <v/>
      </c>
      <c r="O108" s="6">
        <f>(1+N108)*(1+J108)-1</f>
        <v/>
      </c>
    </row>
    <row r="109">
      <c r="A109" s="4" t="inlineStr">
        <is>
          <t>Leveraged loan indices (LLIs)</t>
        </is>
      </c>
      <c r="B109" s="5" t="inlineStr">
        <is>
          <t>Morningstar European BB Ratings Loan price index</t>
        </is>
      </c>
      <c r="C109" s="5" t="inlineStr">
        <is>
          <t>% (compounded)</t>
        </is>
      </c>
      <c r="D109" s="5" t="inlineStr">
        <is>
          <t>Loan price index</t>
        </is>
      </c>
      <c r="E109" s="5" t="inlineStr">
        <is>
          <t>Cross-check vs FRN revaluation</t>
        </is>
      </c>
      <c r="F109" s="6" t="n">
        <v>-0.23</v>
      </c>
      <c r="G109" s="6" t="n">
        <v>-0.06</v>
      </c>
      <c r="H109" s="6" t="n">
        <v>0.1</v>
      </c>
      <c r="I109" s="6" t="n">
        <v>0.1</v>
      </c>
      <c r="J109" s="6" t="n">
        <v>0.1</v>
      </c>
      <c r="K109" s="6">
        <f>F109</f>
        <v/>
      </c>
      <c r="L109" s="7">
        <f>(1+K109)*(1+G109)-1</f>
        <v/>
      </c>
      <c r="M109" s="6">
        <f>(1+L109)*(1+H109)-1</f>
        <v/>
      </c>
      <c r="N109" s="6">
        <f>(1+M109)*(1+I109)-1</f>
        <v/>
      </c>
      <c r="O109" s="6">
        <f>(1+N109)*(1+J109)-1</f>
        <v/>
      </c>
    </row>
    <row r="110">
      <c r="A110" s="8" t="inlineStr">
        <is>
          <t>Leveraged loan indices (LLIs)</t>
        </is>
      </c>
      <c r="B110" s="9" t="inlineStr">
        <is>
          <t>Morningstar LSTA US Leveraged Loan nominal spread</t>
        </is>
      </c>
      <c r="C110" s="9" t="inlineStr">
        <is>
          <t>bp (summed)</t>
        </is>
      </c>
      <c r="D110" s="9" t="inlineStr">
        <is>
          <t>Loan/HY spread factor — PC expansion anchor</t>
        </is>
      </c>
      <c r="E110" s="9" t="inlineStr">
        <is>
          <t>APT factor</t>
        </is>
      </c>
      <c r="F110" s="10" t="n">
        <v>200</v>
      </c>
      <c r="G110" s="10" t="n">
        <v>200</v>
      </c>
      <c r="H110" s="10" t="n">
        <v>-100</v>
      </c>
      <c r="I110" s="10" t="n">
        <v>-100</v>
      </c>
      <c r="J110" s="10" t="n">
        <v>-100</v>
      </c>
      <c r="K110" s="10">
        <f>F110</f>
        <v/>
      </c>
      <c r="L110" s="11">
        <f>K110+G110</f>
        <v/>
      </c>
      <c r="M110" s="10">
        <f>L110+H110</f>
        <v/>
      </c>
      <c r="N110" s="10">
        <f>M110+I110</f>
        <v/>
      </c>
      <c r="O110" s="10">
        <f>N110+J110</f>
        <v/>
      </c>
    </row>
    <row r="111">
      <c r="A111" s="8" t="inlineStr">
        <is>
          <t>Leveraged loan indices (LLIs)</t>
        </is>
      </c>
      <c r="B111" s="9" t="inlineStr">
        <is>
          <t>Morningstar LSTA US BB Ratings Loan nominal spread</t>
        </is>
      </c>
      <c r="C111" s="9" t="inlineStr">
        <is>
          <t>bp (summed)</t>
        </is>
      </c>
      <c r="D111" s="9" t="inlineStr">
        <is>
          <t>Loan/HY spread factor — PC expansion anchor</t>
        </is>
      </c>
      <c r="E111" s="9" t="inlineStr">
        <is>
          <t>APT factor</t>
        </is>
      </c>
      <c r="F111" s="10" t="n">
        <v>200</v>
      </c>
      <c r="G111" s="10" t="n">
        <v>200</v>
      </c>
      <c r="H111" s="10" t="n">
        <v>-100</v>
      </c>
      <c r="I111" s="10" t="n">
        <v>-100</v>
      </c>
      <c r="J111" s="10" t="n">
        <v>-100</v>
      </c>
      <c r="K111" s="10">
        <f>F111</f>
        <v/>
      </c>
      <c r="L111" s="11">
        <f>K111+G111</f>
        <v/>
      </c>
      <c r="M111" s="10">
        <f>L111+H111</f>
        <v/>
      </c>
      <c r="N111" s="10">
        <f>M111+I111</f>
        <v/>
      </c>
      <c r="O111" s="10">
        <f>N111+J111</f>
        <v/>
      </c>
    </row>
    <row r="112">
      <c r="A112" s="8" t="inlineStr">
        <is>
          <t>Leveraged loan indices (LLIs)</t>
        </is>
      </c>
      <c r="B112" s="9" t="inlineStr">
        <is>
          <t>Morningstar European Leveraged Loan nominal spread</t>
        </is>
      </c>
      <c r="C112" s="9" t="inlineStr">
        <is>
          <t>bp (summed)</t>
        </is>
      </c>
      <c r="D112" s="9" t="inlineStr">
        <is>
          <t>Loan/HY spread factor — PC expansion anchor</t>
        </is>
      </c>
      <c r="E112" s="9" t="inlineStr">
        <is>
          <t>APT factor</t>
        </is>
      </c>
      <c r="F112" s="10" t="n">
        <v>200</v>
      </c>
      <c r="G112" s="10" t="n">
        <v>200</v>
      </c>
      <c r="H112" s="10" t="n">
        <v>-100</v>
      </c>
      <c r="I112" s="10" t="n">
        <v>-100</v>
      </c>
      <c r="J112" s="10" t="n">
        <v>-100</v>
      </c>
      <c r="K112" s="10">
        <f>F112</f>
        <v/>
      </c>
      <c r="L112" s="11">
        <f>K112+G112</f>
        <v/>
      </c>
      <c r="M112" s="10">
        <f>L112+H112</f>
        <v/>
      </c>
      <c r="N112" s="10">
        <f>M112+I112</f>
        <v/>
      </c>
      <c r="O112" s="10">
        <f>N112+J112</f>
        <v/>
      </c>
    </row>
    <row r="113">
      <c r="A113" s="8" t="inlineStr">
        <is>
          <t>Leveraged loan indices (LLIs)</t>
        </is>
      </c>
      <c r="B113" s="9" t="inlineStr">
        <is>
          <t>Morningstar European BB Ratings Loan nominal spread</t>
        </is>
      </c>
      <c r="C113" s="9" t="inlineStr">
        <is>
          <t>bp (summed)</t>
        </is>
      </c>
      <c r="D113" s="9" t="inlineStr">
        <is>
          <t>Loan/HY spread factor — PC expansion anchor</t>
        </is>
      </c>
      <c r="E113" s="9" t="inlineStr">
        <is>
          <t>APT factor</t>
        </is>
      </c>
      <c r="F113" s="10" t="n">
        <v>200</v>
      </c>
      <c r="G113" s="10" t="n">
        <v>200</v>
      </c>
      <c r="H113" s="10" t="n">
        <v>-100</v>
      </c>
      <c r="I113" s="10" t="n">
        <v>-100</v>
      </c>
      <c r="J113" s="10" t="n">
        <v>-100</v>
      </c>
      <c r="K113" s="10">
        <f>F113</f>
        <v/>
      </c>
      <c r="L113" s="11">
        <f>K113+G113</f>
        <v/>
      </c>
      <c r="M113" s="10">
        <f>L113+H113</f>
        <v/>
      </c>
      <c r="N113" s="10">
        <f>M113+I113</f>
        <v/>
      </c>
      <c r="O113" s="10">
        <f>N113+J113</f>
        <v/>
      </c>
    </row>
    <row r="114">
      <c r="A114" s="8" t="inlineStr">
        <is>
          <t>Collateralised loan obligations (CLOs)</t>
        </is>
      </c>
      <c r="B114" s="9" t="inlineStr">
        <is>
          <t>J.P. Morgan AAA CLO price index</t>
        </is>
      </c>
      <c r="C114" s="9" t="inlineStr">
        <is>
          <t>% (compounded)</t>
        </is>
      </c>
      <c r="D114" s="9" t="inlineStr">
        <is>
          <t>Securitised/CLO factor</t>
        </is>
      </c>
      <c r="E114" s="9" t="inlineStr">
        <is>
          <t>APT factor</t>
        </is>
      </c>
      <c r="F114" s="12" t="n">
        <v>-0.13</v>
      </c>
      <c r="G114" s="12" t="n">
        <v>-0.05</v>
      </c>
      <c r="H114" s="12" t="n">
        <v>0.05</v>
      </c>
      <c r="I114" s="12" t="n">
        <v>0.05</v>
      </c>
      <c r="J114" s="12" t="n">
        <v>0.04</v>
      </c>
      <c r="K114" s="12">
        <f>F114</f>
        <v/>
      </c>
      <c r="L114" s="13">
        <f>(1+K114)*(1+G114)-1</f>
        <v/>
      </c>
      <c r="M114" s="12">
        <f>(1+L114)*(1+H114)-1</f>
        <v/>
      </c>
      <c r="N114" s="12">
        <f>(1+M114)*(1+I114)-1</f>
        <v/>
      </c>
      <c r="O114" s="12">
        <f>(1+N114)*(1+J114)-1</f>
        <v/>
      </c>
    </row>
    <row r="115">
      <c r="A115" s="8" t="inlineStr">
        <is>
          <t>Credit default swaps (CDS)</t>
        </is>
      </c>
      <c r="B115" s="9" t="inlineStr">
        <is>
          <t>iTraxx EUR IG 5Y CDS spread</t>
        </is>
      </c>
      <c r="C115" s="9" t="inlineStr">
        <is>
          <t>bp (summed)</t>
        </is>
      </c>
      <c r="D115" s="9" t="inlineStr">
        <is>
          <t>CDS spread factor</t>
        </is>
      </c>
      <c r="E115" s="9" t="inlineStr">
        <is>
          <t>APT factor (hedge legs)</t>
        </is>
      </c>
      <c r="F115" s="10" t="n">
        <v>100</v>
      </c>
      <c r="G115" s="10" t="n">
        <v>110</v>
      </c>
      <c r="H115" s="10" t="n">
        <v>-50</v>
      </c>
      <c r="I115" s="10" t="n">
        <v>-60</v>
      </c>
      <c r="J115" s="10" t="n">
        <v>-50</v>
      </c>
      <c r="K115" s="10">
        <f>F115</f>
        <v/>
      </c>
      <c r="L115" s="11">
        <f>K115+G115</f>
        <v/>
      </c>
      <c r="M115" s="10">
        <f>L115+H115</f>
        <v/>
      </c>
      <c r="N115" s="10">
        <f>M115+I115</f>
        <v/>
      </c>
      <c r="O115" s="10">
        <f>N115+J115</f>
        <v/>
      </c>
    </row>
    <row r="116">
      <c r="A116" s="8" t="inlineStr">
        <is>
          <t>Credit default swaps (CDS)</t>
        </is>
      </c>
      <c r="B116" s="9" t="inlineStr">
        <is>
          <t>iTraxx XOVER 5Y CDS spread</t>
        </is>
      </c>
      <c r="C116" s="9" t="inlineStr">
        <is>
          <t>bp (summed)</t>
        </is>
      </c>
      <c r="D116" s="9" t="inlineStr">
        <is>
          <t>CDS spread factor</t>
        </is>
      </c>
      <c r="E116" s="9" t="inlineStr">
        <is>
          <t>APT factor (hedge legs)</t>
        </is>
      </c>
      <c r="F116" s="10" t="n">
        <v>470</v>
      </c>
      <c r="G116" s="10" t="n">
        <v>400</v>
      </c>
      <c r="H116" s="10" t="n">
        <v>-200</v>
      </c>
      <c r="I116" s="10" t="n">
        <v>-200</v>
      </c>
      <c r="J116" s="10" t="n">
        <v>-200</v>
      </c>
      <c r="K116" s="10">
        <f>F116</f>
        <v/>
      </c>
      <c r="L116" s="11">
        <f>K116+G116</f>
        <v/>
      </c>
      <c r="M116" s="10">
        <f>L116+H116</f>
        <v/>
      </c>
      <c r="N116" s="10">
        <f>M116+I116</f>
        <v/>
      </c>
      <c r="O116" s="10">
        <f>N116+J116</f>
        <v/>
      </c>
    </row>
    <row r="117">
      <c r="A117" s="8" t="inlineStr">
        <is>
          <t>Credit default swaps (CDS)</t>
        </is>
      </c>
      <c r="B117" s="9" t="inlineStr">
        <is>
          <t>CDX IG 5Y CDS spread</t>
        </is>
      </c>
      <c r="C117" s="9" t="inlineStr">
        <is>
          <t>bp (summed)</t>
        </is>
      </c>
      <c r="D117" s="9" t="inlineStr">
        <is>
          <t>CDS spread factor</t>
        </is>
      </c>
      <c r="E117" s="9" t="inlineStr">
        <is>
          <t>APT factor (hedge legs)</t>
        </is>
      </c>
      <c r="F117" s="10" t="n">
        <v>100</v>
      </c>
      <c r="G117" s="10" t="n">
        <v>110</v>
      </c>
      <c r="H117" s="10" t="n">
        <v>-50</v>
      </c>
      <c r="I117" s="10" t="n">
        <v>-60</v>
      </c>
      <c r="J117" s="10" t="n">
        <v>-50</v>
      </c>
      <c r="K117" s="10">
        <f>F117</f>
        <v/>
      </c>
      <c r="L117" s="11">
        <f>K117+G117</f>
        <v/>
      </c>
      <c r="M117" s="10">
        <f>L117+H117</f>
        <v/>
      </c>
      <c r="N117" s="10">
        <f>M117+I117</f>
        <v/>
      </c>
      <c r="O117" s="10">
        <f>N117+J117</f>
        <v/>
      </c>
    </row>
    <row r="118">
      <c r="A118" s="8" t="inlineStr">
        <is>
          <t>Credit default swaps (CDS)</t>
        </is>
      </c>
      <c r="B118" s="9" t="inlineStr">
        <is>
          <t>CDX HY 5Y CDS spread</t>
        </is>
      </c>
      <c r="C118" s="9" t="inlineStr">
        <is>
          <t>bp (summed)</t>
        </is>
      </c>
      <c r="D118" s="9" t="inlineStr">
        <is>
          <t>CDS spread factor</t>
        </is>
      </c>
      <c r="E118" s="9" t="inlineStr">
        <is>
          <t>APT factor (hedge legs)</t>
        </is>
      </c>
      <c r="F118" s="10" t="n">
        <v>420</v>
      </c>
      <c r="G118" s="10" t="n">
        <v>400</v>
      </c>
      <c r="H118" s="10" t="n">
        <v>-200</v>
      </c>
      <c r="I118" s="10" t="n">
        <v>-200</v>
      </c>
      <c r="J118" s="10" t="n">
        <v>-200</v>
      </c>
      <c r="K118" s="10">
        <f>F118</f>
        <v/>
      </c>
      <c r="L118" s="11">
        <f>K118+G118</f>
        <v/>
      </c>
      <c r="M118" s="10">
        <f>L118+H118</f>
        <v/>
      </c>
      <c r="N118" s="10">
        <f>M118+I118</f>
        <v/>
      </c>
      <c r="O118" s="10">
        <f>N118+J118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8" customWidth="1" min="3" max="3"/>
    <col width="34" customWidth="1" min="4" max="4"/>
    <col width="2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3" t="inlineStr">
        <is>
          <t>Group</t>
        </is>
      </c>
      <c r="B1" s="3" t="inlineStr">
        <is>
          <t>Variable</t>
        </is>
      </c>
      <c r="C1" s="3" t="inlineStr">
        <is>
          <t>Unit</t>
        </is>
      </c>
      <c r="D1" s="3" t="inlineStr">
        <is>
          <t>APT factor family</t>
        </is>
      </c>
      <c r="E1" s="3" t="inlineStr">
        <is>
          <t>Use</t>
        </is>
      </c>
      <c r="F1" s="3" t="inlineStr">
        <is>
          <t>Y1 avg</t>
        </is>
      </c>
      <c r="G1" s="3" t="inlineStr">
        <is>
          <t>Y2 avg</t>
        </is>
      </c>
      <c r="H1" s="3" t="inlineStr">
        <is>
          <t>Y3 avg</t>
        </is>
      </c>
      <c r="I1" s="3" t="inlineStr">
        <is>
          <t>Y4 avg</t>
        </is>
      </c>
      <c r="J1" s="3" t="inlineStr">
        <is>
          <t>Y5 avg</t>
        </is>
      </c>
      <c r="K1" s="3" t="inlineStr">
        <is>
          <t>Run 1 level end-Y1 (interp.)</t>
        </is>
      </c>
      <c r="L1" s="3" t="inlineStr">
        <is>
          <t>Run 2 level (Y2 avg, PEAK)</t>
        </is>
      </c>
      <c r="M1" s="3" t="inlineStr">
        <is>
          <t>Run 3 level (Y3 avg)</t>
        </is>
      </c>
      <c r="N1" s="3" t="inlineStr">
        <is>
          <t>Run 4 level (Y4 avg)</t>
        </is>
      </c>
      <c r="O1" s="3" t="inlineStr">
        <is>
          <t>Run 5 level (Y5 avg)</t>
        </is>
      </c>
      <c r="P1" s="3" t="inlineStr">
        <is>
          <t>JUMP-OFF level (ENTER)</t>
        </is>
      </c>
      <c r="Q1" s="3" t="inlineStr">
        <is>
          <t>Run 1 shock</t>
        </is>
      </c>
      <c r="R1" s="3" t="inlineStr">
        <is>
          <t>Run 2 shock</t>
        </is>
      </c>
      <c r="S1" s="3" t="inlineStr">
        <is>
          <t>Run 3 shock</t>
        </is>
      </c>
      <c r="T1" s="3" t="inlineStr">
        <is>
          <t>Run 4 shock</t>
        </is>
      </c>
      <c r="U1" s="3" t="inlineStr">
        <is>
          <t>Run 5 shock</t>
        </is>
      </c>
    </row>
    <row r="2">
      <c r="A2" s="4" t="inlineStr">
        <is>
          <t>UK macro</t>
        </is>
      </c>
      <c r="B2" s="5" t="inlineStr">
        <is>
          <t>UK unemployment rate</t>
        </is>
      </c>
      <c r="C2" s="5" t="inlineStr">
        <is>
          <t>%</t>
        </is>
      </c>
      <c r="D2" s="5" t="inlineStr">
        <is>
          <t>n/a — macro</t>
        </is>
      </c>
      <c r="E2" s="5" t="inlineStr">
        <is>
          <t>Engine 2 input</t>
        </is>
      </c>
      <c r="F2" s="14" t="n">
        <v>0.052</v>
      </c>
      <c r="G2" s="14" t="n">
        <v>0.064</v>
      </c>
      <c r="H2" s="14" t="n">
        <v>0.075</v>
      </c>
      <c r="I2" s="14" t="n">
        <v>0.07199999999999999</v>
      </c>
      <c r="J2" s="14" t="n">
        <v>0.06900000000000001</v>
      </c>
      <c r="K2" s="15">
        <f>IF(AND(F2&gt;G2,F2&gt;=MAX(F2:J2)),F2,(F2+G2)/2)</f>
        <v/>
      </c>
      <c r="L2" s="16">
        <f>G2</f>
        <v/>
      </c>
      <c r="M2" s="15">
        <f>H2</f>
        <v/>
      </c>
      <c r="N2" s="15">
        <f>I2</f>
        <v/>
      </c>
      <c r="O2" s="15">
        <f>J2</f>
        <v/>
      </c>
      <c r="P2" s="17" t="n"/>
      <c r="Q2" s="18">
        <f>IF($P2="","",K2-$P2)</f>
        <v/>
      </c>
      <c r="R2" s="18">
        <f>IF($P2="","",L2-$P2)</f>
        <v/>
      </c>
      <c r="S2" s="18">
        <f>IF($P2="","",M2-$P2)</f>
        <v/>
      </c>
      <c r="T2" s="18">
        <f>IF($P2="","",N2-$P2)</f>
        <v/>
      </c>
      <c r="U2" s="18">
        <f>IF($P2="","",O2-$P2)</f>
        <v/>
      </c>
    </row>
    <row r="3">
      <c r="A3" s="4" t="inlineStr">
        <is>
          <t>UK macro</t>
        </is>
      </c>
      <c r="B3" s="5" t="inlineStr">
        <is>
          <t>Bank Rate</t>
        </is>
      </c>
      <c r="C3" s="5" t="inlineStr">
        <is>
          <t>%</t>
        </is>
      </c>
      <c r="D3" s="5" t="inlineStr">
        <is>
          <t>Policy rate (captured via SONIA/SOFR/Euribor o/n)</t>
        </is>
      </c>
      <c r="E3" s="5" t="inlineStr">
        <is>
          <t>Reference only</t>
        </is>
      </c>
      <c r="F3" s="14" t="n">
        <v>0.06</v>
      </c>
      <c r="G3" s="14" t="n">
        <v>0.07000000000000001</v>
      </c>
      <c r="H3" s="14" t="n">
        <v>0.06</v>
      </c>
      <c r="I3" s="14" t="n">
        <v>0.05</v>
      </c>
      <c r="J3" s="14" t="n">
        <v>0.04</v>
      </c>
      <c r="K3" s="15">
        <f>IF(AND(F3&gt;G3,F3&gt;=MAX(F3:J3)),F3,(F3+G3)/2)</f>
        <v/>
      </c>
      <c r="L3" s="16">
        <f>G3</f>
        <v/>
      </c>
      <c r="M3" s="15">
        <f>H3</f>
        <v/>
      </c>
      <c r="N3" s="15">
        <f>I3</f>
        <v/>
      </c>
      <c r="O3" s="15">
        <f>J3</f>
        <v/>
      </c>
      <c r="P3" s="17" t="n"/>
      <c r="Q3" s="18">
        <f>IF($P3="","",K3-$P3)</f>
        <v/>
      </c>
      <c r="R3" s="18">
        <f>IF($P3="","",L3-$P3)</f>
        <v/>
      </c>
      <c r="S3" s="18">
        <f>IF($P3="","",M3-$P3)</f>
        <v/>
      </c>
      <c r="T3" s="18">
        <f>IF($P3="","",N3-$P3)</f>
        <v/>
      </c>
      <c r="U3" s="18">
        <f>IF($P3="","",O3-$P3)</f>
        <v/>
      </c>
    </row>
    <row r="4">
      <c r="A4" s="4" t="inlineStr">
        <is>
          <t>US macro</t>
        </is>
      </c>
      <c r="B4" s="5" t="inlineStr">
        <is>
          <t>US unemployment rate</t>
        </is>
      </c>
      <c r="C4" s="5" t="inlineStr">
        <is>
          <t>%</t>
        </is>
      </c>
      <c r="D4" s="5" t="inlineStr">
        <is>
          <t>n/a — macro</t>
        </is>
      </c>
      <c r="E4" s="5" t="inlineStr">
        <is>
          <t>Engine 2 input</t>
        </is>
      </c>
      <c r="F4" s="14" t="n">
        <v>0.048</v>
      </c>
      <c r="G4" s="14" t="n">
        <v>0.067</v>
      </c>
      <c r="H4" s="14" t="n">
        <v>0.08</v>
      </c>
      <c r="I4" s="14" t="n">
        <v>0.074</v>
      </c>
      <c r="J4" s="14" t="n">
        <v>0.068</v>
      </c>
      <c r="K4" s="15">
        <f>IF(AND(F4&gt;G4,F4&gt;=MAX(F4:J4)),F4,(F4+G4)/2)</f>
        <v/>
      </c>
      <c r="L4" s="16">
        <f>G4</f>
        <v/>
      </c>
      <c r="M4" s="15">
        <f>H4</f>
        <v/>
      </c>
      <c r="N4" s="15">
        <f>I4</f>
        <v/>
      </c>
      <c r="O4" s="15">
        <f>J4</f>
        <v/>
      </c>
      <c r="P4" s="17" t="n"/>
      <c r="Q4" s="18">
        <f>IF($P4="","",K4-$P4)</f>
        <v/>
      </c>
      <c r="R4" s="18">
        <f>IF($P4="","",L4-$P4)</f>
        <v/>
      </c>
      <c r="S4" s="18">
        <f>IF($P4="","",M4-$P4)</f>
        <v/>
      </c>
      <c r="T4" s="18">
        <f>IF($P4="","",N4-$P4)</f>
        <v/>
      </c>
      <c r="U4" s="18">
        <f>IF($P4="","",O4-$P4)</f>
        <v/>
      </c>
    </row>
    <row r="5">
      <c r="A5" s="4" t="inlineStr">
        <is>
          <t>US macro</t>
        </is>
      </c>
      <c r="B5" s="5" t="inlineStr">
        <is>
          <t>US policy rate</t>
        </is>
      </c>
      <c r="C5" s="5" t="inlineStr">
        <is>
          <t>%</t>
        </is>
      </c>
      <c r="D5" s="5" t="inlineStr">
        <is>
          <t>Policy rate (captured via SONIA/SOFR/Euribor o/n)</t>
        </is>
      </c>
      <c r="E5" s="5" t="inlineStr">
        <is>
          <t>Reference only</t>
        </is>
      </c>
      <c r="F5" s="14" t="n">
        <v>0.06</v>
      </c>
      <c r="G5" s="14" t="n">
        <v>0.07000000000000001</v>
      </c>
      <c r="H5" s="14" t="n">
        <v>0.06</v>
      </c>
      <c r="I5" s="14" t="n">
        <v>0.05</v>
      </c>
      <c r="J5" s="14" t="n">
        <v>0.04</v>
      </c>
      <c r="K5" s="15">
        <f>IF(AND(F5&gt;G5,F5&gt;=MAX(F5:J5)),F5,(F5+G5)/2)</f>
        <v/>
      </c>
      <c r="L5" s="16">
        <f>G5</f>
        <v/>
      </c>
      <c r="M5" s="15">
        <f>H5</f>
        <v/>
      </c>
      <c r="N5" s="15">
        <f>I5</f>
        <v/>
      </c>
      <c r="O5" s="15">
        <f>J5</f>
        <v/>
      </c>
      <c r="P5" s="17" t="n"/>
      <c r="Q5" s="18">
        <f>IF($P5="","",K5-$P5)</f>
        <v/>
      </c>
      <c r="R5" s="18">
        <f>IF($P5="","",L5-$P5)</f>
        <v/>
      </c>
      <c r="S5" s="18">
        <f>IF($P5="","",M5-$P5)</f>
        <v/>
      </c>
      <c r="T5" s="18">
        <f>IF($P5="","",N5-$P5)</f>
        <v/>
      </c>
      <c r="U5" s="18">
        <f>IF($P5="","",O5-$P5)</f>
        <v/>
      </c>
    </row>
    <row r="6">
      <c r="A6" s="4" t="inlineStr">
        <is>
          <t>Euro area macro</t>
        </is>
      </c>
      <c r="B6" s="5" t="inlineStr">
        <is>
          <t>Euro area unemployment rate</t>
        </is>
      </c>
      <c r="C6" s="5" t="inlineStr">
        <is>
          <t>%</t>
        </is>
      </c>
      <c r="D6" s="5" t="inlineStr">
        <is>
          <t>n/a — macro</t>
        </is>
      </c>
      <c r="E6" s="5" t="inlineStr">
        <is>
          <t>Engine 2 input</t>
        </is>
      </c>
      <c r="F6" s="14" t="n">
        <v>0.06900000000000001</v>
      </c>
      <c r="G6" s="14" t="n">
        <v>0.08599999999999999</v>
      </c>
      <c r="H6" s="14" t="n">
        <v>0.1</v>
      </c>
      <c r="I6" s="14" t="n">
        <v>0.095</v>
      </c>
      <c r="J6" s="14" t="n">
        <v>0.091</v>
      </c>
      <c r="K6" s="15">
        <f>IF(AND(F6&gt;G6,F6&gt;=MAX(F6:J6)),F6,(F6+G6)/2)</f>
        <v/>
      </c>
      <c r="L6" s="16">
        <f>G6</f>
        <v/>
      </c>
      <c r="M6" s="15">
        <f>H6</f>
        <v/>
      </c>
      <c r="N6" s="15">
        <f>I6</f>
        <v/>
      </c>
      <c r="O6" s="15">
        <f>J6</f>
        <v/>
      </c>
      <c r="P6" s="17" t="n"/>
      <c r="Q6" s="18">
        <f>IF($P6="","",K6-$P6)</f>
        <v/>
      </c>
      <c r="R6" s="18">
        <f>IF($P6="","",L6-$P6)</f>
        <v/>
      </c>
      <c r="S6" s="18">
        <f>IF($P6="","",M6-$P6)</f>
        <v/>
      </c>
      <c r="T6" s="18">
        <f>IF($P6="","",N6-$P6)</f>
        <v/>
      </c>
      <c r="U6" s="18">
        <f>IF($P6="","",O6-$P6)</f>
        <v/>
      </c>
    </row>
    <row r="7">
      <c r="A7" s="4" t="inlineStr">
        <is>
          <t>Euro area macro</t>
        </is>
      </c>
      <c r="B7" s="5" t="inlineStr">
        <is>
          <t>ECB policy rate</t>
        </is>
      </c>
      <c r="C7" s="5" t="inlineStr">
        <is>
          <t>%</t>
        </is>
      </c>
      <c r="D7" s="5" t="inlineStr">
        <is>
          <t>Policy rate (captured via SONIA/SOFR/Euribor o/n)</t>
        </is>
      </c>
      <c r="E7" s="5" t="inlineStr">
        <is>
          <t>Reference only</t>
        </is>
      </c>
      <c r="F7" s="14" t="n">
        <v>0.04</v>
      </c>
      <c r="G7" s="14" t="n">
        <v>0.05</v>
      </c>
      <c r="H7" s="14" t="n">
        <v>0.04</v>
      </c>
      <c r="I7" s="14" t="n">
        <v>0.03</v>
      </c>
      <c r="J7" s="14" t="n">
        <v>0.02</v>
      </c>
      <c r="K7" s="15">
        <f>IF(AND(F7&gt;G7,F7&gt;=MAX(F7:J7)),F7,(F7+G7)/2)</f>
        <v/>
      </c>
      <c r="L7" s="16">
        <f>G7</f>
        <v/>
      </c>
      <c r="M7" s="15">
        <f>H7</f>
        <v/>
      </c>
      <c r="N7" s="15">
        <f>I7</f>
        <v/>
      </c>
      <c r="O7" s="15">
        <f>J7</f>
        <v/>
      </c>
      <c r="P7" s="17" t="n"/>
      <c r="Q7" s="18">
        <f>IF($P7="","",K7-$P7)</f>
        <v/>
      </c>
      <c r="R7" s="18">
        <f>IF($P7="","",L7-$P7)</f>
        <v/>
      </c>
      <c r="S7" s="18">
        <f>IF($P7="","",M7-$P7)</f>
        <v/>
      </c>
      <c r="T7" s="18">
        <f>IF($P7="","",N7-$P7)</f>
        <v/>
      </c>
      <c r="U7" s="18">
        <f>IF($P7="","",O7-$P7)</f>
        <v/>
      </c>
    </row>
    <row r="8">
      <c r="A8" s="8" t="inlineStr">
        <is>
          <t>Commodity prices</t>
        </is>
      </c>
      <c r="B8" s="9" t="inlineStr">
        <is>
          <t>Brent crude oil price</t>
        </is>
      </c>
      <c r="C8" s="9" t="inlineStr">
        <is>
          <t>US dollars per barrel</t>
        </is>
      </c>
      <c r="D8" s="9" t="inlineStr">
        <is>
          <t>Commodity factor (Brent)</t>
        </is>
      </c>
      <c r="E8" s="9" t="inlineStr">
        <is>
          <t>APT factor</t>
        </is>
      </c>
      <c r="F8" s="19" t="n">
        <v>125</v>
      </c>
      <c r="G8" s="19" t="n">
        <v>155</v>
      </c>
      <c r="H8" s="19" t="n">
        <v>140</v>
      </c>
      <c r="I8" s="19" t="n">
        <v>125</v>
      </c>
      <c r="J8" s="19" t="n">
        <v>110</v>
      </c>
      <c r="K8" s="19">
        <f>IF(AND(F8&gt;G8,F8&gt;=MAX(F8:J8)),F8,(F8+G8)/2)</f>
        <v/>
      </c>
      <c r="L8" s="20">
        <f>G8</f>
        <v/>
      </c>
      <c r="M8" s="19">
        <f>H8</f>
        <v/>
      </c>
      <c r="N8" s="19">
        <f>I8</f>
        <v/>
      </c>
      <c r="O8" s="19">
        <f>J8</f>
        <v/>
      </c>
      <c r="P8" s="21" t="n"/>
      <c r="Q8" s="22">
        <f>IF($P8="","",K8-$P8)</f>
        <v/>
      </c>
      <c r="R8" s="22">
        <f>IF($P8="","",L8-$P8)</f>
        <v/>
      </c>
      <c r="S8" s="22">
        <f>IF($P8="","",M8-$P8)</f>
        <v/>
      </c>
      <c r="T8" s="22">
        <f>IF($P8="","",N8-$P8)</f>
        <v/>
      </c>
      <c r="U8" s="22">
        <f>IF($P8="","",O8-$P8)</f>
        <v/>
      </c>
    </row>
    <row r="9">
      <c r="A9" s="8" t="inlineStr">
        <is>
          <t>Equity prices</t>
        </is>
      </c>
      <c r="B9" s="9" t="inlineStr">
        <is>
          <t>CBOE Volatility Index</t>
        </is>
      </c>
      <c r="C9" s="9" t="inlineStr">
        <is>
          <t>Units</t>
        </is>
      </c>
      <c r="D9" s="9" t="inlineStr">
        <is>
          <t>Volatility factor (VIX)</t>
        </is>
      </c>
      <c r="E9" s="9" t="inlineStr">
        <is>
          <t>APT factor</t>
        </is>
      </c>
      <c r="F9" s="19" t="n">
        <v>40</v>
      </c>
      <c r="G9" s="19" t="n">
        <v>25</v>
      </c>
      <c r="H9" s="19" t="n">
        <v>25</v>
      </c>
      <c r="I9" s="19" t="n">
        <v>25</v>
      </c>
      <c r="J9" s="19" t="n">
        <v>20</v>
      </c>
      <c r="K9" s="19">
        <f>IF(AND(F9&gt;G9,F9&gt;=MAX(F9:J9)),F9,(F9+G9)/2)</f>
        <v/>
      </c>
      <c r="L9" s="20">
        <f>G9</f>
        <v/>
      </c>
      <c r="M9" s="19">
        <f>H9</f>
        <v/>
      </c>
      <c r="N9" s="19">
        <f>I9</f>
        <v/>
      </c>
      <c r="O9" s="19">
        <f>J9</f>
        <v/>
      </c>
      <c r="P9" s="21" t="n"/>
      <c r="Q9" s="22">
        <f>IF($P9="","",K9-$P9)</f>
        <v/>
      </c>
      <c r="R9" s="22">
        <f>IF($P9="","",L9-$P9)</f>
        <v/>
      </c>
      <c r="S9" s="22">
        <f>IF($P9="","",M9-$P9)</f>
        <v/>
      </c>
      <c r="T9" s="22">
        <f>IF($P9="","",N9-$P9)</f>
        <v/>
      </c>
      <c r="U9" s="22">
        <f>IF($P9="","",O9-$P9)</f>
        <v/>
      </c>
    </row>
    <row r="10">
      <c r="A10" s="8" t="inlineStr">
        <is>
          <t>UK government bond yields</t>
        </is>
      </c>
      <c r="B10" s="9" t="inlineStr">
        <is>
          <t>3m government bond yield</t>
        </is>
      </c>
      <c r="C10" s="9" t="inlineStr">
        <is>
          <t>%</t>
        </is>
      </c>
      <c r="D10" s="9" t="inlineStr">
        <is>
          <t>Government curve node — GBP</t>
        </is>
      </c>
      <c r="E10" s="9" t="inlineStr">
        <is>
          <t>APT factor</t>
        </is>
      </c>
      <c r="F10" s="15" t="n">
        <v>0.061</v>
      </c>
      <c r="G10" s="15" t="n">
        <v>0.07099999999999999</v>
      </c>
      <c r="H10" s="15" t="n">
        <v>0.061</v>
      </c>
      <c r="I10" s="15" t="n">
        <v>0.05</v>
      </c>
      <c r="J10" s="15" t="n">
        <v>0.04</v>
      </c>
      <c r="K10" s="15">
        <f>IF(AND(F10&gt;G10,F10&gt;=MAX(F10:J10)),F10,(F10+G10)/2)</f>
        <v/>
      </c>
      <c r="L10" s="16">
        <f>G10</f>
        <v/>
      </c>
      <c r="M10" s="15">
        <f>H10</f>
        <v/>
      </c>
      <c r="N10" s="15">
        <f>I10</f>
        <v/>
      </c>
      <c r="O10" s="15">
        <f>J10</f>
        <v/>
      </c>
      <c r="P10" s="17" t="n"/>
      <c r="Q10" s="18">
        <f>IF($P10="","",K10-$P10)</f>
        <v/>
      </c>
      <c r="R10" s="18">
        <f>IF($P10="","",L10-$P10)</f>
        <v/>
      </c>
      <c r="S10" s="18">
        <f>IF($P10="","",M10-$P10)</f>
        <v/>
      </c>
      <c r="T10" s="18">
        <f>IF($P10="","",N10-$P10)</f>
        <v/>
      </c>
      <c r="U10" s="18">
        <f>IF($P10="","",O10-$P10)</f>
        <v/>
      </c>
    </row>
    <row r="11">
      <c r="A11" s="8" t="inlineStr">
        <is>
          <t>UK government bond yields</t>
        </is>
      </c>
      <c r="B11" s="9" t="inlineStr">
        <is>
          <t>1y government bond yield</t>
        </is>
      </c>
      <c r="C11" s="9" t="inlineStr">
        <is>
          <t>%</t>
        </is>
      </c>
      <c r="D11" s="9" t="inlineStr">
        <is>
          <t>Government curve node — GBP</t>
        </is>
      </c>
      <c r="E11" s="9" t="inlineStr">
        <is>
          <t>APT factor</t>
        </is>
      </c>
      <c r="F11" s="15" t="n">
        <v>0.065</v>
      </c>
      <c r="G11" s="15" t="n">
        <v>0.07199999999999999</v>
      </c>
      <c r="H11" s="15" t="n">
        <v>0.062</v>
      </c>
      <c r="I11" s="15" t="n">
        <v>0.051</v>
      </c>
      <c r="J11" s="15" t="n">
        <v>0.041</v>
      </c>
      <c r="K11" s="15">
        <f>IF(AND(F11&gt;G11,F11&gt;=MAX(F11:J11)),F11,(F11+G11)/2)</f>
        <v/>
      </c>
      <c r="L11" s="16">
        <f>G11</f>
        <v/>
      </c>
      <c r="M11" s="15">
        <f>H11</f>
        <v/>
      </c>
      <c r="N11" s="15">
        <f>I11</f>
        <v/>
      </c>
      <c r="O11" s="15">
        <f>J11</f>
        <v/>
      </c>
      <c r="P11" s="17" t="n"/>
      <c r="Q11" s="18">
        <f>IF($P11="","",K11-$P11)</f>
        <v/>
      </c>
      <c r="R11" s="18">
        <f>IF($P11="","",L11-$P11)</f>
        <v/>
      </c>
      <c r="S11" s="18">
        <f>IF($P11="","",M11-$P11)</f>
        <v/>
      </c>
      <c r="T11" s="18">
        <f>IF($P11="","",N11-$P11)</f>
        <v/>
      </c>
      <c r="U11" s="18">
        <f>IF($P11="","",O11-$P11)</f>
        <v/>
      </c>
    </row>
    <row r="12">
      <c r="A12" s="8" t="inlineStr">
        <is>
          <t>UK government bond yields</t>
        </is>
      </c>
      <c r="B12" s="9" t="inlineStr">
        <is>
          <t>2y government bond yield</t>
        </is>
      </c>
      <c r="C12" s="9" t="inlineStr">
        <is>
          <t>%</t>
        </is>
      </c>
      <c r="D12" s="9" t="inlineStr">
        <is>
          <t>Government curve node — GBP</t>
        </is>
      </c>
      <c r="E12" s="9" t="inlineStr">
        <is>
          <t>APT factor</t>
        </is>
      </c>
      <c r="F12" s="15" t="n">
        <v>0.07000000000000001</v>
      </c>
      <c r="G12" s="15" t="n">
        <v>0.06900000000000001</v>
      </c>
      <c r="H12" s="15" t="n">
        <v>0.058</v>
      </c>
      <c r="I12" s="15" t="n">
        <v>0.047</v>
      </c>
      <c r="J12" s="15" t="n">
        <v>0.036</v>
      </c>
      <c r="K12" s="15">
        <f>IF(AND(F12&gt;G12,F12&gt;=MAX(F12:J12)),F12,(F12+G12)/2)</f>
        <v/>
      </c>
      <c r="L12" s="16">
        <f>G12</f>
        <v/>
      </c>
      <c r="M12" s="15">
        <f>H12</f>
        <v/>
      </c>
      <c r="N12" s="15">
        <f>I12</f>
        <v/>
      </c>
      <c r="O12" s="15">
        <f>J12</f>
        <v/>
      </c>
      <c r="P12" s="17" t="n"/>
      <c r="Q12" s="18">
        <f>IF($P12="","",K12-$P12)</f>
        <v/>
      </c>
      <c r="R12" s="18">
        <f>IF($P12="","",L12-$P12)</f>
        <v/>
      </c>
      <c r="S12" s="18">
        <f>IF($P12="","",M12-$P12)</f>
        <v/>
      </c>
      <c r="T12" s="18">
        <f>IF($P12="","",N12-$P12)</f>
        <v/>
      </c>
      <c r="U12" s="18">
        <f>IF($P12="","",O12-$P12)</f>
        <v/>
      </c>
    </row>
    <row r="13">
      <c r="A13" s="8" t="inlineStr">
        <is>
          <t>UK government bond yields</t>
        </is>
      </c>
      <c r="B13" s="9" t="inlineStr">
        <is>
          <t>3y government bond yield</t>
        </is>
      </c>
      <c r="C13" s="9" t="inlineStr">
        <is>
          <t>%</t>
        </is>
      </c>
      <c r="D13" s="9" t="inlineStr">
        <is>
          <t>Government curve node — GBP</t>
        </is>
      </c>
      <c r="E13" s="9" t="inlineStr">
        <is>
          <t>APT factor</t>
        </is>
      </c>
      <c r="F13" s="15" t="n">
        <v>0.07000000000000001</v>
      </c>
      <c r="G13" s="15" t="n">
        <v>0.066</v>
      </c>
      <c r="H13" s="15" t="n">
        <v>0.055</v>
      </c>
      <c r="I13" s="15" t="n">
        <v>0.043</v>
      </c>
      <c r="J13" s="15" t="n">
        <v>0.035</v>
      </c>
      <c r="K13" s="15">
        <f>IF(AND(F13&gt;G13,F13&gt;=MAX(F13:J13)),F13,(F13+G13)/2)</f>
        <v/>
      </c>
      <c r="L13" s="16">
        <f>G13</f>
        <v/>
      </c>
      <c r="M13" s="15">
        <f>H13</f>
        <v/>
      </c>
      <c r="N13" s="15">
        <f>I13</f>
        <v/>
      </c>
      <c r="O13" s="15">
        <f>J13</f>
        <v/>
      </c>
      <c r="P13" s="17" t="n"/>
      <c r="Q13" s="18">
        <f>IF($P13="","",K13-$P13)</f>
        <v/>
      </c>
      <c r="R13" s="18">
        <f>IF($P13="","",L13-$P13)</f>
        <v/>
      </c>
      <c r="S13" s="18">
        <f>IF($P13="","",M13-$P13)</f>
        <v/>
      </c>
      <c r="T13" s="18">
        <f>IF($P13="","",N13-$P13)</f>
        <v/>
      </c>
      <c r="U13" s="18">
        <f>IF($P13="","",O13-$P13)</f>
        <v/>
      </c>
    </row>
    <row r="14">
      <c r="A14" s="8" t="inlineStr">
        <is>
          <t>UK government bond yields</t>
        </is>
      </c>
      <c r="B14" s="9" t="inlineStr">
        <is>
          <t>4y government bond yield</t>
        </is>
      </c>
      <c r="C14" s="9" t="inlineStr">
        <is>
          <t>%</t>
        </is>
      </c>
      <c r="D14" s="9" t="inlineStr">
        <is>
          <t>Government curve node — GBP</t>
        </is>
      </c>
      <c r="E14" s="9" t="inlineStr">
        <is>
          <t>APT factor</t>
        </is>
      </c>
      <c r="F14" s="15" t="n">
        <v>0.068</v>
      </c>
      <c r="G14" s="15" t="n">
        <v>0.063</v>
      </c>
      <c r="H14" s="15" t="n">
        <v>0.051</v>
      </c>
      <c r="I14" s="15" t="n">
        <v>0.042</v>
      </c>
      <c r="J14" s="15" t="n">
        <v>0.035</v>
      </c>
      <c r="K14" s="15">
        <f>IF(AND(F14&gt;G14,F14&gt;=MAX(F14:J14)),F14,(F14+G14)/2)</f>
        <v/>
      </c>
      <c r="L14" s="16">
        <f>G14</f>
        <v/>
      </c>
      <c r="M14" s="15">
        <f>H14</f>
        <v/>
      </c>
      <c r="N14" s="15">
        <f>I14</f>
        <v/>
      </c>
      <c r="O14" s="15">
        <f>J14</f>
        <v/>
      </c>
      <c r="P14" s="17" t="n"/>
      <c r="Q14" s="18">
        <f>IF($P14="","",K14-$P14)</f>
        <v/>
      </c>
      <c r="R14" s="18">
        <f>IF($P14="","",L14-$P14)</f>
        <v/>
      </c>
      <c r="S14" s="18">
        <f>IF($P14="","",M14-$P14)</f>
        <v/>
      </c>
      <c r="T14" s="18">
        <f>IF($P14="","",N14-$P14)</f>
        <v/>
      </c>
      <c r="U14" s="18">
        <f>IF($P14="","",O14-$P14)</f>
        <v/>
      </c>
    </row>
    <row r="15">
      <c r="A15" s="8" t="inlineStr">
        <is>
          <t>UK government bond yields</t>
        </is>
      </c>
      <c r="B15" s="9" t="inlineStr">
        <is>
          <t>5y government bond yield</t>
        </is>
      </c>
      <c r="C15" s="9" t="inlineStr">
        <is>
          <t>%</t>
        </is>
      </c>
      <c r="D15" s="9" t="inlineStr">
        <is>
          <t>Government curve node — GBP</t>
        </is>
      </c>
      <c r="E15" s="9" t="inlineStr">
        <is>
          <t>APT factor</t>
        </is>
      </c>
      <c r="F15" s="15" t="n">
        <v>0.066</v>
      </c>
      <c r="G15" s="15" t="n">
        <v>0.06</v>
      </c>
      <c r="H15" s="15" t="n">
        <v>0.049</v>
      </c>
      <c r="I15" s="15" t="n">
        <v>0.041</v>
      </c>
      <c r="J15" s="15" t="n">
        <v>0.034</v>
      </c>
      <c r="K15" s="15">
        <f>IF(AND(F15&gt;G15,F15&gt;=MAX(F15:J15)),F15,(F15+G15)/2)</f>
        <v/>
      </c>
      <c r="L15" s="16">
        <f>G15</f>
        <v/>
      </c>
      <c r="M15" s="15">
        <f>H15</f>
        <v/>
      </c>
      <c r="N15" s="15">
        <f>I15</f>
        <v/>
      </c>
      <c r="O15" s="15">
        <f>J15</f>
        <v/>
      </c>
      <c r="P15" s="17" t="n"/>
      <c r="Q15" s="18">
        <f>IF($P15="","",K15-$P15)</f>
        <v/>
      </c>
      <c r="R15" s="18">
        <f>IF($P15="","",L15-$P15)</f>
        <v/>
      </c>
      <c r="S15" s="18">
        <f>IF($P15="","",M15-$P15)</f>
        <v/>
      </c>
      <c r="T15" s="18">
        <f>IF($P15="","",N15-$P15)</f>
        <v/>
      </c>
      <c r="U15" s="18">
        <f>IF($P15="","",O15-$P15)</f>
        <v/>
      </c>
    </row>
    <row r="16">
      <c r="A16" s="8" t="inlineStr">
        <is>
          <t>UK government bond yields</t>
        </is>
      </c>
      <c r="B16" s="9" t="inlineStr">
        <is>
          <t>7y government bond yield</t>
        </is>
      </c>
      <c r="C16" s="9" t="inlineStr">
        <is>
          <t>%</t>
        </is>
      </c>
      <c r="D16" s="9" t="inlineStr">
        <is>
          <t>Government curve node — GBP</t>
        </is>
      </c>
      <c r="E16" s="9" t="inlineStr">
        <is>
          <t>APT factor</t>
        </is>
      </c>
      <c r="F16" s="15" t="n">
        <v>0.061</v>
      </c>
      <c r="G16" s="15" t="n">
        <v>0.057</v>
      </c>
      <c r="H16" s="15" t="n">
        <v>0.048</v>
      </c>
      <c r="I16" s="15" t="n">
        <v>0.041</v>
      </c>
      <c r="J16" s="15" t="n">
        <v>0.035</v>
      </c>
      <c r="K16" s="15">
        <f>IF(AND(F16&gt;G16,F16&gt;=MAX(F16:J16)),F16,(F16+G16)/2)</f>
        <v/>
      </c>
      <c r="L16" s="16">
        <f>G16</f>
        <v/>
      </c>
      <c r="M16" s="15">
        <f>H16</f>
        <v/>
      </c>
      <c r="N16" s="15">
        <f>I16</f>
        <v/>
      </c>
      <c r="O16" s="15">
        <f>J16</f>
        <v/>
      </c>
      <c r="P16" s="17" t="n"/>
      <c r="Q16" s="18">
        <f>IF($P16="","",K16-$P16)</f>
        <v/>
      </c>
      <c r="R16" s="18">
        <f>IF($P16="","",L16-$P16)</f>
        <v/>
      </c>
      <c r="S16" s="18">
        <f>IF($P16="","",M16-$P16)</f>
        <v/>
      </c>
      <c r="T16" s="18">
        <f>IF($P16="","",N16-$P16)</f>
        <v/>
      </c>
      <c r="U16" s="18">
        <f>IF($P16="","",O16-$P16)</f>
        <v/>
      </c>
    </row>
    <row r="17">
      <c r="A17" s="8" t="inlineStr">
        <is>
          <t>UK government bond yields</t>
        </is>
      </c>
      <c r="B17" s="9" t="inlineStr">
        <is>
          <t>10y government bond yield</t>
        </is>
      </c>
      <c r="C17" s="9" t="inlineStr">
        <is>
          <t>%</t>
        </is>
      </c>
      <c r="D17" s="9" t="inlineStr">
        <is>
          <t>Government curve node — GBP</t>
        </is>
      </c>
      <c r="E17" s="9" t="inlineStr">
        <is>
          <t>APT factor</t>
        </is>
      </c>
      <c r="F17" s="15" t="n">
        <v>0.059</v>
      </c>
      <c r="G17" s="15" t="n">
        <v>0.056</v>
      </c>
      <c r="H17" s="15" t="n">
        <v>0.048</v>
      </c>
      <c r="I17" s="15" t="n">
        <v>0.041</v>
      </c>
      <c r="J17" s="15" t="n">
        <v>0.035</v>
      </c>
      <c r="K17" s="15">
        <f>IF(AND(F17&gt;G17,F17&gt;=MAX(F17:J17)),F17,(F17+G17)/2)</f>
        <v/>
      </c>
      <c r="L17" s="16">
        <f>G17</f>
        <v/>
      </c>
      <c r="M17" s="15">
        <f>H17</f>
        <v/>
      </c>
      <c r="N17" s="15">
        <f>I17</f>
        <v/>
      </c>
      <c r="O17" s="15">
        <f>J17</f>
        <v/>
      </c>
      <c r="P17" s="17" t="n"/>
      <c r="Q17" s="18">
        <f>IF($P17="","",K17-$P17)</f>
        <v/>
      </c>
      <c r="R17" s="18">
        <f>IF($P17="","",L17-$P17)</f>
        <v/>
      </c>
      <c r="S17" s="18">
        <f>IF($P17="","",M17-$P17)</f>
        <v/>
      </c>
      <c r="T17" s="18">
        <f>IF($P17="","",N17-$P17)</f>
        <v/>
      </c>
      <c r="U17" s="18">
        <f>IF($P17="","",O17-$P17)</f>
        <v/>
      </c>
    </row>
    <row r="18">
      <c r="A18" s="8" t="inlineStr">
        <is>
          <t>UK government bond yields</t>
        </is>
      </c>
      <c r="B18" s="9" t="inlineStr">
        <is>
          <t>15y government bond yield</t>
        </is>
      </c>
      <c r="C18" s="9" t="inlineStr">
        <is>
          <t>%</t>
        </is>
      </c>
      <c r="D18" s="9" t="inlineStr">
        <is>
          <t>Government curve node — GBP</t>
        </is>
      </c>
      <c r="E18" s="9" t="inlineStr">
        <is>
          <t>APT factor</t>
        </is>
      </c>
      <c r="F18" s="15" t="n">
        <v>0.059</v>
      </c>
      <c r="G18" s="15" t="n">
        <v>0.057</v>
      </c>
      <c r="H18" s="15" t="n">
        <v>0.049</v>
      </c>
      <c r="I18" s="15" t="n">
        <v>0.042</v>
      </c>
      <c r="J18" s="15" t="n">
        <v>0.036</v>
      </c>
      <c r="K18" s="15">
        <f>IF(AND(F18&gt;G18,F18&gt;=MAX(F18:J18)),F18,(F18+G18)/2)</f>
        <v/>
      </c>
      <c r="L18" s="16">
        <f>G18</f>
        <v/>
      </c>
      <c r="M18" s="15">
        <f>H18</f>
        <v/>
      </c>
      <c r="N18" s="15">
        <f>I18</f>
        <v/>
      </c>
      <c r="O18" s="15">
        <f>J18</f>
        <v/>
      </c>
      <c r="P18" s="17" t="n"/>
      <c r="Q18" s="18">
        <f>IF($P18="","",K18-$P18)</f>
        <v/>
      </c>
      <c r="R18" s="18">
        <f>IF($P18="","",L18-$P18)</f>
        <v/>
      </c>
      <c r="S18" s="18">
        <f>IF($P18="","",M18-$P18)</f>
        <v/>
      </c>
      <c r="T18" s="18">
        <f>IF($P18="","",N18-$P18)</f>
        <v/>
      </c>
      <c r="U18" s="18">
        <f>IF($P18="","",O18-$P18)</f>
        <v/>
      </c>
    </row>
    <row r="19">
      <c r="A19" s="8" t="inlineStr">
        <is>
          <t>UK government bond yields</t>
        </is>
      </c>
      <c r="B19" s="9" t="inlineStr">
        <is>
          <t>20y government bond yield</t>
        </is>
      </c>
      <c r="C19" s="9" t="inlineStr">
        <is>
          <t>%</t>
        </is>
      </c>
      <c r="D19" s="9" t="inlineStr">
        <is>
          <t>Government curve node — GBP</t>
        </is>
      </c>
      <c r="E19" s="9" t="inlineStr">
        <is>
          <t>APT factor</t>
        </is>
      </c>
      <c r="F19" s="15" t="n">
        <v>0.062</v>
      </c>
      <c r="G19" s="15" t="n">
        <v>0.06</v>
      </c>
      <c r="H19" s="15" t="n">
        <v>0.052</v>
      </c>
      <c r="I19" s="15" t="n">
        <v>0.044</v>
      </c>
      <c r="J19" s="15" t="n">
        <v>0.037</v>
      </c>
      <c r="K19" s="15">
        <f>IF(AND(F19&gt;G19,F19&gt;=MAX(F19:J19)),F19,(F19+G19)/2)</f>
        <v/>
      </c>
      <c r="L19" s="16">
        <f>G19</f>
        <v/>
      </c>
      <c r="M19" s="15">
        <f>H19</f>
        <v/>
      </c>
      <c r="N19" s="15">
        <f>I19</f>
        <v/>
      </c>
      <c r="O19" s="15">
        <f>J19</f>
        <v/>
      </c>
      <c r="P19" s="17" t="n"/>
      <c r="Q19" s="18">
        <f>IF($P19="","",K19-$P19)</f>
        <v/>
      </c>
      <c r="R19" s="18">
        <f>IF($P19="","",L19-$P19)</f>
        <v/>
      </c>
      <c r="S19" s="18">
        <f>IF($P19="","",M19-$P19)</f>
        <v/>
      </c>
      <c r="T19" s="18">
        <f>IF($P19="","",N19-$P19)</f>
        <v/>
      </c>
      <c r="U19" s="18">
        <f>IF($P19="","",O19-$P19)</f>
        <v/>
      </c>
    </row>
    <row r="20">
      <c r="A20" s="8" t="inlineStr">
        <is>
          <t>Real yields for UK government bonds</t>
        </is>
      </c>
      <c r="B20" s="9" t="inlineStr">
        <is>
          <t>5y real government real bond yield</t>
        </is>
      </c>
      <c r="C20" s="9" t="inlineStr">
        <is>
          <t>%</t>
        </is>
      </c>
      <c r="D20" s="9" t="inlineStr">
        <is>
          <t>Government curve node — EUR (real)</t>
        </is>
      </c>
      <c r="E20" s="9" t="inlineStr">
        <is>
          <t>APT factor</t>
        </is>
      </c>
      <c r="F20" s="15" t="n">
        <v>0.02</v>
      </c>
      <c r="G20" s="15" t="n">
        <v>0.026</v>
      </c>
      <c r="H20" s="15" t="n">
        <v>0.023</v>
      </c>
      <c r="I20" s="15" t="n">
        <v>0.019</v>
      </c>
      <c r="J20" s="15" t="n">
        <v>0.015</v>
      </c>
      <c r="K20" s="15">
        <f>IF(AND(F20&gt;G20,F20&gt;=MAX(F20:J20)),F20,(F20+G20)/2)</f>
        <v/>
      </c>
      <c r="L20" s="16">
        <f>G20</f>
        <v/>
      </c>
      <c r="M20" s="15">
        <f>H20</f>
        <v/>
      </c>
      <c r="N20" s="15">
        <f>I20</f>
        <v/>
      </c>
      <c r="O20" s="15">
        <f>J20</f>
        <v/>
      </c>
      <c r="P20" s="17" t="n"/>
      <c r="Q20" s="18">
        <f>IF($P20="","",K20-$P20)</f>
        <v/>
      </c>
      <c r="R20" s="18">
        <f>IF($P20="","",L20-$P20)</f>
        <v/>
      </c>
      <c r="S20" s="18">
        <f>IF($P20="","",M20-$P20)</f>
        <v/>
      </c>
      <c r="T20" s="18">
        <f>IF($P20="","",N20-$P20)</f>
        <v/>
      </c>
      <c r="U20" s="18">
        <f>IF($P20="","",O20-$P20)</f>
        <v/>
      </c>
    </row>
    <row r="21">
      <c r="A21" s="8" t="inlineStr">
        <is>
          <t>Real yields for UK government bonds</t>
        </is>
      </c>
      <c r="B21" s="9" t="inlineStr">
        <is>
          <t>10y real government real bond yield</t>
        </is>
      </c>
      <c r="C21" s="9" t="inlineStr">
        <is>
          <t>%</t>
        </is>
      </c>
      <c r="D21" s="9" t="inlineStr">
        <is>
          <t>Government curve node — EUR (real)</t>
        </is>
      </c>
      <c r="E21" s="9" t="inlineStr">
        <is>
          <t>APT factor</t>
        </is>
      </c>
      <c r="F21" s="15" t="n">
        <v>0.027</v>
      </c>
      <c r="G21" s="15" t="n">
        <v>0.03</v>
      </c>
      <c r="H21" s="15" t="n">
        <v>0.026</v>
      </c>
      <c r="I21" s="15" t="n">
        <v>0.02</v>
      </c>
      <c r="J21" s="15" t="n">
        <v>0.016</v>
      </c>
      <c r="K21" s="15">
        <f>IF(AND(F21&gt;G21,F21&gt;=MAX(F21:J21)),F21,(F21+G21)/2)</f>
        <v/>
      </c>
      <c r="L21" s="16">
        <f>G21</f>
        <v/>
      </c>
      <c r="M21" s="15">
        <f>H21</f>
        <v/>
      </c>
      <c r="N21" s="15">
        <f>I21</f>
        <v/>
      </c>
      <c r="O21" s="15">
        <f>J21</f>
        <v/>
      </c>
      <c r="P21" s="17" t="n"/>
      <c r="Q21" s="18">
        <f>IF($P21="","",K21-$P21)</f>
        <v/>
      </c>
      <c r="R21" s="18">
        <f>IF($P21="","",L21-$P21)</f>
        <v/>
      </c>
      <c r="S21" s="18">
        <f>IF($P21="","",M21-$P21)</f>
        <v/>
      </c>
      <c r="T21" s="18">
        <f>IF($P21="","",N21-$P21)</f>
        <v/>
      </c>
      <c r="U21" s="18">
        <f>IF($P21="","",O21-$P21)</f>
        <v/>
      </c>
    </row>
    <row r="22">
      <c r="A22" s="8" t="inlineStr">
        <is>
          <t>Real yields for UK government bonds</t>
        </is>
      </c>
      <c r="B22" s="9" t="inlineStr">
        <is>
          <t>20y real government real bond yield</t>
        </is>
      </c>
      <c r="C22" s="9" t="inlineStr">
        <is>
          <t>%</t>
        </is>
      </c>
      <c r="D22" s="9" t="inlineStr">
        <is>
          <t>Government curve node — EUR (real)</t>
        </is>
      </c>
      <c r="E22" s="9" t="inlineStr">
        <is>
          <t>APT factor</t>
        </is>
      </c>
      <c r="F22" s="15" t="n">
        <v>0.036</v>
      </c>
      <c r="G22" s="15" t="n">
        <v>0.038</v>
      </c>
      <c r="H22" s="15" t="n">
        <v>0.031</v>
      </c>
      <c r="I22" s="15" t="n">
        <v>0.024</v>
      </c>
      <c r="J22" s="15" t="n">
        <v>0.018</v>
      </c>
      <c r="K22" s="15">
        <f>IF(AND(F22&gt;G22,F22&gt;=MAX(F22:J22)),F22,(F22+G22)/2)</f>
        <v/>
      </c>
      <c r="L22" s="16">
        <f>G22</f>
        <v/>
      </c>
      <c r="M22" s="15">
        <f>H22</f>
        <v/>
      </c>
      <c r="N22" s="15">
        <f>I22</f>
        <v/>
      </c>
      <c r="O22" s="15">
        <f>J22</f>
        <v/>
      </c>
      <c r="P22" s="17" t="n"/>
      <c r="Q22" s="18">
        <f>IF($P22="","",K22-$P22)</f>
        <v/>
      </c>
      <c r="R22" s="18">
        <f>IF($P22="","",L22-$P22)</f>
        <v/>
      </c>
      <c r="S22" s="18">
        <f>IF($P22="","",M22-$P22)</f>
        <v/>
      </c>
      <c r="T22" s="18">
        <f>IF($P22="","",N22-$P22)</f>
        <v/>
      </c>
      <c r="U22" s="18">
        <f>IF($P22="","",O22-$P22)</f>
        <v/>
      </c>
    </row>
    <row r="23">
      <c r="A23" s="8" t="inlineStr">
        <is>
          <t>SONIA</t>
        </is>
      </c>
      <c r="B23" s="9" t="inlineStr">
        <is>
          <t>Overnight</t>
        </is>
      </c>
      <c r="C23" s="9" t="inlineStr">
        <is>
          <t>%</t>
        </is>
      </c>
      <c r="D23" s="9" t="inlineStr">
        <is>
          <t>Swap curve node — SONIA</t>
        </is>
      </c>
      <c r="E23" s="9" t="inlineStr">
        <is>
          <t>APT factor</t>
        </is>
      </c>
      <c r="F23" s="15" t="n">
        <v>0.06</v>
      </c>
      <c r="G23" s="15" t="n">
        <v>0.07000000000000001</v>
      </c>
      <c r="H23" s="15" t="n">
        <v>0.06</v>
      </c>
      <c r="I23" s="15" t="n">
        <v>0.05</v>
      </c>
      <c r="J23" s="15" t="n">
        <v>0.04</v>
      </c>
      <c r="K23" s="15">
        <f>IF(AND(F23&gt;G23,F23&gt;=MAX(F23:J23)),F23,(F23+G23)/2)</f>
        <v/>
      </c>
      <c r="L23" s="16">
        <f>G23</f>
        <v/>
      </c>
      <c r="M23" s="15">
        <f>H23</f>
        <v/>
      </c>
      <c r="N23" s="15">
        <f>I23</f>
        <v/>
      </c>
      <c r="O23" s="15">
        <f>J23</f>
        <v/>
      </c>
      <c r="P23" s="17" t="n"/>
      <c r="Q23" s="18">
        <f>IF($P23="","",K23-$P23)</f>
        <v/>
      </c>
      <c r="R23" s="18">
        <f>IF($P23="","",L23-$P23)</f>
        <v/>
      </c>
      <c r="S23" s="18">
        <f>IF($P23="","",M23-$P23)</f>
        <v/>
      </c>
      <c r="T23" s="18">
        <f>IF($P23="","",N23-$P23)</f>
        <v/>
      </c>
      <c r="U23" s="18">
        <f>IF($P23="","",O23-$P23)</f>
        <v/>
      </c>
    </row>
    <row r="24">
      <c r="A24" s="8" t="inlineStr">
        <is>
          <t>SONIA</t>
        </is>
      </c>
      <c r="B24" s="9" t="inlineStr">
        <is>
          <t>3m swap rate</t>
        </is>
      </c>
      <c r="C24" s="9" t="inlineStr">
        <is>
          <t>%</t>
        </is>
      </c>
      <c r="D24" s="9" t="inlineStr">
        <is>
          <t>Swap curve node — SONIA</t>
        </is>
      </c>
      <c r="E24" s="9" t="inlineStr">
        <is>
          <t>APT factor</t>
        </is>
      </c>
      <c r="F24" s="15" t="n">
        <v>0.06</v>
      </c>
      <c r="G24" s="15" t="n">
        <v>0.07000000000000001</v>
      </c>
      <c r="H24" s="15" t="n">
        <v>0.06</v>
      </c>
      <c r="I24" s="15" t="n">
        <v>0.05</v>
      </c>
      <c r="J24" s="15" t="n">
        <v>0.04</v>
      </c>
      <c r="K24" s="15">
        <f>IF(AND(F24&gt;G24,F24&gt;=MAX(F24:J24)),F24,(F24+G24)/2)</f>
        <v/>
      </c>
      <c r="L24" s="16">
        <f>G24</f>
        <v/>
      </c>
      <c r="M24" s="15">
        <f>H24</f>
        <v/>
      </c>
      <c r="N24" s="15">
        <f>I24</f>
        <v/>
      </c>
      <c r="O24" s="15">
        <f>J24</f>
        <v/>
      </c>
      <c r="P24" s="17" t="n"/>
      <c r="Q24" s="18">
        <f>IF($P24="","",K24-$P24)</f>
        <v/>
      </c>
      <c r="R24" s="18">
        <f>IF($P24="","",L24-$P24)</f>
        <v/>
      </c>
      <c r="S24" s="18">
        <f>IF($P24="","",M24-$P24)</f>
        <v/>
      </c>
      <c r="T24" s="18">
        <f>IF($P24="","",N24-$P24)</f>
        <v/>
      </c>
      <c r="U24" s="18">
        <f>IF($P24="","",O24-$P24)</f>
        <v/>
      </c>
    </row>
    <row r="25">
      <c r="A25" s="8" t="inlineStr">
        <is>
          <t>SONIA</t>
        </is>
      </c>
      <c r="B25" s="9" t="inlineStr">
        <is>
          <t>1y swap rate</t>
        </is>
      </c>
      <c r="C25" s="9" t="inlineStr">
        <is>
          <t>%</t>
        </is>
      </c>
      <c r="D25" s="9" t="inlineStr">
        <is>
          <t>Swap curve node — SONIA</t>
        </is>
      </c>
      <c r="E25" s="9" t="inlineStr">
        <is>
          <t>APT factor</t>
        </is>
      </c>
      <c r="F25" s="15" t="n">
        <v>0.064</v>
      </c>
      <c r="G25" s="15" t="n">
        <v>0.07099999999999999</v>
      </c>
      <c r="H25" s="15" t="n">
        <v>0.061</v>
      </c>
      <c r="I25" s="15" t="n">
        <v>0.05</v>
      </c>
      <c r="J25" s="15" t="n">
        <v>0.04</v>
      </c>
      <c r="K25" s="15">
        <f>IF(AND(F25&gt;G25,F25&gt;=MAX(F25:J25)),F25,(F25+G25)/2)</f>
        <v/>
      </c>
      <c r="L25" s="16">
        <f>G25</f>
        <v/>
      </c>
      <c r="M25" s="15">
        <f>H25</f>
        <v/>
      </c>
      <c r="N25" s="15">
        <f>I25</f>
        <v/>
      </c>
      <c r="O25" s="15">
        <f>J25</f>
        <v/>
      </c>
      <c r="P25" s="17" t="n"/>
      <c r="Q25" s="18">
        <f>IF($P25="","",K25-$P25)</f>
        <v/>
      </c>
      <c r="R25" s="18">
        <f>IF($P25="","",L25-$P25)</f>
        <v/>
      </c>
      <c r="S25" s="18">
        <f>IF($P25="","",M25-$P25)</f>
        <v/>
      </c>
      <c r="T25" s="18">
        <f>IF($P25="","",N25-$P25)</f>
        <v/>
      </c>
      <c r="U25" s="18">
        <f>IF($P25="","",O25-$P25)</f>
        <v/>
      </c>
    </row>
    <row r="26">
      <c r="A26" s="8" t="inlineStr">
        <is>
          <t>SONIA</t>
        </is>
      </c>
      <c r="B26" s="9" t="inlineStr">
        <is>
          <t>2y swap rate</t>
        </is>
      </c>
      <c r="C26" s="9" t="inlineStr">
        <is>
          <t>%</t>
        </is>
      </c>
      <c r="D26" s="9" t="inlineStr">
        <is>
          <t>Swap curve node — SONIA</t>
        </is>
      </c>
      <c r="E26" s="9" t="inlineStr">
        <is>
          <t>APT factor</t>
        </is>
      </c>
      <c r="F26" s="15" t="n">
        <v>0.067</v>
      </c>
      <c r="G26" s="15" t="n">
        <v>0.067</v>
      </c>
      <c r="H26" s="15" t="n">
        <v>0.056</v>
      </c>
      <c r="I26" s="15" t="n">
        <v>0.045</v>
      </c>
      <c r="J26" s="15" t="n">
        <v>0.035</v>
      </c>
      <c r="K26" s="15">
        <f>IF(AND(F26&gt;G26,F26&gt;=MAX(F26:J26)),F26,(F26+G26)/2)</f>
        <v/>
      </c>
      <c r="L26" s="16">
        <f>G26</f>
        <v/>
      </c>
      <c r="M26" s="15">
        <f>H26</f>
        <v/>
      </c>
      <c r="N26" s="15">
        <f>I26</f>
        <v/>
      </c>
      <c r="O26" s="15">
        <f>J26</f>
        <v/>
      </c>
      <c r="P26" s="17" t="n"/>
      <c r="Q26" s="18">
        <f>IF($P26="","",K26-$P26)</f>
        <v/>
      </c>
      <c r="R26" s="18">
        <f>IF($P26="","",L26-$P26)</f>
        <v/>
      </c>
      <c r="S26" s="18">
        <f>IF($P26="","",M26-$P26)</f>
        <v/>
      </c>
      <c r="T26" s="18">
        <f>IF($P26="","",N26-$P26)</f>
        <v/>
      </c>
      <c r="U26" s="18">
        <f>IF($P26="","",O26-$P26)</f>
        <v/>
      </c>
    </row>
    <row r="27">
      <c r="A27" s="8" t="inlineStr">
        <is>
          <t>SONIA</t>
        </is>
      </c>
      <c r="B27" s="9" t="inlineStr">
        <is>
          <t>3y swap rate</t>
        </is>
      </c>
      <c r="C27" s="9" t="inlineStr">
        <is>
          <t>%</t>
        </is>
      </c>
      <c r="D27" s="9" t="inlineStr">
        <is>
          <t>Swap curve node — SONIA</t>
        </is>
      </c>
      <c r="E27" s="9" t="inlineStr">
        <is>
          <t>APT factor</t>
        </is>
      </c>
      <c r="F27" s="15" t="n">
        <v>0.067</v>
      </c>
      <c r="G27" s="15" t="n">
        <v>0.063</v>
      </c>
      <c r="H27" s="15" t="n">
        <v>0.052</v>
      </c>
      <c r="I27" s="15" t="n">
        <v>0.041</v>
      </c>
      <c r="J27" s="15" t="n">
        <v>0.033</v>
      </c>
      <c r="K27" s="15">
        <f>IF(AND(F27&gt;G27,F27&gt;=MAX(F27:J27)),F27,(F27+G27)/2)</f>
        <v/>
      </c>
      <c r="L27" s="16">
        <f>G27</f>
        <v/>
      </c>
      <c r="M27" s="15">
        <f>H27</f>
        <v/>
      </c>
      <c r="N27" s="15">
        <f>I27</f>
        <v/>
      </c>
      <c r="O27" s="15">
        <f>J27</f>
        <v/>
      </c>
      <c r="P27" s="17" t="n"/>
      <c r="Q27" s="18">
        <f>IF($P27="","",K27-$P27)</f>
        <v/>
      </c>
      <c r="R27" s="18">
        <f>IF($P27="","",L27-$P27)</f>
        <v/>
      </c>
      <c r="S27" s="18">
        <f>IF($P27="","",M27-$P27)</f>
        <v/>
      </c>
      <c r="T27" s="18">
        <f>IF($P27="","",N27-$P27)</f>
        <v/>
      </c>
      <c r="U27" s="18">
        <f>IF($P27="","",O27-$P27)</f>
        <v/>
      </c>
    </row>
    <row r="28">
      <c r="A28" s="8" t="inlineStr">
        <is>
          <t>SONIA</t>
        </is>
      </c>
      <c r="B28" s="9" t="inlineStr">
        <is>
          <t>4y swap rate</t>
        </is>
      </c>
      <c r="C28" s="9" t="inlineStr">
        <is>
          <t>%</t>
        </is>
      </c>
      <c r="D28" s="9" t="inlineStr">
        <is>
          <t>Swap curve node — SONIA</t>
        </is>
      </c>
      <c r="E28" s="9" t="inlineStr">
        <is>
          <t>APT factor</t>
        </is>
      </c>
      <c r="F28" s="15" t="n">
        <v>0.064</v>
      </c>
      <c r="G28" s="15" t="n">
        <v>0.059</v>
      </c>
      <c r="H28" s="15" t="n">
        <v>0.047</v>
      </c>
      <c r="I28" s="15" t="n">
        <v>0.038</v>
      </c>
      <c r="J28" s="15" t="n">
        <v>0.032</v>
      </c>
      <c r="K28" s="15">
        <f>IF(AND(F28&gt;G28,F28&gt;=MAX(F28:J28)),F28,(F28+G28)/2)</f>
        <v/>
      </c>
      <c r="L28" s="16">
        <f>G28</f>
        <v/>
      </c>
      <c r="M28" s="15">
        <f>H28</f>
        <v/>
      </c>
      <c r="N28" s="15">
        <f>I28</f>
        <v/>
      </c>
      <c r="O28" s="15">
        <f>J28</f>
        <v/>
      </c>
      <c r="P28" s="17" t="n"/>
      <c r="Q28" s="18">
        <f>IF($P28="","",K28-$P28)</f>
        <v/>
      </c>
      <c r="R28" s="18">
        <f>IF($P28="","",L28-$P28)</f>
        <v/>
      </c>
      <c r="S28" s="18">
        <f>IF($P28="","",M28-$P28)</f>
        <v/>
      </c>
      <c r="T28" s="18">
        <f>IF($P28="","",N28-$P28)</f>
        <v/>
      </c>
      <c r="U28" s="18">
        <f>IF($P28="","",O28-$P28)</f>
        <v/>
      </c>
    </row>
    <row r="29">
      <c r="A29" s="8" t="inlineStr">
        <is>
          <t>SONIA</t>
        </is>
      </c>
      <c r="B29" s="9" t="inlineStr">
        <is>
          <t>5y swap rate</t>
        </is>
      </c>
      <c r="C29" s="9" t="inlineStr">
        <is>
          <t>%</t>
        </is>
      </c>
      <c r="D29" s="9" t="inlineStr">
        <is>
          <t>Swap curve node — SONIA</t>
        </is>
      </c>
      <c r="E29" s="9" t="inlineStr">
        <is>
          <t>APT factor</t>
        </is>
      </c>
      <c r="F29" s="15" t="n">
        <v>0.061</v>
      </c>
      <c r="G29" s="15" t="n">
        <v>0.055</v>
      </c>
      <c r="H29" s="15" t="n">
        <v>0.045</v>
      </c>
      <c r="I29" s="15" t="n">
        <v>0.037</v>
      </c>
      <c r="J29" s="15" t="n">
        <v>0.031</v>
      </c>
      <c r="K29" s="15">
        <f>IF(AND(F29&gt;G29,F29&gt;=MAX(F29:J29)),F29,(F29+G29)/2)</f>
        <v/>
      </c>
      <c r="L29" s="16">
        <f>G29</f>
        <v/>
      </c>
      <c r="M29" s="15">
        <f>H29</f>
        <v/>
      </c>
      <c r="N29" s="15">
        <f>I29</f>
        <v/>
      </c>
      <c r="O29" s="15">
        <f>J29</f>
        <v/>
      </c>
      <c r="P29" s="17" t="n"/>
      <c r="Q29" s="18">
        <f>IF($P29="","",K29-$P29)</f>
        <v/>
      </c>
      <c r="R29" s="18">
        <f>IF($P29="","",L29-$P29)</f>
        <v/>
      </c>
      <c r="S29" s="18">
        <f>IF($P29="","",M29-$P29)</f>
        <v/>
      </c>
      <c r="T29" s="18">
        <f>IF($P29="","",N29-$P29)</f>
        <v/>
      </c>
      <c r="U29" s="18">
        <f>IF($P29="","",O29-$P29)</f>
        <v/>
      </c>
    </row>
    <row r="30">
      <c r="A30" s="8" t="inlineStr">
        <is>
          <t>SONIA</t>
        </is>
      </c>
      <c r="B30" s="9" t="inlineStr">
        <is>
          <t>7y swap rate</t>
        </is>
      </c>
      <c r="C30" s="9" t="inlineStr">
        <is>
          <t>%</t>
        </is>
      </c>
      <c r="D30" s="9" t="inlineStr">
        <is>
          <t>Swap curve node — SONIA</t>
        </is>
      </c>
      <c r="E30" s="9" t="inlineStr">
        <is>
          <t>APT factor</t>
        </is>
      </c>
      <c r="F30" s="15" t="n">
        <v>0.055</v>
      </c>
      <c r="G30" s="15" t="n">
        <v>0.05</v>
      </c>
      <c r="H30" s="15" t="n">
        <v>0.042</v>
      </c>
      <c r="I30" s="15" t="n">
        <v>0.036</v>
      </c>
      <c r="J30" s="15" t="n">
        <v>0.03</v>
      </c>
      <c r="K30" s="15">
        <f>IF(AND(F30&gt;G30,F30&gt;=MAX(F30:J30)),F30,(F30+G30)/2)</f>
        <v/>
      </c>
      <c r="L30" s="16">
        <f>G30</f>
        <v/>
      </c>
      <c r="M30" s="15">
        <f>H30</f>
        <v/>
      </c>
      <c r="N30" s="15">
        <f>I30</f>
        <v/>
      </c>
      <c r="O30" s="15">
        <f>J30</f>
        <v/>
      </c>
      <c r="P30" s="17" t="n"/>
      <c r="Q30" s="18">
        <f>IF($P30="","",K30-$P30)</f>
        <v/>
      </c>
      <c r="R30" s="18">
        <f>IF($P30="","",L30-$P30)</f>
        <v/>
      </c>
      <c r="S30" s="18">
        <f>IF($P30="","",M30-$P30)</f>
        <v/>
      </c>
      <c r="T30" s="18">
        <f>IF($P30="","",N30-$P30)</f>
        <v/>
      </c>
      <c r="U30" s="18">
        <f>IF($P30="","",O30-$P30)</f>
        <v/>
      </c>
    </row>
    <row r="31">
      <c r="A31" s="8" t="inlineStr">
        <is>
          <t>SONIA</t>
        </is>
      </c>
      <c r="B31" s="9" t="inlineStr">
        <is>
          <t>10y swap rate</t>
        </is>
      </c>
      <c r="C31" s="9" t="inlineStr">
        <is>
          <t>%</t>
        </is>
      </c>
      <c r="D31" s="9" t="inlineStr">
        <is>
          <t>Swap curve node — SONIA</t>
        </is>
      </c>
      <c r="E31" s="9" t="inlineStr">
        <is>
          <t>APT factor</t>
        </is>
      </c>
      <c r="F31" s="15" t="n">
        <v>0.051</v>
      </c>
      <c r="G31" s="15" t="n">
        <v>0.048</v>
      </c>
      <c r="H31" s="15" t="n">
        <v>0.041</v>
      </c>
      <c r="I31" s="15" t="n">
        <v>0.035</v>
      </c>
      <c r="J31" s="15" t="n">
        <v>0.03</v>
      </c>
      <c r="K31" s="15">
        <f>IF(AND(F31&gt;G31,F31&gt;=MAX(F31:J31)),F31,(F31+G31)/2)</f>
        <v/>
      </c>
      <c r="L31" s="16">
        <f>G31</f>
        <v/>
      </c>
      <c r="M31" s="15">
        <f>H31</f>
        <v/>
      </c>
      <c r="N31" s="15">
        <f>I31</f>
        <v/>
      </c>
      <c r="O31" s="15">
        <f>J31</f>
        <v/>
      </c>
      <c r="P31" s="17" t="n"/>
      <c r="Q31" s="18">
        <f>IF($P31="","",K31-$P31)</f>
        <v/>
      </c>
      <c r="R31" s="18">
        <f>IF($P31="","",L31-$P31)</f>
        <v/>
      </c>
      <c r="S31" s="18">
        <f>IF($P31="","",M31-$P31)</f>
        <v/>
      </c>
      <c r="T31" s="18">
        <f>IF($P31="","",N31-$P31)</f>
        <v/>
      </c>
      <c r="U31" s="18">
        <f>IF($P31="","",O31-$P31)</f>
        <v/>
      </c>
    </row>
    <row r="32">
      <c r="A32" s="8" t="inlineStr">
        <is>
          <t>SONIA</t>
        </is>
      </c>
      <c r="B32" s="9" t="inlineStr">
        <is>
          <t>15y swap rate</t>
        </is>
      </c>
      <c r="C32" s="9" t="inlineStr">
        <is>
          <t>%</t>
        </is>
      </c>
      <c r="D32" s="9" t="inlineStr">
        <is>
          <t>Swap curve node — SONIA</t>
        </is>
      </c>
      <c r="E32" s="9" t="inlineStr">
        <is>
          <t>APT factor</t>
        </is>
      </c>
      <c r="F32" s="15" t="n">
        <v>0.049</v>
      </c>
      <c r="G32" s="15" t="n">
        <v>0.046</v>
      </c>
      <c r="H32" s="15" t="n">
        <v>0.04</v>
      </c>
      <c r="I32" s="15" t="n">
        <v>0.034</v>
      </c>
      <c r="J32" s="15" t="n">
        <v>0.029</v>
      </c>
      <c r="K32" s="15">
        <f>IF(AND(F32&gt;G32,F32&gt;=MAX(F32:J32)),F32,(F32+G32)/2)</f>
        <v/>
      </c>
      <c r="L32" s="16">
        <f>G32</f>
        <v/>
      </c>
      <c r="M32" s="15">
        <f>H32</f>
        <v/>
      </c>
      <c r="N32" s="15">
        <f>I32</f>
        <v/>
      </c>
      <c r="O32" s="15">
        <f>J32</f>
        <v/>
      </c>
      <c r="P32" s="17" t="n"/>
      <c r="Q32" s="18">
        <f>IF($P32="","",K32-$P32)</f>
        <v/>
      </c>
      <c r="R32" s="18">
        <f>IF($P32="","",L32-$P32)</f>
        <v/>
      </c>
      <c r="S32" s="18">
        <f>IF($P32="","",M32-$P32)</f>
        <v/>
      </c>
      <c r="T32" s="18">
        <f>IF($P32="","",N32-$P32)</f>
        <v/>
      </c>
      <c r="U32" s="18">
        <f>IF($P32="","",O32-$P32)</f>
        <v/>
      </c>
    </row>
    <row r="33">
      <c r="A33" s="8" t="inlineStr">
        <is>
          <t>SONIA</t>
        </is>
      </c>
      <c r="B33" s="9" t="inlineStr">
        <is>
          <t>20y swap rate</t>
        </is>
      </c>
      <c r="C33" s="9" t="inlineStr">
        <is>
          <t>%</t>
        </is>
      </c>
      <c r="D33" s="9" t="inlineStr">
        <is>
          <t>Swap curve node — SONIA</t>
        </is>
      </c>
      <c r="E33" s="9" t="inlineStr">
        <is>
          <t>APT factor</t>
        </is>
      </c>
      <c r="F33" s="15" t="n">
        <v>0.049</v>
      </c>
      <c r="G33" s="15" t="n">
        <v>0.047</v>
      </c>
      <c r="H33" s="15" t="n">
        <v>0.04</v>
      </c>
      <c r="I33" s="15" t="n">
        <v>0.034</v>
      </c>
      <c r="J33" s="15" t="n">
        <v>0.028</v>
      </c>
      <c r="K33" s="15">
        <f>IF(AND(F33&gt;G33,F33&gt;=MAX(F33:J33)),F33,(F33+G33)/2)</f>
        <v/>
      </c>
      <c r="L33" s="16">
        <f>G33</f>
        <v/>
      </c>
      <c r="M33" s="15">
        <f>H33</f>
        <v/>
      </c>
      <c r="N33" s="15">
        <f>I33</f>
        <v/>
      </c>
      <c r="O33" s="15">
        <f>J33</f>
        <v/>
      </c>
      <c r="P33" s="17" t="n"/>
      <c r="Q33" s="18">
        <f>IF($P33="","",K33-$P33)</f>
        <v/>
      </c>
      <c r="R33" s="18">
        <f>IF($P33="","",L33-$P33)</f>
        <v/>
      </c>
      <c r="S33" s="18">
        <f>IF($P33="","",M33-$P33)</f>
        <v/>
      </c>
      <c r="T33" s="18">
        <f>IF($P33="","",N33-$P33)</f>
        <v/>
      </c>
      <c r="U33" s="18">
        <f>IF($P33="","",O33-$P33)</f>
        <v/>
      </c>
    </row>
    <row r="34">
      <c r="A34" s="8" t="inlineStr">
        <is>
          <t>US government bond yields</t>
        </is>
      </c>
      <c r="B34" s="9" t="inlineStr">
        <is>
          <t>3m government bond yield</t>
        </is>
      </c>
      <c r="C34" s="9" t="inlineStr">
        <is>
          <t>%</t>
        </is>
      </c>
      <c r="D34" s="9" t="inlineStr">
        <is>
          <t>Government curve node — USD</t>
        </is>
      </c>
      <c r="E34" s="9" t="inlineStr">
        <is>
          <t>APT factor</t>
        </is>
      </c>
      <c r="F34" s="15" t="n">
        <v>0.062</v>
      </c>
      <c r="G34" s="15" t="n">
        <v>0.07199999999999999</v>
      </c>
      <c r="H34" s="15" t="n">
        <v>0.062</v>
      </c>
      <c r="I34" s="15" t="n">
        <v>0.052</v>
      </c>
      <c r="J34" s="15" t="n">
        <v>0.041</v>
      </c>
      <c r="K34" s="15">
        <f>IF(AND(F34&gt;G34,F34&gt;=MAX(F34:J34)),F34,(F34+G34)/2)</f>
        <v/>
      </c>
      <c r="L34" s="16">
        <f>G34</f>
        <v/>
      </c>
      <c r="M34" s="15">
        <f>H34</f>
        <v/>
      </c>
      <c r="N34" s="15">
        <f>I34</f>
        <v/>
      </c>
      <c r="O34" s="15">
        <f>J34</f>
        <v/>
      </c>
      <c r="P34" s="17" t="n"/>
      <c r="Q34" s="18">
        <f>IF($P34="","",K34-$P34)</f>
        <v/>
      </c>
      <c r="R34" s="18">
        <f>IF($P34="","",L34-$P34)</f>
        <v/>
      </c>
      <c r="S34" s="18">
        <f>IF($P34="","",M34-$P34)</f>
        <v/>
      </c>
      <c r="T34" s="18">
        <f>IF($P34="","",N34-$P34)</f>
        <v/>
      </c>
      <c r="U34" s="18">
        <f>IF($P34="","",O34-$P34)</f>
        <v/>
      </c>
    </row>
    <row r="35">
      <c r="A35" s="8" t="inlineStr">
        <is>
          <t>US government bond yields</t>
        </is>
      </c>
      <c r="B35" s="9" t="inlineStr">
        <is>
          <t>1y government bond yield</t>
        </is>
      </c>
      <c r="C35" s="9" t="inlineStr">
        <is>
          <t>%</t>
        </is>
      </c>
      <c r="D35" s="9" t="inlineStr">
        <is>
          <t>Government curve node — USD</t>
        </is>
      </c>
      <c r="E35" s="9" t="inlineStr">
        <is>
          <t>APT factor</t>
        </is>
      </c>
      <c r="F35" s="15" t="n">
        <v>0.066</v>
      </c>
      <c r="G35" s="15" t="n">
        <v>0.074</v>
      </c>
      <c r="H35" s="15" t="n">
        <v>0.063</v>
      </c>
      <c r="I35" s="15" t="n">
        <v>0.052</v>
      </c>
      <c r="J35" s="15" t="n">
        <v>0.042</v>
      </c>
      <c r="K35" s="15">
        <f>IF(AND(F35&gt;G35,F35&gt;=MAX(F35:J35)),F35,(F35+G35)/2)</f>
        <v/>
      </c>
      <c r="L35" s="16">
        <f>G35</f>
        <v/>
      </c>
      <c r="M35" s="15">
        <f>H35</f>
        <v/>
      </c>
      <c r="N35" s="15">
        <f>I35</f>
        <v/>
      </c>
      <c r="O35" s="15">
        <f>J35</f>
        <v/>
      </c>
      <c r="P35" s="17" t="n"/>
      <c r="Q35" s="18">
        <f>IF($P35="","",K35-$P35)</f>
        <v/>
      </c>
      <c r="R35" s="18">
        <f>IF($P35="","",L35-$P35)</f>
        <v/>
      </c>
      <c r="S35" s="18">
        <f>IF($P35="","",M35-$P35)</f>
        <v/>
      </c>
      <c r="T35" s="18">
        <f>IF($P35="","",N35-$P35)</f>
        <v/>
      </c>
      <c r="U35" s="18">
        <f>IF($P35="","",O35-$P35)</f>
        <v/>
      </c>
    </row>
    <row r="36">
      <c r="A36" s="8" t="inlineStr">
        <is>
          <t>US government bond yields</t>
        </is>
      </c>
      <c r="B36" s="9" t="inlineStr">
        <is>
          <t>2y government bond yield</t>
        </is>
      </c>
      <c r="C36" s="9" t="inlineStr">
        <is>
          <t>%</t>
        </is>
      </c>
      <c r="D36" s="9" t="inlineStr">
        <is>
          <t>Government curve node — USD</t>
        </is>
      </c>
      <c r="E36" s="9" t="inlineStr">
        <is>
          <t>APT factor</t>
        </is>
      </c>
      <c r="F36" s="15" t="n">
        <v>0.07099999999999999</v>
      </c>
      <c r="G36" s="15" t="n">
        <v>0.07099999999999999</v>
      </c>
      <c r="H36" s="15" t="n">
        <v>0.06</v>
      </c>
      <c r="I36" s="15" t="n">
        <v>0.048</v>
      </c>
      <c r="J36" s="15" t="n">
        <v>0.037</v>
      </c>
      <c r="K36" s="15">
        <f>IF(AND(F36&gt;G36,F36&gt;=MAX(F36:J36)),F36,(F36+G36)/2)</f>
        <v/>
      </c>
      <c r="L36" s="16">
        <f>G36</f>
        <v/>
      </c>
      <c r="M36" s="15">
        <f>H36</f>
        <v/>
      </c>
      <c r="N36" s="15">
        <f>I36</f>
        <v/>
      </c>
      <c r="O36" s="15">
        <f>J36</f>
        <v/>
      </c>
      <c r="P36" s="17" t="n"/>
      <c r="Q36" s="18">
        <f>IF($P36="","",K36-$P36)</f>
        <v/>
      </c>
      <c r="R36" s="18">
        <f>IF($P36="","",L36-$P36)</f>
        <v/>
      </c>
      <c r="S36" s="18">
        <f>IF($P36="","",M36-$P36)</f>
        <v/>
      </c>
      <c r="T36" s="18">
        <f>IF($P36="","",N36-$P36)</f>
        <v/>
      </c>
      <c r="U36" s="18">
        <f>IF($P36="","",O36-$P36)</f>
        <v/>
      </c>
    </row>
    <row r="37">
      <c r="A37" s="8" t="inlineStr">
        <is>
          <t>US government bond yields</t>
        </is>
      </c>
      <c r="B37" s="9" t="inlineStr">
        <is>
          <t>3y government bond yield</t>
        </is>
      </c>
      <c r="C37" s="9" t="inlineStr">
        <is>
          <t>%</t>
        </is>
      </c>
      <c r="D37" s="9" t="inlineStr">
        <is>
          <t>Government curve node — USD</t>
        </is>
      </c>
      <c r="E37" s="9" t="inlineStr">
        <is>
          <t>APT factor</t>
        </is>
      </c>
      <c r="F37" s="15" t="n">
        <v>0.07099999999999999</v>
      </c>
      <c r="G37" s="15" t="n">
        <v>0.068</v>
      </c>
      <c r="H37" s="15" t="n">
        <v>0.056</v>
      </c>
      <c r="I37" s="15" t="n">
        <v>0.044</v>
      </c>
      <c r="J37" s="15" t="n">
        <v>0.036</v>
      </c>
      <c r="K37" s="15">
        <f>IF(AND(F37&gt;G37,F37&gt;=MAX(F37:J37)),F37,(F37+G37)/2)</f>
        <v/>
      </c>
      <c r="L37" s="16">
        <f>G37</f>
        <v/>
      </c>
      <c r="M37" s="15">
        <f>H37</f>
        <v/>
      </c>
      <c r="N37" s="15">
        <f>I37</f>
        <v/>
      </c>
      <c r="O37" s="15">
        <f>J37</f>
        <v/>
      </c>
      <c r="P37" s="17" t="n"/>
      <c r="Q37" s="18">
        <f>IF($P37="","",K37-$P37)</f>
        <v/>
      </c>
      <c r="R37" s="18">
        <f>IF($P37="","",L37-$P37)</f>
        <v/>
      </c>
      <c r="S37" s="18">
        <f>IF($P37="","",M37-$P37)</f>
        <v/>
      </c>
      <c r="T37" s="18">
        <f>IF($P37="","",N37-$P37)</f>
        <v/>
      </c>
      <c r="U37" s="18">
        <f>IF($P37="","",O37-$P37)</f>
        <v/>
      </c>
    </row>
    <row r="38">
      <c r="A38" s="8" t="inlineStr">
        <is>
          <t>US government bond yields</t>
        </is>
      </c>
      <c r="B38" s="9" t="inlineStr">
        <is>
          <t>4y government bond yield</t>
        </is>
      </c>
      <c r="C38" s="9" t="inlineStr">
        <is>
          <t>%</t>
        </is>
      </c>
      <c r="D38" s="9" t="inlineStr">
        <is>
          <t>Government curve node — USD</t>
        </is>
      </c>
      <c r="E38" s="9" t="inlineStr">
        <is>
          <t>APT factor</t>
        </is>
      </c>
      <c r="F38" s="15" t="n">
        <v>0.07000000000000001</v>
      </c>
      <c r="G38" s="15" t="n">
        <v>0.064</v>
      </c>
      <c r="H38" s="15" t="n">
        <v>0.052</v>
      </c>
      <c r="I38" s="15" t="n">
        <v>0.043</v>
      </c>
      <c r="J38" s="15" t="n">
        <v>0.036</v>
      </c>
      <c r="K38" s="15">
        <f>IF(AND(F38&gt;G38,F38&gt;=MAX(F38:J38)),F38,(F38+G38)/2)</f>
        <v/>
      </c>
      <c r="L38" s="16">
        <f>G38</f>
        <v/>
      </c>
      <c r="M38" s="15">
        <f>H38</f>
        <v/>
      </c>
      <c r="N38" s="15">
        <f>I38</f>
        <v/>
      </c>
      <c r="O38" s="15">
        <f>J38</f>
        <v/>
      </c>
      <c r="P38" s="17" t="n"/>
      <c r="Q38" s="18">
        <f>IF($P38="","",K38-$P38)</f>
        <v/>
      </c>
      <c r="R38" s="18">
        <f>IF($P38="","",L38-$P38)</f>
        <v/>
      </c>
      <c r="S38" s="18">
        <f>IF($P38="","",M38-$P38)</f>
        <v/>
      </c>
      <c r="T38" s="18">
        <f>IF($P38="","",N38-$P38)</f>
        <v/>
      </c>
      <c r="U38" s="18">
        <f>IF($P38="","",O38-$P38)</f>
        <v/>
      </c>
    </row>
    <row r="39">
      <c r="A39" s="8" t="inlineStr">
        <is>
          <t>US government bond yields</t>
        </is>
      </c>
      <c r="B39" s="9" t="inlineStr">
        <is>
          <t>5y government bond yield</t>
        </is>
      </c>
      <c r="C39" s="9" t="inlineStr">
        <is>
          <t>%</t>
        </is>
      </c>
      <c r="D39" s="9" t="inlineStr">
        <is>
          <t>Government curve node — USD</t>
        </is>
      </c>
      <c r="E39" s="9" t="inlineStr">
        <is>
          <t>APT factor</t>
        </is>
      </c>
      <c r="F39" s="15" t="n">
        <v>0.067</v>
      </c>
      <c r="G39" s="15" t="n">
        <v>0.061</v>
      </c>
      <c r="H39" s="15" t="n">
        <v>0.051</v>
      </c>
      <c r="I39" s="15" t="n">
        <v>0.042</v>
      </c>
      <c r="J39" s="15" t="n">
        <v>0.036</v>
      </c>
      <c r="K39" s="15">
        <f>IF(AND(F39&gt;G39,F39&gt;=MAX(F39:J39)),F39,(F39+G39)/2)</f>
        <v/>
      </c>
      <c r="L39" s="16">
        <f>G39</f>
        <v/>
      </c>
      <c r="M39" s="15">
        <f>H39</f>
        <v/>
      </c>
      <c r="N39" s="15">
        <f>I39</f>
        <v/>
      </c>
      <c r="O39" s="15">
        <f>J39</f>
        <v/>
      </c>
      <c r="P39" s="17" t="n"/>
      <c r="Q39" s="18">
        <f>IF($P39="","",K39-$P39)</f>
        <v/>
      </c>
      <c r="R39" s="18">
        <f>IF($P39="","",L39-$P39)</f>
        <v/>
      </c>
      <c r="S39" s="18">
        <f>IF($P39="","",M39-$P39)</f>
        <v/>
      </c>
      <c r="T39" s="18">
        <f>IF($P39="","",N39-$P39)</f>
        <v/>
      </c>
      <c r="U39" s="18">
        <f>IF($P39="","",O39-$P39)</f>
        <v/>
      </c>
    </row>
    <row r="40">
      <c r="A40" s="8" t="inlineStr">
        <is>
          <t>US government bond yields</t>
        </is>
      </c>
      <c r="B40" s="9" t="inlineStr">
        <is>
          <t>7y government bond yield</t>
        </is>
      </c>
      <c r="C40" s="9" t="inlineStr">
        <is>
          <t>%</t>
        </is>
      </c>
      <c r="D40" s="9" t="inlineStr">
        <is>
          <t>Government curve node — USD</t>
        </is>
      </c>
      <c r="E40" s="9" t="inlineStr">
        <is>
          <t>APT factor</t>
        </is>
      </c>
      <c r="F40" s="15" t="n">
        <v>0.063</v>
      </c>
      <c r="G40" s="15" t="n">
        <v>0.058</v>
      </c>
      <c r="H40" s="15" t="n">
        <v>0.049</v>
      </c>
      <c r="I40" s="15" t="n">
        <v>0.042</v>
      </c>
      <c r="J40" s="15" t="n">
        <v>0.036</v>
      </c>
      <c r="K40" s="15">
        <f>IF(AND(F40&gt;G40,F40&gt;=MAX(F40:J40)),F40,(F40+G40)/2)</f>
        <v/>
      </c>
      <c r="L40" s="16">
        <f>G40</f>
        <v/>
      </c>
      <c r="M40" s="15">
        <f>H40</f>
        <v/>
      </c>
      <c r="N40" s="15">
        <f>I40</f>
        <v/>
      </c>
      <c r="O40" s="15">
        <f>J40</f>
        <v/>
      </c>
      <c r="P40" s="17" t="n"/>
      <c r="Q40" s="18">
        <f>IF($P40="","",K40-$P40)</f>
        <v/>
      </c>
      <c r="R40" s="18">
        <f>IF($P40="","",L40-$P40)</f>
        <v/>
      </c>
      <c r="S40" s="18">
        <f>IF($P40="","",M40-$P40)</f>
        <v/>
      </c>
      <c r="T40" s="18">
        <f>IF($P40="","",N40-$P40)</f>
        <v/>
      </c>
      <c r="U40" s="18">
        <f>IF($P40="","",O40-$P40)</f>
        <v/>
      </c>
    </row>
    <row r="41">
      <c r="A41" s="8" t="inlineStr">
        <is>
          <t>US government bond yields</t>
        </is>
      </c>
      <c r="B41" s="9" t="inlineStr">
        <is>
          <t>10y government bond yield</t>
        </is>
      </c>
      <c r="C41" s="9" t="inlineStr">
        <is>
          <t>%</t>
        </is>
      </c>
      <c r="D41" s="9" t="inlineStr">
        <is>
          <t>Government curve node — USD</t>
        </is>
      </c>
      <c r="E41" s="9" t="inlineStr">
        <is>
          <t>APT factor</t>
        </is>
      </c>
      <c r="F41" s="15" t="n">
        <v>0.06</v>
      </c>
      <c r="G41" s="15" t="n">
        <v>0.057</v>
      </c>
      <c r="H41" s="15" t="n">
        <v>0.049</v>
      </c>
      <c r="I41" s="15" t="n">
        <v>0.042</v>
      </c>
      <c r="J41" s="15" t="n">
        <v>0.036</v>
      </c>
      <c r="K41" s="15">
        <f>IF(AND(F41&gt;G41,F41&gt;=MAX(F41:J41)),F41,(F41+G41)/2)</f>
        <v/>
      </c>
      <c r="L41" s="16">
        <f>G41</f>
        <v/>
      </c>
      <c r="M41" s="15">
        <f>H41</f>
        <v/>
      </c>
      <c r="N41" s="15">
        <f>I41</f>
        <v/>
      </c>
      <c r="O41" s="15">
        <f>J41</f>
        <v/>
      </c>
      <c r="P41" s="17" t="n"/>
      <c r="Q41" s="18">
        <f>IF($P41="","",K41-$P41)</f>
        <v/>
      </c>
      <c r="R41" s="18">
        <f>IF($P41="","",L41-$P41)</f>
        <v/>
      </c>
      <c r="S41" s="18">
        <f>IF($P41="","",M41-$P41)</f>
        <v/>
      </c>
      <c r="T41" s="18">
        <f>IF($P41="","",N41-$P41)</f>
        <v/>
      </c>
      <c r="U41" s="18">
        <f>IF($P41="","",O41-$P41)</f>
        <v/>
      </c>
    </row>
    <row r="42">
      <c r="A42" s="8" t="inlineStr">
        <is>
          <t>US government bond yields</t>
        </is>
      </c>
      <c r="B42" s="9" t="inlineStr">
        <is>
          <t>15y government bond yield</t>
        </is>
      </c>
      <c r="C42" s="9" t="inlineStr">
        <is>
          <t>%</t>
        </is>
      </c>
      <c r="D42" s="9" t="inlineStr">
        <is>
          <t>Government curve node — USD</t>
        </is>
      </c>
      <c r="E42" s="9" t="inlineStr">
        <is>
          <t>APT factor</t>
        </is>
      </c>
      <c r="F42" s="15" t="n">
        <v>0.06</v>
      </c>
      <c r="G42" s="15" t="n">
        <v>0.058</v>
      </c>
      <c r="H42" s="15" t="n">
        <v>0.051</v>
      </c>
      <c r="I42" s="15" t="n">
        <v>0.043</v>
      </c>
      <c r="J42" s="15" t="n">
        <v>0.037</v>
      </c>
      <c r="K42" s="15">
        <f>IF(AND(F42&gt;G42,F42&gt;=MAX(F42:J42)),F42,(F42+G42)/2)</f>
        <v/>
      </c>
      <c r="L42" s="16">
        <f>G42</f>
        <v/>
      </c>
      <c r="M42" s="15">
        <f>H42</f>
        <v/>
      </c>
      <c r="N42" s="15">
        <f>I42</f>
        <v/>
      </c>
      <c r="O42" s="15">
        <f>J42</f>
        <v/>
      </c>
      <c r="P42" s="17" t="n"/>
      <c r="Q42" s="18">
        <f>IF($P42="","",K42-$P42)</f>
        <v/>
      </c>
      <c r="R42" s="18">
        <f>IF($P42="","",L42-$P42)</f>
        <v/>
      </c>
      <c r="S42" s="18">
        <f>IF($P42="","",M42-$P42)</f>
        <v/>
      </c>
      <c r="T42" s="18">
        <f>IF($P42="","",N42-$P42)</f>
        <v/>
      </c>
      <c r="U42" s="18">
        <f>IF($P42="","",O42-$P42)</f>
        <v/>
      </c>
    </row>
    <row r="43">
      <c r="A43" s="8" t="inlineStr">
        <is>
          <t>US government bond yields</t>
        </is>
      </c>
      <c r="B43" s="9" t="inlineStr">
        <is>
          <t>20y government bond yield</t>
        </is>
      </c>
      <c r="C43" s="9" t="inlineStr">
        <is>
          <t>%</t>
        </is>
      </c>
      <c r="D43" s="9" t="inlineStr">
        <is>
          <t>Government curve node — USD</t>
        </is>
      </c>
      <c r="E43" s="9" t="inlineStr">
        <is>
          <t>APT factor</t>
        </is>
      </c>
      <c r="F43" s="15" t="n">
        <v>0.063</v>
      </c>
      <c r="G43" s="15" t="n">
        <v>0.061</v>
      </c>
      <c r="H43" s="15" t="n">
        <v>0.053</v>
      </c>
      <c r="I43" s="15" t="n">
        <v>0.045</v>
      </c>
      <c r="J43" s="15" t="n">
        <v>0.038</v>
      </c>
      <c r="K43" s="15">
        <f>IF(AND(F43&gt;G43,F43&gt;=MAX(F43:J43)),F43,(F43+G43)/2)</f>
        <v/>
      </c>
      <c r="L43" s="16">
        <f>G43</f>
        <v/>
      </c>
      <c r="M43" s="15">
        <f>H43</f>
        <v/>
      </c>
      <c r="N43" s="15">
        <f>I43</f>
        <v/>
      </c>
      <c r="O43" s="15">
        <f>J43</f>
        <v/>
      </c>
      <c r="P43" s="17" t="n"/>
      <c r="Q43" s="18">
        <f>IF($P43="","",K43-$P43)</f>
        <v/>
      </c>
      <c r="R43" s="18">
        <f>IF($P43="","",L43-$P43)</f>
        <v/>
      </c>
      <c r="S43" s="18">
        <f>IF($P43="","",M43-$P43)</f>
        <v/>
      </c>
      <c r="T43" s="18">
        <f>IF($P43="","",N43-$P43)</f>
        <v/>
      </c>
      <c r="U43" s="18">
        <f>IF($P43="","",O43-$P43)</f>
        <v/>
      </c>
    </row>
    <row r="44">
      <c r="A44" s="8" t="inlineStr">
        <is>
          <t>SOFR</t>
        </is>
      </c>
      <c r="B44" s="9" t="inlineStr">
        <is>
          <t>Overnight</t>
        </is>
      </c>
      <c r="C44" s="9" t="inlineStr">
        <is>
          <t>%</t>
        </is>
      </c>
      <c r="D44" s="9" t="inlineStr">
        <is>
          <t>Swap curve node — SOFR</t>
        </is>
      </c>
      <c r="E44" s="9" t="inlineStr">
        <is>
          <t>APT factor</t>
        </is>
      </c>
      <c r="F44" s="15" t="n">
        <v>0.06</v>
      </c>
      <c r="G44" s="15" t="n">
        <v>0.07000000000000001</v>
      </c>
      <c r="H44" s="15" t="n">
        <v>0.06</v>
      </c>
      <c r="I44" s="15" t="n">
        <v>0.05</v>
      </c>
      <c r="J44" s="15" t="n">
        <v>0.04</v>
      </c>
      <c r="K44" s="15">
        <f>IF(AND(F44&gt;G44,F44&gt;=MAX(F44:J44)),F44,(F44+G44)/2)</f>
        <v/>
      </c>
      <c r="L44" s="16">
        <f>G44</f>
        <v/>
      </c>
      <c r="M44" s="15">
        <f>H44</f>
        <v/>
      </c>
      <c r="N44" s="15">
        <f>I44</f>
        <v/>
      </c>
      <c r="O44" s="15">
        <f>J44</f>
        <v/>
      </c>
      <c r="P44" s="17" t="n"/>
      <c r="Q44" s="18">
        <f>IF($P44="","",K44-$P44)</f>
        <v/>
      </c>
      <c r="R44" s="18">
        <f>IF($P44="","",L44-$P44)</f>
        <v/>
      </c>
      <c r="S44" s="18">
        <f>IF($P44="","",M44-$P44)</f>
        <v/>
      </c>
      <c r="T44" s="18">
        <f>IF($P44="","",N44-$P44)</f>
        <v/>
      </c>
      <c r="U44" s="18">
        <f>IF($P44="","",O44-$P44)</f>
        <v/>
      </c>
    </row>
    <row r="45">
      <c r="A45" s="8" t="inlineStr">
        <is>
          <t>SOFR</t>
        </is>
      </c>
      <c r="B45" s="9" t="inlineStr">
        <is>
          <t>3m swap rate</t>
        </is>
      </c>
      <c r="C45" s="9" t="inlineStr">
        <is>
          <t>%</t>
        </is>
      </c>
      <c r="D45" s="9" t="inlineStr">
        <is>
          <t>Swap curve node — SOFR</t>
        </is>
      </c>
      <c r="E45" s="9" t="inlineStr">
        <is>
          <t>APT factor</t>
        </is>
      </c>
      <c r="F45" s="15" t="n">
        <v>0.06</v>
      </c>
      <c r="G45" s="15" t="n">
        <v>0.07000000000000001</v>
      </c>
      <c r="H45" s="15" t="n">
        <v>0.06</v>
      </c>
      <c r="I45" s="15" t="n">
        <v>0.05</v>
      </c>
      <c r="J45" s="15" t="n">
        <v>0.04</v>
      </c>
      <c r="K45" s="15">
        <f>IF(AND(F45&gt;G45,F45&gt;=MAX(F45:J45)),F45,(F45+G45)/2)</f>
        <v/>
      </c>
      <c r="L45" s="16">
        <f>G45</f>
        <v/>
      </c>
      <c r="M45" s="15">
        <f>H45</f>
        <v/>
      </c>
      <c r="N45" s="15">
        <f>I45</f>
        <v/>
      </c>
      <c r="O45" s="15">
        <f>J45</f>
        <v/>
      </c>
      <c r="P45" s="17" t="n"/>
      <c r="Q45" s="18">
        <f>IF($P45="","",K45-$P45)</f>
        <v/>
      </c>
      <c r="R45" s="18">
        <f>IF($P45="","",L45-$P45)</f>
        <v/>
      </c>
      <c r="S45" s="18">
        <f>IF($P45="","",M45-$P45)</f>
        <v/>
      </c>
      <c r="T45" s="18">
        <f>IF($P45="","",N45-$P45)</f>
        <v/>
      </c>
      <c r="U45" s="18">
        <f>IF($P45="","",O45-$P45)</f>
        <v/>
      </c>
    </row>
    <row r="46">
      <c r="A46" s="8" t="inlineStr">
        <is>
          <t>SOFR</t>
        </is>
      </c>
      <c r="B46" s="9" t="inlineStr">
        <is>
          <t>1y swap rate</t>
        </is>
      </c>
      <c r="C46" s="9" t="inlineStr">
        <is>
          <t>%</t>
        </is>
      </c>
      <c r="D46" s="9" t="inlineStr">
        <is>
          <t>Swap curve node — SOFR</t>
        </is>
      </c>
      <c r="E46" s="9" t="inlineStr">
        <is>
          <t>APT factor</t>
        </is>
      </c>
      <c r="F46" s="15" t="n">
        <v>0.061</v>
      </c>
      <c r="G46" s="15" t="n">
        <v>0.07099999999999999</v>
      </c>
      <c r="H46" s="15" t="n">
        <v>0.06</v>
      </c>
      <c r="I46" s="15" t="n">
        <v>0.05</v>
      </c>
      <c r="J46" s="15" t="n">
        <v>0.04</v>
      </c>
      <c r="K46" s="15">
        <f>IF(AND(F46&gt;G46,F46&gt;=MAX(F46:J46)),F46,(F46+G46)/2)</f>
        <v/>
      </c>
      <c r="L46" s="16">
        <f>G46</f>
        <v/>
      </c>
      <c r="M46" s="15">
        <f>H46</f>
        <v/>
      </c>
      <c r="N46" s="15">
        <f>I46</f>
        <v/>
      </c>
      <c r="O46" s="15">
        <f>J46</f>
        <v/>
      </c>
      <c r="P46" s="17" t="n"/>
      <c r="Q46" s="18">
        <f>IF($P46="","",K46-$P46)</f>
        <v/>
      </c>
      <c r="R46" s="18">
        <f>IF($P46="","",L46-$P46)</f>
        <v/>
      </c>
      <c r="S46" s="18">
        <f>IF($P46="","",M46-$P46)</f>
        <v/>
      </c>
      <c r="T46" s="18">
        <f>IF($P46="","",N46-$P46)</f>
        <v/>
      </c>
      <c r="U46" s="18">
        <f>IF($P46="","",O46-$P46)</f>
        <v/>
      </c>
    </row>
    <row r="47">
      <c r="A47" s="8" t="inlineStr">
        <is>
          <t>SOFR</t>
        </is>
      </c>
      <c r="B47" s="9" t="inlineStr">
        <is>
          <t>2y swap rate</t>
        </is>
      </c>
      <c r="C47" s="9" t="inlineStr">
        <is>
          <t>%</t>
        </is>
      </c>
      <c r="D47" s="9" t="inlineStr">
        <is>
          <t>Swap curve node — SOFR</t>
        </is>
      </c>
      <c r="E47" s="9" t="inlineStr">
        <is>
          <t>APT factor</t>
        </is>
      </c>
      <c r="F47" s="15" t="n">
        <v>0.064</v>
      </c>
      <c r="G47" s="15" t="n">
        <v>0.07099999999999999</v>
      </c>
      <c r="H47" s="15" t="n">
        <v>0.061</v>
      </c>
      <c r="I47" s="15" t="n">
        <v>0.051</v>
      </c>
      <c r="J47" s="15" t="n">
        <v>0.04</v>
      </c>
      <c r="K47" s="15">
        <f>IF(AND(F47&gt;G47,F47&gt;=MAX(F47:J47)),F47,(F47+G47)/2)</f>
        <v/>
      </c>
      <c r="L47" s="16">
        <f>G47</f>
        <v/>
      </c>
      <c r="M47" s="15">
        <f>H47</f>
        <v/>
      </c>
      <c r="N47" s="15">
        <f>I47</f>
        <v/>
      </c>
      <c r="O47" s="15">
        <f>J47</f>
        <v/>
      </c>
      <c r="P47" s="17" t="n"/>
      <c r="Q47" s="18">
        <f>IF($P47="","",K47-$P47)</f>
        <v/>
      </c>
      <c r="R47" s="18">
        <f>IF($P47="","",L47-$P47)</f>
        <v/>
      </c>
      <c r="S47" s="18">
        <f>IF($P47="","",M47-$P47)</f>
        <v/>
      </c>
      <c r="T47" s="18">
        <f>IF($P47="","",N47-$P47)</f>
        <v/>
      </c>
      <c r="U47" s="18">
        <f>IF($P47="","",O47-$P47)</f>
        <v/>
      </c>
    </row>
    <row r="48">
      <c r="A48" s="8" t="inlineStr">
        <is>
          <t>SOFR</t>
        </is>
      </c>
      <c r="B48" s="9" t="inlineStr">
        <is>
          <t>3y swap rate</t>
        </is>
      </c>
      <c r="C48" s="9" t="inlineStr">
        <is>
          <t>%</t>
        </is>
      </c>
      <c r="D48" s="9" t="inlineStr">
        <is>
          <t>Swap curve node — SOFR</t>
        </is>
      </c>
      <c r="E48" s="9" t="inlineStr">
        <is>
          <t>APT factor</t>
        </is>
      </c>
      <c r="F48" s="15" t="n">
        <v>0.068</v>
      </c>
      <c r="G48" s="15" t="n">
        <v>0.068</v>
      </c>
      <c r="H48" s="15" t="n">
        <v>0.057</v>
      </c>
      <c r="I48" s="15" t="n">
        <v>0.046</v>
      </c>
      <c r="J48" s="15" t="n">
        <v>0.035</v>
      </c>
      <c r="K48" s="15">
        <f>IF(AND(F48&gt;G48,F48&gt;=MAX(F48:J48)),F48,(F48+G48)/2)</f>
        <v/>
      </c>
      <c r="L48" s="16">
        <f>G48</f>
        <v/>
      </c>
      <c r="M48" s="15">
        <f>H48</f>
        <v/>
      </c>
      <c r="N48" s="15">
        <f>I48</f>
        <v/>
      </c>
      <c r="O48" s="15">
        <f>J48</f>
        <v/>
      </c>
      <c r="P48" s="17" t="n"/>
      <c r="Q48" s="18">
        <f>IF($P48="","",K48-$P48)</f>
        <v/>
      </c>
      <c r="R48" s="18">
        <f>IF($P48="","",L48-$P48)</f>
        <v/>
      </c>
      <c r="S48" s="18">
        <f>IF($P48="","",M48-$P48)</f>
        <v/>
      </c>
      <c r="T48" s="18">
        <f>IF($P48="","",N48-$P48)</f>
        <v/>
      </c>
      <c r="U48" s="18">
        <f>IF($P48="","",O48-$P48)</f>
        <v/>
      </c>
    </row>
    <row r="49">
      <c r="A49" s="8" t="inlineStr">
        <is>
          <t>SOFR</t>
        </is>
      </c>
      <c r="B49" s="9" t="inlineStr">
        <is>
          <t>4y swap rate</t>
        </is>
      </c>
      <c r="C49" s="9" t="inlineStr">
        <is>
          <t>%</t>
        </is>
      </c>
      <c r="D49" s="9" t="inlineStr">
        <is>
          <t>Swap curve node — SOFR</t>
        </is>
      </c>
      <c r="E49" s="9" t="inlineStr">
        <is>
          <t>APT factor</t>
        </is>
      </c>
      <c r="F49" s="15" t="n">
        <v>0.067</v>
      </c>
      <c r="G49" s="15" t="n">
        <v>0.064</v>
      </c>
      <c r="H49" s="15" t="n">
        <v>0.052</v>
      </c>
      <c r="I49" s="15" t="n">
        <v>0.041</v>
      </c>
      <c r="J49" s="15" t="n">
        <v>0.033</v>
      </c>
      <c r="K49" s="15">
        <f>IF(AND(F49&gt;G49,F49&gt;=MAX(F49:J49)),F49,(F49+G49)/2)</f>
        <v/>
      </c>
      <c r="L49" s="16">
        <f>G49</f>
        <v/>
      </c>
      <c r="M49" s="15">
        <f>H49</f>
        <v/>
      </c>
      <c r="N49" s="15">
        <f>I49</f>
        <v/>
      </c>
      <c r="O49" s="15">
        <f>J49</f>
        <v/>
      </c>
      <c r="P49" s="17" t="n"/>
      <c r="Q49" s="18">
        <f>IF($P49="","",K49-$P49)</f>
        <v/>
      </c>
      <c r="R49" s="18">
        <f>IF($P49="","",L49-$P49)</f>
        <v/>
      </c>
      <c r="S49" s="18">
        <f>IF($P49="","",M49-$P49)</f>
        <v/>
      </c>
      <c r="T49" s="18">
        <f>IF($P49="","",N49-$P49)</f>
        <v/>
      </c>
      <c r="U49" s="18">
        <f>IF($P49="","",O49-$P49)</f>
        <v/>
      </c>
    </row>
    <row r="50">
      <c r="A50" s="8" t="inlineStr">
        <is>
          <t>SOFR</t>
        </is>
      </c>
      <c r="B50" s="9" t="inlineStr">
        <is>
          <t>5y swap rate</t>
        </is>
      </c>
      <c r="C50" s="9" t="inlineStr">
        <is>
          <t>%</t>
        </is>
      </c>
      <c r="D50" s="9" t="inlineStr">
        <is>
          <t>Swap curve node — SOFR</t>
        </is>
      </c>
      <c r="E50" s="9" t="inlineStr">
        <is>
          <t>APT factor</t>
        </is>
      </c>
      <c r="F50" s="15" t="n">
        <v>0.065</v>
      </c>
      <c r="G50" s="15" t="n">
        <v>0.059</v>
      </c>
      <c r="H50" s="15" t="n">
        <v>0.048</v>
      </c>
      <c r="I50" s="15" t="n">
        <v>0.039</v>
      </c>
      <c r="J50" s="15" t="n">
        <v>0.032</v>
      </c>
      <c r="K50" s="15">
        <f>IF(AND(F50&gt;G50,F50&gt;=MAX(F50:J50)),F50,(F50+G50)/2)</f>
        <v/>
      </c>
      <c r="L50" s="16">
        <f>G50</f>
        <v/>
      </c>
      <c r="M50" s="15">
        <f>H50</f>
        <v/>
      </c>
      <c r="N50" s="15">
        <f>I50</f>
        <v/>
      </c>
      <c r="O50" s="15">
        <f>J50</f>
        <v/>
      </c>
      <c r="P50" s="17" t="n"/>
      <c r="Q50" s="18">
        <f>IF($P50="","",K50-$P50)</f>
        <v/>
      </c>
      <c r="R50" s="18">
        <f>IF($P50="","",L50-$P50)</f>
        <v/>
      </c>
      <c r="S50" s="18">
        <f>IF($P50="","",M50-$P50)</f>
        <v/>
      </c>
      <c r="T50" s="18">
        <f>IF($P50="","",N50-$P50)</f>
        <v/>
      </c>
      <c r="U50" s="18">
        <f>IF($P50="","",O50-$P50)</f>
        <v/>
      </c>
    </row>
    <row r="51">
      <c r="A51" s="8" t="inlineStr">
        <is>
          <t>SOFR</t>
        </is>
      </c>
      <c r="B51" s="9" t="inlineStr">
        <is>
          <t>7y swap rate</t>
        </is>
      </c>
      <c r="C51" s="9" t="inlineStr">
        <is>
          <t>%</t>
        </is>
      </c>
      <c r="D51" s="9" t="inlineStr">
        <is>
          <t>Swap curve node — SOFR</t>
        </is>
      </c>
      <c r="E51" s="9" t="inlineStr">
        <is>
          <t>APT factor</t>
        </is>
      </c>
      <c r="F51" s="15" t="n">
        <v>0.061</v>
      </c>
      <c r="G51" s="15" t="n">
        <v>0.055</v>
      </c>
      <c r="H51" s="15" t="n">
        <v>0.045</v>
      </c>
      <c r="I51" s="15" t="n">
        <v>0.037</v>
      </c>
      <c r="J51" s="15" t="n">
        <v>0.032</v>
      </c>
      <c r="K51" s="15">
        <f>IF(AND(F51&gt;G51,F51&gt;=MAX(F51:J51)),F51,(F51+G51)/2)</f>
        <v/>
      </c>
      <c r="L51" s="16">
        <f>G51</f>
        <v/>
      </c>
      <c r="M51" s="15">
        <f>H51</f>
        <v/>
      </c>
      <c r="N51" s="15">
        <f>I51</f>
        <v/>
      </c>
      <c r="O51" s="15">
        <f>J51</f>
        <v/>
      </c>
      <c r="P51" s="17" t="n"/>
      <c r="Q51" s="18">
        <f>IF($P51="","",K51-$P51)</f>
        <v/>
      </c>
      <c r="R51" s="18">
        <f>IF($P51="","",L51-$P51)</f>
        <v/>
      </c>
      <c r="S51" s="18">
        <f>IF($P51="","",M51-$P51)</f>
        <v/>
      </c>
      <c r="T51" s="18">
        <f>IF($P51="","",N51-$P51)</f>
        <v/>
      </c>
      <c r="U51" s="18">
        <f>IF($P51="","",O51-$P51)</f>
        <v/>
      </c>
    </row>
    <row r="52">
      <c r="A52" s="8" t="inlineStr">
        <is>
          <t>SOFR</t>
        </is>
      </c>
      <c r="B52" s="9" t="inlineStr">
        <is>
          <t>10y swap rate</t>
        </is>
      </c>
      <c r="C52" s="9" t="inlineStr">
        <is>
          <t>%</t>
        </is>
      </c>
      <c r="D52" s="9" t="inlineStr">
        <is>
          <t>Swap curve node — SOFR</t>
        </is>
      </c>
      <c r="E52" s="9" t="inlineStr">
        <is>
          <t>APT factor</t>
        </is>
      </c>
      <c r="F52" s="15" t="n">
        <v>0.056</v>
      </c>
      <c r="G52" s="15" t="n">
        <v>0.051</v>
      </c>
      <c r="H52" s="15" t="n">
        <v>0.043</v>
      </c>
      <c r="I52" s="15" t="n">
        <v>0.036</v>
      </c>
      <c r="J52" s="15" t="n">
        <v>0.031</v>
      </c>
      <c r="K52" s="15">
        <f>IF(AND(F52&gt;G52,F52&gt;=MAX(F52:J52)),F52,(F52+G52)/2)</f>
        <v/>
      </c>
      <c r="L52" s="16">
        <f>G52</f>
        <v/>
      </c>
      <c r="M52" s="15">
        <f>H52</f>
        <v/>
      </c>
      <c r="N52" s="15">
        <f>I52</f>
        <v/>
      </c>
      <c r="O52" s="15">
        <f>J52</f>
        <v/>
      </c>
      <c r="P52" s="17" t="n"/>
      <c r="Q52" s="18">
        <f>IF($P52="","",K52-$P52)</f>
        <v/>
      </c>
      <c r="R52" s="18">
        <f>IF($P52="","",L52-$P52)</f>
        <v/>
      </c>
      <c r="S52" s="18">
        <f>IF($P52="","",M52-$P52)</f>
        <v/>
      </c>
      <c r="T52" s="18">
        <f>IF($P52="","",N52-$P52)</f>
        <v/>
      </c>
      <c r="U52" s="18">
        <f>IF($P52="","",O52-$P52)</f>
        <v/>
      </c>
    </row>
    <row r="53">
      <c r="A53" s="8" t="inlineStr">
        <is>
          <t>SOFR</t>
        </is>
      </c>
      <c r="B53" s="9" t="inlineStr">
        <is>
          <t>15y swap rate</t>
        </is>
      </c>
      <c r="C53" s="9" t="inlineStr">
        <is>
          <t>%</t>
        </is>
      </c>
      <c r="D53" s="9" t="inlineStr">
        <is>
          <t>Swap curve node — SOFR</t>
        </is>
      </c>
      <c r="E53" s="9" t="inlineStr">
        <is>
          <t>APT factor</t>
        </is>
      </c>
      <c r="F53" s="15" t="n">
        <v>0.052</v>
      </c>
      <c r="G53" s="15" t="n">
        <v>0.048</v>
      </c>
      <c r="H53" s="15" t="n">
        <v>0.041</v>
      </c>
      <c r="I53" s="15" t="n">
        <v>0.035</v>
      </c>
      <c r="J53" s="15" t="n">
        <v>0.03</v>
      </c>
      <c r="K53" s="15">
        <f>IF(AND(F53&gt;G53,F53&gt;=MAX(F53:J53)),F53,(F53+G53)/2)</f>
        <v/>
      </c>
      <c r="L53" s="16">
        <f>G53</f>
        <v/>
      </c>
      <c r="M53" s="15">
        <f>H53</f>
        <v/>
      </c>
      <c r="N53" s="15">
        <f>I53</f>
        <v/>
      </c>
      <c r="O53" s="15">
        <f>J53</f>
        <v/>
      </c>
      <c r="P53" s="17" t="n"/>
      <c r="Q53" s="18">
        <f>IF($P53="","",K53-$P53)</f>
        <v/>
      </c>
      <c r="R53" s="18">
        <f>IF($P53="","",L53-$P53)</f>
        <v/>
      </c>
      <c r="S53" s="18">
        <f>IF($P53="","",M53-$P53)</f>
        <v/>
      </c>
      <c r="T53" s="18">
        <f>IF($P53="","",N53-$P53)</f>
        <v/>
      </c>
      <c r="U53" s="18">
        <f>IF($P53="","",O53-$P53)</f>
        <v/>
      </c>
    </row>
    <row r="54">
      <c r="A54" s="8" t="inlineStr">
        <is>
          <t>SOFR</t>
        </is>
      </c>
      <c r="B54" s="9" t="inlineStr">
        <is>
          <t>20y swap rate</t>
        </is>
      </c>
      <c r="C54" s="9" t="inlineStr">
        <is>
          <t>%</t>
        </is>
      </c>
      <c r="D54" s="9" t="inlineStr">
        <is>
          <t>Swap curve node — SOFR</t>
        </is>
      </c>
      <c r="E54" s="9" t="inlineStr">
        <is>
          <t>APT factor</t>
        </is>
      </c>
      <c r="F54" s="15" t="n">
        <v>0.05</v>
      </c>
      <c r="G54" s="15" t="n">
        <v>0.047</v>
      </c>
      <c r="H54" s="15" t="n">
        <v>0.041</v>
      </c>
      <c r="I54" s="15" t="n">
        <v>0.035</v>
      </c>
      <c r="J54" s="15" t="n">
        <v>0.03</v>
      </c>
      <c r="K54" s="15">
        <f>IF(AND(F54&gt;G54,F54&gt;=MAX(F54:J54)),F54,(F54+G54)/2)</f>
        <v/>
      </c>
      <c r="L54" s="16">
        <f>G54</f>
        <v/>
      </c>
      <c r="M54" s="15">
        <f>H54</f>
        <v/>
      </c>
      <c r="N54" s="15">
        <f>I54</f>
        <v/>
      </c>
      <c r="O54" s="15">
        <f>J54</f>
        <v/>
      </c>
      <c r="P54" s="17" t="n"/>
      <c r="Q54" s="18">
        <f>IF($P54="","",K54-$P54)</f>
        <v/>
      </c>
      <c r="R54" s="18">
        <f>IF($P54="","",L54-$P54)</f>
        <v/>
      </c>
      <c r="S54" s="18">
        <f>IF($P54="","",M54-$P54)</f>
        <v/>
      </c>
      <c r="T54" s="18">
        <f>IF($P54="","",N54-$P54)</f>
        <v/>
      </c>
      <c r="U54" s="18">
        <f>IF($P54="","",O54-$P54)</f>
        <v/>
      </c>
    </row>
    <row r="55">
      <c r="A55" s="8" t="inlineStr">
        <is>
          <t>German government bond yields</t>
        </is>
      </c>
      <c r="B55" s="9" t="inlineStr">
        <is>
          <t>3m government bond yield</t>
        </is>
      </c>
      <c r="C55" s="9" t="inlineStr">
        <is>
          <t>%</t>
        </is>
      </c>
      <c r="D55" s="9" t="inlineStr">
        <is>
          <t>Government curve node — EUR</t>
        </is>
      </c>
      <c r="E55" s="9" t="inlineStr">
        <is>
          <t>APT factor</t>
        </is>
      </c>
      <c r="F55" s="15" t="n">
        <v>0.041</v>
      </c>
      <c r="G55" s="15" t="n">
        <v>0.051</v>
      </c>
      <c r="H55" s="15" t="n">
        <v>0.041</v>
      </c>
      <c r="I55" s="15" t="n">
        <v>0.031</v>
      </c>
      <c r="J55" s="15" t="n">
        <v>0.02</v>
      </c>
      <c r="K55" s="15">
        <f>IF(AND(F55&gt;G55,F55&gt;=MAX(F55:J55)),F55,(F55+G55)/2)</f>
        <v/>
      </c>
      <c r="L55" s="16">
        <f>G55</f>
        <v/>
      </c>
      <c r="M55" s="15">
        <f>H55</f>
        <v/>
      </c>
      <c r="N55" s="15">
        <f>I55</f>
        <v/>
      </c>
      <c r="O55" s="15">
        <f>J55</f>
        <v/>
      </c>
      <c r="P55" s="17" t="n"/>
      <c r="Q55" s="18">
        <f>IF($P55="","",K55-$P55)</f>
        <v/>
      </c>
      <c r="R55" s="18">
        <f>IF($P55="","",L55-$P55)</f>
        <v/>
      </c>
      <c r="S55" s="18">
        <f>IF($P55="","",M55-$P55)</f>
        <v/>
      </c>
      <c r="T55" s="18">
        <f>IF($P55="","",N55-$P55)</f>
        <v/>
      </c>
      <c r="U55" s="18">
        <f>IF($P55="","",O55-$P55)</f>
        <v/>
      </c>
    </row>
    <row r="56">
      <c r="A56" s="8" t="inlineStr">
        <is>
          <t>German government bond yields</t>
        </is>
      </c>
      <c r="B56" s="9" t="inlineStr">
        <is>
          <t>1y government bond yield</t>
        </is>
      </c>
      <c r="C56" s="9" t="inlineStr">
        <is>
          <t>%</t>
        </is>
      </c>
      <c r="D56" s="9" t="inlineStr">
        <is>
          <t>Government curve node — EUR</t>
        </is>
      </c>
      <c r="E56" s="9" t="inlineStr">
        <is>
          <t>APT factor</t>
        </is>
      </c>
      <c r="F56" s="15" t="n">
        <v>0.045</v>
      </c>
      <c r="G56" s="15" t="n">
        <v>0.053</v>
      </c>
      <c r="H56" s="15" t="n">
        <v>0.042</v>
      </c>
      <c r="I56" s="15" t="n">
        <v>0.031</v>
      </c>
      <c r="J56" s="15" t="n">
        <v>0.021</v>
      </c>
      <c r="K56" s="15">
        <f>IF(AND(F56&gt;G56,F56&gt;=MAX(F56:J56)),F56,(F56+G56)/2)</f>
        <v/>
      </c>
      <c r="L56" s="16">
        <f>G56</f>
        <v/>
      </c>
      <c r="M56" s="15">
        <f>H56</f>
        <v/>
      </c>
      <c r="N56" s="15">
        <f>I56</f>
        <v/>
      </c>
      <c r="O56" s="15">
        <f>J56</f>
        <v/>
      </c>
      <c r="P56" s="17" t="n"/>
      <c r="Q56" s="18">
        <f>IF($P56="","",K56-$P56)</f>
        <v/>
      </c>
      <c r="R56" s="18">
        <f>IF($P56="","",L56-$P56)</f>
        <v/>
      </c>
      <c r="S56" s="18">
        <f>IF($P56="","",M56-$P56)</f>
        <v/>
      </c>
      <c r="T56" s="18">
        <f>IF($P56="","",N56-$P56)</f>
        <v/>
      </c>
      <c r="U56" s="18">
        <f>IF($P56="","",O56-$P56)</f>
        <v/>
      </c>
    </row>
    <row r="57">
      <c r="A57" s="8" t="inlineStr">
        <is>
          <t>German government bond yields</t>
        </is>
      </c>
      <c r="B57" s="9" t="inlineStr">
        <is>
          <t>2y government bond yield</t>
        </is>
      </c>
      <c r="C57" s="9" t="inlineStr">
        <is>
          <t>%</t>
        </is>
      </c>
      <c r="D57" s="9" t="inlineStr">
        <is>
          <t>Government curve node — EUR</t>
        </is>
      </c>
      <c r="E57" s="9" t="inlineStr">
        <is>
          <t>APT factor</t>
        </is>
      </c>
      <c r="F57" s="15" t="n">
        <v>0.05</v>
      </c>
      <c r="G57" s="15" t="n">
        <v>0.05</v>
      </c>
      <c r="H57" s="15" t="n">
        <v>0.039</v>
      </c>
      <c r="I57" s="15" t="n">
        <v>0.027</v>
      </c>
      <c r="J57" s="15" t="n">
        <v>0.016</v>
      </c>
      <c r="K57" s="15">
        <f>IF(AND(F57&gt;G57,F57&gt;=MAX(F57:J57)),F57,(F57+G57)/2)</f>
        <v/>
      </c>
      <c r="L57" s="16">
        <f>G57</f>
        <v/>
      </c>
      <c r="M57" s="15">
        <f>H57</f>
        <v/>
      </c>
      <c r="N57" s="15">
        <f>I57</f>
        <v/>
      </c>
      <c r="O57" s="15">
        <f>J57</f>
        <v/>
      </c>
      <c r="P57" s="17" t="n"/>
      <c r="Q57" s="18">
        <f>IF($P57="","",K57-$P57)</f>
        <v/>
      </c>
      <c r="R57" s="18">
        <f>IF($P57="","",L57-$P57)</f>
        <v/>
      </c>
      <c r="S57" s="18">
        <f>IF($P57="","",M57-$P57)</f>
        <v/>
      </c>
      <c r="T57" s="18">
        <f>IF($P57="","",N57-$P57)</f>
        <v/>
      </c>
      <c r="U57" s="18">
        <f>IF($P57="","",O57-$P57)</f>
        <v/>
      </c>
    </row>
    <row r="58">
      <c r="A58" s="8" t="inlineStr">
        <is>
          <t>German government bond yields</t>
        </is>
      </c>
      <c r="B58" s="9" t="inlineStr">
        <is>
          <t>3y government bond yield</t>
        </is>
      </c>
      <c r="C58" s="9" t="inlineStr">
        <is>
          <t>%</t>
        </is>
      </c>
      <c r="D58" s="9" t="inlineStr">
        <is>
          <t>Government curve node — EUR</t>
        </is>
      </c>
      <c r="E58" s="9" t="inlineStr">
        <is>
          <t>APT factor</t>
        </is>
      </c>
      <c r="F58" s="15" t="n">
        <v>0.05</v>
      </c>
      <c r="G58" s="15" t="n">
        <v>0.047</v>
      </c>
      <c r="H58" s="15" t="n">
        <v>0.035</v>
      </c>
      <c r="I58" s="15" t="n">
        <v>0.023</v>
      </c>
      <c r="J58" s="15" t="n">
        <v>0.015</v>
      </c>
      <c r="K58" s="15">
        <f>IF(AND(F58&gt;G58,F58&gt;=MAX(F58:J58)),F58,(F58+G58)/2)</f>
        <v/>
      </c>
      <c r="L58" s="16">
        <f>G58</f>
        <v/>
      </c>
      <c r="M58" s="15">
        <f>H58</f>
        <v/>
      </c>
      <c r="N58" s="15">
        <f>I58</f>
        <v/>
      </c>
      <c r="O58" s="15">
        <f>J58</f>
        <v/>
      </c>
      <c r="P58" s="17" t="n"/>
      <c r="Q58" s="18">
        <f>IF($P58="","",K58-$P58)</f>
        <v/>
      </c>
      <c r="R58" s="18">
        <f>IF($P58="","",L58-$P58)</f>
        <v/>
      </c>
      <c r="S58" s="18">
        <f>IF($P58="","",M58-$P58)</f>
        <v/>
      </c>
      <c r="T58" s="18">
        <f>IF($P58="","",N58-$P58)</f>
        <v/>
      </c>
      <c r="U58" s="18">
        <f>IF($P58="","",O58-$P58)</f>
        <v/>
      </c>
    </row>
    <row r="59">
      <c r="A59" s="8" t="inlineStr">
        <is>
          <t>German government bond yields</t>
        </is>
      </c>
      <c r="B59" s="9" t="inlineStr">
        <is>
          <t>4y government bond yield</t>
        </is>
      </c>
      <c r="C59" s="9" t="inlineStr">
        <is>
          <t>%</t>
        </is>
      </c>
      <c r="D59" s="9" t="inlineStr">
        <is>
          <t>Government curve node — EUR</t>
        </is>
      </c>
      <c r="E59" s="9" t="inlineStr">
        <is>
          <t>APT factor</t>
        </is>
      </c>
      <c r="F59" s="15" t="n">
        <v>0.048</v>
      </c>
      <c r="G59" s="15" t="n">
        <v>0.043</v>
      </c>
      <c r="H59" s="15" t="n">
        <v>0.031</v>
      </c>
      <c r="I59" s="15" t="n">
        <v>0.022</v>
      </c>
      <c r="J59" s="15" t="n">
        <v>0.015</v>
      </c>
      <c r="K59" s="15">
        <f>IF(AND(F59&gt;G59,F59&gt;=MAX(F59:J59)),F59,(F59+G59)/2)</f>
        <v/>
      </c>
      <c r="L59" s="16">
        <f>G59</f>
        <v/>
      </c>
      <c r="M59" s="15">
        <f>H59</f>
        <v/>
      </c>
      <c r="N59" s="15">
        <f>I59</f>
        <v/>
      </c>
      <c r="O59" s="15">
        <f>J59</f>
        <v/>
      </c>
      <c r="P59" s="17" t="n"/>
      <c r="Q59" s="18">
        <f>IF($P59="","",K59-$P59)</f>
        <v/>
      </c>
      <c r="R59" s="18">
        <f>IF($P59="","",L59-$P59)</f>
        <v/>
      </c>
      <c r="S59" s="18">
        <f>IF($P59="","",M59-$P59)</f>
        <v/>
      </c>
      <c r="T59" s="18">
        <f>IF($P59="","",N59-$P59)</f>
        <v/>
      </c>
      <c r="U59" s="18">
        <f>IF($P59="","",O59-$P59)</f>
        <v/>
      </c>
    </row>
    <row r="60">
      <c r="A60" s="8" t="inlineStr">
        <is>
          <t>German government bond yields</t>
        </is>
      </c>
      <c r="B60" s="9" t="inlineStr">
        <is>
          <t>5y government bond yield</t>
        </is>
      </c>
      <c r="C60" s="9" t="inlineStr">
        <is>
          <t>%</t>
        </is>
      </c>
      <c r="D60" s="9" t="inlineStr">
        <is>
          <t>Government curve node — EUR</t>
        </is>
      </c>
      <c r="E60" s="9" t="inlineStr">
        <is>
          <t>APT factor</t>
        </is>
      </c>
      <c r="F60" s="15" t="n">
        <v>0.046</v>
      </c>
      <c r="G60" s="15" t="n">
        <v>0.04</v>
      </c>
      <c r="H60" s="15" t="n">
        <v>0.03</v>
      </c>
      <c r="I60" s="15" t="n">
        <v>0.021</v>
      </c>
      <c r="J60" s="15" t="n">
        <v>0.015</v>
      </c>
      <c r="K60" s="15">
        <f>IF(AND(F60&gt;G60,F60&gt;=MAX(F60:J60)),F60,(F60+G60)/2)</f>
        <v/>
      </c>
      <c r="L60" s="16">
        <f>G60</f>
        <v/>
      </c>
      <c r="M60" s="15">
        <f>H60</f>
        <v/>
      </c>
      <c r="N60" s="15">
        <f>I60</f>
        <v/>
      </c>
      <c r="O60" s="15">
        <f>J60</f>
        <v/>
      </c>
      <c r="P60" s="17" t="n"/>
      <c r="Q60" s="18">
        <f>IF($P60="","",K60-$P60)</f>
        <v/>
      </c>
      <c r="R60" s="18">
        <f>IF($P60="","",L60-$P60)</f>
        <v/>
      </c>
      <c r="S60" s="18">
        <f>IF($P60="","",M60-$P60)</f>
        <v/>
      </c>
      <c r="T60" s="18">
        <f>IF($P60="","",N60-$P60)</f>
        <v/>
      </c>
      <c r="U60" s="18">
        <f>IF($P60="","",O60-$P60)</f>
        <v/>
      </c>
    </row>
    <row r="61">
      <c r="A61" s="8" t="inlineStr">
        <is>
          <t>German government bond yields</t>
        </is>
      </c>
      <c r="B61" s="9" t="inlineStr">
        <is>
          <t>7y government bond yield</t>
        </is>
      </c>
      <c r="C61" s="9" t="inlineStr">
        <is>
          <t>%</t>
        </is>
      </c>
      <c r="D61" s="9" t="inlineStr">
        <is>
          <t>Government curve node — EUR</t>
        </is>
      </c>
      <c r="E61" s="9" t="inlineStr">
        <is>
          <t>APT factor</t>
        </is>
      </c>
      <c r="F61" s="15" t="n">
        <v>0.042</v>
      </c>
      <c r="G61" s="15" t="n">
        <v>0.037</v>
      </c>
      <c r="H61" s="15" t="n">
        <v>0.028</v>
      </c>
      <c r="I61" s="15" t="n">
        <v>0.021</v>
      </c>
      <c r="J61" s="15" t="n">
        <v>0.015</v>
      </c>
      <c r="K61" s="15">
        <f>IF(AND(F61&gt;G61,F61&gt;=MAX(F61:J61)),F61,(F61+G61)/2)</f>
        <v/>
      </c>
      <c r="L61" s="16">
        <f>G61</f>
        <v/>
      </c>
      <c r="M61" s="15">
        <f>H61</f>
        <v/>
      </c>
      <c r="N61" s="15">
        <f>I61</f>
        <v/>
      </c>
      <c r="O61" s="15">
        <f>J61</f>
        <v/>
      </c>
      <c r="P61" s="17" t="n"/>
      <c r="Q61" s="18">
        <f>IF($P61="","",K61-$P61)</f>
        <v/>
      </c>
      <c r="R61" s="18">
        <f>IF($P61="","",L61-$P61)</f>
        <v/>
      </c>
      <c r="S61" s="18">
        <f>IF($P61="","",M61-$P61)</f>
        <v/>
      </c>
      <c r="T61" s="18">
        <f>IF($P61="","",N61-$P61)</f>
        <v/>
      </c>
      <c r="U61" s="18">
        <f>IF($P61="","",O61-$P61)</f>
        <v/>
      </c>
    </row>
    <row r="62">
      <c r="A62" s="8" t="inlineStr">
        <is>
          <t>German government bond yields</t>
        </is>
      </c>
      <c r="B62" s="9" t="inlineStr">
        <is>
          <t>10y government bond yield</t>
        </is>
      </c>
      <c r="C62" s="9" t="inlineStr">
        <is>
          <t>%</t>
        </is>
      </c>
      <c r="D62" s="9" t="inlineStr">
        <is>
          <t>Government curve node — EUR</t>
        </is>
      </c>
      <c r="E62" s="9" t="inlineStr">
        <is>
          <t>APT factor</t>
        </is>
      </c>
      <c r="F62" s="15" t="n">
        <v>0.039</v>
      </c>
      <c r="G62" s="15" t="n">
        <v>0.036</v>
      </c>
      <c r="H62" s="15" t="n">
        <v>0.028</v>
      </c>
      <c r="I62" s="15" t="n">
        <v>0.021</v>
      </c>
      <c r="J62" s="15" t="n">
        <v>0.015</v>
      </c>
      <c r="K62" s="15">
        <f>IF(AND(F62&gt;G62,F62&gt;=MAX(F62:J62)),F62,(F62+G62)/2)</f>
        <v/>
      </c>
      <c r="L62" s="16">
        <f>G62</f>
        <v/>
      </c>
      <c r="M62" s="15">
        <f>H62</f>
        <v/>
      </c>
      <c r="N62" s="15">
        <f>I62</f>
        <v/>
      </c>
      <c r="O62" s="15">
        <f>J62</f>
        <v/>
      </c>
      <c r="P62" s="17" t="n"/>
      <c r="Q62" s="18">
        <f>IF($P62="","",K62-$P62)</f>
        <v/>
      </c>
      <c r="R62" s="18">
        <f>IF($P62="","",L62-$P62)</f>
        <v/>
      </c>
      <c r="S62" s="18">
        <f>IF($P62="","",M62-$P62)</f>
        <v/>
      </c>
      <c r="T62" s="18">
        <f>IF($P62="","",N62-$P62)</f>
        <v/>
      </c>
      <c r="U62" s="18">
        <f>IF($P62="","",O62-$P62)</f>
        <v/>
      </c>
    </row>
    <row r="63">
      <c r="A63" s="8" t="inlineStr">
        <is>
          <t>German government bond yields</t>
        </is>
      </c>
      <c r="B63" s="9" t="inlineStr">
        <is>
          <t>15y government bond yield</t>
        </is>
      </c>
      <c r="C63" s="9" t="inlineStr">
        <is>
          <t>%</t>
        </is>
      </c>
      <c r="D63" s="9" t="inlineStr">
        <is>
          <t>Government curve node — EUR</t>
        </is>
      </c>
      <c r="E63" s="9" t="inlineStr">
        <is>
          <t>APT factor</t>
        </is>
      </c>
      <c r="F63" s="15" t="n">
        <v>0.039</v>
      </c>
      <c r="G63" s="15" t="n">
        <v>0.037</v>
      </c>
      <c r="H63" s="15" t="n">
        <v>0.029</v>
      </c>
      <c r="I63" s="15" t="n">
        <v>0.022</v>
      </c>
      <c r="J63" s="15" t="n">
        <v>0.016</v>
      </c>
      <c r="K63" s="15">
        <f>IF(AND(F63&gt;G63,F63&gt;=MAX(F63:J63)),F63,(F63+G63)/2)</f>
        <v/>
      </c>
      <c r="L63" s="16">
        <f>G63</f>
        <v/>
      </c>
      <c r="M63" s="15">
        <f>H63</f>
        <v/>
      </c>
      <c r="N63" s="15">
        <f>I63</f>
        <v/>
      </c>
      <c r="O63" s="15">
        <f>J63</f>
        <v/>
      </c>
      <c r="P63" s="17" t="n"/>
      <c r="Q63" s="18">
        <f>IF($P63="","",K63-$P63)</f>
        <v/>
      </c>
      <c r="R63" s="18">
        <f>IF($P63="","",L63-$P63)</f>
        <v/>
      </c>
      <c r="S63" s="18">
        <f>IF($P63="","",M63-$P63)</f>
        <v/>
      </c>
      <c r="T63" s="18">
        <f>IF($P63="","",N63-$P63)</f>
        <v/>
      </c>
      <c r="U63" s="18">
        <f>IF($P63="","",O63-$P63)</f>
        <v/>
      </c>
    </row>
    <row r="64">
      <c r="A64" s="8" t="inlineStr">
        <is>
          <t>German government bond yields</t>
        </is>
      </c>
      <c r="B64" s="9" t="inlineStr">
        <is>
          <t>20y government bond yield</t>
        </is>
      </c>
      <c r="C64" s="9" t="inlineStr">
        <is>
          <t>%</t>
        </is>
      </c>
      <c r="D64" s="9" t="inlineStr">
        <is>
          <t>Government curve node — EUR</t>
        </is>
      </c>
      <c r="E64" s="9" t="inlineStr">
        <is>
          <t>APT factor</t>
        </is>
      </c>
      <c r="F64" s="15" t="n">
        <v>0.042</v>
      </c>
      <c r="G64" s="15" t="n">
        <v>0.04</v>
      </c>
      <c r="H64" s="15" t="n">
        <v>0.032</v>
      </c>
      <c r="I64" s="15" t="n">
        <v>0.024</v>
      </c>
      <c r="J64" s="15" t="n">
        <v>0.017</v>
      </c>
      <c r="K64" s="15">
        <f>IF(AND(F64&gt;G64,F64&gt;=MAX(F64:J64)),F64,(F64+G64)/2)</f>
        <v/>
      </c>
      <c r="L64" s="16">
        <f>G64</f>
        <v/>
      </c>
      <c r="M64" s="15">
        <f>H64</f>
        <v/>
      </c>
      <c r="N64" s="15">
        <f>I64</f>
        <v/>
      </c>
      <c r="O64" s="15">
        <f>J64</f>
        <v/>
      </c>
      <c r="P64" s="17" t="n"/>
      <c r="Q64" s="18">
        <f>IF($P64="","",K64-$P64)</f>
        <v/>
      </c>
      <c r="R64" s="18">
        <f>IF($P64="","",L64-$P64)</f>
        <v/>
      </c>
      <c r="S64" s="18">
        <f>IF($P64="","",M64-$P64)</f>
        <v/>
      </c>
      <c r="T64" s="18">
        <f>IF($P64="","",N64-$P64)</f>
        <v/>
      </c>
      <c r="U64" s="18">
        <f>IF($P64="","",O64-$P64)</f>
        <v/>
      </c>
    </row>
    <row r="65">
      <c r="A65" s="8" t="inlineStr">
        <is>
          <t>Euribor</t>
        </is>
      </c>
      <c r="B65" s="9" t="inlineStr">
        <is>
          <t>Overnight</t>
        </is>
      </c>
      <c r="C65" s="9" t="inlineStr">
        <is>
          <t>%</t>
        </is>
      </c>
      <c r="D65" s="9" t="inlineStr">
        <is>
          <t>Swap curve node — Euribor</t>
        </is>
      </c>
      <c r="E65" s="9" t="inlineStr">
        <is>
          <t>APT factor</t>
        </is>
      </c>
      <c r="F65" s="15" t="n">
        <v>0.04</v>
      </c>
      <c r="G65" s="15" t="n">
        <v>0.05</v>
      </c>
      <c r="H65" s="15" t="n">
        <v>0.04</v>
      </c>
      <c r="I65" s="15" t="n">
        <v>0.03</v>
      </c>
      <c r="J65" s="15" t="n">
        <v>0.02</v>
      </c>
      <c r="K65" s="15">
        <f>IF(AND(F65&gt;G65,F65&gt;=MAX(F65:J65)),F65,(F65+G65)/2)</f>
        <v/>
      </c>
      <c r="L65" s="16">
        <f>G65</f>
        <v/>
      </c>
      <c r="M65" s="15">
        <f>H65</f>
        <v/>
      </c>
      <c r="N65" s="15">
        <f>I65</f>
        <v/>
      </c>
      <c r="O65" s="15">
        <f>J65</f>
        <v/>
      </c>
      <c r="P65" s="17" t="n"/>
      <c r="Q65" s="18">
        <f>IF($P65="","",K65-$P65)</f>
        <v/>
      </c>
      <c r="R65" s="18">
        <f>IF($P65="","",L65-$P65)</f>
        <v/>
      </c>
      <c r="S65" s="18">
        <f>IF($P65="","",M65-$P65)</f>
        <v/>
      </c>
      <c r="T65" s="18">
        <f>IF($P65="","",N65-$P65)</f>
        <v/>
      </c>
      <c r="U65" s="18">
        <f>IF($P65="","",O65-$P65)</f>
        <v/>
      </c>
    </row>
    <row r="66">
      <c r="A66" s="8" t="inlineStr">
        <is>
          <t>Euribor</t>
        </is>
      </c>
      <c r="B66" s="9" t="inlineStr">
        <is>
          <t>3m swap rate</t>
        </is>
      </c>
      <c r="C66" s="9" t="inlineStr">
        <is>
          <t>%</t>
        </is>
      </c>
      <c r="D66" s="9" t="inlineStr">
        <is>
          <t>Swap curve node — Euribor</t>
        </is>
      </c>
      <c r="E66" s="9" t="inlineStr">
        <is>
          <t>APT factor</t>
        </is>
      </c>
      <c r="F66" s="15" t="n">
        <v>0.041</v>
      </c>
      <c r="G66" s="15" t="n">
        <v>0.051</v>
      </c>
      <c r="H66" s="15" t="n">
        <v>0.041</v>
      </c>
      <c r="I66" s="15" t="n">
        <v>0.03</v>
      </c>
      <c r="J66" s="15" t="n">
        <v>0.02</v>
      </c>
      <c r="K66" s="15">
        <f>IF(AND(F66&gt;G66,F66&gt;=MAX(F66:J66)),F66,(F66+G66)/2)</f>
        <v/>
      </c>
      <c r="L66" s="16">
        <f>G66</f>
        <v/>
      </c>
      <c r="M66" s="15">
        <f>H66</f>
        <v/>
      </c>
      <c r="N66" s="15">
        <f>I66</f>
        <v/>
      </c>
      <c r="O66" s="15">
        <f>J66</f>
        <v/>
      </c>
      <c r="P66" s="17" t="n"/>
      <c r="Q66" s="18">
        <f>IF($P66="","",K66-$P66)</f>
        <v/>
      </c>
      <c r="R66" s="18">
        <f>IF($P66="","",L66-$P66)</f>
        <v/>
      </c>
      <c r="S66" s="18">
        <f>IF($P66="","",M66-$P66)</f>
        <v/>
      </c>
      <c r="T66" s="18">
        <f>IF($P66="","",N66-$P66)</f>
        <v/>
      </c>
      <c r="U66" s="18">
        <f>IF($P66="","",O66-$P66)</f>
        <v/>
      </c>
    </row>
    <row r="67">
      <c r="A67" s="8" t="inlineStr">
        <is>
          <t>Euribor</t>
        </is>
      </c>
      <c r="B67" s="9" t="inlineStr">
        <is>
          <t>1y swap rate</t>
        </is>
      </c>
      <c r="C67" s="9" t="inlineStr">
        <is>
          <t>%</t>
        </is>
      </c>
      <c r="D67" s="9" t="inlineStr">
        <is>
          <t>Swap curve node — Euribor</t>
        </is>
      </c>
      <c r="E67" s="9" t="inlineStr">
        <is>
          <t>APT factor</t>
        </is>
      </c>
      <c r="F67" s="15" t="n">
        <v>0.045</v>
      </c>
      <c r="G67" s="15" t="n">
        <v>0.052</v>
      </c>
      <c r="H67" s="15" t="n">
        <v>0.042</v>
      </c>
      <c r="I67" s="15" t="n">
        <v>0.031</v>
      </c>
      <c r="J67" s="15" t="n">
        <v>0.021</v>
      </c>
      <c r="K67" s="15">
        <f>IF(AND(F67&gt;G67,F67&gt;=MAX(F67:J67)),F67,(F67+G67)/2)</f>
        <v/>
      </c>
      <c r="L67" s="16">
        <f>G67</f>
        <v/>
      </c>
      <c r="M67" s="15">
        <f>H67</f>
        <v/>
      </c>
      <c r="N67" s="15">
        <f>I67</f>
        <v/>
      </c>
      <c r="O67" s="15">
        <f>J67</f>
        <v/>
      </c>
      <c r="P67" s="17" t="n"/>
      <c r="Q67" s="18">
        <f>IF($P67="","",K67-$P67)</f>
        <v/>
      </c>
      <c r="R67" s="18">
        <f>IF($P67="","",L67-$P67)</f>
        <v/>
      </c>
      <c r="S67" s="18">
        <f>IF($P67="","",M67-$P67)</f>
        <v/>
      </c>
      <c r="T67" s="18">
        <f>IF($P67="","",N67-$P67)</f>
        <v/>
      </c>
      <c r="U67" s="18">
        <f>IF($P67="","",O67-$P67)</f>
        <v/>
      </c>
    </row>
    <row r="68">
      <c r="A68" s="8" t="inlineStr">
        <is>
          <t>Euribor</t>
        </is>
      </c>
      <c r="B68" s="9" t="inlineStr">
        <is>
          <t>2y swap rate</t>
        </is>
      </c>
      <c r="C68" s="9" t="inlineStr">
        <is>
          <t>%</t>
        </is>
      </c>
      <c r="D68" s="9" t="inlineStr">
        <is>
          <t>Swap curve node — Euribor</t>
        </is>
      </c>
      <c r="E68" s="9" t="inlineStr">
        <is>
          <t>APT factor</t>
        </is>
      </c>
      <c r="F68" s="15" t="n">
        <v>0.049</v>
      </c>
      <c r="G68" s="15" t="n">
        <v>0.049</v>
      </c>
      <c r="H68" s="15" t="n">
        <v>0.038</v>
      </c>
      <c r="I68" s="15" t="n">
        <v>0.027</v>
      </c>
      <c r="J68" s="15" t="n">
        <v>0.016</v>
      </c>
      <c r="K68" s="15">
        <f>IF(AND(F68&gt;G68,F68&gt;=MAX(F68:J68)),F68,(F68+G68)/2)</f>
        <v/>
      </c>
      <c r="L68" s="16">
        <f>G68</f>
        <v/>
      </c>
      <c r="M68" s="15">
        <f>H68</f>
        <v/>
      </c>
      <c r="N68" s="15">
        <f>I68</f>
        <v/>
      </c>
      <c r="O68" s="15">
        <f>J68</f>
        <v/>
      </c>
      <c r="P68" s="17" t="n"/>
      <c r="Q68" s="18">
        <f>IF($P68="","",K68-$P68)</f>
        <v/>
      </c>
      <c r="R68" s="18">
        <f>IF($P68="","",L68-$P68)</f>
        <v/>
      </c>
      <c r="S68" s="18">
        <f>IF($P68="","",M68-$P68)</f>
        <v/>
      </c>
      <c r="T68" s="18">
        <f>IF($P68="","",N68-$P68)</f>
        <v/>
      </c>
      <c r="U68" s="18">
        <f>IF($P68="","",O68-$P68)</f>
        <v/>
      </c>
    </row>
    <row r="69">
      <c r="A69" s="8" t="inlineStr">
        <is>
          <t>Euribor</t>
        </is>
      </c>
      <c r="B69" s="9" t="inlineStr">
        <is>
          <t>3y swap rate</t>
        </is>
      </c>
      <c r="C69" s="9" t="inlineStr">
        <is>
          <t>%</t>
        </is>
      </c>
      <c r="D69" s="9" t="inlineStr">
        <is>
          <t>Swap curve node — Euribor</t>
        </is>
      </c>
      <c r="E69" s="9" t="inlineStr">
        <is>
          <t>APT factor</t>
        </is>
      </c>
      <c r="F69" s="15" t="n">
        <v>0.049</v>
      </c>
      <c r="G69" s="15" t="n">
        <v>0.045</v>
      </c>
      <c r="H69" s="15" t="n">
        <v>0.034</v>
      </c>
      <c r="I69" s="15" t="n">
        <v>0.023</v>
      </c>
      <c r="J69" s="15" t="n">
        <v>0.015</v>
      </c>
      <c r="K69" s="15">
        <f>IF(AND(F69&gt;G69,F69&gt;=MAX(F69:J69)),F69,(F69+G69)/2)</f>
        <v/>
      </c>
      <c r="L69" s="16">
        <f>G69</f>
        <v/>
      </c>
      <c r="M69" s="15">
        <f>H69</f>
        <v/>
      </c>
      <c r="N69" s="15">
        <f>I69</f>
        <v/>
      </c>
      <c r="O69" s="15">
        <f>J69</f>
        <v/>
      </c>
      <c r="P69" s="17" t="n"/>
      <c r="Q69" s="18">
        <f>IF($P69="","",K69-$P69)</f>
        <v/>
      </c>
      <c r="R69" s="18">
        <f>IF($P69="","",L69-$P69)</f>
        <v/>
      </c>
      <c r="S69" s="18">
        <f>IF($P69="","",M69-$P69)</f>
        <v/>
      </c>
      <c r="T69" s="18">
        <f>IF($P69="","",N69-$P69)</f>
        <v/>
      </c>
      <c r="U69" s="18">
        <f>IF($P69="","",O69-$P69)</f>
        <v/>
      </c>
    </row>
    <row r="70">
      <c r="A70" s="8" t="inlineStr">
        <is>
          <t>Euribor</t>
        </is>
      </c>
      <c r="B70" s="9" t="inlineStr">
        <is>
          <t>4y swap rate</t>
        </is>
      </c>
      <c r="C70" s="9" t="inlineStr">
        <is>
          <t>%</t>
        </is>
      </c>
      <c r="D70" s="9" t="inlineStr">
        <is>
          <t>Swap curve node — Euribor</t>
        </is>
      </c>
      <c r="E70" s="9" t="inlineStr">
        <is>
          <t>APT factor</t>
        </is>
      </c>
      <c r="F70" s="15" t="n">
        <v>0.047</v>
      </c>
      <c r="G70" s="15" t="n">
        <v>0.042</v>
      </c>
      <c r="H70" s="15" t="n">
        <v>0.03</v>
      </c>
      <c r="I70" s="15" t="n">
        <v>0.021</v>
      </c>
      <c r="J70" s="15" t="n">
        <v>0.014</v>
      </c>
      <c r="K70" s="15">
        <f>IF(AND(F70&gt;G70,F70&gt;=MAX(F70:J70)),F70,(F70+G70)/2)</f>
        <v/>
      </c>
      <c r="L70" s="16">
        <f>G70</f>
        <v/>
      </c>
      <c r="M70" s="15">
        <f>H70</f>
        <v/>
      </c>
      <c r="N70" s="15">
        <f>I70</f>
        <v/>
      </c>
      <c r="O70" s="15">
        <f>J70</f>
        <v/>
      </c>
      <c r="P70" s="17" t="n"/>
      <c r="Q70" s="18">
        <f>IF($P70="","",K70-$P70)</f>
        <v/>
      </c>
      <c r="R70" s="18">
        <f>IF($P70="","",L70-$P70)</f>
        <v/>
      </c>
      <c r="S70" s="18">
        <f>IF($P70="","",M70-$P70)</f>
        <v/>
      </c>
      <c r="T70" s="18">
        <f>IF($P70="","",N70-$P70)</f>
        <v/>
      </c>
      <c r="U70" s="18">
        <f>IF($P70="","",O70-$P70)</f>
        <v/>
      </c>
    </row>
    <row r="71">
      <c r="A71" s="8" t="inlineStr">
        <is>
          <t>Euribor</t>
        </is>
      </c>
      <c r="B71" s="9" t="inlineStr">
        <is>
          <t>5y swap rate</t>
        </is>
      </c>
      <c r="C71" s="9" t="inlineStr">
        <is>
          <t>%</t>
        </is>
      </c>
      <c r="D71" s="9" t="inlineStr">
        <is>
          <t>Swap curve node — Euribor</t>
        </is>
      </c>
      <c r="E71" s="9" t="inlineStr">
        <is>
          <t>APT factor</t>
        </is>
      </c>
      <c r="F71" s="15" t="n">
        <v>0.044</v>
      </c>
      <c r="G71" s="15" t="n">
        <v>0.038</v>
      </c>
      <c r="H71" s="15" t="n">
        <v>0.028</v>
      </c>
      <c r="I71" s="15" t="n">
        <v>0.02</v>
      </c>
      <c r="J71" s="15" t="n">
        <v>0.014</v>
      </c>
      <c r="K71" s="15">
        <f>IF(AND(F71&gt;G71,F71&gt;=MAX(F71:J71)),F71,(F71+G71)/2)</f>
        <v/>
      </c>
      <c r="L71" s="16">
        <f>G71</f>
        <v/>
      </c>
      <c r="M71" s="15">
        <f>H71</f>
        <v/>
      </c>
      <c r="N71" s="15">
        <f>I71</f>
        <v/>
      </c>
      <c r="O71" s="15">
        <f>J71</f>
        <v/>
      </c>
      <c r="P71" s="17" t="n"/>
      <c r="Q71" s="18">
        <f>IF($P71="","",K71-$P71)</f>
        <v/>
      </c>
      <c r="R71" s="18">
        <f>IF($P71="","",L71-$P71)</f>
        <v/>
      </c>
      <c r="S71" s="18">
        <f>IF($P71="","",M71-$P71)</f>
        <v/>
      </c>
      <c r="T71" s="18">
        <f>IF($P71="","",N71-$P71)</f>
        <v/>
      </c>
      <c r="U71" s="18">
        <f>IF($P71="","",O71-$P71)</f>
        <v/>
      </c>
    </row>
    <row r="72">
      <c r="A72" s="8" t="inlineStr">
        <is>
          <t>Euribor</t>
        </is>
      </c>
      <c r="B72" s="9" t="inlineStr">
        <is>
          <t>7y swap rate</t>
        </is>
      </c>
      <c r="C72" s="9" t="inlineStr">
        <is>
          <t>%</t>
        </is>
      </c>
      <c r="D72" s="9" t="inlineStr">
        <is>
          <t>Swap curve node — Euribor</t>
        </is>
      </c>
      <c r="E72" s="9" t="inlineStr">
        <is>
          <t>APT factor</t>
        </is>
      </c>
      <c r="F72" s="15" t="n">
        <v>0.039</v>
      </c>
      <c r="G72" s="15" t="n">
        <v>0.035</v>
      </c>
      <c r="H72" s="15" t="n">
        <v>0.026</v>
      </c>
      <c r="I72" s="15" t="n">
        <v>0.02</v>
      </c>
      <c r="J72" s="15" t="n">
        <v>0.014</v>
      </c>
      <c r="K72" s="15">
        <f>IF(AND(F72&gt;G72,F72&gt;=MAX(F72:J72)),F72,(F72+G72)/2)</f>
        <v/>
      </c>
      <c r="L72" s="16">
        <f>G72</f>
        <v/>
      </c>
      <c r="M72" s="15">
        <f>H72</f>
        <v/>
      </c>
      <c r="N72" s="15">
        <f>I72</f>
        <v/>
      </c>
      <c r="O72" s="15">
        <f>J72</f>
        <v/>
      </c>
      <c r="P72" s="17" t="n"/>
      <c r="Q72" s="18">
        <f>IF($P72="","",K72-$P72)</f>
        <v/>
      </c>
      <c r="R72" s="18">
        <f>IF($P72="","",L72-$P72)</f>
        <v/>
      </c>
      <c r="S72" s="18">
        <f>IF($P72="","",M72-$P72)</f>
        <v/>
      </c>
      <c r="T72" s="18">
        <f>IF($P72="","",N72-$P72)</f>
        <v/>
      </c>
      <c r="U72" s="18">
        <f>IF($P72="","",O72-$P72)</f>
        <v/>
      </c>
    </row>
    <row r="73">
      <c r="A73" s="8" t="inlineStr">
        <is>
          <t>Euribor</t>
        </is>
      </c>
      <c r="B73" s="9" t="inlineStr">
        <is>
          <t>10y swap rate</t>
        </is>
      </c>
      <c r="C73" s="9" t="inlineStr">
        <is>
          <t>%</t>
        </is>
      </c>
      <c r="D73" s="9" t="inlineStr">
        <is>
          <t>Swap curve node — Euribor</t>
        </is>
      </c>
      <c r="E73" s="9" t="inlineStr">
        <is>
          <t>APT factor</t>
        </is>
      </c>
      <c r="F73" s="15" t="n">
        <v>0.036</v>
      </c>
      <c r="G73" s="15" t="n">
        <v>0.033</v>
      </c>
      <c r="H73" s="15" t="n">
        <v>0.026</v>
      </c>
      <c r="I73" s="15" t="n">
        <v>0.02</v>
      </c>
      <c r="J73" s="15" t="n">
        <v>0.015</v>
      </c>
      <c r="K73" s="15">
        <f>IF(AND(F73&gt;G73,F73&gt;=MAX(F73:J73)),F73,(F73+G73)/2)</f>
        <v/>
      </c>
      <c r="L73" s="16">
        <f>G73</f>
        <v/>
      </c>
      <c r="M73" s="15">
        <f>H73</f>
        <v/>
      </c>
      <c r="N73" s="15">
        <f>I73</f>
        <v/>
      </c>
      <c r="O73" s="15">
        <f>J73</f>
        <v/>
      </c>
      <c r="P73" s="17" t="n"/>
      <c r="Q73" s="18">
        <f>IF($P73="","",K73-$P73)</f>
        <v/>
      </c>
      <c r="R73" s="18">
        <f>IF($P73="","",L73-$P73)</f>
        <v/>
      </c>
      <c r="S73" s="18">
        <f>IF($P73="","",M73-$P73)</f>
        <v/>
      </c>
      <c r="T73" s="18">
        <f>IF($P73="","",N73-$P73)</f>
        <v/>
      </c>
      <c r="U73" s="18">
        <f>IF($P73="","",O73-$P73)</f>
        <v/>
      </c>
    </row>
    <row r="74">
      <c r="A74" s="8" t="inlineStr">
        <is>
          <t>Euribor</t>
        </is>
      </c>
      <c r="B74" s="9" t="inlineStr">
        <is>
          <t>15y swap rate</t>
        </is>
      </c>
      <c r="C74" s="9" t="inlineStr">
        <is>
          <t>%</t>
        </is>
      </c>
      <c r="D74" s="9" t="inlineStr">
        <is>
          <t>Swap curve node — Euribor</t>
        </is>
      </c>
      <c r="E74" s="9" t="inlineStr">
        <is>
          <t>APT factor</t>
        </is>
      </c>
      <c r="F74" s="15" t="n">
        <v>0.035</v>
      </c>
      <c r="G74" s="15" t="n">
        <v>0.033</v>
      </c>
      <c r="H74" s="15" t="n">
        <v>0.026</v>
      </c>
      <c r="I74" s="15" t="n">
        <v>0.021</v>
      </c>
      <c r="J74" s="15" t="n">
        <v>0.015</v>
      </c>
      <c r="K74" s="15">
        <f>IF(AND(F74&gt;G74,F74&gt;=MAX(F74:J74)),F74,(F74+G74)/2)</f>
        <v/>
      </c>
      <c r="L74" s="16">
        <f>G74</f>
        <v/>
      </c>
      <c r="M74" s="15">
        <f>H74</f>
        <v/>
      </c>
      <c r="N74" s="15">
        <f>I74</f>
        <v/>
      </c>
      <c r="O74" s="15">
        <f>J74</f>
        <v/>
      </c>
      <c r="P74" s="17" t="n"/>
      <c r="Q74" s="18">
        <f>IF($P74="","",K74-$P74)</f>
        <v/>
      </c>
      <c r="R74" s="18">
        <f>IF($P74="","",L74-$P74)</f>
        <v/>
      </c>
      <c r="S74" s="18">
        <f>IF($P74="","",M74-$P74)</f>
        <v/>
      </c>
      <c r="T74" s="18">
        <f>IF($P74="","",N74-$P74)</f>
        <v/>
      </c>
      <c r="U74" s="18">
        <f>IF($P74="","",O74-$P74)</f>
        <v/>
      </c>
    </row>
    <row r="75">
      <c r="A75" s="8" t="inlineStr">
        <is>
          <t>Euribor</t>
        </is>
      </c>
      <c r="B75" s="9" t="inlineStr">
        <is>
          <t>20y swap rate</t>
        </is>
      </c>
      <c r="C75" s="9" t="inlineStr">
        <is>
          <t>%</t>
        </is>
      </c>
      <c r="D75" s="9" t="inlineStr">
        <is>
          <t>Swap curve node — Euribor</t>
        </is>
      </c>
      <c r="E75" s="9" t="inlineStr">
        <is>
          <t>APT factor</t>
        </is>
      </c>
      <c r="F75" s="15" t="n">
        <v>0.037</v>
      </c>
      <c r="G75" s="15" t="n">
        <v>0.035</v>
      </c>
      <c r="H75" s="15" t="n">
        <v>0.028</v>
      </c>
      <c r="I75" s="15" t="n">
        <v>0.022</v>
      </c>
      <c r="J75" s="15" t="n">
        <v>0.016</v>
      </c>
      <c r="K75" s="15">
        <f>IF(AND(F75&gt;G75,F75&gt;=MAX(F75:J75)),F75,(F75+G75)/2)</f>
        <v/>
      </c>
      <c r="L75" s="16">
        <f>G75</f>
        <v/>
      </c>
      <c r="M75" s="15">
        <f>H75</f>
        <v/>
      </c>
      <c r="N75" s="15">
        <f>I75</f>
        <v/>
      </c>
      <c r="O75" s="15">
        <f>J75</f>
        <v/>
      </c>
      <c r="P75" s="17" t="n"/>
      <c r="Q75" s="18">
        <f>IF($P75="","",K75-$P75)</f>
        <v/>
      </c>
      <c r="R75" s="18">
        <f>IF($P75="","",L75-$P75)</f>
        <v/>
      </c>
      <c r="S75" s="18">
        <f>IF($P75="","",M75-$P75)</f>
        <v/>
      </c>
      <c r="T75" s="18">
        <f>IF($P75="","",N75-$P75)</f>
        <v/>
      </c>
      <c r="U75" s="18">
        <f>IF($P75="","",O75-$P75)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>
      <c r="A1" s="23" t="inlineStr">
        <is>
          <t>Bucket-B expansion: private credit discount-margin shocks = beta × LSTA US Leveraged Loan nominal spread path (live link to Sheet 1)</t>
        </is>
      </c>
    </row>
    <row r="2">
      <c r="A2" s="24" t="inlineStr">
        <is>
          <t>Anchor: 1_Change_Shocks row 110 (Morningstar LSTA US Leveraged Loan nominal spread). Betas in yellow are WORKING ASSUMPTIONS pending CDLI/Lincoln/KBRA calibration (framework Section 7.1). Engine 2 migration add-ons apply per name ON TOP.</t>
        </is>
      </c>
    </row>
    <row r="4">
      <c r="A4" s="3" t="inlineStr">
        <is>
          <t>Derived variable</t>
        </is>
      </c>
      <c r="B4" s="3" t="inlineStr">
        <is>
          <t>Beta (edit)</t>
        </is>
      </c>
      <c r="C4" s="3" t="inlineStr">
        <is>
          <t>Run 1 DM shock (bp)</t>
        </is>
      </c>
      <c r="D4" s="3" t="inlineStr">
        <is>
          <t>Run 2 DM shock — PEAK (bp)</t>
        </is>
      </c>
      <c r="E4" s="3" t="inlineStr">
        <is>
          <t>Run 3 DM shock (bp)</t>
        </is>
      </c>
      <c r="F4" s="3" t="inlineStr">
        <is>
          <t>Run 4 DM shock (bp)</t>
        </is>
      </c>
      <c r="G4" s="3" t="inlineStr">
        <is>
          <t>Run 5 DM shock (bp)</t>
        </is>
      </c>
    </row>
    <row r="5">
      <c r="A5" s="9" t="inlineStr">
        <is>
          <t>Private credit DM — senior middle-market direct lending</t>
        </is>
      </c>
      <c r="B5" s="25" t="n">
        <v>0.75</v>
      </c>
      <c r="C5" s="10">
        <f>$B5*'1_Change_Shocks'!K110</f>
        <v/>
      </c>
      <c r="D5" s="11">
        <f>$B5*'1_Change_Shocks'!L110</f>
        <v/>
      </c>
      <c r="E5" s="10">
        <f>$B5*'1_Change_Shocks'!M110</f>
        <v/>
      </c>
      <c r="F5" s="10">
        <f>$B5*'1_Change_Shocks'!N110</f>
        <v/>
      </c>
      <c r="G5" s="10">
        <f>$B5*'1_Change_Shocks'!O110</f>
        <v/>
      </c>
    </row>
    <row r="6">
      <c r="A6" s="9" t="inlineStr">
        <is>
          <t>Private credit DM — unitranche</t>
        </is>
      </c>
      <c r="B6" s="25" t="n">
        <v>0.85</v>
      </c>
      <c r="C6" s="10">
        <f>$B6*'1_Change_Shocks'!K110</f>
        <v/>
      </c>
      <c r="D6" s="11">
        <f>$B6*'1_Change_Shocks'!L110</f>
        <v/>
      </c>
      <c r="E6" s="10">
        <f>$B6*'1_Change_Shocks'!M110</f>
        <v/>
      </c>
      <c r="F6" s="10">
        <f>$B6*'1_Change_Shocks'!N110</f>
        <v/>
      </c>
      <c r="G6" s="10">
        <f>$B6*'1_Change_Shocks'!O110</f>
        <v/>
      </c>
    </row>
    <row r="7">
      <c r="A7" s="9" t="inlineStr">
        <is>
          <t>Private credit DM — junior / mezzanine</t>
        </is>
      </c>
      <c r="B7" s="25" t="n">
        <v>1</v>
      </c>
      <c r="C7" s="10">
        <f>$B7*'1_Change_Shocks'!K110</f>
        <v/>
      </c>
      <c r="D7" s="11">
        <f>$B7*'1_Change_Shocks'!L110</f>
        <v/>
      </c>
      <c r="E7" s="10">
        <f>$B7*'1_Change_Shocks'!M110</f>
        <v/>
      </c>
      <c r="F7" s="10">
        <f>$B7*'1_Change_Shocks'!N110</f>
        <v/>
      </c>
      <c r="G7" s="10">
        <f>$B7*'1_Change_Shocks'!O110</f>
        <v/>
      </c>
    </row>
    <row r="8">
      <c r="A8" s="9" t="inlineStr">
        <is>
          <t>Sensitivity: senior DM, low beta</t>
        </is>
      </c>
      <c r="B8" s="25" t="n">
        <v>0.6</v>
      </c>
      <c r="C8" s="26">
        <f>$B8*'1_Change_Shocks'!K110</f>
        <v/>
      </c>
      <c r="D8" s="27">
        <f>$B8*'1_Change_Shocks'!L110</f>
        <v/>
      </c>
      <c r="E8" s="26">
        <f>$B8*'1_Change_Shocks'!M110</f>
        <v/>
      </c>
      <c r="F8" s="26">
        <f>$B8*'1_Change_Shocks'!N110</f>
        <v/>
      </c>
      <c r="G8" s="26">
        <f>$B8*'1_Change_Shocks'!O110</f>
        <v/>
      </c>
    </row>
    <row r="9">
      <c r="A9" s="9" t="inlineStr">
        <is>
          <t>Sensitivity: senior DM, high beta (PC = BSL)</t>
        </is>
      </c>
      <c r="B9" s="25" t="n">
        <v>1</v>
      </c>
      <c r="C9" s="26">
        <f>$B9*'1_Change_Shocks'!K110</f>
        <v/>
      </c>
      <c r="D9" s="27">
        <f>$B9*'1_Change_Shocks'!L110</f>
        <v/>
      </c>
      <c r="E9" s="26">
        <f>$B9*'1_Change_Shocks'!M110</f>
        <v/>
      </c>
      <c r="F9" s="26">
        <f>$B9*'1_Change_Shocks'!N110</f>
        <v/>
      </c>
      <c r="G9" s="26">
        <f>$B9*'1_Change_Shocks'!O110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2026-07-10T04:45:03Z</dcterms:created>
  <dcterms:modified xmlns:dcterms="http://purl.org/dc/terms/" xmlns:xsi="http://www.w3.org/2001/XMLSchema-instance" xsi:type="dcterms:W3CDTF">2026-07-10T04:45:03Z</dcterms:modified>
</cp:coreProperties>
</file>