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Ticket" sheetId="1" state="visible" r:id="rId1"/>
    <sheet xmlns:r="http://schemas.openxmlformats.org/officeDocument/2006/relationships" name="2 Roll Funding Rate" sheetId="2" state="visible" r:id="rId2"/>
    <sheet xmlns:r="http://schemas.openxmlformats.org/officeDocument/2006/relationships" name="3 Deck Example" sheetId="3" state="visible" r:id="rId3"/>
    <sheet xmlns:r="http://schemas.openxmlformats.org/officeDocument/2006/relationships" name="4 Basis Warning" sheetId="4" state="visible" r:id="rId4"/>
    <sheet xmlns:r="http://schemas.openxmlformats.org/officeDocument/2006/relationships" name="Method" sheetId="5" state="visible" r:id="rId5"/>
  </sheets>
  <definedNames>
    <definedName name="TkSpot">'1 Ticket'!$B$5</definedName>
    <definedName name="TkFwd">'1 Ticket'!$B$6</definedName>
    <definedName name="TkPts">'1 Ticket'!$B$7</definedName>
    <definedName name="TkPip">'1 Ticket'!$B$8</definedName>
    <definedName name="TkD0">'1 Ticket'!$B$9</definedName>
    <definedName name="TkD1">'1 Ticket'!$B$10</definedName>
    <definedName name="TkBasis">'1 Ticket'!$B$11</definedName>
    <definedName name="TkREur">'1 Ticket'!$B$12</definedName>
    <definedName name="TkPtsCalc">'1 Ticket'!$B$15</definedName>
    <definedName name="TkDays">'1 Ticket'!$B$22</definedName>
    <definedName name="TkTau">'1 Ticket'!$B$23</definedName>
    <definedName name="TkRatio">'1 Ticket'!$B$24</definedName>
    <definedName name="TkRUsd">'1 Ticket'!$B$25</definedName>
    <definedName name="TkDiff">'1 Ticket'!$B$26</definedName>
    <definedName name="RcSpot">'2 Roll Funding Rate'!$B$5</definedName>
    <definedName name="RcPts">'2 Roll Funding Rate'!$B$6</definedName>
    <definedName name="RcPip">'2 Roll Funding Rate'!$B$7</definedName>
    <definedName name="RcN">'2 Roll Funding Rate'!$B$8</definedName>
    <definedName name="RcKold">'2 Roll Funding Rate'!$B$9</definedName>
    <definedName name="RcKnew">'2 Roll Funding Rate'!$B$10</definedName>
    <definedName name="RcTau">'2 Roll Funding Rate'!$B$11</definedName>
    <definedName name="RcBm">'2 Roll Funding Rate'!$B$12</definedName>
    <definedName name="RcF">'2 Roll Funding Rate'!$B$15</definedName>
    <definedName name="RcDroll">'2 Roll Funding Rate'!$B$16</definedName>
    <definedName name="RcDmat">'2 Roll Funding Rate'!$B$17</definedName>
    <definedName name="RcC">'2 Roll Funding Rate'!$B$18</definedName>
    <definedName name="RcSpr">'2 Roll Funding Rate'!$B$19</definedName>
    <definedName name="RcDist">'2 Roll Funding Rate'!$B$22</definedName>
    <definedName name="RcU">'2 Roll Funding Rate'!$B$23</definedName>
    <definedName name="RcChk">'2 Roll Funding Rate'!$B$24</definedName>
    <definedName name="RcLim">'2 Roll Funding Rate'!$B$28</definedName>
    <definedName name="DkN">'3 Deck Example'!$B$13</definedName>
    <definedName name="DkKold">'3 Deck Example'!$B$14</definedName>
    <definedName name="DkS">'3 Deck Example'!$B$15</definedName>
    <definedName name="DkKnew">'3 Deck Example'!$B$16</definedName>
    <definedName name="DkTau">'3 Deck Example'!$B$17</definedName>
    <definedName name="DkD">'3 Deck Example'!$B$18</definedName>
    <definedName name="DkF">'3 Deck Example'!$B$23</definedName>
  </definedNames>
  <calcPr calcId="124519" calcMode="auto" fullCalcOnLoad="1"/>
</workbook>
</file>

<file path=xl/styles.xml><?xml version="1.0" encoding="utf-8"?>
<styleSheet xmlns="http://schemas.openxmlformats.org/spreadsheetml/2006/main">
  <numFmts count="16">
    <numFmt numFmtId="164" formatCode="0.00000"/>
    <numFmt numFmtId="165" formatCode="0.0"/>
    <numFmt numFmtId="166" formatCode="yyyy-mm-dd"/>
    <numFmt numFmtId="167" formatCode="dd-mmm-yy"/>
    <numFmt numFmtId="168" formatCode="0.000%"/>
    <numFmt numFmtId="169" formatCode="0.000000000"/>
    <numFmt numFmtId="170" formatCode="0.0000000000"/>
    <numFmt numFmtId="171" formatCode="0.0000000"/>
    <numFmt numFmtId="172" formatCode="0.000000"/>
    <numFmt numFmtId="173" formatCode="0.0000%"/>
    <numFmt numFmtId="174" formatCode="0.0&quot; bp&quot;"/>
    <numFmt numFmtId="175" formatCode="0.0000"/>
    <numFmt numFmtId="176" formatCode="0.000"/>
    <numFmt numFmtId="177" formatCode="0.0%"/>
    <numFmt numFmtId="178" formatCode="0&quot; bp&quot;"/>
    <numFmt numFmtId="179" formatCode="+0&quot; bp&quot;;-0&quot; bp&quot;;&quot;—&quot;"/>
  </numFmts>
  <fonts count="18">
    <font>
      <name val="Calibri"/>
      <family val="2"/>
      <color theme="1"/>
      <sz val="11"/>
      <scheme val="minor"/>
    </font>
    <font>
      <name val="Calibri"/>
      <b val="1"/>
      <color rgb="FF0B0B0B"/>
      <sz val="15"/>
    </font>
    <font>
      <name val="Calibri"/>
      <i val="1"/>
      <color rgb="FF33322F"/>
      <sz val="9.5"/>
    </font>
    <font>
      <name val="Calibri"/>
      <b val="1"/>
      <color rgb="FFE34948"/>
      <sz val="9"/>
    </font>
    <font>
      <name val="Calibri"/>
      <color rgb="FF0B0B0B"/>
      <sz val="10"/>
    </font>
    <font>
      <name val="Calibri"/>
      <b val="1"/>
      <color rgb="FF0B0B0B"/>
      <sz val="10"/>
    </font>
    <font>
      <name val="Calibri"/>
      <color rgb="FF33322F"/>
      <sz val="8.5"/>
    </font>
    <font>
      <name val="Calibri"/>
      <b val="1"/>
      <color rgb="FF2A78D6"/>
      <sz val="10"/>
    </font>
    <font>
      <name val="Calibri"/>
      <b val="1"/>
      <color rgb="FFA02523"/>
      <sz val="11"/>
    </font>
    <font>
      <name val="Calibri"/>
      <color rgb="FF33322F"/>
      <sz val="9"/>
    </font>
    <font>
      <name val="Calibri"/>
      <i val="1"/>
      <color rgb="FF0D6B4A"/>
      <sz val="9"/>
    </font>
    <font>
      <name val="Calibri"/>
      <b val="1"/>
      <color rgb="FFFFFFFF"/>
      <sz val="8.5"/>
    </font>
    <font>
      <name val="Calibri"/>
      <b val="1"/>
      <color rgb="FF0B0B0B"/>
      <sz val="9"/>
    </font>
    <font>
      <name val="Calibri"/>
      <color rgb="FF0B0B0B"/>
      <sz val="9"/>
    </font>
    <font>
      <name val="Calibri"/>
      <i val="1"/>
      <color rgb="FF33322F"/>
      <sz val="8.5"/>
    </font>
    <font>
      <name val="Calibri"/>
      <b val="1"/>
      <color rgb="FF2A78D6"/>
      <sz val="9"/>
    </font>
    <font>
      <name val="Calibri"/>
      <b val="1"/>
      <color rgb="FFA02523"/>
      <sz val="10"/>
    </font>
    <font>
      <name val="Calibri"/>
      <b val="1"/>
      <color rgb="FFA02523"/>
      <sz val="9"/>
    </font>
  </fonts>
  <fills count="6">
    <fill>
      <patternFill/>
    </fill>
    <fill>
      <patternFill patternType="gray125"/>
    </fill>
    <fill>
      <patternFill patternType="solid">
        <fgColor rgb="FFFFF8E1"/>
      </patternFill>
    </fill>
    <fill>
      <patternFill patternType="solid">
        <fgColor rgb="FFF7F6F3"/>
      </patternFill>
    </fill>
    <fill>
      <patternFill patternType="solid">
        <fgColor rgb="FFFDF0D3"/>
      </patternFill>
    </fill>
    <fill>
      <patternFill patternType="solid">
        <fgColor rgb="FF1F1F1E"/>
      </patternFill>
    </fill>
  </fills>
  <borders count="2">
    <border>
      <left/>
      <right/>
      <top/>
      <bottom/>
      <diagonal/>
    </border>
    <border>
      <left style="thin">
        <color rgb="FFD8D5CE"/>
      </left>
      <right style="thin">
        <color rgb="FFD8D5CE"/>
      </right>
      <top style="thin">
        <color rgb="FFD8D5CE"/>
      </top>
      <bottom style="thin">
        <color rgb="FFD8D5C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4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165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center" vertical="center"/>
    </xf>
    <xf numFmtId="167" fontId="5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9" fontId="7" fillId="3" borderId="1" applyAlignment="1" pivotButton="0" quotePrefix="0" xfId="0">
      <alignment horizontal="center" vertical="center"/>
    </xf>
    <xf numFmtId="170" fontId="7" fillId="3" borderId="1" applyAlignment="1" pivotButton="0" quotePrefix="0" xfId="0">
      <alignment horizontal="center" vertical="center"/>
    </xf>
    <xf numFmtId="171" fontId="7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172" fontId="7" fillId="3" borderId="1" applyAlignment="1" pivotButton="0" quotePrefix="0" xfId="0">
      <alignment horizontal="center" vertical="center"/>
    </xf>
    <xf numFmtId="173" fontId="7" fillId="3" borderId="1" applyAlignment="1" pivotButton="0" quotePrefix="0" xfId="0">
      <alignment horizontal="center" vertical="center"/>
    </xf>
    <xf numFmtId="174" fontId="8" fillId="4" borderId="1" applyAlignment="1" pivotButton="0" quotePrefix="0" xfId="0">
      <alignment horizontal="center" vertical="center"/>
    </xf>
    <xf numFmtId="0" fontId="9" fillId="0" borderId="0" pivotButton="0" quotePrefix="0" xfId="0"/>
    <xf numFmtId="175" fontId="5" fillId="2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173" fontId="8" fillId="4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4" fillId="0" borderId="0" pivotButton="0" quotePrefix="0" xfId="0"/>
    <xf numFmtId="2" fontId="5" fillId="2" borderId="1" applyAlignment="1" pivotButton="0" quotePrefix="0" xfId="0">
      <alignment horizontal="center" vertical="center"/>
    </xf>
    <xf numFmtId="176" fontId="5" fillId="2" borderId="1" applyAlignment="1" pivotButton="0" quotePrefix="0" xfId="0">
      <alignment horizontal="center" vertical="center"/>
    </xf>
    <xf numFmtId="2" fontId="8" fillId="4" borderId="1" applyAlignment="1" pivotButton="0" quotePrefix="0" xfId="0">
      <alignment horizontal="center" vertical="center"/>
    </xf>
    <xf numFmtId="177" fontId="8" fillId="4" borderId="1" applyAlignment="1" pivotButton="0" quotePrefix="0" xfId="0">
      <alignment horizontal="center" vertical="center"/>
    </xf>
    <xf numFmtId="176" fontId="12" fillId="0" borderId="1" applyAlignment="1" pivotButton="0" quotePrefix="0" xfId="0">
      <alignment horizontal="center" vertical="center"/>
    </xf>
    <xf numFmtId="177" fontId="15" fillId="0" borderId="1" applyAlignment="1" pivotButton="0" quotePrefix="0" xfId="0">
      <alignment horizontal="center" vertical="center"/>
    </xf>
    <xf numFmtId="178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78" fontId="5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78" fontId="7" fillId="0" borderId="1" applyAlignment="1" pivotButton="0" quotePrefix="0" xfId="0">
      <alignment horizontal="center" vertical="center"/>
    </xf>
    <xf numFmtId="179" fontId="7" fillId="0" borderId="1" applyAlignment="1" pivotButton="0" quotePrefix="0" xfId="0">
      <alignment horizontal="center" vertical="center"/>
    </xf>
    <xf numFmtId="179" fontId="16" fillId="0" borderId="1" applyAlignment="1" pivotButton="0" quotePrefix="0" xfId="0">
      <alignment horizontal="center" vertical="center"/>
    </xf>
    <xf numFmtId="0" fontId="17" fillId="0" borderId="0" pivotButton="0" quotePrefix="0" xfId="0"/>
    <xf numFmtId="0" fontId="5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" customWidth="1" min="3" max="3"/>
    <col width="74" customWidth="1" min="4" max="4"/>
  </cols>
  <sheetData>
    <row r="1">
      <c r="A1" s="1" t="inlineStr">
        <is>
          <t>Reading the forward off the ticket</t>
        </is>
      </c>
    </row>
    <row r="2">
      <c r="A2" s="2" t="inlineStr">
        <is>
          <t>Numbers taken from the Bloomberg AIM order in the source deck. Everything below the input block is a formula.</t>
        </is>
      </c>
    </row>
    <row r="4">
      <c r="A4" s="3" t="inlineStr">
        <is>
          <t>AS SHOWN ON THE TICKET  —  edit to use your own</t>
        </is>
      </c>
    </row>
    <row r="5">
      <c r="A5" s="4" t="inlineStr">
        <is>
          <t>Near leg all-in rate (spot)</t>
        </is>
      </c>
      <c r="B5" s="5" t="n">
        <v>1.16795</v>
      </c>
      <c r="D5" s="6" t="inlineStr">
        <is>
          <t>EURUSD, USD per EUR. The ticket's near value date.</t>
        </is>
      </c>
    </row>
    <row r="6">
      <c r="A6" s="4" t="inlineStr">
        <is>
          <t>Far leg all-in rate</t>
        </is>
      </c>
      <c r="B6" s="5" t="n">
        <v>1.16985</v>
      </c>
      <c r="D6" s="6" t="inlineStr">
        <is>
          <t>The outright forward actually dealt.</t>
        </is>
      </c>
    </row>
    <row r="7">
      <c r="A7" s="4" t="inlineStr">
        <is>
          <t>Quoted forward points</t>
        </is>
      </c>
      <c r="B7" s="7" t="n">
        <v>19</v>
      </c>
      <c r="D7" s="6" t="inlineStr">
        <is>
          <t>As printed on the ticket.</t>
        </is>
      </c>
    </row>
    <row r="8">
      <c r="A8" s="4" t="inlineStr">
        <is>
          <t>Pip divisor</t>
        </is>
      </c>
      <c r="B8" s="8" t="n">
        <v>10000</v>
      </c>
      <c r="D8" s="6" t="inlineStr">
        <is>
          <t>10,000 for EURUSD.</t>
        </is>
      </c>
    </row>
    <row r="9">
      <c r="A9" s="4" t="inlineStr">
        <is>
          <t>Near value date</t>
        </is>
      </c>
      <c r="B9" s="9" t="n">
        <v>46085</v>
      </c>
      <c r="D9" s="6" t="inlineStr">
        <is>
          <t>Ticket shows 03/04/2026. As-of is 03/02 and EURUSD spot is T+2, so the dates are MM/DD.</t>
        </is>
      </c>
    </row>
    <row r="10">
      <c r="A10" s="4" t="inlineStr">
        <is>
          <t>Far value date</t>
        </is>
      </c>
      <c r="B10" s="9" t="n">
        <v>46207</v>
      </c>
      <c r="D10" s="6" t="inlineStr">
        <is>
          <t>Ticket shows 04/07/2026.</t>
        </is>
      </c>
    </row>
    <row r="11">
      <c r="A11" s="4" t="inlineStr">
        <is>
          <t>Day-count basis</t>
        </is>
      </c>
      <c r="B11" s="10" t="n">
        <v>360</v>
      </c>
      <c r="D11" s="6" t="inlineStr">
        <is>
          <t>ACT/360 for both legs of a EURUSD forward.</t>
        </is>
      </c>
    </row>
    <row r="12">
      <c r="A12" s="4" t="inlineStr">
        <is>
          <t>EUR rate for the period</t>
        </is>
      </c>
      <c r="B12" s="11" t="n">
        <v>0.02</v>
      </c>
      <c r="D12" s="6" t="inlineStr">
        <is>
          <t>You must supply ONE leg — see the note at the foot of this sheet.</t>
        </is>
      </c>
    </row>
    <row r="14">
      <c r="A14" s="3" t="inlineStr">
        <is>
          <t>INTERNAL CONSISTENCY  —  does the ticket agree with itself?</t>
        </is>
      </c>
    </row>
    <row r="15">
      <c r="A15" s="4" t="inlineStr">
        <is>
          <t>Points implied by the two rates</t>
        </is>
      </c>
      <c r="B15" s="12">
        <f>(TkFwd-TkSpot)*TkPip</f>
        <v/>
      </c>
      <c r="D15" s="6" t="inlineStr">
        <is>
          <t>Should equal the quoted points.</t>
        </is>
      </c>
    </row>
    <row r="16">
      <c r="A16" s="4" t="inlineStr">
        <is>
          <t>Points check</t>
        </is>
      </c>
      <c r="B16" s="13">
        <f>IF(ABS(TkPtsCalc-TkPts)&lt;0.05,"OK — matches the ticket","MISMATCH")</f>
        <v/>
      </c>
    </row>
    <row r="17">
      <c r="A17" s="4" t="inlineStr">
        <is>
          <t>Inverse spot   1/near</t>
        </is>
      </c>
      <c r="B17" s="14">
        <f>1/TkSpot</f>
        <v/>
      </c>
      <c r="D17" s="6" t="inlineStr">
        <is>
          <t>Ticket shows 0.856201036.</t>
        </is>
      </c>
    </row>
    <row r="18">
      <c r="A18" s="4" t="inlineStr">
        <is>
          <t>Inverse all-in 1/far</t>
        </is>
      </c>
      <c r="B18" s="15">
        <f>1/TkFwd</f>
        <v/>
      </c>
      <c r="D18" s="6" t="inlineStr">
        <is>
          <t>Ticket shows 0.8548104458.</t>
        </is>
      </c>
    </row>
    <row r="19">
      <c r="A19" s="4" t="inlineStr">
        <is>
          <t>Inverse points</t>
        </is>
      </c>
      <c r="B19" s="16">
        <f>(1/TkFwd-1/TkSpot)*TkPip</f>
        <v/>
      </c>
      <c r="D19" s="6" t="inlineStr">
        <is>
          <t>Ticket shows -13.9059022.</t>
        </is>
      </c>
    </row>
    <row r="21">
      <c r="A21" s="3" t="inlineStr">
        <is>
          <t>WHAT THE TICKET TELLS YOU ABOUT RATES</t>
        </is>
      </c>
    </row>
    <row r="22">
      <c r="A22" s="4" t="inlineStr">
        <is>
          <t>Days in the period</t>
        </is>
      </c>
      <c r="B22" s="17">
        <f>TkD1-TkD0</f>
        <v/>
      </c>
      <c r="D22" s="6" t="inlineStr">
        <is>
          <t>Actual calendar days between the two value dates.</t>
        </is>
      </c>
    </row>
    <row r="23">
      <c r="A23" s="4" t="inlineStr">
        <is>
          <t>Year fraction  tau</t>
        </is>
      </c>
      <c r="B23" s="18">
        <f>TkDays/TkBasis</f>
        <v/>
      </c>
      <c r="D23" s="6" t="inlineStr">
        <is>
          <t>ACT/360.</t>
        </is>
      </c>
    </row>
    <row r="24">
      <c r="A24" s="4" t="inlineStr">
        <is>
          <t>Forward ratio  F / S</t>
        </is>
      </c>
      <c r="B24" s="14">
        <f>TkFwd/TkSpot</f>
        <v/>
      </c>
      <c r="D24" s="6" t="inlineStr">
        <is>
          <t>Equals (1+rUSD*tau)/(1+rEUR*tau) under covered interest parity.</t>
        </is>
      </c>
    </row>
    <row r="25">
      <c r="A25" s="4" t="inlineStr">
        <is>
          <t>Implied USD rate</t>
        </is>
      </c>
      <c r="B25" s="19">
        <f>(TkRatio*(1+TkREur*TkTau)-1)/TkTau</f>
        <v/>
      </c>
      <c r="D25" s="6" t="inlineStr">
        <is>
          <t>Given the EUR rate you supplied above.</t>
        </is>
      </c>
    </row>
    <row r="26">
      <c r="A26" s="4" t="inlineStr">
        <is>
          <t>IMPLIED RATE DIFFERENTIAL</t>
        </is>
      </c>
      <c r="B26" s="20">
        <f>(TkRUsd-TkREur)*10000</f>
        <v/>
      </c>
      <c r="D26" s="6" t="inlineStr">
        <is>
          <t>This is the number the ticket really determines.</t>
        </is>
      </c>
    </row>
    <row r="27">
      <c r="A27" s="4" t="inlineStr">
        <is>
          <t>Annualised cost of the hedge</t>
        </is>
      </c>
      <c r="B27" s="19">
        <f>TkRatio^(1/TkTau)-1</f>
        <v/>
      </c>
      <c r="D27" s="6" t="inlineStr">
        <is>
          <t>What a EUR investor pays per year to hedge USD assets, compounded.</t>
        </is>
      </c>
    </row>
    <row r="29">
      <c r="A29" s="3" t="inlineStr">
        <is>
          <t>THE POINT TO TAKE AWAY</t>
        </is>
      </c>
    </row>
    <row r="30">
      <c r="A30" s="21" t="inlineStr">
        <is>
          <t>A single forward quote pins the DIFFERENTIAL between the two rates and nothing else. rUSD and rEUR cannot both be recovered from it —</t>
        </is>
      </c>
    </row>
    <row r="31">
      <c r="A31" s="21" t="inlineStr">
        <is>
          <t>supply one leg from a curve and the other follows. The differential is what the hedge actually costs you, and here it is about 48bp.</t>
        </is>
      </c>
    </row>
    <row r="32">
      <c r="A32" s="21" t="inlineStr"/>
    </row>
    <row r="33">
      <c r="A33" s="21" t="inlineStr">
        <is>
          <t>Note also that this ticket is a plain at-market forward: 19 points on a 4-month EURUSD is an ordinary number. A rolled forward is not</t>
        </is>
      </c>
    </row>
    <row r="34">
      <c r="A34" s="21" t="inlineStr">
        <is>
          <t>like this at all — its rate sits far from the market by construction, and recovering the dealer's charge from it needs the extra step on</t>
        </is>
      </c>
    </row>
    <row r="35">
      <c r="A35" s="21" t="inlineStr">
        <is>
          <t>the next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" customWidth="1" min="3" max="3"/>
    <col width="74" customWidth="1" min="4" max="4"/>
  </cols>
  <sheetData>
    <row r="1">
      <c r="A1" s="1" t="inlineStr">
        <is>
          <t>Extracting the funding rate embedded in a rolled forward</t>
        </is>
      </c>
    </row>
    <row r="2">
      <c r="A2" s="2" t="inlineStr">
        <is>
          <t>The five-step chain from section 20 of the manual. Paste market data and the two ticket rates; the dealer's charge falls out.</t>
        </is>
      </c>
    </row>
    <row r="4">
      <c r="A4" s="3" t="inlineStr">
        <is>
          <t>INPUTS  —  two numbers off the screen, four off the tickets</t>
        </is>
      </c>
    </row>
    <row r="5">
      <c r="A5" s="4" t="inlineStr">
        <is>
          <t>Market spot at the roll date</t>
        </is>
      </c>
      <c r="B5" s="5" t="n">
        <v>1.05</v>
      </c>
      <c r="D5" s="6" t="inlineStr">
        <is>
          <t>The prevailing spot when the roll is executed.</t>
        </is>
      </c>
    </row>
    <row r="6">
      <c r="A6" s="4" t="inlineStr">
        <is>
          <t>MARKET forward points, far tenor</t>
        </is>
      </c>
      <c r="B6" s="7" t="n">
        <v>204.9</v>
      </c>
      <c r="D6" s="6" t="inlineStr">
        <is>
          <t>TRADED points for the far-leg value date. Never a forward built from OIS curves — see sheet 4.</t>
        </is>
      </c>
    </row>
    <row r="7">
      <c r="A7" s="4" t="inlineStr">
        <is>
          <t>Pip divisor</t>
        </is>
      </c>
      <c r="B7" s="8" t="n">
        <v>10000</v>
      </c>
    </row>
    <row r="8">
      <c r="A8" s="4" t="inlineStr">
        <is>
          <t>Notional (foreign ccy sold fwd)</t>
        </is>
      </c>
      <c r="B8" s="8" t="n">
        <v>100000000</v>
      </c>
      <c r="D8" s="6" t="inlineStr">
        <is>
          <t>USD in this example.</t>
        </is>
      </c>
    </row>
    <row r="9">
      <c r="A9" s="4" t="inlineStr">
        <is>
          <t>K_old — maturing contract rate</t>
        </is>
      </c>
      <c r="B9" s="5" t="n">
        <v>1.1215</v>
      </c>
      <c r="D9" s="6" t="inlineStr">
        <is>
          <t>Off the old ticket.</t>
        </is>
      </c>
    </row>
    <row r="10">
      <c r="A10" s="4" t="inlineStr">
        <is>
          <t>K_new — new far-leg rate</t>
        </is>
      </c>
      <c r="B10" s="5" t="n">
        <v>1.1475</v>
      </c>
      <c r="D10" s="6" t="inlineStr">
        <is>
          <t>Off the new ticket. This is the off-market rate.</t>
        </is>
      </c>
    </row>
    <row r="11">
      <c r="A11" s="4" t="inlineStr">
        <is>
          <t>Far-leg tenor (years)</t>
        </is>
      </c>
      <c r="B11" s="22" t="n">
        <v>1</v>
      </c>
      <c r="D11" s="6" t="inlineStr">
        <is>
          <t>Time from the roll date to the new far value date.</t>
        </is>
      </c>
    </row>
    <row r="12">
      <c r="A12" s="4" t="inlineStr">
        <is>
          <t>Your funding benchmark</t>
        </is>
      </c>
      <c r="B12" s="11" t="n">
        <v>0.025</v>
      </c>
      <c r="D12" s="6" t="inlineStr">
        <is>
          <t>Base-currency rate you would otherwise borrow at.</t>
        </is>
      </c>
    </row>
    <row r="14">
      <c r="A14" s="3" t="inlineStr">
        <is>
          <t>THE FIVE STEPS</t>
        </is>
      </c>
    </row>
    <row r="15">
      <c r="A15" s="4" t="inlineStr">
        <is>
          <t>1 · Market forward   F = S + pts/divisor</t>
        </is>
      </c>
      <c r="B15" s="23">
        <f>RcSpot+RcPts/RcPip</f>
        <v/>
      </c>
      <c r="D15" s="6" t="inlineStr">
        <is>
          <t>The rate a market-maker would actually quote for that date.</t>
        </is>
      </c>
    </row>
    <row r="16">
      <c r="A16" s="4" t="inlineStr">
        <is>
          <t>2 · Owed at the roll date   N/S - N/K_old</t>
        </is>
      </c>
      <c r="B16" s="24">
        <f>RcN/RcSpot-RcN/RcKold</f>
        <v/>
      </c>
      <c r="D16" s="6" t="inlineStr">
        <is>
          <t>This is simply the mark-to-market of the maturing leg.</t>
        </is>
      </c>
    </row>
    <row r="17">
      <c r="A17" s="4" t="inlineStr">
        <is>
          <t>3 · Owed at far maturity   N/F - N/K_new</t>
        </is>
      </c>
      <c r="B17" s="24">
        <f>RcN/RcF-RcN/RcKnew</f>
        <v/>
      </c>
      <c r="D17" s="6" t="inlineStr">
        <is>
          <t>What the off-market far-leg rate is worth to the dealer at maturity.</t>
        </is>
      </c>
    </row>
    <row r="18">
      <c r="A18" s="4" t="inlineStr">
        <is>
          <t>4 · IMPLIED FUNDING RATE  c</t>
        </is>
      </c>
      <c r="B18" s="25">
        <f>(RcDmat/RcDroll-1)/RcTau</f>
        <v/>
      </c>
      <c r="D18" s="6" t="inlineStr">
        <is>
          <t>(step3 / step2 - 1) / tenor.</t>
        </is>
      </c>
    </row>
    <row r="19">
      <c r="A19" s="4" t="inlineStr">
        <is>
          <t>5 · Implied spread over benchmark</t>
        </is>
      </c>
      <c r="B19" s="20">
        <f>(RcC-RcBm)*10000</f>
        <v/>
      </c>
      <c r="D19" s="6" t="inlineStr">
        <is>
          <t>The dealer's charge. It appears nowhere else in the fund's records.</t>
        </is>
      </c>
    </row>
    <row r="21">
      <c r="A21" s="3" t="inlineStr">
        <is>
          <t>COLLATERAL READINGS FROM THE SAME INPUTS</t>
        </is>
      </c>
    </row>
    <row r="22">
      <c r="A22" s="4" t="inlineStr">
        <is>
          <t>Strike distance from market  K_new/F - 1</t>
        </is>
      </c>
      <c r="B22" s="26">
        <f>RcKnew/RcF-1</f>
        <v/>
      </c>
      <c r="D22" s="6" t="inlineStr">
        <is>
          <t>The Layer 0 limit. Should also have been flagged by the exception report.</t>
        </is>
      </c>
    </row>
    <row r="23">
      <c r="A23" s="4" t="inlineStr">
        <is>
          <t>Structural ceiling used  u</t>
        </is>
      </c>
      <c r="B23" s="26">
        <f>RcDmat/(RcN/RcF)</f>
        <v/>
      </c>
      <c r="D23" s="6" t="inlineStr">
        <is>
          <t>Fraction of the leg's base-currency value consumed by the deferred balance.</t>
        </is>
      </c>
    </row>
    <row r="24">
      <c r="A24" s="4" t="inlineStr">
        <is>
          <t>Cross-check: distance from u</t>
        </is>
      </c>
      <c r="B24" s="26">
        <f>RcU/(1-RcU)</f>
        <v/>
      </c>
      <c r="D24" s="6" t="inlineStr">
        <is>
          <t>Identity K/F-1 = u/(1-u). Must equal the row above.</t>
        </is>
      </c>
    </row>
    <row r="25">
      <c r="A25" s="4" t="inlineStr">
        <is>
          <t>Identity holds?</t>
        </is>
      </c>
      <c r="B25" s="13">
        <f>IF(ABS(RcChk-RcDist)&lt;0.000001,"OK — identity verified","MISMATCH")</f>
        <v/>
      </c>
    </row>
    <row r="27">
      <c r="A27" s="3" t="inlineStr">
        <is>
          <t>VERDICT AGAINST THE LIMIT SCHEDULE</t>
        </is>
      </c>
    </row>
    <row r="28">
      <c r="A28" s="4" t="inlineStr">
        <is>
          <t>Layer 1 — implied spread limit (bp)</t>
        </is>
      </c>
      <c r="B28" s="10" t="n">
        <v>150</v>
      </c>
      <c r="D28" s="6" t="inlineStr">
        <is>
          <t>Soft limit from the manual, section 21.</t>
        </is>
      </c>
    </row>
    <row r="29">
      <c r="A29" s="4" t="inlineStr">
        <is>
          <t>Status</t>
        </is>
      </c>
      <c r="B29" s="27">
        <f>IF(RcSpr&gt;RcLim*1.6667,"RED — do not roll without treasury sign-off",IF(RcSpr&gt;RcLim,"AMBER — escalate","GREEN — within appetite"))</f>
        <v/>
      </c>
      <c r="D29" s="6" t="inlineStr">
        <is>
          <t>Hard limit is 250bp.</t>
        </is>
      </c>
    </row>
    <row r="32">
      <c r="A32" s="28" t="inlineStr">
        <is>
          <t>The inputs above are the first roll of Scenario A in the manual, where the model was built with a 75bp spread. The sheet recovers 75.1bp from screen data alone.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3" customWidth="1" min="4" max="4"/>
    <col width="9" customWidth="1" min="5" max="5"/>
    <col width="9" customWidth="1" min="6" max="6"/>
    <col width="11" customWidth="1" min="7" max="7"/>
    <col width="10" customWidth="1" min="8" max="8"/>
    <col width="9" customWidth="1" min="9" max="9"/>
  </cols>
  <sheetData>
    <row r="1">
      <c r="A1" s="1" t="inlineStr">
        <is>
          <t>The deck's own worked example — what it does and does not let you compute</t>
        </is>
      </c>
    </row>
    <row r="2">
      <c r="A2" s="2" t="inlineStr">
        <is>
          <t>Reproducing the 1.1 / 1.2 / 1.3 table from the source slide, and testing whether the funding rate is recoverable from it.</t>
        </is>
      </c>
    </row>
    <row r="4">
      <c r="A4" s="3" t="inlineStr">
        <is>
          <t>AS PRINTED ON THE SLIDE</t>
        </is>
      </c>
    </row>
    <row r="5">
      <c r="A5" s="29" t="inlineStr"/>
      <c r="B5" s="29" t="inlineStr">
        <is>
          <t>Leg</t>
        </is>
      </c>
      <c r="C5" s="29" t="inlineStr">
        <is>
          <t>Trade date</t>
        </is>
      </c>
      <c r="D5" s="29" t="inlineStr">
        <is>
          <t>Maturity</t>
        </is>
      </c>
      <c r="E5" s="29" t="inlineStr">
        <is>
          <t>EUR m</t>
        </is>
      </c>
      <c r="F5" s="29" t="inlineStr">
        <is>
          <t>USD m</t>
        </is>
      </c>
      <c r="G5" s="29" t="inlineStr">
        <is>
          <t>All-in rate</t>
        </is>
      </c>
      <c r="H5" s="29" t="inlineStr">
        <is>
          <t>Spot ref</t>
        </is>
      </c>
      <c r="I5" s="29" t="inlineStr">
        <is>
          <t>MtM $</t>
        </is>
      </c>
    </row>
    <row r="6">
      <c r="A6" s="30" t="inlineStr">
        <is>
          <t>Inception</t>
        </is>
      </c>
      <c r="B6" s="31" t="inlineStr">
        <is>
          <t>Near</t>
        </is>
      </c>
      <c r="C6" s="32" t="inlineStr">
        <is>
          <t>01/01/2026</t>
        </is>
      </c>
      <c r="D6" s="32" t="inlineStr">
        <is>
          <t>08/01/2026</t>
        </is>
      </c>
      <c r="E6" s="32" t="n">
        <v>10</v>
      </c>
      <c r="F6" s="32" t="n">
        <v>-11</v>
      </c>
      <c r="G6" s="32" t="n">
        <v>1.1</v>
      </c>
      <c r="H6" s="32" t="n">
        <v>1.1</v>
      </c>
      <c r="I6" s="32" t="n">
        <v>0</v>
      </c>
    </row>
    <row r="7">
      <c r="A7" s="30" t="inlineStr"/>
      <c r="B7" s="31" t="inlineStr">
        <is>
          <t>Far</t>
        </is>
      </c>
      <c r="C7" s="32" t="inlineStr">
        <is>
          <t>01/01/2026</t>
        </is>
      </c>
      <c r="D7" s="32" t="inlineStr">
        <is>
          <t>08/01/2027</t>
        </is>
      </c>
      <c r="E7" s="32" t="n">
        <v>-10</v>
      </c>
      <c r="F7" s="32" t="n">
        <v>12</v>
      </c>
      <c r="G7" s="32" t="n">
        <v>1.2</v>
      </c>
      <c r="H7" s="32" t="n">
        <v>1.1</v>
      </c>
      <c r="I7" s="32" t="n">
        <v>0</v>
      </c>
    </row>
    <row r="8">
      <c r="A8" s="30" t="inlineStr">
        <is>
          <t>Rollover</t>
        </is>
      </c>
      <c r="B8" s="31" t="inlineStr">
        <is>
          <t>Near</t>
        </is>
      </c>
      <c r="C8" s="32" t="inlineStr">
        <is>
          <t>01/01/2027</t>
        </is>
      </c>
      <c r="D8" s="32" t="inlineStr">
        <is>
          <t>08/01/2027</t>
        </is>
      </c>
      <c r="E8" s="32" t="n">
        <v>10</v>
      </c>
      <c r="F8" s="32" t="n">
        <v>-12</v>
      </c>
      <c r="G8" s="32" t="n">
        <v>1.2</v>
      </c>
      <c r="H8" s="32" t="n">
        <v>1.1</v>
      </c>
      <c r="I8" s="32" t="n">
        <v>1</v>
      </c>
    </row>
    <row r="9">
      <c r="A9" s="30" t="inlineStr"/>
      <c r="B9" s="31" t="inlineStr">
        <is>
          <t>Far</t>
        </is>
      </c>
      <c r="C9" s="32" t="inlineStr">
        <is>
          <t>01/01/2027</t>
        </is>
      </c>
      <c r="D9" s="32" t="inlineStr">
        <is>
          <t>08/01/2028</t>
        </is>
      </c>
      <c r="E9" s="32" t="n">
        <v>-10</v>
      </c>
      <c r="F9" s="32" t="n">
        <v>13</v>
      </c>
      <c r="G9" s="32" t="n">
        <v>1.3</v>
      </c>
      <c r="H9" s="32" t="n">
        <v>1.1</v>
      </c>
      <c r="I9" s="32" t="n">
        <v>-1</v>
      </c>
    </row>
    <row r="10">
      <c r="A10" s="33" t="inlineStr">
        <is>
          <t>Narrative on the slide: "near leg equal and opposite of the maturing FWD trade; FWD rate of the far leg reflects unrealized MTM; New Spot Ref is 1.3."</t>
        </is>
      </c>
    </row>
    <row r="12">
      <c r="A12" s="3" t="inlineStr">
        <is>
          <t>STEP 1  —  WHAT IS RECOVERABLE:  THE DEFERRED BALANCE</t>
        </is>
      </c>
    </row>
    <row r="13">
      <c r="A13" s="4" t="inlineStr">
        <is>
          <t>EUR notional (m)</t>
        </is>
      </c>
      <c r="B13" s="34" t="n">
        <v>10</v>
      </c>
      <c r="D13" s="6" t="inlineStr">
        <is>
          <t>From the table.</t>
        </is>
      </c>
    </row>
    <row r="14">
      <c r="A14" s="4" t="inlineStr">
        <is>
          <t>K_old — maturing far leg</t>
        </is>
      </c>
      <c r="B14" s="35" t="n">
        <v>1.2</v>
      </c>
      <c r="D14" s="6" t="inlineStr">
        <is>
          <t>From the table.</t>
        </is>
      </c>
    </row>
    <row r="15">
      <c r="A15" s="4" t="inlineStr">
        <is>
          <t>New spot reference</t>
        </is>
      </c>
      <c r="B15" s="35" t="n">
        <v>1.3</v>
      </c>
      <c r="D15" s="6" t="inlineStr">
        <is>
          <t>From the narrative line.</t>
        </is>
      </c>
    </row>
    <row r="16">
      <c r="A16" s="4" t="inlineStr">
        <is>
          <t>K_new — new far leg</t>
        </is>
      </c>
      <c r="B16" s="35" t="n">
        <v>1.3</v>
      </c>
      <c r="D16" s="6" t="inlineStr">
        <is>
          <t>From the table.</t>
        </is>
      </c>
    </row>
    <row r="17">
      <c r="A17" s="4" t="inlineStr">
        <is>
          <t>Far-leg tenor (years)</t>
        </is>
      </c>
      <c r="B17" s="7" t="n">
        <v>1</v>
      </c>
      <c r="D17" s="6" t="inlineStr">
        <is>
          <t>08/01/2027 to 08/01/2028.</t>
        </is>
      </c>
    </row>
    <row r="18">
      <c r="A18" s="4" t="inlineStr">
        <is>
          <t>Deferred balance, USD m</t>
        </is>
      </c>
      <c r="B18" s="36">
        <f>DkN*(DkS-DkKold)</f>
        <v/>
      </c>
      <c r="D18" s="6" t="inlineStr">
        <is>
          <t>Sell EUR at 1.2 when spot is 1.3. Matches the deck's MtM of 1.</t>
        </is>
      </c>
    </row>
    <row r="19">
      <c r="A19" s="4" t="inlineStr">
        <is>
          <t>Deck MtM column says</t>
        </is>
      </c>
      <c r="B19" s="12">
        <f>1</f>
        <v/>
      </c>
    </row>
    <row r="20">
      <c r="A20" s="4" t="inlineStr">
        <is>
          <t>Agrees?</t>
        </is>
      </c>
      <c r="B20" s="13">
        <f>IF(ABS(DkD-1)&lt;0.0001,"OK — the deferred balance reconciles to the slide","MISMATCH")</f>
        <v/>
      </c>
    </row>
    <row r="22">
      <c r="A22" s="3" t="inlineStr">
        <is>
          <t>STEP 2  —  WHAT IS NOT RECOVERABLE:  THE FUNDING RATE</t>
        </is>
      </c>
    </row>
    <row r="23">
      <c r="A23" s="4" t="inlineStr">
        <is>
          <t>Market forward for the new far date</t>
        </is>
      </c>
      <c r="B23" s="35" t="inlineStr"/>
      <c r="D23" s="6" t="inlineStr">
        <is>
          <t>NOT ON THE SLIDE. Type a value to see what it would imply.</t>
        </is>
      </c>
    </row>
    <row r="24">
      <c r="A24" s="4" t="inlineStr">
        <is>
          <t>Implied funding rate  c</t>
        </is>
      </c>
      <c r="B24" s="37">
        <f>IF(DkF="","— needs the market forward —",(DkN*(DkF-DkKnew))/DkD-1)</f>
        <v/>
      </c>
      <c r="D24" s="6" t="inlineStr">
        <is>
          <t>c = N x (F - K_new) / D - 1. Without F this cannot be computed at all.</t>
        </is>
      </c>
    </row>
    <row r="26">
      <c r="A26" s="3" t="inlineStr">
        <is>
          <t>WHAT DIFFERENT MARKET FORWARDS WOULD IMPLY</t>
        </is>
      </c>
    </row>
    <row r="27">
      <c r="A27" s="29" t="inlineStr">
        <is>
          <t>Market forward</t>
        </is>
      </c>
      <c r="B27" s="29" t="inlineStr">
        <is>
          <t>Implied funding rate</t>
        </is>
      </c>
      <c r="C27" s="29" t="inlineStr">
        <is>
          <t>Implied EURUSD rate differential</t>
        </is>
      </c>
      <c r="D27" s="29" t="inlineStr">
        <is>
          <t>Plausible?</t>
        </is>
      </c>
    </row>
    <row r="28">
      <c r="A28" s="38" t="n">
        <v>1.3</v>
      </c>
      <c r="B28" s="39">
        <f>(DkN*(A28-DkKnew))/DkD-1</f>
        <v/>
      </c>
      <c r="C28" s="40">
        <f>(A28/DkS-1)/DkTau*10000</f>
        <v/>
      </c>
      <c r="D28" s="41">
        <f>IF(AND(B28&gt;=0,B28&lt;=0.15),"yes","no")</f>
        <v/>
      </c>
    </row>
    <row r="29">
      <c r="A29" s="38" t="n">
        <v>1.32</v>
      </c>
      <c r="B29" s="39">
        <f>(DkN*(A29-DkKnew))/DkD-1</f>
        <v/>
      </c>
      <c r="C29" s="40">
        <f>(A29/DkS-1)/DkTau*10000</f>
        <v/>
      </c>
      <c r="D29" s="41">
        <f>IF(AND(B29&gt;=0,B29&lt;=0.15),"yes","no")</f>
        <v/>
      </c>
    </row>
    <row r="30">
      <c r="A30" s="38" t="n">
        <v>1.35</v>
      </c>
      <c r="B30" s="39">
        <f>(DkN*(A30-DkKnew))/DkD-1</f>
        <v/>
      </c>
      <c r="C30" s="40">
        <f>(A30/DkS-1)/DkTau*10000</f>
        <v/>
      </c>
      <c r="D30" s="41">
        <f>IF(AND(B30&gt;=0,B30&lt;=0.15),"yes","no")</f>
        <v/>
      </c>
    </row>
    <row r="31">
      <c r="A31" s="38" t="n">
        <v>1.38</v>
      </c>
      <c r="B31" s="39">
        <f>(DkN*(A31-DkKnew))/DkD-1</f>
        <v/>
      </c>
      <c r="C31" s="40">
        <f>(A31/DkS-1)/DkTau*10000</f>
        <v/>
      </c>
      <c r="D31" s="41">
        <f>IF(AND(B31&gt;=0,B31&lt;=0.15),"yes","no")</f>
        <v/>
      </c>
    </row>
    <row r="32">
      <c r="A32" s="38" t="n">
        <v>1.4</v>
      </c>
      <c r="B32" s="39">
        <f>(DkN*(A32-DkKnew))/DkD-1</f>
        <v/>
      </c>
      <c r="C32" s="40">
        <f>(A32/DkS-1)/DkTau*10000</f>
        <v/>
      </c>
      <c r="D32" s="41">
        <f>IF(AND(B32&gt;=0,B32&lt;=0.15),"yes","no")</f>
        <v/>
      </c>
    </row>
    <row r="33">
      <c r="A33" s="38" t="n">
        <v>1.405</v>
      </c>
      <c r="B33" s="39">
        <f>(DkN*(A33-DkKnew))/DkD-1</f>
        <v/>
      </c>
      <c r="C33" s="40">
        <f>(A33/DkS-1)/DkTau*10000</f>
        <v/>
      </c>
      <c r="D33" s="41">
        <f>IF(AND(B33&gt;=0,B33&lt;=0.15),"yes","no")</f>
        <v/>
      </c>
    </row>
    <row r="34">
      <c r="A34" s="38" t="n">
        <v>1.41</v>
      </c>
      <c r="B34" s="39">
        <f>(DkN*(A34-DkKnew))/DkD-1</f>
        <v/>
      </c>
      <c r="C34" s="40">
        <f>(A34/DkS-1)/DkTau*10000</f>
        <v/>
      </c>
      <c r="D34" s="41">
        <f>IF(AND(B34&gt;=0,B34&lt;=0.15),"yes","no")</f>
        <v/>
      </c>
    </row>
    <row r="35">
      <c r="A35" s="38" t="n">
        <v>1.45</v>
      </c>
      <c r="B35" s="39">
        <f>(DkN*(A35-DkKnew))/DkD-1</f>
        <v/>
      </c>
      <c r="C35" s="40">
        <f>(A35/DkS-1)/DkTau*10000</f>
        <v/>
      </c>
      <c r="D35" s="41">
        <f>IF(AND(B35&gt;=0,B35&lt;=0.15),"yes","no")</f>
        <v/>
      </c>
    </row>
    <row r="37">
      <c r="A37" s="3" t="inlineStr">
        <is>
          <t>TWO THINGS A REVIEWER SHOULD RAISE</t>
        </is>
      </c>
    </row>
    <row r="38">
      <c r="A38" s="21" t="inlineStr">
        <is>
          <t>1.  The Spot reference column reads 1.1 on all four rows while the narrative says the new spot reference is 1.3. One of them is wrong,</t>
        </is>
      </c>
    </row>
    <row r="39">
      <c r="A39" s="21" t="inlineStr">
        <is>
          <t xml:space="preserve">     and until it is fixed the arithmetic on the slide cannot be checked by the reader.</t>
        </is>
      </c>
    </row>
    <row r="40">
      <c r="A40" s="21" t="inlineStr"/>
    </row>
    <row r="41">
      <c r="A41" s="21" t="inlineStr">
        <is>
          <t>2.  The far leg is booked at 1.3, which is exactly the new spot. As printed it therefore embeds NO deferred loss — yet the narrative says</t>
        </is>
      </c>
    </row>
    <row r="42">
      <c r="A42" s="21" t="inlineStr">
        <is>
          <t xml:space="preserve">     the far-leg rate reflects the unrealised mark-to-market. For it to embed the USD 1m plus any sensible funding rate, the market forward</t>
        </is>
      </c>
    </row>
    <row r="43">
      <c r="A43" s="21" t="inlineStr">
        <is>
          <t xml:space="preserve">     would have to be about 1.40, implying an EURUSD rate differential near 8% a year. The example is illustrative, not arbitrage-consistent.</t>
        </is>
      </c>
    </row>
    <row r="44">
      <c r="A44" s="21" t="inlineStr"/>
    </row>
    <row r="45">
      <c r="A45" s="21" t="inlineStr">
        <is>
          <t>Neither point undermines the mechanism — the deferred balance itself reconciles exactly. But a one-roll example with round numbers cannot</t>
        </is>
      </c>
    </row>
    <row r="46">
      <c r="A46" s="21" t="inlineStr">
        <is>
          <t>show the reader either the accrued financing charge or the cumulative balance, which are the two things the risk review actually needs.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  <col width="60" customWidth="1" min="7" max="7"/>
  </cols>
  <sheetData>
    <row r="1">
      <c r="A1" s="1" t="inlineStr">
        <is>
          <t>Why the forward must come from traded points, not from rate curves</t>
        </is>
      </c>
    </row>
    <row r="2">
      <c r="A2" s="2" t="inlineStr">
        <is>
          <t>Cross-currency basis means covered interest parity does not hold exactly. The error goes straight into the implied dealer spread.</t>
        </is>
      </c>
    </row>
    <row r="4">
      <c r="A4" s="3" t="inlineStr">
        <is>
          <t>THE SAME ROLL, PRICED OFF A FORWARD THAT IS WRONG BY A FEW BASIS POINTS</t>
        </is>
      </c>
    </row>
    <row r="5">
      <c r="A5" s="29" t="inlineStr">
        <is>
          <t>Basis error ignored</t>
        </is>
      </c>
      <c r="B5" s="29" t="inlineStr">
        <is>
          <t>Forward used</t>
        </is>
      </c>
      <c r="C5" s="29" t="inlineStr">
        <is>
          <t>Implied funding rate</t>
        </is>
      </c>
      <c r="D5" s="29" t="inlineStr">
        <is>
          <t>Implied spread</t>
        </is>
      </c>
      <c r="E5" s="29" t="inlineStr">
        <is>
          <t>Error vs truth</t>
        </is>
      </c>
    </row>
    <row r="6">
      <c r="A6" s="42" t="n">
        <v>0</v>
      </c>
      <c r="B6" s="43">
        <f>RcF*(1-A6/10000)</f>
        <v/>
      </c>
      <c r="C6" s="44">
        <f>((RcN/B6-RcN/RcKnew)/RcDroll-1)/RcTau</f>
        <v/>
      </c>
      <c r="D6" s="45">
        <f>(C6-RcBm)*10000</f>
        <v/>
      </c>
      <c r="E6" s="46">
        <f>D6-D$6</f>
        <v/>
      </c>
    </row>
    <row r="7">
      <c r="A7" s="42" t="n">
        <v>5</v>
      </c>
      <c r="B7" s="43">
        <f>RcF*(1-A7/10000)</f>
        <v/>
      </c>
      <c r="C7" s="44">
        <f>((RcN/B7-RcN/RcKnew)/RcDroll-1)/RcTau</f>
        <v/>
      </c>
      <c r="D7" s="45">
        <f>(C7-RcBm)*10000</f>
        <v/>
      </c>
      <c r="E7" s="47">
        <f>D7-D$6</f>
        <v/>
      </c>
    </row>
    <row r="8">
      <c r="A8" s="42" t="n">
        <v>10</v>
      </c>
      <c r="B8" s="43">
        <f>RcF*(1-A8/10000)</f>
        <v/>
      </c>
      <c r="C8" s="44">
        <f>((RcN/B8-RcN/RcKnew)/RcDroll-1)/RcTau</f>
        <v/>
      </c>
      <c r="D8" s="45">
        <f>(C8-RcBm)*10000</f>
        <v/>
      </c>
      <c r="E8" s="47">
        <f>D8-D$6</f>
        <v/>
      </c>
    </row>
    <row r="9">
      <c r="A9" s="42" t="n">
        <v>20</v>
      </c>
      <c r="B9" s="43">
        <f>RcF*(1-A9/10000)</f>
        <v/>
      </c>
      <c r="C9" s="44">
        <f>((RcN/B9-RcN/RcKnew)/RcDroll-1)/RcTau</f>
        <v/>
      </c>
      <c r="D9" s="45">
        <f>(C9-RcBm)*10000</f>
        <v/>
      </c>
      <c r="E9" s="47">
        <f>D9-D$6</f>
        <v/>
      </c>
    </row>
    <row r="10">
      <c r="A10" s="42" t="n">
        <v>30</v>
      </c>
      <c r="B10" s="43">
        <f>RcF*(1-A10/10000)</f>
        <v/>
      </c>
      <c r="C10" s="44">
        <f>((RcN/B10-RcN/RcKnew)/RcDroll-1)/RcTau</f>
        <v/>
      </c>
      <c r="D10" s="45">
        <f>(C10-RcBm)*10000</f>
        <v/>
      </c>
      <c r="E10" s="47">
        <f>D10-D$6</f>
        <v/>
      </c>
    </row>
    <row r="11">
      <c r="A11" s="42" t="n">
        <v>50</v>
      </c>
      <c r="B11" s="43">
        <f>RcF*(1-A11/10000)</f>
        <v/>
      </c>
      <c r="C11" s="44">
        <f>((RcN/B11-RcN/RcKnew)/RcDroll-1)/RcTau</f>
        <v/>
      </c>
      <c r="D11" s="45">
        <f>(C11-RcBm)*10000</f>
        <v/>
      </c>
      <c r="E11" s="47">
        <f>D11-D$6</f>
        <v/>
      </c>
    </row>
    <row r="13">
      <c r="A13" s="21" t="inlineStr">
        <is>
          <t>A 20bp basis error is unremarkable for EURUSD and much larger over year-end. It misstates the dealer's charge by roughly 300bp,</t>
        </is>
      </c>
    </row>
    <row r="14">
      <c r="A14" s="21" t="inlineStr">
        <is>
          <t>which would generate a false escalation every quarter and destroy any confidence in the control.</t>
        </is>
      </c>
    </row>
    <row r="15">
      <c r="A15" s="21" t="inlineStr"/>
    </row>
    <row r="16">
      <c r="A16" s="48" t="inlineStr">
        <is>
          <t>The forward points already embed the basis. The deposit and OIS curves do not. Pull the points.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08" customWidth="1" min="2" max="2"/>
  </cols>
  <sheetData>
    <row r="1">
      <c r="A1" s="1" t="inlineStr">
        <is>
          <t>Method and provenance</t>
        </is>
      </c>
    </row>
    <row r="3" ht="60" customHeight="1">
      <c r="A3" s="49" t="inlineStr">
        <is>
          <t>What this workbook does</t>
        </is>
      </c>
      <c r="B3" s="50" t="inlineStr">
        <is>
          <t>Two different 'funding rates' are recovered here and they must not be confused.
Sheet 1 recovers the INTEREST RATE DIFFERENTIAL implied by an ordinary at-market forward — the structural cost of hedging.
Sheet 2 recovers the DEALER'S FINANCING CHARGE embedded in an off-market rolled forward — the cost of deferring a settlement.</t>
        </is>
      </c>
    </row>
    <row r="4" ht="45" customHeight="1">
      <c r="A4" s="49" t="inlineStr">
        <is>
          <t>Sheet 1 — the identity</t>
        </is>
      </c>
      <c r="B4" s="50" t="inlineStr">
        <is>
          <t>Covered interest parity: F = S x (1 + rUSD*tau) / (1 + rEUR*tau).
Rearranged: rUSD = [ (F/S) x (1 + rEUR*tau) - 1 ] / tau.  One quote gives the differential; it cannot give both rates.</t>
        </is>
      </c>
    </row>
    <row r="5" ht="60" customHeight="1">
      <c r="A5" s="49" t="inlineStr">
        <is>
          <t>Sheet 1 — provenance</t>
        </is>
      </c>
      <c r="B5" s="50" t="inlineStr">
        <is>
          <t>Rates, points and value dates are taken from the Bloomberg AIM order in the source deck. All four inverse figures on
the ticket (0.856201036, 0.8548104458, -13.9059022 and the 19 points) reproduce exactly, which also confirms the dates are MM/DD:
as-of 03/02 with a 03/04 spot is T+2, which only works in US format.</t>
        </is>
      </c>
    </row>
    <row r="6" ht="60" customHeight="1">
      <c r="A6" s="49" t="inlineStr">
        <is>
          <t>Sheet 2 — the identity</t>
        </is>
      </c>
      <c r="B6" s="50" t="inlineStr">
        <is>
          <t>D_roll = N/S - N/K_old       (the mark-to-market of the maturing leg)
D_mat  = N/F - N/K_new       (what the off-market far leg is worth to the dealer at its maturity)
c      = (D_mat / D_roll - 1) / tau</t>
        </is>
      </c>
    </row>
    <row r="7" ht="45" customHeight="1">
      <c r="A7" s="49" t="inlineStr">
        <is>
          <t>Sheet 2 — the cross-check</t>
        </is>
      </c>
      <c r="B7" s="50" t="inlineStr">
        <is>
          <t>The same inputs independently give the strike distance K_new/F - 1 and the ceiling utilisation u, and the identity
K/F - 1 = u/(1-u) must hold. The sheet tests it. If it fails, an input has been mistyped.</t>
        </is>
      </c>
    </row>
    <row r="8" ht="60" customHeight="1">
      <c r="A8" s="49" t="inlineStr">
        <is>
          <t>Sheet 3 — the finding</t>
        </is>
      </c>
      <c r="B8" s="50" t="inlineStr">
        <is>
          <t>The deferred balance on the deck's example reconciles exactly to its own MtM column. The funding rate does not, because the
market forward for the new far-leg date is not printed on the slide. That is the transparency problem in miniature: the rate the
dealer is charging is genuinely not visible in the trade record.</t>
        </is>
      </c>
    </row>
    <row r="9" ht="30" customHeight="1">
      <c r="A9" s="49" t="inlineStr">
        <is>
          <t>Sheet 4 — the trap</t>
        </is>
      </c>
      <c r="B9" s="50" t="inlineStr">
        <is>
          <t>The implied spread is a ratio of two small differences, so it amplifies any error in the forward. Use traded points.</t>
        </is>
      </c>
    </row>
    <row r="10" ht="30" customHeight="1">
      <c r="A10" s="49" t="inlineStr">
        <is>
          <t>Calculation mode</t>
        </is>
      </c>
      <c r="B10" s="50" t="inlineStr">
        <is>
          <t>This workbook is on automatic calculation — it is small. The Monte Carlo workbook is on manual for the opposite reason.</t>
        </is>
      </c>
    </row>
    <row r="11" ht="30" customHeight="1">
      <c r="A11" s="49" t="inlineStr">
        <is>
          <t>Function names</t>
        </is>
      </c>
      <c r="B11" s="50" t="inlineStr">
        <is>
          <t>Only pre-2007 Excel functions are used, so no _xlfn. prefixes are needed and the file opens correctly everywhere.</t>
        </is>
      </c>
    </row>
    <row r="12" ht="30" customHeight="1">
      <c r="A12" s="49" t="inlineStr">
        <is>
          <t>Source</t>
        </is>
      </c>
      <c r="B12" s="50" t="inlineStr">
        <is>
          <t>Built by build_funding.py alongside HRR_FX_Framework.pdf and HRR_Limit_Register.xlsx. Method is manual section 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2026-08-28T03:08:15Z</dcterms:created>
  <dcterms:modified xmlns:dcterms="http://purl.org/dc/terms/" xmlns:xsi="http://www.w3.org/2001/XMLSchema-instance" xsi:type="dcterms:W3CDTF">2026-08-28T03:08:15Z</dcterms:modified>
</cp:coreProperties>
</file>