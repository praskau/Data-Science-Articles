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nL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Ratios" sheetId="6" state="visible" r:id="rId6"/>
    <sheet xmlns:r="http://schemas.openxmlformats.org/officeDocument/2006/relationships" name="Stress" sheetId="7" state="visible" r:id="rId7"/>
    <sheet xmlns:r="http://schemas.openxmlformats.org/officeDocument/2006/relationships" name="Red Flags" sheetId="8" state="visible" r:id="rId8"/>
    <sheet xmlns:r="http://schemas.openxmlformats.org/officeDocument/2006/relationships" name="Credit Memo" sheetId="9" state="visible" r:id="rId9"/>
    <sheet xmlns:r="http://schemas.openxmlformats.org/officeDocument/2006/relationships" name="Falcon Underwrite" sheetId="10" state="visible" r:id="rId10"/>
    <sheet xmlns:r="http://schemas.openxmlformats.org/officeDocument/2006/relationships" name="Falcon Downside" sheetId="11" state="visible" r:id="rId11"/>
    <sheet xmlns:r="http://schemas.openxmlformats.org/officeDocument/2006/relationships" name="Falcon Recovery" sheetId="12" state="visible" r:id="rId12"/>
    <sheet xmlns:r="http://schemas.openxmlformats.org/officeDocument/2006/relationships" name="Framework Scorec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;(#,##0.0)"/>
    <numFmt numFmtId="165" formatCode="0.0%"/>
    <numFmt numFmtId="166" formatCode="0.00&quot;x&quot;"/>
    <numFmt numFmtId="167" formatCode="0.00x"/>
    <numFmt numFmtId="168" formatCode="0&quot; d&quot;"/>
    <numFmt numFmtId="169" formatCode="0.0"/>
    <numFmt numFmtId="170" formatCode="0&quot; bps&quot;"/>
    <numFmt numFmtId="171" formatCode="#,##0.0"/>
    <numFmt numFmtId="172" formatCode="0.0&quot;x&quot;"/>
  </numFmts>
  <fonts count="29">
    <font>
      <name val="Calibri"/>
      <family val="2"/>
      <color theme="1"/>
      <sz val="11"/>
      <scheme val="minor"/>
    </font>
    <font>
      <b val="1"/>
      <color rgb="001F3864"/>
      <sz val="16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b val="1"/>
      <color rgb="001F3864"/>
      <sz val="10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2E5CB8"/>
      <sz val="10"/>
    </font>
    <font>
      <name val="Calibri"/>
      <i val="1"/>
      <color rgb="00595959"/>
      <sz val="9"/>
    </font>
    <font>
      <name val="Calibri"/>
      <color rgb="00000000"/>
      <sz val="10"/>
    </font>
    <font>
      <name val="Calibri"/>
      <i val="1"/>
      <color rgb="00C00000"/>
      <sz val="9"/>
    </font>
    <font>
      <name val="Calibri"/>
      <b val="1"/>
      <color rgb="001F3864"/>
      <sz val="10"/>
    </font>
    <font>
      <b val="1"/>
      <color rgb="009C0006"/>
      <sz val="10"/>
    </font>
    <font>
      <b val="1"/>
      <color rgb="009C6500"/>
      <sz val="10"/>
    </font>
    <font>
      <name val="Calibri"/>
      <b val="1"/>
      <color rgb="FF1F3864"/>
      <sz val="14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b val="1"/>
      <color rgb="FF1A1A2E"/>
      <sz val="10"/>
    </font>
    <font>
      <name val="Calibri"/>
      <color rgb="FF1A1A2E"/>
      <sz val="10"/>
    </font>
    <font>
      <name val="Calibri"/>
      <b val="1"/>
      <color rgb="FF1F3864"/>
      <sz val="9"/>
    </font>
    <font>
      <name val="Calibri"/>
      <b val="1"/>
      <color rgb="FF1F4E79"/>
      <sz val="10"/>
    </font>
    <font>
      <name val="Calibri"/>
      <b val="1"/>
      <color rgb="FF1F3864"/>
      <sz val="10"/>
    </font>
    <font>
      <name val="Calibri"/>
      <i val="1"/>
      <color rgb="FF666666"/>
      <sz val="8.5"/>
    </font>
    <font>
      <name val="Calibri"/>
      <color rgb="FF666666"/>
      <sz val="8.5"/>
    </font>
    <font>
      <name val="Calibri"/>
      <color rgb="FF1A1A2E"/>
      <sz val="9"/>
    </font>
    <font>
      <name val="Calibri"/>
      <b val="1"/>
      <color rgb="FFB3384B"/>
      <sz val="10"/>
    </font>
    <font>
      <name val="Calibri"/>
      <i val="1"/>
      <color rgb="FF1A1A2E"/>
      <sz val="9.5"/>
    </font>
    <font>
      <name val="Calibri"/>
      <b val="1"/>
      <color rgb="FF1F3864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FF1F3864"/>
      </patternFill>
    </fill>
    <fill>
      <patternFill patternType="solid">
        <fgColor rgb="FFE8ECF4"/>
      </patternFill>
    </fill>
    <fill>
      <patternFill patternType="solid">
        <fgColor rgb="FFFDF6E3"/>
      </patternFill>
    </fill>
  </fills>
  <borders count="9">
    <border>
      <left/>
      <right/>
      <top/>
      <bottom/>
      <diagonal/>
    </border>
    <border>
      <top style="thin">
        <color rgb="00404040"/>
      </top>
    </border>
    <border>
      <top style="thin">
        <color rgb="00404040"/>
      </top>
      <bottom style="double">
        <color rgb="0040404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B8C4D8"/>
      </left>
      <right style="thin">
        <color rgb="FFB8C4D8"/>
      </right>
      <top style="thin">
        <color rgb="FFB8C4D8"/>
      </top>
      <bottom style="thin">
        <color rgb="FFB8C4D8"/>
      </bottom>
    </border>
    <border>
      <left/>
      <right/>
      <top style="thin">
        <color rgb="FFB8C4D8"/>
      </top>
      <bottom/>
      <diagonal/>
    </border>
    <border>
      <left/>
      <right style="thin">
        <color rgb="FFB8C4D8"/>
      </right>
      <top style="thin">
        <color rgb="FFB8C4D8"/>
      </top>
      <bottom/>
      <diagonal/>
    </border>
    <border>
      <left/>
      <right/>
      <top style="thin">
        <color rgb="FFB8C4D8"/>
      </top>
      <bottom style="thin">
        <color rgb="FFB8C4D8"/>
      </bottom>
      <diagonal/>
    </border>
    <border>
      <left/>
      <right style="thin">
        <color rgb="FFB8C4D8"/>
      </right>
      <top style="thin">
        <color rgb="FFB8C4D8"/>
      </top>
      <bottom style="thin">
        <color rgb="FFB8C4D8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7" fillId="2" borderId="0" pivotButton="0" quotePrefix="0" xfId="0"/>
    <xf numFmtId="0" fontId="4" fillId="0" borderId="0" pivotButton="0" quotePrefix="0" xfId="0"/>
    <xf numFmtId="164" fontId="8" fillId="0" borderId="0" pivotButton="0" quotePrefix="0" xfId="0"/>
    <xf numFmtId="0" fontId="9" fillId="0" borderId="0" applyAlignment="1" pivotButton="0" quotePrefix="0" xfId="0">
      <alignment vertical="top" wrapText="1"/>
    </xf>
    <xf numFmtId="165" fontId="0" fillId="0" borderId="0" pivotButton="0" quotePrefix="0" xfId="0"/>
    <xf numFmtId="165" fontId="10" fillId="0" borderId="0" pivotButton="0" quotePrefix="0" xfId="0"/>
    <xf numFmtId="164" fontId="3" fillId="0" borderId="1" pivotButton="0" quotePrefix="0" xfId="0"/>
    <xf numFmtId="0" fontId="11" fillId="0" borderId="0" applyAlignment="1" pivotButton="0" quotePrefix="0" xfId="0">
      <alignment vertical="top" wrapText="1"/>
    </xf>
    <xf numFmtId="164" fontId="3" fillId="0" borderId="2" pivotButton="0" quotePrefix="0" xfId="0"/>
    <xf numFmtId="0" fontId="12" fillId="3" borderId="0" pivotButton="0" quotePrefix="0" xfId="0"/>
    <xf numFmtId="0" fontId="0" fillId="3" borderId="0" pivotButton="0" quotePrefix="0" xfId="0"/>
    <xf numFmtId="164" fontId="10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6" fontId="10" fillId="0" borderId="0" pivotButton="0" quotePrefix="0" xfId="0"/>
    <xf numFmtId="0" fontId="13" fillId="4" borderId="0" applyAlignment="1" pivotButton="0" quotePrefix="0" xfId="0">
      <alignment vertical="top" wrapText="1"/>
    </xf>
    <xf numFmtId="0" fontId="0" fillId="4" borderId="0" pivotButton="0" quotePrefix="0" xfId="0"/>
    <xf numFmtId="166" fontId="10" fillId="0" borderId="3" pivotButton="0" quotePrefix="0" xfId="0"/>
    <xf numFmtId="166" fontId="13" fillId="4" borderId="3" pivotButton="0" quotePrefix="0" xfId="0"/>
    <xf numFmtId="0" fontId="9" fillId="0" borderId="0" pivotButton="0" quotePrefix="0" xfId="0"/>
    <xf numFmtId="166" fontId="14" fillId="5" borderId="3" pivotButton="0" quotePrefix="0" xfId="0"/>
    <xf numFmtId="167" fontId="10" fillId="0" borderId="3" pivotButton="0" quotePrefix="0" xfId="0"/>
    <xf numFmtId="2" fontId="10" fillId="0" borderId="3" pivotButton="0" quotePrefix="0" xfId="0"/>
    <xf numFmtId="2" fontId="14" fillId="5" borderId="3" pivotButton="0" quotePrefix="0" xfId="0"/>
    <xf numFmtId="164" fontId="10" fillId="0" borderId="3" pivotButton="0" quotePrefix="0" xfId="0"/>
    <xf numFmtId="164" fontId="13" fillId="4" borderId="3" pivotButton="0" quotePrefix="0" xfId="0"/>
    <xf numFmtId="165" fontId="10" fillId="0" borderId="3" pivotButton="0" quotePrefix="0" xfId="0"/>
    <xf numFmtId="165" fontId="14" fillId="5" borderId="3" pivotButton="0" quotePrefix="0" xfId="0"/>
    <xf numFmtId="165" fontId="13" fillId="4" borderId="3" pivotButton="0" quotePrefix="0" xfId="0"/>
    <xf numFmtId="168" fontId="10" fillId="0" borderId="3" pivotButton="0" quotePrefix="0" xfId="0"/>
    <xf numFmtId="168" fontId="13" fillId="4" borderId="3" pivotButton="0" quotePrefix="0" xfId="0"/>
    <xf numFmtId="168" fontId="14" fillId="5" borderId="3" pivotButton="0" quotePrefix="0" xfId="0"/>
    <xf numFmtId="169" fontId="10" fillId="0" borderId="3" pivotButton="0" quotePrefix="0" xfId="0"/>
    <xf numFmtId="169" fontId="13" fillId="4" borderId="3" pivotButton="0" quotePrefix="0" xfId="0"/>
    <xf numFmtId="0" fontId="7" fillId="2" borderId="0" applyAlignment="1" pivotButton="0" quotePrefix="0" xfId="0">
      <alignment horizontal="center" wrapText="1"/>
    </xf>
    <xf numFmtId="165" fontId="8" fillId="0" borderId="3" pivotButton="0" quotePrefix="0" xfId="0"/>
    <xf numFmtId="170" fontId="8" fillId="0" borderId="3" pivotButton="0" quotePrefix="0" xfId="0"/>
    <xf numFmtId="168" fontId="8" fillId="0" borderId="3" pivotButton="0" quotePrefix="0" xfId="0"/>
    <xf numFmtId="164" fontId="8" fillId="0" borderId="3" pivotButton="0" quotePrefix="0" xfId="0"/>
    <xf numFmtId="164" fontId="3" fillId="0" borderId="3" pivotButton="0" quotePrefix="0" xfId="0"/>
    <xf numFmtId="166" fontId="3" fillId="0" borderId="3" pivotButton="0" quotePrefix="0" xfId="0"/>
    <xf numFmtId="169" fontId="3" fillId="0" borderId="3" pivotButton="0" quotePrefix="0" xfId="0"/>
    <xf numFmtId="165" fontId="3" fillId="0" borderId="3" pivotButton="0" quotePrefix="0" xfId="0"/>
    <xf numFmtId="0" fontId="5" fillId="3" borderId="0" applyAlignment="1" pivotButton="0" quotePrefix="0" xfId="0">
      <alignment vertical="top" wrapText="1"/>
    </xf>
    <xf numFmtId="0" fontId="13" fillId="4" borderId="3" applyAlignment="1" pivotButton="0" quotePrefix="0" xfId="0">
      <alignment horizontal="center" vertical="top"/>
    </xf>
    <xf numFmtId="0" fontId="3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8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5" fillId="0" borderId="0" pivotButton="0" quotePrefix="0" xfId="0"/>
    <xf numFmtId="0" fontId="17" fillId="6" borderId="0" pivotButton="0" quotePrefix="0" xfId="0"/>
    <xf numFmtId="0" fontId="0" fillId="6" borderId="0" pivotButton="0" quotePrefix="0" xfId="0"/>
    <xf numFmtId="0" fontId="18" fillId="0" borderId="4" pivotButton="0" quotePrefix="0" xfId="0"/>
    <xf numFmtId="0" fontId="19" fillId="0" borderId="4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20" fillId="7" borderId="4" applyAlignment="1" pivotButton="0" quotePrefix="0" xfId="0">
      <alignment vertical="top" wrapText="1"/>
    </xf>
    <xf numFmtId="0" fontId="19" fillId="0" borderId="4" pivotButton="0" quotePrefix="0" xfId="0"/>
    <xf numFmtId="165" fontId="21" fillId="8" borderId="4" pivotButton="0" quotePrefix="0" xfId="0"/>
    <xf numFmtId="171" fontId="21" fillId="8" borderId="4" pivotButton="0" quotePrefix="0" xfId="0"/>
    <xf numFmtId="166" fontId="21" fillId="8" borderId="4" pivotButton="0" quotePrefix="0" xfId="0"/>
    <xf numFmtId="3" fontId="21" fillId="8" borderId="4" pivotButton="0" quotePrefix="0" xfId="0"/>
    <xf numFmtId="171" fontId="19" fillId="0" borderId="4" pivotButton="0" quotePrefix="0" xfId="0"/>
    <xf numFmtId="171" fontId="18" fillId="0" borderId="4" pivotButton="0" quotePrefix="0" xfId="0"/>
    <xf numFmtId="9" fontId="19" fillId="0" borderId="4" pivotButton="0" quotePrefix="0" xfId="0"/>
    <xf numFmtId="171" fontId="22" fillId="0" borderId="4" pivotButton="0" quotePrefix="0" xfId="0"/>
    <xf numFmtId="0" fontId="23" fillId="0" borderId="0" applyAlignment="1" pivotButton="0" quotePrefix="0" xfId="0">
      <alignment vertical="top" wrapText="1"/>
    </xf>
    <xf numFmtId="0" fontId="24" fillId="0" borderId="4" applyAlignment="1" pivotButton="0" quotePrefix="0" xfId="0">
      <alignment vertical="top" wrapText="1"/>
    </xf>
    <xf numFmtId="165" fontId="18" fillId="0" borderId="4" pivotButton="0" quotePrefix="0" xfId="0"/>
    <xf numFmtId="0" fontId="25" fillId="0" borderId="4" applyAlignment="1" pivotButton="0" quotePrefix="0" xfId="0">
      <alignment vertical="top" wrapText="1"/>
    </xf>
    <xf numFmtId="166" fontId="18" fillId="0" borderId="4" pivotButton="0" quotePrefix="0" xfId="0"/>
    <xf numFmtId="165" fontId="19" fillId="0" borderId="4" pivotButton="0" quotePrefix="0" xfId="0"/>
    <xf numFmtId="166" fontId="19" fillId="0" borderId="4" pivotButton="0" quotePrefix="0" xfId="0"/>
    <xf numFmtId="1" fontId="18" fillId="0" borderId="4" pivotButton="0" quotePrefix="0" xfId="0"/>
    <xf numFmtId="165" fontId="22" fillId="0" borderId="4" pivotButton="0" quotePrefix="0" xfId="0"/>
    <xf numFmtId="10" fontId="18" fillId="0" borderId="4" pivotButton="0" quotePrefix="0" xfId="0"/>
    <xf numFmtId="10" fontId="19" fillId="0" borderId="4" pivotButton="0" quotePrefix="0" xfId="0"/>
    <xf numFmtId="172" fontId="18" fillId="0" borderId="4" pivotButton="0" quotePrefix="0" xfId="0"/>
    <xf numFmtId="9" fontId="18" fillId="0" borderId="4" pivotButton="0" quotePrefix="0" xfId="0"/>
    <xf numFmtId="0" fontId="26" fillId="0" borderId="4" pivotButton="0" quotePrefix="0" xfId="0"/>
    <xf numFmtId="0" fontId="2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5" customWidth="1" min="3" max="3"/>
  </cols>
  <sheetData>
    <row r="1">
      <c r="B1" s="1" t="inlineStr">
        <is>
          <t>PRIVATE CREDIT — WORKED CREDIT ANALYSIS MODEL</t>
        </is>
      </c>
    </row>
    <row r="2">
      <c r="B2" s="2" t="inlineStr">
        <is>
          <t>Companion workbook to the handbook 'Credit Analysis from First Principles — A Private Credit Handbook'</t>
        </is>
      </c>
    </row>
    <row r="3">
      <c r="B3" s="2" t="inlineStr">
        <is>
          <t>Fictional case study for training purposes. All names, numbers and events are invented.</t>
        </is>
      </c>
    </row>
    <row r="4">
      <c r="B4" s="3" t="inlineStr"/>
      <c r="C4" s="4" t="inlineStr"/>
    </row>
    <row r="5">
      <c r="B5" s="3" t="inlineStr">
        <is>
          <t>THE CASE</t>
        </is>
      </c>
      <c r="C5" s="4" t="inlineStr"/>
    </row>
    <row r="6" ht="28" customHeight="1">
      <c r="B6" s="5" t="inlineStr">
        <is>
          <t>Borrower</t>
        </is>
      </c>
      <c r="C6" s="4" t="inlineStr">
        <is>
          <t>Meridian Foods Group Ltd — UK mid-market private-label food manufacturer, acquired by a PE sponsor in a 2022 LBO.</t>
        </is>
      </c>
    </row>
    <row r="7" ht="28" customHeight="1">
      <c r="B7" s="5" t="inlineStr">
        <is>
          <t>Facilities</t>
        </is>
      </c>
      <c r="C7" s="4" t="inlineStr">
        <is>
          <t>GBP 175m senior secured unitranche, BULLET maturity Sep-2027, SONIA + 600bps. GBP 15m super-senior RCF, SONIA + 275bps, maturing Mar-2027.</t>
        </is>
      </c>
    </row>
    <row r="8" ht="28" customHeight="1">
      <c r="B8" s="5" t="inlineStr">
        <is>
          <t>Why this case</t>
        </is>
      </c>
      <c r="C8" s="4" t="inlineStr">
        <is>
          <t>It reproduces the classic failure your CRO described: reported EBITDA looks adequate, but the company does not generate enough CASH to repay (or credibly refinance) a large bullet due in two years. The model shows exactly where in the numbers you see it coming.</t>
        </is>
      </c>
    </row>
    <row r="9">
      <c r="B9" s="3" t="inlineStr"/>
      <c r="C9" s="4" t="inlineStr"/>
    </row>
    <row r="10">
      <c r="B10" s="3" t="inlineStr">
        <is>
          <t>SHEET GUIDE</t>
        </is>
      </c>
      <c r="C10" s="4" t="inlineStr"/>
    </row>
    <row r="11" ht="28" customHeight="1">
      <c r="B11" s="5" t="inlineStr">
        <is>
          <t>PnL</t>
        </is>
      </c>
      <c r="C11" s="4" t="inlineStr">
        <is>
          <t>Income statement FY2023A–FY2028F. Note the gap between statutory EBITDA, management 'Adjusted EBITDA', and a lender's view.</t>
        </is>
      </c>
    </row>
    <row r="12" ht="28" customHeight="1">
      <c r="B12" s="5" t="inlineStr">
        <is>
          <t>BS</t>
        </is>
      </c>
      <c r="C12" s="4" t="inlineStr">
        <is>
          <t>Balance sheet. Watch receivables and payables days, goodwill vs tangible net worth, and the cash balance.</t>
        </is>
      </c>
    </row>
    <row r="13" ht="28" customHeight="1">
      <c r="B13" s="5" t="inlineStr">
        <is>
          <t>CF</t>
        </is>
      </c>
      <c r="C13" s="4" t="inlineStr">
        <is>
          <t>Cash flow statement built indirect-method from PnL and BS. This is the sheet that repays your loan — read it first.</t>
        </is>
      </c>
    </row>
    <row r="14">
      <c r="B14" s="5" t="inlineStr">
        <is>
          <t>Debt</t>
        </is>
      </c>
      <c r="C14" s="4" t="inlineStr">
        <is>
          <t>Debt schedule, maturity wall, and the refinancing sources &amp; uses test for the FY2027 bullet.</t>
        </is>
      </c>
    </row>
    <row r="15" ht="28" customHeight="1">
      <c r="B15" s="5" t="inlineStr">
        <is>
          <t>Ratios</t>
        </is>
      </c>
      <c r="C15" s="4" t="inlineStr">
        <is>
          <t>The full ratio toolkit with formulas, thresholds and RAG status. Every cell traces back to the statements.</t>
        </is>
      </c>
    </row>
    <row r="16" ht="28" customHeight="1">
      <c r="B16" s="5" t="inlineStr">
        <is>
          <t>Stress</t>
        </is>
      </c>
      <c r="C16" s="4" t="inlineStr">
        <is>
          <t>Deal-level stress test: mild/severe/reverse scenarios with live operating-leverage transmission (companion to Handbook Part 12).</t>
        </is>
      </c>
    </row>
    <row r="17">
      <c r="B17" s="5" t="inlineStr">
        <is>
          <t>Red Flags</t>
        </is>
      </c>
      <c r="C17" s="4" t="inlineStr">
        <is>
          <t>The 15 red flags present in this credit, each mapped to the exact cell where you can see it.</t>
        </is>
      </c>
    </row>
    <row r="18" ht="28" customHeight="1">
      <c r="B18" s="5" t="inlineStr">
        <is>
          <t>Credit Memo</t>
        </is>
      </c>
      <c r="C18" s="4" t="inlineStr">
        <is>
          <t>A model credit assessment: 5 Cs, ratio verdicts, repayment analysis, downside case, and a recommendation your CRO would sign.</t>
        </is>
      </c>
    </row>
    <row r="19">
      <c r="B19" s="3" t="inlineStr"/>
      <c r="C19" s="4" t="inlineStr"/>
    </row>
    <row r="20">
      <c r="B20" s="3" t="inlineStr">
        <is>
          <t>CONVENTIONS</t>
        </is>
      </c>
      <c r="C20" s="4" t="inlineStr"/>
    </row>
    <row r="21">
      <c r="B21" s="5" t="inlineStr">
        <is>
          <t>Blue font</t>
        </is>
      </c>
      <c r="C21" s="4" t="inlineStr">
        <is>
          <t>Hardcoded input (historical financials as reported / forecast assumptions).</t>
        </is>
      </c>
    </row>
    <row r="22">
      <c r="B22" s="5" t="inlineStr">
        <is>
          <t>Black font</t>
        </is>
      </c>
      <c r="C22" s="4" t="inlineStr">
        <is>
          <t>Live formula — trace it with Cmd+[ (Mac) or Ctrl+[ (Windows).</t>
        </is>
      </c>
    </row>
    <row r="23" ht="28" customHeight="1">
      <c r="B23" s="5" t="inlineStr">
        <is>
          <t>RAG fills</t>
        </is>
      </c>
      <c r="C23" s="4" t="inlineStr">
        <is>
          <t>Green = comfortable, Amber = watch, Red = breach of guide threshold. Thresholds are on the Ratios sheet and are direct-lending market norms, not universal laws — calibrate by sector.</t>
        </is>
      </c>
    </row>
    <row r="24">
      <c r="B24" s="5" t="inlineStr">
        <is>
          <t>A / F suffix</t>
        </is>
      </c>
      <c r="C24" s="4" t="inlineStr">
        <is>
          <t>A = actual (audited), F = forecast (management base case — treat with scepticism; see Red Flag #13).</t>
        </is>
      </c>
    </row>
    <row r="25">
      <c r="B25" s="3" t="inlineStr"/>
      <c r="C25" s="4" t="inlineStr"/>
    </row>
    <row r="26">
      <c r="B26" s="3" t="inlineStr">
        <is>
          <t>HOW TO PRACTISE</t>
        </is>
      </c>
      <c r="C26" s="4" t="inlineStr"/>
    </row>
    <row r="27" ht="28" customHeight="1">
      <c r="B27" s="5" t="inlineStr">
        <is>
          <t>Step 1</t>
        </is>
      </c>
      <c r="C27" s="4" t="inlineStr">
        <is>
          <t>Read PnL top to bottom. Write down three questions you would put to management before looking at any other sheet.</t>
        </is>
      </c>
    </row>
    <row r="28" ht="28" customHeight="1">
      <c r="B28" s="5" t="inlineStr">
        <is>
          <t>Step 2</t>
        </is>
      </c>
      <c r="C28" s="4" t="inlineStr">
        <is>
          <t>Read CF. Compute for yourself: after interest, tax and capex, how much cash is left each year to repay 175m in 2027?</t>
        </is>
      </c>
    </row>
    <row r="29" ht="28" customHeight="1">
      <c r="B29" s="5" t="inlineStr">
        <is>
          <t>Step 3</t>
        </is>
      </c>
      <c r="C29" s="4" t="inlineStr">
        <is>
          <t>Open Debt and check the sources &amp; uses at maturity. This is the single test that would have caught your CRO's example deal.</t>
        </is>
      </c>
    </row>
    <row r="30">
      <c r="B30" s="5" t="inlineStr">
        <is>
          <t>Step 4</t>
        </is>
      </c>
      <c r="C30" s="4" t="inlineStr">
        <is>
          <t>Only then open Ratios and Red Flags to check what you missed.</t>
        </is>
      </c>
    </row>
    <row r="31">
      <c r="B31" s="5" t="inlineStr">
        <is>
          <t>Step 5</t>
        </is>
      </c>
      <c r="C31" s="4" t="inlineStr">
        <is>
          <t>Read Credit Memo and compare its recommendation with the one you would have written.</t>
        </is>
      </c>
    </row>
    <row r="33">
      <c r="B33" s="58" t="inlineStr">
        <is>
          <t>TOP-FIRM FRAMEWORK EXTENSION (added 5 Jul 2026)</t>
        </is>
      </c>
    </row>
    <row r="34">
      <c r="B34" s="59" t="inlineStr">
        <is>
          <t>Falcon Underwrite</t>
        </is>
      </c>
      <c r="C34" s="4" t="inlineStr">
        <is>
          <t>Stages 1–6 of the top-firm framework on Project Falcon: sources &amp; uses, EBITDA re-underwrite bridge (marketed $80m → underwritten $68m), FCCR/ICR/LTV/equity-cushion metrics with PASS/FAIL verdicts. Gold cells are inputs — flex them.</t>
        </is>
      </c>
    </row>
    <row r="35">
      <c r="B35" s="59" t="inlineStr">
        <is>
          <t>Falcon Downside</t>
        </is>
      </c>
      <c r="C35" s="4" t="inlineStr">
        <is>
          <t>Stage 7: downside drivers, trough FCCR, and the three questions — coverage breakeven, liquidity runway, covenant sequencing.</t>
        </is>
      </c>
    </row>
    <row r="36">
      <c r="B36" s="59" t="inlineStr">
        <is>
          <t>Falcon Recovery</t>
        </is>
      </c>
      <c r="C36" s="4" t="inlineStr">
        <is>
          <t>Second repayment leg: recovery waterfall, EBITDA-decline × exit-multiple impairment grid (colour-scaled), expected loss vs spread adequacy.</t>
        </is>
      </c>
    </row>
    <row r="37">
      <c r="B37" s="59" t="inlineStr">
        <is>
          <t>Framework Scorecard</t>
        </is>
      </c>
      <c r="C37" s="4" t="inlineStr">
        <is>
          <t>All 10 stages scored side-by-side: Falcon (approved with conditions) vs Atlas (declined), with the Atlas mini-model and the IC decline record.</t>
        </is>
      </c>
    </row>
    <row r="39">
      <c r="B39" s="60" t="inlineStr">
        <is>
          <t>Companion PDF: Private_Credit_TopFirm_Underwriting_Framework.pdf (same folder) — sources: Oaktree, Golub NJ IC report, Blue Owl, Blackstone, Ares, Apollo, Jefferies, S&amp;P, KBRA, Proskauer, Cliffwater.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CB8"/>
    <outlinePr summaryBelow="1" summaryRight="1"/>
    <pageSetUpPr/>
  </sheetPr>
  <dimension ref="A1:J2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" customWidth="1" min="9" max="9"/>
    <col width="60" customWidth="1" min="10" max="10"/>
  </cols>
  <sheetData>
    <row r="1">
      <c r="A1" s="6" t="inlineStr">
        <is>
          <t>Income Statement — Meridian Foods Group Ltd</t>
        </is>
      </c>
    </row>
    <row r="2">
      <c r="A2" s="2" t="inlineStr">
        <is>
          <t>GBP m, years ending 31 Dec. Blue = as reported / assumption, black = formula.</t>
        </is>
      </c>
    </row>
    <row r="4">
      <c r="A4" s="2" t="inlineStr">
        <is>
          <t>GBP m unless stated</t>
        </is>
      </c>
      <c r="C4" s="7" t="inlineStr">
        <is>
          <t>FY2023A</t>
        </is>
      </c>
      <c r="D4" s="7" t="inlineStr">
        <is>
          <t>FY2024A</t>
        </is>
      </c>
      <c r="E4" s="7" t="inlineStr">
        <is>
          <t>FY2025A</t>
        </is>
      </c>
      <c r="F4" s="7" t="inlineStr">
        <is>
          <t>FY2026F</t>
        </is>
      </c>
      <c r="G4" s="7" t="inlineStr">
        <is>
          <t>FY2027F</t>
        </is>
      </c>
      <c r="H4" s="7" t="inlineStr">
        <is>
          <t>FY2028F</t>
        </is>
      </c>
      <c r="J4" s="8" t="inlineStr">
        <is>
          <t>Analyst commentary</t>
        </is>
      </c>
    </row>
    <row r="5">
      <c r="A5" s="9" t="inlineStr">
        <is>
          <t>Revenue</t>
        </is>
      </c>
      <c r="C5" s="10" t="n">
        <v>210</v>
      </c>
      <c r="D5" s="10" t="n">
        <v>232</v>
      </c>
      <c r="E5" s="10" t="n">
        <v>248</v>
      </c>
      <c r="F5" s="10" t="n">
        <v>258</v>
      </c>
      <c r="G5" s="10" t="n">
        <v>266</v>
      </c>
      <c r="H5" s="10" t="n">
        <v>274</v>
      </c>
      <c r="J5" s="11" t="inlineStr">
        <is>
          <t>Growth decelerating: 10.5% -&gt; 6.9% -&gt; 4.0%. Forecast assumes ~3% — check vs volume/price split and customer wins.</t>
        </is>
      </c>
    </row>
    <row r="6">
      <c r="A6" s="9" t="inlineStr">
        <is>
          <t>Revenue growth %</t>
        </is>
      </c>
      <c r="C6" s="12" t="n"/>
      <c r="D6" s="13">
        <f>D5/C5-1</f>
        <v/>
      </c>
      <c r="E6" s="13">
        <f>E5/D5-1</f>
        <v/>
      </c>
      <c r="F6" s="13">
        <f>F5/E5-1</f>
        <v/>
      </c>
      <c r="G6" s="13">
        <f>G5/F5-1</f>
        <v/>
      </c>
      <c r="H6" s="13">
        <f>H5/G5-1</f>
        <v/>
      </c>
    </row>
    <row r="7">
      <c r="A7" s="9" t="inlineStr">
        <is>
          <t>Cost of goods sold</t>
        </is>
      </c>
      <c r="C7" s="10" t="n">
        <v>-142.8</v>
      </c>
      <c r="D7" s="10" t="n">
        <v>-161.2</v>
      </c>
      <c r="E7" s="10" t="n">
        <v>-174.8</v>
      </c>
      <c r="F7" s="10" t="n">
        <v>-181.9</v>
      </c>
      <c r="G7" s="10" t="n">
        <v>-187.5</v>
      </c>
      <c r="H7" s="10" t="n">
        <v>-193.2</v>
      </c>
      <c r="J7" s="11" t="inlineStr">
        <is>
          <t>COGS ratio worsening 68.0% -&gt; 69.5% -&gt; 70.5%: input cost inflation not being passed through (weak pricing power).</t>
        </is>
      </c>
    </row>
    <row r="8">
      <c r="A8" s="3" t="inlineStr">
        <is>
          <t>Gross profit</t>
        </is>
      </c>
      <c r="C8" s="14">
        <f>C5+C7</f>
        <v/>
      </c>
      <c r="D8" s="14">
        <f>D5+D7</f>
        <v/>
      </c>
      <c r="E8" s="14">
        <f>E5+E7</f>
        <v/>
      </c>
      <c r="F8" s="14">
        <f>F5+F7</f>
        <v/>
      </c>
      <c r="G8" s="14">
        <f>G5+G7</f>
        <v/>
      </c>
      <c r="H8" s="14">
        <f>H5+H7</f>
        <v/>
      </c>
    </row>
    <row r="9">
      <c r="A9" s="9" t="inlineStr">
        <is>
          <t>Gross margin %</t>
        </is>
      </c>
      <c r="C9" s="13">
        <f>C8/C5</f>
        <v/>
      </c>
      <c r="D9" s="13">
        <f>D8/D5</f>
        <v/>
      </c>
      <c r="E9" s="13">
        <f>E8/E5</f>
        <v/>
      </c>
      <c r="F9" s="13">
        <f>F8/F5</f>
        <v/>
      </c>
      <c r="G9" s="13">
        <f>G8/G5</f>
        <v/>
      </c>
      <c r="H9" s="13">
        <f>H8/H5</f>
        <v/>
      </c>
    </row>
    <row r="10">
      <c r="A10" s="9" t="inlineStr">
        <is>
          <t>SG&amp;A and distribution (excl. exceptionals)</t>
        </is>
      </c>
      <c r="C10" s="10" t="n">
        <v>-35.2</v>
      </c>
      <c r="D10" s="10" t="n">
        <v>-36.3</v>
      </c>
      <c r="E10" s="10" t="n">
        <v>-38.2</v>
      </c>
      <c r="F10" s="10" t="n">
        <v>-39</v>
      </c>
      <c r="G10" s="10" t="n">
        <v>-40.2</v>
      </c>
      <c r="H10" s="10" t="n">
        <v>-41.4</v>
      </c>
    </row>
    <row r="11">
      <c r="A11" s="3" t="inlineStr">
        <is>
          <t>EBITDA (pre-exceptionals)</t>
        </is>
      </c>
      <c r="C11" s="14">
        <f>C8+C10</f>
        <v/>
      </c>
      <c r="D11" s="14">
        <f>D8+D10</f>
        <v/>
      </c>
      <c r="E11" s="14">
        <f>E8+E10</f>
        <v/>
      </c>
      <c r="F11" s="14">
        <f>F8+F10</f>
        <v/>
      </c>
      <c r="G11" s="14">
        <f>G8+G10</f>
        <v/>
      </c>
      <c r="H11" s="14">
        <f>H8+H10</f>
        <v/>
      </c>
    </row>
    <row r="12">
      <c r="A12" s="9" t="inlineStr">
        <is>
          <t>Exceptional / restructuring costs (cash)</t>
        </is>
      </c>
      <c r="C12" s="10" t="n">
        <v>-2</v>
      </c>
      <c r="D12" s="10" t="n">
        <v>-3.5</v>
      </c>
      <c r="E12" s="10" t="n">
        <v>-4</v>
      </c>
      <c r="F12" s="10" t="n">
        <v>-2</v>
      </c>
      <c r="G12" s="10" t="n">
        <v>-1</v>
      </c>
      <c r="H12" s="10" t="n">
        <v>0</v>
      </c>
      <c r="J12" s="15" t="inlineStr">
        <is>
          <t>'One-off' costs in 3 consecutive years and still forecast — they are recurring operating costs, not exceptionals. RED FLAG #1.</t>
        </is>
      </c>
    </row>
    <row r="13">
      <c r="A13" s="3" t="inlineStr">
        <is>
          <t>EBITDA (statutory, post-exceptionals)</t>
        </is>
      </c>
      <c r="C13" s="14">
        <f>C11+C12</f>
        <v/>
      </c>
      <c r="D13" s="14">
        <f>D11+D12</f>
        <v/>
      </c>
      <c r="E13" s="14">
        <f>E11+E12</f>
        <v/>
      </c>
      <c r="F13" s="14">
        <f>F11+F12</f>
        <v/>
      </c>
      <c r="G13" s="14">
        <f>G11+G12</f>
        <v/>
      </c>
      <c r="H13" s="14">
        <f>H11+H12</f>
        <v/>
      </c>
      <c r="J13" s="11" t="inlineStr">
        <is>
          <t>The lender's starting point. FY25: 31.0 vs management Adjusted 42.0 — a 35% gap.</t>
        </is>
      </c>
    </row>
    <row r="14">
      <c r="A14" s="9" t="inlineStr">
        <is>
          <t>EBITDA margin % (statutory)</t>
        </is>
      </c>
      <c r="C14" s="13">
        <f>C13/C5</f>
        <v/>
      </c>
      <c r="D14" s="13">
        <f>D13/D5</f>
        <v/>
      </c>
      <c r="E14" s="13">
        <f>E13/E5</f>
        <v/>
      </c>
      <c r="F14" s="13">
        <f>F13/F5</f>
        <v/>
      </c>
      <c r="G14" s="13">
        <f>G13/G5</f>
        <v/>
      </c>
      <c r="H14" s="13">
        <f>H13/H5</f>
        <v/>
      </c>
    </row>
    <row r="15">
      <c r="A15" s="9" t="inlineStr">
        <is>
          <t>Depreciation &amp; amortisation</t>
        </is>
      </c>
      <c r="C15" s="10" t="n">
        <v>-9</v>
      </c>
      <c r="D15" s="10" t="n">
        <v>-9.5</v>
      </c>
      <c r="E15" s="10" t="n">
        <v>-10</v>
      </c>
      <c r="F15" s="10" t="n">
        <v>-10.2</v>
      </c>
      <c r="G15" s="10" t="n">
        <v>-10.4</v>
      </c>
      <c r="H15" s="10" t="n">
        <v>-10.6</v>
      </c>
    </row>
    <row r="16">
      <c r="A16" s="3" t="inlineStr">
        <is>
          <t>EBIT</t>
        </is>
      </c>
      <c r="C16" s="14">
        <f>C13+C15</f>
        <v/>
      </c>
      <c r="D16" s="14">
        <f>D13+D15</f>
        <v/>
      </c>
      <c r="E16" s="14">
        <f>E13+E15</f>
        <v/>
      </c>
      <c r="F16" s="14">
        <f>F13+F15</f>
        <v/>
      </c>
      <c r="G16" s="14">
        <f>G13+G15</f>
        <v/>
      </c>
      <c r="H16" s="14">
        <f>H13+H15</f>
        <v/>
      </c>
    </row>
    <row r="17">
      <c r="A17" s="9" t="inlineStr">
        <is>
          <t>Net interest expense (cash pay)</t>
        </is>
      </c>
      <c r="C17" s="10" t="n">
        <v>-16.2</v>
      </c>
      <c r="D17" s="10" t="n">
        <v>-17.6</v>
      </c>
      <c r="E17" s="10" t="n">
        <v>-18.7</v>
      </c>
      <c r="F17" s="10" t="n">
        <v>-19</v>
      </c>
      <c r="G17" s="10" t="n">
        <v>-19.2</v>
      </c>
      <c r="H17" s="10" t="n">
        <v>-19.2</v>
      </c>
      <c r="J17" s="15" t="inlineStr">
        <is>
          <t>Interest consumes ~60% of statutory EBITDA. FY28F assumes refinancing at TODAY'S margin — optimistic. RED FLAG #10.</t>
        </is>
      </c>
    </row>
    <row r="18">
      <c r="A18" s="3" t="inlineStr">
        <is>
          <t>Profit before tax</t>
        </is>
      </c>
      <c r="C18" s="14">
        <f>C16+C17</f>
        <v/>
      </c>
      <c r="D18" s="14">
        <f>D16+D17</f>
        <v/>
      </c>
      <c r="E18" s="14">
        <f>E16+E17</f>
        <v/>
      </c>
      <c r="F18" s="14">
        <f>F16+F17</f>
        <v/>
      </c>
      <c r="G18" s="14">
        <f>G16+G17</f>
        <v/>
      </c>
      <c r="H18" s="14">
        <f>H16+H17</f>
        <v/>
      </c>
    </row>
    <row r="19">
      <c r="A19" s="9" t="inlineStr">
        <is>
          <t>Tax</t>
        </is>
      </c>
      <c r="C19" s="10" t="n">
        <v>-1.2</v>
      </c>
      <c r="D19" s="10" t="n">
        <v>-1</v>
      </c>
      <c r="E19" s="10" t="n">
        <v>-0.6</v>
      </c>
      <c r="F19" s="10" t="n">
        <v>-1.5</v>
      </c>
      <c r="G19" s="10" t="n">
        <v>-1.9</v>
      </c>
      <c r="H19" s="10" t="n">
        <v>-2.4</v>
      </c>
    </row>
    <row r="20">
      <c r="A20" s="3" t="inlineStr">
        <is>
          <t>Profit after tax</t>
        </is>
      </c>
      <c r="C20" s="16">
        <f>C18+C19</f>
        <v/>
      </c>
      <c r="D20" s="16">
        <f>D18+D19</f>
        <v/>
      </c>
      <c r="E20" s="16">
        <f>E18+E19</f>
        <v/>
      </c>
      <c r="F20" s="16">
        <f>F18+F19</f>
        <v/>
      </c>
      <c r="G20" s="16">
        <f>G18+G19</f>
        <v/>
      </c>
      <c r="H20" s="16">
        <f>H18+H19</f>
        <v/>
      </c>
      <c r="J20" s="11" t="inlineStr">
        <is>
          <t>FY25 PAT of 1.7m on 248m revenue: the equity cushion is being rebuilt at ~1m a year against a 175m bullet.</t>
        </is>
      </c>
    </row>
    <row r="22">
      <c r="A22" s="17" t="inlineStr">
        <is>
          <t>MANAGEMENT 'ADJUSTED EBITDA' BRIDGE (as presented to lenders)</t>
        </is>
      </c>
      <c r="B22" s="18" t="n"/>
      <c r="C22" s="18" t="n"/>
      <c r="D22" s="18" t="n"/>
      <c r="E22" s="18" t="n"/>
      <c r="F22" s="18" t="n"/>
      <c r="G22" s="18" t="n"/>
      <c r="H22" s="18" t="n"/>
    </row>
    <row r="23">
      <c r="A23" s="9" t="inlineStr">
        <is>
          <t>EBITDA (statutory)</t>
        </is>
      </c>
      <c r="C23" s="19">
        <f>C13</f>
        <v/>
      </c>
      <c r="D23" s="19">
        <f>D13</f>
        <v/>
      </c>
      <c r="E23" s="19">
        <f>E13</f>
        <v/>
      </c>
      <c r="F23" s="19">
        <f>F13</f>
        <v/>
      </c>
      <c r="G23" s="19">
        <f>G13</f>
        <v/>
      </c>
      <c r="H23" s="19">
        <f>H13</f>
        <v/>
      </c>
    </row>
    <row r="24">
      <c r="A24" s="9" t="inlineStr">
        <is>
          <t>Add back: exceptional costs</t>
        </is>
      </c>
      <c r="C24" s="19">
        <f>-C12</f>
        <v/>
      </c>
      <c r="D24" s="19">
        <f>-D12</f>
        <v/>
      </c>
      <c r="E24" s="19">
        <f>-E12</f>
        <v/>
      </c>
      <c r="F24" s="19">
        <f>-F12</f>
        <v/>
      </c>
      <c r="G24" s="19">
        <f>-G12</f>
        <v/>
      </c>
      <c r="H24" s="19">
        <f>-H12</f>
        <v/>
      </c>
    </row>
    <row r="25">
      <c r="A25" s="9" t="inlineStr">
        <is>
          <t>Add back: pro-forma 'run-rate synergies'</t>
        </is>
      </c>
      <c r="C25" s="10" t="n">
        <v>0</v>
      </c>
      <c r="D25" s="10" t="n">
        <v>2</v>
      </c>
      <c r="E25" s="10" t="n">
        <v>3</v>
      </c>
      <c r="F25" s="10" t="n">
        <v>3</v>
      </c>
      <c r="G25" s="10" t="n">
        <v>3</v>
      </c>
      <c r="H25" s="10" t="n">
        <v>3</v>
      </c>
      <c r="J25" s="15" t="inlineStr">
        <is>
          <t>Synergies claimed since FY24 but never visible in actual margins. Unbanked synergies are hope, not EBITDA. RED FLAG #2.</t>
        </is>
      </c>
    </row>
    <row r="26">
      <c r="A26" s="9" t="inlineStr">
        <is>
          <t>Add back: management fees &amp; other</t>
        </is>
      </c>
      <c r="C26" s="10" t="n">
        <v>1</v>
      </c>
      <c r="D26" s="10" t="n">
        <v>1.5</v>
      </c>
      <c r="E26" s="10" t="n">
        <v>2</v>
      </c>
      <c r="F26" s="10" t="n">
        <v>2</v>
      </c>
      <c r="G26" s="10" t="n">
        <v>2</v>
      </c>
      <c r="H26" s="10" t="n">
        <v>2</v>
      </c>
    </row>
    <row r="27">
      <c r="A27" s="3" t="inlineStr">
        <is>
          <t>Management Adjusted EBITDA</t>
        </is>
      </c>
      <c r="C27" s="14">
        <f>SUM(C23:C26)</f>
        <v/>
      </c>
      <c r="D27" s="14">
        <f>SUM(D23:D26)</f>
        <v/>
      </c>
      <c r="E27" s="14">
        <f>SUM(E23:E26)</f>
        <v/>
      </c>
      <c r="F27" s="14">
        <f>SUM(F23:F26)</f>
        <v/>
      </c>
      <c r="G27" s="14">
        <f>SUM(G23:G26)</f>
        <v/>
      </c>
      <c r="H27" s="14">
        <f>SUM(H23:H26)</f>
        <v/>
      </c>
    </row>
    <row r="28">
      <c r="A28" s="3" t="inlineStr">
        <is>
          <t>Lender-adjusted EBITDA (50% of exceptionals, no synergies)</t>
        </is>
      </c>
      <c r="C28" s="20">
        <f>C23-0.5*C12+C26</f>
        <v/>
      </c>
      <c r="D28" s="20">
        <f>D23-0.5*D12+D26</f>
        <v/>
      </c>
      <c r="E28" s="20">
        <f>E23-0.5*E12+E26</f>
        <v/>
      </c>
      <c r="F28" s="20">
        <f>F23-0.5*F12+F26</f>
        <v/>
      </c>
      <c r="G28" s="20">
        <f>G23-0.5*G12+G26</f>
        <v/>
      </c>
      <c r="H28" s="20">
        <f>H23-0.5*H12+H26</f>
        <v/>
      </c>
      <c r="J28" s="11" t="inlineStr">
        <is>
          <t>A defensible middle view: allow half the restructuring (genuinely tapering) and arm's-length fee addbacks; give no credit for synergies.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CB8"/>
    <outlinePr summaryBelow="1" summaryRight="1"/>
    <pageSetUpPr/>
  </sheetPr>
  <dimension ref="A1:J2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" customWidth="1" min="9" max="9"/>
    <col width="60" customWidth="1" min="10" max="10"/>
  </cols>
  <sheetData>
    <row r="1">
      <c r="A1" s="6" t="inlineStr">
        <is>
          <t>Balance Sheet — Meridian Foods Group Ltd</t>
        </is>
      </c>
    </row>
    <row r="2">
      <c r="A2" s="2" t="inlineStr">
        <is>
          <t>GBP m at 31 Dec. Forecast cash is pulled live from the CF sheet.</t>
        </is>
      </c>
    </row>
    <row r="4">
      <c r="A4" s="2" t="inlineStr">
        <is>
          <t>GBP m unless stated</t>
        </is>
      </c>
      <c r="C4" s="7" t="inlineStr">
        <is>
          <t>FY2023A</t>
        </is>
      </c>
      <c r="D4" s="7" t="inlineStr">
        <is>
          <t>FY2024A</t>
        </is>
      </c>
      <c r="E4" s="7" t="inlineStr">
        <is>
          <t>FY2025A</t>
        </is>
      </c>
      <c r="F4" s="7" t="inlineStr">
        <is>
          <t>FY2026F</t>
        </is>
      </c>
      <c r="G4" s="7" t="inlineStr">
        <is>
          <t>FY2027F</t>
        </is>
      </c>
      <c r="H4" s="7" t="inlineStr">
        <is>
          <t>FY2028F</t>
        </is>
      </c>
      <c r="J4" s="8" t="inlineStr">
        <is>
          <t>Analyst commentary</t>
        </is>
      </c>
    </row>
    <row r="5">
      <c r="A5" s="17" t="inlineStr">
        <is>
          <t>ASSETS</t>
        </is>
      </c>
      <c r="B5" s="18" t="n"/>
      <c r="C5" s="18" t="n"/>
      <c r="D5" s="18" t="n"/>
      <c r="E5" s="18" t="n"/>
      <c r="F5" s="18" t="n"/>
      <c r="G5" s="18" t="n"/>
      <c r="H5" s="18" t="n"/>
    </row>
    <row r="6">
      <c r="A6" s="9" t="inlineStr">
        <is>
          <t>Cash and equivalents</t>
        </is>
      </c>
      <c r="C6" s="10" t="n">
        <v>12</v>
      </c>
      <c r="D6" s="10" t="n">
        <v>9</v>
      </c>
      <c r="E6" s="10" t="n">
        <v>6.5</v>
      </c>
      <c r="F6" s="19">
        <f>CF!F24</f>
        <v/>
      </c>
      <c r="G6" s="19">
        <f>CF!G24</f>
        <v/>
      </c>
      <c r="H6" s="19">
        <f>CF!H24</f>
        <v/>
      </c>
      <c r="J6" s="15" t="inlineStr">
        <is>
          <t>FY26F-FY28F pulled from CF sheet (live formula). Cash down 46% in two years while revenue grew 18%. RED FLAG #6.</t>
        </is>
      </c>
    </row>
    <row r="7">
      <c r="A7" s="9" t="inlineStr">
        <is>
          <t>Trade receivables</t>
        </is>
      </c>
      <c r="C7" s="10" t="n">
        <v>27.6</v>
      </c>
      <c r="D7" s="10" t="n">
        <v>35.6</v>
      </c>
      <c r="E7" s="10" t="n">
        <v>42.8</v>
      </c>
      <c r="F7" s="10" t="n">
        <v>44.5</v>
      </c>
      <c r="G7" s="10" t="n">
        <v>45.9</v>
      </c>
      <c r="H7" s="10" t="n">
        <v>47.3</v>
      </c>
      <c r="J7" s="15" t="inlineStr">
        <is>
          <t>Receivables +55% vs revenue +18% (FY23-25). DSO 48 -&gt; 63 days. Channel stuffing / extended terms / collectability? RED FLAG #4.</t>
        </is>
      </c>
    </row>
    <row r="8">
      <c r="A8" s="9" t="inlineStr">
        <is>
          <t>Inventory</t>
        </is>
      </c>
      <c r="C8" s="10" t="n">
        <v>21.5</v>
      </c>
      <c r="D8" s="10" t="n">
        <v>25.6</v>
      </c>
      <c r="E8" s="10" t="n">
        <v>28.7</v>
      </c>
      <c r="F8" s="10" t="n">
        <v>29.9</v>
      </c>
      <c r="G8" s="10" t="n">
        <v>30.8</v>
      </c>
      <c r="H8" s="10" t="n">
        <v>31.8</v>
      </c>
      <c r="J8" s="11" t="inlineStr">
        <is>
          <t>DIO 55 -&gt; 60 days. Building stock into slowing demand.</t>
        </is>
      </c>
    </row>
    <row r="9">
      <c r="A9" s="9" t="inlineStr">
        <is>
          <t>Other current assets</t>
        </is>
      </c>
      <c r="C9" s="10" t="n">
        <v>3</v>
      </c>
      <c r="D9" s="10" t="n">
        <v>3</v>
      </c>
      <c r="E9" s="10" t="n">
        <v>3</v>
      </c>
      <c r="F9" s="10" t="n">
        <v>3</v>
      </c>
      <c r="G9" s="10" t="n">
        <v>3</v>
      </c>
      <c r="H9" s="10" t="n">
        <v>3</v>
      </c>
    </row>
    <row r="10">
      <c r="A10" s="3" t="inlineStr">
        <is>
          <t>Total current assets</t>
        </is>
      </c>
      <c r="C10" s="14">
        <f>SUM(C6:C9)</f>
        <v/>
      </c>
      <c r="D10" s="14">
        <f>SUM(D6:D9)</f>
        <v/>
      </c>
      <c r="E10" s="14">
        <f>SUM(E6:E9)</f>
        <v/>
      </c>
      <c r="F10" s="14">
        <f>SUM(F6:F9)</f>
        <v/>
      </c>
      <c r="G10" s="14">
        <f>SUM(G6:G9)</f>
        <v/>
      </c>
      <c r="H10" s="14">
        <f>SUM(H6:H9)</f>
        <v/>
      </c>
    </row>
    <row r="11">
      <c r="A11" s="9" t="inlineStr">
        <is>
          <t>Property, plant &amp; equipment</t>
        </is>
      </c>
      <c r="C11" s="10" t="n">
        <v>78</v>
      </c>
      <c r="D11" s="10" t="n">
        <v>80.5</v>
      </c>
      <c r="E11" s="10" t="n">
        <v>82.5</v>
      </c>
      <c r="F11" s="10" t="n">
        <v>84.3</v>
      </c>
      <c r="G11" s="10" t="n">
        <v>85.90000000000001</v>
      </c>
      <c r="H11" s="10" t="n">
        <v>87.3</v>
      </c>
    </row>
    <row r="12">
      <c r="A12" s="9" t="inlineStr">
        <is>
          <t>Goodwill &amp; acquisition intangibles</t>
        </is>
      </c>
      <c r="C12" s="10" t="n">
        <v>145</v>
      </c>
      <c r="D12" s="10" t="n">
        <v>145</v>
      </c>
      <c r="E12" s="10" t="n">
        <v>145</v>
      </c>
      <c r="F12" s="10" t="n">
        <v>145</v>
      </c>
      <c r="G12" s="10" t="n">
        <v>145</v>
      </c>
      <c r="H12" s="10" t="n">
        <v>145</v>
      </c>
      <c r="J12" s="15" t="inlineStr">
        <is>
          <t>47% of total assets is goodwill from the LBO — zero recovery value for a lender. Tangible net worth is deeply negative. RED FLAG #8.</t>
        </is>
      </c>
    </row>
    <row r="13">
      <c r="A13" s="3" t="inlineStr">
        <is>
          <t>TOTAL ASSETS</t>
        </is>
      </c>
      <c r="C13" s="16">
        <f>C10+C11+C12</f>
        <v/>
      </c>
      <c r="D13" s="16">
        <f>D10+D11+D12</f>
        <v/>
      </c>
      <c r="E13" s="16">
        <f>E10+E11+E12</f>
        <v/>
      </c>
      <c r="F13" s="16">
        <f>F10+F11+F12</f>
        <v/>
      </c>
      <c r="G13" s="16">
        <f>G10+G11+G12</f>
        <v/>
      </c>
      <c r="H13" s="16">
        <f>H10+H11+H12</f>
        <v/>
      </c>
    </row>
    <row r="15">
      <c r="A15" s="17" t="inlineStr">
        <is>
          <t>LIABILITIES &amp; EQUITY</t>
        </is>
      </c>
      <c r="B15" s="18" t="n"/>
      <c r="C15" s="18" t="n"/>
      <c r="D15" s="18" t="n"/>
      <c r="E15" s="18" t="n"/>
      <c r="F15" s="18" t="n"/>
      <c r="G15" s="18" t="n"/>
      <c r="H15" s="18" t="n"/>
    </row>
    <row r="16">
      <c r="A16" s="9" t="inlineStr">
        <is>
          <t>Trade payables</t>
        </is>
      </c>
      <c r="C16" s="10" t="n">
        <v>20.3</v>
      </c>
      <c r="D16" s="10" t="n">
        <v>25.6</v>
      </c>
      <c r="E16" s="10" t="n">
        <v>31.6</v>
      </c>
      <c r="F16" s="10" t="n">
        <v>32.9</v>
      </c>
      <c r="G16" s="10" t="n">
        <v>33.9</v>
      </c>
      <c r="H16" s="10" t="n">
        <v>34.9</v>
      </c>
      <c r="J16" s="15" t="inlineStr">
        <is>
          <t>DPO stretched 52 -&gt; 66 days: the company is funding itself off its suppliers. Unsustainable and it snaps back in distress. RED FLAG #5.</t>
        </is>
      </c>
    </row>
    <row r="17">
      <c r="A17" s="9" t="inlineStr">
        <is>
          <t>RCF drawn (super-senior)</t>
        </is>
      </c>
      <c r="C17" s="10" t="n">
        <v>0</v>
      </c>
      <c r="D17" s="10" t="n">
        <v>4</v>
      </c>
      <c r="E17" s="10" t="n">
        <v>10</v>
      </c>
      <c r="F17" s="10" t="n">
        <v>12</v>
      </c>
      <c r="G17" s="10" t="n">
        <v>14</v>
      </c>
      <c r="H17" s="10" t="n">
        <v>15</v>
      </c>
      <c r="J17" s="15" t="inlineStr">
        <is>
          <t>A 15m working-capital line now structurally drawn and forecast to hit its cap. RCF creep = the liquidity buffer is gone. RED FLAG #7.</t>
        </is>
      </c>
    </row>
    <row r="18">
      <c r="A18" s="9" t="inlineStr">
        <is>
          <t>Unitranche term debt (bullet Sep-2027)</t>
        </is>
      </c>
      <c r="C18" s="10" t="n">
        <v>175</v>
      </c>
      <c r="D18" s="10" t="n">
        <v>175</v>
      </c>
      <c r="E18" s="10" t="n">
        <v>175</v>
      </c>
      <c r="F18" s="10" t="n">
        <v>175</v>
      </c>
      <c r="G18" s="10" t="n">
        <v>175</v>
      </c>
      <c r="H18" s="10" t="n">
        <v>175</v>
      </c>
      <c r="J18" s="11" t="inlineStr">
        <is>
          <t>No amortisation. 100% of principal depends on the FY27 refinancing. See Debt sheet.</t>
        </is>
      </c>
    </row>
    <row r="19">
      <c r="A19" s="9" t="inlineStr">
        <is>
          <t>Other liabilities (accruals, provisions, deferred tax)</t>
        </is>
      </c>
      <c r="C19" s="10" t="n">
        <v>33.2</v>
      </c>
      <c r="D19" s="10" t="n">
        <v>32.6</v>
      </c>
      <c r="E19" s="10" t="n">
        <v>28.7</v>
      </c>
      <c r="F19" s="10" t="n">
        <v>28.7</v>
      </c>
      <c r="G19" s="10" t="n">
        <v>28.7</v>
      </c>
      <c r="H19" s="10" t="n">
        <v>28.7</v>
      </c>
    </row>
    <row r="20">
      <c r="A20" s="3" t="inlineStr">
        <is>
          <t>Total liabilities</t>
        </is>
      </c>
      <c r="C20" s="14">
        <f>SUM(C16:C19)</f>
        <v/>
      </c>
      <c r="D20" s="14">
        <f>SUM(D16:D19)</f>
        <v/>
      </c>
      <c r="E20" s="14">
        <f>SUM(E16:E19)</f>
        <v/>
      </c>
      <c r="F20" s="14">
        <f>SUM(F16:F19)</f>
        <v/>
      </c>
      <c r="G20" s="14">
        <f>SUM(G16:G19)</f>
        <v/>
      </c>
      <c r="H20" s="14">
        <f>SUM(H16:H19)</f>
        <v/>
      </c>
    </row>
    <row r="21">
      <c r="A21" s="3" t="inlineStr">
        <is>
          <t>Shareholders' equity</t>
        </is>
      </c>
      <c r="C21" s="20">
        <f>C13-C20</f>
        <v/>
      </c>
      <c r="D21" s="20">
        <f>D13-D20</f>
        <v/>
      </c>
      <c r="E21" s="20">
        <f>E13-E20</f>
        <v/>
      </c>
      <c r="F21" s="20">
        <f>F13-F20</f>
        <v/>
      </c>
      <c r="G21" s="20">
        <f>G13-G20</f>
        <v/>
      </c>
      <c r="H21" s="20">
        <f>H13-H20</f>
        <v/>
      </c>
      <c r="J21" s="11" t="inlineStr">
        <is>
          <t>Balancing figure here; verify equity roll: opening equity + PAT = closing (check row below).</t>
        </is>
      </c>
    </row>
    <row r="22">
      <c r="A22" s="3" t="inlineStr">
        <is>
          <t>TOTAL LIABILITIES &amp; EQUITY</t>
        </is>
      </c>
      <c r="C22" s="16">
        <f>C20+C21</f>
        <v/>
      </c>
      <c r="D22" s="16">
        <f>D20+D21</f>
        <v/>
      </c>
      <c r="E22" s="16">
        <f>E20+E21</f>
        <v/>
      </c>
      <c r="F22" s="16">
        <f>F20+F21</f>
        <v/>
      </c>
      <c r="G22" s="16">
        <f>G20+G21</f>
        <v/>
      </c>
      <c r="H22" s="16">
        <f>H20+H21</f>
        <v/>
      </c>
    </row>
    <row r="24">
      <c r="A24" s="9" t="inlineStr">
        <is>
          <t>Check: equity roll (opening + PAT − closing) = 0</t>
        </is>
      </c>
      <c r="C24" s="21" t="n"/>
      <c r="D24" s="19">
        <f>C21+PnL!D20-D21</f>
        <v/>
      </c>
      <c r="E24" s="19">
        <f>D21+PnL!E20-E21</f>
        <v/>
      </c>
      <c r="F24" s="19">
        <f>E21+PnL!F20-F21</f>
        <v/>
      </c>
      <c r="G24" s="19">
        <f>F21+PnL!G20-G21</f>
        <v/>
      </c>
      <c r="H24" s="19">
        <f>G21+PnL!H20-H21</f>
        <v/>
      </c>
      <c r="J24" s="11" t="inlineStr">
        <is>
          <t>Should be ~0 for forecast years (historics include minor reserve movements).</t>
        </is>
      </c>
    </row>
    <row r="25">
      <c r="A25" s="3" t="inlineStr">
        <is>
          <t>Memo: Tangible net worth (equity − goodwill/intangibles)</t>
        </is>
      </c>
      <c r="C25" s="20">
        <f>C21-C12</f>
        <v/>
      </c>
      <c r="D25" s="20">
        <f>D21-D12</f>
        <v/>
      </c>
      <c r="E25" s="20">
        <f>E21-E12</f>
        <v/>
      </c>
      <c r="F25" s="20">
        <f>F21-F12</f>
        <v/>
      </c>
      <c r="G25" s="20">
        <f>G21-G12</f>
        <v/>
      </c>
      <c r="H25" s="20">
        <f>H21-H12</f>
        <v/>
      </c>
      <c r="J25" s="15" t="inlineStr">
        <is>
          <t>Negative ~GBP 80m: in a liquidation the ONLY protection is enterprise-value-as-going-concern. Recovery depends on the business being sellable.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CB8"/>
    <outlinePr summaryBelow="1" summaryRight="1"/>
    <pageSetUpPr/>
  </sheetPr>
  <dimension ref="A1:J2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" customWidth="1" min="9" max="9"/>
    <col width="60" customWidth="1" min="10" max="10"/>
  </cols>
  <sheetData>
    <row r="1">
      <c r="A1" s="6" t="inlineStr">
        <is>
          <t>Cash Flow Statement (indirect method) — Meridian Foods Group Ltd</t>
        </is>
      </c>
    </row>
    <row r="2">
      <c r="A2" s="2" t="inlineStr">
        <is>
          <t>GBP m. Built live from PnL and BS. THIS is the statement that repays debt.</t>
        </is>
      </c>
    </row>
    <row r="4">
      <c r="A4" s="2" t="inlineStr">
        <is>
          <t>GBP m unless stated</t>
        </is>
      </c>
      <c r="C4" s="7" t="inlineStr">
        <is>
          <t>FY2023A</t>
        </is>
      </c>
      <c r="D4" s="7" t="inlineStr">
        <is>
          <t>FY2024A</t>
        </is>
      </c>
      <c r="E4" s="7" t="inlineStr">
        <is>
          <t>FY2025A</t>
        </is>
      </c>
      <c r="F4" s="7" t="inlineStr">
        <is>
          <t>FY2026F</t>
        </is>
      </c>
      <c r="G4" s="7" t="inlineStr">
        <is>
          <t>FY2027F</t>
        </is>
      </c>
      <c r="H4" s="7" t="inlineStr">
        <is>
          <t>FY2028F</t>
        </is>
      </c>
      <c r="J4" s="8" t="inlineStr">
        <is>
          <t>Analyst commentary</t>
        </is>
      </c>
    </row>
    <row r="5">
      <c r="A5" s="17" t="inlineStr">
        <is>
          <t>OPERATING</t>
        </is>
      </c>
      <c r="B5" s="18" t="n"/>
      <c r="C5" s="18" t="n"/>
      <c r="D5" s="18" t="n"/>
      <c r="E5" s="18" t="n"/>
      <c r="F5" s="18" t="n"/>
      <c r="G5" s="18" t="n"/>
      <c r="H5" s="18" t="n"/>
    </row>
    <row r="6">
      <c r="A6" s="9" t="inlineStr">
        <is>
          <t>EBITDA (statutory)</t>
        </is>
      </c>
      <c r="C6" s="19">
        <f>PnL!C13</f>
        <v/>
      </c>
      <c r="D6" s="19">
        <f>PnL!D13</f>
        <v/>
      </c>
      <c r="E6" s="19">
        <f>PnL!E13</f>
        <v/>
      </c>
      <c r="F6" s="19">
        <f>PnL!F13</f>
        <v/>
      </c>
      <c r="G6" s="19">
        <f>PnL!G13</f>
        <v/>
      </c>
      <c r="H6" s="19">
        <f>PnL!H13</f>
        <v/>
      </c>
    </row>
    <row r="7">
      <c r="A7" s="9" t="inlineStr">
        <is>
          <t>(Increase) in trade receivables</t>
        </is>
      </c>
      <c r="C7" s="10" t="n">
        <v>-4.1</v>
      </c>
      <c r="D7" s="19">
        <f>-(BS!D7-BS!C7)</f>
        <v/>
      </c>
      <c r="E7" s="19">
        <f>-(BS!E7-BS!D7)</f>
        <v/>
      </c>
      <c r="F7" s="19">
        <f>-(BS!F7-BS!E7)</f>
        <v/>
      </c>
      <c r="G7" s="19">
        <f>-(BS!G7-BS!F7)</f>
        <v/>
      </c>
      <c r="H7" s="19">
        <f>-(BS!H7-BS!G7)</f>
        <v/>
      </c>
      <c r="J7" s="11" t="inlineStr">
        <is>
          <t>Working capital has absorbed ~GBP 18m of cash over FY23-25 — more than one full year of statutory EBITDA after interest.</t>
        </is>
      </c>
    </row>
    <row r="8">
      <c r="A8" s="9" t="inlineStr">
        <is>
          <t>(Increase) in inventory</t>
        </is>
      </c>
      <c r="C8" s="10" t="n">
        <v>-2.9</v>
      </c>
      <c r="D8" s="19">
        <f>-(BS!D8-BS!C8)</f>
        <v/>
      </c>
      <c r="E8" s="19">
        <f>-(BS!E8-BS!D8)</f>
        <v/>
      </c>
      <c r="F8" s="19">
        <f>-(BS!F8-BS!E8)</f>
        <v/>
      </c>
      <c r="G8" s="19">
        <f>-(BS!G8-BS!F8)</f>
        <v/>
      </c>
      <c r="H8" s="19">
        <f>-(BS!H8-BS!G8)</f>
        <v/>
      </c>
    </row>
    <row r="9">
      <c r="A9" s="9" t="inlineStr">
        <is>
          <t>Increase in trade payables</t>
        </is>
      </c>
      <c r="C9" s="10" t="n">
        <v>2.8</v>
      </c>
      <c r="D9" s="19">
        <f>BS!D16-BS!C16</f>
        <v/>
      </c>
      <c r="E9" s="19">
        <f>BS!E16-BS!D16</f>
        <v/>
      </c>
      <c r="F9" s="19">
        <f>BS!F16-BS!E16</f>
        <v/>
      </c>
      <c r="G9" s="19">
        <f>BS!G16-BS!F16</f>
        <v/>
      </c>
      <c r="H9" s="19">
        <f>BS!H16-BS!G16</f>
        <v/>
      </c>
    </row>
    <row r="10">
      <c r="A10" s="9" t="inlineStr">
        <is>
          <t>Movement in other liabilities / provisions</t>
        </is>
      </c>
      <c r="C10" s="10" t="n">
        <v>1.6</v>
      </c>
      <c r="D10" s="19">
        <f>BS!D19-BS!C19</f>
        <v/>
      </c>
      <c r="E10" s="19">
        <f>BS!E19-BS!D19</f>
        <v/>
      </c>
      <c r="F10" s="19">
        <f>BS!F19-BS!E19</f>
        <v/>
      </c>
      <c r="G10" s="19">
        <f>BS!G19-BS!F19</f>
        <v/>
      </c>
      <c r="H10" s="19">
        <f>BS!H19-BS!G19</f>
        <v/>
      </c>
    </row>
    <row r="11">
      <c r="A11" s="9" t="inlineStr">
        <is>
          <t>Cash tax paid</t>
        </is>
      </c>
      <c r="C11" s="19">
        <f>PnL!C19</f>
        <v/>
      </c>
      <c r="D11" s="19">
        <f>PnL!D19</f>
        <v/>
      </c>
      <c r="E11" s="19">
        <f>PnL!E19</f>
        <v/>
      </c>
      <c r="F11" s="19">
        <f>PnL!F19</f>
        <v/>
      </c>
      <c r="G11" s="19">
        <f>PnL!G19</f>
        <v/>
      </c>
      <c r="H11" s="19">
        <f>PnL!H19</f>
        <v/>
      </c>
    </row>
    <row r="12">
      <c r="A12" s="3" t="inlineStr">
        <is>
          <t>Net cash from operations (CFO)</t>
        </is>
      </c>
      <c r="C12" s="14">
        <f>SUM(C6:C11)</f>
        <v/>
      </c>
      <c r="D12" s="14">
        <f>SUM(D6:D11)</f>
        <v/>
      </c>
      <c r="E12" s="14">
        <f>SUM(E6:E11)</f>
        <v/>
      </c>
      <c r="F12" s="14">
        <f>SUM(F6:F11)</f>
        <v/>
      </c>
      <c r="G12" s="14">
        <f>SUM(G6:G11)</f>
        <v/>
      </c>
      <c r="H12" s="14">
        <f>SUM(H6:H11)</f>
        <v/>
      </c>
    </row>
    <row r="13">
      <c r="A13" s="9" t="inlineStr">
        <is>
          <t>Cash conversion (CFO / EBITDA)</t>
        </is>
      </c>
      <c r="C13" s="13">
        <f>C12/C6</f>
        <v/>
      </c>
      <c r="D13" s="13">
        <f>D12/D6</f>
        <v/>
      </c>
      <c r="E13" s="13">
        <f>E12/E6</f>
        <v/>
      </c>
      <c r="F13" s="13">
        <f>F12/F6</f>
        <v/>
      </c>
      <c r="G13" s="13">
        <f>G12/G6</f>
        <v/>
      </c>
      <c r="H13" s="13">
        <f>H12/H6</f>
        <v/>
      </c>
      <c r="J13" s="11" t="inlineStr">
        <is>
          <t>Healthy manufacturers convert 85-100%. Meridian's conversion is dragged down by working-capital absorption.</t>
        </is>
      </c>
    </row>
    <row r="15">
      <c r="A15" s="17" t="inlineStr">
        <is>
          <t>INVESTING</t>
        </is>
      </c>
      <c r="B15" s="18" t="n"/>
      <c r="C15" s="18" t="n"/>
      <c r="D15" s="18" t="n"/>
      <c r="E15" s="18" t="n"/>
      <c r="F15" s="18" t="n"/>
      <c r="G15" s="18" t="n"/>
      <c r="H15" s="18" t="n"/>
    </row>
    <row r="16">
      <c r="A16" s="9" t="inlineStr">
        <is>
          <t>Capital expenditure</t>
        </is>
      </c>
      <c r="C16" s="10" t="n">
        <v>-12</v>
      </c>
      <c r="D16" s="10" t="n">
        <v>-12</v>
      </c>
      <c r="E16" s="10" t="n">
        <v>-12</v>
      </c>
      <c r="F16" s="10" t="n">
        <v>-12</v>
      </c>
      <c r="G16" s="10" t="n">
        <v>-12</v>
      </c>
      <c r="H16" s="10" t="n">
        <v>-12</v>
      </c>
      <c r="J16" s="11" t="inlineStr">
        <is>
          <t>Capex &gt; D&amp;A every year (ageing plant). Maintenance capex alone is ~8m — do NOT model capex away in a downside case.</t>
        </is>
      </c>
    </row>
    <row r="18">
      <c r="A18" s="17" t="inlineStr">
        <is>
          <t>FINANCING</t>
        </is>
      </c>
      <c r="B18" s="18" t="n"/>
      <c r="C18" s="18" t="n"/>
      <c r="D18" s="18" t="n"/>
      <c r="E18" s="18" t="n"/>
      <c r="F18" s="18" t="n"/>
      <c r="G18" s="18" t="n"/>
      <c r="H18" s="18" t="n"/>
    </row>
    <row r="19">
      <c r="A19" s="9" t="inlineStr">
        <is>
          <t>Interest paid</t>
        </is>
      </c>
      <c r="C19" s="19">
        <f>PnL!C17</f>
        <v/>
      </c>
      <c r="D19" s="19">
        <f>PnL!D17</f>
        <v/>
      </c>
      <c r="E19" s="19">
        <f>PnL!E17</f>
        <v/>
      </c>
      <c r="F19" s="19">
        <f>PnL!F17</f>
        <v/>
      </c>
      <c r="G19" s="19">
        <f>PnL!G17</f>
        <v/>
      </c>
      <c r="H19" s="19">
        <f>PnL!H17</f>
        <v/>
      </c>
    </row>
    <row r="20">
      <c r="A20" s="9" t="inlineStr">
        <is>
          <t>RCF drawn / (repaid)</t>
        </is>
      </c>
      <c r="C20" s="10" t="n">
        <v>0</v>
      </c>
      <c r="D20" s="19">
        <f>BS!D17-BS!C17</f>
        <v/>
      </c>
      <c r="E20" s="19">
        <f>BS!E17-BS!D17</f>
        <v/>
      </c>
      <c r="F20" s="19">
        <f>BS!F17-BS!E17</f>
        <v/>
      </c>
      <c r="G20" s="19">
        <f>BS!G17-BS!F17</f>
        <v/>
      </c>
      <c r="H20" s="19">
        <f>BS!H17-BS!G17</f>
        <v/>
      </c>
    </row>
    <row r="21">
      <c r="A21" s="9" t="inlineStr">
        <is>
          <t>Term debt drawn / (repaid)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J21" s="15" t="inlineStr">
        <is>
          <t>Base case assumes the FY27 bullet is REFINANCED at par (rolled). The Debt sheet tests whether that assumption is credible.</t>
        </is>
      </c>
    </row>
    <row r="22">
      <c r="A22" s="3" t="inlineStr">
        <is>
          <t>Net cash flow</t>
        </is>
      </c>
      <c r="C22" s="14">
        <f>C12+C16+C19+C20+C21</f>
        <v/>
      </c>
      <c r="D22" s="14">
        <f>D12+D16+D19+D20+D21</f>
        <v/>
      </c>
      <c r="E22" s="14">
        <f>E12+E16+E19+E20+E21</f>
        <v/>
      </c>
      <c r="F22" s="14">
        <f>F12+F16+F19+F20+F21</f>
        <v/>
      </c>
      <c r="G22" s="14">
        <f>G12+G16+G19+G20+G21</f>
        <v/>
      </c>
      <c r="H22" s="14">
        <f>H12+H16+H19+H20+H21</f>
        <v/>
      </c>
    </row>
    <row r="23">
      <c r="A23" s="9" t="inlineStr">
        <is>
          <t>Opening cash</t>
        </is>
      </c>
      <c r="C23" s="10" t="n">
        <v>14</v>
      </c>
      <c r="D23" s="21">
        <f>C24</f>
        <v/>
      </c>
      <c r="E23" s="21">
        <f>D24</f>
        <v/>
      </c>
      <c r="F23" s="21">
        <f>E24</f>
        <v/>
      </c>
      <c r="G23" s="21">
        <f>F24</f>
        <v/>
      </c>
      <c r="H23" s="21">
        <f>G24</f>
        <v/>
      </c>
    </row>
    <row r="24">
      <c r="A24" s="3" t="inlineStr">
        <is>
          <t>Closing cash</t>
        </is>
      </c>
      <c r="C24" s="16">
        <f>C23+C22</f>
        <v/>
      </c>
      <c r="D24" s="16">
        <f>D23+D22</f>
        <v/>
      </c>
      <c r="E24" s="16">
        <f>E23+E22</f>
        <v/>
      </c>
      <c r="F24" s="16">
        <f>F23+F22</f>
        <v/>
      </c>
      <c r="G24" s="16">
        <f>G23+G22</f>
        <v/>
      </c>
      <c r="H24" s="16">
        <f>H23+H22</f>
        <v/>
      </c>
      <c r="J24" s="11" t="inlineStr">
        <is>
          <t>Ties to BS cash. Forecast BS cash is pulled from this row.</t>
        </is>
      </c>
    </row>
    <row r="26">
      <c r="A26" s="17" t="inlineStr">
        <is>
          <t>THE NUMBERS THAT MATTER TO A LENDER</t>
        </is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3" t="inlineStr">
        <is>
          <t>Free cash flow pre debt service (CFO − capex)</t>
        </is>
      </c>
      <c r="C27" s="20">
        <f>C12+C16</f>
        <v/>
      </c>
      <c r="D27" s="20">
        <f>D12+D16</f>
        <v/>
      </c>
      <c r="E27" s="20">
        <f>E12+E16</f>
        <v/>
      </c>
      <c r="F27" s="20">
        <f>F12+F16</f>
        <v/>
      </c>
      <c r="G27" s="20">
        <f>G12+G16</f>
        <v/>
      </c>
      <c r="H27" s="20">
        <f>H12+H16</f>
        <v/>
      </c>
    </row>
    <row r="28">
      <c r="A28" s="3" t="inlineStr">
        <is>
          <t>Free cash flow AFTER interest (available for principal)</t>
        </is>
      </c>
      <c r="C28" s="20">
        <f>C27+C19</f>
        <v/>
      </c>
      <c r="D28" s="20">
        <f>D27+D19</f>
        <v/>
      </c>
      <c r="E28" s="20">
        <f>E27+E19</f>
        <v/>
      </c>
      <c r="F28" s="20">
        <f>F27+F19</f>
        <v/>
      </c>
      <c r="G28" s="20">
        <f>G27+G19</f>
        <v/>
      </c>
      <c r="H28" s="20">
        <f>H27+H19</f>
        <v/>
      </c>
      <c r="J28" s="15" t="inlineStr">
        <is>
          <t>FY25: NEGATIVE 2.5m. FY26-27F: ~1.0-2.9m a year against a 175m bullet in Sep-2027. This single row is the deal-killer. RED FLAG #3.</t>
        </is>
      </c>
    </row>
    <row r="29">
      <c r="A29" s="9" t="inlineStr">
        <is>
          <t>Cumulative FCF after interest, FY26F-FY27F</t>
        </is>
      </c>
      <c r="C29" s="21" t="n"/>
      <c r="D29" s="21" t="n"/>
      <c r="E29" s="21" t="n"/>
      <c r="F29" s="19">
        <f>SUM(D28:F28)</f>
        <v/>
      </c>
      <c r="G29" s="19">
        <f>SUM(D28:G28)</f>
        <v/>
      </c>
      <c r="H29" s="19">
        <f>SUM(D28:H28)</f>
        <v/>
      </c>
      <c r="J29" s="11" t="inlineStr">
        <is>
          <t>Total organic debt-repayment capacity before the bullet falls due: &lt;4m vs 175m owed = 2% of the principal.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J2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" customWidth="1" min="9" max="9"/>
    <col width="60" customWidth="1" min="10" max="10"/>
  </cols>
  <sheetData>
    <row r="1">
      <c r="A1" s="6" t="inlineStr">
        <is>
          <t>Debt Schedule, Maturity Wall &amp; Refinancing Test</t>
        </is>
      </c>
    </row>
    <row r="2">
      <c r="A2" s="2" t="inlineStr">
        <is>
          <t>GBP m. The test on this sheet is the one that catches 'not enough money to repay the lenders'.</t>
        </is>
      </c>
    </row>
    <row r="4">
      <c r="A4" s="2" t="inlineStr">
        <is>
          <t>GBP m unless stated</t>
        </is>
      </c>
      <c r="C4" s="7" t="inlineStr">
        <is>
          <t>FY2023A</t>
        </is>
      </c>
      <c r="D4" s="7" t="inlineStr">
        <is>
          <t>FY2024A</t>
        </is>
      </c>
      <c r="E4" s="7" t="inlineStr">
        <is>
          <t>FY2025A</t>
        </is>
      </c>
      <c r="F4" s="7" t="inlineStr">
        <is>
          <t>FY2026F</t>
        </is>
      </c>
      <c r="G4" s="7" t="inlineStr">
        <is>
          <t>FY2027F</t>
        </is>
      </c>
      <c r="H4" s="7" t="inlineStr">
        <is>
          <t>FY2028F</t>
        </is>
      </c>
      <c r="J4" s="8" t="inlineStr">
        <is>
          <t>Analyst commentary</t>
        </is>
      </c>
    </row>
    <row r="5">
      <c r="A5" s="17" t="inlineStr">
        <is>
          <t>FACILITIES</t>
        </is>
      </c>
      <c r="B5" s="18" t="n"/>
      <c r="C5" s="18" t="n"/>
      <c r="D5" s="18" t="n"/>
      <c r="E5" s="18" t="n"/>
      <c r="F5" s="18" t="n"/>
      <c r="G5" s="18" t="n"/>
      <c r="H5" s="18" t="n"/>
    </row>
    <row r="6">
      <c r="A6" s="9" t="inlineStr">
        <is>
          <t>RCF drawn (facility GBP 15m, S+275, matures Mar-2027)</t>
        </is>
      </c>
      <c r="C6" s="19">
        <f>BS!C17</f>
        <v/>
      </c>
      <c r="D6" s="19">
        <f>BS!D17</f>
        <v/>
      </c>
      <c r="E6" s="19">
        <f>BS!E17</f>
        <v/>
      </c>
      <c r="F6" s="19">
        <f>BS!F17</f>
        <v/>
      </c>
      <c r="G6" s="19">
        <f>BS!G17</f>
        <v/>
      </c>
      <c r="H6" s="19">
        <f>BS!H17</f>
        <v/>
      </c>
    </row>
    <row r="7">
      <c r="A7" s="9" t="inlineStr">
        <is>
          <t>Unitranche (S+600, BULLET Sep-2027)</t>
        </is>
      </c>
      <c r="C7" s="19">
        <f>BS!C18</f>
        <v/>
      </c>
      <c r="D7" s="19">
        <f>BS!D18</f>
        <v/>
      </c>
      <c r="E7" s="19">
        <f>BS!E18</f>
        <v/>
      </c>
      <c r="F7" s="19">
        <f>BS!F18</f>
        <v/>
      </c>
      <c r="G7" s="19">
        <f>BS!G18</f>
        <v/>
      </c>
      <c r="H7" s="19">
        <f>BS!H18</f>
        <v/>
      </c>
    </row>
    <row r="8">
      <c r="A8" s="3" t="inlineStr">
        <is>
          <t>Total gross debt</t>
        </is>
      </c>
      <c r="C8" s="14">
        <f>C6+C7</f>
        <v/>
      </c>
      <c r="D8" s="14">
        <f>D6+D7</f>
        <v/>
      </c>
      <c r="E8" s="14">
        <f>E6+E7</f>
        <v/>
      </c>
      <c r="F8" s="14">
        <f>F6+F7</f>
        <v/>
      </c>
      <c r="G8" s="14">
        <f>G6+G7</f>
        <v/>
      </c>
      <c r="H8" s="14">
        <f>H6+H7</f>
        <v/>
      </c>
    </row>
    <row r="9">
      <c r="A9" s="9" t="inlineStr">
        <is>
          <t>Less: cash</t>
        </is>
      </c>
      <c r="C9" s="19">
        <f>-BS!C6</f>
        <v/>
      </c>
      <c r="D9" s="19">
        <f>-BS!D6</f>
        <v/>
      </c>
      <c r="E9" s="19">
        <f>-BS!E6</f>
        <v/>
      </c>
      <c r="F9" s="19">
        <f>-BS!F6</f>
        <v/>
      </c>
      <c r="G9" s="19">
        <f>-BS!G6</f>
        <v/>
      </c>
      <c r="H9" s="19">
        <f>-BS!H6</f>
        <v/>
      </c>
    </row>
    <row r="10">
      <c r="A10" s="3" t="inlineStr">
        <is>
          <t>Net debt</t>
        </is>
      </c>
      <c r="C10" s="14">
        <f>C8+C9</f>
        <v/>
      </c>
      <c r="D10" s="14">
        <f>D8+D9</f>
        <v/>
      </c>
      <c r="E10" s="14">
        <f>E8+E9</f>
        <v/>
      </c>
      <c r="F10" s="14">
        <f>F8+F9</f>
        <v/>
      </c>
      <c r="G10" s="14">
        <f>G8+G9</f>
        <v/>
      </c>
      <c r="H10" s="14">
        <f>H8+H9</f>
        <v/>
      </c>
    </row>
    <row r="11">
      <c r="A11" s="9" t="inlineStr">
        <is>
          <t>Undrawn RCF headroom</t>
        </is>
      </c>
      <c r="C11" s="19">
        <f>15-C6</f>
        <v/>
      </c>
      <c r="D11" s="19">
        <f>15-D6</f>
        <v/>
      </c>
      <c r="E11" s="19">
        <f>15-E6</f>
        <v/>
      </c>
      <c r="F11" s="19">
        <f>15-F6</f>
        <v/>
      </c>
      <c r="G11" s="19">
        <f>15-G6</f>
        <v/>
      </c>
      <c r="H11" s="19">
        <f>15-H6</f>
        <v/>
      </c>
      <c r="J11" s="15" t="inlineStr">
        <is>
          <t>Headroom shrinks to ~0 by FY28F. Liquidity = cash + undrawn committed lines; both are evaporating simultaneously.</t>
        </is>
      </c>
    </row>
    <row r="13">
      <c r="A13" s="17" t="inlineStr">
        <is>
          <t>CONTRACTUAL MATURITIES (principal falling due in each year)</t>
        </is>
      </c>
      <c r="B13" s="18" t="n"/>
      <c r="C13" s="18" t="n"/>
      <c r="D13" s="18" t="n"/>
      <c r="E13" s="18" t="n"/>
      <c r="F13" s="18" t="n"/>
      <c r="G13" s="18" t="n"/>
      <c r="H13" s="18" t="n"/>
    </row>
    <row r="14">
      <c r="A14" s="9" t="inlineStr">
        <is>
          <t>Scheduled amortisation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J14" s="11" t="inlineStr">
        <is>
          <t>Bullet structure = zero forced deleveraging. Every pound of the 175m is a FY27 problem.</t>
        </is>
      </c>
    </row>
    <row r="15">
      <c r="A15" s="9" t="inlineStr">
        <is>
          <t>RCF maturity (Mar-2027)</t>
        </is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14</v>
      </c>
      <c r="H15" s="10" t="n">
        <v>0</v>
      </c>
    </row>
    <row r="16">
      <c r="A16" s="9" t="inlineStr">
        <is>
          <t>Unitranche bullet (Sep-2027)</t>
        </is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175</v>
      </c>
      <c r="H16" s="10" t="n">
        <v>0</v>
      </c>
    </row>
    <row r="17">
      <c r="A17" s="3" t="inlineStr">
        <is>
          <t>Total maturities</t>
        </is>
      </c>
      <c r="C17" s="14">
        <f>SUM(C14:C16)</f>
        <v/>
      </c>
      <c r="D17" s="14">
        <f>SUM(D14:D16)</f>
        <v/>
      </c>
      <c r="E17" s="14">
        <f>SUM(E14:E16)</f>
        <v/>
      </c>
      <c r="F17" s="14">
        <f>SUM(F14:F16)</f>
        <v/>
      </c>
      <c r="G17" s="14">
        <f>SUM(G14:G16)</f>
        <v/>
      </c>
      <c r="H17" s="14">
        <f>SUM(H14:H16)</f>
        <v/>
      </c>
      <c r="J17" s="15" t="inlineStr">
        <is>
          <t>GBP 189m — 100% of the debt stack — matures within a 6-month window in 2027. A textbook maturity wall. RED FLAG #9.</t>
        </is>
      </c>
    </row>
    <row r="19">
      <c r="A19" s="17" t="inlineStr">
        <is>
          <t>REFINANCING TEST AT THE FY2027 WALL (do this on every deal with a bullet)</t>
        </is>
      </c>
      <c r="B19" s="18" t="n"/>
      <c r="C19" s="18" t="n"/>
      <c r="D19" s="18" t="n"/>
      <c r="E19" s="18" t="n"/>
      <c r="F19" s="18" t="n"/>
      <c r="G19" s="18" t="n"/>
      <c r="H19" s="18" t="n"/>
    </row>
    <row r="20">
      <c r="A20" s="9" t="inlineStr">
        <is>
          <t>1. Cash available at maturity (FY27F closing cash)</t>
        </is>
      </c>
      <c r="C20" s="21" t="n"/>
      <c r="D20" s="21" t="n"/>
      <c r="E20" s="21" t="n"/>
      <c r="F20" s="21" t="n"/>
      <c r="G20" s="19">
        <f>CF!G24</f>
        <v/>
      </c>
      <c r="H20" s="21" t="n"/>
    </row>
    <row r="21">
      <c r="A21" s="9" t="inlineStr">
        <is>
          <t>2. Debt to be repaid or refinanced</t>
        </is>
      </c>
      <c r="C21" s="21" t="n"/>
      <c r="D21" s="21" t="n"/>
      <c r="E21" s="21" t="n"/>
      <c r="F21" s="21" t="n"/>
      <c r="G21" s="19">
        <f>G17</f>
        <v/>
      </c>
      <c r="H21" s="21" t="n"/>
    </row>
    <row r="22">
      <c r="A22" s="3" t="inlineStr">
        <is>
          <t>3. Funding gap = refinancing required</t>
        </is>
      </c>
      <c r="C22" s="21" t="n"/>
      <c r="D22" s="21" t="n"/>
      <c r="E22" s="21" t="n"/>
      <c r="F22" s="21" t="n"/>
      <c r="G22" s="20">
        <f>G21-G20</f>
        <v/>
      </c>
      <c r="H22" s="21" t="n"/>
      <c r="J22" s="15" t="inlineStr">
        <is>
          <t>~GBP 176m must be raised from new lenders in 2027.</t>
        </is>
      </c>
    </row>
    <row r="23">
      <c r="A23" s="9" t="inlineStr">
        <is>
          <t>4. Leverage at refinancing (net debt / statutory EBITDA, FY27F)</t>
        </is>
      </c>
      <c r="C23" s="22" t="n"/>
      <c r="D23" s="22" t="n"/>
      <c r="E23" s="22" t="n"/>
      <c r="F23" s="22" t="n"/>
      <c r="G23" s="23">
        <f>G10/PnL!G13</f>
        <v/>
      </c>
      <c r="H23" s="22" t="n"/>
      <c r="J23" s="11" t="inlineStr">
        <is>
          <t>~4.7x statutory at the wall. New lenders will also apply haircuts to addbacks — the refi market sees 5x+, not the sponsor's 4.2x.</t>
        </is>
      </c>
    </row>
    <row r="24">
      <c r="A24" s="9" t="inlineStr">
        <is>
          <t>5. Interest cover IF refinanced at +200bps (stress)</t>
        </is>
      </c>
      <c r="C24" s="22" t="n"/>
      <c r="D24" s="22" t="n"/>
      <c r="E24" s="22" t="n"/>
      <c r="F24" s="22" t="n"/>
      <c r="G24" s="23">
        <f>PnL!G13/(-PnL!G17+G8*0.02)</f>
        <v/>
      </c>
      <c r="H24" s="22" t="n"/>
      <c r="J24" s="11" t="inlineStr">
        <is>
          <t>Falls to ~1.6x. The company can only refinance if markets stay open AND pricing stays benign. That is refinancing risk, not credit strength.</t>
        </is>
      </c>
    </row>
    <row r="26">
      <c r="A26" s="17" t="inlineStr">
        <is>
          <t>VERDICT</t>
        </is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24" t="inlineStr">
        <is>
          <t>Repayment of this loan depends ~2% on the borrower's own cash generation and ~98% on a future refinancing. The credit question is therefore: 'will a rational lender in 2027 refinance 175m against ~37m of statutory EBITDA, negative tangible net worth, deteriorating working capital and a track record of missed synergy delivery?' If you cannot answer YES with evidence, the deal fails first principles.</t>
        </is>
      </c>
    </row>
    <row r="28"/>
    <row r="29"/>
  </sheetData>
  <mergeCells count="1">
    <mergeCell ref="A27:H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6100"/>
    <outlinePr summaryBelow="1" summaryRight="1"/>
    <pageSetUpPr/>
  </sheetPr>
  <dimension ref="A1:J3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9" max="9"/>
    <col width="60" customWidth="1" min="10" max="10"/>
  </cols>
  <sheetData>
    <row r="1">
      <c r="A1" s="6" t="inlineStr">
        <is>
          <t>Ratio Toolkit — every ratio, its formula, threshold and verdict</t>
        </is>
      </c>
    </row>
    <row r="2">
      <c r="A2" s="2" t="inlineStr">
        <is>
          <t>All cells are live formulas into PnL / BS / CF / Debt. Thresholds are direct-lending guides for a stable mid-market corporate; calibrate by sector and strategy.</t>
        </is>
      </c>
    </row>
    <row r="4">
      <c r="A4" s="8" t="inlineStr">
        <is>
          <t>Ratio</t>
        </is>
      </c>
      <c r="C4" s="7" t="inlineStr">
        <is>
          <t>FY2023A</t>
        </is>
      </c>
      <c r="D4" s="7" t="inlineStr">
        <is>
          <t>FY2024A</t>
        </is>
      </c>
      <c r="E4" s="7" t="inlineStr">
        <is>
          <t>FY2025A</t>
        </is>
      </c>
      <c r="F4" s="7" t="inlineStr">
        <is>
          <t>FY2026F</t>
        </is>
      </c>
      <c r="G4" s="7" t="inlineStr">
        <is>
          <t>FY2027F</t>
        </is>
      </c>
      <c r="H4" s="7" t="inlineStr">
        <is>
          <t>FY2028F</t>
        </is>
      </c>
      <c r="I4" s="8" t="inlineStr">
        <is>
          <t>Guide threshold</t>
        </is>
      </c>
      <c r="J4" s="8" t="inlineStr">
        <is>
          <t>What it tells you / why it matters</t>
        </is>
      </c>
    </row>
    <row r="5">
      <c r="A5" s="17" t="inlineStr">
        <is>
          <t>1. LEVERAGE — how much debt vs earnings capacity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</row>
    <row r="6">
      <c r="A6" s="9" t="inlineStr">
        <is>
          <t>Gross debt / EBITDA (statutory)</t>
        </is>
      </c>
      <c r="C6" s="26">
        <f>Debt!C8/PnL!C13</f>
        <v/>
      </c>
      <c r="D6" s="26">
        <f>Debt!D8/PnL!D13</f>
        <v/>
      </c>
      <c r="E6" s="27">
        <f>Debt!E8/PnL!E13</f>
        <v/>
      </c>
      <c r="F6" s="26">
        <f>Debt!F8/PnL!F13</f>
        <v/>
      </c>
      <c r="G6" s="26">
        <f>Debt!G8/PnL!G13</f>
        <v/>
      </c>
      <c r="H6" s="26">
        <f>Debt!H8/PnL!H13</f>
        <v/>
      </c>
      <c r="I6" s="28" t="inlineStr">
        <is>
          <t>&lt; 4.0x G / 4-5.5x A / &gt; 5.5x R</t>
        </is>
      </c>
      <c r="J6" s="11" t="inlineStr">
        <is>
          <t>The headline leverage test on REAL earnings. Meridian: 6.0x statutory — the market only 'sees' 4.4x because it is quoted on management-adjusted EBITDA.</t>
        </is>
      </c>
    </row>
    <row r="7">
      <c r="A7" s="9" t="inlineStr">
        <is>
          <t>Gross debt / EBITDA (management adjusted)</t>
        </is>
      </c>
      <c r="C7" s="26">
        <f>Debt!C8/PnL!C27</f>
        <v/>
      </c>
      <c r="D7" s="26">
        <f>Debt!D8/PnL!D27</f>
        <v/>
      </c>
      <c r="E7" s="29">
        <f>Debt!E8/PnL!E27</f>
        <v/>
      </c>
      <c r="F7" s="26">
        <f>Debt!F8/PnL!F27</f>
        <v/>
      </c>
      <c r="G7" s="26">
        <f>Debt!G8/PnL!G27</f>
        <v/>
      </c>
      <c r="H7" s="26">
        <f>Debt!H8/PnL!H27</f>
        <v/>
      </c>
      <c r="I7" s="28" t="inlineStr">
        <is>
          <t>compare vs statutory</t>
        </is>
      </c>
      <c r="J7" s="11" t="inlineStr">
        <is>
          <t>The gap between this row and the one above IS the addback risk: 1.6 turns of leverage live inside adjustments.</t>
        </is>
      </c>
    </row>
    <row r="8">
      <c r="A8" s="9" t="inlineStr">
        <is>
          <t>Net debt / EBITDA (statutory)</t>
        </is>
      </c>
      <c r="C8" s="26">
        <f>Debt!C10/PnL!C13</f>
        <v/>
      </c>
      <c r="D8" s="26">
        <f>Debt!D10/PnL!D13</f>
        <v/>
      </c>
      <c r="E8" s="27">
        <f>Debt!E10/PnL!E13</f>
        <v/>
      </c>
      <c r="F8" s="26">
        <f>Debt!F10/PnL!F13</f>
        <v/>
      </c>
      <c r="G8" s="26">
        <f>Debt!G10/PnL!G13</f>
        <v/>
      </c>
      <c r="H8" s="26">
        <f>Debt!H10/PnL!H13</f>
        <v/>
      </c>
      <c r="I8" s="28" t="inlineStr">
        <is>
          <t>&lt; 3.5x G / 3.5-5x A / &gt; 5x R</t>
        </is>
      </c>
      <c r="J8" s="11" t="inlineStr">
        <is>
          <t>Nets off cash — but only net cash that is genuinely free (not trapped in subsidiaries or needed for the working-capital cycle).</t>
        </is>
      </c>
    </row>
    <row r="9">
      <c r="A9" s="9" t="inlineStr">
        <is>
          <t>Gross debt / (EBITDA − capex)</t>
        </is>
      </c>
      <c r="C9" s="26">
        <f>Debt!C8/(PnL!C13-12)</f>
        <v/>
      </c>
      <c r="D9" s="26">
        <f>Debt!D8/(PnL!D13-12)</f>
        <v/>
      </c>
      <c r="E9" s="27">
        <f>Debt!E8/(PnL!E13-12)</f>
        <v/>
      </c>
      <c r="F9" s="26">
        <f>Debt!F8/(PnL!F13-12)</f>
        <v/>
      </c>
      <c r="G9" s="26">
        <f>Debt!G8/(PnL!G13-12)</f>
        <v/>
      </c>
      <c r="H9" s="26">
        <f>Debt!H8/(PnL!H13-12)</f>
        <v/>
      </c>
      <c r="I9" s="28" t="inlineStr">
        <is>
          <t>&lt; 5.5x G / 5.5-7.5x A / &gt; 7.5x R</t>
        </is>
      </c>
      <c r="J9" s="11" t="inlineStr">
        <is>
          <t>Capex-adjusted leverage: for capex-heavy businesses this is the honest number. Meridian: ~9.7x — the plant must be fed before lenders are.</t>
        </is>
      </c>
    </row>
    <row r="10">
      <c r="A10" s="17" t="inlineStr">
        <is>
          <t>2. COVERAGE — can earnings service the debt as it falls due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</row>
    <row r="11">
      <c r="A11" s="9" t="inlineStr">
        <is>
          <t>EBITDA / cash interest</t>
        </is>
      </c>
      <c r="C11" s="26">
        <f>PnL!C13/-PnL!C17</f>
        <v/>
      </c>
      <c r="D11" s="26">
        <f>PnL!D13/-PnL!D17</f>
        <v/>
      </c>
      <c r="E11" s="27">
        <f>PnL!E13/-PnL!E17</f>
        <v/>
      </c>
      <c r="F11" s="26">
        <f>PnL!F13/-PnL!F17</f>
        <v/>
      </c>
      <c r="G11" s="26">
        <f>PnL!G13/-PnL!G17</f>
        <v/>
      </c>
      <c r="H11" s="26">
        <f>PnL!H13/-PnL!H17</f>
        <v/>
      </c>
      <c r="I11" s="28" t="inlineStr">
        <is>
          <t>&gt; 3.0x G / 2-3x A / &lt; 2.0x R</t>
        </is>
      </c>
      <c r="J11" s="11" t="inlineStr">
        <is>
          <t>The first-order affordability test. Meridian 1.7x statutory: over half of EBITDA is consumed by interest before tax, capex or people.</t>
        </is>
      </c>
    </row>
    <row r="12">
      <c r="A12" s="9" t="inlineStr">
        <is>
          <t>(EBITDA − capex) / cash interest</t>
        </is>
      </c>
      <c r="C12" s="26">
        <f>(PnL!C13-12)/-PnL!C17</f>
        <v/>
      </c>
      <c r="D12" s="26">
        <f>(PnL!D13-12)/-PnL!D17</f>
        <v/>
      </c>
      <c r="E12" s="27">
        <f>(PnL!E13-12)/-PnL!E17</f>
        <v/>
      </c>
      <c r="F12" s="26">
        <f>(PnL!F13-12)/-PnL!F17</f>
        <v/>
      </c>
      <c r="G12" s="26">
        <f>(PnL!G13-12)/-PnL!G17</f>
        <v/>
      </c>
      <c r="H12" s="26">
        <f>(PnL!H13-12)/-PnL!H17</f>
        <v/>
      </c>
      <c r="I12" s="28" t="inlineStr">
        <is>
          <t>&gt; 2.0x G / 1.3-2x A / &lt; 1.3x R</t>
        </is>
      </c>
      <c r="J12" s="11" t="inlineStr">
        <is>
          <t>Interest cover after the reinvestment the business NEEDS. Meridian ~1.0x: every pound of post-capex earnings goes to the lenders' coupon.</t>
        </is>
      </c>
    </row>
    <row r="13">
      <c r="A13" s="9" t="inlineStr">
        <is>
          <t>DSCR: (EBITDA − capex − tax) / (interest + sched. amort)</t>
        </is>
      </c>
      <c r="C13" s="26">
        <f>(PnL!C13-12+PnL!C19)/(-PnL!C17+Debt!C14)</f>
        <v/>
      </c>
      <c r="D13" s="26">
        <f>(PnL!D13-12+PnL!D19)/(-PnL!D17+Debt!D14)</f>
        <v/>
      </c>
      <c r="E13" s="27">
        <f>(PnL!E13-12+PnL!E19)/(-PnL!E17+Debt!E14)</f>
        <v/>
      </c>
      <c r="F13" s="26">
        <f>(PnL!F13-12+PnL!F19)/(-PnL!F17+Debt!F14)</f>
        <v/>
      </c>
      <c r="G13" s="26">
        <f>(PnL!G13-12+PnL!G19)/(-PnL!G17+Debt!G14)</f>
        <v/>
      </c>
      <c r="H13" s="26">
        <f>(PnL!H13-12+PnL!H19)/(-PnL!H17+Debt!H14)</f>
        <v/>
      </c>
      <c r="I13" s="28" t="inlineStr">
        <is>
          <t>&gt; 1.2x G / 1.0-1.2x A / &lt; 1.0x R</t>
        </is>
      </c>
      <c r="J13" s="11" t="inlineStr">
        <is>
          <t>THE ratio for 'can they pay us back on schedule'. Meridian: ~1.0x with ZERO amortisation in the denominator — add any principal and it is instantly below 1.0x. This is your CRO's example, in one cell.</t>
        </is>
      </c>
    </row>
    <row r="14">
      <c r="A14" s="9" t="inlineStr">
        <is>
          <t>Forward DSCR at the wall: FY27 (EBITDA − capex − tax) / (interest + bullet)</t>
        </is>
      </c>
      <c r="G14" s="30">
        <f>(PnL!G13-12+PnL!G19)/(-PnL!G17+Debt!G17)</f>
        <v/>
      </c>
      <c r="I14" s="28" t="inlineStr">
        <is>
          <t>must be explained, not excused</t>
        </is>
      </c>
      <c r="J14" s="11" t="inlineStr">
        <is>
          <t>Include contractual maturities in debt service and the FY27 DSCR is ~0.1x. Any deal where this number is &lt;1x is a refinancing bet and must be underwritten as one.</t>
        </is>
      </c>
    </row>
    <row r="15">
      <c r="A15" s="9" t="inlineStr">
        <is>
          <t>Fixed charge cover: (EBITDA − capex) / (interest + leases/rents est. 2.0)</t>
        </is>
      </c>
      <c r="C15" s="26">
        <f>(PnL!C13-12)/(-PnL!C17+2)</f>
        <v/>
      </c>
      <c r="D15" s="26">
        <f>(PnL!D13-12)/(-PnL!D17+2)</f>
        <v/>
      </c>
      <c r="E15" s="27">
        <f>(PnL!E13-12)/(-PnL!E17+2)</f>
        <v/>
      </c>
      <c r="F15" s="26">
        <f>(PnL!F13-12)/(-PnL!F17+2)</f>
        <v/>
      </c>
      <c r="G15" s="26">
        <f>(PnL!G13-12)/(-PnL!G17+2)</f>
        <v/>
      </c>
      <c r="H15" s="26">
        <f>(PnL!H13-12)/(-PnL!H17+2)</f>
        <v/>
      </c>
      <c r="I15" s="28" t="inlineStr">
        <is>
          <t>&gt; 1.5x G / 1.1-1.5x A / &lt; 1.1x R</t>
        </is>
      </c>
      <c r="J15" s="11" t="inlineStr">
        <is>
          <t>Adds other unavoidable fixed charges (rent, leases). The broadest 'can they keep the lights on and pay us' test.</t>
        </is>
      </c>
    </row>
    <row r="16">
      <c r="A16" s="17" t="inlineStr">
        <is>
          <t>3. LIQUIDITY — can they pay what falls due in the next 12 months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</row>
    <row r="17">
      <c r="A17" s="9" t="inlineStr">
        <is>
          <t>Current ratio (current assets / current liabilities)</t>
        </is>
      </c>
      <c r="C17" s="31">
        <f>BS!C10/(BS!C16+BS!C17+BS!C19)</f>
        <v/>
      </c>
      <c r="D17" s="31">
        <f>BS!D10/(BS!D16+BS!D17+BS!D19)</f>
        <v/>
      </c>
      <c r="E17" s="32">
        <f>BS!E10/(BS!E16+BS!E17+BS!E19)</f>
        <v/>
      </c>
      <c r="F17" s="31">
        <f>BS!F10/(BS!F16+BS!F17+BS!F19)</f>
        <v/>
      </c>
      <c r="G17" s="31">
        <f>BS!G10/(BS!G16+BS!G17+BS!G19)</f>
        <v/>
      </c>
      <c r="H17" s="31">
        <f>BS!H10/(BS!H16+BS!H17+BS!H19)</f>
        <v/>
      </c>
      <c r="I17" s="28" t="inlineStr">
        <is>
          <t>&gt; 1.5 G / 1.0-1.5 A / &lt; 1.0 R</t>
        </is>
      </c>
      <c r="J17" s="11" t="inlineStr">
        <is>
          <t>Crude but fast. Treat drawn RCF as current when it matures &lt;12m or is structurally drawn.</t>
        </is>
      </c>
    </row>
    <row r="18">
      <c r="A18" s="9" t="inlineStr">
        <is>
          <t>Quick ratio ((cash + receivables) / current liabilities)</t>
        </is>
      </c>
      <c r="C18" s="31">
        <f>(BS!C6+BS!C7)/(BS!C16+BS!C17+BS!C19)</f>
        <v/>
      </c>
      <c r="D18" s="31">
        <f>(BS!D6+BS!D7)/(BS!D16+BS!D17+BS!D19)</f>
        <v/>
      </c>
      <c r="E18" s="32">
        <f>(BS!E6+BS!E7)/(BS!E16+BS!E17+BS!E19)</f>
        <v/>
      </c>
      <c r="F18" s="31">
        <f>(BS!F6+BS!F7)/(BS!F16+BS!F17+BS!F19)</f>
        <v/>
      </c>
      <c r="G18" s="31">
        <f>(BS!G6+BS!G7)/(BS!G16+BS!G17+BS!G19)</f>
        <v/>
      </c>
      <c r="H18" s="31">
        <f>(BS!H6+BS!H7)/(BS!H16+BS!H17+BS!H19)</f>
        <v/>
      </c>
      <c r="I18" s="28" t="inlineStr">
        <is>
          <t>&gt; 1.0 G / 0.7-1.0 A / &lt; 0.7 R</t>
        </is>
      </c>
      <c r="J18" s="11" t="inlineStr">
        <is>
          <t>Strips inventory (slow to monetise, often overstated in distress).</t>
        </is>
      </c>
    </row>
    <row r="19">
      <c r="A19" s="9" t="inlineStr">
        <is>
          <t>Total liquidity (cash + undrawn committed RCF)</t>
        </is>
      </c>
      <c r="C19" s="33">
        <f>BS!C6+Debt!C11</f>
        <v/>
      </c>
      <c r="D19" s="33">
        <f>BS!D6+Debt!D11</f>
        <v/>
      </c>
      <c r="E19" s="34">
        <f>BS!E6+Debt!E11</f>
        <v/>
      </c>
      <c r="F19" s="33">
        <f>BS!F6+Debt!F11</f>
        <v/>
      </c>
      <c r="G19" s="33">
        <f>BS!G6+Debt!G11</f>
        <v/>
      </c>
      <c r="H19" s="33">
        <f>BS!H6+Debt!H11</f>
        <v/>
      </c>
      <c r="I19" s="28" t="inlineStr">
        <is>
          <t>&gt; 10% of revenue G</t>
        </is>
      </c>
      <c r="J19" s="11" t="inlineStr">
        <is>
          <t>The number that determines survival in a bad quarter. Meridian FY25: 11.5m = 4.6% of revenue and falling. RED FLAG #6/#7.</t>
        </is>
      </c>
    </row>
    <row r="20">
      <c r="A20" s="17" t="inlineStr">
        <is>
          <t>4. PROFITABILITY &amp; EARNINGS QUALITY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</row>
    <row r="21">
      <c r="A21" s="9" t="inlineStr">
        <is>
          <t>Gross margin</t>
        </is>
      </c>
      <c r="C21" s="35">
        <f>PnL!C9</f>
        <v/>
      </c>
      <c r="D21" s="35">
        <f>PnL!D9</f>
        <v/>
      </c>
      <c r="E21" s="36">
        <f>PnL!E9</f>
        <v/>
      </c>
      <c r="F21" s="35">
        <f>PnL!F9</f>
        <v/>
      </c>
      <c r="G21" s="35">
        <f>PnL!G9</f>
        <v/>
      </c>
      <c r="H21" s="35">
        <f>PnL!H9</f>
        <v/>
      </c>
      <c r="I21" s="28" t="inlineStr">
        <is>
          <t>stable/rising G; falling R</t>
        </is>
      </c>
      <c r="J21" s="11" t="inlineStr">
        <is>
          <t>Direction matters more than level. Meridian: −250bps in 2 years = no pricing power against input inflation.</t>
        </is>
      </c>
    </row>
    <row r="22">
      <c r="A22" s="9" t="inlineStr">
        <is>
          <t>EBITDA margin (statutory)</t>
        </is>
      </c>
      <c r="C22" s="35">
        <f>PnL!C14</f>
        <v/>
      </c>
      <c r="D22" s="35">
        <f>PnL!D14</f>
        <v/>
      </c>
      <c r="E22" s="36">
        <f>PnL!E14</f>
        <v/>
      </c>
      <c r="F22" s="35">
        <f>PnL!F14</f>
        <v/>
      </c>
      <c r="G22" s="35">
        <f>PnL!G14</f>
        <v/>
      </c>
      <c r="H22" s="35">
        <f>PnL!H14</f>
        <v/>
      </c>
      <c r="I22" s="28" t="inlineStr">
        <is>
          <t>sector-relative</t>
        </is>
      </c>
      <c r="J22" s="11" t="inlineStr">
        <is>
          <t>Compare against sector peers, not an absolute rule. 12.5% for private-label food is mid-pack.</t>
        </is>
      </c>
    </row>
    <row r="23">
      <c r="A23" s="9" t="inlineStr">
        <is>
          <t>Adjusted-to-statutory EBITDA gap (Adj/Stat − 1)</t>
        </is>
      </c>
      <c r="C23" s="35">
        <f>PnL!C27/PnL!C13-1</f>
        <v/>
      </c>
      <c r="D23" s="35">
        <f>PnL!D27/PnL!D13-1</f>
        <v/>
      </c>
      <c r="E23" s="37">
        <f>PnL!E27/PnL!E13-1</f>
        <v/>
      </c>
      <c r="F23" s="35">
        <f>PnL!F27/PnL!F13-1</f>
        <v/>
      </c>
      <c r="G23" s="35">
        <f>PnL!G27/PnL!G13-1</f>
        <v/>
      </c>
      <c r="H23" s="35">
        <f>PnL!H27/PnL!H13-1</f>
        <v/>
      </c>
      <c r="I23" s="28" t="inlineStr">
        <is>
          <t>&lt; 10% G / 10-20% A / &gt; 20% R</t>
        </is>
      </c>
      <c r="J23" s="11" t="inlineStr">
        <is>
          <t>The single best earnings-quality screen. &gt;20% means you are lending against a spreadsheet, not a company. Meridian: 35%.</t>
        </is>
      </c>
    </row>
    <row r="24">
      <c r="A24" s="9" t="inlineStr">
        <is>
          <t>Cash conversion (CFO / statutory EBITDA)</t>
        </is>
      </c>
      <c r="D24" s="35">
        <f>CF!D12/PnL!D13</f>
        <v/>
      </c>
      <c r="E24" s="36">
        <f>CF!E12/PnL!E13</f>
        <v/>
      </c>
      <c r="F24" s="35">
        <f>CF!F12/PnL!F13</f>
        <v/>
      </c>
      <c r="G24" s="35">
        <f>CF!G12/PnL!G13</f>
        <v/>
      </c>
      <c r="H24" s="35">
        <f>CF!H12/PnL!H13</f>
        <v/>
      </c>
      <c r="I24" s="28" t="inlineStr">
        <is>
          <t>&gt; 85% G / 60-85% A / &lt; 60% R</t>
        </is>
      </c>
      <c r="J24" s="11" t="inlineStr">
        <is>
          <t>If EBITDA is real, it shows up as cash. Persistent sub-70% conversion means EBITDA overstates cash earnings.</t>
        </is>
      </c>
    </row>
    <row r="25">
      <c r="A25" s="17" t="inlineStr">
        <is>
          <t>5. WORKING CAPITAL — where cash hides and where earnings are manufactured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</row>
    <row r="26">
      <c r="A26" s="9" t="inlineStr">
        <is>
          <t>Days sales outstanding (AR / revenue × 365)</t>
        </is>
      </c>
      <c r="C26" s="38">
        <f>BS!C7/PnL!C5*365</f>
        <v/>
      </c>
      <c r="D26" s="38">
        <f>BS!D7/PnL!D5*365</f>
        <v/>
      </c>
      <c r="E26" s="39">
        <f>BS!E7/PnL!E5*365</f>
        <v/>
      </c>
      <c r="F26" s="38">
        <f>BS!F7/PnL!F5*365</f>
        <v/>
      </c>
      <c r="G26" s="38">
        <f>BS!G7/PnL!G5*365</f>
        <v/>
      </c>
      <c r="H26" s="38">
        <f>BS!H7/PnL!H5*365</f>
        <v/>
      </c>
      <c r="I26" s="28" t="inlineStr">
        <is>
          <t>stable G / +5d A / +10d R (trend)</t>
        </is>
      </c>
      <c r="J26" s="11" t="inlineStr">
        <is>
          <t>Rising DSO = customers paying slower, straining terms to book sales, or doubtful debts building. Meridian: 48 -&gt; 63 days. RED FLAG #4.</t>
        </is>
      </c>
    </row>
    <row r="27">
      <c r="A27" s="9" t="inlineStr">
        <is>
          <t>Days inventory (Inventory / COGS × 365)</t>
        </is>
      </c>
      <c r="C27" s="38">
        <f>BS!C8/-PnL!C7*365</f>
        <v/>
      </c>
      <c r="D27" s="38">
        <f>BS!D8/-PnL!D7*365</f>
        <v/>
      </c>
      <c r="E27" s="40">
        <f>BS!E8/-PnL!E7*365</f>
        <v/>
      </c>
      <c r="F27" s="38">
        <f>BS!F8/-PnL!F7*365</f>
        <v/>
      </c>
      <c r="G27" s="38">
        <f>BS!G8/-PnL!G7*365</f>
        <v/>
      </c>
      <c r="H27" s="38">
        <f>BS!H8/-PnL!H7*365</f>
        <v/>
      </c>
      <c r="I27" s="28" t="inlineStr">
        <is>
          <t>stable G (trend)</t>
        </is>
      </c>
      <c r="J27" s="11" t="inlineStr">
        <is>
          <t>Rising DIO into slowing sales = demand problem or obsolete stock not yet written down.</t>
        </is>
      </c>
    </row>
    <row r="28">
      <c r="A28" s="9" t="inlineStr">
        <is>
          <t>Days payable (AP / COGS × 365)</t>
        </is>
      </c>
      <c r="C28" s="38">
        <f>BS!C16/-PnL!C7*365</f>
        <v/>
      </c>
      <c r="D28" s="38">
        <f>BS!D16/-PnL!D7*365</f>
        <v/>
      </c>
      <c r="E28" s="39">
        <f>BS!E16/-PnL!E7*365</f>
        <v/>
      </c>
      <c r="F28" s="38">
        <f>BS!F16/-PnL!F7*365</f>
        <v/>
      </c>
      <c r="G28" s="38">
        <f>BS!G16/-PnL!G7*365</f>
        <v/>
      </c>
      <c r="H28" s="38">
        <f>BS!H16/-PnL!H7*365</f>
        <v/>
      </c>
      <c r="I28" s="28" t="inlineStr">
        <is>
          <t>stable G; sharp rise R</t>
        </is>
      </c>
      <c r="J28" s="11" t="inlineStr">
        <is>
          <t>Sharply rising DPO flatters cash flow temporarily — it is borrowing from suppliers, and it reverses violently at the first sign of distress. RED FLAG #5.</t>
        </is>
      </c>
    </row>
    <row r="29">
      <c r="A29" s="9" t="inlineStr">
        <is>
          <t>Cash conversion cycle (DSO + DIO − DPO)</t>
        </is>
      </c>
      <c r="C29" s="38">
        <f>(BS!C7/PnL!C5+ (BS!C8+BS!C16*-1)/-PnL!C7)*365</f>
        <v/>
      </c>
      <c r="D29" s="38">
        <f>(BS!D7/PnL!D5+ (BS!D8+BS!D16*-1)/-PnL!D7)*365</f>
        <v/>
      </c>
      <c r="E29" s="40">
        <f>(BS!E7/PnL!E5+ (BS!E8+BS!E16*-1)/-PnL!E7)*365</f>
        <v/>
      </c>
      <c r="F29" s="38">
        <f>(BS!F7/PnL!F5+ (BS!F8+BS!F16*-1)/-PnL!F7)*365</f>
        <v/>
      </c>
      <c r="G29" s="38">
        <f>(BS!G7/PnL!G5+ (BS!G8+BS!G16*-1)/-PnL!G7)*365</f>
        <v/>
      </c>
      <c r="H29" s="38">
        <f>(BS!H7/PnL!H5+ (BS!H8+BS!H16*-1)/-PnL!H7)*365</f>
        <v/>
      </c>
      <c r="I29" s="28" t="inlineStr">
        <is>
          <t>stable G (trend)</t>
        </is>
      </c>
      <c r="J29" s="11" t="inlineStr">
        <is>
          <t>How many days of cash are locked in the trading cycle. Note Meridian holds CCC flat ONLY by stretching payables.</t>
        </is>
      </c>
    </row>
    <row r="30">
      <c r="A30" s="17" t="inlineStr">
        <is>
          <t>6. CASH FLOW &amp; REPAYMENT CAPACITY — the section that decides the deal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</row>
    <row r="31">
      <c r="A31" s="9" t="inlineStr">
        <is>
          <t>FCF after interest (GBP m) — cash available for principal</t>
        </is>
      </c>
      <c r="D31" s="33">
        <f>CF!D28</f>
        <v/>
      </c>
      <c r="E31" s="34">
        <f>CF!E28</f>
        <v/>
      </c>
      <c r="F31" s="33">
        <f>CF!F28</f>
        <v/>
      </c>
      <c r="G31" s="33">
        <f>CF!G28</f>
        <v/>
      </c>
      <c r="H31" s="33">
        <f>CF!H28</f>
        <v/>
      </c>
      <c r="I31" s="28" t="inlineStr">
        <is>
          <t>&gt; 0 and &gt; amortisation</t>
        </is>
      </c>
      <c r="J31" s="11" t="inlineStr">
        <is>
          <t>Negative or near-zero with a bullet approaching = your CRO's example. This line, projected forward against the maturity schedule, is the core of repayment analysis.</t>
        </is>
      </c>
    </row>
    <row r="32">
      <c r="A32" s="9" t="inlineStr">
        <is>
          <t>CFO / total debt</t>
        </is>
      </c>
      <c r="D32" s="35">
        <f>CF!D12/Debt!D8</f>
        <v/>
      </c>
      <c r="E32" s="37">
        <f>CF!E12/Debt!E8</f>
        <v/>
      </c>
      <c r="F32" s="35">
        <f>CF!F12/Debt!F8</f>
        <v/>
      </c>
      <c r="G32" s="35">
        <f>CF!G12/Debt!G8</f>
        <v/>
      </c>
      <c r="H32" s="35">
        <f>CF!H12/Debt!H8</f>
        <v/>
      </c>
      <c r="I32" s="28" t="inlineStr">
        <is>
          <t>&gt; 20% G / 10-20% A / &lt; 10% R</t>
        </is>
      </c>
      <c r="J32" s="11" t="inlineStr">
        <is>
          <t>Implied organic payback: at 12%, the company needs 8+ years of ALL operating cash (no capex, no interest) to repay debt maturing in 2.</t>
        </is>
      </c>
    </row>
    <row r="33">
      <c r="A33" s="9" t="inlineStr">
        <is>
          <t>Years to repay: net debt / FCF after interest</t>
        </is>
      </c>
      <c r="D33" s="41">
        <f>IF(CF!D28&lt;=0,"never",Debt!D10/CF!D28)</f>
        <v/>
      </c>
      <c r="E33" s="42">
        <f>IF(CF!E28&lt;=0,"never",Debt!E10/CF!E28)</f>
        <v/>
      </c>
      <c r="F33" s="41">
        <f>IF(CF!F28&lt;=0,"never",Debt!F10/CF!F28)</f>
        <v/>
      </c>
      <c r="G33" s="41">
        <f>IF(CF!G28&lt;=0,"never",Debt!G10/CF!G28)</f>
        <v/>
      </c>
      <c r="H33" s="41">
        <f>IF(CF!H28&lt;=0,"never",Debt!H10/CF!H28)</f>
        <v/>
      </c>
      <c r="I33" s="28" t="inlineStr">
        <is>
          <t>&lt; tenor G</t>
        </is>
      </c>
      <c r="J33" s="11" t="inlineStr">
        <is>
          <t>If this exceeds the remaining tenor, repayment depends on refinancing or sale — underwrite THAT event, not the ratio.</t>
        </is>
      </c>
    </row>
    <row r="34">
      <c r="A34" s="17" t="inlineStr">
        <is>
          <t>7. SOLVENCY &amp; STRUCTURE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</row>
    <row r="35">
      <c r="A35" s="9" t="inlineStr">
        <is>
          <t>Tangible net worth (GBP m)</t>
        </is>
      </c>
      <c r="C35" s="33">
        <f>BS!C25</f>
        <v/>
      </c>
      <c r="D35" s="33">
        <f>BS!D25</f>
        <v/>
      </c>
      <c r="E35" s="34">
        <f>BS!E25</f>
        <v/>
      </c>
      <c r="F35" s="33">
        <f>BS!F25</f>
        <v/>
      </c>
      <c r="G35" s="33">
        <f>BS!G25</f>
        <v/>
      </c>
      <c r="H35" s="33">
        <f>BS!H25</f>
        <v/>
      </c>
      <c r="I35" s="28" t="inlineStr">
        <is>
          <t>&gt; 0</t>
        </is>
      </c>
      <c r="J35" s="11" t="inlineStr">
        <is>
          <t>Negative TNW = recovery depends entirely on going-concern enterprise value. Your security is a business plan, not assets.</t>
        </is>
      </c>
    </row>
    <row r="36">
      <c r="A36" s="9" t="inlineStr">
        <is>
          <t>Gearing: gross debt / (debt + equity)</t>
        </is>
      </c>
      <c r="C36" s="35">
        <f>Debt!C8/(Debt!C8+BS!C21)</f>
        <v/>
      </c>
      <c r="D36" s="35">
        <f>Debt!D8/(Debt!D8+BS!D21)</f>
        <v/>
      </c>
      <c r="E36" s="36">
        <f>Debt!E8/(Debt!E8+BS!E21)</f>
        <v/>
      </c>
      <c r="F36" s="35">
        <f>Debt!F8/(Debt!F8+BS!F21)</f>
        <v/>
      </c>
      <c r="G36" s="35">
        <f>Debt!G8/(Debt!G8+BS!G21)</f>
        <v/>
      </c>
      <c r="H36" s="35">
        <f>Debt!H8/(Debt!H8+BS!H21)</f>
        <v/>
      </c>
      <c r="I36" s="28" t="inlineStr">
        <is>
          <t>&lt; 60% G / 60-80% A / &gt; 80% R</t>
        </is>
      </c>
      <c r="J36" s="11" t="inlineStr">
        <is>
          <t>Book measure of the equity cushion beneath you. Meridian ~75%: thin, and the 'equity' is mostly capitalised goodwill.</t>
        </is>
      </c>
    </row>
    <row r="37">
      <c r="A37" s="9" t="inlineStr">
        <is>
          <t>Loan-to-value (net debt / est. EV at 7.0x statutory EBITDA)</t>
        </is>
      </c>
      <c r="C37" s="35">
        <f>Debt!C10/(PnL!C13*7)</f>
        <v/>
      </c>
      <c r="D37" s="35">
        <f>Debt!D10/(PnL!D13*7)</f>
        <v/>
      </c>
      <c r="E37" s="37">
        <f>Debt!E10/(PnL!E13*7)</f>
        <v/>
      </c>
      <c r="F37" s="35">
        <f>Debt!F10/(PnL!F13*7)</f>
        <v/>
      </c>
      <c r="G37" s="35">
        <f>Debt!G10/(PnL!G13*7)</f>
        <v/>
      </c>
      <c r="H37" s="35">
        <f>Debt!H10/(PnL!H13*7)</f>
        <v/>
      </c>
      <c r="I37" s="28" t="inlineStr">
        <is>
          <t>&lt; 50% G / 50-70% A / &gt; 70% R</t>
        </is>
      </c>
      <c r="J37" s="11" t="inlineStr">
        <is>
          <t>Market-value cushion: at a 7x food-sector multiple, lenders are covered only 1.2x. A one-turn multiple contraction largely wipes the cushion. Sensitise the multiple, always.</t>
        </is>
      </c>
    </row>
    <row r="39">
      <c r="A39" s="28" t="inlineStr">
        <is>
          <t>RAG shading applied to FY2025A (latest audited) column. G/A/R thresholds are guides for senior direct lending to a stable mid-market corporate.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C6500"/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2" customWidth="1" min="5" max="5"/>
    <col width="62" customWidth="1" min="6" max="6"/>
  </cols>
  <sheetData>
    <row r="1">
      <c r="A1" s="6" t="inlineStr">
        <is>
          <t>Deal-Level Stress Test — Meridian Foods (anchor year FY2026F)</t>
        </is>
      </c>
    </row>
    <row r="2">
      <c r="A2" s="2" t="inlineStr">
        <is>
          <t>Companion to Handbook Part 12. Blue cells = scenario assumptions (change them and watch the transmission). Note the operating-leverage transmission: EBITDA falls by contribution margin x lost revenue, NOT one-for-one with revenue.</t>
        </is>
      </c>
    </row>
    <row r="4" ht="26" customHeight="1">
      <c r="A4" s="2" t="inlineStr">
        <is>
          <t>GBP m unless stated</t>
        </is>
      </c>
      <c r="B4" s="43" t="inlineStr">
        <is>
          <t>Base (mgmt FY26F)</t>
        </is>
      </c>
      <c r="C4" s="43" t="inlineStr">
        <is>
          <t>Mild downside (~1-in-7)</t>
        </is>
      </c>
      <c r="D4" s="43" t="inlineStr">
        <is>
          <t>Severe downside (~1-in-25)</t>
        </is>
      </c>
      <c r="F4" s="8" t="inlineStr">
        <is>
          <t>Analyst commentary</t>
        </is>
      </c>
    </row>
    <row r="5">
      <c r="A5" s="17" t="inlineStr">
        <is>
          <t>1. SCENARIO ASSUMPTIONS (calibrate from sector history, the borrower's own worst year, macro mapping)</t>
        </is>
      </c>
      <c r="B5" s="18" t="n"/>
      <c r="C5" s="18" t="n"/>
      <c r="D5" s="18" t="n"/>
      <c r="E5" s="18" t="n"/>
      <c r="F5" s="18" t="n"/>
    </row>
    <row r="6" ht="26" customHeight="1">
      <c r="A6" s="9" t="inlineStr">
        <is>
          <t>Revenue decline vs base case</t>
        </is>
      </c>
      <c r="B6" s="44" t="n">
        <v>0</v>
      </c>
      <c r="C6" s="44" t="n">
        <v>0.05</v>
      </c>
      <c r="D6" s="44" t="n">
        <v>0.15</v>
      </c>
      <c r="F6" s="11" t="inlineStr">
        <is>
          <t>Calibration: mild = a normal bad year for the sector; severe = recession + loss of a top-3 customer.</t>
        </is>
      </c>
    </row>
    <row r="7" ht="26" customHeight="1">
      <c r="A7" s="9" t="inlineStr">
        <is>
          <t>Additional gross-margin erosion (bps)</t>
        </is>
      </c>
      <c r="B7" s="45" t="n">
        <v>0</v>
      </c>
      <c r="C7" s="45" t="n">
        <v>-50</v>
      </c>
      <c r="D7" s="45" t="n">
        <v>-150</v>
      </c>
      <c r="F7" s="11" t="inlineStr">
        <is>
          <t>Input inflation not passed through. Meridian has already lost 250bps in 2 years, so this is not exotic.</t>
        </is>
      </c>
    </row>
    <row r="8" ht="26" customHeight="1">
      <c r="A8" s="9" t="inlineStr">
        <is>
          <t>DSO deterioration (days)</t>
        </is>
      </c>
      <c r="B8" s="46" t="n">
        <v>0</v>
      </c>
      <c r="C8" s="46" t="n">
        <v>3</v>
      </c>
      <c r="D8" s="46" t="n">
        <v>7</v>
      </c>
      <c r="F8" s="11" t="inlineStr">
        <is>
          <t>Customers pay slower in downturns; stress the BALANCE SHEET, not just the P&amp;L.</t>
        </is>
      </c>
    </row>
    <row r="9" ht="26" customHeight="1">
      <c r="A9" s="9" t="inlineStr">
        <is>
          <t>Capex (management claims 8.0 maintenance floor)</t>
        </is>
      </c>
      <c r="B9" s="47" t="n">
        <v>12</v>
      </c>
      <c r="C9" s="47" t="n">
        <v>11</v>
      </c>
      <c r="D9" s="47" t="n">
        <v>10</v>
      </c>
      <c r="F9" s="11" t="inlineStr">
        <is>
          <t>Haircut management's 'we will cut capex' lever: cutting to the bone erodes the enterprise value securing you.</t>
        </is>
      </c>
    </row>
    <row r="10" ht="26" customHeight="1">
      <c r="A10" s="9" t="inlineStr">
        <is>
          <t>Funding cost increase (bps on gross debt 189)</t>
        </is>
      </c>
      <c r="B10" s="45" t="n">
        <v>0</v>
      </c>
      <c r="C10" s="45" t="n">
        <v>100</v>
      </c>
      <c r="D10" s="45" t="n">
        <v>250</v>
      </c>
      <c r="F10" s="11" t="inlineStr">
        <is>
          <t>Floating-rate debt + stressed refi pricing. Severe assumes the FY27 refi prices at +250bps, if it happens at all.</t>
        </is>
      </c>
    </row>
    <row r="11" ht="26" customHeight="1">
      <c r="A11" s="9" t="inlineStr">
        <is>
          <t>Credible management cost actions (pre-haircut plan x 50%)</t>
        </is>
      </c>
      <c r="B11" s="47" t="n">
        <v>0</v>
      </c>
      <c r="C11" s="47" t="n">
        <v>1</v>
      </c>
      <c r="D11" s="47" t="n">
        <v>2</v>
      </c>
      <c r="F11" s="11" t="inlineStr">
        <is>
          <t>Allow only actions that are specific, in management's control, and evidenced. Never let levers offset the whole stress.</t>
        </is>
      </c>
    </row>
    <row r="13">
      <c r="A13" s="17" t="inlineStr">
        <is>
          <t>2. TRANSMISSION TO THE P&amp;L (operating leverage: contribution margin ~29.5%)</t>
        </is>
      </c>
      <c r="B13" s="18" t="n"/>
      <c r="C13" s="18" t="n"/>
      <c r="D13" s="18" t="n"/>
      <c r="E13" s="18" t="n"/>
      <c r="F13" s="18" t="n"/>
    </row>
    <row r="14">
      <c r="A14" s="3" t="inlineStr">
        <is>
          <t>Revenue</t>
        </is>
      </c>
      <c r="B14" s="48">
        <f>258*(1-B6)</f>
        <v/>
      </c>
      <c r="C14" s="48">
        <f>258*(1-C6)</f>
        <v/>
      </c>
      <c r="D14" s="48">
        <f>258*(1-D6)</f>
        <v/>
      </c>
    </row>
    <row r="15" ht="26" customHeight="1">
      <c r="A15" s="3" t="inlineStr">
        <is>
          <t>EBITDA (statutory basis)</t>
        </is>
      </c>
      <c r="B15" s="48">
        <f>35.1-(258-B14)*0.295+B14*B7/10000+B11</f>
        <v/>
      </c>
      <c r="C15" s="48">
        <f>35.1-(258-C14)*0.295+C14*C7/10000+C11</f>
        <v/>
      </c>
      <c r="D15" s="48">
        <f>35.1-(258-D14)*0.295+D14*D7/10000+D11</f>
        <v/>
      </c>
      <c r="F15" s="15" t="inlineStr">
        <is>
          <t>EBITDA = base 35.1 - lost revenue x 29.5% contribution + margin erosion + cost actions. A 15% revenue fall cuts EBITDA ~36%: THAT is operating leverage.</t>
        </is>
      </c>
    </row>
    <row r="16">
      <c r="A16" s="9" t="inlineStr">
        <is>
          <t>EBITDA decline vs base</t>
        </is>
      </c>
      <c r="B16" s="35">
        <f>B15/$B$15-1</f>
        <v/>
      </c>
      <c r="C16" s="35">
        <f>C15/$B$15-1</f>
        <v/>
      </c>
      <c r="D16" s="35">
        <f>D15/$B$15-1</f>
        <v/>
      </c>
    </row>
    <row r="17">
      <c r="A17" s="9" t="inlineStr">
        <is>
          <t>Cash interest</t>
        </is>
      </c>
      <c r="B17" s="33">
        <f>19.0+189*B10/10000</f>
        <v/>
      </c>
      <c r="C17" s="33">
        <f>19.0+189*C10/10000</f>
        <v/>
      </c>
      <c r="D17" s="33">
        <f>19.0+189*D10/10000</f>
        <v/>
      </c>
    </row>
    <row r="18">
      <c r="A18" s="9" t="inlineStr">
        <is>
          <t>Cash tax (25% of taxable profit, floored at 0)</t>
        </is>
      </c>
      <c r="B18" s="33">
        <f>MAX(0.25*(B15-10.2-B17),0)</f>
        <v/>
      </c>
      <c r="C18" s="33">
        <f>MAX(0.25*(C15-10.2-C17),0)</f>
        <v/>
      </c>
      <c r="D18" s="33">
        <f>MAX(0.25*(D15-10.2-D17),0)</f>
        <v/>
      </c>
    </row>
    <row r="19">
      <c r="A19" s="9" t="inlineStr">
        <is>
          <t>Working-capital absorption from DSO slippage</t>
        </is>
      </c>
      <c r="B19" s="33">
        <f>B14/365*B8</f>
        <v/>
      </c>
      <c r="C19" s="33">
        <f>C14/365*C8</f>
        <v/>
      </c>
      <c r="D19" s="33">
        <f>D14/365*D8</f>
        <v/>
      </c>
    </row>
    <row r="20" ht="26" customHeight="1">
      <c r="A20" s="9" t="inlineStr">
        <is>
          <t>Baseline working-capital growth absorption (ties to CF sheet)</t>
        </is>
      </c>
      <c r="B20" s="47" t="n">
        <v>1.6</v>
      </c>
      <c r="C20" s="47" t="n">
        <v>1.6</v>
      </c>
      <c r="D20" s="47" t="n">
        <v>1.6</v>
      </c>
      <c r="F20" s="11" t="inlineStr">
        <is>
          <t>The base plan already absorbs ~1.6m of WC from growth (see CF sheet FY26F) - keep it so the base column reconciles to CF.</t>
        </is>
      </c>
    </row>
    <row r="21" ht="26" customHeight="1">
      <c r="A21" s="3" t="inlineStr">
        <is>
          <t>FCF after interest (available for principal)</t>
        </is>
      </c>
      <c r="B21" s="48">
        <f>B15-B9-B18-B17-B19-B20</f>
        <v/>
      </c>
      <c r="C21" s="48">
        <f>C15-C9-C18-C17-C19-C20</f>
        <v/>
      </c>
      <c r="D21" s="48">
        <f>D15-D9-D18-D17-D19-D20</f>
        <v/>
      </c>
      <c r="F21" s="15" t="inlineStr">
        <is>
          <t>Base ties to the CF sheet at ~+1m. Mild burns ~4m a year; severe burns ~17m a year.</t>
        </is>
      </c>
    </row>
    <row r="23">
      <c r="A23" s="17" t="inlineStr">
        <is>
          <t>3. WHAT BREAKS, AND WHEN</t>
        </is>
      </c>
      <c r="B23" s="18" t="n"/>
      <c r="C23" s="18" t="n"/>
      <c r="D23" s="18" t="n"/>
      <c r="E23" s="18" t="n"/>
      <c r="F23" s="18" t="n"/>
    </row>
    <row r="24" ht="26" customHeight="1">
      <c r="A24" s="3" t="inlineStr">
        <is>
          <t>Interest cover (EBITDA / cash interest)</t>
        </is>
      </c>
      <c r="B24" s="49">
        <f>B15/B17</f>
        <v/>
      </c>
      <c r="C24" s="49">
        <f>C15/C17</f>
        <v/>
      </c>
      <c r="D24" s="49">
        <f>D15/D17</f>
        <v/>
      </c>
      <c r="F24" s="11" t="inlineStr">
        <is>
          <t>Severe: below 1.0x - the company cannot pay its coupon from earnings, before any principal.</t>
        </is>
      </c>
    </row>
    <row r="25" ht="26" customHeight="1">
      <c r="A25" s="3" t="inlineStr">
        <is>
          <t>Gross leverage (189 / EBITDA)</t>
        </is>
      </c>
      <c r="B25" s="49">
        <f>189/B15</f>
        <v/>
      </c>
      <c r="C25" s="49">
        <f>189/C15</f>
        <v/>
      </c>
      <c r="D25" s="49">
        <f>189/D15</f>
        <v/>
      </c>
      <c r="F25" s="11" t="inlineStr">
        <is>
          <t>Refi-market ceiling for this credit ~5.5x statutory. The base case is ALREADY 5.4x.</t>
        </is>
      </c>
    </row>
    <row r="26" ht="26" customHeight="1">
      <c r="A26" s="9" t="inlineStr">
        <is>
          <t>EBITDA headroom to the 5.5x refi ceiling</t>
        </is>
      </c>
      <c r="B26" s="33">
        <f>B15-189/5.5</f>
        <v/>
      </c>
      <c r="C26" s="33">
        <f>C15-189/5.5</f>
        <v/>
      </c>
      <c r="D26" s="33">
        <f>D15-189/5.5</f>
        <v/>
      </c>
      <c r="F26" s="11" t="inlineStr">
        <is>
          <t>EBITDA cushion before a 2027 refinancing becomes arithmetically unfundable at market leverage.</t>
        </is>
      </c>
    </row>
    <row r="27">
      <c r="A27" s="9" t="inlineStr">
        <is>
          <t>Total liquidity at start (cash 6.5 + undrawn RCF 5.0)</t>
        </is>
      </c>
      <c r="B27" s="33">
        <f>6.5+5</f>
        <v/>
      </c>
      <c r="C27" s="33">
        <f>6.5+5</f>
        <v/>
      </c>
      <c r="D27" s="33">
        <f>6.5+5</f>
        <v/>
      </c>
    </row>
    <row r="28" ht="26" customHeight="1">
      <c r="A28" s="3" t="inlineStr">
        <is>
          <t>Months until liquidity exhausted (if FCF negative)</t>
        </is>
      </c>
      <c r="B28" s="50">
        <f>IF(B21&gt;=0,"n/a",12*B27/-B21)</f>
        <v/>
      </c>
      <c r="C28" s="50">
        <f>IF(C21&gt;=0,"n/a",12*C27/-C21)</f>
        <v/>
      </c>
      <c r="D28" s="50">
        <f>IF(D21&gt;=0,"n/a",12*D27/-D21)</f>
        <v/>
      </c>
      <c r="F28" s="15" t="inlineStr">
        <is>
          <t>Severe: ~8 months. The company dies of illiquidity in under a year - well before the Sep-2027 bullet even arrives.</t>
        </is>
      </c>
    </row>
    <row r="30">
      <c r="A30" s="17" t="inlineStr">
        <is>
          <t>4. REVERSE STRESS TEST - solve for the breaking point (all else held at base)</t>
        </is>
      </c>
      <c r="B30" s="18" t="n"/>
      <c r="C30" s="18" t="n"/>
      <c r="D30" s="18" t="n"/>
      <c r="E30" s="18" t="n"/>
      <c r="F30" s="18" t="n"/>
    </row>
    <row r="31" ht="26" customHeight="1">
      <c r="A31" s="3" t="inlineStr">
        <is>
          <t>Revenue decline at which interest cover hits 1.0x</t>
        </is>
      </c>
      <c r="B31" s="51">
        <f>(35.1-19.0)/0.295/258</f>
        <v/>
      </c>
      <c r="F31" s="15" t="inlineStr">
        <is>
          <t>~21%: the coupon survives a deep recession. The COUPON is not the binding constraint...</t>
        </is>
      </c>
    </row>
    <row r="32" ht="26" customHeight="1">
      <c r="A32" s="3" t="inlineStr">
        <is>
          <t>Revenue decline at which leverage exceeds the 5.5x refi ceiling</t>
        </is>
      </c>
      <c r="B32" s="51">
        <f>(35.1-189/5.5)/0.295/258</f>
        <v/>
      </c>
      <c r="F32" s="15" t="inlineStr">
        <is>
          <t>~1%. ...the WALL is. A one-percent revenue miss makes the 2027 refinancing unfundable at market terms. This single cell is the deal's verdict.</t>
        </is>
      </c>
    </row>
    <row r="33" ht="26" customHeight="1">
      <c r="A33" s="3" t="inlineStr">
        <is>
          <t>Revenue decline exhausting liquidity within 12 months (approx.)</t>
        </is>
      </c>
      <c r="B33" s="51">
        <f>(35.1-12-19.0-1.6+11.5)/0.295/258</f>
        <v/>
      </c>
      <c r="F33" s="15" t="inlineStr">
        <is>
          <t>~18% (at base capex/tax): liquidity and coupon break at deep-recession levels; the refi ceiling breaks ~17 points of revenue earlier.</t>
        </is>
      </c>
    </row>
    <row r="35">
      <c r="A35" s="52" t="inlineStr">
        <is>
          <t>READ-ACROSS: a stress test is not a prediction. Its job is to locate the BINDING CONSTRAINT (here: the refinancing ceiling, not the coupon), the TIME TO IMPACT (severe case: ~8 months of liquidity), and the CURE (equity, amortisation, longer tenor) - which is exactly what the restructured terms in the Credit Memo demand. If a stress test does not change the structure you ask for, it was decoration.</t>
        </is>
      </c>
    </row>
    <row r="36"/>
    <row r="37"/>
  </sheetData>
  <mergeCells count="1">
    <mergeCell ref="A35:F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62" customWidth="1" min="3" max="3"/>
    <col width="30" customWidth="1" min="4" max="4"/>
    <col width="52" customWidth="1" min="5" max="5"/>
  </cols>
  <sheetData>
    <row r="1">
      <c r="A1" s="6" t="inlineStr">
        <is>
          <t>Red Flags Present in This Credit — and Exactly Where to See Them</t>
        </is>
      </c>
    </row>
    <row r="2">
      <c r="A2" s="2" t="inlineStr">
        <is>
          <t>Every flag below is visible in this workbook from the financial statements alone — no site visit required. This is the discipline: red flags are found in the numbers before they are confirmed in meetings.</t>
        </is>
      </c>
    </row>
    <row r="4">
      <c r="A4" s="8" t="inlineStr">
        <is>
          <t>#</t>
        </is>
      </c>
      <c r="B4" s="8" t="inlineStr">
        <is>
          <t>Red flag</t>
        </is>
      </c>
      <c r="C4" s="8" t="inlineStr">
        <is>
          <t>What the data shows (this case)</t>
        </is>
      </c>
      <c r="D4" s="8" t="inlineStr">
        <is>
          <t>Where in this workbook</t>
        </is>
      </c>
      <c r="E4" s="8" t="inlineStr">
        <is>
          <t>Why it predicts credit loss</t>
        </is>
      </c>
    </row>
    <row r="5" ht="42" customHeight="1">
      <c r="A5" s="53" t="inlineStr">
        <is>
          <t>1</t>
        </is>
      </c>
      <c r="B5" s="54" t="inlineStr">
        <is>
          <t>Recurring 'exceptional' costs</t>
        </is>
      </c>
      <c r="C5" s="55" t="inlineStr">
        <is>
          <t>Restructuring charges in FY23, FY24 AND FY25 (2.0 / 3.5 / 4.0), still forecast in FY26-27.</t>
        </is>
      </c>
      <c r="D5" s="55" t="inlineStr">
        <is>
          <t>PnL row: Exceptional costs</t>
        </is>
      </c>
      <c r="E5" s="55" t="inlineStr">
        <is>
          <t>Costs booked as one-off are excluded from covenant EBITDA — leverage and coverage are systematically understated. Recurring exceptionals are simply operating costs.</t>
        </is>
      </c>
    </row>
    <row r="6" ht="42" customHeight="1">
      <c r="A6" s="53" t="inlineStr">
        <is>
          <t>2</t>
        </is>
      </c>
      <c r="B6" s="54" t="inlineStr">
        <is>
          <t>Unrealised synergy addbacks</t>
        </is>
      </c>
      <c r="C6" s="55" t="inlineStr">
        <is>
          <t>3.0m of 'run-rate synergies' added back since FY24; actual margins show no trace of them.</t>
        </is>
      </c>
      <c r="D6" s="55" t="inlineStr">
        <is>
          <t>PnL: Adjusted EBITDA bridge</t>
        </is>
      </c>
      <c r="E6" s="55" t="inlineStr">
        <is>
          <t>Every turn of leverage priced off phantom EBITDA is a turn of real leverage the market will discover at refinancing.</t>
        </is>
      </c>
    </row>
    <row r="7" ht="42" customHeight="1">
      <c r="A7" s="53" t="inlineStr">
        <is>
          <t>3</t>
        </is>
      </c>
      <c r="B7" s="54" t="inlineStr">
        <is>
          <t>FCF after interest ≤ 0 with a bullet approaching</t>
        </is>
      </c>
      <c r="C7" s="55" t="inlineStr">
        <is>
          <t>FY25 FCF after interest: −2.5m; cumulative FY26-27F: &lt;4m vs a 175m bullet in Sep-2027.</t>
        </is>
      </c>
      <c r="D7" s="55" t="inlineStr">
        <is>
          <t>CF: 'FCF after interest' row; Debt: refinancing test</t>
        </is>
      </c>
      <c r="E7" s="55" t="inlineStr">
        <is>
          <t>THE failure mode of the CRO's example deal: the borrower cannot repay from its own cash and is 100% dependent on future market conditions.</t>
        </is>
      </c>
    </row>
    <row r="8" ht="42" customHeight="1">
      <c r="A8" s="53" t="inlineStr">
        <is>
          <t>4</t>
        </is>
      </c>
      <c r="B8" s="54" t="inlineStr">
        <is>
          <t>Receivables growing faster than revenue</t>
        </is>
      </c>
      <c r="C8" s="55" t="inlineStr">
        <is>
          <t>AR +55% vs revenue +18% (FY23-25); DSO 48 -&gt; 63 days.</t>
        </is>
      </c>
      <c r="D8" s="55" t="inlineStr">
        <is>
          <t>BS: Trade receivables; Ratios: DSO</t>
        </is>
      </c>
      <c r="E8" s="55" t="inlineStr">
        <is>
          <t>Classic signature of channel stuffing, straining terms to book revenue, or uncollectable balances building. Revenue quality is degrading.</t>
        </is>
      </c>
    </row>
    <row r="9" ht="42" customHeight="1">
      <c r="A9" s="53" t="inlineStr">
        <is>
          <t>5</t>
        </is>
      </c>
      <c r="B9" s="54" t="inlineStr">
        <is>
          <t>Stretched payables flattering cash flow</t>
        </is>
      </c>
      <c r="C9" s="55" t="inlineStr">
        <is>
          <t>DPO 52 -&gt; 66 days adds ~11m of 'free' funding.</t>
        </is>
      </c>
      <c r="D9" s="55" t="inlineStr">
        <is>
          <t>BS: Trade payables; Ratios: DPO</t>
        </is>
      </c>
      <c r="E9" s="55" t="inlineStr">
        <is>
          <t>Supplier credit is confidence-sensitive: at the first downgrade or late payment, terms tighten and the cash unwinds exactly when it is least affordable.</t>
        </is>
      </c>
    </row>
    <row r="10" ht="42" customHeight="1">
      <c r="A10" s="53" t="inlineStr">
        <is>
          <t>6</t>
        </is>
      </c>
      <c r="B10" s="54" t="inlineStr">
        <is>
          <t>Eroding cash despite revenue growth</t>
        </is>
      </c>
      <c r="C10" s="55" t="inlineStr">
        <is>
          <t>Cash 12.0 -&gt; 6.5 while revenue +18%.</t>
        </is>
      </c>
      <c r="D10" s="55" t="inlineStr">
        <is>
          <t>BS: Cash; CF: Closing cash</t>
        </is>
      </c>
      <c r="E10" s="55" t="inlineStr">
        <is>
          <t>Growth that consumes cash is not deleveraging the balance sheet; profitable-on-paper growth can still bankrupt a leveraged company.</t>
        </is>
      </c>
    </row>
    <row r="11" ht="42" customHeight="1">
      <c r="A11" s="53" t="inlineStr">
        <is>
          <t>7</t>
        </is>
      </c>
      <c r="B11" s="54" t="inlineStr">
        <is>
          <t>Structural RCF utilisation creep</t>
        </is>
      </c>
      <c r="C11" s="55" t="inlineStr">
        <is>
          <t>Working-capital RCF drawn 0 -&gt; 4 -&gt; 10 of 15m; forecast full by FY28.</t>
        </is>
      </c>
      <c r="D11" s="55" t="inlineStr">
        <is>
          <t>BS: RCF drawn; Debt: undrawn headroom</t>
        </is>
      </c>
      <c r="E11" s="55" t="inlineStr">
        <is>
          <t>The revolver is meant to breathe with the cycle. Permanently drawn = it is funding losses/working capital structurally, and the emergency buffer is already spent.</t>
        </is>
      </c>
    </row>
    <row r="12" ht="42" customHeight="1">
      <c r="A12" s="53" t="inlineStr">
        <is>
          <t>8</t>
        </is>
      </c>
      <c r="B12" s="54" t="inlineStr">
        <is>
          <t>Goodwill-heavy balance sheet / negative TNW</t>
        </is>
      </c>
      <c r="C12" s="55" t="inlineStr">
        <is>
          <t>Goodwill 145m = 47% of assets; tangible net worth ~ −82m.</t>
        </is>
      </c>
      <c r="D12" s="55" t="inlineStr">
        <is>
          <t>BS: memo row; Ratios: TNW</t>
        </is>
      </c>
      <c r="E12" s="55" t="inlineStr">
        <is>
          <t>In stress, goodwill is worth zero. Recovery depends entirely on selling the business as a going concern — precisely when buyers evaporate.</t>
        </is>
      </c>
    </row>
    <row r="13" ht="42" customHeight="1">
      <c r="A13" s="53" t="inlineStr">
        <is>
          <t>9</t>
        </is>
      </c>
      <c r="B13" s="54" t="inlineStr">
        <is>
          <t>Concentrated maturity wall</t>
        </is>
      </c>
      <c r="C13" s="55" t="inlineStr">
        <is>
          <t>189m — the entire debt stack — matures inside 6 months of 2027.</t>
        </is>
      </c>
      <c r="D13" s="55" t="inlineStr">
        <is>
          <t>Debt: maturities block</t>
        </is>
      </c>
      <c r="E13" s="55" t="inlineStr">
        <is>
          <t>No sequencing, no early-warning refi. One closed credit-market window = default, regardless of operating performance.</t>
        </is>
      </c>
    </row>
    <row r="14" ht="42" customHeight="1">
      <c r="A14" s="53" t="inlineStr">
        <is>
          <t>10</t>
        </is>
      </c>
      <c r="B14" s="54" t="inlineStr">
        <is>
          <t>Forecast assumes benign refinancing</t>
        </is>
      </c>
      <c r="C14" s="55" t="inlineStr">
        <is>
          <t>FY28F interest assumes today's margin rolls; no scenario for +200bps or a haircut.</t>
        </is>
      </c>
      <c r="D14" s="55" t="inlineStr">
        <is>
          <t>PnL: interest note; Debt: stress test</t>
        </is>
      </c>
      <c r="E14" s="55" t="inlineStr">
        <is>
          <t>Base cases that embed the best-case exit hide the tail. Reprice at stress margins and interest cover drops to ~1.6x.</t>
        </is>
      </c>
    </row>
    <row r="15" ht="42" customHeight="1">
      <c r="A15" s="53" t="inlineStr">
        <is>
          <t>11</t>
        </is>
      </c>
      <c r="B15" s="54" t="inlineStr">
        <is>
          <t>Margin compression with input inflation</t>
        </is>
      </c>
      <c r="C15" s="55" t="inlineStr">
        <is>
          <t>COGS ratio 68.0% -&gt; 70.5%; gross margin −250bps in 2 years.</t>
        </is>
      </c>
      <c r="D15" s="55" t="inlineStr">
        <is>
          <t>PnL: COGS / gross margin</t>
        </is>
      </c>
      <c r="E15" s="55" t="inlineStr">
        <is>
          <t>No pricing power = earnings quality problem that compounds every year of inflation; forecast margin recovery has no stated mechanism.</t>
        </is>
      </c>
    </row>
    <row r="16" ht="42" customHeight="1">
      <c r="A16" s="53" t="inlineStr">
        <is>
          <t>12</t>
        </is>
      </c>
      <c r="B16" s="54" t="inlineStr">
        <is>
          <t>Interest consuming majority of EBITDA</t>
        </is>
      </c>
      <c r="C16" s="55" t="inlineStr">
        <is>
          <t>Cash interest 18.7m vs statutory EBITDA 31.0m = 60%.</t>
        </is>
      </c>
      <c r="D16" s="55" t="inlineStr">
        <is>
          <t>Ratios: EBITDA/interest</t>
        </is>
      </c>
      <c r="E16" s="55" t="inlineStr">
        <is>
          <t>Below ~2x cover a company has almost no shock absorption: a 10% EBITDA miss flows straight into covenant breach and liquidity burn.</t>
        </is>
      </c>
    </row>
    <row r="17" ht="42" customHeight="1">
      <c r="A17" s="53" t="inlineStr">
        <is>
          <t>13</t>
        </is>
      </c>
      <c r="B17" s="54" t="inlineStr">
        <is>
          <t>Hockey-stick forecast</t>
        </is>
      </c>
      <c r="C17" s="55" t="inlineStr">
        <is>
          <t>Exceptionals vanish, margins recover, synergies land — all simultaneously, all from FY26.</t>
        </is>
      </c>
      <c r="D17" s="55" t="inlineStr">
        <is>
          <t>PnL forecast columns</t>
        </is>
      </c>
      <c r="E17" s="55" t="inlineStr">
        <is>
          <t>Management forecasts before a refinancing are advocacy documents. Underwrite the downside case; treat the base case as the ceiling.</t>
        </is>
      </c>
    </row>
    <row r="18" ht="42" customHeight="1">
      <c r="A18" s="53" t="inlineStr">
        <is>
          <t>14</t>
        </is>
      </c>
      <c r="B18" s="54" t="inlineStr">
        <is>
          <t>Capex persistently above depreciation</t>
        </is>
      </c>
      <c r="C18" s="55" t="inlineStr">
        <is>
          <t>Capex 12m vs D&amp;A 10m every year; maintenance capex alone 8m.</t>
        </is>
      </c>
      <c r="D18" s="55" t="inlineStr">
        <is>
          <t>CF: Capital expenditure</t>
        </is>
      </c>
      <c r="E18" s="55" t="inlineStr">
        <is>
          <t>The asset base needs feeding — 'we will cut capex to repay you' means eroding the very enterprise value securing the loan.</t>
        </is>
      </c>
    </row>
    <row r="19" ht="42" customHeight="1">
      <c r="A19" s="53" t="inlineStr">
        <is>
          <t>15</t>
        </is>
      </c>
      <c r="B19" s="54" t="inlineStr">
        <is>
          <t>Cash conversion below 75%</t>
        </is>
      </c>
      <c r="C19" s="55" t="inlineStr">
        <is>
          <t>CFO/EBITDA ~72% (FY25) dragged by working-capital absorption.</t>
        </is>
      </c>
      <c r="D19" s="55" t="inlineStr">
        <is>
          <t>CF: cash conversion row</t>
        </is>
      </c>
      <c r="E19" s="55" t="inlineStr">
        <is>
          <t>EBITDA that does not convert to cash cannot service debt. Persistent low conversion means the covenant metric flatters true capacity.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8" customWidth="1" min="2" max="2"/>
  </cols>
  <sheetData>
    <row r="1">
      <c r="A1" s="6" t="inlineStr">
        <is>
          <t>Model Credit Assessment — Meridian Foods Group Ltd</t>
        </is>
      </c>
    </row>
    <row r="2">
      <c r="A2" s="2" t="inlineStr">
        <is>
          <t>The write-up a credit officer should produce from the preceding sheets. Structure it this way every time: conclusion first, evidence after.</t>
        </is>
      </c>
    </row>
    <row r="4" ht="98" customHeight="1">
      <c r="A4" s="24" t="inlineStr">
        <is>
          <t>RECOMMENDATION</t>
        </is>
      </c>
      <c r="B4" s="56" t="inlineStr">
        <is>
          <t>DECLINE at the proposed structure. The credit is refinance-dependent: organic repayment capacity over the life of the facility is &lt;5% of principal. If the relationship justifies re-engagement, require: (i) leverage reset to ≤4.0x on LENDER-adjusted EBITDA via equity injection or debt paydown; (ii) 5% p.a. cash amortisation plus a 50% excess-cash-flow sweep to force deleveraging before the wall; (iii) maturity extended to 2029+ with the RCF inside the term loan; (iv) quarterly maintenance covenants (net leverage ≤5.0x stepping to 4.0x, interest cover ≥2.0x, minimum liquidity ≥10m) with a tight EBITDA definition capping addbacks at 10%; (v) sponsor equity commitment letter for the refinancing shortfall.</t>
        </is>
      </c>
    </row>
    <row r="5" ht="28" customHeight="1">
      <c r="A5" s="57" t="inlineStr">
        <is>
          <t>BORROWER &amp; DEAL</t>
        </is>
      </c>
      <c r="B5" s="4" t="inlineStr">
        <is>
          <t>Meridian Foods Group Ltd. UK private-label food manufacturer, ~248m revenue, PE-owned since 2022. Requested: hold/refi of 175m unitranche (S+600, bullet Sep-2027) + 15m super-senior RCF (Mar-2027).</t>
        </is>
      </c>
    </row>
    <row r="6" ht="42" customHeight="1">
      <c r="A6" s="57" t="inlineStr">
        <is>
          <t>1. CHARACTER (management &amp; sponsor)</t>
        </is>
      </c>
      <c r="B6" s="4" t="inlineStr">
        <is>
          <t>Sponsor has taken no dividends (positive) but has missed synergy guidance two years running and presents an Adjusted EBITDA 35% above statutory. Forecasts are hockey-stick shaped ahead of a refinancing need. Credibility assessment: LOW on projections; underwrite the downside case.</t>
        </is>
      </c>
    </row>
    <row r="7" ht="56" customHeight="1">
      <c r="A7" s="57" t="inlineStr">
        <is>
          <t>2. CAPACITY (cash flow — decisive factor)</t>
        </is>
      </c>
      <c r="B7" s="4" t="inlineStr">
        <is>
          <t>Statutory EBITDA 31.0m; cash interest 18.7m (1.7x cover); capex 12.0m of which ~8m maintenance; FY25 FCF after interest −2.5m. Base-case cumulative FCF FY26-27 &lt;4m against a 189m maturity wall. DSCR ~1.0x with zero amortisation; forward DSCR including the bullet ~0.1x. CAPACITY FAILS: the company does not generate enough money to repay the lenders — repayment rests entirely on a 2027 refinancing.</t>
        </is>
      </c>
    </row>
    <row r="8" ht="28" customHeight="1">
      <c r="A8" s="57" t="inlineStr">
        <is>
          <t>3. CAPITAL (cushion beneath us)</t>
        </is>
      </c>
      <c r="B8" s="4" t="inlineStr">
        <is>
          <t>Book equity ~63m but goodwill 145m: tangible net worth −82m. LTV ~1.2x covered at a 7x multiple; a one-turn multiple contraction takes lender coverage to ~1.05x. Cushion: THIN and market-dependent.</t>
        </is>
      </c>
    </row>
    <row r="9" ht="42" customHeight="1">
      <c r="A9" s="57" t="inlineStr">
        <is>
          <t>4. COLLATERAL (downside recovery)</t>
        </is>
      </c>
      <c r="B9" s="4" t="inlineStr">
        <is>
          <t>Security = share pledge + debenture over a business whose value is going-concern EV. Fixed assets 82.5m against 189m of debt; receivables/inventory partially fundable but of falling quality (DSO +15 days). Estimated distressed recovery 50-65% — acceptable only if entry leverage is disciplined, which it is not.</t>
        </is>
      </c>
    </row>
    <row r="10" ht="42" customHeight="1">
      <c r="A10" s="57" t="inlineStr">
        <is>
          <t>5. CONDITIONS (sector &amp; docs)</t>
        </is>
      </c>
      <c r="B10" s="4" t="inlineStr">
        <is>
          <t>Private-label food: defensive volumes but structurally thin margins and concentrated grocery customers with pricing power over the borrower. Docs are cov-lite with a wide-open EBITDA definition (uncapped addbacks) — the covenant package will not give early control. Rate environment makes the 2027 refi the binding risk.</t>
        </is>
      </c>
    </row>
    <row r="11" ht="70" customHeight="1">
      <c r="A11" s="57" t="inlineStr">
        <is>
          <t>REPAYMENT SOURCES (rank them, always)</t>
        </is>
      </c>
      <c r="B11" s="4" t="inlineStr">
        <is>
          <t>1st WAY OUT — operating cash flow: FAILS (&lt;5% of principal over tenor). 2nd — refinancing: POSSIBLE but requires benign markets and a lender willing to accept ~5x statutory leverage on deteriorating trends; this is a market bet, not credit strength. 3rd — sponsor support: uncommitted; no equity cure obligation in docs. 4th — enterprise sale/collateral: 50-65% recovery in distress. A deal standing on its 2nd-4th ways out is a workout waiting for a date.</t>
        </is>
      </c>
    </row>
    <row r="12" ht="42" customHeight="1">
      <c r="A12" s="57" t="inlineStr">
        <is>
          <t>DOWNSIDE CASE (always run one)</t>
        </is>
      </c>
      <c r="B12" s="4" t="inlineStr">
        <is>
          <t>Assume: revenue −5%, gross margin −100bps further, DSO +5 days, refi at +200bps. Result: EBITDA ~26m, interest ~21m, cover 1.2x, FCF after interest ~ −8m p.a., RCF exhausted within 12 months, covenant-less until the money is gone. Probability-weighted, this is a Stage-2/watchlist credit AT ORIGINATION.</t>
        </is>
      </c>
    </row>
    <row r="13" ht="42" customHeight="1">
      <c r="A13" s="57" t="inlineStr">
        <is>
          <t>EARLY-WARNING TRIGGERS TO MONITOR (if held)</t>
        </is>
      </c>
      <c r="B13" s="4" t="inlineStr">
        <is>
          <t>Monthly: RCF utilisation &gt;12m; liquidity &lt;8m. Quarterly: DSO +3d vs prior; cash conversion &lt;65%; statutory EBITDA miss &gt;5% vs budget; any new 'exceptional' item; auditor or CFO change; supplier payment terms complaints. 18 months pre-maturity: no signed refi mandate = transfer to watchlist, engage restructuring counsel.</t>
        </is>
      </c>
    </row>
    <row r="14" ht="28" customHeight="1">
      <c r="A14" s="57" t="inlineStr">
        <is>
          <t>THE ONE-SENTENCE LESSON</t>
        </is>
      </c>
      <c r="B14" s="4" t="inlineStr">
        <is>
          <t>Leverage told you this deal was tight; the CASH FLOW STATEMENT told you it could not pay you back; the DEBT SCHEDULE told you exactly when you would find out. Read them in that order on every deal.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3" customWidth="1" min="3" max="3"/>
    <col width="13" customWidth="1" min="4" max="4"/>
    <col width="11" customWidth="1" min="5" max="5"/>
    <col width="44" customWidth="1" min="6" max="6"/>
    <col width="14" customWidth="1" min="7" max="7"/>
  </cols>
  <sheetData>
    <row r="2">
      <c r="B2" s="61" t="inlineStr">
        <is>
          <t>PROJECT FALCON — TOP-FIRM UNDERWRITE (Stages 1–6)</t>
        </is>
      </c>
    </row>
    <row r="3">
      <c r="B3" s="60" t="inlineStr">
        <is>
          <t>Companion to 'The Private Credit Underwriting Framework' PDF §15.1. Gold cells = inputs; everything else computes live.</t>
        </is>
      </c>
    </row>
    <row r="5">
      <c r="B5" s="62" t="inlineStr">
        <is>
          <t>THE DEAL</t>
        </is>
      </c>
      <c r="C5" s="63" t="n"/>
      <c r="D5" s="63" t="n"/>
      <c r="E5" s="63" t="n"/>
      <c r="F5" s="63" t="n"/>
      <c r="G5" s="63" t="n"/>
    </row>
    <row r="6" ht="26" customHeight="1">
      <c r="B6" s="64" t="inlineStr">
        <is>
          <t>Borrower</t>
        </is>
      </c>
      <c r="C6" s="65" t="inlineStr">
        <is>
          <t>FalconComply — regulatory-compliance software for mid-size insurance carriers. Revenue $200m, 87% recurring, GRR 94% / NRR 106%, top customer 4%.</t>
        </is>
      </c>
      <c r="D6" s="66" t="n"/>
      <c r="E6" s="66" t="n"/>
      <c r="F6" s="66" t="n"/>
      <c r="G6" s="67" t="n"/>
    </row>
    <row r="7" ht="26" customHeight="1">
      <c r="B7" s="64" t="inlineStr">
        <is>
          <t>Transaction</t>
        </is>
      </c>
      <c r="C7" s="65" t="inlineStr">
        <is>
          <t>Sponsor LBO at $1,120m = 14.0x MARKETED EBITDA of $80m. Invitation-only process (3 lenders); we are incumbent to another portfolio company.</t>
        </is>
      </c>
      <c r="D7" s="66" t="n"/>
      <c r="E7" s="66" t="n"/>
      <c r="F7" s="66" t="n"/>
      <c r="G7" s="67" t="n"/>
    </row>
    <row r="8" ht="26" customHeight="1">
      <c r="B8" s="64" t="inlineStr">
        <is>
          <t>Ask</t>
        </is>
      </c>
      <c r="C8" s="65" t="inlineStr">
        <is>
          <t>$360m unitranche (first-out) + $50m undrawn super-senior revolver, 6-year tenor.</t>
        </is>
      </c>
      <c r="D8" s="66" t="n"/>
      <c r="E8" s="66" t="n"/>
      <c r="F8" s="66" t="n"/>
      <c r="G8" s="67" t="n"/>
    </row>
    <row r="10">
      <c r="B10" s="62" t="inlineStr">
        <is>
          <t>ASSUMPTIONS (flex these)</t>
        </is>
      </c>
      <c r="C10" s="63" t="n"/>
      <c r="D10" s="63" t="n"/>
      <c r="E10" s="63" t="n"/>
      <c r="F10" s="63" t="n"/>
      <c r="G10" s="63" t="n"/>
    </row>
    <row r="11">
      <c r="B11" s="68" t="inlineStr">
        <is>
          <t>Input</t>
        </is>
      </c>
      <c r="C11" s="68" t="inlineStr">
        <is>
          <t>Value</t>
        </is>
      </c>
      <c r="D11" s="68" t="inlineStr"/>
      <c r="E11" s="68" t="inlineStr"/>
      <c r="F11" s="68" t="inlineStr">
        <is>
          <t>Input</t>
        </is>
      </c>
      <c r="G11" s="68" t="inlineStr">
        <is>
          <t>Value</t>
        </is>
      </c>
    </row>
    <row r="12">
      <c r="B12" s="69" t="inlineStr">
        <is>
          <t>SOFR</t>
        </is>
      </c>
      <c r="C12" s="70" t="n">
        <v>0.0375</v>
      </c>
      <c r="F12" s="69" t="inlineStr">
        <is>
          <t>Capex ($m)</t>
        </is>
      </c>
      <c r="G12" s="71" t="n">
        <v>7</v>
      </c>
    </row>
    <row r="13">
      <c r="B13" s="69" t="inlineStr">
        <is>
          <t>Credit spread</t>
        </is>
      </c>
      <c r="C13" s="70" t="n">
        <v>0.0525</v>
      </c>
      <c r="F13" s="69" t="inlineStr">
        <is>
          <t>Cash taxes ($m)</t>
        </is>
      </c>
      <c r="G13" s="71" t="n">
        <v>9</v>
      </c>
    </row>
    <row r="14">
      <c r="B14" s="69" t="inlineStr">
        <is>
          <t>SOFR floor</t>
        </is>
      </c>
      <c r="C14" s="70" t="n">
        <v>0.01</v>
      </c>
      <c r="F14" s="69" t="inlineStr">
        <is>
          <t>Sponsor fee ($m)</t>
        </is>
      </c>
      <c r="G14" s="71" t="n">
        <v>1.5</v>
      </c>
    </row>
    <row r="15">
      <c r="B15" s="69" t="inlineStr">
        <is>
          <t>OID (price)</t>
        </is>
      </c>
      <c r="C15" s="71" t="n">
        <v>98</v>
      </c>
      <c r="F15" s="69" t="inlineStr">
        <is>
          <t>Opening cash ($m)</t>
        </is>
      </c>
      <c r="G15" s="71" t="n">
        <v>25</v>
      </c>
    </row>
    <row r="16">
      <c r="B16" s="69" t="inlineStr">
        <is>
          <t>Amortisation p.a.</t>
        </is>
      </c>
      <c r="C16" s="70" t="n">
        <v>0.01</v>
      </c>
      <c r="F16" s="69" t="inlineStr">
        <is>
          <t>Conservative EV multiple</t>
        </is>
      </c>
      <c r="G16" s="72" t="n">
        <v>11</v>
      </c>
    </row>
    <row r="17">
      <c r="B17" s="69" t="inlineStr">
        <is>
          <t>Term loan ($m)</t>
        </is>
      </c>
      <c r="C17" s="73" t="n">
        <v>360</v>
      </c>
      <c r="F17" s="69" t="inlineStr">
        <is>
          <t>Net leverage covenant</t>
        </is>
      </c>
      <c r="G17" s="72" t="n">
        <v>6.65</v>
      </c>
    </row>
    <row r="19">
      <c r="B19" s="62" t="inlineStr">
        <is>
          <t>SOURCES &amp; USES ($m)</t>
        </is>
      </c>
      <c r="C19" s="63" t="n"/>
      <c r="D19" s="63" t="n"/>
      <c r="E19" s="63" t="n"/>
      <c r="F19" s="63" t="n"/>
      <c r="G19" s="63" t="n"/>
    </row>
    <row r="20">
      <c r="B20" s="68" t="inlineStr">
        <is>
          <t>Sources</t>
        </is>
      </c>
      <c r="C20" s="68" t="inlineStr">
        <is>
          <t>$m</t>
        </is>
      </c>
      <c r="D20" s="68" t="inlineStr"/>
      <c r="E20" s="68" t="inlineStr"/>
      <c r="F20" s="68" t="inlineStr">
        <is>
          <t>Uses</t>
        </is>
      </c>
      <c r="G20" s="68" t="inlineStr">
        <is>
          <t>$m</t>
        </is>
      </c>
    </row>
    <row r="21">
      <c r="B21" s="69" t="inlineStr">
        <is>
          <t>Unitranche term loan</t>
        </is>
      </c>
      <c r="C21" s="74">
        <f>C17</f>
        <v/>
      </c>
      <c r="F21" s="69" t="inlineStr">
        <is>
          <t>Purchase enterprise value (14.0x × $80m marketed)</t>
        </is>
      </c>
      <c r="G21" s="71" t="n">
        <v>1120</v>
      </c>
    </row>
    <row r="22">
      <c r="B22" s="69" t="inlineStr">
        <is>
          <t>Sponsor equity (plug)</t>
        </is>
      </c>
      <c r="C22" s="74">
        <f>G21+G22-C21</f>
        <v/>
      </c>
      <c r="F22" s="69" t="inlineStr">
        <is>
          <t>Fees &amp; expenses</t>
        </is>
      </c>
      <c r="G22" s="71" t="n">
        <v>30</v>
      </c>
    </row>
    <row r="23">
      <c r="B23" s="64" t="inlineStr">
        <is>
          <t>Total sources</t>
        </is>
      </c>
      <c r="C23" s="75">
        <f>SUM(C21:C22)</f>
        <v/>
      </c>
      <c r="F23" s="64" t="inlineStr">
        <is>
          <t>Total uses</t>
        </is>
      </c>
      <c r="G23" s="75">
        <f>SUM(G21:G22)</f>
        <v/>
      </c>
    </row>
    <row r="25">
      <c r="B25" s="62" t="inlineStr">
        <is>
          <t>STAGE 4 — EBITDA RE-UNDERWRITE (the add-back forensics)</t>
        </is>
      </c>
      <c r="C25" s="63" t="n"/>
      <c r="D25" s="63" t="n"/>
      <c r="E25" s="63" t="n"/>
      <c r="F25" s="63" t="n"/>
      <c r="G25" s="63" t="n"/>
    </row>
    <row r="26">
      <c r="B26" s="68" t="inlineStr">
        <is>
          <t>EBITDA bridge ($m)</t>
        </is>
      </c>
      <c r="C26" s="68" t="inlineStr">
        <is>
          <t>Claimed</t>
        </is>
      </c>
      <c r="D26" s="68" t="inlineStr">
        <is>
          <t>Accepted</t>
        </is>
      </c>
      <c r="E26" s="68" t="inlineStr">
        <is>
          <t>Accept %</t>
        </is>
      </c>
      <c r="F26" s="68" t="inlineStr">
        <is>
          <t>Disposition (composite top-firm treatment)</t>
        </is>
      </c>
    </row>
    <row r="27" ht="22" customHeight="1">
      <c r="B27" s="69" t="inlineStr">
        <is>
          <t>Reported LTM EBITDA (QoE-verified)</t>
        </is>
      </c>
      <c r="C27" s="74" t="n">
        <v>62</v>
      </c>
      <c r="D27" s="71" t="n">
        <v>62</v>
      </c>
      <c r="E27" s="76">
        <f>IF(C27=0,"—",D27/C27)</f>
        <v/>
      </c>
      <c r="F27" s="65" t="inlineStr">
        <is>
          <t>Anchor — audited/QoE basis</t>
        </is>
      </c>
      <c r="G27" s="67" t="n"/>
    </row>
    <row r="28" ht="22" customHeight="1">
      <c r="B28" s="69" t="inlineStr">
        <is>
          <t>One-time litigation &amp; carve-out costs</t>
        </is>
      </c>
      <c r="C28" s="74" t="n">
        <v>4</v>
      </c>
      <c r="D28" s="71" t="n">
        <v>3</v>
      </c>
      <c r="E28" s="76">
        <f>IF(C28=0,"—",D28/C28)</f>
        <v/>
      </c>
      <c r="F28" s="65" t="inlineStr">
        <is>
          <t>$1m is recurring integration spend — rejected</t>
        </is>
      </c>
      <c r="G28" s="67" t="n"/>
    </row>
    <row r="29" ht="22" customHeight="1">
      <c r="B29" s="69" t="inlineStr">
        <is>
          <t>Completed acquisition annualisation</t>
        </is>
      </c>
      <c r="C29" s="74" t="n">
        <v>2</v>
      </c>
      <c r="D29" s="71" t="n">
        <v>2</v>
      </c>
      <c r="E29" s="76">
        <f>IF(C29=0,"—",D29/C29)</f>
        <v/>
      </c>
      <c r="F29" s="65" t="inlineStr">
        <is>
          <t>Closed 8 months ago; run-rate verified in QoE</t>
        </is>
      </c>
      <c r="G29" s="67" t="n"/>
    </row>
    <row r="30" ht="22" customHeight="1">
      <c r="B30" s="69" t="inlineStr">
        <is>
          <t>Procurement savings (contracted)</t>
        </is>
      </c>
      <c r="C30" s="74" t="n">
        <v>2</v>
      </c>
      <c r="D30" s="71" t="n">
        <v>1</v>
      </c>
      <c r="E30" s="76">
        <f>IF(C30=0,"—",D30/C30)</f>
        <v/>
      </c>
      <c r="F30" s="65" t="inlineStr">
        <is>
          <t>50% credit — signed but unproven</t>
        </is>
      </c>
      <c r="G30" s="67" t="n"/>
    </row>
    <row r="31" ht="22" customHeight="1">
      <c r="B31" s="69" t="inlineStr">
        <is>
          <t>Headcount programme (announced, unactioned)</t>
        </is>
      </c>
      <c r="C31" s="74" t="n">
        <v>5</v>
      </c>
      <c r="D31" s="71" t="n">
        <v>0</v>
      </c>
      <c r="E31" s="76">
        <f>IF(C31=0,"—",D31/C31)</f>
        <v/>
      </c>
      <c r="F31" s="65" t="inlineStr">
        <is>
          <t>Rejected — no credit for unactioned savings</t>
        </is>
      </c>
      <c r="G31" s="67" t="n"/>
    </row>
    <row r="32" ht="22" customHeight="1">
      <c r="B32" s="69" t="inlineStr">
        <is>
          <t>Revenue synergies with sponsor portfolio</t>
        </is>
      </c>
      <c r="C32" s="74" t="n">
        <v>5</v>
      </c>
      <c r="D32" s="71" t="n">
        <v>0</v>
      </c>
      <c r="E32" s="76">
        <f>IF(C32=0,"—",D32/C32)</f>
        <v/>
      </c>
      <c r="F32" s="65" t="inlineStr">
        <is>
          <t>Rejected on principle — revenue synergies never credited</t>
        </is>
      </c>
      <c r="G32" s="67" t="n"/>
    </row>
    <row r="33">
      <c r="B33" s="64" t="inlineStr">
        <is>
          <t>MARKETED  /  UNDERWRITTEN EBITDA</t>
        </is>
      </c>
      <c r="C33" s="75">
        <f>SUM(C27:C32)</f>
        <v/>
      </c>
      <c r="D33" s="77">
        <f>SUM(D27:D32)</f>
        <v/>
      </c>
      <c r="E33" s="76">
        <f>D33/C33</f>
        <v/>
      </c>
      <c r="F33" s="65" t="inlineStr">
        <is>
          <t>Add-backs = 22.5% of marketed (S&amp;P median ~29% — and size of add-backs correlates with default)</t>
        </is>
      </c>
      <c r="G33" s="67" t="n"/>
    </row>
    <row r="34">
      <c r="B34" s="78" t="inlineStr">
        <is>
          <t>Rule: every leverage, coverage and covenant number below is computed on the UNDERWRITTEN column. The marketed column exists only to measure the sponsor's optimism.</t>
        </is>
      </c>
    </row>
    <row r="36">
      <c r="B36" s="62" t="inlineStr">
        <is>
          <t>STAGES 5–6 — COVERAGE AND VALUE (all on underwritten EBITDA)</t>
        </is>
      </c>
      <c r="C36" s="63" t="n"/>
      <c r="D36" s="63" t="n"/>
      <c r="E36" s="63" t="n"/>
      <c r="F36" s="63" t="n"/>
      <c r="G36" s="63" t="n"/>
    </row>
    <row r="37">
      <c r="B37" s="68" t="inlineStr">
        <is>
          <t>Metric</t>
        </is>
      </c>
      <c r="C37" s="68" t="inlineStr">
        <is>
          <t>Formula</t>
        </is>
      </c>
      <c r="D37" s="68" t="inlineStr">
        <is>
          <t>Value</t>
        </is>
      </c>
      <c r="E37" s="68" t="inlineStr"/>
      <c r="F37" s="68" t="inlineStr">
        <is>
          <t>Top-firm standard</t>
        </is>
      </c>
      <c r="G37" s="68" t="inlineStr">
        <is>
          <t>Verdict</t>
        </is>
      </c>
    </row>
    <row r="38" ht="20" customHeight="1">
      <c r="B38" s="69" t="inlineStr">
        <is>
          <t>Coupon</t>
        </is>
      </c>
      <c r="C38" s="79" t="inlineStr">
        <is>
          <t>max(SOFR, floor) + spread</t>
        </is>
      </c>
      <c r="D38" s="80">
        <f>MAX(C12,C14)+C13</f>
        <v/>
      </c>
      <c r="F38" s="81" t="inlineStr">
        <is>
          <t>—</t>
        </is>
      </c>
    </row>
    <row r="39" ht="20" customHeight="1">
      <c r="B39" s="69" t="inlineStr">
        <is>
          <t>Cash interest ($m)</t>
        </is>
      </c>
      <c r="C39" s="79" t="inlineStr">
        <is>
          <t>Term × coupon</t>
        </is>
      </c>
      <c r="D39" s="75">
        <f>(C17*(MAX(C12,C14)+C13))</f>
        <v/>
      </c>
      <c r="F39" s="81" t="inlineStr">
        <is>
          <t>—</t>
        </is>
      </c>
    </row>
    <row r="40" ht="20" customHeight="1">
      <c r="B40" s="69" t="inlineStr">
        <is>
          <t>Gross leverage</t>
        </is>
      </c>
      <c r="C40" s="79" t="inlineStr">
        <is>
          <t>Term / underwritten EBITDA</t>
        </is>
      </c>
      <c r="D40" s="82">
        <f>C17/D33</f>
        <v/>
      </c>
      <c r="F40" s="81" t="inlineStr">
        <is>
          <t>≤ ~5.5x (software)</t>
        </is>
      </c>
      <c r="G40" s="64">
        <f>IF(C17/D33&lt;=5.5,"PASS","FAIL")</f>
        <v/>
      </c>
    </row>
    <row r="41" ht="20" customHeight="1">
      <c r="B41" s="69" t="inlineStr">
        <is>
          <t>Net leverage</t>
        </is>
      </c>
      <c r="C41" s="79" t="inlineStr">
        <is>
          <t>(Term − cash) / underwritten EBITDA</t>
        </is>
      </c>
      <c r="D41" s="82">
        <f>(C17-G15)/D33</f>
        <v/>
      </c>
      <c r="F41" s="81" t="inlineStr">
        <is>
          <t>≤ ~5.0x net</t>
        </is>
      </c>
      <c r="G41" s="64">
        <f>IF((C17-G15)/D33&lt;=5,"PASS","WATCH")</f>
        <v/>
      </c>
    </row>
    <row r="42" ht="20" customHeight="1">
      <c r="B42" s="69" t="inlineStr">
        <is>
          <t>Interest coverage (ICR)</t>
        </is>
      </c>
      <c r="C42" s="79" t="inlineStr">
        <is>
          <t>EBITDA / cash interest</t>
        </is>
      </c>
      <c r="D42" s="82">
        <f>D33/(C17*(MAX(C12,C14)+C13))</f>
        <v/>
      </c>
      <c r="F42" s="81" t="inlineStr">
        <is>
          <t>≥ 2.0x (KBRA market median 1.5x)</t>
        </is>
      </c>
      <c r="G42" s="64">
        <f>IF(D33/(C17*(MAX(C12,C14)+C13))&gt;=2,"PASS","FAIL")</f>
        <v/>
      </c>
    </row>
    <row r="43" ht="20" customHeight="1">
      <c r="B43" s="69" t="inlineStr">
        <is>
          <t>CFADS ($m)</t>
        </is>
      </c>
      <c r="C43" s="79" t="inlineStr">
        <is>
          <t>EBITDA − capex − cash tax − sponsor fee</t>
        </is>
      </c>
      <c r="D43" s="75">
        <f>(D33-G12-G13-G14)</f>
        <v/>
      </c>
      <c r="F43" s="81" t="inlineStr">
        <is>
          <t>—</t>
        </is>
      </c>
    </row>
    <row r="44" ht="20" customHeight="1">
      <c r="B44" s="64" t="inlineStr">
        <is>
          <t>FCCR — the one that matters</t>
        </is>
      </c>
      <c r="C44" s="79" t="inlineStr">
        <is>
          <t>CFADS / (interest + amortisation)</t>
        </is>
      </c>
      <c r="D44" s="82">
        <f>(D33-G12-G13-G14)/((C17*(MAX(C12,C14)+C13))+(C17*C16))</f>
        <v/>
      </c>
      <c r="F44" s="81" t="inlineStr">
        <is>
          <t>≥ 1.3x base case at close</t>
        </is>
      </c>
      <c r="G44" s="64">
        <f>IF((D33-G12-G13-G14)/((C17*(MAX(C12,C14)+C13))+(C17*C16))&gt;=1.3,"PASS","FAIL")</f>
        <v/>
      </c>
    </row>
    <row r="45" ht="20" customHeight="1">
      <c r="B45" s="69" t="inlineStr">
        <is>
          <t>Equity cushion</t>
        </is>
      </c>
      <c r="C45" s="79" t="inlineStr">
        <is>
          <t>Equity / total capitalisation</t>
        </is>
      </c>
      <c r="D45" s="80">
        <f>C22/C23</f>
        <v/>
      </c>
      <c r="F45" s="81" t="inlineStr">
        <is>
          <t>≥ 50% (market ~60%)</t>
        </is>
      </c>
      <c r="G45" s="64">
        <f>IF(C22/C23&gt;=0.5,"PASS","FAIL")</f>
        <v/>
      </c>
    </row>
    <row r="46" ht="20" customHeight="1">
      <c r="B46" s="69" t="inlineStr">
        <is>
          <t>Conservative EV ($m)</t>
        </is>
      </c>
      <c r="C46" s="79" t="inlineStr">
        <is>
          <t>Underwritten EBITDA × conservative multiple</t>
        </is>
      </c>
      <c r="D46" s="75">
        <f>(D33*G16)</f>
        <v/>
      </c>
      <c r="F46" s="81" t="inlineStr">
        <is>
          <t>2–4 turns below purchase multiple</t>
        </is>
      </c>
    </row>
    <row r="47" ht="20" customHeight="1">
      <c r="B47" s="69" t="inlineStr">
        <is>
          <t>LTV through the tranche</t>
        </is>
      </c>
      <c r="C47" s="79" t="inlineStr">
        <is>
          <t>Term / conservative EV</t>
        </is>
      </c>
      <c r="D47" s="80">
        <f>C17/(D33*G16)</f>
        <v/>
      </c>
      <c r="F47" s="81" t="inlineStr">
        <is>
          <t>≤ 50% (Blackstone WA &lt; 50%)</t>
        </is>
      </c>
      <c r="G47" s="64">
        <f>IF(C17/(D33*G16)&lt;=0.5,"PASS","FAIL")</f>
        <v/>
      </c>
    </row>
    <row r="48">
      <c r="B48" s="78" t="inlineStr">
        <is>
          <t>Flex test: set the Accepted column of the bridge equal to Claimed (believe the sponsor) and watch leverage fall to 4.5x and every verdict flatter you — that is exactly the illusion Stage 4 exists to prevent.</t>
        </is>
      </c>
    </row>
  </sheetData>
  <mergeCells count="10">
    <mergeCell ref="F27:G27"/>
    <mergeCell ref="C7:G7"/>
    <mergeCell ref="F30:G30"/>
    <mergeCell ref="F29:G29"/>
    <mergeCell ref="C6:G6"/>
    <mergeCell ref="F33:G33"/>
    <mergeCell ref="F31:G31"/>
    <mergeCell ref="F28:G28"/>
    <mergeCell ref="F32:G32"/>
    <mergeCell ref="C8:G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14" customWidth="1" min="4" max="4"/>
    <col width="46" customWidth="1" min="5" max="5"/>
    <col width="12" customWidth="1" min="6" max="6"/>
  </cols>
  <sheetData>
    <row r="2">
      <c r="B2" s="61" t="inlineStr">
        <is>
          <t>PROJECT FALCON — DOWNSIDE CASE &amp; COVENANT SEQUENCING (Stage 7)</t>
        </is>
      </c>
    </row>
    <row r="3">
      <c r="B3" s="60" t="inlineStr">
        <is>
          <t>The downside case is a design specification: it must still cover fixed charges, trip the covenant early, and be fundable from liquidity.</t>
        </is>
      </c>
    </row>
    <row r="5">
      <c r="B5" s="62" t="inlineStr">
        <is>
          <t>DOWNSIDE DRIVERS (composite top-firm calibration)</t>
        </is>
      </c>
      <c r="C5" s="63" t="n"/>
      <c r="D5" s="63" t="n"/>
      <c r="E5" s="63" t="n"/>
      <c r="F5" s="63" t="n"/>
    </row>
    <row r="6">
      <c r="B6" s="68" t="inlineStr">
        <is>
          <t>Driver</t>
        </is>
      </c>
      <c r="C6" s="68" t="inlineStr">
        <is>
          <t>Base</t>
        </is>
      </c>
      <c r="D6" s="68" t="inlineStr">
        <is>
          <t>Downside</t>
        </is>
      </c>
      <c r="E6" s="68" t="inlineStr">
        <is>
          <t>Calibration source</t>
        </is>
      </c>
      <c r="F6" s="68" t="inlineStr">
        <is>
          <t>Input</t>
        </is>
      </c>
    </row>
    <row r="7" ht="24" customHeight="1">
      <c r="B7" s="69" t="inlineStr">
        <is>
          <t>Revenue ($m)</t>
        </is>
      </c>
      <c r="C7" s="71" t="n">
        <v>200</v>
      </c>
      <c r="D7" s="74">
        <f>C7*(1-F7)</f>
        <v/>
      </c>
      <c r="E7" s="65" t="inlineStr">
        <is>
          <t>Decline % → input at right. −12% peak-to-trough over 18–24 months; company grew +3% in 2020 — stress beyond history</t>
        </is>
      </c>
      <c r="F7" s="70" t="n">
        <v>0.12</v>
      </c>
    </row>
    <row r="8">
      <c r="B8" s="69" t="inlineStr">
        <is>
          <t>EBITDA margin</t>
        </is>
      </c>
      <c r="C8" s="70" t="n">
        <v>0.34</v>
      </c>
      <c r="D8" s="70" t="n">
        <v>0.295</v>
      </c>
      <c r="E8" s="65" t="inlineStr">
        <is>
          <t>−450bps: pricing pressure + cost underabsorption</t>
        </is>
      </c>
    </row>
    <row r="9">
      <c r="B9" s="69" t="inlineStr">
        <is>
          <t>EBITDA ($m)</t>
        </is>
      </c>
      <c r="C9" s="74">
        <f>'Falcon Underwrite'!D33</f>
        <v/>
      </c>
      <c r="D9" s="75">
        <f>D7*D8</f>
        <v/>
      </c>
      <c r="E9" s="65" t="inlineStr">
        <is>
          <t>Base = underwritten $68m from the bridge (200 × 34%)</t>
        </is>
      </c>
    </row>
    <row r="10">
      <c r="B10" s="69" t="inlineStr">
        <is>
          <t>SOFR shift</t>
        </is>
      </c>
      <c r="C10" s="69" t="inlineStr">
        <is>
          <t>—</t>
        </is>
      </c>
      <c r="D10" s="70" t="n">
        <v>0.01</v>
      </c>
      <c r="E10" s="65" t="inlineStr">
        <is>
          <t>+100bps — the asset class floats (the 2022–23 lesson: coverage halved as SOFR rose)</t>
        </is>
      </c>
    </row>
    <row r="12">
      <c r="B12" s="62" t="inlineStr">
        <is>
          <t>DOWNSIDE COVERAGE (year-2 trough)</t>
        </is>
      </c>
      <c r="C12" s="63" t="n"/>
      <c r="D12" s="63" t="n"/>
      <c r="E12" s="63" t="n"/>
      <c r="F12" s="63" t="n"/>
    </row>
    <row r="13">
      <c r="B13" s="68" t="inlineStr">
        <is>
          <t>Metric</t>
        </is>
      </c>
      <c r="C13" s="68" t="inlineStr">
        <is>
          <t>Base</t>
        </is>
      </c>
      <c r="D13" s="68" t="inlineStr">
        <is>
          <t>Downside</t>
        </is>
      </c>
      <c r="E13" s="68" t="inlineStr">
        <is>
          <t>Reading</t>
        </is>
      </c>
    </row>
    <row r="14">
      <c r="B14" s="69" t="inlineStr">
        <is>
          <t>Coupon</t>
        </is>
      </c>
      <c r="C14" s="83">
        <f>(MAX('Falcon Underwrite'!C12,'Falcon Underwrite'!C14)+'Falcon Underwrite'!C13)</f>
        <v/>
      </c>
      <c r="D14" s="83">
        <f>(MAX('Falcon Underwrite'!C12+D10,'Falcon Underwrite'!C14)+'Falcon Underwrite'!C13)</f>
        <v/>
      </c>
    </row>
    <row r="15">
      <c r="B15" s="69" t="inlineStr">
        <is>
          <t>Cash interest ($m)</t>
        </is>
      </c>
      <c r="C15" s="74">
        <f>'Falcon Underwrite'!C17*(MAX('Falcon Underwrite'!C12,'Falcon Underwrite'!C14)+'Falcon Underwrite'!C13)</f>
        <v/>
      </c>
      <c r="D15" s="74">
        <f>'Falcon Underwrite'!C17*(MAX('Falcon Underwrite'!C12+D10,'Falcon Underwrite'!C14)+'Falcon Underwrite'!C13)</f>
        <v/>
      </c>
    </row>
    <row r="16">
      <c r="B16" s="69" t="inlineStr">
        <is>
          <t>Capex + cash tax + sponsor fee ($m)</t>
        </is>
      </c>
      <c r="C16" s="74">
        <f>'Falcon Underwrite'!G12+'Falcon Underwrite'!G13+'Falcon Underwrite'!G14</f>
        <v/>
      </c>
      <c r="D16" s="74">
        <f>7+5+1.5</f>
        <v/>
      </c>
      <c r="E16" s="65" t="inlineStr">
        <is>
          <t>Cash tax falls to $5m at the trough</t>
        </is>
      </c>
    </row>
    <row r="17">
      <c r="B17" s="69" t="inlineStr">
        <is>
          <t>CFADS ($m)</t>
        </is>
      </c>
      <c r="C17" s="74">
        <f>'Falcon Underwrite'!D33-C16</f>
        <v/>
      </c>
      <c r="D17" s="74">
        <f>D9-D16</f>
        <v/>
      </c>
    </row>
    <row r="18">
      <c r="B18" s="69" t="inlineStr">
        <is>
          <t>Fixed charges (interest + 1% amortisation, $m)</t>
        </is>
      </c>
      <c r="C18" s="74">
        <f>C15+'Falcon Underwrite'!C17*'Falcon Underwrite'!C16</f>
        <v/>
      </c>
      <c r="D18" s="74">
        <f>D15+'Falcon Underwrite'!C17*'Falcon Underwrite'!C16</f>
        <v/>
      </c>
    </row>
    <row r="19">
      <c r="B19" s="64" t="inlineStr">
        <is>
          <t>FCCR</t>
        </is>
      </c>
      <c r="C19" s="82">
        <f>C17/C18</f>
        <v/>
      </c>
      <c r="D19" s="82">
        <f>D17/D18</f>
        <v/>
      </c>
      <c r="E19" s="65">
        <f>IF(D19&gt;=1,"Covers at the trough — tight by design","Below 1.0x — burning cash at the trough")</f>
        <v/>
      </c>
    </row>
    <row r="20">
      <c r="B20" s="69" t="inlineStr">
        <is>
          <t>Net debt ($m)</t>
        </is>
      </c>
      <c r="C20" s="74">
        <f>'Falcon Underwrite'!C17-'Falcon Underwrite'!G15</f>
        <v/>
      </c>
      <c r="D20" s="74">
        <f>'Falcon Underwrite'!C17-10</f>
        <v/>
      </c>
      <c r="E20" s="65" t="inlineStr">
        <is>
          <t>Downside: cash partially consumed ($10m left)</t>
        </is>
      </c>
    </row>
    <row r="21">
      <c r="B21" s="64" t="inlineStr">
        <is>
          <t>Net leverage</t>
        </is>
      </c>
      <c r="C21" s="84">
        <f>C20/'Falcon Underwrite'!D33</f>
        <v/>
      </c>
      <c r="D21" s="82">
        <f>D20/D9</f>
        <v/>
      </c>
      <c r="E21" s="65">
        <f>IF(D21&gt;'Falcon Underwrite'!G17,"BREACHES the "&amp;TEXT('Falcon Underwrite'!G17,"0.00")&amp;"x covenant → lender gets the table early","Inside covenant")</f>
        <v/>
      </c>
    </row>
    <row r="23">
      <c r="B23" s="62" t="inlineStr">
        <is>
          <t>THE THREE QUESTIONS (framework §9.2)</t>
        </is>
      </c>
      <c r="C23" s="63" t="n"/>
      <c r="D23" s="63" t="n"/>
      <c r="E23" s="63" t="n"/>
      <c r="F23" s="63" t="n"/>
    </row>
    <row r="24">
      <c r="B24" s="68" t="inlineStr">
        <is>
          <t>Question</t>
        </is>
      </c>
      <c r="C24" s="68" t="inlineStr">
        <is>
          <t>Value</t>
        </is>
      </c>
      <c r="D24" s="68" t="inlineStr"/>
      <c r="E24" s="68" t="inlineStr">
        <is>
          <t>Reading</t>
        </is>
      </c>
    </row>
    <row r="25">
      <c r="B25" s="69" t="inlineStr">
        <is>
          <t>1. Coverage breakeven — EBITDA at FCCR = 1.0x ($m)</t>
        </is>
      </c>
      <c r="C25" s="75">
        <f>C18+C16</f>
        <v/>
      </c>
      <c r="E25" s="65">
        <f>"A "&amp;TEXT(1-C25/'Falcon Underwrite'!D33,"0%")&amp;" EBITDA decline is the true shock absorber (at base rates)"</f>
        <v/>
      </c>
    </row>
    <row r="26">
      <c r="B26" s="69" t="inlineStr">
        <is>
          <t>2. Liquidity runway at the trough (quarters)</t>
        </is>
      </c>
      <c r="C26" s="85">
        <f>MIN(99,IF(D18-D17&lt;=0,99,(50+10)/(D18-D17)*4))</f>
        <v/>
      </c>
      <c r="E26" s="65" t="inlineStr">
        <is>
          <t>$50m revolver + $10m cash vs downside burn (fixed charges − CFADS). 99 = effectively unlimited. Standard: ≥ 4–6 quarters</t>
        </is>
      </c>
    </row>
    <row r="27">
      <c r="B27" s="69" t="inlineStr">
        <is>
          <t>3. Covenant trip EBITDA ($m) and sequencing</t>
        </is>
      </c>
      <c r="C27" s="75">
        <f>C20/'Falcon Underwrite'!G17</f>
        <v/>
      </c>
      <c r="E27" s="65">
        <f>"Trips at −"&amp;TEXT(1-C27/'Falcon Underwrite'!D33,"0%")&amp;" from underwritten EBITDA — BEFORE liquidity exhausts. Sequencing correct: early seat at the table"</f>
        <v/>
      </c>
    </row>
    <row r="29">
      <c r="B29" s="78" t="inlineStr">
        <is>
          <t>Covenant at 6.65x = ~26% EBITDA headroom (inside the 25–35% convention). Push it to 7.5x and the trip point moves to −34% — past the point where negotiating leverage has shifted to the sponsor. The extra headroom IS the workout option, transferred.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>
      <c r="B2" s="61" t="inlineStr">
        <is>
          <t>PROJECT FALCON — RECOVERY ANALYSIS (the second repayment leg)</t>
        </is>
      </c>
    </row>
    <row r="3">
      <c r="B3" s="60" t="inlineStr">
        <is>
          <t>If cash flow fails, what stands between the loan and loss? Fitch 2025 resolved private credit defaults: first lien recovered par in 6 of 8, 70–90% in the other two.</t>
        </is>
      </c>
    </row>
    <row r="5">
      <c r="B5" s="62" t="inlineStr">
        <is>
          <t>RECOVERY WATERFALL AT THE DOWNSIDE TROUGH</t>
        </is>
      </c>
      <c r="C5" s="63" t="n"/>
      <c r="D5" s="63" t="n"/>
      <c r="E5" s="63" t="n"/>
      <c r="F5" s="63" t="n"/>
      <c r="G5" s="63" t="n"/>
      <c r="H5" s="63" t="n"/>
    </row>
    <row r="6">
      <c r="B6" s="68" t="inlineStr">
        <is>
          <t>Step</t>
        </is>
      </c>
      <c r="C6" s="68" t="inlineStr">
        <is>
          <t>$m / x</t>
        </is>
      </c>
      <c r="D6" s="68" t="inlineStr"/>
      <c r="E6" s="68" t="inlineStr">
        <is>
          <t>Notes</t>
        </is>
      </c>
    </row>
    <row r="7">
      <c r="B7" s="69" t="inlineStr">
        <is>
          <t>Trough EBITDA (from Downside sheet)</t>
        </is>
      </c>
      <c r="C7" s="74">
        <f>'Falcon Downside'!D9</f>
        <v/>
      </c>
    </row>
    <row r="8">
      <c r="B8" s="69" t="inlineStr">
        <is>
          <t>Distressed exit multiple</t>
        </is>
      </c>
      <c r="C8" s="72" t="n">
        <v>8.5</v>
      </c>
      <c r="E8" s="65" t="inlineStr">
        <is>
          <t>~40% below the 14x purchase multiple</t>
        </is>
      </c>
    </row>
    <row r="9">
      <c r="B9" s="69" t="inlineStr">
        <is>
          <t>Distressed enterprise value ($m)</t>
        </is>
      </c>
      <c r="C9" s="75">
        <f>C7*C8</f>
        <v/>
      </c>
    </row>
    <row r="10">
      <c r="B10" s="69" t="inlineStr">
        <is>
          <t>Claim: term loan + drawn revolver ($25m drawn)</t>
        </is>
      </c>
      <c r="C10" s="74">
        <f>'Falcon Underwrite'!C17+25</f>
        <v/>
      </c>
    </row>
    <row r="11">
      <c r="B11" s="69" t="inlineStr">
        <is>
          <t>Coverage (EV / claim)</t>
        </is>
      </c>
      <c r="C11" s="82">
        <f>C9/C10</f>
        <v/>
      </c>
    </row>
    <row r="12">
      <c r="B12" s="64" t="inlineStr">
        <is>
          <t>Implied recovery</t>
        </is>
      </c>
      <c r="C12" s="86">
        <f>MIN(1,C9/C10)</f>
        <v/>
      </c>
      <c r="E12" s="65">
        <f>IF(C12&gt;=1,"Full recovery expected even at the trough","Impaired — loss = "&amp;TEXT(1-C12,"0%"))</f>
        <v/>
      </c>
    </row>
    <row r="14">
      <c r="B14" s="62" t="inlineStr">
        <is>
          <t>IMPAIRMENT GRID — WHAT MUST JOINTLY GO WRONG (recovery % of claim)</t>
        </is>
      </c>
      <c r="C14" s="63" t="n"/>
      <c r="D14" s="63" t="n"/>
      <c r="E14" s="63" t="n"/>
      <c r="F14" s="63" t="n"/>
      <c r="G14" s="63" t="n"/>
      <c r="H14" s="63" t="n"/>
    </row>
    <row r="15">
      <c r="B15" s="68" t="inlineStr">
        <is>
          <t>EBITDA decline ↓  /  Exit multiple →</t>
        </is>
      </c>
      <c r="C15" s="68" t="inlineStr">
        <is>
          <t>5.5x</t>
        </is>
      </c>
      <c r="D15" s="68" t="inlineStr">
        <is>
          <t>6.5x</t>
        </is>
      </c>
      <c r="E15" s="68" t="inlineStr">
        <is>
          <t>7.5x</t>
        </is>
      </c>
      <c r="F15" s="68" t="inlineStr">
        <is>
          <t>8.5x</t>
        </is>
      </c>
      <c r="G15" s="68" t="inlineStr">
        <is>
          <t>9.5x</t>
        </is>
      </c>
      <c r="H15" s="68" t="inlineStr">
        <is>
          <t>11.0x</t>
        </is>
      </c>
    </row>
    <row r="16">
      <c r="B16" s="69" t="inlineStr">
        <is>
          <t>0% (underwritten EBITDA)</t>
        </is>
      </c>
      <c r="C16" s="76">
        <f>MIN(1,('Falcon Underwrite'!D33*(1-0.0)*5.5)/C10)</f>
        <v/>
      </c>
      <c r="D16" s="76">
        <f>MIN(1,('Falcon Underwrite'!D33*(1-0.0)*6.5)/C10)</f>
        <v/>
      </c>
      <c r="E16" s="76">
        <f>MIN(1,('Falcon Underwrite'!D33*(1-0.0)*7.5)/C10)</f>
        <v/>
      </c>
      <c r="F16" s="76">
        <f>MIN(1,('Falcon Underwrite'!D33*(1-0.0)*8.5)/C10)</f>
        <v/>
      </c>
      <c r="G16" s="76">
        <f>MIN(1,('Falcon Underwrite'!D33*(1-0.0)*9.5)/C10)</f>
        <v/>
      </c>
      <c r="H16" s="76">
        <f>MIN(1,('Falcon Underwrite'!D33*(1-0.0)*11.0)/C10)</f>
        <v/>
      </c>
    </row>
    <row r="17">
      <c r="B17" s="69" t="inlineStr">
        <is>
          <t>−15% EBITDA</t>
        </is>
      </c>
      <c r="C17" s="76">
        <f>MIN(1,('Falcon Underwrite'!D33*(1-0.15)*5.5)/C10)</f>
        <v/>
      </c>
      <c r="D17" s="76">
        <f>MIN(1,('Falcon Underwrite'!D33*(1-0.15)*6.5)/C10)</f>
        <v/>
      </c>
      <c r="E17" s="76">
        <f>MIN(1,('Falcon Underwrite'!D33*(1-0.15)*7.5)/C10)</f>
        <v/>
      </c>
      <c r="F17" s="76">
        <f>MIN(1,('Falcon Underwrite'!D33*(1-0.15)*8.5)/C10)</f>
        <v/>
      </c>
      <c r="G17" s="76">
        <f>MIN(1,('Falcon Underwrite'!D33*(1-0.15)*9.5)/C10)</f>
        <v/>
      </c>
      <c r="H17" s="76">
        <f>MIN(1,('Falcon Underwrite'!D33*(1-0.15)*11.0)/C10)</f>
        <v/>
      </c>
    </row>
    <row r="18">
      <c r="B18" s="69" t="inlineStr">
        <is>
          <t>−24% EBITDA</t>
        </is>
      </c>
      <c r="C18" s="76">
        <f>MIN(1,('Falcon Underwrite'!D33*(1-0.24)*5.5)/C10)</f>
        <v/>
      </c>
      <c r="D18" s="76">
        <f>MIN(1,('Falcon Underwrite'!D33*(1-0.24)*6.5)/C10)</f>
        <v/>
      </c>
      <c r="E18" s="76">
        <f>MIN(1,('Falcon Underwrite'!D33*(1-0.24)*7.5)/C10)</f>
        <v/>
      </c>
      <c r="F18" s="76">
        <f>MIN(1,('Falcon Underwrite'!D33*(1-0.24)*8.5)/C10)</f>
        <v/>
      </c>
      <c r="G18" s="76">
        <f>MIN(1,('Falcon Underwrite'!D33*(1-0.24)*9.5)/C10)</f>
        <v/>
      </c>
      <c r="H18" s="76">
        <f>MIN(1,('Falcon Underwrite'!D33*(1-0.24)*11.0)/C10)</f>
        <v/>
      </c>
    </row>
    <row r="19">
      <c r="B19" s="69" t="inlineStr">
        <is>
          <t>−30% EBITDA</t>
        </is>
      </c>
      <c r="C19" s="76">
        <f>MIN(1,('Falcon Underwrite'!D33*(1-0.3)*5.5)/C10)</f>
        <v/>
      </c>
      <c r="D19" s="76">
        <f>MIN(1,('Falcon Underwrite'!D33*(1-0.3)*6.5)/C10)</f>
        <v/>
      </c>
      <c r="E19" s="76">
        <f>MIN(1,('Falcon Underwrite'!D33*(1-0.3)*7.5)/C10)</f>
        <v/>
      </c>
      <c r="F19" s="76">
        <f>MIN(1,('Falcon Underwrite'!D33*(1-0.3)*8.5)/C10)</f>
        <v/>
      </c>
      <c r="G19" s="76">
        <f>MIN(1,('Falcon Underwrite'!D33*(1-0.3)*9.5)/C10)</f>
        <v/>
      </c>
      <c r="H19" s="76">
        <f>MIN(1,('Falcon Underwrite'!D33*(1-0.3)*11.0)/C10)</f>
        <v/>
      </c>
    </row>
    <row r="20">
      <c r="B20" s="69" t="inlineStr">
        <is>
          <t>−45% EBITDA</t>
        </is>
      </c>
      <c r="C20" s="76">
        <f>MIN(1,('Falcon Underwrite'!D33*(1-0.45)*5.5)/C10)</f>
        <v/>
      </c>
      <c r="D20" s="76">
        <f>MIN(1,('Falcon Underwrite'!D33*(1-0.45)*6.5)/C10)</f>
        <v/>
      </c>
      <c r="E20" s="76">
        <f>MIN(1,('Falcon Underwrite'!D33*(1-0.45)*7.5)/C10)</f>
        <v/>
      </c>
      <c r="F20" s="76">
        <f>MIN(1,('Falcon Underwrite'!D33*(1-0.45)*8.5)/C10)</f>
        <v/>
      </c>
      <c r="G20" s="76">
        <f>MIN(1,('Falcon Underwrite'!D33*(1-0.45)*9.5)/C10)</f>
        <v/>
      </c>
      <c r="H20" s="76">
        <f>MIN(1,('Falcon Underwrite'!D33*(1-0.45)*11.0)/C10)</f>
        <v/>
      </c>
    </row>
    <row r="22">
      <c r="B22" s="78" t="inlineStr">
        <is>
          <t>First-lien impairment requires BOTH a ~24%+ EBITDA decline AND a distressed multiple ≤ ~6.5x, while $790m of equity absorbs value destruction first. This grid is the quantitative meaning of 'margin of safety from seniority'.</t>
        </is>
      </c>
    </row>
    <row r="24">
      <c r="B24" s="62" t="inlineStr">
        <is>
          <t>EXPECTED LOSS &amp; SPREAD ADEQUACY (Stage 9 check)</t>
        </is>
      </c>
      <c r="C24" s="63" t="n"/>
      <c r="D24" s="63" t="n"/>
      <c r="E24" s="63" t="n"/>
      <c r="F24" s="63" t="n"/>
      <c r="G24" s="63" t="n"/>
      <c r="H24" s="63" t="n"/>
    </row>
    <row r="25">
      <c r="B25" s="68" t="inlineStr">
        <is>
          <t>Component</t>
        </is>
      </c>
      <c r="C25" s="68" t="inlineStr">
        <is>
          <t>Value</t>
        </is>
      </c>
      <c r="D25" s="68" t="inlineStr"/>
      <c r="E25" s="68" t="inlineStr">
        <is>
          <t>Source / logic</t>
        </is>
      </c>
    </row>
    <row r="26">
      <c r="B26" s="69" t="inlineStr">
        <is>
          <t>Through-cycle PD [assumption]</t>
        </is>
      </c>
      <c r="C26" s="70" t="n">
        <v>0.025</v>
      </c>
      <c r="E26" s="65" t="inlineStr">
        <is>
          <t>Proskauer default index ran 1.8–2.7% through 2025–26</t>
        </is>
      </c>
    </row>
    <row r="27">
      <c r="B27" s="69" t="inlineStr">
        <is>
          <t>LGD [assumption]</t>
        </is>
      </c>
      <c r="C27" s="70" t="n">
        <v>0.3</v>
      </c>
      <c r="E27" s="65" t="inlineStr">
        <is>
          <t>Conservative vs Fitch first-lien experience (0–30% loss)</t>
        </is>
      </c>
    </row>
    <row r="28">
      <c r="B28" s="69" t="inlineStr">
        <is>
          <t>Expected loss p.a.</t>
        </is>
      </c>
      <c r="C28" s="87">
        <f>C26*C27</f>
        <v/>
      </c>
      <c r="E28" s="65" t="inlineStr">
        <is>
          <t>CDLI long-run realized losses ~1.0% p.a. — sanity anchor</t>
        </is>
      </c>
    </row>
    <row r="29">
      <c r="B29" s="69" t="inlineStr">
        <is>
          <t>Credit spread</t>
        </is>
      </c>
      <c r="C29" s="88">
        <f>'Falcon Underwrite'!C13</f>
        <v/>
      </c>
    </row>
    <row r="30">
      <c r="B30" s="64" t="inlineStr">
        <is>
          <t>Spread / EL cover</t>
        </is>
      </c>
      <c r="C30" s="89">
        <f>C29/C28</f>
        <v/>
      </c>
      <c r="E30" s="65" t="inlineStr">
        <is>
          <t>Are we paid for the risk? Spread must clear expected loss several times to fund fees + illiquidity</t>
        </is>
      </c>
    </row>
  </sheetData>
  <conditionalFormatting sqref="C16:H20">
    <cfRule type="colorScale" priority="1">
      <colorScale>
        <cfvo type="num" val="0.5"/>
        <cfvo type="num" val="0.85"/>
        <cfvo type="num" val="1"/>
        <color rgb="FFE8A0A8"/>
        <color rgb="FFF7E3A1"/>
        <color rgb="FFB7D8B7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2" customWidth="1" min="3" max="3"/>
    <col width="24" customWidth="1" min="4" max="4"/>
    <col width="16" customWidth="1" min="5" max="5"/>
    <col width="11" customWidth="1" min="6" max="6"/>
    <col width="17" customWidth="1" min="7" max="7"/>
    <col width="11" customWidth="1" min="8" max="8"/>
  </cols>
  <sheetData>
    <row r="2">
      <c r="B2" s="61" t="inlineStr">
        <is>
          <t>THE 10-STAGE TOP-FIRM SCORECARD — FALCON (approved) vs ATLAS (declined)</t>
        </is>
      </c>
    </row>
    <row r="3">
      <c r="B3" s="60" t="inlineStr">
        <is>
          <t>One row per framework stage. Falcon cells link live to the Falcon sheets; Atlas is the HVAC roll-up from §15.2 of the framework PDF (mini-model below).</t>
        </is>
      </c>
    </row>
    <row r="5">
      <c r="B5" s="62" t="inlineStr">
        <is>
          <t>SCORECARD</t>
        </is>
      </c>
      <c r="C5" s="63" t="n"/>
      <c r="D5" s="63" t="n"/>
      <c r="E5" s="63" t="n"/>
      <c r="F5" s="63" t="n"/>
      <c r="G5" s="63" t="n"/>
      <c r="H5" s="63" t="n"/>
    </row>
    <row r="6">
      <c r="B6" s="68" t="inlineStr">
        <is>
          <t>Stage</t>
        </is>
      </c>
      <c r="C6" s="68" t="inlineStr">
        <is>
          <t>Test</t>
        </is>
      </c>
      <c r="D6" s="68" t="inlineStr">
        <is>
          <t>Standard</t>
        </is>
      </c>
      <c r="E6" s="68" t="inlineStr">
        <is>
          <t>Falcon</t>
        </is>
      </c>
      <c r="F6" s="68" t="inlineStr">
        <is>
          <t>Verdict</t>
        </is>
      </c>
      <c r="G6" s="68" t="inlineStr">
        <is>
          <t>Atlas</t>
        </is>
      </c>
      <c r="H6" s="68" t="inlineStr">
        <is>
          <t>Verdict</t>
        </is>
      </c>
    </row>
    <row r="7" ht="26" customHeight="1">
      <c r="B7" s="64" t="inlineStr">
        <is>
          <t>1. Sourcing</t>
        </is>
      </c>
      <c r="C7" s="81" t="inlineStr">
        <is>
          <t>Deal provenance — who else has seen this?</t>
        </is>
      </c>
      <c r="D7" s="81" t="inlineStr">
        <is>
          <t>Invitation-only / incumbent edge</t>
        </is>
      </c>
      <c r="E7" s="81">
        <f>"3 lenders, incumbent"</f>
        <v/>
      </c>
      <c r="F7" s="64">
        <f>"PASS"</f>
        <v/>
      </c>
      <c r="G7" s="81">
        <f>"14 lenders, incumbents out"</f>
        <v/>
      </c>
      <c r="H7" s="64">
        <f>"FAIL"</f>
        <v/>
      </c>
    </row>
    <row r="8" ht="26" customHeight="1">
      <c r="B8" s="64" t="inlineStr">
        <is>
          <t>2. Screening</t>
        </is>
      </c>
      <c r="C8" s="81" t="inlineStr">
        <is>
          <t>Size, sector, sponsor, structure floors</t>
        </is>
      </c>
      <c r="D8" s="81" t="inlineStr">
        <is>
          <t>Inside platform box</t>
        </is>
      </c>
      <c r="E8" s="81">
        <f>"$68m EBITDA software"</f>
        <v/>
      </c>
      <c r="F8" s="64">
        <f>"PASS"</f>
        <v/>
      </c>
      <c r="G8" s="81">
        <f>"Roll-up, housing-linked"</f>
        <v/>
      </c>
      <c r="H8" s="64">
        <f>"WATCH"</f>
        <v/>
      </c>
    </row>
    <row r="9" ht="26" customHeight="1">
      <c r="B9" s="64" t="inlineStr">
        <is>
          <t>3. Business quality</t>
        </is>
      </c>
      <c r="C9" s="81" t="inlineStr">
        <is>
          <t>Organic growth; recession datapoint</t>
        </is>
      </c>
      <c r="D9" s="81" t="inlineStr">
        <is>
          <t>Positive organic; survived 2020</t>
        </is>
      </c>
      <c r="E9" s="81">
        <f>"+3% in 2020, 87% recurring"</f>
        <v/>
      </c>
      <c r="F9" s="64">
        <f>"PASS"</f>
        <v/>
      </c>
      <c r="G9" s="81">
        <f>"Same-branch revenue −4%"</f>
        <v/>
      </c>
      <c r="H9" s="64">
        <f>"FAIL"</f>
        <v/>
      </c>
    </row>
    <row r="10" ht="26" customHeight="1">
      <c r="B10" s="64" t="inlineStr">
        <is>
          <t>4. EBITDA honesty</t>
        </is>
      </c>
      <c r="C10" s="81" t="inlineStr">
        <is>
          <t>Add-backs as % of marketed EBITDA</t>
        </is>
      </c>
      <c r="D10" s="81" t="inlineStr">
        <is>
          <t>≤ 20–25% and dispositioned line-by-line</t>
        </is>
      </c>
      <c r="E10" s="90">
        <f>('Falcon Underwrite'!C33-'Falcon Underwrite'!C27)/'Falcon Underwrite'!C33</f>
        <v/>
      </c>
      <c r="F10" s="64">
        <f>IF(E10&lt;=0.25,"PASS","FAIL")</f>
        <v/>
      </c>
      <c r="G10" s="90">
        <f>C23</f>
        <v/>
      </c>
      <c r="H10" s="64">
        <f>IF(G10&lt;=0.25,"PASS","FAIL")</f>
        <v/>
      </c>
    </row>
    <row r="11" ht="26" customHeight="1">
      <c r="B11" s="64" t="inlineStr">
        <is>
          <t>5. FCCR at close</t>
        </is>
      </c>
      <c r="C11" s="81" t="inlineStr">
        <is>
          <t>CFADS / fixed charges, lender numbers</t>
        </is>
      </c>
      <c r="D11" s="81" t="inlineStr">
        <is>
          <t>≥ 1.3x base case</t>
        </is>
      </c>
      <c r="E11" s="82">
        <f>'Falcon Underwrite'!D44</f>
        <v/>
      </c>
      <c r="F11" s="64">
        <f>IF(E11&gt;=1.3,"PASS","FAIL")</f>
        <v/>
      </c>
      <c r="G11" s="82">
        <f>C27</f>
        <v/>
      </c>
      <c r="H11" s="64">
        <f>IF(G11&gt;=1.3,"PASS","FAIL")</f>
        <v/>
      </c>
    </row>
    <row r="12" ht="26" customHeight="1">
      <c r="B12" s="64" t="inlineStr">
        <is>
          <t>6. LTV / cushion</t>
        </is>
      </c>
      <c r="C12" s="81" t="inlineStr">
        <is>
          <t>Debt / conservative EV</t>
        </is>
      </c>
      <c r="D12" s="81" t="inlineStr">
        <is>
          <t>≤ 50%</t>
        </is>
      </c>
      <c r="E12" s="90">
        <f>'Falcon Underwrite'!D47</f>
        <v/>
      </c>
      <c r="F12" s="64">
        <f>IF(E12&lt;=0.5,"PASS","FAIL")</f>
        <v/>
      </c>
      <c r="G12" s="90">
        <f>C29</f>
        <v/>
      </c>
      <c r="H12" s="64">
        <f>IF(G12&lt;=0.5,"PASS","FAIL")</f>
        <v/>
      </c>
    </row>
    <row r="13" ht="26" customHeight="1">
      <c r="B13" s="64" t="inlineStr">
        <is>
          <t>7. Downside</t>
        </is>
      </c>
      <c r="C13" s="81" t="inlineStr">
        <is>
          <t>FCCR at trough; covenant sequencing</t>
        </is>
      </c>
      <c r="D13" s="81" t="inlineStr">
        <is>
          <t>≥ ~1.0x; covenant trips before cash out</t>
        </is>
      </c>
      <c r="E13" s="82">
        <f>'Falcon Downside'!D19</f>
        <v/>
      </c>
      <c r="F13" s="64">
        <f>IF(E13&gt;=0.95,"PASS (tight)","FAIL")</f>
        <v/>
      </c>
      <c r="G13" s="81">
        <f>"~0.8x; trips after runway"</f>
        <v/>
      </c>
      <c r="H13" s="64">
        <f>"FAIL"</f>
        <v/>
      </c>
    </row>
    <row r="14" ht="26" customHeight="1">
      <c r="B14" s="64" t="inlineStr">
        <is>
          <t>8. Documentation</t>
        </is>
      </c>
      <c r="C14" s="81" t="inlineStr">
        <is>
          <t>Maintenance covenant, capped EBITDA defn, blockers</t>
        </is>
      </c>
      <c r="D14" s="81" t="inlineStr">
        <is>
          <t>All present (Ares: never cov-lite)</t>
        </is>
      </c>
      <c r="E14" s="81">
        <f>"Full package + blockers"</f>
        <v/>
      </c>
      <c r="F14" s="64">
        <f>"PASS"</f>
        <v/>
      </c>
      <c r="G14" s="81">
        <f>"40% headroom demanded"</f>
        <v/>
      </c>
      <c r="H14" s="64">
        <f>"FAIL"</f>
        <v/>
      </c>
    </row>
    <row r="15" ht="26" customHeight="1">
      <c r="B15" s="64" t="inlineStr">
        <is>
          <t>9. Pricing</t>
        </is>
      </c>
      <c r="C15" s="81" t="inlineStr">
        <is>
          <t>Spread covers expected loss with margin</t>
        </is>
      </c>
      <c r="D15" s="81" t="inlineStr">
        <is>
          <t>Spread / EL ≥ ~3x</t>
        </is>
      </c>
      <c r="E15" s="89">
        <f>'Falcon Recovery'!C30</f>
        <v/>
      </c>
      <c r="F15" s="64">
        <f>IF(E15&gt;=3,"PASS","WATCH")</f>
        <v/>
      </c>
      <c r="G15" s="81">
        <f>"Not reached"</f>
        <v/>
      </c>
      <c r="H15" s="64">
        <f>"—"</f>
        <v/>
      </c>
    </row>
    <row r="16" ht="26" customHeight="1">
      <c r="B16" s="64" t="inlineStr">
        <is>
          <t>10. IC decision</t>
        </is>
      </c>
      <c r="C16" s="81" t="inlineStr">
        <is>
          <t>Adversarial review outcome</t>
        </is>
      </c>
      <c r="D16" s="81" t="inlineStr">
        <is>
          <t>Conditions recorded; decline database fed</t>
        </is>
      </c>
      <c r="E16" s="81">
        <f>"APPROVED w/ conditions"</f>
        <v/>
      </c>
      <c r="F16" s="64">
        <f>"PASS"</f>
        <v/>
      </c>
      <c r="G16" s="81">
        <f>"DECLINED + rationale"</f>
        <v/>
      </c>
      <c r="H16" s="64">
        <f>"PASS"</f>
        <v/>
      </c>
    </row>
    <row r="17">
      <c r="B17" s="78" t="inlineStr">
        <is>
          <t>Atlas marketed at 5.0x leverage / 2.0x coverage. Four framework numbers converted it to its true shape — ~7x levered, ~1.0x FCCR, ~88% LTV, negative organic growth. That conversion is the entire craft.</t>
        </is>
      </c>
    </row>
    <row r="19">
      <c r="B19" s="62" t="inlineStr">
        <is>
          <t>ATLAS MINI-MODEL (HVAC services roll-up — the decline)</t>
        </is>
      </c>
      <c r="C19" s="63" t="n"/>
      <c r="D19" s="63" t="n"/>
      <c r="E19" s="63" t="n"/>
      <c r="F19" s="63" t="n"/>
      <c r="G19" s="63" t="n"/>
      <c r="H19" s="63" t="n"/>
    </row>
    <row r="20">
      <c r="B20" s="68" t="inlineStr">
        <is>
          <t>Item</t>
        </is>
      </c>
      <c r="C20" s="68" t="inlineStr">
        <is>
          <t>Value</t>
        </is>
      </c>
      <c r="D20" s="68" t="inlineStr"/>
      <c r="E20" s="68" t="inlineStr">
        <is>
          <t>Note</t>
        </is>
      </c>
    </row>
    <row r="21">
      <c r="B21" s="69" t="inlineStr">
        <is>
          <t>Reported LTM EBITDA ($m)</t>
        </is>
      </c>
      <c r="C21" s="71" t="n">
        <v>34</v>
      </c>
    </row>
    <row r="22" ht="24" customHeight="1">
      <c r="B22" s="69" t="inlineStr">
        <is>
          <t>Claimed add-backs ($m)</t>
        </is>
      </c>
      <c r="C22" s="71" t="n">
        <v>21</v>
      </c>
      <c r="E22" s="65" t="inlineStr">
        <is>
          <t>$9m pro-forma deals &lt;12m owned, $6m unactioned synergies, $4m annualised price rises, $2m one-offs</t>
        </is>
      </c>
    </row>
    <row r="23">
      <c r="B23" s="69" t="inlineStr">
        <is>
          <t>Add-backs % of marketed EBITDA</t>
        </is>
      </c>
      <c r="C23" s="90">
        <f>C22/(C21+C22)</f>
        <v/>
      </c>
      <c r="E23" s="65" t="inlineStr">
        <is>
          <t>38% — well past the red-flag line (S&amp;P: add-back size predicts default)</t>
        </is>
      </c>
    </row>
    <row r="24">
      <c r="B24" s="69" t="inlineStr">
        <is>
          <t>Lender-accepted add-backs ($m)</t>
        </is>
      </c>
      <c r="C24" s="71" t="n">
        <v>5</v>
      </c>
    </row>
    <row r="25">
      <c r="B25" s="69" t="inlineStr">
        <is>
          <t>Lender EBITDA ($m)</t>
        </is>
      </c>
      <c r="C25" s="75">
        <f>C21+C24</f>
        <v/>
      </c>
    </row>
    <row r="26">
      <c r="B26" s="69" t="inlineStr">
        <is>
          <t>Debt ask ($m)</t>
        </is>
      </c>
      <c r="C26" s="71" t="n">
        <v>275</v>
      </c>
      <c r="E26" s="65">
        <f>TEXT(C26/C25,"0.00")&amp;"x on lender EBITDA vs 5.0x marketed"</f>
        <v/>
      </c>
    </row>
    <row r="27">
      <c r="B27" s="69" t="inlineStr">
        <is>
          <t>FCCR at close</t>
        </is>
      </c>
      <c r="C27" s="82">
        <f>(C25-6-3-1)/(C26*(0.0375+0.055)+C26*0.01)</f>
        <v/>
      </c>
      <c r="E27" s="65" t="inlineStr">
        <is>
          <t>CFADS (lender EBITDA − capex 6 − tax 3 − fee 1) / fixed charges at SOFR+550 + 1% amort</t>
        </is>
      </c>
    </row>
    <row r="28">
      <c r="B28" s="69" t="inlineStr">
        <is>
          <t>Conservative EV at 8.0x ($m)</t>
        </is>
      </c>
      <c r="C28" s="74">
        <f>C25*8</f>
        <v/>
      </c>
    </row>
    <row r="29">
      <c r="B29" s="69" t="inlineStr">
        <is>
          <t>LTV</t>
        </is>
      </c>
      <c r="C29" s="90">
        <f>C26/C28</f>
        <v/>
      </c>
      <c r="E29" s="65" t="inlineStr">
        <is>
          <t>Second repayment leg fails outright</t>
        </is>
      </c>
    </row>
    <row r="31">
      <c r="B31" s="91" t="inlineStr">
        <is>
          <t>IC RECORD (decline database entry):</t>
        </is>
      </c>
    </row>
    <row r="32" ht="28" customHeight="1">
      <c r="B32" s="92" t="inlineStr">
        <is>
          <t>"Roll-up with negative organic growth; 38% add-back load; FCCR ~1.0x on day one; LTV ~88% on lender EV. Revisit at ≤3.5x lender EBITDA with 12 months of integrated performance."</t>
        </is>
      </c>
    </row>
  </sheetData>
  <mergeCells count="1">
    <mergeCell ref="B32:G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2026-07-03T14:14:42Z</dcterms:created>
  <dcterms:modified xmlns:dcterms="http://purl.org/dc/terms/" xmlns:xsi="http://www.w3.org/2001/XMLSchema-instance" xsi:type="dcterms:W3CDTF">2026-07-05T07:29:27Z</dcterms:modified>
</cp:coreProperties>
</file>