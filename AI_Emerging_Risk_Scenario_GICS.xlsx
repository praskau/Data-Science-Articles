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SOC_Exposure_Data" sheetId="2" state="visible" r:id="rId2"/>
    <sheet xmlns:r="http://schemas.openxmlformats.org/officeDocument/2006/relationships" name="2_GICS_Archetype_Map" sheetId="3" state="visible" r:id="rId3"/>
    <sheet xmlns:r="http://schemas.openxmlformats.org/officeDocument/2006/relationships" name="3_Archetype_Params" sheetId="4" state="visible" r:id="rId4"/>
    <sheet xmlns:r="http://schemas.openxmlformats.org/officeDocument/2006/relationships" name="4_Severity_Dials" sheetId="5" state="visible" r:id="rId5"/>
    <sheet xmlns:r="http://schemas.openxmlformats.org/officeDocument/2006/relationships" name="5_GICS_Scenario_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1"/>
    </font>
    <font>
      <sz val="10"/>
    </font>
    <font>
      <b val="1"/>
      <color rgb="001F4E79"/>
      <sz val="11"/>
    </font>
    <font>
      <b val="1"/>
      <color rgb="00FFFFFF"/>
    </font>
    <font>
      <b val="1"/>
      <color rgb="001F4E79"/>
    </font>
    <font>
      <b val="1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6" fillId="0" borderId="0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5" borderId="1" pivotButton="0" quotePrefix="0" xfId="0"/>
    <xf numFmtId="9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7" fillId="0" borderId="1" pivotButton="0" quotePrefix="0" xfId="0"/>
    <xf numFmtId="9" fontId="0" fillId="3" borderId="1" pivotButton="0" quotePrefix="0" xfId="0"/>
    <xf numFmtId="0" fontId="8" fillId="0" borderId="1" pivotButton="0" quotePrefix="0" xfId="0"/>
    <xf numFmtId="9" fontId="0" fillId="6" borderId="1" pivotButton="0" quotePrefix="0" xfId="0"/>
    <xf numFmtId="1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showGridLines="0" workbookViewId="0">
      <selection activeCell="A1" sqref="A1"/>
    </sheetView>
  </sheetViews>
  <sheetFormatPr baseColWidth="8" defaultRowHeight="15" outlineLevelCol="0"/>
  <cols>
    <col width="114" customWidth="1" min="1" max="1"/>
  </cols>
  <sheetData>
    <row r="1">
      <c r="A1" s="1" t="inlineStr">
        <is>
          <t>AI EMERGING RISK SCENARIO — GICS INDUSTRY / SUB-INDUSTRY LEVEL</t>
        </is>
      </c>
    </row>
    <row r="2">
      <c r="A2" s="2" t="inlineStr">
        <is>
          <t>Revenue decline % and EBITDA margin impact (pp), grounded in real, published AI-exposure research — not invented numbers</t>
        </is>
      </c>
    </row>
    <row r="4">
      <c r="A4" s="3" t="inlineStr"/>
    </row>
    <row r="5">
      <c r="A5" s="4" t="inlineStr">
        <is>
          <t>REAL DATA SOURCES — VERIFY THESE YOURSELF</t>
        </is>
      </c>
    </row>
    <row r="6">
      <c r="A6" s="3" t="inlineStr">
        <is>
          <t>1. The Budget Lab at Yale, "Labor Market AI Exposure: What Do We Know?" (Gimbel, Kendall, Kulsakdinun,</t>
        </is>
      </c>
    </row>
    <row r="7">
      <c r="A7" s="3" t="inlineStr">
        <is>
          <t xml:space="preserve">   19 Feb 2026). PCA-weighted composite z-score across SIX published occupational exposure measures,</t>
        </is>
      </c>
    </row>
    <row r="8">
      <c r="A8" s="3" t="inlineStr">
        <is>
          <t xml:space="preserve">   crosswalked to SOC-2018, 778 occupations with full coverage:</t>
        </is>
      </c>
    </row>
    <row r="9">
      <c r="A9" s="3" t="inlineStr">
        <is>
          <t xml:space="preserve">     - Felten, Raj &amp; Seamans (2021) AIOE — AI capability-to-occupational-ability mapping via Mechanical Turk</t>
        </is>
      </c>
    </row>
    <row r="10">
      <c r="A10" s="3" t="inlineStr">
        <is>
          <t xml:space="preserve">     - Eloundou, Manning, Mishkin &amp; Rock (2024) "GPTs are GPTs" (OpenAI) — dv_rating_beta / human_rating_beta,</t>
        </is>
      </c>
    </row>
    <row r="11">
      <c r="A11" s="3" t="inlineStr">
        <is>
          <t xml:space="preserve">       the most widely-cited LLM occupational exposure study, GPT-4-annotated task-speedup ratings</t>
        </is>
      </c>
    </row>
    <row r="12">
      <c r="A12" s="3" t="inlineStr">
        <is>
          <t xml:space="preserve">     - Eisfeldt et al. (2023) GenAI exposure (total/core), GPT-4-annotated O*NET task productivity ratings</t>
        </is>
      </c>
    </row>
    <row r="13">
      <c r="A13" s="3" t="inlineStr">
        <is>
          <t xml:space="preserve">     - Tomlinson et al. (2025, Microsoft) AI Applicability Score, derived from real Copilot conversation data</t>
        </is>
      </c>
    </row>
    <row r="14">
      <c r="A14" s="3" t="inlineStr">
        <is>
          <t xml:space="preserve">     - Webb (2020) patent-based exposure — EXCLUDED per the Budget Lab's own methodology (a documented</t>
        </is>
      </c>
    </row>
    <row r="15">
      <c r="A15" s="3" t="inlineStr">
        <is>
          <t xml:space="preserve">       10x-smaller PCA weight than the other five, treated by them as measuring something different)</t>
        </is>
      </c>
    </row>
    <row r="16">
      <c r="A16" s="3" t="inlineStr">
        <is>
          <t xml:space="preserve">   Downloaded directly: TBL-Data-AI-Exposure-What-do-we-know-202602-Updated.xlsx, sheet F1 (778 rows).</t>
        </is>
      </c>
    </row>
    <row r="17">
      <c r="A17" s="3" t="inlineStr">
        <is>
          <t xml:space="preserve">   URL: budgetlab.yale.edu/research/labor-market-ai-exposure-what-do-we-know</t>
        </is>
      </c>
    </row>
    <row r="18">
      <c r="A18" s="3" t="inlineStr">
        <is>
          <t>2. Anthropic Economic Index, Jan/Mar 2026 reports: 57% of Claude.ai usage classified as augmentation</t>
        </is>
      </c>
    </row>
    <row r="19">
      <c r="A19" s="3" t="inlineStr">
        <is>
          <t xml:space="preserve">   ("AI collaborates with a user"), 43% as automation ("AI directly performs tasks with minimal human</t>
        </is>
      </c>
    </row>
    <row r="20">
      <c r="A20" s="3" t="inlineStr">
        <is>
          <t xml:space="preserve">   involvement") — used directly as the AutomationShare / AugmentationShare split in the formula below.</t>
        </is>
      </c>
    </row>
    <row r="21">
      <c r="A21" s="3" t="inlineStr">
        <is>
          <t xml:space="preserve">   URL: anthropic.com/news/the-anthropic-economic-index</t>
        </is>
      </c>
    </row>
    <row r="22">
      <c r="A22" s="3" t="inlineStr">
        <is>
          <t>3. OpenAI GDPval (Oct 2025): 44 occupations across the 9 largest US GDP-contributing sectors, frontier-model-</t>
        </is>
      </c>
    </row>
    <row r="23">
      <c r="A23" s="3" t="inlineStr">
        <is>
          <t xml:space="preserve">   vs-human-expert blind evaluation on real work deliverables. Used as qualitative corroboration only (its win-</t>
        </is>
      </c>
    </row>
    <row r="24">
      <c r="A24" s="3" t="inlineStr">
        <is>
          <t xml:space="preserve">   rate-by-occupation figures are published as charts, not extractable as a table) — the sectors GDPval finds</t>
        </is>
      </c>
    </row>
    <row r="25">
      <c r="A25" s="3" t="inlineStr">
        <is>
          <t xml:space="preserve">   models "approaching parity" in (Government, Retail Trade, Wholesale Trade, per the paper) are directionally</t>
        </is>
      </c>
    </row>
    <row r="26">
      <c r="A26" s="3" t="inlineStr">
        <is>
          <t xml:space="preserve">   consistent with this workbook's own high-exposure archetypes. Not used as a quantitative input.</t>
        </is>
      </c>
    </row>
    <row r="27">
      <c r="A27" s="3" t="inlineStr"/>
    </row>
    <row r="28">
      <c r="A28" s="4" t="inlineStr">
        <is>
          <t>WHAT'S REAL AND WHAT'S JUDGEMENT — STATED EXPLICITLY</t>
        </is>
      </c>
    </row>
    <row r="29">
      <c r="A29" s="3" t="inlineStr">
        <is>
          <t>REAL: every SOC-2018 occupation's exposure score (sheet 1); the 57/43 automation/augmentation split (sheet 4).</t>
        </is>
      </c>
    </row>
    <row r="30">
      <c r="A30" s="3" t="inlineStr">
        <is>
          <t>JUDGEMENT, clearly flagged and fully visible for audit: which GICS sub-industries share a common workforce</t>
        </is>
      </c>
    </row>
    <row r="31">
      <c r="A31" s="3" t="inlineStr">
        <is>
          <t>"archetype" and what SOC-major-group occupation mix each archetype has (sheet 2-3); each archetype's labor-</t>
        </is>
      </c>
    </row>
    <row r="32">
      <c r="A32" s="3" t="inlineStr">
        <is>
          <t>cost-intensity (sheet 3); and the four severity dials converting a percentile rank into a % (sheet 4). Change</t>
        </is>
      </c>
    </row>
    <row r="33">
      <c r="A33" s="3" t="inlineStr">
        <is>
          <t>any of these and the whole workbook recalculates — nothing is hard-coded past the input sheets.</t>
        </is>
      </c>
    </row>
    <row r="34">
      <c r="A34" s="3" t="inlineStr"/>
    </row>
    <row r="35">
      <c r="A35" s="4" t="inlineStr">
        <is>
          <t>THE METHOD, STEP BY STEP</t>
        </is>
      </c>
    </row>
    <row r="36">
      <c r="A36" s="3" t="inlineStr">
        <is>
          <t>Step 1 [sheet 1]: 778 real SOC-2018 occupations, each with a real PCA-weighted exposure score, rolled up to</t>
        </is>
      </c>
    </row>
    <row r="37">
      <c r="A37" s="3" t="inlineStr">
        <is>
          <t xml:space="preserve">  22 SOC major groups by simple mean (e.g. '15' Computer &amp; Mathematical, '47' Construction &amp; Extraction).</t>
        </is>
      </c>
    </row>
    <row r="38">
      <c r="A38" s="3" t="inlineStr">
        <is>
          <t>Step 2 [sheet 3]: 23 workforce archetypes, each an explicit blend of SOC major groups (e.g. Software = 55%</t>
        </is>
      </c>
    </row>
    <row r="39">
      <c r="A39" s="3" t="inlineStr">
        <is>
          <t xml:space="preserve">  Computer &amp; Mathematical + 20% Sales + 15% Management + 10% Office &amp; Admin). Each archetype's exposure</t>
        </is>
      </c>
    </row>
    <row r="40">
      <c r="A40" s="3" t="inlineStr">
        <is>
          <t xml:space="preserve">  score = SUMPRODUCT(mix weights, SOC major group scores) — a live formula, not a lookup table.</t>
        </is>
      </c>
    </row>
    <row r="41">
      <c r="A41" s="3" t="inlineStr">
        <is>
          <t>Step 3 [sheet 3]: that score is converted to a PERCENTILE RANK against the real 778-occupation distribution</t>
        </is>
      </c>
    </row>
    <row r="42">
      <c r="A42" s="3" t="inlineStr">
        <is>
          <t xml:space="preserve">  — i.e. "this archetype's workforce sits at the Nth percentile of AI exposure across the whole US economy,"</t>
        </is>
      </c>
    </row>
    <row r="43">
      <c r="A43" s="3" t="inlineStr">
        <is>
          <t xml:space="preserve">  a single, intuitive, real number.</t>
        </is>
      </c>
    </row>
    <row r="44">
      <c r="A44" s="3" t="inlineStr">
        <is>
          <t>Step 4 [sheet 2]: every GICS Sub-Industry is assigned ONE archetype (Industry-Group default + named</t>
        </is>
      </c>
    </row>
    <row r="45">
      <c r="A45" s="3" t="inlineStr">
        <is>
          <t xml:space="preserve">  sub-industry overrides where a group is genuinely mixed, e.g. Homebuilding pulled out of Household</t>
        </is>
      </c>
    </row>
    <row r="46">
      <c r="A46" s="3" t="inlineStr">
        <is>
          <t xml:space="preserve">  Durables into Construction).</t>
        </is>
      </c>
    </row>
    <row r="47">
      <c r="A47" s="3" t="inlineStr">
        <is>
          <t>Step 5 [sheet 5]: three channels, each = ExposurePercentile x a named real/editable multiplier:</t>
        </is>
      </c>
    </row>
    <row r="48">
      <c r="A48" s="3" t="inlineStr"/>
    </row>
    <row r="49">
      <c r="A49" s="3" t="inlineStr">
        <is>
          <t xml:space="preserve">  Revenue Decline %      = ExposurePercentile x AutomationShare(43%, real) x SubstitutionSeverity(dial)</t>
        </is>
      </c>
    </row>
    <row r="50">
      <c r="A50" s="3" t="inlineStr">
        <is>
          <t xml:space="preserve">  Margin Decline (pp)    = ExposurePercentile x PriceDeflationSeverity(dial)</t>
        </is>
      </c>
    </row>
    <row r="51">
      <c r="A51" s="3" t="inlineStr">
        <is>
          <t xml:space="preserve">  Margin Benefit (pp)    = ExposurePercentile x LaborCostIntensity(archetype) x AugmentationShare(57%, real)</t>
        </is>
      </c>
    </row>
    <row r="52">
      <c r="A52" s="3" t="inlineStr">
        <is>
          <t xml:space="preserve">                            x CostDeflationSeverity(dial)</t>
        </is>
      </c>
    </row>
    <row r="53">
      <c r="A53" s="3" t="inlineStr">
        <is>
          <t xml:space="preserve">  Net EBITDA Margin (pp) = Margin Benefit − Margin Decline</t>
        </is>
      </c>
    </row>
    <row r="54">
      <c r="A54" s="3" t="inlineStr"/>
    </row>
    <row r="55">
      <c r="A55" s="4" t="inlineStr">
        <is>
          <t>WHY THE SIGN ISN'T UNIFORM — THE ONE DESIGN CHOICE THAT MATTERS MOST</t>
        </is>
      </c>
    </row>
    <row r="56">
      <c r="A56" s="3" t="inlineStr">
        <is>
          <t>An earlier, simpler version of this scenario scaled BOTH the margin-decline and margin-benefit channels by</t>
        </is>
      </c>
    </row>
    <row r="57">
      <c r="A57" s="3" t="inlineStr">
        <is>
          <t>the SAME exposure percentile with fixed multipliers — which is mathematically incapable of producing a net</t>
        </is>
      </c>
    </row>
    <row r="58">
      <c r="A58" s="3" t="inlineStr">
        <is>
          <t>positive result for ANY industry, regardless of calibration (both terms move together, so one must always</t>
        </is>
      </c>
    </row>
    <row r="59">
      <c r="A59" s="3" t="inlineStr">
        <is>
          <t>dominate everywhere). That contradicts the PC Stress Framework's own established position that AI's sign is</t>
        </is>
      </c>
    </row>
    <row r="60">
      <c r="A60" s="3" t="inlineStr">
        <is>
          <t>NOT uniformly negative (Section 14, the Northwind AI scenario, where a 30%-captured offshore-labour cost</t>
        </is>
      </c>
    </row>
    <row r="61">
      <c r="A61" s="3" t="inlineStr">
        <is>
          <t>offset materially reduced the headline EBITDA hit). The fix: Margin Benefit depends on Labor Cost Intensity —</t>
        </is>
      </c>
    </row>
    <row r="62">
      <c r="A62" s="3" t="inlineStr">
        <is>
          <t>an independent, separately-estimated archetype characteristic — while Margin Decline does not. A high-</t>
        </is>
      </c>
    </row>
    <row r="63">
      <c r="A63" s="3" t="inlineStr">
        <is>
          <t>exposure, labour-intensive business (Professional &amp; Business Services, 70% labour cost) can genuinely out-</t>
        </is>
      </c>
    </row>
    <row r="64">
      <c r="A64" s="3" t="inlineStr">
        <is>
          <t>earn the price pressure it faces, because it has a large cost base to automate. A high-exposure, asset-heavy</t>
        </is>
      </c>
    </row>
    <row r="65">
      <c r="A65" s="3" t="inlineStr">
        <is>
          <t>business (Real Estate, 15% labour cost) faces the same commoditisation pressure with almost nothing to cut</t>
        </is>
      </c>
    </row>
    <row r="66">
      <c r="A66" s="3" t="inlineStr">
        <is>
          <t>— it just loses. Both are real, different, and now visible as different signs in the output, not asserted.</t>
        </is>
      </c>
    </row>
    <row r="67">
      <c r="A67" s="3" t="inlineStr"/>
    </row>
    <row r="68">
      <c r="A68" s="4" t="inlineStr">
        <is>
          <t>SHEET GUIDE</t>
        </is>
      </c>
    </row>
    <row r="69">
      <c r="A69" s="3" t="inlineStr">
        <is>
          <t>1_SOC_Exposure_Data   778 real occupations + 22 SOC-major-group rollup. Values only, exactly as downloaded.</t>
        </is>
      </c>
    </row>
    <row r="70">
      <c r="A70" s="3" t="inlineStr">
        <is>
          <t>2_GICS_Archetype_Map  163 GICS sub-industries -&gt; archetype, with every override reason stated. Values only.</t>
        </is>
      </c>
    </row>
    <row r="71">
      <c r="A71" s="3" t="inlineStr">
        <is>
          <t>3_Archetype_Params    23 archetypes: occupation mix, labor intensity (judgement), live exposure score/</t>
        </is>
      </c>
    </row>
    <row r="72">
      <c r="A72" s="3" t="inlineStr">
        <is>
          <t xml:space="preserve">                       percentile (formula, real data).</t>
        </is>
      </c>
    </row>
    <row r="73">
      <c r="A73" s="3" t="inlineStr">
        <is>
          <t>4_Severity_Dials      5 editable global assumptions incl. the real 57/43 AEI split.</t>
        </is>
      </c>
    </row>
    <row r="74">
      <c r="A74" s="3" t="inlineStr">
        <is>
          <t>5_GICS_Scenario_Output 163 rows: the three-channel shock per sub-industry, ready to paste into the</t>
        </is>
      </c>
    </row>
    <row r="75">
      <c r="A75" s="3" t="inlineStr">
        <is>
          <t xml:space="preserve">                       'Emerging Risk Revenue Overlay %' column of PC_Deal_Level_Stress_Model.xlsx's</t>
        </is>
      </c>
    </row>
    <row r="76">
      <c r="A76" s="3" t="inlineStr">
        <is>
          <t xml:space="preserve">                       1_GICS_Shock_Input sheet (and a new margin-impact column if you want to wire that 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2" customWidth="1" min="2" max="2"/>
    <col width="14" customWidth="1" min="3" max="3"/>
    <col width="14" customWidth="1" min="4" max="4"/>
  </cols>
  <sheetData>
    <row r="1" ht="28" customHeight="1">
      <c r="A1" t="inlineStr">
        <is>
          <t>REAL DATA, VALUES ONLY. The Budget Lab at Yale, sheet F1, downloaded unmodified 8 Aug 2026. 778 SOC-2018 occupations, PCA-weighted composite exposure z-score across Felten AIOE / Eloundou et al. / Eisfeldt et al. / Tomlinson et al.</t>
        </is>
      </c>
    </row>
    <row r="3">
      <c r="A3" s="5" t="inlineStr">
        <is>
          <t>SOC 2018</t>
        </is>
      </c>
      <c r="B3" s="5" t="inlineStr">
        <is>
          <t>Occupation</t>
        </is>
      </c>
      <c r="C3" s="5" t="inlineStr">
        <is>
          <t>PCA Weighted
Score</t>
        </is>
      </c>
      <c r="D3" s="5" t="inlineStr">
        <is>
          <t>Z-Score
Variance</t>
        </is>
      </c>
    </row>
    <row r="4">
      <c r="A4" s="6" t="inlineStr">
        <is>
          <t>11-1011</t>
        </is>
      </c>
      <c r="B4" s="6" t="inlineStr">
        <is>
          <t>Chief Executives</t>
        </is>
      </c>
      <c r="C4" s="7" t="n">
        <v>2.0259</v>
      </c>
      <c r="D4" s="7" t="n">
        <v>0.3166</v>
      </c>
    </row>
    <row r="5">
      <c r="A5" s="6" t="inlineStr">
        <is>
          <t>11-1021</t>
        </is>
      </c>
      <c r="B5" s="6" t="inlineStr">
        <is>
          <t>General and Operations Managers</t>
        </is>
      </c>
      <c r="C5" s="7" t="n">
        <v>0.5897</v>
      </c>
      <c r="D5" s="7" t="n">
        <v>0.2247</v>
      </c>
    </row>
    <row r="6">
      <c r="A6" s="6" t="inlineStr">
        <is>
          <t>11-2011</t>
        </is>
      </c>
      <c r="B6" s="6" t="inlineStr">
        <is>
          <t>Advertising and Promotions Managers</t>
        </is>
      </c>
      <c r="C6" s="7" t="n">
        <v>1.9854</v>
      </c>
      <c r="D6" s="7" t="n">
        <v>0.1517</v>
      </c>
    </row>
    <row r="7">
      <c r="A7" s="6" t="inlineStr">
        <is>
          <t>11-2021</t>
        </is>
      </c>
      <c r="B7" s="6" t="inlineStr">
        <is>
          <t>Marketing Managers</t>
        </is>
      </c>
      <c r="C7" s="7" t="n">
        <v>2.2378</v>
      </c>
      <c r="D7" s="7" t="n">
        <v>0.1935</v>
      </c>
    </row>
    <row r="8">
      <c r="A8" s="6" t="inlineStr">
        <is>
          <t>11-2022</t>
        </is>
      </c>
      <c r="B8" s="6" t="inlineStr">
        <is>
          <t>Sales Managers</t>
        </is>
      </c>
      <c r="C8" s="7" t="n">
        <v>1.4109</v>
      </c>
      <c r="D8" s="7" t="n">
        <v>0.214</v>
      </c>
    </row>
    <row r="9">
      <c r="A9" s="6" t="inlineStr">
        <is>
          <t>11-2032</t>
        </is>
      </c>
      <c r="B9" s="6" t="inlineStr">
        <is>
          <t>Public Relations Managers</t>
        </is>
      </c>
      <c r="C9" s="7" t="n">
        <v>0.4688</v>
      </c>
      <c r="D9" s="7" t="n">
        <v>0.9916</v>
      </c>
    </row>
    <row r="10">
      <c r="A10" s="6" t="inlineStr">
        <is>
          <t>11-2033</t>
        </is>
      </c>
      <c r="B10" s="6" t="inlineStr">
        <is>
          <t>Fundraising Managers</t>
        </is>
      </c>
      <c r="C10" s="7" t="n">
        <v>0.0664</v>
      </c>
      <c r="D10" s="7" t="n">
        <v>0.805</v>
      </c>
    </row>
    <row r="11">
      <c r="A11" s="6" t="inlineStr">
        <is>
          <t>11-3012</t>
        </is>
      </c>
      <c r="B11" s="6" t="inlineStr">
        <is>
          <t>Administrative Services Managers</t>
        </is>
      </c>
      <c r="C11" s="7" t="n">
        <v>1.4767</v>
      </c>
      <c r="D11" s="7" t="n">
        <v>0.5427</v>
      </c>
    </row>
    <row r="12">
      <c r="A12" s="6" t="inlineStr">
        <is>
          <t>11-3013</t>
        </is>
      </c>
      <c r="B12" s="6" t="inlineStr">
        <is>
          <t>Facilities Managers</t>
        </is>
      </c>
      <c r="C12" s="7" t="n">
        <v>-0.759</v>
      </c>
      <c r="D12" s="7" t="n">
        <v>0.5175</v>
      </c>
    </row>
    <row r="13">
      <c r="A13" s="6" t="inlineStr">
        <is>
          <t>11-3021</t>
        </is>
      </c>
      <c r="B13" s="6" t="inlineStr">
        <is>
          <t>Computer and Information Systems Managers</t>
        </is>
      </c>
      <c r="C13" s="7" t="n">
        <v>2.7131</v>
      </c>
      <c r="D13" s="7" t="n">
        <v>0.465</v>
      </c>
    </row>
    <row r="14">
      <c r="A14" s="6" t="inlineStr">
        <is>
          <t>11-3031</t>
        </is>
      </c>
      <c r="B14" s="6" t="inlineStr">
        <is>
          <t>Financial Managers</t>
        </is>
      </c>
      <c r="C14" s="7" t="n">
        <v>1.6898</v>
      </c>
      <c r="D14" s="7" t="n">
        <v>0.303</v>
      </c>
    </row>
    <row r="15">
      <c r="A15" s="6" t="inlineStr">
        <is>
          <t>11-3051</t>
        </is>
      </c>
      <c r="B15" s="6" t="inlineStr">
        <is>
          <t>Industrial Production Managers</t>
        </is>
      </c>
      <c r="C15" s="7" t="n">
        <v>0.3459</v>
      </c>
      <c r="D15" s="7" t="n">
        <v>0.1033</v>
      </c>
    </row>
    <row r="16">
      <c r="A16" s="6" t="inlineStr">
        <is>
          <t>11-3061</t>
        </is>
      </c>
      <c r="B16" s="6" t="inlineStr">
        <is>
          <t>Purchasing Managers</t>
        </is>
      </c>
      <c r="C16" s="7" t="n">
        <v>2.1162</v>
      </c>
      <c r="D16" s="7" t="n">
        <v>0.5271</v>
      </c>
    </row>
    <row r="17">
      <c r="A17" s="6" t="inlineStr">
        <is>
          <t>11-3071</t>
        </is>
      </c>
      <c r="B17" s="6" t="inlineStr">
        <is>
          <t>Transportation, Storage, and Distribution Managers</t>
        </is>
      </c>
      <c r="C17" s="7" t="n">
        <v>2.0263</v>
      </c>
      <c r="D17" s="7" t="n">
        <v>0.0594</v>
      </c>
    </row>
    <row r="18">
      <c r="A18" s="6" t="inlineStr">
        <is>
          <t>11-3111</t>
        </is>
      </c>
      <c r="B18" s="6" t="inlineStr">
        <is>
          <t>Compensation and Benefits Managers</t>
        </is>
      </c>
      <c r="C18" s="7" t="n">
        <v>1.7224</v>
      </c>
      <c r="D18" s="7" t="n">
        <v>0.2649</v>
      </c>
    </row>
    <row r="19">
      <c r="A19" s="6" t="inlineStr">
        <is>
          <t>11-3121</t>
        </is>
      </c>
      <c r="B19" s="6" t="inlineStr">
        <is>
          <t>Human Resources Managers</t>
        </is>
      </c>
      <c r="C19" s="7" t="n">
        <v>1.8102</v>
      </c>
      <c r="D19" s="7" t="n">
        <v>0.2944</v>
      </c>
    </row>
    <row r="20">
      <c r="A20" s="6" t="inlineStr">
        <is>
          <t>11-3131</t>
        </is>
      </c>
      <c r="B20" s="6" t="inlineStr">
        <is>
          <t>Training and Development Managers</t>
        </is>
      </c>
      <c r="C20" s="7" t="n">
        <v>2.3698</v>
      </c>
      <c r="D20" s="7" t="n">
        <v>0.1544</v>
      </c>
    </row>
    <row r="21">
      <c r="A21" s="6" t="inlineStr">
        <is>
          <t>11-9013</t>
        </is>
      </c>
      <c r="B21" s="6" t="inlineStr">
        <is>
          <t>Farmers, Ranchers, and Other Agricultural Managers</t>
        </is>
      </c>
      <c r="C21" s="7" t="n">
        <v>-0.7604</v>
      </c>
      <c r="D21" s="7" t="n">
        <v>0.1083</v>
      </c>
    </row>
    <row r="22">
      <c r="A22" s="6" t="inlineStr">
        <is>
          <t>11-9021</t>
        </is>
      </c>
      <c r="B22" s="6" t="inlineStr">
        <is>
          <t>Construction Managers</t>
        </is>
      </c>
      <c r="C22" s="7" t="n">
        <v>0.6516</v>
      </c>
      <c r="D22" s="7" t="n">
        <v>0.2649</v>
      </c>
    </row>
    <row r="23">
      <c r="A23" s="6" t="inlineStr">
        <is>
          <t>11-9031</t>
        </is>
      </c>
      <c r="B23" s="6" t="inlineStr">
        <is>
          <t>Education and Childcare Administrators, Preschool and Daycare</t>
        </is>
      </c>
      <c r="C23" s="7" t="n">
        <v>1.5322</v>
      </c>
      <c r="D23" s="7" t="n">
        <v>0.2345</v>
      </c>
    </row>
    <row r="24">
      <c r="A24" s="6" t="inlineStr">
        <is>
          <t>11-9032</t>
        </is>
      </c>
      <c r="B24" s="6" t="inlineStr">
        <is>
          <t>Education Administrators, Kindergarten through Secondary</t>
        </is>
      </c>
      <c r="C24" s="7" t="n">
        <v>1.481</v>
      </c>
      <c r="D24" s="7" t="n">
        <v>0.2206</v>
      </c>
    </row>
    <row r="25">
      <c r="A25" s="6" t="inlineStr">
        <is>
          <t>11-9033</t>
        </is>
      </c>
      <c r="B25" s="6" t="inlineStr">
        <is>
          <t>Education Administrators, Postsecondary</t>
        </is>
      </c>
      <c r="C25" s="7" t="n">
        <v>0.9754</v>
      </c>
      <c r="D25" s="7" t="n">
        <v>0.5764</v>
      </c>
    </row>
    <row r="26">
      <c r="A26" s="6" t="inlineStr">
        <is>
          <t>11-9041</t>
        </is>
      </c>
      <c r="B26" s="6" t="inlineStr">
        <is>
          <t>Architectural and Engineering Managers</t>
        </is>
      </c>
      <c r="C26" s="7" t="n">
        <v>1.5799</v>
      </c>
      <c r="D26" s="7" t="n">
        <v>0.2121</v>
      </c>
    </row>
    <row r="27">
      <c r="A27" s="6" t="inlineStr">
        <is>
          <t>11-9051</t>
        </is>
      </c>
      <c r="B27" s="6" t="inlineStr">
        <is>
          <t>Food Service Managers</t>
        </is>
      </c>
      <c r="C27" s="7" t="n">
        <v>0.0064</v>
      </c>
      <c r="D27" s="7" t="n">
        <v>0.1835</v>
      </c>
    </row>
    <row r="28">
      <c r="A28" s="6" t="inlineStr">
        <is>
          <t>11-9071</t>
        </is>
      </c>
      <c r="B28" s="6" t="inlineStr">
        <is>
          <t>Gambling Managers</t>
        </is>
      </c>
      <c r="C28" s="7" t="n">
        <v>0.9372</v>
      </c>
      <c r="D28" s="7" t="n">
        <v>0.4898</v>
      </c>
    </row>
    <row r="29">
      <c r="A29" s="6" t="inlineStr">
        <is>
          <t>11-9072</t>
        </is>
      </c>
      <c r="B29" s="6" t="inlineStr">
        <is>
          <t>Entertainment and Recreation Managers, Except Gambling</t>
        </is>
      </c>
      <c r="C29" s="7" t="n">
        <v>-0.1545</v>
      </c>
      <c r="D29" s="7" t="n">
        <v>0.6258</v>
      </c>
    </row>
    <row r="30">
      <c r="A30" s="6" t="inlineStr">
        <is>
          <t>11-9081</t>
        </is>
      </c>
      <c r="B30" s="6" t="inlineStr">
        <is>
          <t>Lodging Managers</t>
        </is>
      </c>
      <c r="C30" s="7" t="n">
        <v>0.8403</v>
      </c>
      <c r="D30" s="7" t="n">
        <v>0.0406</v>
      </c>
    </row>
    <row r="31">
      <c r="A31" s="6" t="inlineStr">
        <is>
          <t>11-9111</t>
        </is>
      </c>
      <c r="B31" s="6" t="inlineStr">
        <is>
          <t>Medical and Health Services Managers</t>
        </is>
      </c>
      <c r="C31" s="7" t="n">
        <v>1.2441</v>
      </c>
      <c r="D31" s="7" t="n">
        <v>0.1678</v>
      </c>
    </row>
    <row r="32">
      <c r="A32" s="6" t="inlineStr">
        <is>
          <t>11-9121</t>
        </is>
      </c>
      <c r="B32" s="6" t="inlineStr">
        <is>
          <t>Natural Sciences Managers</t>
        </is>
      </c>
      <c r="C32" s="7" t="n">
        <v>2.0419</v>
      </c>
      <c r="D32" s="7" t="n">
        <v>0.4155</v>
      </c>
    </row>
    <row r="33">
      <c r="A33" s="6" t="inlineStr">
        <is>
          <t>11-9131</t>
        </is>
      </c>
      <c r="B33" s="6" t="inlineStr">
        <is>
          <t>Postmasters and Mail Superintendents</t>
        </is>
      </c>
      <c r="C33" s="7" t="n">
        <v>1.3501</v>
      </c>
      <c r="D33" s="7" t="n">
        <v>0.332</v>
      </c>
    </row>
    <row r="34">
      <c r="A34" s="6" t="inlineStr">
        <is>
          <t>11-9141</t>
        </is>
      </c>
      <c r="B34" s="6" t="inlineStr">
        <is>
          <t>Property, Real Estate, and Community Association Managers</t>
        </is>
      </c>
      <c r="C34" s="7" t="n">
        <v>1.2256</v>
      </c>
      <c r="D34" s="7" t="n">
        <v>0.2454</v>
      </c>
    </row>
    <row r="35">
      <c r="A35" s="6" t="inlineStr">
        <is>
          <t>11-9151</t>
        </is>
      </c>
      <c r="B35" s="6" t="inlineStr">
        <is>
          <t>Social and Community Service Managers</t>
        </is>
      </c>
      <c r="C35" s="7" t="n">
        <v>1.3335</v>
      </c>
      <c r="D35" s="7" t="n">
        <v>0.1838</v>
      </c>
    </row>
    <row r="36">
      <c r="A36" s="6" t="inlineStr">
        <is>
          <t>11-9161</t>
        </is>
      </c>
      <c r="B36" s="6" t="inlineStr">
        <is>
          <t>Emergency Management Directors</t>
        </is>
      </c>
      <c r="C36" s="7" t="n">
        <v>2.6588</v>
      </c>
      <c r="D36" s="7" t="n">
        <v>0.3508</v>
      </c>
    </row>
    <row r="37">
      <c r="A37" s="6" t="inlineStr">
        <is>
          <t>11-9171</t>
        </is>
      </c>
      <c r="B37" s="6" t="inlineStr">
        <is>
          <t>Funeral Home Managers</t>
        </is>
      </c>
      <c r="C37" s="7" t="n">
        <v>1.1157</v>
      </c>
      <c r="D37" s="7" t="n">
        <v>0.1686</v>
      </c>
    </row>
    <row r="38">
      <c r="A38" s="6" t="inlineStr">
        <is>
          <t>11-9179</t>
        </is>
      </c>
      <c r="B38" s="6" t="inlineStr">
        <is>
          <t>Personal Service Managers, All Other</t>
        </is>
      </c>
      <c r="C38" s="7" t="n">
        <v>1.4852</v>
      </c>
      <c r="D38" s="7" t="n">
        <v>0.2361</v>
      </c>
    </row>
    <row r="39">
      <c r="A39" s="6" t="inlineStr">
        <is>
          <t>11-9199</t>
        </is>
      </c>
      <c r="B39" s="6" t="inlineStr">
        <is>
          <t>Managers, All Other</t>
        </is>
      </c>
      <c r="C39" s="7" t="n">
        <v>1.8466</v>
      </c>
      <c r="D39" s="7" t="n">
        <v>0.2259</v>
      </c>
    </row>
    <row r="40">
      <c r="A40" s="6" t="inlineStr">
        <is>
          <t>13-1011</t>
        </is>
      </c>
      <c r="B40" s="6" t="inlineStr">
        <is>
          <t>Agents and Business Managers of Artists, Performers, and Athletes</t>
        </is>
      </c>
      <c r="C40" s="7" t="n">
        <v>2.5028</v>
      </c>
      <c r="D40" s="7" t="n">
        <v>0.1225</v>
      </c>
    </row>
    <row r="41">
      <c r="A41" s="6" t="inlineStr">
        <is>
          <t>13-1021</t>
        </is>
      </c>
      <c r="B41" s="6" t="inlineStr">
        <is>
          <t>Buyers and purchasing agents, farm products</t>
        </is>
      </c>
      <c r="C41" s="7" t="n">
        <v>0.4843</v>
      </c>
      <c r="D41" s="7" t="n">
        <v>0.4547</v>
      </c>
    </row>
    <row r="42">
      <c r="A42" s="6" t="inlineStr">
        <is>
          <t>13-1022</t>
        </is>
      </c>
      <c r="B42" s="6" t="inlineStr">
        <is>
          <t>Wholesale and Retail Buyers, Except Farm Products</t>
        </is>
      </c>
      <c r="C42" s="7" t="n">
        <v>1.0392</v>
      </c>
      <c r="D42" s="7" t="n">
        <v>0.4461</v>
      </c>
    </row>
    <row r="43">
      <c r="A43" s="6" t="inlineStr">
        <is>
          <t>13-1023</t>
        </is>
      </c>
      <c r="B43" s="6" t="inlineStr">
        <is>
          <t>Purchasing Agents, Except Wholesale, Retail, and Farm Products</t>
        </is>
      </c>
      <c r="C43" s="7" t="n">
        <v>1.7166</v>
      </c>
      <c r="D43" s="7" t="n">
        <v>0.8008</v>
      </c>
    </row>
    <row r="44">
      <c r="A44" s="6" t="inlineStr">
        <is>
          <t>13-1031</t>
        </is>
      </c>
      <c r="B44" s="6" t="inlineStr">
        <is>
          <t>Claims Adjusters, Examiners, and Investigators</t>
        </is>
      </c>
      <c r="C44" s="7" t="n">
        <v>2.4376</v>
      </c>
      <c r="D44" s="7" t="n">
        <v>0.1033</v>
      </c>
    </row>
    <row r="45">
      <c r="A45" s="6" t="inlineStr">
        <is>
          <t>13-1032</t>
        </is>
      </c>
      <c r="B45" s="6" t="inlineStr">
        <is>
          <t>Insurance Appraisers, Auto Damage</t>
        </is>
      </c>
      <c r="C45" s="7" t="n">
        <v>1.7664</v>
      </c>
      <c r="D45" s="7" t="n">
        <v>0.0833</v>
      </c>
    </row>
    <row r="46">
      <c r="A46" s="6" t="inlineStr">
        <is>
          <t>13-1041</t>
        </is>
      </c>
      <c r="B46" s="6" t="inlineStr">
        <is>
          <t>Compliance Officers</t>
        </is>
      </c>
      <c r="C46" s="7" t="n">
        <v>1.7801</v>
      </c>
      <c r="D46" s="7" t="n">
        <v>0.0927</v>
      </c>
    </row>
    <row r="47">
      <c r="A47" s="6" t="inlineStr">
        <is>
          <t>13-1051</t>
        </is>
      </c>
      <c r="B47" s="6" t="inlineStr">
        <is>
          <t>Cost Estimators</t>
        </is>
      </c>
      <c r="C47" s="7" t="n">
        <v>2.4433</v>
      </c>
      <c r="D47" s="7" t="n">
        <v>0.0406</v>
      </c>
    </row>
    <row r="48">
      <c r="A48" s="6" t="inlineStr">
        <is>
          <t>13-1071</t>
        </is>
      </c>
      <c r="B48" s="6" t="inlineStr">
        <is>
          <t>Human Resources Specialists</t>
        </is>
      </c>
      <c r="C48" s="7" t="n">
        <v>2.6794</v>
      </c>
      <c r="D48" s="7" t="n">
        <v>0.1876</v>
      </c>
    </row>
    <row r="49">
      <c r="A49" s="6" t="inlineStr">
        <is>
          <t>13-1074</t>
        </is>
      </c>
      <c r="B49" s="6" t="inlineStr">
        <is>
          <t>Farm Labor Contractors</t>
        </is>
      </c>
      <c r="C49" s="7" t="n">
        <v>-2.1511</v>
      </c>
      <c r="D49" s="7" t="n">
        <v>0.1016</v>
      </c>
    </row>
    <row r="50">
      <c r="A50" s="6" t="inlineStr">
        <is>
          <t>13-1075</t>
        </is>
      </c>
      <c r="B50" s="6" t="inlineStr">
        <is>
          <t>Labor Relations Specialists</t>
        </is>
      </c>
      <c r="C50" s="7" t="n">
        <v>2.3131</v>
      </c>
      <c r="D50" s="7" t="n">
        <v>0.9671</v>
      </c>
    </row>
    <row r="51">
      <c r="A51" s="6" t="inlineStr">
        <is>
          <t>13-1081</t>
        </is>
      </c>
      <c r="B51" s="6" t="inlineStr">
        <is>
          <t>Logisticians</t>
        </is>
      </c>
      <c r="C51" s="7" t="n">
        <v>2.4977</v>
      </c>
      <c r="D51" s="7" t="n">
        <v>0.2952</v>
      </c>
    </row>
    <row r="52">
      <c r="A52" s="6" t="inlineStr">
        <is>
          <t>13-1082</t>
        </is>
      </c>
      <c r="B52" s="6" t="inlineStr">
        <is>
          <t>Project Management Specialists</t>
        </is>
      </c>
      <c r="C52" s="7" t="n">
        <v>-0.0598</v>
      </c>
      <c r="D52" s="7" t="n">
        <v>0.6277</v>
      </c>
    </row>
    <row r="53">
      <c r="A53" s="6" t="inlineStr">
        <is>
          <t>13-1111</t>
        </is>
      </c>
      <c r="B53" s="6" t="inlineStr">
        <is>
          <t>Management Analysts</t>
        </is>
      </c>
      <c r="C53" s="7" t="n">
        <v>2.8481</v>
      </c>
      <c r="D53" s="7" t="n">
        <v>0.2517</v>
      </c>
    </row>
    <row r="54">
      <c r="A54" s="6" t="inlineStr">
        <is>
          <t>13-1121</t>
        </is>
      </c>
      <c r="B54" s="6" t="inlineStr">
        <is>
          <t>Meeting, Convention, and Event Planners</t>
        </is>
      </c>
      <c r="C54" s="7" t="n">
        <v>1.4188</v>
      </c>
      <c r="D54" s="7" t="n">
        <v>0.2277</v>
      </c>
    </row>
    <row r="55">
      <c r="A55" s="6" t="inlineStr">
        <is>
          <t>13-1131</t>
        </is>
      </c>
      <c r="B55" s="6" t="inlineStr">
        <is>
          <t>Fundraisers</t>
        </is>
      </c>
      <c r="C55" s="7" t="n">
        <v>1.7828</v>
      </c>
      <c r="D55" s="7" t="n">
        <v>0.3221</v>
      </c>
    </row>
    <row r="56">
      <c r="A56" s="6" t="inlineStr">
        <is>
          <t>13-1141</t>
        </is>
      </c>
      <c r="B56" s="6" t="inlineStr">
        <is>
          <t>Compensation, Benefits, and Job Analysis Specialists</t>
        </is>
      </c>
      <c r="C56" s="7" t="n">
        <v>2.3918</v>
      </c>
      <c r="D56" s="7" t="n">
        <v>0.3533</v>
      </c>
    </row>
    <row r="57">
      <c r="A57" s="6" t="inlineStr">
        <is>
          <t>13-1151</t>
        </is>
      </c>
      <c r="B57" s="6" t="inlineStr">
        <is>
          <t>Training and Development Specialists</t>
        </is>
      </c>
      <c r="C57" s="7" t="n">
        <v>2.8677</v>
      </c>
      <c r="D57" s="7" t="n">
        <v>0.0743</v>
      </c>
    </row>
    <row r="58">
      <c r="A58" s="6" t="inlineStr">
        <is>
          <t>13-1161</t>
        </is>
      </c>
      <c r="B58" s="6" t="inlineStr">
        <is>
          <t>Market Research Analysts and Marketing Specialists</t>
        </is>
      </c>
      <c r="C58" s="7" t="n">
        <v>3.1281</v>
      </c>
      <c r="D58" s="7" t="n">
        <v>0.08749999999999999</v>
      </c>
    </row>
    <row r="59">
      <c r="A59" s="6" t="inlineStr">
        <is>
          <t>13-1199</t>
        </is>
      </c>
      <c r="B59" s="6" t="inlineStr">
        <is>
          <t>Business Operations Specialists, All Other</t>
        </is>
      </c>
      <c r="C59" s="7" t="n">
        <v>2.9395</v>
      </c>
      <c r="D59" s="7" t="n">
        <v>0.1577</v>
      </c>
    </row>
    <row r="60">
      <c r="A60" s="6" t="inlineStr">
        <is>
          <t>13-2011</t>
        </is>
      </c>
      <c r="B60" s="6" t="inlineStr">
        <is>
          <t>Accountants and Auditors</t>
        </is>
      </c>
      <c r="C60" s="7" t="n">
        <v>2.7241</v>
      </c>
      <c r="D60" s="7" t="n">
        <v>0.149</v>
      </c>
    </row>
    <row r="61">
      <c r="A61" s="6" t="inlineStr">
        <is>
          <t>13-2022</t>
        </is>
      </c>
      <c r="B61" s="6" t="inlineStr">
        <is>
          <t>Property appraisers and assessors</t>
        </is>
      </c>
      <c r="C61" s="7" t="n">
        <v>0.1007</v>
      </c>
      <c r="D61" s="7" t="n">
        <v>1.036</v>
      </c>
    </row>
    <row r="62">
      <c r="A62" s="6" t="inlineStr">
        <is>
          <t>13-2023</t>
        </is>
      </c>
      <c r="B62" s="6" t="inlineStr">
        <is>
          <t>Appraisers and Assessors of Real Estate</t>
        </is>
      </c>
      <c r="C62" s="7" t="n">
        <v>1.494</v>
      </c>
      <c r="D62" s="7" t="n">
        <v>0.2838</v>
      </c>
    </row>
    <row r="63">
      <c r="A63" s="6" t="inlineStr">
        <is>
          <t>13-2031</t>
        </is>
      </c>
      <c r="B63" s="6" t="inlineStr">
        <is>
          <t>Budget Analysts</t>
        </is>
      </c>
      <c r="C63" s="7" t="n">
        <v>2.8455</v>
      </c>
      <c r="D63" s="7" t="n">
        <v>0.1635</v>
      </c>
    </row>
    <row r="64">
      <c r="A64" s="6" t="inlineStr">
        <is>
          <t>13-2041</t>
        </is>
      </c>
      <c r="B64" s="6" t="inlineStr">
        <is>
          <t>Credit Analysts</t>
        </is>
      </c>
      <c r="C64" s="7" t="n">
        <v>2.7924</v>
      </c>
      <c r="D64" s="7" t="n">
        <v>0.3973</v>
      </c>
    </row>
    <row r="65">
      <c r="A65" s="6" t="inlineStr">
        <is>
          <t>13-2051</t>
        </is>
      </c>
      <c r="B65" s="6" t="inlineStr">
        <is>
          <t>Financial and Investment Analysts</t>
        </is>
      </c>
      <c r="C65" s="7" t="n">
        <v>0.3124</v>
      </c>
      <c r="D65" s="7" t="n">
        <v>0.866</v>
      </c>
    </row>
    <row r="66">
      <c r="A66" s="6" t="inlineStr">
        <is>
          <t>13-2052</t>
        </is>
      </c>
      <c r="B66" s="6" t="inlineStr">
        <is>
          <t>Personal Financial Advisors</t>
        </is>
      </c>
      <c r="C66" s="7" t="n">
        <v>3.2152</v>
      </c>
      <c r="D66" s="7" t="n">
        <v>0.21</v>
      </c>
    </row>
    <row r="67">
      <c r="A67" s="6" t="inlineStr">
        <is>
          <t>13-2053</t>
        </is>
      </c>
      <c r="B67" s="6" t="inlineStr">
        <is>
          <t>Insurance Underwriters</t>
        </is>
      </c>
      <c r="C67" s="7" t="n">
        <v>2.6344</v>
      </c>
      <c r="D67" s="7" t="n">
        <v>0.3416</v>
      </c>
    </row>
    <row r="68">
      <c r="A68" s="6" t="inlineStr">
        <is>
          <t>13-2054</t>
        </is>
      </c>
      <c r="B68" s="6" t="inlineStr">
        <is>
          <t>Financial Risk Specialists</t>
        </is>
      </c>
      <c r="C68" s="7" t="n">
        <v>0.4921</v>
      </c>
      <c r="D68" s="7" t="n">
        <v>1.0088</v>
      </c>
    </row>
    <row r="69">
      <c r="A69" s="6" t="inlineStr">
        <is>
          <t>13-2061</t>
        </is>
      </c>
      <c r="B69" s="6" t="inlineStr">
        <is>
          <t>Financial Examiners</t>
        </is>
      </c>
      <c r="C69" s="7" t="n">
        <v>2.4274</v>
      </c>
      <c r="D69" s="7" t="n">
        <v>0.4059</v>
      </c>
    </row>
    <row r="70">
      <c r="A70" s="6" t="inlineStr">
        <is>
          <t>13-2071</t>
        </is>
      </c>
      <c r="B70" s="6" t="inlineStr">
        <is>
          <t>Credit Counselors</t>
        </is>
      </c>
      <c r="C70" s="7" t="n">
        <v>3.2583</v>
      </c>
      <c r="D70" s="7" t="n">
        <v>0.1346</v>
      </c>
    </row>
    <row r="71">
      <c r="A71" s="6" t="inlineStr">
        <is>
          <t>13-2072</t>
        </is>
      </c>
      <c r="B71" s="6" t="inlineStr">
        <is>
          <t>Loan Officers</t>
        </is>
      </c>
      <c r="C71" s="7" t="n">
        <v>2.9319</v>
      </c>
      <c r="D71" s="7" t="n">
        <v>0.1157</v>
      </c>
    </row>
    <row r="72">
      <c r="A72" s="6" t="inlineStr">
        <is>
          <t>13-2081</t>
        </is>
      </c>
      <c r="B72" s="6" t="inlineStr">
        <is>
          <t>Tax Examiners and Collectors, and Revenue Agents</t>
        </is>
      </c>
      <c r="C72" s="7" t="n">
        <v>2.8759</v>
      </c>
      <c r="D72" s="7" t="n">
        <v>0.4379</v>
      </c>
    </row>
    <row r="73">
      <c r="A73" s="6" t="inlineStr">
        <is>
          <t>13-2082</t>
        </is>
      </c>
      <c r="B73" s="6" t="inlineStr">
        <is>
          <t>Tax Preparers</t>
        </is>
      </c>
      <c r="C73" s="7" t="n">
        <v>3.8415</v>
      </c>
      <c r="D73" s="7" t="n">
        <v>0.0926</v>
      </c>
    </row>
    <row r="74">
      <c r="A74" s="6" t="inlineStr">
        <is>
          <t>13-2099</t>
        </is>
      </c>
      <c r="B74" s="6" t="inlineStr">
        <is>
          <t>Financial Specialists, All Other</t>
        </is>
      </c>
      <c r="C74" s="7" t="n">
        <v>3.0825</v>
      </c>
      <c r="D74" s="7" t="n">
        <v>0.0597</v>
      </c>
    </row>
    <row r="75">
      <c r="A75" s="6" t="inlineStr">
        <is>
          <t>15-1211</t>
        </is>
      </c>
      <c r="B75" s="6" t="inlineStr">
        <is>
          <t>Computer Systems Analysts</t>
        </is>
      </c>
      <c r="C75" s="7" t="n">
        <v>3.613</v>
      </c>
      <c r="D75" s="7" t="n">
        <v>0.07969999999999999</v>
      </c>
    </row>
    <row r="76">
      <c r="A76" s="6" t="inlineStr">
        <is>
          <t>15-1212</t>
        </is>
      </c>
      <c r="B76" s="6" t="inlineStr">
        <is>
          <t>Information Security Analysts</t>
        </is>
      </c>
      <c r="C76" s="7" t="n">
        <v>4.0567</v>
      </c>
      <c r="D76" s="7" t="n">
        <v>0.7689</v>
      </c>
    </row>
    <row r="77">
      <c r="A77" s="6" t="inlineStr">
        <is>
          <t>15-1221</t>
        </is>
      </c>
      <c r="B77" s="6" t="inlineStr">
        <is>
          <t>Computer and Information Research Scientists</t>
        </is>
      </c>
      <c r="C77" s="7" t="n">
        <v>3.1135</v>
      </c>
      <c r="D77" s="7" t="n">
        <v>0.5309</v>
      </c>
    </row>
    <row r="78">
      <c r="A78" s="6" t="inlineStr">
        <is>
          <t>15-1231</t>
        </is>
      </c>
      <c r="B78" s="6" t="inlineStr">
        <is>
          <t>Computer Network Support Specialists</t>
        </is>
      </c>
      <c r="C78" s="7" t="n">
        <v>3.844</v>
      </c>
      <c r="D78" s="7" t="n">
        <v>0.4034</v>
      </c>
    </row>
    <row r="79">
      <c r="A79" s="6" t="inlineStr">
        <is>
          <t>15-1232</t>
        </is>
      </c>
      <c r="B79" s="6" t="inlineStr">
        <is>
          <t>Computer User Support Specialists</t>
        </is>
      </c>
      <c r="C79" s="7" t="n">
        <v>3.5053</v>
      </c>
      <c r="D79" s="7" t="n">
        <v>0.3553</v>
      </c>
    </row>
    <row r="80">
      <c r="A80" s="6" t="inlineStr">
        <is>
          <t>15-1241</t>
        </is>
      </c>
      <c r="B80" s="6" t="inlineStr">
        <is>
          <t>Computer Network Architects</t>
        </is>
      </c>
      <c r="C80" s="7" t="n">
        <v>3.135</v>
      </c>
      <c r="D80" s="7" t="n">
        <v>0.2327</v>
      </c>
    </row>
    <row r="81">
      <c r="A81" s="6" t="inlineStr">
        <is>
          <t>15-1242</t>
        </is>
      </c>
      <c r="B81" s="6" t="inlineStr">
        <is>
          <t>Database Administrators</t>
        </is>
      </c>
      <c r="C81" s="7" t="n">
        <v>4.1873</v>
      </c>
      <c r="D81" s="7" t="n">
        <v>0.3096</v>
      </c>
    </row>
    <row r="82">
      <c r="A82" s="6" t="inlineStr">
        <is>
          <t>15-1243</t>
        </is>
      </c>
      <c r="B82" s="6" t="inlineStr">
        <is>
          <t>Database Architects</t>
        </is>
      </c>
      <c r="C82" s="7" t="n">
        <v>7.0579</v>
      </c>
      <c r="D82" s="7" t="n">
        <v>1.7544</v>
      </c>
    </row>
    <row r="83">
      <c r="A83" s="6" t="inlineStr">
        <is>
          <t>15-1244</t>
        </is>
      </c>
      <c r="B83" s="6" t="inlineStr">
        <is>
          <t>Network and Computer Systems Administrators</t>
        </is>
      </c>
      <c r="C83" s="7" t="n">
        <v>3.1145</v>
      </c>
      <c r="D83" s="7" t="n">
        <v>0.1498</v>
      </c>
    </row>
    <row r="84">
      <c r="A84" s="6" t="inlineStr">
        <is>
          <t>15-1251</t>
        </is>
      </c>
      <c r="B84" s="6" t="inlineStr">
        <is>
          <t>Computer Programmers</t>
        </is>
      </c>
      <c r="C84" s="7" t="n">
        <v>5.212</v>
      </c>
      <c r="D84" s="7" t="n">
        <v>0.4788</v>
      </c>
    </row>
    <row r="85">
      <c r="A85" s="6" t="inlineStr">
        <is>
          <t>15-1252</t>
        </is>
      </c>
      <c r="B85" s="6" t="inlineStr">
        <is>
          <t>Software Developers</t>
        </is>
      </c>
      <c r="C85" s="7" t="n">
        <v>1.0067</v>
      </c>
      <c r="D85" s="7" t="n">
        <v>1.7381</v>
      </c>
    </row>
    <row r="86">
      <c r="A86" s="6" t="inlineStr">
        <is>
          <t>15-1254</t>
        </is>
      </c>
      <c r="B86" s="6" t="inlineStr">
        <is>
          <t>Web Developers</t>
        </is>
      </c>
      <c r="C86" s="7" t="n">
        <v>4.8156</v>
      </c>
      <c r="D86" s="7" t="n">
        <v>0.3428</v>
      </c>
    </row>
    <row r="87">
      <c r="A87" s="6" t="inlineStr">
        <is>
          <t>15-1255</t>
        </is>
      </c>
      <c r="B87" s="6" t="inlineStr">
        <is>
          <t>Web and Digital Interface Designers</t>
        </is>
      </c>
      <c r="C87" s="7" t="n">
        <v>7.0049</v>
      </c>
      <c r="D87" s="7" t="n">
        <v>2.8789</v>
      </c>
    </row>
    <row r="88">
      <c r="A88" s="6" t="inlineStr">
        <is>
          <t>15-1299</t>
        </is>
      </c>
      <c r="B88" s="6" t="inlineStr">
        <is>
          <t>Computer Occupations, All Other</t>
        </is>
      </c>
      <c r="C88" s="7" t="n">
        <v>6.4407</v>
      </c>
      <c r="D88" s="7" t="n">
        <v>2.4077</v>
      </c>
    </row>
    <row r="89">
      <c r="A89" s="6" t="inlineStr">
        <is>
          <t>15-2011</t>
        </is>
      </c>
      <c r="B89" s="6" t="inlineStr">
        <is>
          <t>Actuaries</t>
        </is>
      </c>
      <c r="C89" s="7" t="n">
        <v>2.0942</v>
      </c>
      <c r="D89" s="7" t="n">
        <v>0.2907</v>
      </c>
    </row>
    <row r="90">
      <c r="A90" s="6" t="inlineStr">
        <is>
          <t>15-2021</t>
        </is>
      </c>
      <c r="B90" s="6" t="inlineStr">
        <is>
          <t>Mathematicians</t>
        </is>
      </c>
      <c r="C90" s="7" t="n">
        <v>6.0507</v>
      </c>
      <c r="D90" s="7" t="n">
        <v>0.5261</v>
      </c>
    </row>
    <row r="91">
      <c r="A91" s="6" t="inlineStr">
        <is>
          <t>15-2031</t>
        </is>
      </c>
      <c r="B91" s="6" t="inlineStr">
        <is>
          <t>Operations Research Analysts</t>
        </is>
      </c>
      <c r="C91" s="7" t="n">
        <v>4.2344</v>
      </c>
      <c r="D91" s="7" t="n">
        <v>0.217</v>
      </c>
    </row>
    <row r="92">
      <c r="A92" s="6" t="inlineStr">
        <is>
          <t>15-2041</t>
        </is>
      </c>
      <c r="B92" s="6" t="inlineStr">
        <is>
          <t>Statisticians</t>
        </is>
      </c>
      <c r="C92" s="7" t="n">
        <v>4.5202</v>
      </c>
      <c r="D92" s="7" t="n">
        <v>0.1602</v>
      </c>
    </row>
    <row r="93">
      <c r="A93" s="6" t="inlineStr">
        <is>
          <t>15-2099</t>
        </is>
      </c>
      <c r="B93" s="6" t="inlineStr">
        <is>
          <t>Mathematical Science Occupations, All Other</t>
        </is>
      </c>
      <c r="C93" s="7" t="n">
        <v>3.5846</v>
      </c>
      <c r="D93" s="7" t="n">
        <v>0.4077</v>
      </c>
    </row>
    <row r="94">
      <c r="A94" s="6" t="inlineStr">
        <is>
          <t>17-1011</t>
        </is>
      </c>
      <c r="B94" s="6" t="inlineStr">
        <is>
          <t>Architects, Except Landscape and Naval</t>
        </is>
      </c>
      <c r="C94" s="7" t="n">
        <v>1.551</v>
      </c>
      <c r="D94" s="7" t="n">
        <v>0.0973</v>
      </c>
    </row>
    <row r="95">
      <c r="A95" s="6" t="inlineStr">
        <is>
          <t>17-1012</t>
        </is>
      </c>
      <c r="B95" s="6" t="inlineStr">
        <is>
          <t>Landscape Architects</t>
        </is>
      </c>
      <c r="C95" s="7" t="n">
        <v>1.0064</v>
      </c>
      <c r="D95" s="7" t="n">
        <v>0.1264</v>
      </c>
    </row>
    <row r="96">
      <c r="A96" s="6" t="inlineStr">
        <is>
          <t>17-1021</t>
        </is>
      </c>
      <c r="B96" s="6" t="inlineStr">
        <is>
          <t>Cartographers and Photogrammetrists</t>
        </is>
      </c>
      <c r="C96" s="7" t="n">
        <v>1.5397</v>
      </c>
      <c r="D96" s="7" t="n">
        <v>0.0775</v>
      </c>
    </row>
    <row r="97">
      <c r="A97" s="6" t="inlineStr">
        <is>
          <t>17-1022</t>
        </is>
      </c>
      <c r="B97" s="6" t="inlineStr">
        <is>
          <t>Surveyors</t>
        </is>
      </c>
      <c r="C97" s="7" t="n">
        <v>0.8232</v>
      </c>
      <c r="D97" s="7" t="n">
        <v>0.1295</v>
      </c>
    </row>
    <row r="98">
      <c r="A98" s="6" t="inlineStr">
        <is>
          <t>17-2011</t>
        </is>
      </c>
      <c r="B98" s="6" t="inlineStr">
        <is>
          <t>Aerospace Engineers</t>
        </is>
      </c>
      <c r="C98" s="7" t="n">
        <v>2.0697</v>
      </c>
      <c r="D98" s="7" t="n">
        <v>0.1637</v>
      </c>
    </row>
    <row r="99">
      <c r="A99" s="6" t="inlineStr">
        <is>
          <t>17-2021</t>
        </is>
      </c>
      <c r="B99" s="6" t="inlineStr">
        <is>
          <t>Agricultural Engineers</t>
        </is>
      </c>
      <c r="C99" s="7" t="n">
        <v>1.2588</v>
      </c>
      <c r="D99" s="7" t="n">
        <v>0.1707</v>
      </c>
    </row>
    <row r="100">
      <c r="A100" s="6" t="inlineStr">
        <is>
          <t>17-2031</t>
        </is>
      </c>
      <c r="B100" s="6" t="inlineStr">
        <is>
          <t>Bioengineers and Biomedical Engineers</t>
        </is>
      </c>
      <c r="C100" s="7" t="n">
        <v>3.4605</v>
      </c>
      <c r="D100" s="7" t="n">
        <v>0.1627</v>
      </c>
    </row>
    <row r="101">
      <c r="A101" s="6" t="inlineStr">
        <is>
          <t>17-2041</t>
        </is>
      </c>
      <c r="B101" s="6" t="inlineStr">
        <is>
          <t>Chemical Engineers</t>
        </is>
      </c>
      <c r="C101" s="7" t="n">
        <v>1.6236</v>
      </c>
      <c r="D101" s="7" t="n">
        <v>0.1512</v>
      </c>
    </row>
    <row r="102">
      <c r="A102" s="6" t="inlineStr">
        <is>
          <t>17-2051</t>
        </is>
      </c>
      <c r="B102" s="6" t="inlineStr">
        <is>
          <t>Civil Engineers</t>
        </is>
      </c>
      <c r="C102" s="7" t="n">
        <v>1.7047</v>
      </c>
      <c r="D102" s="7" t="n">
        <v>0.1022</v>
      </c>
    </row>
    <row r="103">
      <c r="A103" s="6" t="inlineStr">
        <is>
          <t>17-2061</t>
        </is>
      </c>
      <c r="B103" s="6" t="inlineStr">
        <is>
          <t>Computer Hardware Engineers</t>
        </is>
      </c>
      <c r="C103" s="7" t="n">
        <v>2.4388</v>
      </c>
      <c r="D103" s="7" t="n">
        <v>0.3651</v>
      </c>
    </row>
    <row r="104">
      <c r="A104" s="6" t="inlineStr">
        <is>
          <t>17-2071</t>
        </is>
      </c>
      <c r="B104" s="6" t="inlineStr">
        <is>
          <t>Electrical Engineers</t>
        </is>
      </c>
      <c r="C104" s="7" t="n">
        <v>1.4588</v>
      </c>
      <c r="D104" s="7" t="n">
        <v>0.4346</v>
      </c>
    </row>
    <row r="105">
      <c r="A105" s="6" t="inlineStr">
        <is>
          <t>17-2072</t>
        </is>
      </c>
      <c r="B105" s="6" t="inlineStr">
        <is>
          <t>Electronics Engineers, Except Computer</t>
        </is>
      </c>
      <c r="C105" s="7" t="n">
        <v>2.5725</v>
      </c>
      <c r="D105" s="7" t="n">
        <v>0.0775</v>
      </c>
    </row>
    <row r="106">
      <c r="A106" s="6" t="inlineStr">
        <is>
          <t>17-2081</t>
        </is>
      </c>
      <c r="B106" s="6" t="inlineStr">
        <is>
          <t>Environmental Engineers</t>
        </is>
      </c>
      <c r="C106" s="7" t="n">
        <v>2.77</v>
      </c>
      <c r="D106" s="7" t="n">
        <v>0.1617</v>
      </c>
    </row>
    <row r="107">
      <c r="A107" s="6" t="inlineStr">
        <is>
          <t>17-2111</t>
        </is>
      </c>
      <c r="B107" s="6" t="inlineStr">
        <is>
          <t>Health and Safety Engineers, Except Mining Safety Engineers and Inspectors</t>
        </is>
      </c>
      <c r="C107" s="7" t="n">
        <v>2.4007</v>
      </c>
      <c r="D107" s="7" t="n">
        <v>0.0568</v>
      </c>
    </row>
    <row r="108">
      <c r="A108" s="6" t="inlineStr">
        <is>
          <t>17-2112</t>
        </is>
      </c>
      <c r="B108" s="6" t="inlineStr">
        <is>
          <t>Industrial Engineers</t>
        </is>
      </c>
      <c r="C108" s="7" t="n">
        <v>2.5991</v>
      </c>
      <c r="D108" s="7" t="n">
        <v>0.0127</v>
      </c>
    </row>
    <row r="109">
      <c r="A109" s="6" t="inlineStr">
        <is>
          <t>17-2121</t>
        </is>
      </c>
      <c r="B109" s="6" t="inlineStr">
        <is>
          <t>Marine Engineers and Naval Architects</t>
        </is>
      </c>
      <c r="C109" s="7" t="n">
        <v>0.8625</v>
      </c>
      <c r="D109" s="7" t="n">
        <v>0.0488</v>
      </c>
    </row>
    <row r="110">
      <c r="A110" s="6" t="inlineStr">
        <is>
          <t>17-2131</t>
        </is>
      </c>
      <c r="B110" s="6" t="inlineStr">
        <is>
          <t>Materials Engineers</t>
        </is>
      </c>
      <c r="C110" s="7" t="n">
        <v>1.7863</v>
      </c>
      <c r="D110" s="7" t="n">
        <v>0.2137</v>
      </c>
    </row>
    <row r="111">
      <c r="A111" s="6" t="inlineStr">
        <is>
          <t>17-2141</t>
        </is>
      </c>
      <c r="B111" s="6" t="inlineStr">
        <is>
          <t>Mechanical Engineers</t>
        </is>
      </c>
      <c r="C111" s="7" t="n">
        <v>2.1645</v>
      </c>
      <c r="D111" s="7" t="n">
        <v>0.0224</v>
      </c>
    </row>
    <row r="112">
      <c r="A112" s="6" t="inlineStr">
        <is>
          <t>17-2151</t>
        </is>
      </c>
      <c r="B112" s="6" t="inlineStr">
        <is>
          <t>Mining and Geological Engineers, Including Mining Safety Engineers</t>
        </is>
      </c>
      <c r="C112" s="7" t="n">
        <v>1.3837</v>
      </c>
      <c r="D112" s="7" t="n">
        <v>0.3865</v>
      </c>
    </row>
    <row r="113">
      <c r="A113" s="6" t="inlineStr">
        <is>
          <t>17-2161</t>
        </is>
      </c>
      <c r="B113" s="6" t="inlineStr">
        <is>
          <t>Nuclear Engineers</t>
        </is>
      </c>
      <c r="C113" s="7" t="n">
        <v>2.404</v>
      </c>
      <c r="D113" s="7" t="n">
        <v>0.1002</v>
      </c>
    </row>
    <row r="114">
      <c r="A114" s="6" t="inlineStr">
        <is>
          <t>17-2171</t>
        </is>
      </c>
      <c r="B114" s="6" t="inlineStr">
        <is>
          <t>Petroleum Engineers</t>
        </is>
      </c>
      <c r="C114" s="7" t="n">
        <v>1.3439</v>
      </c>
      <c r="D114" s="7" t="n">
        <v>0.2328</v>
      </c>
    </row>
    <row r="115">
      <c r="A115" s="6" t="inlineStr">
        <is>
          <t>17-2199</t>
        </is>
      </c>
      <c r="B115" s="6" t="inlineStr">
        <is>
          <t>Engineers, All Other</t>
        </is>
      </c>
      <c r="C115" s="7" t="n">
        <v>1.8984</v>
      </c>
      <c r="D115" s="7" t="n">
        <v>0.0175</v>
      </c>
    </row>
    <row r="116">
      <c r="A116" s="6" t="inlineStr">
        <is>
          <t>17-3011</t>
        </is>
      </c>
      <c r="B116" s="6" t="inlineStr">
        <is>
          <t>Architectural and Civil Drafters</t>
        </is>
      </c>
      <c r="C116" s="7" t="n">
        <v>1.9347</v>
      </c>
      <c r="D116" s="7" t="n">
        <v>0.067</v>
      </c>
    </row>
    <row r="117">
      <c r="A117" s="6" t="inlineStr">
        <is>
          <t>17-3012</t>
        </is>
      </c>
      <c r="B117" s="6" t="inlineStr">
        <is>
          <t>Electrical and Electronics Drafters</t>
        </is>
      </c>
      <c r="C117" s="7" t="n">
        <v>2.4745</v>
      </c>
      <c r="D117" s="7" t="n">
        <v>0.0585</v>
      </c>
    </row>
    <row r="118">
      <c r="A118" s="6" t="inlineStr">
        <is>
          <t>17-3013</t>
        </is>
      </c>
      <c r="B118" s="6" t="inlineStr">
        <is>
          <t>Mechanical Drafters</t>
        </is>
      </c>
      <c r="C118" s="7" t="n">
        <v>1.9172</v>
      </c>
      <c r="D118" s="7" t="n">
        <v>0.1018</v>
      </c>
    </row>
    <row r="119">
      <c r="A119" s="6" t="inlineStr">
        <is>
          <t>17-3021</t>
        </is>
      </c>
      <c r="B119" s="6" t="inlineStr">
        <is>
          <t>Aerospace Engineering and Operations Technologists and Technicians</t>
        </is>
      </c>
      <c r="C119" s="7" t="n">
        <v>0.2361</v>
      </c>
      <c r="D119" s="7" t="n">
        <v>0.1289</v>
      </c>
    </row>
    <row r="120">
      <c r="A120" s="6" t="inlineStr">
        <is>
          <t>17-3022</t>
        </is>
      </c>
      <c r="B120" s="6" t="inlineStr">
        <is>
          <t>Civil Engineering Technologists and Technicians</t>
        </is>
      </c>
      <c r="C120" s="7" t="n">
        <v>1.8453</v>
      </c>
      <c r="D120" s="7" t="n">
        <v>0.1719</v>
      </c>
    </row>
    <row r="121">
      <c r="A121" s="6" t="inlineStr">
        <is>
          <t>17-3023</t>
        </is>
      </c>
      <c r="B121" s="6" t="inlineStr">
        <is>
          <t>Electrical and Electronic Engineering Technologists and Technicians</t>
        </is>
      </c>
      <c r="C121" s="7" t="n">
        <v>1.4695</v>
      </c>
      <c r="D121" s="7" t="n">
        <v>0.1808</v>
      </c>
    </row>
    <row r="122">
      <c r="A122" s="6" t="inlineStr">
        <is>
          <t>17-3024</t>
        </is>
      </c>
      <c r="B122" s="6" t="inlineStr">
        <is>
          <t>Electro-Mechanical and Mechatronics Technologists and Technicians</t>
        </is>
      </c>
      <c r="C122" s="7" t="n">
        <v>0.1641</v>
      </c>
      <c r="D122" s="7" t="n">
        <v>0.116</v>
      </c>
    </row>
    <row r="123">
      <c r="A123" s="6" t="inlineStr">
        <is>
          <t>17-3025</t>
        </is>
      </c>
      <c r="B123" s="6" t="inlineStr">
        <is>
          <t>Environmental Engineering Technologists and Technicians</t>
        </is>
      </c>
      <c r="C123" s="7" t="n">
        <v>0.8673999999999999</v>
      </c>
      <c r="D123" s="7" t="n">
        <v>0.1255</v>
      </c>
    </row>
    <row r="124">
      <c r="A124" s="6" t="inlineStr">
        <is>
          <t>17-3026</t>
        </is>
      </c>
      <c r="B124" s="6" t="inlineStr">
        <is>
          <t>Industrial Engineering Technologists and Technicians</t>
        </is>
      </c>
      <c r="C124" s="7" t="n">
        <v>1.2777</v>
      </c>
      <c r="D124" s="7" t="n">
        <v>0.0688</v>
      </c>
    </row>
    <row r="125">
      <c r="A125" s="6" t="inlineStr">
        <is>
          <t>17-3027</t>
        </is>
      </c>
      <c r="B125" s="6" t="inlineStr">
        <is>
          <t>Mechanical Engineering Technologists and Technicians</t>
        </is>
      </c>
      <c r="C125" s="7" t="n">
        <v>0.8783</v>
      </c>
      <c r="D125" s="7" t="n">
        <v>0.1109</v>
      </c>
    </row>
    <row r="126">
      <c r="A126" s="6" t="inlineStr">
        <is>
          <t>17-3028</t>
        </is>
      </c>
      <c r="B126" s="6" t="inlineStr">
        <is>
          <t>Calibration Technologists and Technicians</t>
        </is>
      </c>
      <c r="C126" s="7" t="n">
        <v>-0.3429</v>
      </c>
      <c r="D126" s="7" t="n">
        <v>0.5427999999999999</v>
      </c>
    </row>
    <row r="127">
      <c r="A127" s="6" t="inlineStr">
        <is>
          <t>17-3029</t>
        </is>
      </c>
      <c r="B127" s="6" t="inlineStr">
        <is>
          <t>Engineering Technologists and Technicians, Except Drafters, All Other</t>
        </is>
      </c>
      <c r="C127" s="7" t="n">
        <v>-0.0522</v>
      </c>
      <c r="D127" s="7" t="n">
        <v>0.0853</v>
      </c>
    </row>
    <row r="128">
      <c r="A128" s="6" t="inlineStr">
        <is>
          <t>17-3031</t>
        </is>
      </c>
      <c r="B128" s="6" t="inlineStr">
        <is>
          <t>Surveying and Mapping Technicians</t>
        </is>
      </c>
      <c r="C128" s="7" t="n">
        <v>1.169</v>
      </c>
      <c r="D128" s="7" t="n">
        <v>0.1645</v>
      </c>
    </row>
    <row r="129">
      <c r="A129" s="6" t="inlineStr">
        <is>
          <t>19-1011</t>
        </is>
      </c>
      <c r="B129" s="6" t="inlineStr">
        <is>
          <t>Animal Scientists</t>
        </is>
      </c>
      <c r="C129" s="7" t="n">
        <v>2.9464</v>
      </c>
      <c r="D129" s="7" t="n">
        <v>0.5608</v>
      </c>
    </row>
    <row r="130">
      <c r="A130" s="6" t="inlineStr">
        <is>
          <t>19-1012</t>
        </is>
      </c>
      <c r="B130" s="6" t="inlineStr">
        <is>
          <t>Food Scientists and Technologists</t>
        </is>
      </c>
      <c r="C130" s="7" t="n">
        <v>2.219</v>
      </c>
      <c r="D130" s="7" t="n">
        <v>0.2152</v>
      </c>
    </row>
    <row r="131">
      <c r="A131" s="6" t="inlineStr">
        <is>
          <t>19-1013</t>
        </is>
      </c>
      <c r="B131" s="6" t="inlineStr">
        <is>
          <t>Soil and Plant Scientists</t>
        </is>
      </c>
      <c r="C131" s="7" t="n">
        <v>1.9242</v>
      </c>
      <c r="D131" s="7" t="n">
        <v>0.2194</v>
      </c>
    </row>
    <row r="132">
      <c r="A132" s="6" t="inlineStr">
        <is>
          <t>19-1021</t>
        </is>
      </c>
      <c r="B132" s="6" t="inlineStr">
        <is>
          <t>Biochemists and Biophysicists</t>
        </is>
      </c>
      <c r="C132" s="7" t="n">
        <v>2.2425</v>
      </c>
      <c r="D132" s="7" t="n">
        <v>0.0614</v>
      </c>
    </row>
    <row r="133">
      <c r="A133" s="6" t="inlineStr">
        <is>
          <t>19-1022</t>
        </is>
      </c>
      <c r="B133" s="6" t="inlineStr">
        <is>
          <t>Microbiologists</t>
        </is>
      </c>
      <c r="C133" s="7" t="n">
        <v>0.7523</v>
      </c>
      <c r="D133" s="7" t="n">
        <v>0.0375</v>
      </c>
    </row>
    <row r="134">
      <c r="A134" s="6" t="inlineStr">
        <is>
          <t>19-1023</t>
        </is>
      </c>
      <c r="B134" s="6" t="inlineStr">
        <is>
          <t>Zoologists and Wildlife Biologists</t>
        </is>
      </c>
      <c r="C134" s="7" t="n">
        <v>1.3002</v>
      </c>
      <c r="D134" s="7" t="n">
        <v>0.1053</v>
      </c>
    </row>
    <row r="135">
      <c r="A135" s="6" t="inlineStr">
        <is>
          <t>19-1029</t>
        </is>
      </c>
      <c r="B135" s="6" t="inlineStr">
        <is>
          <t>Biological Scientists, All Other</t>
        </is>
      </c>
      <c r="C135" s="7" t="n">
        <v>2.2827</v>
      </c>
      <c r="D135" s="7" t="n">
        <v>0.012</v>
      </c>
    </row>
    <row r="136">
      <c r="A136" s="6" t="inlineStr">
        <is>
          <t>19-1031</t>
        </is>
      </c>
      <c r="B136" s="6" t="inlineStr">
        <is>
          <t>Conservation Scientists</t>
        </is>
      </c>
      <c r="C136" s="7" t="n">
        <v>0.6741</v>
      </c>
      <c r="D136" s="7" t="n">
        <v>0.1477</v>
      </c>
    </row>
    <row r="137">
      <c r="A137" s="6" t="inlineStr">
        <is>
          <t>19-1032</t>
        </is>
      </c>
      <c r="B137" s="6" t="inlineStr">
        <is>
          <t>Foresters</t>
        </is>
      </c>
      <c r="C137" s="7" t="n">
        <v>-0.6007</v>
      </c>
      <c r="D137" s="7" t="n">
        <v>0.2605</v>
      </c>
    </row>
    <row r="138">
      <c r="A138" s="6" t="inlineStr">
        <is>
          <t>19-1041</t>
        </is>
      </c>
      <c r="B138" s="6" t="inlineStr">
        <is>
          <t>Epidemiologists</t>
        </is>
      </c>
      <c r="C138" s="7" t="n">
        <v>2.2749</v>
      </c>
      <c r="D138" s="7" t="n">
        <v>0.2391</v>
      </c>
    </row>
    <row r="139">
      <c r="A139" s="6" t="inlineStr">
        <is>
          <t>19-1042</t>
        </is>
      </c>
      <c r="B139" s="6" t="inlineStr">
        <is>
          <t>Medical Scientists, Except Epidemiologists</t>
        </is>
      </c>
      <c r="C139" s="7" t="n">
        <v>2.2955</v>
      </c>
      <c r="D139" s="7" t="n">
        <v>0.1533</v>
      </c>
    </row>
    <row r="140">
      <c r="A140" s="6" t="inlineStr">
        <is>
          <t>19-2011</t>
        </is>
      </c>
      <c r="B140" s="6" t="inlineStr">
        <is>
          <t>Astronomers</t>
        </is>
      </c>
      <c r="C140" s="7" t="n">
        <v>2.2977</v>
      </c>
      <c r="D140" s="7" t="n">
        <v>0.0975</v>
      </c>
    </row>
    <row r="141">
      <c r="A141" s="6" t="inlineStr">
        <is>
          <t>19-2012</t>
        </is>
      </c>
      <c r="B141" s="6" t="inlineStr">
        <is>
          <t>Physicists</t>
        </is>
      </c>
      <c r="C141" s="7" t="n">
        <v>3.5955</v>
      </c>
      <c r="D141" s="7" t="n">
        <v>0.2028</v>
      </c>
    </row>
    <row r="142">
      <c r="A142" s="6" t="inlineStr">
        <is>
          <t>19-2021</t>
        </is>
      </c>
      <c r="B142" s="6" t="inlineStr">
        <is>
          <t>Atmospheric and Space Scientists</t>
        </is>
      </c>
      <c r="C142" s="7" t="n">
        <v>3.0861</v>
      </c>
      <c r="D142" s="7" t="n">
        <v>0.0593</v>
      </c>
    </row>
    <row r="143">
      <c r="A143" s="6" t="inlineStr">
        <is>
          <t>19-2031</t>
        </is>
      </c>
      <c r="B143" s="6" t="inlineStr">
        <is>
          <t>Chemists</t>
        </is>
      </c>
      <c r="C143" s="7" t="n">
        <v>1.3698</v>
      </c>
      <c r="D143" s="7" t="n">
        <v>0.0455</v>
      </c>
    </row>
    <row r="144">
      <c r="A144" s="6" t="inlineStr">
        <is>
          <t>19-2032</t>
        </is>
      </c>
      <c r="B144" s="6" t="inlineStr">
        <is>
          <t>Materials Scientists</t>
        </is>
      </c>
      <c r="C144" s="7" t="n">
        <v>2.1145</v>
      </c>
      <c r="D144" s="7" t="n">
        <v>0.0305</v>
      </c>
    </row>
    <row r="145">
      <c r="A145" s="6" t="inlineStr">
        <is>
          <t>19-2041</t>
        </is>
      </c>
      <c r="B145" s="6" t="inlineStr">
        <is>
          <t>Environmental Scientists and Specialists, Including Health</t>
        </is>
      </c>
      <c r="C145" s="7" t="n">
        <v>2.8057</v>
      </c>
      <c r="D145" s="7" t="n">
        <v>0.4332</v>
      </c>
    </row>
    <row r="146">
      <c r="A146" s="6" t="inlineStr">
        <is>
          <t>19-2042</t>
        </is>
      </c>
      <c r="B146" s="6" t="inlineStr">
        <is>
          <t>Geoscientists, Except Hydrologists and Geographers</t>
        </is>
      </c>
      <c r="C146" s="7" t="n">
        <v>1.3488</v>
      </c>
      <c r="D146" s="7" t="n">
        <v>0.1682</v>
      </c>
    </row>
    <row r="147">
      <c r="A147" s="6" t="inlineStr">
        <is>
          <t>19-2043</t>
        </is>
      </c>
      <c r="B147" s="6" t="inlineStr">
        <is>
          <t>Hydrologists</t>
        </is>
      </c>
      <c r="C147" s="7" t="n">
        <v>1.755</v>
      </c>
      <c r="D147" s="7" t="n">
        <v>0.1191</v>
      </c>
    </row>
    <row r="148">
      <c r="A148" s="6" t="inlineStr">
        <is>
          <t>19-2099</t>
        </is>
      </c>
      <c r="B148" s="6" t="inlineStr">
        <is>
          <t>Physical Scientists, All Other</t>
        </is>
      </c>
      <c r="C148" s="7" t="n">
        <v>1.6729</v>
      </c>
      <c r="D148" s="7" t="n">
        <v>0.1275</v>
      </c>
    </row>
    <row r="149">
      <c r="A149" s="6" t="inlineStr">
        <is>
          <t>19-3011</t>
        </is>
      </c>
      <c r="B149" s="6" t="inlineStr">
        <is>
          <t>Economists</t>
        </is>
      </c>
      <c r="C149" s="7" t="n">
        <v>3.638</v>
      </c>
      <c r="D149" s="7" t="n">
        <v>0.07240000000000001</v>
      </c>
    </row>
    <row r="150">
      <c r="A150" s="6" t="inlineStr">
        <is>
          <t>19-3022</t>
        </is>
      </c>
      <c r="B150" s="6" t="inlineStr">
        <is>
          <t>Survey Researchers</t>
        </is>
      </c>
      <c r="C150" s="7" t="n">
        <v>3.6305</v>
      </c>
      <c r="D150" s="7" t="n">
        <v>1.0233</v>
      </c>
    </row>
    <row r="151">
      <c r="A151" s="6" t="inlineStr">
        <is>
          <t>19-3032</t>
        </is>
      </c>
      <c r="B151" s="6" t="inlineStr">
        <is>
          <t>Industrial-Organizational Psychologists</t>
        </is>
      </c>
      <c r="C151" s="7" t="n">
        <v>2.9761</v>
      </c>
      <c r="D151" s="7" t="n">
        <v>0.09909999999999999</v>
      </c>
    </row>
    <row r="152">
      <c r="A152" s="6" t="inlineStr">
        <is>
          <t>19-3033</t>
        </is>
      </c>
      <c r="B152" s="6" t="inlineStr">
        <is>
          <t>Clinical and Counseling Psychologists</t>
        </is>
      </c>
      <c r="C152" s="7" t="n">
        <v>1.7965</v>
      </c>
      <c r="D152" s="7" t="n">
        <v>0.2004</v>
      </c>
    </row>
    <row r="153">
      <c r="A153" s="6" t="inlineStr">
        <is>
          <t>19-3034</t>
        </is>
      </c>
      <c r="B153" s="6" t="inlineStr">
        <is>
          <t>School Psychologists</t>
        </is>
      </c>
      <c r="C153" s="7" t="n">
        <v>2.0228</v>
      </c>
      <c r="D153" s="7" t="n">
        <v>0.2347</v>
      </c>
    </row>
    <row r="154">
      <c r="A154" s="6" t="inlineStr">
        <is>
          <t>19-3039</t>
        </is>
      </c>
      <c r="B154" s="6" t="inlineStr">
        <is>
          <t>Psychologists, All Other</t>
        </is>
      </c>
      <c r="C154" s="7" t="n">
        <v>-0.427</v>
      </c>
      <c r="D154" s="7" t="n">
        <v>0.4129</v>
      </c>
    </row>
    <row r="155">
      <c r="A155" s="6" t="inlineStr">
        <is>
          <t>19-3041</t>
        </is>
      </c>
      <c r="B155" s="6" t="inlineStr">
        <is>
          <t>Sociologists</t>
        </is>
      </c>
      <c r="C155" s="7" t="n">
        <v>2.9763</v>
      </c>
      <c r="D155" s="7" t="n">
        <v>0.06909999999999999</v>
      </c>
    </row>
    <row r="156">
      <c r="A156" s="6" t="inlineStr">
        <is>
          <t>19-3051</t>
        </is>
      </c>
      <c r="B156" s="6" t="inlineStr">
        <is>
          <t>Urban and Regional Planners</t>
        </is>
      </c>
      <c r="C156" s="7" t="n">
        <v>3.3282</v>
      </c>
      <c r="D156" s="7" t="n">
        <v>0.1659</v>
      </c>
    </row>
    <row r="157">
      <c r="A157" s="6" t="inlineStr">
        <is>
          <t>19-3091</t>
        </is>
      </c>
      <c r="B157" s="6" t="inlineStr">
        <is>
          <t>Anthropologists and Archeologists</t>
        </is>
      </c>
      <c r="C157" s="7" t="n">
        <v>1.9567</v>
      </c>
      <c r="D157" s="7" t="n">
        <v>0.0867</v>
      </c>
    </row>
    <row r="158">
      <c r="A158" s="6" t="inlineStr">
        <is>
          <t>19-3092</t>
        </is>
      </c>
      <c r="B158" s="6" t="inlineStr">
        <is>
          <t>Geographers</t>
        </is>
      </c>
      <c r="C158" s="7" t="n">
        <v>2.623</v>
      </c>
      <c r="D158" s="7" t="n">
        <v>0.2463</v>
      </c>
    </row>
    <row r="159">
      <c r="A159" s="6" t="inlineStr">
        <is>
          <t>19-3093</t>
        </is>
      </c>
      <c r="B159" s="6" t="inlineStr">
        <is>
          <t>Historians</t>
        </is>
      </c>
      <c r="C159" s="7" t="n">
        <v>3.1675</v>
      </c>
      <c r="D159" s="7" t="n">
        <v>0.7243000000000001</v>
      </c>
    </row>
    <row r="160">
      <c r="A160" s="6" t="inlineStr">
        <is>
          <t>19-3094</t>
        </is>
      </c>
      <c r="B160" s="6" t="inlineStr">
        <is>
          <t>Political Scientists</t>
        </is>
      </c>
      <c r="C160" s="7" t="n">
        <v>2.8686</v>
      </c>
      <c r="D160" s="7" t="n">
        <v>0.3408</v>
      </c>
    </row>
    <row r="161">
      <c r="A161" s="6" t="inlineStr">
        <is>
          <t>19-3099</t>
        </is>
      </c>
      <c r="B161" s="6" t="inlineStr">
        <is>
          <t>Social Scientists and Related Workers, All Other</t>
        </is>
      </c>
      <c r="C161" s="7" t="n">
        <v>2.9683</v>
      </c>
      <c r="D161" s="7" t="n">
        <v>0.1843</v>
      </c>
    </row>
    <row r="162">
      <c r="A162" s="6" t="inlineStr">
        <is>
          <t>19-4012</t>
        </is>
      </c>
      <c r="B162" s="6" t="inlineStr">
        <is>
          <t>Agricultural Technicians</t>
        </is>
      </c>
      <c r="C162" s="7" t="n">
        <v>0.6028</v>
      </c>
      <c r="D162" s="7" t="n">
        <v>0.1122</v>
      </c>
    </row>
    <row r="163">
      <c r="A163" s="6" t="inlineStr">
        <is>
          <t>19-4013</t>
        </is>
      </c>
      <c r="B163" s="6" t="inlineStr">
        <is>
          <t>Food Science Technicians</t>
        </is>
      </c>
      <c r="C163" s="7" t="n">
        <v>0.3022</v>
      </c>
      <c r="D163" s="7" t="n">
        <v>0.1832</v>
      </c>
    </row>
    <row r="164">
      <c r="A164" s="6" t="inlineStr">
        <is>
          <t>19-4021</t>
        </is>
      </c>
      <c r="B164" s="6" t="inlineStr">
        <is>
          <t>Biological Technicians</t>
        </is>
      </c>
      <c r="C164" s="7" t="n">
        <v>0.4711</v>
      </c>
      <c r="D164" s="7" t="n">
        <v>0.2579</v>
      </c>
    </row>
    <row r="165">
      <c r="A165" s="6" t="inlineStr">
        <is>
          <t>19-4031</t>
        </is>
      </c>
      <c r="B165" s="6" t="inlineStr">
        <is>
          <t>Chemical Technicians</t>
        </is>
      </c>
      <c r="C165" s="7" t="n">
        <v>0.4869</v>
      </c>
      <c r="D165" s="7" t="n">
        <v>0.0442</v>
      </c>
    </row>
    <row r="166">
      <c r="A166" s="6" t="inlineStr">
        <is>
          <t>19-4042</t>
        </is>
      </c>
      <c r="B166" s="6" t="inlineStr">
        <is>
          <t>Environmental Science and Protection Technicians, Including Health</t>
        </is>
      </c>
      <c r="C166" s="7" t="n">
        <v>0.967</v>
      </c>
      <c r="D166" s="7" t="n">
        <v>0.1152</v>
      </c>
    </row>
    <row r="167">
      <c r="A167" s="6" t="inlineStr">
        <is>
          <t>19-4043</t>
        </is>
      </c>
      <c r="B167" s="6" t="inlineStr">
        <is>
          <t>Geological Technicians, Except Hydrologic Technicians</t>
        </is>
      </c>
      <c r="C167" s="7" t="n">
        <v>0.5591</v>
      </c>
      <c r="D167" s="7" t="n">
        <v>0.1415</v>
      </c>
    </row>
    <row r="168">
      <c r="A168" s="6" t="inlineStr">
        <is>
          <t>19-4044</t>
        </is>
      </c>
      <c r="B168" s="6" t="inlineStr">
        <is>
          <t>Hydrologic Technicians</t>
        </is>
      </c>
      <c r="C168" s="7" t="n">
        <v>0.2962</v>
      </c>
      <c r="D168" s="7" t="n">
        <v>0.8356</v>
      </c>
    </row>
    <row r="169">
      <c r="A169" s="6" t="inlineStr">
        <is>
          <t>19-4051</t>
        </is>
      </c>
      <c r="B169" s="6" t="inlineStr">
        <is>
          <t>Nuclear Technicians</t>
        </is>
      </c>
      <c r="C169" s="7" t="n">
        <v>-0.7282999999999999</v>
      </c>
      <c r="D169" s="7" t="n">
        <v>0.1317</v>
      </c>
    </row>
    <row r="170">
      <c r="A170" s="6" t="inlineStr">
        <is>
          <t>19-4061</t>
        </is>
      </c>
      <c r="B170" s="6" t="inlineStr">
        <is>
          <t>Social Science Research Assistants</t>
        </is>
      </c>
      <c r="C170" s="7" t="n">
        <v>2.8891</v>
      </c>
      <c r="D170" s="7" t="n">
        <v>0.1929</v>
      </c>
    </row>
    <row r="171">
      <c r="A171" s="6" t="inlineStr">
        <is>
          <t>19-4071</t>
        </is>
      </c>
      <c r="B171" s="6" t="inlineStr">
        <is>
          <t>Forest and Conservation Technicians</t>
        </is>
      </c>
      <c r="C171" s="7" t="n">
        <v>-1.053</v>
      </c>
      <c r="D171" s="7" t="n">
        <v>0.2499</v>
      </c>
    </row>
    <row r="172">
      <c r="A172" s="6" t="inlineStr">
        <is>
          <t>19-4092</t>
        </is>
      </c>
      <c r="B172" s="6" t="inlineStr">
        <is>
          <t>Forensic Science Technicians</t>
        </is>
      </c>
      <c r="C172" s="7" t="n">
        <v>-0.0049</v>
      </c>
      <c r="D172" s="7" t="n">
        <v>0.0759</v>
      </c>
    </row>
    <row r="173">
      <c r="A173" s="6" t="inlineStr">
        <is>
          <t>19-4099</t>
        </is>
      </c>
      <c r="B173" s="6" t="inlineStr">
        <is>
          <t>Life, Physical, and Social Science Technicians, All Other</t>
        </is>
      </c>
      <c r="C173" s="7" t="n">
        <v>1.5242</v>
      </c>
      <c r="D173" s="7" t="n">
        <v>0.1092</v>
      </c>
    </row>
    <row r="174">
      <c r="A174" s="6" t="inlineStr">
        <is>
          <t>19-5011</t>
        </is>
      </c>
      <c r="B174" s="6" t="inlineStr">
        <is>
          <t>Occupational Health and Safety Specialists</t>
        </is>
      </c>
      <c r="C174" s="7" t="n">
        <v>0.7079</v>
      </c>
      <c r="D174" s="7" t="n">
        <v>0.112</v>
      </c>
    </row>
    <row r="175">
      <c r="A175" s="6" t="inlineStr">
        <is>
          <t>19-5012</t>
        </is>
      </c>
      <c r="B175" s="6" t="inlineStr">
        <is>
          <t>Occupational Health and Safety Technicians</t>
        </is>
      </c>
      <c r="C175" s="7" t="n">
        <v>0.5167</v>
      </c>
      <c r="D175" s="7" t="n">
        <v>0.1742</v>
      </c>
    </row>
    <row r="176">
      <c r="A176" s="6" t="inlineStr">
        <is>
          <t>21-1012</t>
        </is>
      </c>
      <c r="B176" s="6" t="inlineStr">
        <is>
          <t>Educational, Guidance, and Career Counselors and Advisors</t>
        </is>
      </c>
      <c r="C176" s="7" t="n">
        <v>1.534</v>
      </c>
      <c r="D176" s="7" t="n">
        <v>0.3691</v>
      </c>
    </row>
    <row r="177">
      <c r="A177" s="6" t="inlineStr">
        <is>
          <t>21-1013</t>
        </is>
      </c>
      <c r="B177" s="6" t="inlineStr">
        <is>
          <t>Marriage and Family Therapists</t>
        </is>
      </c>
      <c r="C177" s="7" t="n">
        <v>0.2427</v>
      </c>
      <c r="D177" s="7" t="n">
        <v>0.6176</v>
      </c>
    </row>
    <row r="178">
      <c r="A178" s="6" t="inlineStr">
        <is>
          <t>21-1015</t>
        </is>
      </c>
      <c r="B178" s="6" t="inlineStr">
        <is>
          <t>Rehabilitation Counselors</t>
        </is>
      </c>
      <c r="C178" s="7" t="n">
        <v>0.8999</v>
      </c>
      <c r="D178" s="7" t="n">
        <v>0.1299</v>
      </c>
    </row>
    <row r="179">
      <c r="A179" s="6" t="inlineStr">
        <is>
          <t>21-1021</t>
        </is>
      </c>
      <c r="B179" s="6" t="inlineStr">
        <is>
          <t>Child, Family, and School Social Workers</t>
        </is>
      </c>
      <c r="C179" s="7" t="n">
        <v>0.921</v>
      </c>
      <c r="D179" s="7" t="n">
        <v>0.5085</v>
      </c>
    </row>
    <row r="180">
      <c r="A180" s="6" t="inlineStr">
        <is>
          <t>21-1022</t>
        </is>
      </c>
      <c r="B180" s="6" t="inlineStr">
        <is>
          <t>Healthcare Social Workers</t>
        </is>
      </c>
      <c r="C180" s="7" t="n">
        <v>0.743</v>
      </c>
      <c r="D180" s="7" t="n">
        <v>0.1563</v>
      </c>
    </row>
    <row r="181">
      <c r="A181" s="6" t="inlineStr">
        <is>
          <t>21-1023</t>
        </is>
      </c>
      <c r="B181" s="6" t="inlineStr">
        <is>
          <t>Mental Health and Substance Abuse Social Workers</t>
        </is>
      </c>
      <c r="C181" s="7" t="n">
        <v>-0.0644</v>
      </c>
      <c r="D181" s="7" t="n">
        <v>0.4155</v>
      </c>
    </row>
    <row r="182">
      <c r="A182" s="6" t="inlineStr">
        <is>
          <t>21-1091</t>
        </is>
      </c>
      <c r="B182" s="6" t="inlineStr">
        <is>
          <t>Health Education Specialists</t>
        </is>
      </c>
      <c r="C182" s="7" t="n">
        <v>2.4676</v>
      </c>
      <c r="D182" s="7" t="n">
        <v>0.2587</v>
      </c>
    </row>
    <row r="183">
      <c r="A183" s="6" t="inlineStr">
        <is>
          <t>21-1092</t>
        </is>
      </c>
      <c r="B183" s="6" t="inlineStr">
        <is>
          <t>Probation Officers and Correctional Treatment Specialists</t>
        </is>
      </c>
      <c r="C183" s="7" t="n">
        <v>0.9856</v>
      </c>
      <c r="D183" s="7" t="n">
        <v>0.2822</v>
      </c>
    </row>
    <row r="184">
      <c r="A184" s="6" t="inlineStr">
        <is>
          <t>21-1093</t>
        </is>
      </c>
      <c r="B184" s="6" t="inlineStr">
        <is>
          <t>Social and Human Service Assistants</t>
        </is>
      </c>
      <c r="C184" s="7" t="n">
        <v>0.8207</v>
      </c>
      <c r="D184" s="7" t="n">
        <v>0.119</v>
      </c>
    </row>
    <row r="185">
      <c r="A185" s="6" t="inlineStr">
        <is>
          <t>21-1094</t>
        </is>
      </c>
      <c r="B185" s="6" t="inlineStr">
        <is>
          <t>Community Health Workers</t>
        </is>
      </c>
      <c r="C185" s="7" t="n">
        <v>0.3647</v>
      </c>
      <c r="D185" s="7" t="n">
        <v>0.47</v>
      </c>
    </row>
    <row r="186">
      <c r="A186" s="6" t="inlineStr">
        <is>
          <t>21-2011</t>
        </is>
      </c>
      <c r="B186" s="6" t="inlineStr">
        <is>
          <t>Clergy</t>
        </is>
      </c>
      <c r="C186" s="7" t="n">
        <v>0.3831</v>
      </c>
      <c r="D186" s="7" t="n">
        <v>0.7481</v>
      </c>
    </row>
    <row r="187">
      <c r="A187" s="6" t="inlineStr">
        <is>
          <t>21-2021</t>
        </is>
      </c>
      <c r="B187" s="6" t="inlineStr">
        <is>
          <t>Directors, Religious Activities and Education</t>
        </is>
      </c>
      <c r="C187" s="7" t="n">
        <v>1.6199</v>
      </c>
      <c r="D187" s="7" t="n">
        <v>0.0857</v>
      </c>
    </row>
    <row r="188">
      <c r="A188" s="6" t="inlineStr">
        <is>
          <t>23-1011</t>
        </is>
      </c>
      <c r="B188" s="6" t="inlineStr">
        <is>
          <t>Lawyers</t>
        </is>
      </c>
      <c r="C188" s="7" t="n">
        <v>1.7742</v>
      </c>
      <c r="D188" s="7" t="n">
        <v>0.158</v>
      </c>
    </row>
    <row r="189">
      <c r="A189" s="6" t="inlineStr">
        <is>
          <t>23-1012</t>
        </is>
      </c>
      <c r="B189" s="6" t="inlineStr">
        <is>
          <t>Judicial Law Clerks</t>
        </is>
      </c>
      <c r="C189" s="7" t="n">
        <v>1.8348</v>
      </c>
      <c r="D189" s="7" t="n">
        <v>0.7149</v>
      </c>
    </row>
    <row r="190">
      <c r="A190" s="6" t="inlineStr">
        <is>
          <t>23-1021</t>
        </is>
      </c>
      <c r="B190" s="6" t="inlineStr">
        <is>
          <t>Administrative Law Judges, Adjudicators, and Hearing Officers</t>
        </is>
      </c>
      <c r="C190" s="7" t="n">
        <v>1.9019</v>
      </c>
      <c r="D190" s="7" t="n">
        <v>0.3904</v>
      </c>
    </row>
    <row r="191">
      <c r="A191" s="6" t="inlineStr">
        <is>
          <t>23-1022</t>
        </is>
      </c>
      <c r="B191" s="6" t="inlineStr">
        <is>
          <t>Arbitrators, Mediators, and Conciliators</t>
        </is>
      </c>
      <c r="C191" s="7" t="n">
        <v>1.621</v>
      </c>
      <c r="D191" s="7" t="n">
        <v>0.5212</v>
      </c>
    </row>
    <row r="192">
      <c r="A192" s="6" t="inlineStr">
        <is>
          <t>23-1023</t>
        </is>
      </c>
      <c r="B192" s="6" t="inlineStr">
        <is>
          <t>Judges, Magistrate Judges, and Magistrates</t>
        </is>
      </c>
      <c r="C192" s="7" t="n">
        <v>-0.0223</v>
      </c>
      <c r="D192" s="7" t="n">
        <v>0.7197</v>
      </c>
    </row>
    <row r="193">
      <c r="A193" s="6" t="inlineStr">
        <is>
          <t>23-2011</t>
        </is>
      </c>
      <c r="B193" s="6" t="inlineStr">
        <is>
          <t>Paralegals and Legal Assistants</t>
        </is>
      </c>
      <c r="C193" s="7" t="n">
        <v>1.8888</v>
      </c>
      <c r="D193" s="7" t="n">
        <v>0.8147</v>
      </c>
    </row>
    <row r="194">
      <c r="A194" s="6" t="inlineStr">
        <is>
          <t>23-2093</t>
        </is>
      </c>
      <c r="B194" s="6" t="inlineStr">
        <is>
          <t>Title Examiners, Abstractors, and Searchers</t>
        </is>
      </c>
      <c r="C194" s="7" t="n">
        <v>1.9719</v>
      </c>
      <c r="D194" s="7" t="n">
        <v>0.7504</v>
      </c>
    </row>
    <row r="195">
      <c r="A195" s="6" t="inlineStr">
        <is>
          <t>25-1011</t>
        </is>
      </c>
      <c r="B195" s="6" t="inlineStr">
        <is>
          <t>Business Teachers, Postsecondary</t>
        </is>
      </c>
      <c r="C195" s="7" t="n">
        <v>2.8367</v>
      </c>
      <c r="D195" s="7" t="n">
        <v>0.2241</v>
      </c>
    </row>
    <row r="196">
      <c r="A196" s="6" t="inlineStr">
        <is>
          <t>25-1021</t>
        </is>
      </c>
      <c r="B196" s="6" t="inlineStr">
        <is>
          <t>Computer Science Teachers, Postsecondary</t>
        </is>
      </c>
      <c r="C196" s="7" t="n">
        <v>1.7873</v>
      </c>
      <c r="D196" s="7" t="n">
        <v>0.3747</v>
      </c>
    </row>
    <row r="197">
      <c r="A197" s="6" t="inlineStr">
        <is>
          <t>25-1022</t>
        </is>
      </c>
      <c r="B197" s="6" t="inlineStr">
        <is>
          <t>Mathematical Science Teachers, Postsecondary</t>
        </is>
      </c>
      <c r="C197" s="7" t="n">
        <v>2.0772</v>
      </c>
      <c r="D197" s="7" t="n">
        <v>0.1517</v>
      </c>
    </row>
    <row r="198">
      <c r="A198" s="6" t="inlineStr">
        <is>
          <t>25-1031</t>
        </is>
      </c>
      <c r="B198" s="6" t="inlineStr">
        <is>
          <t>Architecture Teachers, Postsecondary</t>
        </is>
      </c>
      <c r="C198" s="7" t="n">
        <v>1.9297</v>
      </c>
      <c r="D198" s="7" t="n">
        <v>0.2698</v>
      </c>
    </row>
    <row r="199">
      <c r="A199" s="6" t="inlineStr">
        <is>
          <t>25-1032</t>
        </is>
      </c>
      <c r="B199" s="6" t="inlineStr">
        <is>
          <t>Engineering Teachers, Postsecondary</t>
        </is>
      </c>
      <c r="C199" s="7" t="n">
        <v>1.9001</v>
      </c>
      <c r="D199" s="7" t="n">
        <v>0.3483</v>
      </c>
    </row>
    <row r="200">
      <c r="A200" s="6" t="inlineStr">
        <is>
          <t>25-1041</t>
        </is>
      </c>
      <c r="B200" s="6" t="inlineStr">
        <is>
          <t>Agricultural Sciences Teachers, Postsecondary</t>
        </is>
      </c>
      <c r="C200" s="7" t="n">
        <v>2.6993</v>
      </c>
      <c r="D200" s="7" t="n">
        <v>0.1407</v>
      </c>
    </row>
    <row r="201">
      <c r="A201" s="6" t="inlineStr">
        <is>
          <t>25-1042</t>
        </is>
      </c>
      <c r="B201" s="6" t="inlineStr">
        <is>
          <t>Biological Science Teachers, Postsecondary</t>
        </is>
      </c>
      <c r="C201" s="7" t="n">
        <v>1.7724</v>
      </c>
      <c r="D201" s="7" t="n">
        <v>0.1588</v>
      </c>
    </row>
    <row r="202">
      <c r="A202" s="6" t="inlineStr">
        <is>
          <t>25-1043</t>
        </is>
      </c>
      <c r="B202" s="6" t="inlineStr">
        <is>
          <t>Forestry and Conservation Science Teachers, Postsecondary</t>
        </is>
      </c>
      <c r="C202" s="7" t="n">
        <v>2.5272</v>
      </c>
      <c r="D202" s="7" t="n">
        <v>0.1184</v>
      </c>
    </row>
    <row r="203">
      <c r="A203" s="6" t="inlineStr">
        <is>
          <t>25-1051</t>
        </is>
      </c>
      <c r="B203" s="6" t="inlineStr">
        <is>
          <t>Atmospheric, Earth, Marine, and Space Sciences Teachers, Postsecondary</t>
        </is>
      </c>
      <c r="C203" s="7" t="n">
        <v>1.6681</v>
      </c>
      <c r="D203" s="7" t="n">
        <v>0.245</v>
      </c>
    </row>
    <row r="204">
      <c r="A204" s="6" t="inlineStr">
        <is>
          <t>25-1052</t>
        </is>
      </c>
      <c r="B204" s="6" t="inlineStr">
        <is>
          <t>Chemistry Teachers, Postsecondary</t>
        </is>
      </c>
      <c r="C204" s="7" t="n">
        <v>1.702</v>
      </c>
      <c r="D204" s="7" t="n">
        <v>0.1075</v>
      </c>
    </row>
    <row r="205">
      <c r="A205" s="6" t="inlineStr">
        <is>
          <t>25-1053</t>
        </is>
      </c>
      <c r="B205" s="6" t="inlineStr">
        <is>
          <t>Environmental Science Teachers, Postsecondary</t>
        </is>
      </c>
      <c r="C205" s="7" t="n">
        <v>2.4687</v>
      </c>
      <c r="D205" s="7" t="n">
        <v>0.0842</v>
      </c>
    </row>
    <row r="206">
      <c r="A206" s="6" t="inlineStr">
        <is>
          <t>25-1054</t>
        </is>
      </c>
      <c r="B206" s="6" t="inlineStr">
        <is>
          <t>Physics Teachers, Postsecondary</t>
        </is>
      </c>
      <c r="C206" s="7" t="n">
        <v>1.6074</v>
      </c>
      <c r="D206" s="7" t="n">
        <v>0.1878</v>
      </c>
    </row>
    <row r="207">
      <c r="A207" s="6" t="inlineStr">
        <is>
          <t>25-1061</t>
        </is>
      </c>
      <c r="B207" s="6" t="inlineStr">
        <is>
          <t>Anthropology and Archeology Teachers, Postsecondary</t>
        </is>
      </c>
      <c r="C207" s="7" t="n">
        <v>2.5648</v>
      </c>
      <c r="D207" s="7" t="n">
        <v>0.1338</v>
      </c>
    </row>
    <row r="208">
      <c r="A208" s="6" t="inlineStr">
        <is>
          <t>25-1062</t>
        </is>
      </c>
      <c r="B208" s="6" t="inlineStr">
        <is>
          <t>Area, Ethnic, and Cultural Studies Teachers, Postsecondary</t>
        </is>
      </c>
      <c r="C208" s="7" t="n">
        <v>2.509</v>
      </c>
      <c r="D208" s="7" t="n">
        <v>0.131</v>
      </c>
    </row>
    <row r="209">
      <c r="A209" s="6" t="inlineStr">
        <is>
          <t>25-1063</t>
        </is>
      </c>
      <c r="B209" s="6" t="inlineStr">
        <is>
          <t>Economics Teachers, Postsecondary</t>
        </is>
      </c>
      <c r="C209" s="7" t="n">
        <v>2.2244</v>
      </c>
      <c r="D209" s="7" t="n">
        <v>0.276</v>
      </c>
    </row>
    <row r="210">
      <c r="A210" s="6" t="inlineStr">
        <is>
          <t>25-1064</t>
        </is>
      </c>
      <c r="B210" s="6" t="inlineStr">
        <is>
          <t>Geography Teachers, Postsecondary</t>
        </is>
      </c>
      <c r="C210" s="7" t="n">
        <v>2.0304</v>
      </c>
      <c r="D210" s="7" t="n">
        <v>0.2437</v>
      </c>
    </row>
    <row r="211">
      <c r="A211" s="6" t="inlineStr">
        <is>
          <t>25-1065</t>
        </is>
      </c>
      <c r="B211" s="6" t="inlineStr">
        <is>
          <t>Political Science Teachers, Postsecondary</t>
        </is>
      </c>
      <c r="C211" s="7" t="n">
        <v>1.9594</v>
      </c>
      <c r="D211" s="7" t="n">
        <v>0.3265</v>
      </c>
    </row>
    <row r="212">
      <c r="A212" s="6" t="inlineStr">
        <is>
          <t>25-1066</t>
        </is>
      </c>
      <c r="B212" s="6" t="inlineStr">
        <is>
          <t>Psychology Teachers, Postsecondary</t>
        </is>
      </c>
      <c r="C212" s="7" t="n">
        <v>2.0415</v>
      </c>
      <c r="D212" s="7" t="n">
        <v>0.1678</v>
      </c>
    </row>
    <row r="213">
      <c r="A213" s="6" t="inlineStr">
        <is>
          <t>25-1067</t>
        </is>
      </c>
      <c r="B213" s="6" t="inlineStr">
        <is>
          <t>Sociology Teachers, Postsecondary</t>
        </is>
      </c>
      <c r="C213" s="7" t="n">
        <v>2.0525</v>
      </c>
      <c r="D213" s="7" t="n">
        <v>0.2346</v>
      </c>
    </row>
    <row r="214">
      <c r="A214" s="6" t="inlineStr">
        <is>
          <t>25-1071</t>
        </is>
      </c>
      <c r="B214" s="6" t="inlineStr">
        <is>
          <t>Health Specialties Teachers, Postsecondary</t>
        </is>
      </c>
      <c r="C214" s="7" t="n">
        <v>1.5878</v>
      </c>
      <c r="D214" s="7" t="n">
        <v>0.2213</v>
      </c>
    </row>
    <row r="215">
      <c r="A215" s="6" t="inlineStr">
        <is>
          <t>25-1072</t>
        </is>
      </c>
      <c r="B215" s="6" t="inlineStr">
        <is>
          <t>Nursing Instructors and Teachers, Postsecondary</t>
        </is>
      </c>
      <c r="C215" s="7" t="n">
        <v>1.2116</v>
      </c>
      <c r="D215" s="7" t="n">
        <v>0.1664</v>
      </c>
    </row>
    <row r="216">
      <c r="A216" s="6" t="inlineStr">
        <is>
          <t>25-1081</t>
        </is>
      </c>
      <c r="B216" s="6" t="inlineStr">
        <is>
          <t>Education Teachers, Postsecondary</t>
        </is>
      </c>
      <c r="C216" s="7" t="n">
        <v>2.3902</v>
      </c>
      <c r="D216" s="7" t="n">
        <v>0.1303</v>
      </c>
    </row>
    <row r="217">
      <c r="A217" s="6" t="inlineStr">
        <is>
          <t>25-1082</t>
        </is>
      </c>
      <c r="B217" s="6" t="inlineStr">
        <is>
          <t>Library Science Teachers, Postsecondary</t>
        </is>
      </c>
      <c r="C217" s="7" t="n">
        <v>2.3557</v>
      </c>
      <c r="D217" s="7" t="n">
        <v>0.2209</v>
      </c>
    </row>
    <row r="218">
      <c r="A218" s="6" t="inlineStr">
        <is>
          <t>25-1111</t>
        </is>
      </c>
      <c r="B218" s="6" t="inlineStr">
        <is>
          <t>Criminal Justice and Law Enforcement Teachers, Postsecondary</t>
        </is>
      </c>
      <c r="C218" s="7" t="n">
        <v>2.3975</v>
      </c>
      <c r="D218" s="7" t="n">
        <v>0.1742</v>
      </c>
    </row>
    <row r="219">
      <c r="A219" s="6" t="inlineStr">
        <is>
          <t>25-1112</t>
        </is>
      </c>
      <c r="B219" s="6" t="inlineStr">
        <is>
          <t>Law Teachers, Postsecondary</t>
        </is>
      </c>
      <c r="C219" s="7" t="n">
        <v>2.1411</v>
      </c>
      <c r="D219" s="7" t="n">
        <v>0.4286</v>
      </c>
    </row>
    <row r="220">
      <c r="A220" s="6" t="inlineStr">
        <is>
          <t>25-1113</t>
        </is>
      </c>
      <c r="B220" s="6" t="inlineStr">
        <is>
          <t>Social Work Teachers, Postsecondary</t>
        </is>
      </c>
      <c r="C220" s="7" t="n">
        <v>1.5912</v>
      </c>
      <c r="D220" s="7" t="n">
        <v>0.6101</v>
      </c>
    </row>
    <row r="221">
      <c r="A221" s="6" t="inlineStr">
        <is>
          <t>25-1121</t>
        </is>
      </c>
      <c r="B221" s="6" t="inlineStr">
        <is>
          <t>Art, Drama, and Music Teachers, Postsecondary</t>
        </is>
      </c>
      <c r="C221" s="7" t="n">
        <v>1.5224</v>
      </c>
      <c r="D221" s="7" t="n">
        <v>0.6902</v>
      </c>
    </row>
    <row r="222">
      <c r="A222" s="6" t="inlineStr">
        <is>
          <t>25-1122</t>
        </is>
      </c>
      <c r="B222" s="6" t="inlineStr">
        <is>
          <t>Communications Teachers, Postsecondary</t>
        </is>
      </c>
      <c r="C222" s="7" t="n">
        <v>2.0343</v>
      </c>
      <c r="D222" s="7" t="n">
        <v>0.407</v>
      </c>
    </row>
    <row r="223">
      <c r="A223" s="6" t="inlineStr">
        <is>
          <t>25-1123</t>
        </is>
      </c>
      <c r="B223" s="6" t="inlineStr">
        <is>
          <t>English Language and Literature Teachers, Postsecondary</t>
        </is>
      </c>
      <c r="C223" s="7" t="n">
        <v>2.8761</v>
      </c>
      <c r="D223" s="7" t="n">
        <v>0.1046</v>
      </c>
    </row>
    <row r="224">
      <c r="A224" s="6" t="inlineStr">
        <is>
          <t>25-1124</t>
        </is>
      </c>
      <c r="B224" s="6" t="inlineStr">
        <is>
          <t>Foreign Language and Literature Teachers, Postsecondary</t>
        </is>
      </c>
      <c r="C224" s="7" t="n">
        <v>2.8362</v>
      </c>
      <c r="D224" s="7" t="n">
        <v>0.1107</v>
      </c>
    </row>
    <row r="225">
      <c r="A225" s="6" t="inlineStr">
        <is>
          <t>25-1125</t>
        </is>
      </c>
      <c r="B225" s="6" t="inlineStr">
        <is>
          <t>History Teachers, Postsecondary</t>
        </is>
      </c>
      <c r="C225" s="7" t="n">
        <v>2.5632</v>
      </c>
      <c r="D225" s="7" t="n">
        <v>0.2725</v>
      </c>
    </row>
    <row r="226">
      <c r="A226" s="6" t="inlineStr">
        <is>
          <t>25-1126</t>
        </is>
      </c>
      <c r="B226" s="6" t="inlineStr">
        <is>
          <t>Philosophy and Religion Teachers, Postsecondary</t>
        </is>
      </c>
      <c r="C226" s="7" t="n">
        <v>2.8741</v>
      </c>
      <c r="D226" s="7" t="n">
        <v>0.143</v>
      </c>
    </row>
    <row r="227">
      <c r="A227" s="6" t="inlineStr">
        <is>
          <t>25-1192</t>
        </is>
      </c>
      <c r="B227" s="6" t="inlineStr">
        <is>
          <t>Family and Consumer Sciences Teachers, Postsecondary</t>
        </is>
      </c>
      <c r="C227" s="7" t="n">
        <v>2.4811</v>
      </c>
      <c r="D227" s="7" t="n">
        <v>0.3477</v>
      </c>
    </row>
    <row r="228">
      <c r="A228" s="6" t="inlineStr">
        <is>
          <t>25-1193</t>
        </is>
      </c>
      <c r="B228" s="6" t="inlineStr">
        <is>
          <t>Recreation and Fitness Studies Teachers, Postsecondary</t>
        </is>
      </c>
      <c r="C228" s="7" t="n">
        <v>2.4763</v>
      </c>
      <c r="D228" s="7" t="n">
        <v>0.2767</v>
      </c>
    </row>
    <row r="229">
      <c r="A229" s="6" t="inlineStr">
        <is>
          <t>25-1194</t>
        </is>
      </c>
      <c r="B229" s="6" t="inlineStr">
        <is>
          <t>Career/Technical Education Teachers, Postsecondary</t>
        </is>
      </c>
      <c r="C229" s="7" t="n">
        <v>1.4647</v>
      </c>
      <c r="D229" s="7" t="n">
        <v>0.076</v>
      </c>
    </row>
    <row r="230">
      <c r="A230" s="6" t="inlineStr">
        <is>
          <t>25-2011</t>
        </is>
      </c>
      <c r="B230" s="6" t="inlineStr">
        <is>
          <t>Preschool Teachers, Except Special Education</t>
        </is>
      </c>
      <c r="C230" s="7" t="n">
        <v>-0.6424</v>
      </c>
      <c r="D230" s="7" t="n">
        <v>0.1441</v>
      </c>
    </row>
    <row r="231">
      <c r="A231" s="6" t="inlineStr">
        <is>
          <t>25-2012</t>
        </is>
      </c>
      <c r="B231" s="6" t="inlineStr">
        <is>
          <t>Kindergarten Teachers, Except Special Education</t>
        </is>
      </c>
      <c r="C231" s="7" t="n">
        <v>-0.1398</v>
      </c>
      <c r="D231" s="7" t="n">
        <v>0.1614</v>
      </c>
    </row>
    <row r="232">
      <c r="A232" s="6" t="inlineStr">
        <is>
          <t>25-2021</t>
        </is>
      </c>
      <c r="B232" s="6" t="inlineStr">
        <is>
          <t>Elementary School Teachers, Except Special Education</t>
        </is>
      </c>
      <c r="C232" s="7" t="n">
        <v>0.1945</v>
      </c>
      <c r="D232" s="7" t="n">
        <v>0.2298</v>
      </c>
    </row>
    <row r="233">
      <c r="A233" s="6" t="inlineStr">
        <is>
          <t>25-2022</t>
        </is>
      </c>
      <c r="B233" s="6" t="inlineStr">
        <is>
          <t>Middle School Teachers, Except Special and Career/Technical Education</t>
        </is>
      </c>
      <c r="C233" s="7" t="n">
        <v>0.5468</v>
      </c>
      <c r="D233" s="7" t="n">
        <v>0.314</v>
      </c>
    </row>
    <row r="234">
      <c r="A234" s="6" t="inlineStr">
        <is>
          <t>25-2023</t>
        </is>
      </c>
      <c r="B234" s="6" t="inlineStr">
        <is>
          <t>Career/Technical Education Teachers, Middle School</t>
        </is>
      </c>
      <c r="C234" s="7" t="n">
        <v>0.6597</v>
      </c>
      <c r="D234" s="7" t="n">
        <v>0.0352</v>
      </c>
    </row>
    <row r="235">
      <c r="A235" s="6" t="inlineStr">
        <is>
          <t>25-2031</t>
        </is>
      </c>
      <c r="B235" s="6" t="inlineStr">
        <is>
          <t>Secondary School Teachers, Except Special and Career/Technical Education</t>
        </is>
      </c>
      <c r="C235" s="7" t="n">
        <v>0.8159999999999999</v>
      </c>
      <c r="D235" s="7" t="n">
        <v>0.176</v>
      </c>
    </row>
    <row r="236">
      <c r="A236" s="6" t="inlineStr">
        <is>
          <t>25-2032</t>
        </is>
      </c>
      <c r="B236" s="6" t="inlineStr">
        <is>
          <t>Career/Technical Education Teachers, Secondary School</t>
        </is>
      </c>
      <c r="C236" s="7" t="n">
        <v>0.3148</v>
      </c>
      <c r="D236" s="7" t="n">
        <v>0.0421</v>
      </c>
    </row>
    <row r="237">
      <c r="A237" s="6" t="inlineStr">
        <is>
          <t>25-2051</t>
        </is>
      </c>
      <c r="B237" s="6" t="inlineStr">
        <is>
          <t>Special Education Teachers, Preschool</t>
        </is>
      </c>
      <c r="C237" s="7" t="n">
        <v>0.0137</v>
      </c>
      <c r="D237" s="7" t="n">
        <v>0.1069</v>
      </c>
    </row>
    <row r="238">
      <c r="A238" s="6" t="inlineStr">
        <is>
          <t>25-2057</t>
        </is>
      </c>
      <c r="B238" s="6" t="inlineStr">
        <is>
          <t>Special Education Teachers, Middle School</t>
        </is>
      </c>
      <c r="C238" s="7" t="n">
        <v>0.5195</v>
      </c>
      <c r="D238" s="7" t="n">
        <v>0.2779</v>
      </c>
    </row>
    <row r="239">
      <c r="A239" s="6" t="inlineStr">
        <is>
          <t>25-2058</t>
        </is>
      </c>
      <c r="B239" s="6" t="inlineStr">
        <is>
          <t>Special Education Teachers, Secondary School</t>
        </is>
      </c>
      <c r="C239" s="7" t="n">
        <v>0.2984</v>
      </c>
      <c r="D239" s="7" t="n">
        <v>0.2231</v>
      </c>
    </row>
    <row r="240">
      <c r="A240" s="6" t="inlineStr">
        <is>
          <t>25-2059</t>
        </is>
      </c>
      <c r="B240" s="6" t="inlineStr">
        <is>
          <t>Special Education Teachers, All Other</t>
        </is>
      </c>
      <c r="C240" s="7" t="n">
        <v>-0.07539999999999999</v>
      </c>
      <c r="D240" s="7" t="n">
        <v>0.247</v>
      </c>
    </row>
    <row r="241">
      <c r="A241" s="6" t="inlineStr">
        <is>
          <t>25-3011</t>
        </is>
      </c>
      <c r="B241" s="6" t="inlineStr">
        <is>
          <t>Adult Basic Education, Adult Secondary Education, and English as a Second Language Instructors</t>
        </is>
      </c>
      <c r="C241" s="7" t="n">
        <v>1.7206</v>
      </c>
      <c r="D241" s="7" t="n">
        <v>0.1733</v>
      </c>
    </row>
    <row r="242">
      <c r="A242" s="6" t="inlineStr">
        <is>
          <t>25-3021</t>
        </is>
      </c>
      <c r="B242" s="6" t="inlineStr">
        <is>
          <t>Self-Enrichment Teachers</t>
        </is>
      </c>
      <c r="C242" s="7" t="n">
        <v>0.4662</v>
      </c>
      <c r="D242" s="7" t="n">
        <v>0.166</v>
      </c>
    </row>
    <row r="243">
      <c r="A243" s="6" t="inlineStr">
        <is>
          <t>25-3031</t>
        </is>
      </c>
      <c r="B243" s="6" t="inlineStr">
        <is>
          <t>Substitute Teachers, Short-Term</t>
        </is>
      </c>
      <c r="C243" s="7" t="n">
        <v>-0.7759</v>
      </c>
      <c r="D243" s="7" t="n">
        <v>0.6567</v>
      </c>
    </row>
    <row r="244">
      <c r="A244" s="6" t="inlineStr">
        <is>
          <t>25-3041</t>
        </is>
      </c>
      <c r="B244" s="6" t="inlineStr">
        <is>
          <t>Tutors</t>
        </is>
      </c>
      <c r="C244" s="7" t="n">
        <v>1.6839</v>
      </c>
      <c r="D244" s="7" t="n">
        <v>0.3585</v>
      </c>
    </row>
    <row r="245">
      <c r="A245" s="6" t="inlineStr">
        <is>
          <t>25-4011</t>
        </is>
      </c>
      <c r="B245" s="6" t="inlineStr">
        <is>
          <t>Archivists</t>
        </is>
      </c>
      <c r="C245" s="7" t="n">
        <v>2.7595</v>
      </c>
      <c r="D245" s="7" t="n">
        <v>0.1949</v>
      </c>
    </row>
    <row r="246">
      <c r="A246" s="6" t="inlineStr">
        <is>
          <t>25-4012</t>
        </is>
      </c>
      <c r="B246" s="6" t="inlineStr">
        <is>
          <t>Curators</t>
        </is>
      </c>
      <c r="C246" s="7" t="n">
        <v>1.8078</v>
      </c>
      <c r="D246" s="7" t="n">
        <v>0.0633</v>
      </c>
    </row>
    <row r="247">
      <c r="A247" s="6" t="inlineStr">
        <is>
          <t>25-4013</t>
        </is>
      </c>
      <c r="B247" s="6" t="inlineStr">
        <is>
          <t>Museum Technicians and Conservators</t>
        </is>
      </c>
      <c r="C247" s="7" t="n">
        <v>-0.5043</v>
      </c>
      <c r="D247" s="7" t="n">
        <v>0.1008</v>
      </c>
    </row>
    <row r="248">
      <c r="A248" s="6" t="inlineStr">
        <is>
          <t>25-4022</t>
        </is>
      </c>
      <c r="B248" s="6" t="inlineStr">
        <is>
          <t>Librarians and Media Collections Specialists</t>
        </is>
      </c>
      <c r="C248" s="7" t="n">
        <v>3.4029</v>
      </c>
      <c r="D248" s="7" t="n">
        <v>0.2357</v>
      </c>
    </row>
    <row r="249">
      <c r="A249" s="6" t="inlineStr">
        <is>
          <t>25-4031</t>
        </is>
      </c>
      <c r="B249" s="6" t="inlineStr">
        <is>
          <t>Library Technicians</t>
        </is>
      </c>
      <c r="C249" s="7" t="n">
        <v>1.7812</v>
      </c>
      <c r="D249" s="7" t="n">
        <v>0.4111</v>
      </c>
    </row>
    <row r="250">
      <c r="A250" s="6" t="inlineStr">
        <is>
          <t>25-9021</t>
        </is>
      </c>
      <c r="B250" s="6" t="inlineStr">
        <is>
          <t>Farm and Home Management Educators</t>
        </is>
      </c>
      <c r="C250" s="7" t="n">
        <v>2.0638</v>
      </c>
      <c r="D250" s="7" t="n">
        <v>0.6647999999999999</v>
      </c>
    </row>
    <row r="251">
      <c r="A251" s="6" t="inlineStr">
        <is>
          <t>25-9031</t>
        </is>
      </c>
      <c r="B251" s="6" t="inlineStr">
        <is>
          <t>Instructional Coordinators</t>
        </is>
      </c>
      <c r="C251" s="7" t="n">
        <v>2.8126</v>
      </c>
      <c r="D251" s="7" t="n">
        <v>0.0659</v>
      </c>
    </row>
    <row r="252">
      <c r="A252" s="6" t="inlineStr">
        <is>
          <t>25-9044</t>
        </is>
      </c>
      <c r="B252" s="6" t="inlineStr">
        <is>
          <t>Teaching Assistants, Postsecondary</t>
        </is>
      </c>
      <c r="C252" s="7" t="n">
        <v>1.7994</v>
      </c>
      <c r="D252" s="7" t="n">
        <v>0.0828</v>
      </c>
    </row>
    <row r="253">
      <c r="A253" s="6" t="inlineStr">
        <is>
          <t>27-1011</t>
        </is>
      </c>
      <c r="B253" s="6" t="inlineStr">
        <is>
          <t>Art Directors</t>
        </is>
      </c>
      <c r="C253" s="7" t="n">
        <v>1.6766</v>
      </c>
      <c r="D253" s="7" t="n">
        <v>0.0742</v>
      </c>
    </row>
    <row r="254">
      <c r="A254" s="6" t="inlineStr">
        <is>
          <t>27-1012</t>
        </is>
      </c>
      <c r="B254" s="6" t="inlineStr">
        <is>
          <t>Craft Artists</t>
        </is>
      </c>
      <c r="C254" s="7" t="n">
        <v>-0.4515</v>
      </c>
      <c r="D254" s="7" t="n">
        <v>0.2618</v>
      </c>
    </row>
    <row r="255">
      <c r="A255" s="6" t="inlineStr">
        <is>
          <t>27-1013</t>
        </is>
      </c>
      <c r="B255" s="6" t="inlineStr">
        <is>
          <t>Fine Artists, Including Painters, Sculptors, and Illustrators</t>
        </is>
      </c>
      <c r="C255" s="7" t="n">
        <v>-0.4594</v>
      </c>
      <c r="D255" s="7" t="n">
        <v>0.3355</v>
      </c>
    </row>
    <row r="256">
      <c r="A256" s="6" t="inlineStr">
        <is>
          <t>27-1014</t>
        </is>
      </c>
      <c r="B256" s="6" t="inlineStr">
        <is>
          <t>Special Effects Artists and Animators</t>
        </is>
      </c>
      <c r="C256" s="7" t="n">
        <v>0.4142</v>
      </c>
      <c r="D256" s="7" t="n">
        <v>0.5957</v>
      </c>
    </row>
    <row r="257">
      <c r="A257" s="6" t="inlineStr">
        <is>
          <t>27-1021</t>
        </is>
      </c>
      <c r="B257" s="6" t="inlineStr">
        <is>
          <t>Commercial and Industrial Designers</t>
        </is>
      </c>
      <c r="C257" s="7" t="n">
        <v>1.4899</v>
      </c>
      <c r="D257" s="7" t="n">
        <v>0.0187</v>
      </c>
    </row>
    <row r="258">
      <c r="A258" s="6" t="inlineStr">
        <is>
          <t>27-1022</t>
        </is>
      </c>
      <c r="B258" s="6" t="inlineStr">
        <is>
          <t>Fashion Designers</t>
        </is>
      </c>
      <c r="C258" s="7" t="n">
        <v>0.6542</v>
      </c>
      <c r="D258" s="7" t="n">
        <v>0.4026</v>
      </c>
    </row>
    <row r="259">
      <c r="A259" s="6" t="inlineStr">
        <is>
          <t>27-1023</t>
        </is>
      </c>
      <c r="B259" s="6" t="inlineStr">
        <is>
          <t>Floral Designers</t>
        </is>
      </c>
      <c r="C259" s="7" t="n">
        <v>-0.8163</v>
      </c>
      <c r="D259" s="7" t="n">
        <v>0.1462</v>
      </c>
    </row>
    <row r="260">
      <c r="A260" s="6" t="inlineStr">
        <is>
          <t>27-1024</t>
        </is>
      </c>
      <c r="B260" s="6" t="inlineStr">
        <is>
          <t>Graphic Designers</t>
        </is>
      </c>
      <c r="C260" s="7" t="n">
        <v>0.9442</v>
      </c>
      <c r="D260" s="7" t="n">
        <v>0.2106</v>
      </c>
    </row>
    <row r="261">
      <c r="A261" s="6" t="inlineStr">
        <is>
          <t>27-1025</t>
        </is>
      </c>
      <c r="B261" s="6" t="inlineStr">
        <is>
          <t>Interior Designers</t>
        </is>
      </c>
      <c r="C261" s="7" t="n">
        <v>1.5701</v>
      </c>
      <c r="D261" s="7" t="n">
        <v>0.0728</v>
      </c>
    </row>
    <row r="262">
      <c r="A262" s="6" t="inlineStr">
        <is>
          <t>27-1026</t>
        </is>
      </c>
      <c r="B262" s="6" t="inlineStr">
        <is>
          <t>Merchandise Displayers and Window Trimmers</t>
        </is>
      </c>
      <c r="C262" s="7" t="n">
        <v>-1.0129</v>
      </c>
      <c r="D262" s="7" t="n">
        <v>0.1748</v>
      </c>
    </row>
    <row r="263">
      <c r="A263" s="6" t="inlineStr">
        <is>
          <t>27-1027</t>
        </is>
      </c>
      <c r="B263" s="6" t="inlineStr">
        <is>
          <t>Set and Exhibit Designers</t>
        </is>
      </c>
      <c r="C263" s="7" t="n">
        <v>0.2982</v>
      </c>
      <c r="D263" s="7" t="n">
        <v>0.1777</v>
      </c>
    </row>
    <row r="264">
      <c r="A264" s="6" t="inlineStr">
        <is>
          <t>27-2011</t>
        </is>
      </c>
      <c r="B264" s="6" t="inlineStr">
        <is>
          <t>Actors</t>
        </is>
      </c>
      <c r="C264" s="7" t="n">
        <v>-1.195</v>
      </c>
      <c r="D264" s="7" t="n">
        <v>0.1669</v>
      </c>
    </row>
    <row r="265">
      <c r="A265" s="6" t="inlineStr">
        <is>
          <t>27-2012</t>
        </is>
      </c>
      <c r="B265" s="6" t="inlineStr">
        <is>
          <t>Producers and Directors</t>
        </is>
      </c>
      <c r="C265" s="7" t="n">
        <v>1.0201</v>
      </c>
      <c r="D265" s="7" t="n">
        <v>0.1642</v>
      </c>
    </row>
    <row r="266">
      <c r="A266" s="6" t="inlineStr">
        <is>
          <t>27-2021</t>
        </is>
      </c>
      <c r="B266" s="6" t="inlineStr">
        <is>
          <t>Athletes and Sports Competitors</t>
        </is>
      </c>
      <c r="C266" s="7" t="n">
        <v>-2.5356</v>
      </c>
      <c r="D266" s="7" t="n">
        <v>0.677</v>
      </c>
    </row>
    <row r="267">
      <c r="A267" s="6" t="inlineStr">
        <is>
          <t>27-2022</t>
        </is>
      </c>
      <c r="B267" s="6" t="inlineStr">
        <is>
          <t>Coaches and Scouts</t>
        </is>
      </c>
      <c r="C267" s="7" t="n">
        <v>-0.4534</v>
      </c>
      <c r="D267" s="7" t="n">
        <v>0.09030000000000001</v>
      </c>
    </row>
    <row r="268">
      <c r="A268" s="6" t="inlineStr">
        <is>
          <t>27-2023</t>
        </is>
      </c>
      <c r="B268" s="6" t="inlineStr">
        <is>
          <t>Umpires, Referees, and Other Sports Officials</t>
        </is>
      </c>
      <c r="C268" s="7" t="n">
        <v>-1.2868</v>
      </c>
      <c r="D268" s="7" t="n">
        <v>0.1527</v>
      </c>
    </row>
    <row r="269">
      <c r="A269" s="6" t="inlineStr">
        <is>
          <t>27-2031</t>
        </is>
      </c>
      <c r="B269" s="6" t="inlineStr">
        <is>
          <t>Dancers</t>
        </is>
      </c>
      <c r="C269" s="7" t="n">
        <v>-3.061</v>
      </c>
      <c r="D269" s="7" t="n">
        <v>0.5317</v>
      </c>
    </row>
    <row r="270">
      <c r="A270" s="6" t="inlineStr">
        <is>
          <t>27-2032</t>
        </is>
      </c>
      <c r="B270" s="6" t="inlineStr">
        <is>
          <t>Choreographers</t>
        </is>
      </c>
      <c r="C270" s="7" t="n">
        <v>-1.7728</v>
      </c>
      <c r="D270" s="7" t="n">
        <v>0.3011</v>
      </c>
    </row>
    <row r="271">
      <c r="A271" s="6" t="inlineStr">
        <is>
          <t>27-2041</t>
        </is>
      </c>
      <c r="B271" s="6" t="inlineStr">
        <is>
          <t>Music Directors and Composers</t>
        </is>
      </c>
      <c r="C271" s="7" t="n">
        <v>1.0334</v>
      </c>
      <c r="D271" s="7" t="n">
        <v>0.5724</v>
      </c>
    </row>
    <row r="272">
      <c r="A272" s="6" t="inlineStr">
        <is>
          <t>27-2042</t>
        </is>
      </c>
      <c r="B272" s="6" t="inlineStr">
        <is>
          <t>Musicians and Singers</t>
        </is>
      </c>
      <c r="C272" s="7" t="n">
        <v>-0.9264</v>
      </c>
      <c r="D272" s="7" t="n">
        <v>0.2216</v>
      </c>
    </row>
    <row r="273">
      <c r="A273" s="6" t="inlineStr">
        <is>
          <t>27-3011</t>
        </is>
      </c>
      <c r="B273" s="6" t="inlineStr">
        <is>
          <t>Broadcast Announcers and Radio Disc Jockeys</t>
        </is>
      </c>
      <c r="C273" s="7" t="n">
        <v>2.798</v>
      </c>
      <c r="D273" s="7" t="n">
        <v>0.5235</v>
      </c>
    </row>
    <row r="274">
      <c r="A274" s="6" t="inlineStr">
        <is>
          <t>27-3023</t>
        </is>
      </c>
      <c r="B274" s="6" t="inlineStr">
        <is>
          <t>News Analysts, Reporters, and Journalists</t>
        </is>
      </c>
      <c r="C274" s="7" t="n">
        <v>6.9137</v>
      </c>
      <c r="D274" s="7" t="n">
        <v>2.2051</v>
      </c>
    </row>
    <row r="275">
      <c r="A275" s="6" t="inlineStr">
        <is>
          <t>27-3031</t>
        </is>
      </c>
      <c r="B275" s="6" t="inlineStr">
        <is>
          <t>Public Relations Specialists</t>
        </is>
      </c>
      <c r="C275" s="7" t="n">
        <v>4.5628</v>
      </c>
      <c r="D275" s="7" t="n">
        <v>0.2739</v>
      </c>
    </row>
    <row r="276">
      <c r="A276" s="6" t="inlineStr">
        <is>
          <t>27-3041</t>
        </is>
      </c>
      <c r="B276" s="6" t="inlineStr">
        <is>
          <t>Editors</t>
        </is>
      </c>
      <c r="C276" s="7" t="n">
        <v>3.8446</v>
      </c>
      <c r="D276" s="7" t="n">
        <v>0.1187</v>
      </c>
    </row>
    <row r="277">
      <c r="A277" s="6" t="inlineStr">
        <is>
          <t>27-3042</t>
        </is>
      </c>
      <c r="B277" s="6" t="inlineStr">
        <is>
          <t>Technical Writers</t>
        </is>
      </c>
      <c r="C277" s="7" t="n">
        <v>4.4073</v>
      </c>
      <c r="D277" s="7" t="n">
        <v>0.1724</v>
      </c>
    </row>
    <row r="278">
      <c r="A278" s="6" t="inlineStr">
        <is>
          <t>27-3043</t>
        </is>
      </c>
      <c r="B278" s="6" t="inlineStr">
        <is>
          <t>Writers and Authors</t>
        </is>
      </c>
      <c r="C278" s="7" t="n">
        <v>5.3861</v>
      </c>
      <c r="D278" s="7" t="n">
        <v>0.4089</v>
      </c>
    </row>
    <row r="279">
      <c r="A279" s="6" t="inlineStr">
        <is>
          <t>27-3091</t>
        </is>
      </c>
      <c r="B279" s="6" t="inlineStr">
        <is>
          <t>Interpreters and Translators</t>
        </is>
      </c>
      <c r="C279" s="7" t="n">
        <v>5.4243</v>
      </c>
      <c r="D279" s="7" t="n">
        <v>0.7479</v>
      </c>
    </row>
    <row r="280">
      <c r="A280" s="6" t="inlineStr">
        <is>
          <t>27-3092</t>
        </is>
      </c>
      <c r="B280" s="6" t="inlineStr">
        <is>
          <t>Court Reporters and Simultaneous Captioners</t>
        </is>
      </c>
      <c r="C280" s="7" t="n">
        <v>3.098</v>
      </c>
      <c r="D280" s="7" t="n">
        <v>0.7058</v>
      </c>
    </row>
    <row r="281">
      <c r="A281" s="6" t="inlineStr">
        <is>
          <t>27-4011</t>
        </is>
      </c>
      <c r="B281" s="6" t="inlineStr">
        <is>
          <t>Audio and Video Technicians</t>
        </is>
      </c>
      <c r="C281" s="7" t="n">
        <v>-0.0169</v>
      </c>
      <c r="D281" s="7" t="n">
        <v>0.1424</v>
      </c>
    </row>
    <row r="282">
      <c r="A282" s="6" t="inlineStr">
        <is>
          <t>27-4012</t>
        </is>
      </c>
      <c r="B282" s="6" t="inlineStr">
        <is>
          <t>Broadcast Technicians</t>
        </is>
      </c>
      <c r="C282" s="7" t="n">
        <v>0.0504</v>
      </c>
      <c r="D282" s="7" t="n">
        <v>0.2717</v>
      </c>
    </row>
    <row r="283">
      <c r="A283" s="6" t="inlineStr">
        <is>
          <t>27-4014</t>
        </is>
      </c>
      <c r="B283" s="6" t="inlineStr">
        <is>
          <t>Sound Engineering Technicians</t>
        </is>
      </c>
      <c r="C283" s="7" t="n">
        <v>-0.1995</v>
      </c>
      <c r="D283" s="7" t="n">
        <v>0.2366</v>
      </c>
    </row>
    <row r="284">
      <c r="A284" s="6" t="inlineStr">
        <is>
          <t>27-4021</t>
        </is>
      </c>
      <c r="B284" s="6" t="inlineStr">
        <is>
          <t>Photographers</t>
        </is>
      </c>
      <c r="C284" s="7" t="n">
        <v>-0.3786</v>
      </c>
      <c r="D284" s="7" t="n">
        <v>0.5475</v>
      </c>
    </row>
    <row r="285">
      <c r="A285" s="6" t="inlineStr">
        <is>
          <t>27-4031</t>
        </is>
      </c>
      <c r="B285" s="6" t="inlineStr">
        <is>
          <t>Camera Operators, Television, Video, and Film</t>
        </is>
      </c>
      <c r="C285" s="7" t="n">
        <v>-0.6973</v>
      </c>
      <c r="D285" s="7" t="n">
        <v>0.4663</v>
      </c>
    </row>
    <row r="286">
      <c r="A286" s="6" t="inlineStr">
        <is>
          <t>27-4032</t>
        </is>
      </c>
      <c r="B286" s="6" t="inlineStr">
        <is>
          <t>Film and Video Editors</t>
        </is>
      </c>
      <c r="C286" s="7" t="n">
        <v>0.5081</v>
      </c>
      <c r="D286" s="7" t="n">
        <v>0.663</v>
      </c>
    </row>
    <row r="287">
      <c r="A287" s="6" t="inlineStr">
        <is>
          <t>29-1011</t>
        </is>
      </c>
      <c r="B287" s="6" t="inlineStr">
        <is>
          <t>Chiropractors</t>
        </is>
      </c>
      <c r="C287" s="7" t="n">
        <v>-0.3564</v>
      </c>
      <c r="D287" s="7" t="n">
        <v>0.1998</v>
      </c>
    </row>
    <row r="288">
      <c r="A288" s="6" t="inlineStr">
        <is>
          <t>29-1021</t>
        </is>
      </c>
      <c r="B288" s="6" t="inlineStr">
        <is>
          <t>Dentists, General</t>
        </is>
      </c>
      <c r="C288" s="7" t="n">
        <v>-1.1426</v>
      </c>
      <c r="D288" s="7" t="n">
        <v>0.1199</v>
      </c>
    </row>
    <row r="289">
      <c r="A289" s="6" t="inlineStr">
        <is>
          <t>29-1022</t>
        </is>
      </c>
      <c r="B289" s="6" t="inlineStr">
        <is>
          <t>Oral and Maxillofacial Surgeons</t>
        </is>
      </c>
      <c r="C289" s="7" t="n">
        <v>-2.3456</v>
      </c>
      <c r="D289" s="7" t="n">
        <v>0.161</v>
      </c>
    </row>
    <row r="290">
      <c r="A290" s="6" t="inlineStr">
        <is>
          <t>29-1023</t>
        </is>
      </c>
      <c r="B290" s="6" t="inlineStr">
        <is>
          <t>Orthodontists</t>
        </is>
      </c>
      <c r="C290" s="7" t="n">
        <v>-0.6858</v>
      </c>
      <c r="D290" s="7" t="n">
        <v>0.1609</v>
      </c>
    </row>
    <row r="291">
      <c r="A291" s="6" t="inlineStr">
        <is>
          <t>29-1024</t>
        </is>
      </c>
      <c r="B291" s="6" t="inlineStr">
        <is>
          <t>Prosthodontists</t>
        </is>
      </c>
      <c r="C291" s="7" t="n">
        <v>-2.2942</v>
      </c>
      <c r="D291" s="7" t="n">
        <v>0.1892</v>
      </c>
    </row>
    <row r="292">
      <c r="A292" s="6" t="inlineStr">
        <is>
          <t>29-1031</t>
        </is>
      </c>
      <c r="B292" s="6" t="inlineStr">
        <is>
          <t>Dietitians and Nutritionists</t>
        </is>
      </c>
      <c r="C292" s="7" t="n">
        <v>1.6609</v>
      </c>
      <c r="D292" s="7" t="n">
        <v>0.2291</v>
      </c>
    </row>
    <row r="293">
      <c r="A293" s="6" t="inlineStr">
        <is>
          <t>29-1041</t>
        </is>
      </c>
      <c r="B293" s="6" t="inlineStr">
        <is>
          <t>Optometrists</t>
        </is>
      </c>
      <c r="C293" s="7" t="n">
        <v>-1.4668</v>
      </c>
      <c r="D293" s="7" t="n">
        <v>0.42</v>
      </c>
    </row>
    <row r="294">
      <c r="A294" s="6" t="inlineStr">
        <is>
          <t>29-1051</t>
        </is>
      </c>
      <c r="B294" s="6" t="inlineStr">
        <is>
          <t>Pharmacists</t>
        </is>
      </c>
      <c r="C294" s="7" t="n">
        <v>1.0536</v>
      </c>
      <c r="D294" s="7" t="n">
        <v>0.196</v>
      </c>
    </row>
    <row r="295">
      <c r="A295" s="6" t="inlineStr">
        <is>
          <t>29-1071</t>
        </is>
      </c>
      <c r="B295" s="6" t="inlineStr">
        <is>
          <t>Physician Assistants</t>
        </is>
      </c>
      <c r="C295" s="7" t="n">
        <v>-1.3226</v>
      </c>
      <c r="D295" s="7" t="n">
        <v>0.189</v>
      </c>
    </row>
    <row r="296">
      <c r="A296" s="6" t="inlineStr">
        <is>
          <t>29-1081</t>
        </is>
      </c>
      <c r="B296" s="6" t="inlineStr">
        <is>
          <t>Podiatrists</t>
        </is>
      </c>
      <c r="C296" s="7" t="n">
        <v>-0.3245</v>
      </c>
      <c r="D296" s="7" t="n">
        <v>0.1749</v>
      </c>
    </row>
    <row r="297">
      <c r="A297" s="6" t="inlineStr">
        <is>
          <t>29-1122</t>
        </is>
      </c>
      <c r="B297" s="6" t="inlineStr">
        <is>
          <t>Occupational Therapists</t>
        </is>
      </c>
      <c r="C297" s="7" t="n">
        <v>-0.2423</v>
      </c>
      <c r="D297" s="7" t="n">
        <v>0.0575</v>
      </c>
    </row>
    <row r="298">
      <c r="A298" s="6" t="inlineStr">
        <is>
          <t>29-1123</t>
        </is>
      </c>
      <c r="B298" s="6" t="inlineStr">
        <is>
          <t>Physical Therapists</t>
        </is>
      </c>
      <c r="C298" s="7" t="n">
        <v>-0.8764</v>
      </c>
      <c r="D298" s="7" t="n">
        <v>0.1917</v>
      </c>
    </row>
    <row r="299">
      <c r="A299" s="6" t="inlineStr">
        <is>
          <t>29-1124</t>
        </is>
      </c>
      <c r="B299" s="6" t="inlineStr">
        <is>
          <t>Radiation Therapists</t>
        </is>
      </c>
      <c r="C299" s="7" t="n">
        <v>-1.0323</v>
      </c>
      <c r="D299" s="7" t="n">
        <v>0.0295</v>
      </c>
    </row>
    <row r="300">
      <c r="A300" s="6" t="inlineStr">
        <is>
          <t>29-1125</t>
        </is>
      </c>
      <c r="B300" s="6" t="inlineStr">
        <is>
          <t>Recreational Therapists</t>
        </is>
      </c>
      <c r="C300" s="7" t="n">
        <v>-0.1404</v>
      </c>
      <c r="D300" s="7" t="n">
        <v>0.1856</v>
      </c>
    </row>
    <row r="301">
      <c r="A301" s="6" t="inlineStr">
        <is>
          <t>29-1126</t>
        </is>
      </c>
      <c r="B301" s="6" t="inlineStr">
        <is>
          <t>Respiratory Therapists</t>
        </is>
      </c>
      <c r="C301" s="7" t="n">
        <v>-1.3716</v>
      </c>
      <c r="D301" s="7" t="n">
        <v>0.0664</v>
      </c>
    </row>
    <row r="302">
      <c r="A302" s="6" t="inlineStr">
        <is>
          <t>29-1127</t>
        </is>
      </c>
      <c r="B302" s="6" t="inlineStr">
        <is>
          <t>Speech-Language Pathologists</t>
        </is>
      </c>
      <c r="C302" s="7" t="n">
        <v>1.1161</v>
      </c>
      <c r="D302" s="7" t="n">
        <v>0.1955</v>
      </c>
    </row>
    <row r="303">
      <c r="A303" s="6" t="inlineStr">
        <is>
          <t>29-1128</t>
        </is>
      </c>
      <c r="B303" s="6" t="inlineStr">
        <is>
          <t>Exercise Physiologists</t>
        </is>
      </c>
      <c r="C303" s="7" t="n">
        <v>-0.5009</v>
      </c>
      <c r="D303" s="7" t="n">
        <v>0.0808</v>
      </c>
    </row>
    <row r="304">
      <c r="A304" s="6" t="inlineStr">
        <is>
          <t>29-1131</t>
        </is>
      </c>
      <c r="B304" s="6" t="inlineStr">
        <is>
          <t>Veterinarians</t>
        </is>
      </c>
      <c r="C304" s="7" t="n">
        <v>-0.5770999999999999</v>
      </c>
      <c r="D304" s="7" t="n">
        <v>0.0213</v>
      </c>
    </row>
    <row r="305">
      <c r="A305" s="6" t="inlineStr">
        <is>
          <t>29-1141</t>
        </is>
      </c>
      <c r="B305" s="6" t="inlineStr">
        <is>
          <t>Registered Nurses</t>
        </is>
      </c>
      <c r="C305" s="7" t="n">
        <v>0.0408</v>
      </c>
      <c r="D305" s="7" t="n">
        <v>0.077</v>
      </c>
    </row>
    <row r="306">
      <c r="A306" s="6" t="inlineStr">
        <is>
          <t>29-1151</t>
        </is>
      </c>
      <c r="B306" s="6" t="inlineStr">
        <is>
          <t>Nurse Anesthetists</t>
        </is>
      </c>
      <c r="C306" s="7" t="n">
        <v>-1.2911</v>
      </c>
      <c r="D306" s="7" t="n">
        <v>0.1565</v>
      </c>
    </row>
    <row r="307">
      <c r="A307" s="6" t="inlineStr">
        <is>
          <t>29-1161</t>
        </is>
      </c>
      <c r="B307" s="6" t="inlineStr">
        <is>
          <t>Nurse Midwives</t>
        </is>
      </c>
      <c r="C307" s="7" t="n">
        <v>0.4262</v>
      </c>
      <c r="D307" s="7" t="n">
        <v>0.1063</v>
      </c>
    </row>
    <row r="308">
      <c r="A308" s="6" t="inlineStr">
        <is>
          <t>29-1171</t>
        </is>
      </c>
      <c r="B308" s="6" t="inlineStr">
        <is>
          <t>Nurse Practitioners</t>
        </is>
      </c>
      <c r="C308" s="7" t="n">
        <v>1.0592</v>
      </c>
      <c r="D308" s="7" t="n">
        <v>0.1966</v>
      </c>
    </row>
    <row r="309">
      <c r="A309" s="6" t="inlineStr">
        <is>
          <t>29-1181</t>
        </is>
      </c>
      <c r="B309" s="6" t="inlineStr">
        <is>
          <t>Audiologists</t>
        </is>
      </c>
      <c r="C309" s="7" t="n">
        <v>0.3911</v>
      </c>
      <c r="D309" s="7" t="n">
        <v>0.3578</v>
      </c>
    </row>
    <row r="310">
      <c r="A310" s="6" t="inlineStr">
        <is>
          <t>29-1211</t>
        </is>
      </c>
      <c r="B310" s="6" t="inlineStr">
        <is>
          <t>Anesthesiologists</t>
        </is>
      </c>
      <c r="C310" s="7" t="n">
        <v>-0.8895999999999999</v>
      </c>
      <c r="D310" s="7" t="n">
        <v>0.2708</v>
      </c>
    </row>
    <row r="311">
      <c r="A311" s="6" t="inlineStr">
        <is>
          <t>29-1212</t>
        </is>
      </c>
      <c r="B311" s="6" t="inlineStr">
        <is>
          <t>Cardiologists</t>
        </is>
      </c>
      <c r="C311" s="7" t="n">
        <v>-0.9575</v>
      </c>
      <c r="D311" s="7" t="n">
        <v>0.2055</v>
      </c>
    </row>
    <row r="312">
      <c r="A312" s="6" t="inlineStr">
        <is>
          <t>29-1213</t>
        </is>
      </c>
      <c r="B312" s="6" t="inlineStr">
        <is>
          <t>Dermatologists</t>
        </is>
      </c>
      <c r="C312" s="7" t="n">
        <v>0.2983</v>
      </c>
      <c r="D312" s="7" t="n">
        <v>0.1554</v>
      </c>
    </row>
    <row r="313">
      <c r="A313" s="6" t="inlineStr">
        <is>
          <t>29-1214</t>
        </is>
      </c>
      <c r="B313" s="6" t="inlineStr">
        <is>
          <t>Emergency Medicine Physicians</t>
        </is>
      </c>
      <c r="C313" s="7" t="n">
        <v>-0.737</v>
      </c>
      <c r="D313" s="7" t="n">
        <v>0.4623</v>
      </c>
    </row>
    <row r="314">
      <c r="A314" s="6" t="inlineStr">
        <is>
          <t>29-1215</t>
        </is>
      </c>
      <c r="B314" s="6" t="inlineStr">
        <is>
          <t>Family Medicine Physicians</t>
        </is>
      </c>
      <c r="C314" s="7" t="n">
        <v>1.1701</v>
      </c>
      <c r="D314" s="7" t="n">
        <v>0.1054</v>
      </c>
    </row>
    <row r="315">
      <c r="A315" s="6" t="inlineStr">
        <is>
          <t>29-1216</t>
        </is>
      </c>
      <c r="B315" s="6" t="inlineStr">
        <is>
          <t>General Internal Medicine Physicians</t>
        </is>
      </c>
      <c r="C315" s="7" t="n">
        <v>0.886</v>
      </c>
      <c r="D315" s="7" t="n">
        <v>0.1657</v>
      </c>
    </row>
    <row r="316">
      <c r="A316" s="6" t="inlineStr">
        <is>
          <t>29-1217</t>
        </is>
      </c>
      <c r="B316" s="6" t="inlineStr">
        <is>
          <t>Neurologists</t>
        </is>
      </c>
      <c r="C316" s="7" t="n">
        <v>0.5846</v>
      </c>
      <c r="D316" s="7" t="n">
        <v>0.1647</v>
      </c>
    </row>
    <row r="317">
      <c r="A317" s="6" t="inlineStr">
        <is>
          <t>29-1218</t>
        </is>
      </c>
      <c r="B317" s="6" t="inlineStr">
        <is>
          <t>Obstetricians and Gynecologists</t>
        </is>
      </c>
      <c r="C317" s="7" t="n">
        <v>-0.4781</v>
      </c>
      <c r="D317" s="7" t="n">
        <v>0.2934</v>
      </c>
    </row>
    <row r="318">
      <c r="A318" s="6" t="inlineStr">
        <is>
          <t>29-1221</t>
        </is>
      </c>
      <c r="B318" s="6" t="inlineStr">
        <is>
          <t>Pediatricians, General</t>
        </is>
      </c>
      <c r="C318" s="7" t="n">
        <v>0.7597</v>
      </c>
      <c r="D318" s="7" t="n">
        <v>0.2811</v>
      </c>
    </row>
    <row r="319">
      <c r="A319" s="6" t="inlineStr">
        <is>
          <t>29-1222</t>
        </is>
      </c>
      <c r="B319" s="6" t="inlineStr">
        <is>
          <t>Physicians, Pathologists</t>
        </is>
      </c>
      <c r="C319" s="7" t="n">
        <v>0.4933</v>
      </c>
      <c r="D319" s="7" t="n">
        <v>0.1788</v>
      </c>
    </row>
    <row r="320">
      <c r="A320" s="6" t="inlineStr">
        <is>
          <t>29-1223</t>
        </is>
      </c>
      <c r="B320" s="6" t="inlineStr">
        <is>
          <t>Psychiatrists</t>
        </is>
      </c>
      <c r="C320" s="7" t="n">
        <v>2.0048</v>
      </c>
      <c r="D320" s="7" t="n">
        <v>0.2065</v>
      </c>
    </row>
    <row r="321">
      <c r="A321" s="6" t="inlineStr">
        <is>
          <t>29-1224</t>
        </is>
      </c>
      <c r="B321" s="6" t="inlineStr">
        <is>
          <t>Radiologists</t>
        </is>
      </c>
      <c r="C321" s="7" t="n">
        <v>0.9919</v>
      </c>
      <c r="D321" s="7" t="n">
        <v>0.2763</v>
      </c>
    </row>
    <row r="322">
      <c r="A322" s="6" t="inlineStr">
        <is>
          <t>29-1229</t>
        </is>
      </c>
      <c r="B322" s="6" t="inlineStr">
        <is>
          <t>Physicians, All Other</t>
        </is>
      </c>
      <c r="C322" s="7" t="n">
        <v>0.3589</v>
      </c>
      <c r="D322" s="7" t="n">
        <v>0.1673</v>
      </c>
    </row>
    <row r="323">
      <c r="A323" s="6" t="inlineStr">
        <is>
          <t>29-1241</t>
        </is>
      </c>
      <c r="B323" s="6" t="inlineStr">
        <is>
          <t>Ophthalmologists, Except Pediatric</t>
        </is>
      </c>
      <c r="C323" s="7" t="n">
        <v>0.3192</v>
      </c>
      <c r="D323" s="7" t="n">
        <v>0.2502</v>
      </c>
    </row>
    <row r="324">
      <c r="A324" s="6" t="inlineStr">
        <is>
          <t>29-1242</t>
        </is>
      </c>
      <c r="B324" s="6" t="inlineStr">
        <is>
          <t>Orthopedic Surgeons, Except Pediatric</t>
        </is>
      </c>
      <c r="C324" s="7" t="n">
        <v>-1.137</v>
      </c>
      <c r="D324" s="7" t="n">
        <v>0.2068</v>
      </c>
    </row>
    <row r="325">
      <c r="A325" s="6" t="inlineStr">
        <is>
          <t>29-1243</t>
        </is>
      </c>
      <c r="B325" s="6" t="inlineStr">
        <is>
          <t>Pediatric Surgeons</t>
        </is>
      </c>
      <c r="C325" s="7" t="n">
        <v>-1.0012</v>
      </c>
      <c r="D325" s="7" t="n">
        <v>0.2147</v>
      </c>
    </row>
    <row r="326">
      <c r="A326" s="6" t="inlineStr">
        <is>
          <t>29-1291</t>
        </is>
      </c>
      <c r="B326" s="6" t="inlineStr">
        <is>
          <t>Acupuncturists</t>
        </is>
      </c>
      <c r="C326" s="7" t="n">
        <v>-0.3458</v>
      </c>
      <c r="D326" s="7" t="n">
        <v>0.3803</v>
      </c>
    </row>
    <row r="327">
      <c r="A327" s="6" t="inlineStr">
        <is>
          <t>29-1292</t>
        </is>
      </c>
      <c r="B327" s="6" t="inlineStr">
        <is>
          <t>Dental Hygienists</t>
        </is>
      </c>
      <c r="C327" s="7" t="n">
        <v>-1.7415</v>
      </c>
      <c r="D327" s="7" t="n">
        <v>0.0445</v>
      </c>
    </row>
    <row r="328">
      <c r="A328" s="6" t="inlineStr">
        <is>
          <t>29-1299</t>
        </is>
      </c>
      <c r="B328" s="6" t="inlineStr">
        <is>
          <t>Healthcare Diagnosing or Treating Practitioners, All Other</t>
        </is>
      </c>
      <c r="C328" s="7" t="n">
        <v>0.5634</v>
      </c>
      <c r="D328" s="7" t="n">
        <v>0.1865</v>
      </c>
    </row>
    <row r="329">
      <c r="A329" s="6" t="inlineStr">
        <is>
          <t>29-2011</t>
        </is>
      </c>
      <c r="B329" s="6" t="inlineStr">
        <is>
          <t>Clinical laboratory technologists and technicians</t>
        </is>
      </c>
      <c r="C329" s="7" t="n">
        <v>-0.5293</v>
      </c>
      <c r="D329" s="7" t="n">
        <v>0.213</v>
      </c>
    </row>
    <row r="330">
      <c r="A330" s="6" t="inlineStr">
        <is>
          <t>29-2012</t>
        </is>
      </c>
      <c r="B330" s="6" t="inlineStr">
        <is>
          <t>Clinical laboratory technologists and technicians</t>
        </is>
      </c>
      <c r="C330" s="7" t="n">
        <v>-1.7754</v>
      </c>
      <c r="D330" s="7" t="n">
        <v>0.1312</v>
      </c>
    </row>
    <row r="331">
      <c r="A331" s="6" t="inlineStr">
        <is>
          <t>29-2031</t>
        </is>
      </c>
      <c r="B331" s="6" t="inlineStr">
        <is>
          <t>Cardiovascular Technologists and Technicians</t>
        </is>
      </c>
      <c r="C331" s="7" t="n">
        <v>-0.9574</v>
      </c>
      <c r="D331" s="7" t="n">
        <v>0.1246</v>
      </c>
    </row>
    <row r="332">
      <c r="A332" s="6" t="inlineStr">
        <is>
          <t>29-2032</t>
        </is>
      </c>
      <c r="B332" s="6" t="inlineStr">
        <is>
          <t>Diagnostic Medical Sonographers</t>
        </is>
      </c>
      <c r="C332" s="7" t="n">
        <v>-0.9135</v>
      </c>
      <c r="D332" s="7" t="n">
        <v>0.1016</v>
      </c>
    </row>
    <row r="333">
      <c r="A333" s="6" t="inlineStr">
        <is>
          <t>29-2033</t>
        </is>
      </c>
      <c r="B333" s="6" t="inlineStr">
        <is>
          <t>Nuclear Medicine Technologists</t>
        </is>
      </c>
      <c r="C333" s="7" t="n">
        <v>-0.23</v>
      </c>
      <c r="D333" s="7" t="n">
        <v>0.08400000000000001</v>
      </c>
    </row>
    <row r="334">
      <c r="A334" s="6" t="inlineStr">
        <is>
          <t>29-2034</t>
        </is>
      </c>
      <c r="B334" s="6" t="inlineStr">
        <is>
          <t>Radiologic Technologists and Technicians</t>
        </is>
      </c>
      <c r="C334" s="7" t="n">
        <v>-0.2567</v>
      </c>
      <c r="D334" s="7" t="n">
        <v>0.1243</v>
      </c>
    </row>
    <row r="335">
      <c r="A335" s="6" t="inlineStr">
        <is>
          <t>29-2035</t>
        </is>
      </c>
      <c r="B335" s="6" t="inlineStr">
        <is>
          <t>Magnetic Resonance Imaging Technologists</t>
        </is>
      </c>
      <c r="C335" s="7" t="n">
        <v>-0.9111</v>
      </c>
      <c r="D335" s="7" t="n">
        <v>0.1006</v>
      </c>
    </row>
    <row r="336">
      <c r="A336" s="6" t="inlineStr">
        <is>
          <t>29-2036</t>
        </is>
      </c>
      <c r="B336" s="6" t="inlineStr">
        <is>
          <t>Medical Dosimetrists</t>
        </is>
      </c>
      <c r="C336" s="7" t="n">
        <v>-0.5229</v>
      </c>
      <c r="D336" s="7" t="n">
        <v>0.3663</v>
      </c>
    </row>
    <row r="337">
      <c r="A337" s="6" t="inlineStr">
        <is>
          <t>29-2042</t>
        </is>
      </c>
      <c r="B337" s="6" t="inlineStr">
        <is>
          <t>Emergency Medical Technicians</t>
        </is>
      </c>
      <c r="C337" s="7" t="n">
        <v>-1.4787</v>
      </c>
      <c r="D337" s="7" t="n">
        <v>0.144</v>
      </c>
    </row>
    <row r="338">
      <c r="A338" s="6" t="inlineStr">
        <is>
          <t>29-2043</t>
        </is>
      </c>
      <c r="B338" s="6" t="inlineStr">
        <is>
          <t>Paramedics</t>
        </is>
      </c>
      <c r="C338" s="7" t="n">
        <v>-1.6201</v>
      </c>
      <c r="D338" s="7" t="n">
        <v>0.1397</v>
      </c>
    </row>
    <row r="339">
      <c r="A339" s="6" t="inlineStr">
        <is>
          <t>29-2051</t>
        </is>
      </c>
      <c r="B339" s="6" t="inlineStr">
        <is>
          <t>Dietetic Technicians</t>
        </is>
      </c>
      <c r="C339" s="7" t="n">
        <v>0.2327</v>
      </c>
      <c r="D339" s="7" t="n">
        <v>0.3338</v>
      </c>
    </row>
    <row r="340">
      <c r="A340" s="6" t="inlineStr">
        <is>
          <t>29-2052</t>
        </is>
      </c>
      <c r="B340" s="6" t="inlineStr">
        <is>
          <t>Pharmacy Technicians</t>
        </is>
      </c>
      <c r="C340" s="7" t="n">
        <v>1.1382</v>
      </c>
      <c r="D340" s="7" t="n">
        <v>0.0586</v>
      </c>
    </row>
    <row r="341">
      <c r="A341" s="6" t="inlineStr">
        <is>
          <t>29-2053</t>
        </is>
      </c>
      <c r="B341" s="6" t="inlineStr">
        <is>
          <t>Psychiatric Technicians</t>
        </is>
      </c>
      <c r="C341" s="7" t="n">
        <v>-1.2869</v>
      </c>
      <c r="D341" s="7" t="n">
        <v>0.2543</v>
      </c>
    </row>
    <row r="342">
      <c r="A342" s="6" t="inlineStr">
        <is>
          <t>29-2055</t>
        </is>
      </c>
      <c r="B342" s="6" t="inlineStr">
        <is>
          <t>Surgical Technologists</t>
        </is>
      </c>
      <c r="C342" s="7" t="n">
        <v>-2.2704</v>
      </c>
      <c r="D342" s="7" t="n">
        <v>0.1475</v>
      </c>
    </row>
    <row r="343">
      <c r="A343" s="6" t="inlineStr">
        <is>
          <t>29-2056</t>
        </is>
      </c>
      <c r="B343" s="6" t="inlineStr">
        <is>
          <t>Veterinary Technologists and Technicians</t>
        </is>
      </c>
      <c r="C343" s="7" t="n">
        <v>-1.4137</v>
      </c>
      <c r="D343" s="7" t="n">
        <v>0.057</v>
      </c>
    </row>
    <row r="344">
      <c r="A344" s="6" t="inlineStr">
        <is>
          <t>29-2057</t>
        </is>
      </c>
      <c r="B344" s="6" t="inlineStr">
        <is>
          <t>Ophthalmic Medical Technicians</t>
        </is>
      </c>
      <c r="C344" s="7" t="n">
        <v>-1.4588</v>
      </c>
      <c r="D344" s="7" t="n">
        <v>0.3488</v>
      </c>
    </row>
    <row r="345">
      <c r="A345" s="6" t="inlineStr">
        <is>
          <t>29-2061</t>
        </is>
      </c>
      <c r="B345" s="6" t="inlineStr">
        <is>
          <t>Licensed Practical and Licensed Vocational Nurses</t>
        </is>
      </c>
      <c r="C345" s="7" t="n">
        <v>-1.1244</v>
      </c>
      <c r="D345" s="7" t="n">
        <v>0.1413</v>
      </c>
    </row>
    <row r="346">
      <c r="A346" s="6" t="inlineStr">
        <is>
          <t>29-2072</t>
        </is>
      </c>
      <c r="B346" s="6" t="inlineStr">
        <is>
          <t>Medical Records Specialists</t>
        </is>
      </c>
      <c r="C346" s="7" t="n">
        <v>0.7071</v>
      </c>
      <c r="D346" s="7" t="n">
        <v>1.1604</v>
      </c>
    </row>
    <row r="347">
      <c r="A347" s="6" t="inlineStr">
        <is>
          <t>29-2081</t>
        </is>
      </c>
      <c r="B347" s="6" t="inlineStr">
        <is>
          <t>Opticians, Dispensing</t>
        </is>
      </c>
      <c r="C347" s="7" t="n">
        <v>-0.8602</v>
      </c>
      <c r="D347" s="7" t="n">
        <v>0.1541</v>
      </c>
    </row>
    <row r="348">
      <c r="A348" s="6" t="inlineStr">
        <is>
          <t>29-2091</t>
        </is>
      </c>
      <c r="B348" s="6" t="inlineStr">
        <is>
          <t>Orthotists and Prosthetists</t>
        </is>
      </c>
      <c r="C348" s="7" t="n">
        <v>-0.8578</v>
      </c>
      <c r="D348" s="7" t="n">
        <v>0.1122</v>
      </c>
    </row>
    <row r="349">
      <c r="A349" s="6" t="inlineStr">
        <is>
          <t>29-2092</t>
        </is>
      </c>
      <c r="B349" s="6" t="inlineStr">
        <is>
          <t>Hearing Aid Specialists</t>
        </is>
      </c>
      <c r="C349" s="7" t="n">
        <v>-0.9265</v>
      </c>
      <c r="D349" s="7" t="n">
        <v>0.3077</v>
      </c>
    </row>
    <row r="350">
      <c r="A350" s="6" t="inlineStr">
        <is>
          <t>29-2099</t>
        </is>
      </c>
      <c r="B350" s="6" t="inlineStr">
        <is>
          <t>Health Technologists and Technicians, All Other</t>
        </is>
      </c>
      <c r="C350" s="7" t="n">
        <v>0.5581</v>
      </c>
      <c r="D350" s="7" t="n">
        <v>0.4742</v>
      </c>
    </row>
    <row r="351">
      <c r="A351" s="6" t="inlineStr">
        <is>
          <t>29-9021</t>
        </is>
      </c>
      <c r="B351" s="6" t="inlineStr">
        <is>
          <t>Health Information Technologists and Medical Registrars</t>
        </is>
      </c>
      <c r="C351" s="7" t="n">
        <v>0.8517</v>
      </c>
      <c r="D351" s="7" t="n">
        <v>1.3091</v>
      </c>
    </row>
    <row r="352">
      <c r="A352" s="6" t="inlineStr">
        <is>
          <t>29-9091</t>
        </is>
      </c>
      <c r="B352" s="6" t="inlineStr">
        <is>
          <t>Athletic Trainers</t>
        </is>
      </c>
      <c r="C352" s="7" t="n">
        <v>-0.6923</v>
      </c>
      <c r="D352" s="7" t="n">
        <v>0.2166</v>
      </c>
    </row>
    <row r="353">
      <c r="A353" s="6" t="inlineStr">
        <is>
          <t>29-9092</t>
        </is>
      </c>
      <c r="B353" s="6" t="inlineStr">
        <is>
          <t>Genetic Counselors</t>
        </is>
      </c>
      <c r="C353" s="7" t="n">
        <v>3.1666</v>
      </c>
      <c r="D353" s="7" t="n">
        <v>0.1115</v>
      </c>
    </row>
    <row r="354">
      <c r="A354" s="6" t="inlineStr">
        <is>
          <t>29-9093</t>
        </is>
      </c>
      <c r="B354" s="6" t="inlineStr">
        <is>
          <t>Surgical Assistants</t>
        </is>
      </c>
      <c r="C354" s="7" t="n">
        <v>-2.0569</v>
      </c>
      <c r="D354" s="7" t="n">
        <v>0.3953</v>
      </c>
    </row>
    <row r="355">
      <c r="A355" s="6" t="inlineStr">
        <is>
          <t>29-9099</t>
        </is>
      </c>
      <c r="B355" s="6" t="inlineStr">
        <is>
          <t>Healthcare Practitioners and Technical Workers, All Other</t>
        </is>
      </c>
      <c r="C355" s="7" t="n">
        <v>-0.5164</v>
      </c>
      <c r="D355" s="7" t="n">
        <v>0.1579</v>
      </c>
    </row>
    <row r="356">
      <c r="A356" s="6" t="inlineStr">
        <is>
          <t>31-1121</t>
        </is>
      </c>
      <c r="B356" s="6" t="inlineStr">
        <is>
          <t>Home Health Aides</t>
        </is>
      </c>
      <c r="C356" s="7" t="n">
        <v>-2.248</v>
      </c>
      <c r="D356" s="7" t="n">
        <v>0.1122</v>
      </c>
    </row>
    <row r="357">
      <c r="A357" s="6" t="inlineStr">
        <is>
          <t>31-1122</t>
        </is>
      </c>
      <c r="B357" s="6" t="inlineStr">
        <is>
          <t>Personal Care Aides</t>
        </is>
      </c>
      <c r="C357" s="7" t="n">
        <v>-1.4265</v>
      </c>
      <c r="D357" s="7" t="n">
        <v>0.2692</v>
      </c>
    </row>
    <row r="358">
      <c r="A358" s="6" t="inlineStr">
        <is>
          <t>31-1131</t>
        </is>
      </c>
      <c r="B358" s="6" t="inlineStr">
        <is>
          <t>Nursing Assistants</t>
        </is>
      </c>
      <c r="C358" s="7" t="n">
        <v>-2.2502</v>
      </c>
      <c r="D358" s="7" t="n">
        <v>0.0517</v>
      </c>
    </row>
    <row r="359">
      <c r="A359" s="6" t="inlineStr">
        <is>
          <t>31-1132</t>
        </is>
      </c>
      <c r="B359" s="6" t="inlineStr">
        <is>
          <t>Orderlies</t>
        </is>
      </c>
      <c r="C359" s="7" t="n">
        <v>-3.1617</v>
      </c>
      <c r="D359" s="7" t="n">
        <v>0.1064</v>
      </c>
    </row>
    <row r="360">
      <c r="A360" s="6" t="inlineStr">
        <is>
          <t>31-1133</t>
        </is>
      </c>
      <c r="B360" s="6" t="inlineStr">
        <is>
          <t>Psychiatric Aides</t>
        </is>
      </c>
      <c r="C360" s="7" t="n">
        <v>-1.7995</v>
      </c>
      <c r="D360" s="7" t="n">
        <v>0.0284</v>
      </c>
    </row>
    <row r="361">
      <c r="A361" s="6" t="inlineStr">
        <is>
          <t>31-2011</t>
        </is>
      </c>
      <c r="B361" s="6" t="inlineStr">
        <is>
          <t>Occupational Therapy Assistants</t>
        </is>
      </c>
      <c r="C361" s="7" t="n">
        <v>-0.8163</v>
      </c>
      <c r="D361" s="7" t="n">
        <v>0.0233</v>
      </c>
    </row>
    <row r="362">
      <c r="A362" s="6" t="inlineStr">
        <is>
          <t>31-2012</t>
        </is>
      </c>
      <c r="B362" s="6" t="inlineStr">
        <is>
          <t>Occupational Therapy Aides</t>
        </is>
      </c>
      <c r="C362" s="7" t="n">
        <v>-1.7611</v>
      </c>
      <c r="D362" s="7" t="n">
        <v>0.0548</v>
      </c>
    </row>
    <row r="363">
      <c r="A363" s="6" t="inlineStr">
        <is>
          <t>31-2021</t>
        </is>
      </c>
      <c r="B363" s="6" t="inlineStr">
        <is>
          <t>Physical Therapist Assistants</t>
        </is>
      </c>
      <c r="C363" s="7" t="n">
        <v>-2.0426</v>
      </c>
      <c r="D363" s="7" t="n">
        <v>0.0282</v>
      </c>
    </row>
    <row r="364">
      <c r="A364" s="6" t="inlineStr">
        <is>
          <t>31-2022</t>
        </is>
      </c>
      <c r="B364" s="6" t="inlineStr">
        <is>
          <t>Physical Therapist Aides</t>
        </is>
      </c>
      <c r="C364" s="7" t="n">
        <v>-1.6675</v>
      </c>
      <c r="D364" s="7" t="n">
        <v>0.0674</v>
      </c>
    </row>
    <row r="365">
      <c r="A365" s="6" t="inlineStr">
        <is>
          <t>31-9011</t>
        </is>
      </c>
      <c r="B365" s="6" t="inlineStr">
        <is>
          <t>Massage Therapists</t>
        </is>
      </c>
      <c r="C365" s="7" t="n">
        <v>-2.584</v>
      </c>
      <c r="D365" s="7" t="n">
        <v>0.1336</v>
      </c>
    </row>
    <row r="366">
      <c r="A366" s="6" t="inlineStr">
        <is>
          <t>31-9091</t>
        </is>
      </c>
      <c r="B366" s="6" t="inlineStr">
        <is>
          <t>Dental Assistants</t>
        </is>
      </c>
      <c r="C366" s="7" t="n">
        <v>-1.3824</v>
      </c>
      <c r="D366" s="7" t="n">
        <v>0.1152</v>
      </c>
    </row>
    <row r="367">
      <c r="A367" s="6" t="inlineStr">
        <is>
          <t>31-9092</t>
        </is>
      </c>
      <c r="B367" s="6" t="inlineStr">
        <is>
          <t>Medical Assistants</t>
        </is>
      </c>
      <c r="C367" s="7" t="n">
        <v>-0.7987</v>
      </c>
      <c r="D367" s="7" t="n">
        <v>0.1952</v>
      </c>
    </row>
    <row r="368">
      <c r="A368" s="6" t="inlineStr">
        <is>
          <t>31-9093</t>
        </is>
      </c>
      <c r="B368" s="6" t="inlineStr">
        <is>
          <t>Medical Equipment Preparers</t>
        </is>
      </c>
      <c r="C368" s="7" t="n">
        <v>-2.2642</v>
      </c>
      <c r="D368" s="7" t="n">
        <v>0.1062</v>
      </c>
    </row>
    <row r="369">
      <c r="A369" s="6" t="inlineStr">
        <is>
          <t>31-9094</t>
        </is>
      </c>
      <c r="B369" s="6" t="inlineStr">
        <is>
          <t>Medical Transcriptionists</t>
        </is>
      </c>
      <c r="C369" s="7" t="n">
        <v>2.7266</v>
      </c>
      <c r="D369" s="7" t="n">
        <v>1.7044</v>
      </c>
    </row>
    <row r="370">
      <c r="A370" s="6" t="inlineStr">
        <is>
          <t>31-9095</t>
        </is>
      </c>
      <c r="B370" s="6" t="inlineStr">
        <is>
          <t>Pharmacy Aides</t>
        </is>
      </c>
      <c r="C370" s="7" t="n">
        <v>-0.0471</v>
      </c>
      <c r="D370" s="7" t="n">
        <v>0.4995</v>
      </c>
    </row>
    <row r="371">
      <c r="A371" s="6" t="inlineStr">
        <is>
          <t>31-9096</t>
        </is>
      </c>
      <c r="B371" s="6" t="inlineStr">
        <is>
          <t>Veterinary Assistants and Laboratory Animal Caretakers</t>
        </is>
      </c>
      <c r="C371" s="7" t="n">
        <v>-1.4717</v>
      </c>
      <c r="D371" s="7" t="n">
        <v>0.1533</v>
      </c>
    </row>
    <row r="372">
      <c r="A372" s="6" t="inlineStr">
        <is>
          <t>31-9097</t>
        </is>
      </c>
      <c r="B372" s="6" t="inlineStr">
        <is>
          <t>Phlebotomists</t>
        </is>
      </c>
      <c r="C372" s="7" t="n">
        <v>-1.684</v>
      </c>
      <c r="D372" s="7" t="n">
        <v>0.1353</v>
      </c>
    </row>
    <row r="373">
      <c r="A373" s="6" t="inlineStr">
        <is>
          <t>31-9099</t>
        </is>
      </c>
      <c r="B373" s="6" t="inlineStr">
        <is>
          <t>Healthcare Support Workers, All Other</t>
        </is>
      </c>
      <c r="C373" s="7" t="n">
        <v>-0.5547</v>
      </c>
      <c r="D373" s="7" t="n">
        <v>0.3143</v>
      </c>
    </row>
    <row r="374">
      <c r="A374" s="6" t="inlineStr">
        <is>
          <t>33-1011</t>
        </is>
      </c>
      <c r="B374" s="6" t="inlineStr">
        <is>
          <t>First-Line Supervisors of Correctional Officers</t>
        </is>
      </c>
      <c r="C374" s="7" t="n">
        <v>-0.6884</v>
      </c>
      <c r="D374" s="7" t="n">
        <v>0.0337</v>
      </c>
    </row>
    <row r="375">
      <c r="A375" s="6" t="inlineStr">
        <is>
          <t>33-1012</t>
        </is>
      </c>
      <c r="B375" s="6" t="inlineStr">
        <is>
          <t>First-Line Supervisors of Police and Detectives</t>
        </is>
      </c>
      <c r="C375" s="7" t="n">
        <v>-0.1007</v>
      </c>
      <c r="D375" s="7" t="n">
        <v>0.1638</v>
      </c>
    </row>
    <row r="376">
      <c r="A376" s="6" t="inlineStr">
        <is>
          <t>33-1021</t>
        </is>
      </c>
      <c r="B376" s="6" t="inlineStr">
        <is>
          <t>First-Line Supervisors of Firefighting and Prevention Workers</t>
        </is>
      </c>
      <c r="C376" s="7" t="n">
        <v>-0.4718</v>
      </c>
      <c r="D376" s="7" t="n">
        <v>0.5557</v>
      </c>
    </row>
    <row r="377">
      <c r="A377" s="6" t="inlineStr">
        <is>
          <t>33-2011</t>
        </is>
      </c>
      <c r="B377" s="6" t="inlineStr">
        <is>
          <t>Firefighters</t>
        </is>
      </c>
      <c r="C377" s="7" t="n">
        <v>-2.2242</v>
      </c>
      <c r="D377" s="7" t="n">
        <v>0.0431</v>
      </c>
    </row>
    <row r="378">
      <c r="A378" s="6" t="inlineStr">
        <is>
          <t>33-2021</t>
        </is>
      </c>
      <c r="B378" s="6" t="inlineStr">
        <is>
          <t>Fire Inspectors and Investigators</t>
        </is>
      </c>
      <c r="C378" s="7" t="n">
        <v>0.1729</v>
      </c>
      <c r="D378" s="7" t="n">
        <v>0.1276</v>
      </c>
    </row>
    <row r="379">
      <c r="A379" s="6" t="inlineStr">
        <is>
          <t>33-2022</t>
        </is>
      </c>
      <c r="B379" s="6" t="inlineStr">
        <is>
          <t>Forest Fire Inspectors and Prevention Specialists</t>
        </is>
      </c>
      <c r="C379" s="7" t="n">
        <v>-0.3938</v>
      </c>
      <c r="D379" s="7" t="n">
        <v>0.2789</v>
      </c>
    </row>
    <row r="380">
      <c r="A380" s="6" t="inlineStr">
        <is>
          <t>33-3011</t>
        </is>
      </c>
      <c r="B380" s="6" t="inlineStr">
        <is>
          <t>Bailiffs</t>
        </is>
      </c>
      <c r="C380" s="7" t="n">
        <v>-1.5817</v>
      </c>
      <c r="D380" s="7" t="n">
        <v>0.4525</v>
      </c>
    </row>
    <row r="381">
      <c r="A381" s="6" t="inlineStr">
        <is>
          <t>33-3012</t>
        </is>
      </c>
      <c r="B381" s="6" t="inlineStr">
        <is>
          <t>Correctional Officers and Jailers</t>
        </is>
      </c>
      <c r="C381" s="7" t="n">
        <v>-1.035</v>
      </c>
      <c r="D381" s="7" t="n">
        <v>0.0548</v>
      </c>
    </row>
    <row r="382">
      <c r="A382" s="6" t="inlineStr">
        <is>
          <t>33-3021</t>
        </is>
      </c>
      <c r="B382" s="6" t="inlineStr">
        <is>
          <t>Detectives and Criminal Investigators</t>
        </is>
      </c>
      <c r="C382" s="7" t="n">
        <v>0.5713</v>
      </c>
      <c r="D382" s="7" t="n">
        <v>0.0364</v>
      </c>
    </row>
    <row r="383">
      <c r="A383" s="6" t="inlineStr">
        <is>
          <t>33-3031</t>
        </is>
      </c>
      <c r="B383" s="6" t="inlineStr">
        <is>
          <t>Fish and Game Wardens</t>
        </is>
      </c>
      <c r="C383" s="7" t="n">
        <v>-1.2312</v>
      </c>
      <c r="D383" s="7" t="n">
        <v>0.0423</v>
      </c>
    </row>
    <row r="384">
      <c r="A384" s="6" t="inlineStr">
        <is>
          <t>33-3041</t>
        </is>
      </c>
      <c r="B384" s="6" t="inlineStr">
        <is>
          <t>Parking Enforcement Workers</t>
        </is>
      </c>
      <c r="C384" s="7" t="n">
        <v>-0.4372</v>
      </c>
      <c r="D384" s="7" t="n">
        <v>0.07340000000000001</v>
      </c>
    </row>
    <row r="385">
      <c r="A385" s="6" t="inlineStr">
        <is>
          <t>33-3051</t>
        </is>
      </c>
      <c r="B385" s="6" t="inlineStr">
        <is>
          <t>Police and Sheriff's Patrol Officers</t>
        </is>
      </c>
      <c r="C385" s="7" t="n">
        <v>-0.4474</v>
      </c>
      <c r="D385" s="7" t="n">
        <v>0.0658</v>
      </c>
    </row>
    <row r="386">
      <c r="A386" s="6" t="inlineStr">
        <is>
          <t>33-3052</t>
        </is>
      </c>
      <c r="B386" s="6" t="inlineStr">
        <is>
          <t>Transit and Railroad Police</t>
        </is>
      </c>
      <c r="C386" s="7" t="n">
        <v>-0.7861</v>
      </c>
      <c r="D386" s="7" t="n">
        <v>0.313</v>
      </c>
    </row>
    <row r="387">
      <c r="A387" s="6" t="inlineStr">
        <is>
          <t>33-9011</t>
        </is>
      </c>
      <c r="B387" s="6" t="inlineStr">
        <is>
          <t>Animal Control Workers</t>
        </is>
      </c>
      <c r="C387" s="7" t="n">
        <v>-0.8966</v>
      </c>
      <c r="D387" s="7" t="n">
        <v>0.2344</v>
      </c>
    </row>
    <row r="388">
      <c r="A388" s="6" t="inlineStr">
        <is>
          <t>33-9021</t>
        </is>
      </c>
      <c r="B388" s="6" t="inlineStr">
        <is>
          <t>Private Detectives and Investigators</t>
        </is>
      </c>
      <c r="C388" s="7" t="n">
        <v>0.9788</v>
      </c>
      <c r="D388" s="7" t="n">
        <v>0.0352</v>
      </c>
    </row>
    <row r="389">
      <c r="A389" s="6" t="inlineStr">
        <is>
          <t>33-9031</t>
        </is>
      </c>
      <c r="B389" s="6" t="inlineStr">
        <is>
          <t>Gambling Surveillance Officers and Gambling Investigators</t>
        </is>
      </c>
      <c r="C389" s="7" t="n">
        <v>-0.2545</v>
      </c>
      <c r="D389" s="7" t="n">
        <v>0.5011</v>
      </c>
    </row>
    <row r="390">
      <c r="A390" s="6" t="inlineStr">
        <is>
          <t>33-9032</t>
        </is>
      </c>
      <c r="B390" s="6" t="inlineStr">
        <is>
          <t>Security Guards</t>
        </is>
      </c>
      <c r="C390" s="7" t="n">
        <v>-0.7363</v>
      </c>
      <c r="D390" s="7" t="n">
        <v>0.0517</v>
      </c>
    </row>
    <row r="391">
      <c r="A391" s="6" t="inlineStr">
        <is>
          <t>33-9091</t>
        </is>
      </c>
      <c r="B391" s="6" t="inlineStr">
        <is>
          <t>Crossing Guards and Flaggers</t>
        </is>
      </c>
      <c r="C391" s="7" t="n">
        <v>-1.3164</v>
      </c>
      <c r="D391" s="7" t="n">
        <v>0.3492</v>
      </c>
    </row>
    <row r="392">
      <c r="A392" s="6" t="inlineStr">
        <is>
          <t>33-9092</t>
        </is>
      </c>
      <c r="B392" s="6" t="inlineStr">
        <is>
          <t>Lifeguards, Ski Patrol, and Other Recreational Protective Service Workers</t>
        </is>
      </c>
      <c r="C392" s="7" t="n">
        <v>-2.1337</v>
      </c>
      <c r="D392" s="7" t="n">
        <v>0.0813</v>
      </c>
    </row>
    <row r="393">
      <c r="A393" s="6" t="inlineStr">
        <is>
          <t>33-9093</t>
        </is>
      </c>
      <c r="B393" s="6" t="inlineStr">
        <is>
          <t>Transportation Security Screeners</t>
        </is>
      </c>
      <c r="C393" s="7" t="n">
        <v>-0.4888</v>
      </c>
      <c r="D393" s="7" t="n">
        <v>0.1475</v>
      </c>
    </row>
    <row r="394">
      <c r="A394" s="6" t="inlineStr">
        <is>
          <t>33-9094</t>
        </is>
      </c>
      <c r="B394" s="6" t="inlineStr">
        <is>
          <t>School Bus Monitors</t>
        </is>
      </c>
      <c r="C394" s="7" t="n">
        <v>-0.7858000000000001</v>
      </c>
      <c r="D394" s="7" t="n">
        <v>0.7859</v>
      </c>
    </row>
    <row r="395">
      <c r="A395" s="6" t="inlineStr">
        <is>
          <t>33-9099</t>
        </is>
      </c>
      <c r="B395" s="6" t="inlineStr">
        <is>
          <t>Protective Service Workers, All Other</t>
        </is>
      </c>
      <c r="C395" s="7" t="n">
        <v>-0.4908</v>
      </c>
      <c r="D395" s="7" t="n">
        <v>0.2746</v>
      </c>
    </row>
    <row r="396">
      <c r="A396" s="6" t="inlineStr">
        <is>
          <t>35-1011</t>
        </is>
      </c>
      <c r="B396" s="6" t="inlineStr">
        <is>
          <t>Chefs and Head Cooks</t>
        </is>
      </c>
      <c r="C396" s="7" t="n">
        <v>-0.5283</v>
      </c>
      <c r="D396" s="7" t="n">
        <v>0.0109</v>
      </c>
    </row>
    <row r="397">
      <c r="A397" s="6" t="inlineStr">
        <is>
          <t>35-1012</t>
        </is>
      </c>
      <c r="B397" s="6" t="inlineStr">
        <is>
          <t>First-Line Supervisors of Food Preparation and Serving Workers</t>
        </is>
      </c>
      <c r="C397" s="7" t="n">
        <v>0.3364</v>
      </c>
      <c r="D397" s="7" t="n">
        <v>0.1876</v>
      </c>
    </row>
    <row r="398">
      <c r="A398" s="6" t="inlineStr">
        <is>
          <t>35-2011</t>
        </is>
      </c>
      <c r="B398" s="6" t="inlineStr">
        <is>
          <t>Cooks, Fast Food</t>
        </is>
      </c>
      <c r="C398" s="7" t="n">
        <v>-2.1455</v>
      </c>
      <c r="D398" s="7" t="n">
        <v>0.3606</v>
      </c>
    </row>
    <row r="399">
      <c r="A399" s="6" t="inlineStr">
        <is>
          <t>35-2012</t>
        </is>
      </c>
      <c r="B399" s="6" t="inlineStr">
        <is>
          <t>Cooks, Institution and Cafeteria</t>
        </is>
      </c>
      <c r="C399" s="7" t="n">
        <v>-2.0108</v>
      </c>
      <c r="D399" s="7" t="n">
        <v>0.0279</v>
      </c>
    </row>
    <row r="400">
      <c r="A400" s="6" t="inlineStr">
        <is>
          <t>35-2013</t>
        </is>
      </c>
      <c r="B400" s="6" t="inlineStr">
        <is>
          <t>Cooks, Private Household</t>
        </is>
      </c>
      <c r="C400" s="7" t="n">
        <v>-0.6414</v>
      </c>
      <c r="D400" s="7" t="n">
        <v>0.3877</v>
      </c>
    </row>
    <row r="401">
      <c r="A401" s="6" t="inlineStr">
        <is>
          <t>35-2014</t>
        </is>
      </c>
      <c r="B401" s="6" t="inlineStr">
        <is>
          <t>Cooks, Restaurant</t>
        </is>
      </c>
      <c r="C401" s="7" t="n">
        <v>-1.6507</v>
      </c>
      <c r="D401" s="7" t="n">
        <v>0.1422</v>
      </c>
    </row>
    <row r="402">
      <c r="A402" s="6" t="inlineStr">
        <is>
          <t>35-2015</t>
        </is>
      </c>
      <c r="B402" s="6" t="inlineStr">
        <is>
          <t>Cooks, Short Order</t>
        </is>
      </c>
      <c r="C402" s="7" t="n">
        <v>-2.3242</v>
      </c>
      <c r="D402" s="7" t="n">
        <v>0.2224</v>
      </c>
    </row>
    <row r="403">
      <c r="A403" s="6" t="inlineStr">
        <is>
          <t>35-2021</t>
        </is>
      </c>
      <c r="B403" s="6" t="inlineStr">
        <is>
          <t>Food Preparation Workers</t>
        </is>
      </c>
      <c r="C403" s="7" t="n">
        <v>-2.1984</v>
      </c>
      <c r="D403" s="7" t="n">
        <v>0.1866</v>
      </c>
    </row>
    <row r="404">
      <c r="A404" s="6" t="inlineStr">
        <is>
          <t>35-3011</t>
        </is>
      </c>
      <c r="B404" s="6" t="inlineStr">
        <is>
          <t>Bartenders</t>
        </is>
      </c>
      <c r="C404" s="7" t="n">
        <v>-1.5226</v>
      </c>
      <c r="D404" s="7" t="n">
        <v>0.1734</v>
      </c>
    </row>
    <row r="405">
      <c r="A405" s="6" t="inlineStr">
        <is>
          <t>35-3023</t>
        </is>
      </c>
      <c r="B405" s="6" t="inlineStr">
        <is>
          <t>Fast Food and Counter Workers</t>
        </is>
      </c>
      <c r="C405" s="7" t="n">
        <v>-1.8301</v>
      </c>
      <c r="D405" s="7" t="n">
        <v>0.1534</v>
      </c>
    </row>
    <row r="406">
      <c r="A406" s="6" t="inlineStr">
        <is>
          <t>35-3031</t>
        </is>
      </c>
      <c r="B406" s="6" t="inlineStr">
        <is>
          <t>Waiters and Waitresses</t>
        </is>
      </c>
      <c r="C406" s="7" t="n">
        <v>-0.5423</v>
      </c>
      <c r="D406" s="7" t="n">
        <v>0.6054</v>
      </c>
    </row>
    <row r="407">
      <c r="A407" s="6" t="inlineStr">
        <is>
          <t>35-3041</t>
        </is>
      </c>
      <c r="B407" s="6" t="inlineStr">
        <is>
          <t>Food Servers, Nonrestaurant</t>
        </is>
      </c>
      <c r="C407" s="7" t="n">
        <v>-1.9494</v>
      </c>
      <c r="D407" s="7" t="n">
        <v>0.0485</v>
      </c>
    </row>
    <row r="408">
      <c r="A408" s="6" t="inlineStr">
        <is>
          <t>35-9011</t>
        </is>
      </c>
      <c r="B408" s="6" t="inlineStr">
        <is>
          <t>Dining Room and Cafeteria Attendants and Bartender Helpers</t>
        </is>
      </c>
      <c r="C408" s="7" t="n">
        <v>-3.0503</v>
      </c>
      <c r="D408" s="7" t="n">
        <v>0.1816</v>
      </c>
    </row>
    <row r="409">
      <c r="A409" s="6" t="inlineStr">
        <is>
          <t>35-9021</t>
        </is>
      </c>
      <c r="B409" s="6" t="inlineStr">
        <is>
          <t>Dishwashers</t>
        </is>
      </c>
      <c r="C409" s="7" t="n">
        <v>-3.2206</v>
      </c>
      <c r="D409" s="7" t="n">
        <v>0.09619999999999999</v>
      </c>
    </row>
    <row r="410">
      <c r="A410" s="6" t="inlineStr">
        <is>
          <t>35-9031</t>
        </is>
      </c>
      <c r="B410" s="6" t="inlineStr">
        <is>
          <t>Hosts and Hostesses, Restaurant, Lounge, and Coffee Shop</t>
        </is>
      </c>
      <c r="C410" s="7" t="n">
        <v>1.1525</v>
      </c>
      <c r="D410" s="7" t="n">
        <v>0.7076</v>
      </c>
    </row>
    <row r="411">
      <c r="A411" s="6" t="inlineStr">
        <is>
          <t>37-1011</t>
        </is>
      </c>
      <c r="B411" s="6" t="inlineStr">
        <is>
          <t>First-Line Supervisors of Housekeeping and Janitorial Workers</t>
        </is>
      </c>
      <c r="C411" s="7" t="n">
        <v>-0.2789</v>
      </c>
      <c r="D411" s="7" t="n">
        <v>0.08890000000000001</v>
      </c>
    </row>
    <row r="412">
      <c r="A412" s="6" t="inlineStr">
        <is>
          <t>37-1012</t>
        </is>
      </c>
      <c r="B412" s="6" t="inlineStr">
        <is>
          <t>First-Line Supervisors of Landscaping, Lawn Service, and Groundskeeping Workers</t>
        </is>
      </c>
      <c r="C412" s="7" t="n">
        <v>-0.6283</v>
      </c>
      <c r="D412" s="7" t="n">
        <v>0.0576</v>
      </c>
    </row>
    <row r="413">
      <c r="A413" s="6" t="inlineStr">
        <is>
          <t>37-2011</t>
        </is>
      </c>
      <c r="B413" s="6" t="inlineStr">
        <is>
          <t>Janitors and Cleaners, Except Maids and Housekeeping Cleaners</t>
        </is>
      </c>
      <c r="C413" s="7" t="n">
        <v>-2.5534</v>
      </c>
      <c r="D413" s="7" t="n">
        <v>0.1568</v>
      </c>
    </row>
    <row r="414">
      <c r="A414" s="6" t="inlineStr">
        <is>
          <t>37-2012</t>
        </is>
      </c>
      <c r="B414" s="6" t="inlineStr">
        <is>
          <t>Maids and Housekeeping Cleaners</t>
        </is>
      </c>
      <c r="C414" s="7" t="n">
        <v>-3.0287</v>
      </c>
      <c r="D414" s="7" t="n">
        <v>0.0779</v>
      </c>
    </row>
    <row r="415">
      <c r="A415" s="6" t="inlineStr">
        <is>
          <t>37-2021</t>
        </is>
      </c>
      <c r="B415" s="6" t="inlineStr">
        <is>
          <t>Pest Control Workers</t>
        </is>
      </c>
      <c r="C415" s="7" t="n">
        <v>-1.2423</v>
      </c>
      <c r="D415" s="7" t="n">
        <v>0.0321</v>
      </c>
    </row>
    <row r="416">
      <c r="A416" s="6" t="inlineStr">
        <is>
          <t>37-3011</t>
        </is>
      </c>
      <c r="B416" s="6" t="inlineStr">
        <is>
          <t>Landscaping and Groundskeeping Workers</t>
        </is>
      </c>
      <c r="C416" s="7" t="n">
        <v>-3.048</v>
      </c>
      <c r="D416" s="7" t="n">
        <v>0.1017</v>
      </c>
    </row>
    <row r="417">
      <c r="A417" s="6" t="inlineStr">
        <is>
          <t>37-3012</t>
        </is>
      </c>
      <c r="B417" s="6" t="inlineStr">
        <is>
          <t>Pesticide Handlers, Sprayers, and Applicators, Vegetation</t>
        </is>
      </c>
      <c r="C417" s="7" t="n">
        <v>-2.2063</v>
      </c>
      <c r="D417" s="7" t="n">
        <v>0.0517</v>
      </c>
    </row>
    <row r="418">
      <c r="A418" s="6" t="inlineStr">
        <is>
          <t>37-3013</t>
        </is>
      </c>
      <c r="B418" s="6" t="inlineStr">
        <is>
          <t>Tree Trimmers and Pruners</t>
        </is>
      </c>
      <c r="C418" s="7" t="n">
        <v>-2.8166</v>
      </c>
      <c r="D418" s="7" t="n">
        <v>0.1138</v>
      </c>
    </row>
    <row r="419">
      <c r="A419" s="6" t="inlineStr">
        <is>
          <t>39-1013</t>
        </is>
      </c>
      <c r="B419" s="6" t="inlineStr">
        <is>
          <t>First-Line Supervisors of Gambling Services Workers</t>
        </is>
      </c>
      <c r="C419" s="7" t="n">
        <v>1.4852</v>
      </c>
      <c r="D419" s="7" t="n">
        <v>0.1224</v>
      </c>
    </row>
    <row r="420">
      <c r="A420" s="6" t="inlineStr">
        <is>
          <t>39-1014</t>
        </is>
      </c>
      <c r="B420" s="6" t="inlineStr">
        <is>
          <t>First-Line Supervisors of Entertainment and Recreation Workers, Except Gambling Services</t>
        </is>
      </c>
      <c r="C420" s="7" t="n">
        <v>-0.2869</v>
      </c>
      <c r="D420" s="7" t="n">
        <v>0.5078</v>
      </c>
    </row>
    <row r="421">
      <c r="A421" s="6" t="inlineStr">
        <is>
          <t>39-1022</t>
        </is>
      </c>
      <c r="B421" s="6" t="inlineStr">
        <is>
          <t>First-Line Supervisors of Personal Service Workers</t>
        </is>
      </c>
      <c r="C421" s="7" t="n">
        <v>1.0455</v>
      </c>
      <c r="D421" s="7" t="n">
        <v>0.1627</v>
      </c>
    </row>
    <row r="422">
      <c r="A422" s="6" t="inlineStr">
        <is>
          <t>39-2011</t>
        </is>
      </c>
      <c r="B422" s="6" t="inlineStr">
        <is>
          <t>Animal Trainers</t>
        </is>
      </c>
      <c r="C422" s="7" t="n">
        <v>-2.0566</v>
      </c>
      <c r="D422" s="7" t="n">
        <v>0.0291</v>
      </c>
    </row>
    <row r="423">
      <c r="A423" s="6" t="inlineStr">
        <is>
          <t>39-2021</t>
        </is>
      </c>
      <c r="B423" s="6" t="inlineStr">
        <is>
          <t>Animal Caretakers</t>
        </is>
      </c>
      <c r="C423" s="7" t="n">
        <v>-0.9858</v>
      </c>
      <c r="D423" s="7" t="n">
        <v>0.3906</v>
      </c>
    </row>
    <row r="424">
      <c r="A424" s="6" t="inlineStr">
        <is>
          <t>39-3011</t>
        </is>
      </c>
      <c r="B424" s="6" t="inlineStr">
        <is>
          <t>Gambling Dealers</t>
        </is>
      </c>
      <c r="C424" s="7" t="n">
        <v>-0.5191</v>
      </c>
      <c r="D424" s="7" t="n">
        <v>0.9254</v>
      </c>
    </row>
    <row r="425">
      <c r="A425" s="6" t="inlineStr">
        <is>
          <t>39-3012</t>
        </is>
      </c>
      <c r="B425" s="6" t="inlineStr">
        <is>
          <t>Gambling and Sports Book Writers and Runners</t>
        </is>
      </c>
      <c r="C425" s="7" t="n">
        <v>-0.0188</v>
      </c>
      <c r="D425" s="7" t="n">
        <v>0.5008</v>
      </c>
    </row>
    <row r="426">
      <c r="A426" s="6" t="inlineStr">
        <is>
          <t>39-3021</t>
        </is>
      </c>
      <c r="B426" s="6" t="inlineStr">
        <is>
          <t>Motion Picture Projectionists</t>
        </is>
      </c>
      <c r="C426" s="7" t="n">
        <v>-1.9611</v>
      </c>
      <c r="D426" s="7" t="n">
        <v>0.0718</v>
      </c>
    </row>
    <row r="427">
      <c r="A427" s="6" t="inlineStr">
        <is>
          <t>39-3031</t>
        </is>
      </c>
      <c r="B427" s="6" t="inlineStr">
        <is>
          <t>Ushers, Lobby Attendants, and Ticket Takers</t>
        </is>
      </c>
      <c r="C427" s="7" t="n">
        <v>-1.1057</v>
      </c>
      <c r="D427" s="7" t="n">
        <v>0.4743</v>
      </c>
    </row>
    <row r="428">
      <c r="A428" s="6" t="inlineStr">
        <is>
          <t>39-3091</t>
        </is>
      </c>
      <c r="B428" s="6" t="inlineStr">
        <is>
          <t>Amusement and Recreation Attendants</t>
        </is>
      </c>
      <c r="C428" s="7" t="n">
        <v>-0.015</v>
      </c>
      <c r="D428" s="7" t="n">
        <v>0.5977</v>
      </c>
    </row>
    <row r="429">
      <c r="A429" s="6" t="inlineStr">
        <is>
          <t>39-3092</t>
        </is>
      </c>
      <c r="B429" s="6" t="inlineStr">
        <is>
          <t>Costume Attendants</t>
        </is>
      </c>
      <c r="C429" s="7" t="n">
        <v>-1.034</v>
      </c>
      <c r="D429" s="7" t="n">
        <v>0.0259</v>
      </c>
    </row>
    <row r="430">
      <c r="A430" s="6" t="inlineStr">
        <is>
          <t>39-3093</t>
        </is>
      </c>
      <c r="B430" s="6" t="inlineStr">
        <is>
          <t>Locker Room, Coatroom, and Dressing Room Attendants</t>
        </is>
      </c>
      <c r="C430" s="7" t="n">
        <v>-1.2746</v>
      </c>
      <c r="D430" s="7" t="n">
        <v>0.3228</v>
      </c>
    </row>
    <row r="431">
      <c r="A431" s="6" t="inlineStr">
        <is>
          <t>39-4011</t>
        </is>
      </c>
      <c r="B431" s="6" t="inlineStr">
        <is>
          <t>Embalmers</t>
        </is>
      </c>
      <c r="C431" s="7" t="n">
        <v>-2.4702</v>
      </c>
      <c r="D431" s="7" t="n">
        <v>0.0902</v>
      </c>
    </row>
    <row r="432">
      <c r="A432" s="6" t="inlineStr">
        <is>
          <t>39-4021</t>
        </is>
      </c>
      <c r="B432" s="6" t="inlineStr">
        <is>
          <t>Funeral Attendants</t>
        </is>
      </c>
      <c r="C432" s="7" t="n">
        <v>-0.9084</v>
      </c>
      <c r="D432" s="7" t="n">
        <v>0.1485</v>
      </c>
    </row>
    <row r="433">
      <c r="A433" s="6" t="inlineStr">
        <is>
          <t>39-4031</t>
        </is>
      </c>
      <c r="B433" s="6" t="inlineStr">
        <is>
          <t>Morticians, Undertakers, and Funeral Arrangers</t>
        </is>
      </c>
      <c r="C433" s="7" t="n">
        <v>-1.3078</v>
      </c>
      <c r="D433" s="7" t="n">
        <v>0.0745</v>
      </c>
    </row>
    <row r="434">
      <c r="A434" s="6" t="inlineStr">
        <is>
          <t>39-5011</t>
        </is>
      </c>
      <c r="B434" s="6" t="inlineStr">
        <is>
          <t>Barbers</t>
        </is>
      </c>
      <c r="C434" s="7" t="n">
        <v>-1.6723</v>
      </c>
      <c r="D434" s="7" t="n">
        <v>0.0439</v>
      </c>
    </row>
    <row r="435">
      <c r="A435" s="6" t="inlineStr">
        <is>
          <t>39-5012</t>
        </is>
      </c>
      <c r="B435" s="6" t="inlineStr">
        <is>
          <t>Hairdressers, Hairstylists, and Cosmetologists</t>
        </is>
      </c>
      <c r="C435" s="7" t="n">
        <v>-2.1091</v>
      </c>
      <c r="D435" s="7" t="n">
        <v>0.0453</v>
      </c>
    </row>
    <row r="436">
      <c r="A436" s="6" t="inlineStr">
        <is>
          <t>39-5091</t>
        </is>
      </c>
      <c r="B436" s="6" t="inlineStr">
        <is>
          <t>Makeup Artists, Theatrical and Performance</t>
        </is>
      </c>
      <c r="C436" s="7" t="n">
        <v>-1.1055</v>
      </c>
      <c r="D436" s="7" t="n">
        <v>0.1749</v>
      </c>
    </row>
    <row r="437">
      <c r="A437" s="6" t="inlineStr">
        <is>
          <t>39-5092</t>
        </is>
      </c>
      <c r="B437" s="6" t="inlineStr">
        <is>
          <t>Manicurists and Pedicurists</t>
        </is>
      </c>
      <c r="C437" s="7" t="n">
        <v>-1.9429</v>
      </c>
      <c r="D437" s="7" t="n">
        <v>0.2252</v>
      </c>
    </row>
    <row r="438">
      <c r="A438" s="6" t="inlineStr">
        <is>
          <t>39-5093</t>
        </is>
      </c>
      <c r="B438" s="6" t="inlineStr">
        <is>
          <t>Shampooers</t>
        </is>
      </c>
      <c r="C438" s="7" t="n">
        <v>-2.2031</v>
      </c>
      <c r="D438" s="7" t="n">
        <v>0.0126</v>
      </c>
    </row>
    <row r="439">
      <c r="A439" s="6" t="inlineStr">
        <is>
          <t>39-5094</t>
        </is>
      </c>
      <c r="B439" s="6" t="inlineStr">
        <is>
          <t>Skincare Specialists</t>
        </is>
      </c>
      <c r="C439" s="7" t="n">
        <v>-1.2613</v>
      </c>
      <c r="D439" s="7" t="n">
        <v>0.0466</v>
      </c>
    </row>
    <row r="440">
      <c r="A440" s="6" t="inlineStr">
        <is>
          <t>39-6011</t>
        </is>
      </c>
      <c r="B440" s="6" t="inlineStr">
        <is>
          <t>Baggage Porters and Bellhops</t>
        </is>
      </c>
      <c r="C440" s="7" t="n">
        <v>-1.4256</v>
      </c>
      <c r="D440" s="7" t="n">
        <v>0.35</v>
      </c>
    </row>
    <row r="441">
      <c r="A441" s="6" t="inlineStr">
        <is>
          <t>39-6012</t>
        </is>
      </c>
      <c r="B441" s="6" t="inlineStr">
        <is>
          <t>Concierges</t>
        </is>
      </c>
      <c r="C441" s="7" t="n">
        <v>2.2647</v>
      </c>
      <c r="D441" s="7" t="n">
        <v>1.0248</v>
      </c>
    </row>
    <row r="442">
      <c r="A442" s="6" t="inlineStr">
        <is>
          <t>39-7011</t>
        </is>
      </c>
      <c r="B442" s="6" t="inlineStr">
        <is>
          <t>Tour Guides and Escorts</t>
        </is>
      </c>
      <c r="C442" s="7" t="n">
        <v>-0.2075</v>
      </c>
      <c r="D442" s="7" t="n">
        <v>0.1701</v>
      </c>
    </row>
    <row r="443">
      <c r="A443" s="6" t="inlineStr">
        <is>
          <t>39-7012</t>
        </is>
      </c>
      <c r="B443" s="6" t="inlineStr">
        <is>
          <t>Travel Guides</t>
        </is>
      </c>
      <c r="C443" s="7" t="n">
        <v>0.1065</v>
      </c>
      <c r="D443" s="7" t="n">
        <v>0.2844</v>
      </c>
    </row>
    <row r="444">
      <c r="A444" s="6" t="inlineStr">
        <is>
          <t>39-9011</t>
        </is>
      </c>
      <c r="B444" s="6" t="inlineStr">
        <is>
          <t>Childcare Workers</t>
        </is>
      </c>
      <c r="C444" s="7" t="n">
        <v>-0.9157999999999999</v>
      </c>
      <c r="D444" s="7" t="n">
        <v>0.1981</v>
      </c>
    </row>
    <row r="445">
      <c r="A445" s="6" t="inlineStr">
        <is>
          <t>39-9031</t>
        </is>
      </c>
      <c r="B445" s="6" t="inlineStr">
        <is>
          <t>Exercise Trainers and Group Fitness Instructors</t>
        </is>
      </c>
      <c r="C445" s="7" t="n">
        <v>-2.0761</v>
      </c>
      <c r="D445" s="7" t="n">
        <v>0.5498</v>
      </c>
    </row>
    <row r="446">
      <c r="A446" s="6" t="inlineStr">
        <is>
          <t>39-9032</t>
        </is>
      </c>
      <c r="B446" s="6" t="inlineStr">
        <is>
          <t>Recreation Workers</t>
        </is>
      </c>
      <c r="C446" s="7" t="n">
        <v>-0.4603</v>
      </c>
      <c r="D446" s="7" t="n">
        <v>0.1097</v>
      </c>
    </row>
    <row r="447">
      <c r="A447" s="6" t="inlineStr">
        <is>
          <t>39-9041</t>
        </is>
      </c>
      <c r="B447" s="6" t="inlineStr">
        <is>
          <t>Residential Advisors</t>
        </is>
      </c>
      <c r="C447" s="7" t="n">
        <v>-0.6402</v>
      </c>
      <c r="D447" s="7" t="n">
        <v>0.2012</v>
      </c>
    </row>
    <row r="448">
      <c r="A448" s="6" t="inlineStr">
        <is>
          <t>41-1011</t>
        </is>
      </c>
      <c r="B448" s="6" t="inlineStr">
        <is>
          <t>First-Line Supervisors of Retail Sales Workers</t>
        </is>
      </c>
      <c r="C448" s="7" t="n">
        <v>0.4054</v>
      </c>
      <c r="D448" s="7" t="n">
        <v>0.1703</v>
      </c>
    </row>
    <row r="449">
      <c r="A449" s="6" t="inlineStr">
        <is>
          <t>41-1012</t>
        </is>
      </c>
      <c r="B449" s="6" t="inlineStr">
        <is>
          <t>First-Line Supervisors of Non-Retail Sales Workers</t>
        </is>
      </c>
      <c r="C449" s="7" t="n">
        <v>1.6804</v>
      </c>
      <c r="D449" s="7" t="n">
        <v>0.2484</v>
      </c>
    </row>
    <row r="450">
      <c r="A450" s="6" t="inlineStr">
        <is>
          <t>41-2011</t>
        </is>
      </c>
      <c r="B450" s="6" t="inlineStr">
        <is>
          <t>Cashiers</t>
        </is>
      </c>
      <c r="C450" s="7" t="n">
        <v>0.1623</v>
      </c>
      <c r="D450" s="7" t="n">
        <v>0.6355</v>
      </c>
    </row>
    <row r="451">
      <c r="A451" s="6" t="inlineStr">
        <is>
          <t>41-2012</t>
        </is>
      </c>
      <c r="B451" s="6" t="inlineStr">
        <is>
          <t>Gambling Change Persons and Booth Cashiers</t>
        </is>
      </c>
      <c r="C451" s="7" t="n">
        <v>-0.2466</v>
      </c>
      <c r="D451" s="7" t="n">
        <v>0.02</v>
      </c>
    </row>
    <row r="452">
      <c r="A452" s="6" t="inlineStr">
        <is>
          <t>41-2021</t>
        </is>
      </c>
      <c r="B452" s="6" t="inlineStr">
        <is>
          <t>Counter and Rental Clerks</t>
        </is>
      </c>
      <c r="C452" s="7" t="n">
        <v>2.3658</v>
      </c>
      <c r="D452" s="7" t="n">
        <v>0.5731000000000001</v>
      </c>
    </row>
    <row r="453">
      <c r="A453" s="6" t="inlineStr">
        <is>
          <t>41-2022</t>
        </is>
      </c>
      <c r="B453" s="6" t="inlineStr">
        <is>
          <t>Parts Salespersons</t>
        </is>
      </c>
      <c r="C453" s="7" t="n">
        <v>0.4746</v>
      </c>
      <c r="D453" s="7" t="n">
        <v>0.132</v>
      </c>
    </row>
    <row r="454">
      <c r="A454" s="6" t="inlineStr">
        <is>
          <t>41-2031</t>
        </is>
      </c>
      <c r="B454" s="6" t="inlineStr">
        <is>
          <t>Retail Salespersons</t>
        </is>
      </c>
      <c r="C454" s="7" t="n">
        <v>0.5875</v>
      </c>
      <c r="D454" s="7" t="n">
        <v>0.5362</v>
      </c>
    </row>
    <row r="455">
      <c r="A455" s="6" t="inlineStr">
        <is>
          <t>41-3011</t>
        </is>
      </c>
      <c r="B455" s="6" t="inlineStr">
        <is>
          <t>Advertising Sales Agents</t>
        </is>
      </c>
      <c r="C455" s="7" t="n">
        <v>3.902</v>
      </c>
      <c r="D455" s="7" t="n">
        <v>0.1992</v>
      </c>
    </row>
    <row r="456">
      <c r="A456" s="6" t="inlineStr">
        <is>
          <t>41-3021</t>
        </is>
      </c>
      <c r="B456" s="6" t="inlineStr">
        <is>
          <t>Insurance Sales Agents</t>
        </is>
      </c>
      <c r="C456" s="7" t="n">
        <v>1.6277</v>
      </c>
      <c r="D456" s="7" t="n">
        <v>0.4742</v>
      </c>
    </row>
    <row r="457">
      <c r="A457" s="6" t="inlineStr">
        <is>
          <t>41-3031</t>
        </is>
      </c>
      <c r="B457" s="6" t="inlineStr">
        <is>
          <t>Securities, Commodities, and Financial Services Sales Agents</t>
        </is>
      </c>
      <c r="C457" s="7" t="n">
        <v>2.9169</v>
      </c>
      <c r="D457" s="7" t="n">
        <v>0.08069999999999999</v>
      </c>
    </row>
    <row r="458">
      <c r="A458" s="6" t="inlineStr">
        <is>
          <t>41-3041</t>
        </is>
      </c>
      <c r="B458" s="6" t="inlineStr">
        <is>
          <t>Travel Agents</t>
        </is>
      </c>
      <c r="C458" s="7" t="n">
        <v>3.4981</v>
      </c>
      <c r="D458" s="7" t="n">
        <v>0.298</v>
      </c>
    </row>
    <row r="459">
      <c r="A459" s="6" t="inlineStr">
        <is>
          <t>41-3091</t>
        </is>
      </c>
      <c r="B459" s="6" t="inlineStr">
        <is>
          <t>Sales Representatives of Services, Except Advertising, Insurance, Financial Services, and Travel</t>
        </is>
      </c>
      <c r="C459" s="7" t="n">
        <v>1.4167</v>
      </c>
      <c r="D459" s="7" t="n">
        <v>2.3005</v>
      </c>
    </row>
    <row r="460">
      <c r="A460" s="6" t="inlineStr">
        <is>
          <t>41-4011</t>
        </is>
      </c>
      <c r="B460" s="6" t="inlineStr">
        <is>
          <t>Sales Representatives, Wholesale and Manufacturing, Technical and Scientific Products</t>
        </is>
      </c>
      <c r="C460" s="7" t="n">
        <v>2.8673</v>
      </c>
      <c r="D460" s="7" t="n">
        <v>0.08690000000000001</v>
      </c>
    </row>
    <row r="461">
      <c r="A461" s="6" t="inlineStr">
        <is>
          <t>41-4012</t>
        </is>
      </c>
      <c r="B461" s="6" t="inlineStr">
        <is>
          <t>Sales Representatives, Wholesale and Manufacturing, Except Technical and Scientific Products</t>
        </is>
      </c>
      <c r="C461" s="7" t="n">
        <v>3.1664</v>
      </c>
      <c r="D461" s="7" t="n">
        <v>0.2479</v>
      </c>
    </row>
    <row r="462">
      <c r="A462" s="6" t="inlineStr">
        <is>
          <t>41-9011</t>
        </is>
      </c>
      <c r="B462" s="6" t="inlineStr">
        <is>
          <t>Demonstrators and Product Promoters</t>
        </is>
      </c>
      <c r="C462" s="7" t="n">
        <v>0.2911</v>
      </c>
      <c r="D462" s="7" t="n">
        <v>1.0446</v>
      </c>
    </row>
    <row r="463">
      <c r="A463" s="6" t="inlineStr">
        <is>
          <t>41-9012</t>
        </is>
      </c>
      <c r="B463" s="6" t="inlineStr">
        <is>
          <t>Models</t>
        </is>
      </c>
      <c r="C463" s="7" t="n">
        <v>-0.2628</v>
      </c>
      <c r="D463" s="7" t="n">
        <v>1.1758</v>
      </c>
    </row>
    <row r="464">
      <c r="A464" s="6" t="inlineStr">
        <is>
          <t>41-9021</t>
        </is>
      </c>
      <c r="B464" s="6" t="inlineStr">
        <is>
          <t>Real Estate Brokers</t>
        </is>
      </c>
      <c r="C464" s="7" t="n">
        <v>1.4669</v>
      </c>
      <c r="D464" s="7" t="n">
        <v>0.1665</v>
      </c>
    </row>
    <row r="465">
      <c r="A465" s="6" t="inlineStr">
        <is>
          <t>41-9022</t>
        </is>
      </c>
      <c r="B465" s="6" t="inlineStr">
        <is>
          <t>Real Estate Sales Agents</t>
        </is>
      </c>
      <c r="C465" s="7" t="n">
        <v>1.3797</v>
      </c>
      <c r="D465" s="7" t="n">
        <v>0.1617</v>
      </c>
    </row>
    <row r="466">
      <c r="A466" s="6" t="inlineStr">
        <is>
          <t>41-9031</t>
        </is>
      </c>
      <c r="B466" s="6" t="inlineStr">
        <is>
          <t>Sales Engineers</t>
        </is>
      </c>
      <c r="C466" s="7" t="n">
        <v>2.521</v>
      </c>
      <c r="D466" s="7" t="n">
        <v>0.0683</v>
      </c>
    </row>
    <row r="467">
      <c r="A467" s="6" t="inlineStr">
        <is>
          <t>41-9041</t>
        </is>
      </c>
      <c r="B467" s="6" t="inlineStr">
        <is>
          <t>Telemarketers</t>
        </is>
      </c>
      <c r="C467" s="7" t="n">
        <v>4.7705</v>
      </c>
      <c r="D467" s="7" t="n">
        <v>0.6826</v>
      </c>
    </row>
    <row r="468">
      <c r="A468" s="6" t="inlineStr">
        <is>
          <t>41-9091</t>
        </is>
      </c>
      <c r="B468" s="6" t="inlineStr">
        <is>
          <t>Door-to-Door Sales Workers, News and Street Vendors, and Related Workers</t>
        </is>
      </c>
      <c r="C468" s="7" t="n">
        <v>1.2207</v>
      </c>
      <c r="D468" s="7" t="n">
        <v>0.6442</v>
      </c>
    </row>
    <row r="469">
      <c r="A469" s="6" t="inlineStr">
        <is>
          <t>43-1011</t>
        </is>
      </c>
      <c r="B469" s="6" t="inlineStr">
        <is>
          <t>First-Line Supervisors of Office and Administrative Support Workers</t>
        </is>
      </c>
      <c r="C469" s="7" t="n">
        <v>2.984</v>
      </c>
      <c r="D469" s="7" t="n">
        <v>0.2191</v>
      </c>
    </row>
    <row r="470">
      <c r="A470" s="6" t="inlineStr">
        <is>
          <t>43-2011</t>
        </is>
      </c>
      <c r="B470" s="6" t="inlineStr">
        <is>
          <t>Switchboard Operators, Including Answering Service</t>
        </is>
      </c>
      <c r="C470" s="7" t="n">
        <v>2.7227</v>
      </c>
      <c r="D470" s="7" t="n">
        <v>0.1942</v>
      </c>
    </row>
    <row r="471">
      <c r="A471" s="6" t="inlineStr">
        <is>
          <t>43-2021</t>
        </is>
      </c>
      <c r="B471" s="6" t="inlineStr">
        <is>
          <t>Telephone Operators</t>
        </is>
      </c>
      <c r="C471" s="7" t="n">
        <v>3.1116</v>
      </c>
      <c r="D471" s="7" t="n">
        <v>1.2433</v>
      </c>
    </row>
    <row r="472">
      <c r="A472" s="6" t="inlineStr">
        <is>
          <t>43-3011</t>
        </is>
      </c>
      <c r="B472" s="6" t="inlineStr">
        <is>
          <t>Bill and Account Collectors</t>
        </is>
      </c>
      <c r="C472" s="7" t="n">
        <v>4.0215</v>
      </c>
      <c r="D472" s="7" t="n">
        <v>0.8563</v>
      </c>
    </row>
    <row r="473">
      <c r="A473" s="6" t="inlineStr">
        <is>
          <t>43-3021</t>
        </is>
      </c>
      <c r="B473" s="6" t="inlineStr">
        <is>
          <t>Billing and Posting Clerks</t>
        </is>
      </c>
      <c r="C473" s="7" t="n">
        <v>3.0055</v>
      </c>
      <c r="D473" s="7" t="n">
        <v>0.306</v>
      </c>
    </row>
    <row r="474">
      <c r="A474" s="6" t="inlineStr">
        <is>
          <t>43-3031</t>
        </is>
      </c>
      <c r="B474" s="6" t="inlineStr">
        <is>
          <t>Bookkeeping, Accounting, and Auditing Clerks</t>
        </is>
      </c>
      <c r="C474" s="7" t="n">
        <v>3.3195</v>
      </c>
      <c r="D474" s="7" t="n">
        <v>0.9887</v>
      </c>
    </row>
    <row r="475">
      <c r="A475" s="6" t="inlineStr">
        <is>
          <t>43-3041</t>
        </is>
      </c>
      <c r="B475" s="6" t="inlineStr">
        <is>
          <t>Gambling Cage Workers</t>
        </is>
      </c>
      <c r="C475" s="7" t="n">
        <v>0.1428</v>
      </c>
      <c r="D475" s="7" t="n">
        <v>0.4752</v>
      </c>
    </row>
    <row r="476">
      <c r="A476" s="6" t="inlineStr">
        <is>
          <t>43-3051</t>
        </is>
      </c>
      <c r="B476" s="6" t="inlineStr">
        <is>
          <t>Payroll and Timekeeping Clerks</t>
        </is>
      </c>
      <c r="C476" s="7" t="n">
        <v>4.0078</v>
      </c>
      <c r="D476" s="7" t="n">
        <v>0.5625</v>
      </c>
    </row>
    <row r="477">
      <c r="A477" s="6" t="inlineStr">
        <is>
          <t>43-3061</t>
        </is>
      </c>
      <c r="B477" s="6" t="inlineStr">
        <is>
          <t>Procurement Clerks</t>
        </is>
      </c>
      <c r="C477" s="7" t="n">
        <v>3.0775</v>
      </c>
      <c r="D477" s="7" t="n">
        <v>0.1102</v>
      </c>
    </row>
    <row r="478">
      <c r="A478" s="6" t="inlineStr">
        <is>
          <t>43-3071</t>
        </is>
      </c>
      <c r="B478" s="6" t="inlineStr">
        <is>
          <t>Tellers</t>
        </is>
      </c>
      <c r="C478" s="7" t="n">
        <v>1.5636</v>
      </c>
      <c r="D478" s="7" t="n">
        <v>0.1767</v>
      </c>
    </row>
    <row r="479">
      <c r="A479" s="6" t="inlineStr">
        <is>
          <t>43-4011</t>
        </is>
      </c>
      <c r="B479" s="6" t="inlineStr">
        <is>
          <t>Brokerage Clerks</t>
        </is>
      </c>
      <c r="C479" s="7" t="n">
        <v>3.431</v>
      </c>
      <c r="D479" s="7" t="n">
        <v>1.0697</v>
      </c>
    </row>
    <row r="480">
      <c r="A480" s="6" t="inlineStr">
        <is>
          <t>43-4021</t>
        </is>
      </c>
      <c r="B480" s="6" t="inlineStr">
        <is>
          <t>Correspondence Clerks</t>
        </is>
      </c>
      <c r="C480" s="7" t="n">
        <v>4.3406</v>
      </c>
      <c r="D480" s="7" t="n">
        <v>0.7244</v>
      </c>
    </row>
    <row r="481">
      <c r="A481" s="6" t="inlineStr">
        <is>
          <t>43-4031</t>
        </is>
      </c>
      <c r="B481" s="6" t="inlineStr">
        <is>
          <t>Court, Municipal, and License Clerks</t>
        </is>
      </c>
      <c r="C481" s="7" t="n">
        <v>3.6268</v>
      </c>
      <c r="D481" s="7" t="n">
        <v>0.0828</v>
      </c>
    </row>
    <row r="482">
      <c r="A482" s="6" t="inlineStr">
        <is>
          <t>43-4041</t>
        </is>
      </c>
      <c r="B482" s="6" t="inlineStr">
        <is>
          <t>Credit Authorizers, Checkers, and Clerks</t>
        </is>
      </c>
      <c r="C482" s="7" t="n">
        <v>3.0172</v>
      </c>
      <c r="D482" s="7" t="n">
        <v>0.2284</v>
      </c>
    </row>
    <row r="483">
      <c r="A483" s="6" t="inlineStr">
        <is>
          <t>43-4051</t>
        </is>
      </c>
      <c r="B483" s="6" t="inlineStr">
        <is>
          <t>Customer Service Representatives</t>
        </is>
      </c>
      <c r="C483" s="7" t="n">
        <v>3.6466</v>
      </c>
      <c r="D483" s="7" t="n">
        <v>0.5285</v>
      </c>
    </row>
    <row r="484">
      <c r="A484" s="6" t="inlineStr">
        <is>
          <t>43-4061</t>
        </is>
      </c>
      <c r="B484" s="6" t="inlineStr">
        <is>
          <t>Eligibility Interviewers, Government Programs</t>
        </is>
      </c>
      <c r="C484" s="7" t="n">
        <v>2.8052</v>
      </c>
      <c r="D484" s="7" t="n">
        <v>0.2814</v>
      </c>
    </row>
    <row r="485">
      <c r="A485" s="6" t="inlineStr">
        <is>
          <t>43-4071</t>
        </is>
      </c>
      <c r="B485" s="6" t="inlineStr">
        <is>
          <t>File Clerks</t>
        </is>
      </c>
      <c r="C485" s="7" t="n">
        <v>3.0925</v>
      </c>
      <c r="D485" s="7" t="n">
        <v>0.3837</v>
      </c>
    </row>
    <row r="486">
      <c r="A486" s="6" t="inlineStr">
        <is>
          <t>43-4081</t>
        </is>
      </c>
      <c r="B486" s="6" t="inlineStr">
        <is>
          <t>Hotel, Motel, and Resort Desk Clerks</t>
        </is>
      </c>
      <c r="C486" s="7" t="n">
        <v>1.8944</v>
      </c>
      <c r="D486" s="7" t="n">
        <v>0.0479</v>
      </c>
    </row>
    <row r="487">
      <c r="A487" s="6" t="inlineStr">
        <is>
          <t>43-4111</t>
        </is>
      </c>
      <c r="B487" s="6" t="inlineStr">
        <is>
          <t>Interviewers, Except Eligibility and Loan</t>
        </is>
      </c>
      <c r="C487" s="7" t="n">
        <v>3.1113</v>
      </c>
      <c r="D487" s="7" t="n">
        <v>0.2039</v>
      </c>
    </row>
    <row r="488">
      <c r="A488" s="6" t="inlineStr">
        <is>
          <t>43-4121</t>
        </is>
      </c>
      <c r="B488" s="6" t="inlineStr">
        <is>
          <t>Library Assistants, Clerical</t>
        </is>
      </c>
      <c r="C488" s="7" t="n">
        <v>1.2417</v>
      </c>
      <c r="D488" s="7" t="n">
        <v>0.0868</v>
      </c>
    </row>
    <row r="489">
      <c r="A489" s="6" t="inlineStr">
        <is>
          <t>43-4131</t>
        </is>
      </c>
      <c r="B489" s="6" t="inlineStr">
        <is>
          <t>Loan Interviewers and Clerks</t>
        </is>
      </c>
      <c r="C489" s="7" t="n">
        <v>2.9953</v>
      </c>
      <c r="D489" s="7" t="n">
        <v>0.0173</v>
      </c>
    </row>
    <row r="490">
      <c r="A490" s="6" t="inlineStr">
        <is>
          <t>43-4141</t>
        </is>
      </c>
      <c r="B490" s="6" t="inlineStr">
        <is>
          <t>New Accounts Clerks</t>
        </is>
      </c>
      <c r="C490" s="7" t="n">
        <v>2.7764</v>
      </c>
      <c r="D490" s="7" t="n">
        <v>0.2566</v>
      </c>
    </row>
    <row r="491">
      <c r="A491" s="6" t="inlineStr">
        <is>
          <t>43-4151</t>
        </is>
      </c>
      <c r="B491" s="6" t="inlineStr">
        <is>
          <t>Order Clerks</t>
        </is>
      </c>
      <c r="C491" s="7" t="n">
        <v>3.4368</v>
      </c>
      <c r="D491" s="7" t="n">
        <v>0.1008</v>
      </c>
    </row>
    <row r="492">
      <c r="A492" s="6" t="inlineStr">
        <is>
          <t>43-4161</t>
        </is>
      </c>
      <c r="B492" s="6" t="inlineStr">
        <is>
          <t>Human Resources Assistants, Except Payroll and Timekeeping</t>
        </is>
      </c>
      <c r="C492" s="7" t="n">
        <v>2.4656</v>
      </c>
      <c r="D492" s="7" t="n">
        <v>0.1206</v>
      </c>
    </row>
    <row r="493">
      <c r="A493" s="6" t="inlineStr">
        <is>
          <t>43-4171</t>
        </is>
      </c>
      <c r="B493" s="6" t="inlineStr">
        <is>
          <t>Receptionists and Information Clerks</t>
        </is>
      </c>
      <c r="C493" s="7" t="n">
        <v>2.4048</v>
      </c>
      <c r="D493" s="7" t="n">
        <v>0.1089</v>
      </c>
    </row>
    <row r="494">
      <c r="A494" s="6" t="inlineStr">
        <is>
          <t>43-4181</t>
        </is>
      </c>
      <c r="B494" s="6" t="inlineStr">
        <is>
          <t>Reservation and Transportation Ticket Agents and Travel Clerks</t>
        </is>
      </c>
      <c r="C494" s="7" t="n">
        <v>1.8141</v>
      </c>
      <c r="D494" s="7" t="n">
        <v>0.8581</v>
      </c>
    </row>
    <row r="495">
      <c r="A495" s="6" t="inlineStr">
        <is>
          <t>43-5011</t>
        </is>
      </c>
      <c r="B495" s="6" t="inlineStr">
        <is>
          <t>Cargo and Freight Agents</t>
        </is>
      </c>
      <c r="C495" s="7" t="n">
        <v>2.0843</v>
      </c>
      <c r="D495" s="7" t="n">
        <v>0.0939</v>
      </c>
    </row>
    <row r="496">
      <c r="A496" s="6" t="inlineStr">
        <is>
          <t>43-5021</t>
        </is>
      </c>
      <c r="B496" s="6" t="inlineStr">
        <is>
          <t>Couriers and Messengers</t>
        </is>
      </c>
      <c r="C496" s="7" t="n">
        <v>-0.7216</v>
      </c>
      <c r="D496" s="7" t="n">
        <v>0.1708</v>
      </c>
    </row>
    <row r="497">
      <c r="A497" s="6" t="inlineStr">
        <is>
          <t>43-5031</t>
        </is>
      </c>
      <c r="B497" s="6" t="inlineStr">
        <is>
          <t>Public Safety Telecommunicators</t>
        </is>
      </c>
      <c r="C497" s="7" t="n">
        <v>2.7079</v>
      </c>
      <c r="D497" s="7" t="n">
        <v>0.3049</v>
      </c>
    </row>
    <row r="498">
      <c r="A498" s="6" t="inlineStr">
        <is>
          <t>43-5032</t>
        </is>
      </c>
      <c r="B498" s="6" t="inlineStr">
        <is>
          <t>Dispatchers, Except Police, Fire, and Ambulance</t>
        </is>
      </c>
      <c r="C498" s="7" t="n">
        <v>2.5281</v>
      </c>
      <c r="D498" s="7" t="n">
        <v>0.341</v>
      </c>
    </row>
    <row r="499">
      <c r="A499" s="6" t="inlineStr">
        <is>
          <t>43-5041</t>
        </is>
      </c>
      <c r="B499" s="6" t="inlineStr">
        <is>
          <t>Meter Readers, Utilities</t>
        </is>
      </c>
      <c r="C499" s="7" t="n">
        <v>-0.1816</v>
      </c>
      <c r="D499" s="7" t="n">
        <v>0.5570000000000001</v>
      </c>
    </row>
    <row r="500">
      <c r="A500" s="6" t="inlineStr">
        <is>
          <t>43-5051</t>
        </is>
      </c>
      <c r="B500" s="6" t="inlineStr">
        <is>
          <t>Postal Service Clerks</t>
        </is>
      </c>
      <c r="C500" s="7" t="n">
        <v>-0.0461</v>
      </c>
      <c r="D500" s="7" t="n">
        <v>0.2007</v>
      </c>
    </row>
    <row r="501">
      <c r="A501" s="6" t="inlineStr">
        <is>
          <t>43-5052</t>
        </is>
      </c>
      <c r="B501" s="6" t="inlineStr">
        <is>
          <t>Postal Service Mail Carriers</t>
        </is>
      </c>
      <c r="C501" s="7" t="n">
        <v>-0.5653</v>
      </c>
      <c r="D501" s="7" t="n">
        <v>0.2194</v>
      </c>
    </row>
    <row r="502">
      <c r="A502" s="6" t="inlineStr">
        <is>
          <t>43-5053</t>
        </is>
      </c>
      <c r="B502" s="6" t="inlineStr">
        <is>
          <t>Postal Service Mail Sorters, Processors, and Processing Machine Operators</t>
        </is>
      </c>
      <c r="C502" s="7" t="n">
        <v>-1.6585</v>
      </c>
      <c r="D502" s="7" t="n">
        <v>0.2278</v>
      </c>
    </row>
    <row r="503">
      <c r="A503" s="6" t="inlineStr">
        <is>
          <t>43-5061</t>
        </is>
      </c>
      <c r="B503" s="6" t="inlineStr">
        <is>
          <t>Production, Planning, and Expediting Clerks</t>
        </is>
      </c>
      <c r="C503" s="7" t="n">
        <v>2.9519</v>
      </c>
      <c r="D503" s="7" t="n">
        <v>0.4079</v>
      </c>
    </row>
    <row r="504">
      <c r="A504" s="6" t="inlineStr">
        <is>
          <t>43-5071</t>
        </is>
      </c>
      <c r="B504" s="6" t="inlineStr">
        <is>
          <t>Shipping, Receiving, and Inventory Clerks</t>
        </is>
      </c>
      <c r="C504" s="7" t="n">
        <v>1.5338</v>
      </c>
      <c r="D504" s="7" t="n">
        <v>0.7899</v>
      </c>
    </row>
    <row r="505">
      <c r="A505" s="6" t="inlineStr">
        <is>
          <t>43-5111</t>
        </is>
      </c>
      <c r="B505" s="6" t="inlineStr">
        <is>
          <t>Weighers, Measurers, Checkers, and Samplers, Recordkeeping</t>
        </is>
      </c>
      <c r="C505" s="7" t="n">
        <v>0.0886</v>
      </c>
      <c r="D505" s="7" t="n">
        <v>0.4695</v>
      </c>
    </row>
    <row r="506">
      <c r="A506" s="6" t="inlineStr">
        <is>
          <t>43-6011</t>
        </is>
      </c>
      <c r="B506" s="6" t="inlineStr">
        <is>
          <t>Executive Secretaries and Executive Administrative Assistants</t>
        </is>
      </c>
      <c r="C506" s="7" t="n">
        <v>4.3427</v>
      </c>
      <c r="D506" s="7" t="n">
        <v>0.3489</v>
      </c>
    </row>
    <row r="507">
      <c r="A507" s="6" t="inlineStr">
        <is>
          <t>43-6012</t>
        </is>
      </c>
      <c r="B507" s="6" t="inlineStr">
        <is>
          <t>Legal Secretaries and Administrative Assistants</t>
        </is>
      </c>
      <c r="C507" s="7" t="n">
        <v>3.6562</v>
      </c>
      <c r="D507" s="7" t="n">
        <v>0.366</v>
      </c>
    </row>
    <row r="508">
      <c r="A508" s="6" t="inlineStr">
        <is>
          <t>43-6013</t>
        </is>
      </c>
      <c r="B508" s="6" t="inlineStr">
        <is>
          <t>Medical Secretaries and Administrative Assistants</t>
        </is>
      </c>
      <c r="C508" s="7" t="n">
        <v>3.7606</v>
      </c>
      <c r="D508" s="7" t="n">
        <v>0.365</v>
      </c>
    </row>
    <row r="509">
      <c r="A509" s="6" t="inlineStr">
        <is>
          <t>43-6014</t>
        </is>
      </c>
      <c r="B509" s="6" t="inlineStr">
        <is>
          <t>Secretaries and Administrative Assistants, Except Legal, Medical, and Executive</t>
        </is>
      </c>
      <c r="C509" s="7" t="n">
        <v>3.7232</v>
      </c>
      <c r="D509" s="7" t="n">
        <v>0.2394</v>
      </c>
    </row>
    <row r="510">
      <c r="A510" s="6" t="inlineStr">
        <is>
          <t>43-9021</t>
        </is>
      </c>
      <c r="B510" s="6" t="inlineStr">
        <is>
          <t>Data Entry Keyers</t>
        </is>
      </c>
      <c r="C510" s="7" t="n">
        <v>3.7815</v>
      </c>
      <c r="D510" s="7" t="n">
        <v>0.6737</v>
      </c>
    </row>
    <row r="511">
      <c r="A511" s="6" t="inlineStr">
        <is>
          <t>43-9022</t>
        </is>
      </c>
      <c r="B511" s="6" t="inlineStr">
        <is>
          <t>Word Processors and Typists</t>
        </is>
      </c>
      <c r="C511" s="7" t="n">
        <v>4.3087</v>
      </c>
      <c r="D511" s="7" t="n">
        <v>0.803</v>
      </c>
    </row>
    <row r="512">
      <c r="A512" s="6" t="inlineStr">
        <is>
          <t>43-9031</t>
        </is>
      </c>
      <c r="B512" s="6" t="inlineStr">
        <is>
          <t>Desktop Publishers</t>
        </is>
      </c>
      <c r="C512" s="7" t="n">
        <v>2.9413</v>
      </c>
      <c r="D512" s="7" t="n">
        <v>0.2369</v>
      </c>
    </row>
    <row r="513">
      <c r="A513" s="6" t="inlineStr">
        <is>
          <t>43-9041</t>
        </is>
      </c>
      <c r="B513" s="6" t="inlineStr">
        <is>
          <t>Insurance Claims and Policy Processing Clerks</t>
        </is>
      </c>
      <c r="C513" s="7" t="n">
        <v>3.7131</v>
      </c>
      <c r="D513" s="7" t="n">
        <v>0.2032</v>
      </c>
    </row>
    <row r="514">
      <c r="A514" s="6" t="inlineStr">
        <is>
          <t>43-9051</t>
        </is>
      </c>
      <c r="B514" s="6" t="inlineStr">
        <is>
          <t>Mail Clerks and Mail Machine Operators, Except Postal Service</t>
        </is>
      </c>
      <c r="C514" s="7" t="n">
        <v>-1.4152</v>
      </c>
      <c r="D514" s="7" t="n">
        <v>0.1841</v>
      </c>
    </row>
    <row r="515">
      <c r="A515" s="6" t="inlineStr">
        <is>
          <t>43-9061</t>
        </is>
      </c>
      <c r="B515" s="6" t="inlineStr">
        <is>
          <t>Office Clerks, General</t>
        </is>
      </c>
      <c r="C515" s="7" t="n">
        <v>3.4094</v>
      </c>
      <c r="D515" s="7" t="n">
        <v>0.2668</v>
      </c>
    </row>
    <row r="516">
      <c r="A516" s="6" t="inlineStr">
        <is>
          <t>43-9071</t>
        </is>
      </c>
      <c r="B516" s="6" t="inlineStr">
        <is>
          <t>Office Machine Operators, Except Computer</t>
        </is>
      </c>
      <c r="C516" s="7" t="n">
        <v>0.1161</v>
      </c>
      <c r="D516" s="7" t="n">
        <v>0.2079</v>
      </c>
    </row>
    <row r="517">
      <c r="A517" s="6" t="inlineStr">
        <is>
          <t>43-9081</t>
        </is>
      </c>
      <c r="B517" s="6" t="inlineStr">
        <is>
          <t>Proofreaders and Copy Markers</t>
        </is>
      </c>
      <c r="C517" s="7" t="n">
        <v>5.8995</v>
      </c>
      <c r="D517" s="7" t="n">
        <v>0.8095</v>
      </c>
    </row>
    <row r="518">
      <c r="A518" s="6" t="inlineStr">
        <is>
          <t>43-9111</t>
        </is>
      </c>
      <c r="B518" s="6" t="inlineStr">
        <is>
          <t>Statistical Assistants</t>
        </is>
      </c>
      <c r="C518" s="7" t="n">
        <v>5.2251</v>
      </c>
      <c r="D518" s="7" t="n">
        <v>0.2549</v>
      </c>
    </row>
    <row r="519">
      <c r="A519" s="6" t="inlineStr">
        <is>
          <t>45-1011</t>
        </is>
      </c>
      <c r="B519" s="6" t="inlineStr">
        <is>
          <t>First-Line Supervisors of Farming, Fishing, and Forestry Workers</t>
        </is>
      </c>
      <c r="C519" s="7" t="n">
        <v>-1.5068</v>
      </c>
      <c r="D519" s="7" t="n">
        <v>0.06270000000000001</v>
      </c>
    </row>
    <row r="520">
      <c r="A520" s="6" t="inlineStr">
        <is>
          <t>45-2011</t>
        </is>
      </c>
      <c r="B520" s="6" t="inlineStr">
        <is>
          <t>Agricultural Inspectors</t>
        </is>
      </c>
      <c r="C520" s="7" t="n">
        <v>-0.304</v>
      </c>
      <c r="D520" s="7" t="n">
        <v>0.246</v>
      </c>
    </row>
    <row r="521">
      <c r="A521" s="6" t="inlineStr">
        <is>
          <t>45-2021</t>
        </is>
      </c>
      <c r="B521" s="6" t="inlineStr">
        <is>
          <t>Animal Breeders</t>
        </is>
      </c>
      <c r="C521" s="7" t="n">
        <v>-1.8107</v>
      </c>
      <c r="D521" s="7" t="n">
        <v>0.1978</v>
      </c>
    </row>
    <row r="522">
      <c r="A522" s="6" t="inlineStr">
        <is>
          <t>45-2041</t>
        </is>
      </c>
      <c r="B522" s="6" t="inlineStr">
        <is>
          <t>Graders and Sorters, Agricultural Products</t>
        </is>
      </c>
      <c r="C522" s="7" t="n">
        <v>-2.3916</v>
      </c>
      <c r="D522" s="7" t="n">
        <v>0.1571</v>
      </c>
    </row>
    <row r="523">
      <c r="A523" s="6" t="inlineStr">
        <is>
          <t>45-2091</t>
        </is>
      </c>
      <c r="B523" s="6" t="inlineStr">
        <is>
          <t>Agricultural Equipment Operators</t>
        </is>
      </c>
      <c r="C523" s="7" t="n">
        <v>-2.7237</v>
      </c>
      <c r="D523" s="7" t="n">
        <v>0.0824</v>
      </c>
    </row>
    <row r="524">
      <c r="A524" s="6" t="inlineStr">
        <is>
          <t>45-2092</t>
        </is>
      </c>
      <c r="B524" s="6" t="inlineStr">
        <is>
          <t>Farmworkers and Laborers, Crop, Nursery, and Greenhouse</t>
        </is>
      </c>
      <c r="C524" s="7" t="n">
        <v>-2.5707</v>
      </c>
      <c r="D524" s="7" t="n">
        <v>0.0814</v>
      </c>
    </row>
    <row r="525">
      <c r="A525" s="6" t="inlineStr">
        <is>
          <t>45-2093</t>
        </is>
      </c>
      <c r="B525" s="6" t="inlineStr">
        <is>
          <t>Farmworkers, Farm, Ranch, and Aquacultural Animals</t>
        </is>
      </c>
      <c r="C525" s="7" t="n">
        <v>-2.2428</v>
      </c>
      <c r="D525" s="7" t="n">
        <v>0.1221</v>
      </c>
    </row>
    <row r="526">
      <c r="A526" s="6" t="inlineStr">
        <is>
          <t>45-3031</t>
        </is>
      </c>
      <c r="B526" s="6" t="inlineStr">
        <is>
          <t>Fishing and Hunting Workers</t>
        </is>
      </c>
      <c r="C526" s="7" t="n">
        <v>-3.3852</v>
      </c>
      <c r="D526" s="7" t="n">
        <v>0.4912</v>
      </c>
    </row>
    <row r="527">
      <c r="A527" s="6" t="inlineStr">
        <is>
          <t>45-4011</t>
        </is>
      </c>
      <c r="B527" s="6" t="inlineStr">
        <is>
          <t>Forest and Conservation Workers</t>
        </is>
      </c>
      <c r="C527" s="7" t="n">
        <v>-2.4682</v>
      </c>
      <c r="D527" s="7" t="n">
        <v>0.0267</v>
      </c>
    </row>
    <row r="528">
      <c r="A528" s="6" t="inlineStr">
        <is>
          <t>45-4021</t>
        </is>
      </c>
      <c r="B528" s="6" t="inlineStr">
        <is>
          <t>Fallers</t>
        </is>
      </c>
      <c r="C528" s="7" t="n">
        <v>-2.7246</v>
      </c>
      <c r="D528" s="7" t="n">
        <v>0.1387</v>
      </c>
    </row>
    <row r="529">
      <c r="A529" s="6" t="inlineStr">
        <is>
          <t>45-4022</t>
        </is>
      </c>
      <c r="B529" s="6" t="inlineStr">
        <is>
          <t>Logging Equipment Operators</t>
        </is>
      </c>
      <c r="C529" s="7" t="n">
        <v>-2.4784</v>
      </c>
      <c r="D529" s="7" t="n">
        <v>0.0953</v>
      </c>
    </row>
    <row r="530">
      <c r="A530" s="6" t="inlineStr">
        <is>
          <t>45-4023</t>
        </is>
      </c>
      <c r="B530" s="6" t="inlineStr">
        <is>
          <t>Log Graders and Scalers</t>
        </is>
      </c>
      <c r="C530" s="7" t="n">
        <v>-1.8306</v>
      </c>
      <c r="D530" s="7" t="n">
        <v>0.0605</v>
      </c>
    </row>
    <row r="531">
      <c r="A531" s="6" t="inlineStr">
        <is>
          <t>47-1011</t>
        </is>
      </c>
      <c r="B531" s="6" t="inlineStr">
        <is>
          <t>First-Line Supervisors of Construction Trades and Extraction Workers</t>
        </is>
      </c>
      <c r="C531" s="7" t="n">
        <v>-0.3573</v>
      </c>
      <c r="D531" s="7" t="n">
        <v>0.0974</v>
      </c>
    </row>
    <row r="532">
      <c r="A532" s="6" t="inlineStr">
        <is>
          <t>47-2011</t>
        </is>
      </c>
      <c r="B532" s="6" t="inlineStr">
        <is>
          <t>Boilermakers</t>
        </is>
      </c>
      <c r="C532" s="7" t="n">
        <v>-2.8219</v>
      </c>
      <c r="D532" s="7" t="n">
        <v>0.0378</v>
      </c>
    </row>
    <row r="533">
      <c r="A533" s="6" t="inlineStr">
        <is>
          <t>47-2021</t>
        </is>
      </c>
      <c r="B533" s="6" t="inlineStr">
        <is>
          <t>Brickmasons and Blockmasons</t>
        </is>
      </c>
      <c r="C533" s="7" t="n">
        <v>-2.8285</v>
      </c>
      <c r="D533" s="7" t="n">
        <v>0.1723</v>
      </c>
    </row>
    <row r="534">
      <c r="A534" s="6" t="inlineStr">
        <is>
          <t>47-2022</t>
        </is>
      </c>
      <c r="B534" s="6" t="inlineStr">
        <is>
          <t>Stonemasons</t>
        </is>
      </c>
      <c r="C534" s="7" t="n">
        <v>-3.1666</v>
      </c>
      <c r="D534" s="7" t="n">
        <v>0.0885</v>
      </c>
    </row>
    <row r="535">
      <c r="A535" s="6" t="inlineStr">
        <is>
          <t>47-2031</t>
        </is>
      </c>
      <c r="B535" s="6" t="inlineStr">
        <is>
          <t>Carpenters</t>
        </is>
      </c>
      <c r="C535" s="7" t="n">
        <v>-2.4585</v>
      </c>
      <c r="D535" s="7" t="n">
        <v>0.0279</v>
      </c>
    </row>
    <row r="536">
      <c r="A536" s="6" t="inlineStr">
        <is>
          <t>47-2041</t>
        </is>
      </c>
      <c r="B536" s="6" t="inlineStr">
        <is>
          <t>Carpet Installers</t>
        </is>
      </c>
      <c r="C536" s="7" t="n">
        <v>-2.7784</v>
      </c>
      <c r="D536" s="7" t="n">
        <v>0.0589</v>
      </c>
    </row>
    <row r="537">
      <c r="A537" s="6" t="inlineStr">
        <is>
          <t>47-2042</t>
        </is>
      </c>
      <c r="B537" s="6" t="inlineStr">
        <is>
          <t>Floor Layers, Except Carpet, Wood, and Hard Tiles</t>
        </is>
      </c>
      <c r="C537" s="7" t="n">
        <v>-2.9815</v>
      </c>
      <c r="D537" s="7" t="n">
        <v>0.0508</v>
      </c>
    </row>
    <row r="538">
      <c r="A538" s="6" t="inlineStr">
        <is>
          <t>47-2043</t>
        </is>
      </c>
      <c r="B538" s="6" t="inlineStr">
        <is>
          <t>Floor Sanders and Finishers</t>
        </is>
      </c>
      <c r="C538" s="7" t="n">
        <v>-3.1488</v>
      </c>
      <c r="D538" s="7" t="n">
        <v>0.1127</v>
      </c>
    </row>
    <row r="539">
      <c r="A539" s="6" t="inlineStr">
        <is>
          <t>47-2044</t>
        </is>
      </c>
      <c r="B539" s="6" t="inlineStr">
        <is>
          <t>Tile and Stone Setters</t>
        </is>
      </c>
      <c r="C539" s="7" t="n">
        <v>-2.5353</v>
      </c>
      <c r="D539" s="7" t="n">
        <v>0.0269</v>
      </c>
    </row>
    <row r="540">
      <c r="A540" s="6" t="inlineStr">
        <is>
          <t>47-2051</t>
        </is>
      </c>
      <c r="B540" s="6" t="inlineStr">
        <is>
          <t>Cement Masons and Concrete Finishers</t>
        </is>
      </c>
      <c r="C540" s="7" t="n">
        <v>-3.2446</v>
      </c>
      <c r="D540" s="7" t="n">
        <v>0.1036</v>
      </c>
    </row>
    <row r="541">
      <c r="A541" s="6" t="inlineStr">
        <is>
          <t>47-2053</t>
        </is>
      </c>
      <c r="B541" s="6" t="inlineStr">
        <is>
          <t>Terrazzo Workers and Finishers</t>
        </is>
      </c>
      <c r="C541" s="7" t="n">
        <v>-2.958</v>
      </c>
      <c r="D541" s="7" t="n">
        <v>0.1334</v>
      </c>
    </row>
    <row r="542">
      <c r="A542" s="6" t="inlineStr">
        <is>
          <t>47-2061</t>
        </is>
      </c>
      <c r="B542" s="6" t="inlineStr">
        <is>
          <t>Construction Laborers</t>
        </is>
      </c>
      <c r="C542" s="7" t="n">
        <v>-2.924</v>
      </c>
      <c r="D542" s="7" t="n">
        <v>0.0784</v>
      </c>
    </row>
    <row r="543">
      <c r="A543" s="6" t="inlineStr">
        <is>
          <t>47-2071</t>
        </is>
      </c>
      <c r="B543" s="6" t="inlineStr">
        <is>
          <t>Paving, Surfacing, and Tamping Equipment Operators</t>
        </is>
      </c>
      <c r="C543" s="7" t="n">
        <v>-3.0353</v>
      </c>
      <c r="D543" s="7" t="n">
        <v>0.0717</v>
      </c>
    </row>
    <row r="544">
      <c r="A544" s="6" t="inlineStr">
        <is>
          <t>47-2072</t>
        </is>
      </c>
      <c r="B544" s="6" t="inlineStr">
        <is>
          <t>Pile Driver Operators</t>
        </is>
      </c>
      <c r="C544" s="7" t="n">
        <v>-3.0736</v>
      </c>
      <c r="D544" s="7" t="n">
        <v>0.07969999999999999</v>
      </c>
    </row>
    <row r="545">
      <c r="A545" s="6" t="inlineStr">
        <is>
          <t>47-2073</t>
        </is>
      </c>
      <c r="B545" s="6" t="inlineStr">
        <is>
          <t>Operating Engineers and Other Construction Equipment Operators</t>
        </is>
      </c>
      <c r="C545" s="7" t="n">
        <v>-2.1983</v>
      </c>
      <c r="D545" s="7" t="n">
        <v>0.0416</v>
      </c>
    </row>
    <row r="546">
      <c r="A546" s="6" t="inlineStr">
        <is>
          <t>47-2081</t>
        </is>
      </c>
      <c r="B546" s="6" t="inlineStr">
        <is>
          <t>Drywall and Ceiling Tile Installers</t>
        </is>
      </c>
      <c r="C546" s="7" t="n">
        <v>-2.8208</v>
      </c>
      <c r="D546" s="7" t="n">
        <v>0.1143</v>
      </c>
    </row>
    <row r="547">
      <c r="A547" s="6" t="inlineStr">
        <is>
          <t>47-2082</t>
        </is>
      </c>
      <c r="B547" s="6" t="inlineStr">
        <is>
          <t>Tapers</t>
        </is>
      </c>
      <c r="C547" s="7" t="n">
        <v>-3.0269</v>
      </c>
      <c r="D547" s="7" t="n">
        <v>0.0682</v>
      </c>
    </row>
    <row r="548">
      <c r="A548" s="6" t="inlineStr">
        <is>
          <t>47-2111</t>
        </is>
      </c>
      <c r="B548" s="6" t="inlineStr">
        <is>
          <t>Electricians</t>
        </is>
      </c>
      <c r="C548" s="7" t="n">
        <v>-1.5946</v>
      </c>
      <c r="D548" s="7" t="n">
        <v>0.0619</v>
      </c>
    </row>
    <row r="549">
      <c r="A549" s="6" t="inlineStr">
        <is>
          <t>47-2121</t>
        </is>
      </c>
      <c r="B549" s="6" t="inlineStr">
        <is>
          <t>Glaziers</t>
        </is>
      </c>
      <c r="C549" s="7" t="n">
        <v>-2.7306</v>
      </c>
      <c r="D549" s="7" t="n">
        <v>0.0278</v>
      </c>
    </row>
    <row r="550">
      <c r="A550" s="6" t="inlineStr">
        <is>
          <t>47-2131</t>
        </is>
      </c>
      <c r="B550" s="6" t="inlineStr">
        <is>
          <t>Insulation Workers, Floor, Ceiling, and Wall</t>
        </is>
      </c>
      <c r="C550" s="7" t="n">
        <v>-2.4721</v>
      </c>
      <c r="D550" s="7" t="n">
        <v>0.1227</v>
      </c>
    </row>
    <row r="551">
      <c r="A551" s="6" t="inlineStr">
        <is>
          <t>47-2132</t>
        </is>
      </c>
      <c r="B551" s="6" t="inlineStr">
        <is>
          <t>Insulation Workers, Mechanical</t>
        </is>
      </c>
      <c r="C551" s="7" t="n">
        <v>-2.4227</v>
      </c>
      <c r="D551" s="7" t="n">
        <v>0.1435</v>
      </c>
    </row>
    <row r="552">
      <c r="A552" s="6" t="inlineStr">
        <is>
          <t>47-2141</t>
        </is>
      </c>
      <c r="B552" s="6" t="inlineStr">
        <is>
          <t>Painters, Construction and Maintenance</t>
        </is>
      </c>
      <c r="C552" s="7" t="n">
        <v>-2.6226</v>
      </c>
      <c r="D552" s="7" t="n">
        <v>0.1105</v>
      </c>
    </row>
    <row r="553">
      <c r="A553" s="6" t="inlineStr">
        <is>
          <t>47-2142</t>
        </is>
      </c>
      <c r="B553" s="6" t="inlineStr">
        <is>
          <t>Paperhangers</t>
        </is>
      </c>
      <c r="C553" s="7" t="n">
        <v>-2.9351</v>
      </c>
      <c r="D553" s="7" t="n">
        <v>0.118</v>
      </c>
    </row>
    <row r="554">
      <c r="A554" s="6" t="inlineStr">
        <is>
          <t>47-2151</t>
        </is>
      </c>
      <c r="B554" s="6" t="inlineStr">
        <is>
          <t>Pipelayers</t>
        </is>
      </c>
      <c r="C554" s="7" t="n">
        <v>-2.826</v>
      </c>
      <c r="D554" s="7" t="n">
        <v>0.0349</v>
      </c>
    </row>
    <row r="555">
      <c r="A555" s="6" t="inlineStr">
        <is>
          <t>47-2152</t>
        </is>
      </c>
      <c r="B555" s="6" t="inlineStr">
        <is>
          <t>Plumbers, Pipefitters, and Steamfitters</t>
        </is>
      </c>
      <c r="C555" s="7" t="n">
        <v>-2.3409</v>
      </c>
      <c r="D555" s="7" t="n">
        <v>0.0292</v>
      </c>
    </row>
    <row r="556">
      <c r="A556" s="6" t="inlineStr">
        <is>
          <t>47-2161</t>
        </is>
      </c>
      <c r="B556" s="6" t="inlineStr">
        <is>
          <t>Plasterers and Stucco Masons</t>
        </is>
      </c>
      <c r="C556" s="7" t="n">
        <v>-2.7101</v>
      </c>
      <c r="D556" s="7" t="n">
        <v>0.1327</v>
      </c>
    </row>
    <row r="557">
      <c r="A557" s="6" t="inlineStr">
        <is>
          <t>47-2171</t>
        </is>
      </c>
      <c r="B557" s="6" t="inlineStr">
        <is>
          <t>Reinforcing Iron and Rebar Workers</t>
        </is>
      </c>
      <c r="C557" s="7" t="n">
        <v>-3.045</v>
      </c>
      <c r="D557" s="7" t="n">
        <v>0.1434</v>
      </c>
    </row>
    <row r="558">
      <c r="A558" s="6" t="inlineStr">
        <is>
          <t>47-2181</t>
        </is>
      </c>
      <c r="B558" s="6" t="inlineStr">
        <is>
          <t>Roofers</t>
        </is>
      </c>
      <c r="C558" s="7" t="n">
        <v>-3.1081</v>
      </c>
      <c r="D558" s="7" t="n">
        <v>0.1261</v>
      </c>
    </row>
    <row r="559">
      <c r="A559" s="6" t="inlineStr">
        <is>
          <t>47-2211</t>
        </is>
      </c>
      <c r="B559" s="6" t="inlineStr">
        <is>
          <t>Sheet Metal Workers</t>
        </is>
      </c>
      <c r="C559" s="7" t="n">
        <v>-2.4631</v>
      </c>
      <c r="D559" s="7" t="n">
        <v>0.0442</v>
      </c>
    </row>
    <row r="560">
      <c r="A560" s="6" t="inlineStr">
        <is>
          <t>47-2221</t>
        </is>
      </c>
      <c r="B560" s="6" t="inlineStr">
        <is>
          <t>Structural Iron and Steel Workers</t>
        </is>
      </c>
      <c r="C560" s="7" t="n">
        <v>-3.14</v>
      </c>
      <c r="D560" s="7" t="n">
        <v>0.09329999999999999</v>
      </c>
    </row>
    <row r="561">
      <c r="A561" s="6" t="inlineStr">
        <is>
          <t>47-2231</t>
        </is>
      </c>
      <c r="B561" s="6" t="inlineStr">
        <is>
          <t>Solar Photovoltaic Installers</t>
        </is>
      </c>
      <c r="C561" s="7" t="n">
        <v>-1.7825</v>
      </c>
      <c r="D561" s="7" t="n">
        <v>0.1367</v>
      </c>
    </row>
    <row r="562">
      <c r="A562" s="6" t="inlineStr">
        <is>
          <t>47-3011</t>
        </is>
      </c>
      <c r="B562" s="6" t="inlineStr">
        <is>
          <t>Helpers--Brickmasons, Blockmasons, Stonemasons, and Tile and Marble Setters</t>
        </is>
      </c>
      <c r="C562" s="7" t="n">
        <v>-3.1204</v>
      </c>
      <c r="D562" s="7" t="n">
        <v>0.1571</v>
      </c>
    </row>
    <row r="563">
      <c r="A563" s="6" t="inlineStr">
        <is>
          <t>47-3012</t>
        </is>
      </c>
      <c r="B563" s="6" t="inlineStr">
        <is>
          <t>Helpers--Carpenters</t>
        </is>
      </c>
      <c r="C563" s="7" t="n">
        <v>-3.0249</v>
      </c>
      <c r="D563" s="7" t="n">
        <v>0.0561</v>
      </c>
    </row>
    <row r="564">
      <c r="A564" s="6" t="inlineStr">
        <is>
          <t>47-3013</t>
        </is>
      </c>
      <c r="B564" s="6" t="inlineStr">
        <is>
          <t>Helpers--Electricians</t>
        </is>
      </c>
      <c r="C564" s="7" t="n">
        <v>-2.8833</v>
      </c>
      <c r="D564" s="7" t="n">
        <v>0.0711</v>
      </c>
    </row>
    <row r="565">
      <c r="A565" s="6" t="inlineStr">
        <is>
          <t>47-3014</t>
        </is>
      </c>
      <c r="B565" s="6" t="inlineStr">
        <is>
          <t>Helpers--Painters, Paperhangers, Plasterers, and Stucco Masons</t>
        </is>
      </c>
      <c r="C565" s="7" t="n">
        <v>-3.3098</v>
      </c>
      <c r="D565" s="7" t="n">
        <v>0.1565</v>
      </c>
    </row>
    <row r="566">
      <c r="A566" s="6" t="inlineStr">
        <is>
          <t>47-3015</t>
        </is>
      </c>
      <c r="B566" s="6" t="inlineStr">
        <is>
          <t>Helpers--Pipelayers, Plumbers, Pipefitters, and Steamfitters</t>
        </is>
      </c>
      <c r="C566" s="7" t="n">
        <v>-3.0269</v>
      </c>
      <c r="D566" s="7" t="n">
        <v>0.0982</v>
      </c>
    </row>
    <row r="567">
      <c r="A567" s="6" t="inlineStr">
        <is>
          <t>47-3016</t>
        </is>
      </c>
      <c r="B567" s="6" t="inlineStr">
        <is>
          <t>Helpers--Roofers</t>
        </is>
      </c>
      <c r="C567" s="7" t="n">
        <v>-3.3101</v>
      </c>
      <c r="D567" s="7" t="n">
        <v>0.1285</v>
      </c>
    </row>
    <row r="568">
      <c r="A568" s="6" t="inlineStr">
        <is>
          <t>47-4011</t>
        </is>
      </c>
      <c r="B568" s="6" t="inlineStr">
        <is>
          <t>Construction and Building Inspectors</t>
        </is>
      </c>
      <c r="C568" s="7" t="n">
        <v>0.054</v>
      </c>
      <c r="D568" s="7" t="n">
        <v>0.0697</v>
      </c>
    </row>
    <row r="569">
      <c r="A569" s="6" t="inlineStr">
        <is>
          <t>47-4021</t>
        </is>
      </c>
      <c r="B569" s="6" t="inlineStr">
        <is>
          <t>Elevator and Escalator Installers and Repairers</t>
        </is>
      </c>
      <c r="C569" s="7" t="n">
        <v>-2.0001</v>
      </c>
      <c r="D569" s="7" t="n">
        <v>0.0287</v>
      </c>
    </row>
    <row r="570">
      <c r="A570" s="6" t="inlineStr">
        <is>
          <t>47-4031</t>
        </is>
      </c>
      <c r="B570" s="6" t="inlineStr">
        <is>
          <t>Fence Erectors</t>
        </is>
      </c>
      <c r="C570" s="7" t="n">
        <v>-2.9553</v>
      </c>
      <c r="D570" s="7" t="n">
        <v>0.1299</v>
      </c>
    </row>
    <row r="571">
      <c r="A571" s="6" t="inlineStr">
        <is>
          <t>47-4041</t>
        </is>
      </c>
      <c r="B571" s="6" t="inlineStr">
        <is>
          <t>Hazardous Materials Removal Workers</t>
        </is>
      </c>
      <c r="C571" s="7" t="n">
        <v>-2.5421</v>
      </c>
      <c r="D571" s="7" t="n">
        <v>0.0584</v>
      </c>
    </row>
    <row r="572">
      <c r="A572" s="6" t="inlineStr">
        <is>
          <t>47-4051</t>
        </is>
      </c>
      <c r="B572" s="6" t="inlineStr">
        <is>
          <t>Highway Maintenance Workers</t>
        </is>
      </c>
      <c r="C572" s="7" t="n">
        <v>-2.9915</v>
      </c>
      <c r="D572" s="7" t="n">
        <v>0.0509</v>
      </c>
    </row>
    <row r="573">
      <c r="A573" s="6" t="inlineStr">
        <is>
          <t>47-4061</t>
        </is>
      </c>
      <c r="B573" s="6" t="inlineStr">
        <is>
          <t>Rail-Track Laying and Maintenance Equipment Operators</t>
        </is>
      </c>
      <c r="C573" s="7" t="n">
        <v>-3.1457</v>
      </c>
      <c r="D573" s="7" t="n">
        <v>0.0805</v>
      </c>
    </row>
    <row r="574">
      <c r="A574" s="6" t="inlineStr">
        <is>
          <t>47-4071</t>
        </is>
      </c>
      <c r="B574" s="6" t="inlineStr">
        <is>
          <t>Septic Tank Servicers and Sewer Pipe Cleaners</t>
        </is>
      </c>
      <c r="C574" s="7" t="n">
        <v>-2.1952</v>
      </c>
      <c r="D574" s="7" t="n">
        <v>0.0532</v>
      </c>
    </row>
    <row r="575">
      <c r="A575" s="6" t="inlineStr">
        <is>
          <t>47-4091</t>
        </is>
      </c>
      <c r="B575" s="6" t="inlineStr">
        <is>
          <t>Segmental Pavers</t>
        </is>
      </c>
      <c r="C575" s="7" t="n">
        <v>-2.2464</v>
      </c>
      <c r="D575" s="7" t="n">
        <v>0.1034</v>
      </c>
    </row>
    <row r="576">
      <c r="A576" s="6" t="inlineStr">
        <is>
          <t>47-4099</t>
        </is>
      </c>
      <c r="B576" s="6" t="inlineStr">
        <is>
          <t>Construction and Related Workers, All Other</t>
        </is>
      </c>
      <c r="C576" s="7" t="n">
        <v>-1.0941</v>
      </c>
      <c r="D576" s="7" t="n">
        <v>0.295</v>
      </c>
    </row>
    <row r="577">
      <c r="A577" s="6" t="inlineStr">
        <is>
          <t>47-5011</t>
        </is>
      </c>
      <c r="B577" s="6" t="inlineStr">
        <is>
          <t>Derrick Operators, Oil and Gas</t>
        </is>
      </c>
      <c r="C577" s="7" t="n">
        <v>-2.9706</v>
      </c>
      <c r="D577" s="7" t="n">
        <v>0.0574</v>
      </c>
    </row>
    <row r="578">
      <c r="A578" s="6" t="inlineStr">
        <is>
          <t>47-5012</t>
        </is>
      </c>
      <c r="B578" s="6" t="inlineStr">
        <is>
          <t>Rotary Drill Operators, Oil and Gas</t>
        </is>
      </c>
      <c r="C578" s="7" t="n">
        <v>-2.5208</v>
      </c>
      <c r="D578" s="7" t="n">
        <v>0.0371</v>
      </c>
    </row>
    <row r="579">
      <c r="A579" s="6" t="inlineStr">
        <is>
          <t>47-5013</t>
        </is>
      </c>
      <c r="B579" s="6" t="inlineStr">
        <is>
          <t>Service Unit Operators, Oil and Gas</t>
        </is>
      </c>
      <c r="C579" s="7" t="n">
        <v>-2.015</v>
      </c>
      <c r="D579" s="7" t="n">
        <v>0.065</v>
      </c>
    </row>
    <row r="580">
      <c r="A580" s="6" t="inlineStr">
        <is>
          <t>47-5022</t>
        </is>
      </c>
      <c r="B580" s="6" t="inlineStr">
        <is>
          <t>Excavating and Loading Machine and Dragline Operators, Surface Mining</t>
        </is>
      </c>
      <c r="C580" s="7" t="n">
        <v>-2.685</v>
      </c>
      <c r="D580" s="7" t="n">
        <v>0.1002</v>
      </c>
    </row>
    <row r="581">
      <c r="A581" s="6" t="inlineStr">
        <is>
          <t>47-5023</t>
        </is>
      </c>
      <c r="B581" s="6" t="inlineStr">
        <is>
          <t>Earth Drillers, Except Oil and Gas</t>
        </is>
      </c>
      <c r="C581" s="7" t="n">
        <v>-2.1411</v>
      </c>
      <c r="D581" s="7" t="n">
        <v>0.0184</v>
      </c>
    </row>
    <row r="582">
      <c r="A582" s="6" t="inlineStr">
        <is>
          <t>47-5032</t>
        </is>
      </c>
      <c r="B582" s="6" t="inlineStr">
        <is>
          <t>Explosives Workers, Ordnance Handling Experts, and Blasters</t>
        </is>
      </c>
      <c r="C582" s="7" t="n">
        <v>-2.375</v>
      </c>
      <c r="D582" s="7" t="n">
        <v>0.092</v>
      </c>
    </row>
    <row r="583">
      <c r="A583" s="6" t="inlineStr">
        <is>
          <t>47-5041</t>
        </is>
      </c>
      <c r="B583" s="6" t="inlineStr">
        <is>
          <t>Continuous Mining Machine Operators</t>
        </is>
      </c>
      <c r="C583" s="7" t="n">
        <v>-2.6968</v>
      </c>
      <c r="D583" s="7" t="n">
        <v>0.0505</v>
      </c>
    </row>
    <row r="584">
      <c r="A584" s="6" t="inlineStr">
        <is>
          <t>47-5043</t>
        </is>
      </c>
      <c r="B584" s="6" t="inlineStr">
        <is>
          <t>Roof Bolters, Mining</t>
        </is>
      </c>
      <c r="C584" s="7" t="n">
        <v>-3.0601</v>
      </c>
      <c r="D584" s="7" t="n">
        <v>0.0775</v>
      </c>
    </row>
    <row r="585">
      <c r="A585" s="6" t="inlineStr">
        <is>
          <t>47-5044</t>
        </is>
      </c>
      <c r="B585" s="6" t="inlineStr">
        <is>
          <t>Loading and Moving Machine Operators, Underground Mining</t>
        </is>
      </c>
      <c r="C585" s="7" t="n">
        <v>-2.9729</v>
      </c>
      <c r="D585" s="7" t="n">
        <v>0.5424</v>
      </c>
    </row>
    <row r="586">
      <c r="A586" s="6" t="inlineStr">
        <is>
          <t>47-5051</t>
        </is>
      </c>
      <c r="B586" s="6" t="inlineStr">
        <is>
          <t>Rock Splitters, Quarry</t>
        </is>
      </c>
      <c r="C586" s="7" t="n">
        <v>-2.8824</v>
      </c>
      <c r="D586" s="7" t="n">
        <v>0.0948</v>
      </c>
    </row>
    <row r="587">
      <c r="A587" s="6" t="inlineStr">
        <is>
          <t>47-5071</t>
        </is>
      </c>
      <c r="B587" s="6" t="inlineStr">
        <is>
          <t>Roustabouts, Oil and Gas</t>
        </is>
      </c>
      <c r="C587" s="7" t="n">
        <v>-3.1634</v>
      </c>
      <c r="D587" s="7" t="n">
        <v>0.0774</v>
      </c>
    </row>
    <row r="588">
      <c r="A588" s="6" t="inlineStr">
        <is>
          <t>47-5081</t>
        </is>
      </c>
      <c r="B588" s="6" t="inlineStr">
        <is>
          <t>Helpers--Extraction Workers</t>
        </is>
      </c>
      <c r="C588" s="7" t="n">
        <v>-2.9334</v>
      </c>
      <c r="D588" s="7" t="n">
        <v>0.06560000000000001</v>
      </c>
    </row>
    <row r="589">
      <c r="A589" s="6" t="inlineStr">
        <is>
          <t>49-1011</t>
        </is>
      </c>
      <c r="B589" s="6" t="inlineStr">
        <is>
          <t>First-Line Supervisors of Mechanics, Installers, and Repairers</t>
        </is>
      </c>
      <c r="C589" s="7" t="n">
        <v>0.0939</v>
      </c>
      <c r="D589" s="7" t="n">
        <v>0.0528</v>
      </c>
    </row>
    <row r="590">
      <c r="A590" s="6" t="inlineStr">
        <is>
          <t>49-2011</t>
        </is>
      </c>
      <c r="B590" s="6" t="inlineStr">
        <is>
          <t>Computer, Automated Teller, and Office Machine Repairers</t>
        </is>
      </c>
      <c r="C590" s="7" t="n">
        <v>0.0776</v>
      </c>
      <c r="D590" s="7" t="n">
        <v>0.1343</v>
      </c>
    </row>
    <row r="591">
      <c r="A591" s="6" t="inlineStr">
        <is>
          <t>49-2021</t>
        </is>
      </c>
      <c r="B591" s="6" t="inlineStr">
        <is>
          <t>Radio, Cellular, and Tower Equipment Installers and Repairers</t>
        </is>
      </c>
      <c r="C591" s="7" t="n">
        <v>-1.6815</v>
      </c>
      <c r="D591" s="7" t="n">
        <v>0.0601</v>
      </c>
    </row>
    <row r="592">
      <c r="A592" s="6" t="inlineStr">
        <is>
          <t>49-2022</t>
        </is>
      </c>
      <c r="B592" s="6" t="inlineStr">
        <is>
          <t>Telecommunications Equipment Installers and Repairers, Except Line Installers</t>
        </is>
      </c>
      <c r="C592" s="7" t="n">
        <v>-0.7143</v>
      </c>
      <c r="D592" s="7" t="n">
        <v>0.1492</v>
      </c>
    </row>
    <row r="593">
      <c r="A593" s="6" t="inlineStr">
        <is>
          <t>49-2091</t>
        </is>
      </c>
      <c r="B593" s="6" t="inlineStr">
        <is>
          <t>Avionics Technicians</t>
        </is>
      </c>
      <c r="C593" s="7" t="n">
        <v>-0.8335</v>
      </c>
      <c r="D593" s="7" t="n">
        <v>0.043</v>
      </c>
    </row>
    <row r="594">
      <c r="A594" s="6" t="inlineStr">
        <is>
          <t>49-2092</t>
        </is>
      </c>
      <c r="B594" s="6" t="inlineStr">
        <is>
          <t>Electric Motor, Power Tool, and Related Repairers</t>
        </is>
      </c>
      <c r="C594" s="7" t="n">
        <v>-2.1084</v>
      </c>
      <c r="D594" s="7" t="n">
        <v>0.0829</v>
      </c>
    </row>
    <row r="595">
      <c r="A595" s="6" t="inlineStr">
        <is>
          <t>49-2093</t>
        </is>
      </c>
      <c r="B595" s="6" t="inlineStr">
        <is>
          <t>Electrical and Electronics Installers and Repairers, Transportation Equipment</t>
        </is>
      </c>
      <c r="C595" s="7" t="n">
        <v>-0.9726</v>
      </c>
      <c r="D595" s="7" t="n">
        <v>0.08840000000000001</v>
      </c>
    </row>
    <row r="596">
      <c r="A596" s="6" t="inlineStr">
        <is>
          <t>49-2094</t>
        </is>
      </c>
      <c r="B596" s="6" t="inlineStr">
        <is>
          <t>Electrical and Electronics Repairers, Commercial and Industrial Equipment</t>
        </is>
      </c>
      <c r="C596" s="7" t="n">
        <v>-0.3346</v>
      </c>
      <c r="D596" s="7" t="n">
        <v>0.1298</v>
      </c>
    </row>
    <row r="597">
      <c r="A597" s="6" t="inlineStr">
        <is>
          <t>49-2095</t>
        </is>
      </c>
      <c r="B597" s="6" t="inlineStr">
        <is>
          <t>Electrical and Electronics Repairers, Powerhouse, Substation, and Relay</t>
        </is>
      </c>
      <c r="C597" s="7" t="n">
        <v>-0.4589</v>
      </c>
      <c r="D597" s="7" t="n">
        <v>0.1027</v>
      </c>
    </row>
    <row r="598">
      <c r="A598" s="6" t="inlineStr">
        <is>
          <t>49-2096</t>
        </is>
      </c>
      <c r="B598" s="6" t="inlineStr">
        <is>
          <t>Electronic Equipment Installers and Repairers, Motor Vehicles</t>
        </is>
      </c>
      <c r="C598" s="7" t="n">
        <v>-1.4624</v>
      </c>
      <c r="D598" s="7" t="n">
        <v>0.0453</v>
      </c>
    </row>
    <row r="599">
      <c r="A599" s="6" t="inlineStr">
        <is>
          <t>49-2097</t>
        </is>
      </c>
      <c r="B599" s="6" t="inlineStr">
        <is>
          <t>Audiovisual Equipment Installers and Repairers</t>
        </is>
      </c>
      <c r="C599" s="7" t="n">
        <v>-1.1813</v>
      </c>
      <c r="D599" s="7" t="n">
        <v>0.0611</v>
      </c>
    </row>
    <row r="600">
      <c r="A600" s="6" t="inlineStr">
        <is>
          <t>49-2098</t>
        </is>
      </c>
      <c r="B600" s="6" t="inlineStr">
        <is>
          <t>Security and Fire Alarm Systems Installers</t>
        </is>
      </c>
      <c r="C600" s="7" t="n">
        <v>-1.0387</v>
      </c>
      <c r="D600" s="7" t="n">
        <v>0.1006</v>
      </c>
    </row>
    <row r="601">
      <c r="A601" s="6" t="inlineStr">
        <is>
          <t>49-3011</t>
        </is>
      </c>
      <c r="B601" s="6" t="inlineStr">
        <is>
          <t>Aircraft Mechanics and Service Technicians</t>
        </is>
      </c>
      <c r="C601" s="7" t="n">
        <v>-2.2224</v>
      </c>
      <c r="D601" s="7" t="n">
        <v>0.0228</v>
      </c>
    </row>
    <row r="602">
      <c r="A602" s="6" t="inlineStr">
        <is>
          <t>49-3021</t>
        </is>
      </c>
      <c r="B602" s="6" t="inlineStr">
        <is>
          <t>Automotive Body and Related Repairers</t>
        </is>
      </c>
      <c r="C602" s="7" t="n">
        <v>-2.5819</v>
      </c>
      <c r="D602" s="7" t="n">
        <v>0.0377</v>
      </c>
    </row>
    <row r="603">
      <c r="A603" s="6" t="inlineStr">
        <is>
          <t>49-3022</t>
        </is>
      </c>
      <c r="B603" s="6" t="inlineStr">
        <is>
          <t>Automotive Glass Installers and Repairers</t>
        </is>
      </c>
      <c r="C603" s="7" t="n">
        <v>-2.9775</v>
      </c>
      <c r="D603" s="7" t="n">
        <v>0.0545</v>
      </c>
    </row>
    <row r="604">
      <c r="A604" s="6" t="inlineStr">
        <is>
          <t>49-3023</t>
        </is>
      </c>
      <c r="B604" s="6" t="inlineStr">
        <is>
          <t>Automotive Service Technicians and Mechanics</t>
        </is>
      </c>
      <c r="C604" s="7" t="n">
        <v>-1.8499</v>
      </c>
      <c r="D604" s="7" t="n">
        <v>0.1008</v>
      </c>
    </row>
    <row r="605">
      <c r="A605" s="6" t="inlineStr">
        <is>
          <t>49-3031</t>
        </is>
      </c>
      <c r="B605" s="6" t="inlineStr">
        <is>
          <t>Bus and Truck Mechanics and Diesel Engine Specialists</t>
        </is>
      </c>
      <c r="C605" s="7" t="n">
        <v>-2.5307</v>
      </c>
      <c r="D605" s="7" t="n">
        <v>0.1237</v>
      </c>
    </row>
    <row r="606">
      <c r="A606" s="6" t="inlineStr">
        <is>
          <t>49-3041</t>
        </is>
      </c>
      <c r="B606" s="6" t="inlineStr">
        <is>
          <t>Farm Equipment Mechanics and Service Technicians</t>
        </is>
      </c>
      <c r="C606" s="7" t="n">
        <v>-1.7869</v>
      </c>
      <c r="D606" s="7" t="n">
        <v>0.082</v>
      </c>
    </row>
    <row r="607">
      <c r="A607" s="6" t="inlineStr">
        <is>
          <t>49-3042</t>
        </is>
      </c>
      <c r="B607" s="6" t="inlineStr">
        <is>
          <t>Mobile Heavy Equipment Mechanics, Except Engines</t>
        </is>
      </c>
      <c r="C607" s="7" t="n">
        <v>-2.0159</v>
      </c>
      <c r="D607" s="7" t="n">
        <v>0.0546</v>
      </c>
    </row>
    <row r="608">
      <c r="A608" s="6" t="inlineStr">
        <is>
          <t>49-3043</t>
        </is>
      </c>
      <c r="B608" s="6" t="inlineStr">
        <is>
          <t>Rail Car Repairers</t>
        </is>
      </c>
      <c r="C608" s="7" t="n">
        <v>-2.6944</v>
      </c>
      <c r="D608" s="7" t="n">
        <v>0.0341</v>
      </c>
    </row>
    <row r="609">
      <c r="A609" s="6" t="inlineStr">
        <is>
          <t>49-3051</t>
        </is>
      </c>
      <c r="B609" s="6" t="inlineStr">
        <is>
          <t>Motorboat Mechanics and Service Technicians</t>
        </is>
      </c>
      <c r="C609" s="7" t="n">
        <v>-2.468</v>
      </c>
      <c r="D609" s="7" t="n">
        <v>0.0171</v>
      </c>
    </row>
    <row r="610">
      <c r="A610" s="6" t="inlineStr">
        <is>
          <t>49-3052</t>
        </is>
      </c>
      <c r="B610" s="6" t="inlineStr">
        <is>
          <t>Motorcycle Mechanics</t>
        </is>
      </c>
      <c r="C610" s="7" t="n">
        <v>-2.6542</v>
      </c>
      <c r="D610" s="7" t="n">
        <v>0.0822</v>
      </c>
    </row>
    <row r="611">
      <c r="A611" s="6" t="inlineStr">
        <is>
          <t>49-3053</t>
        </is>
      </c>
      <c r="B611" s="6" t="inlineStr">
        <is>
          <t>Outdoor Power Equipment and Other Small Engine Mechanics</t>
        </is>
      </c>
      <c r="C611" s="7" t="n">
        <v>-2.0731</v>
      </c>
      <c r="D611" s="7" t="n">
        <v>0.0306</v>
      </c>
    </row>
    <row r="612">
      <c r="A612" s="6" t="inlineStr">
        <is>
          <t>49-3091</t>
        </is>
      </c>
      <c r="B612" s="6" t="inlineStr">
        <is>
          <t>Bicycle Repairers</t>
        </is>
      </c>
      <c r="C612" s="7" t="n">
        <v>-2.101</v>
      </c>
      <c r="D612" s="7" t="n">
        <v>0.1038</v>
      </c>
    </row>
    <row r="613">
      <c r="A613" s="6" t="inlineStr">
        <is>
          <t>49-3092</t>
        </is>
      </c>
      <c r="B613" s="6" t="inlineStr">
        <is>
          <t>Recreational Vehicle Service Technicians</t>
        </is>
      </c>
      <c r="C613" s="7" t="n">
        <v>-1.8614</v>
      </c>
      <c r="D613" s="7" t="n">
        <v>0.1495</v>
      </c>
    </row>
    <row r="614">
      <c r="A614" s="6" t="inlineStr">
        <is>
          <t>49-3093</t>
        </is>
      </c>
      <c r="B614" s="6" t="inlineStr">
        <is>
          <t>Tire Repairers and Changers</t>
        </is>
      </c>
      <c r="C614" s="7" t="n">
        <v>-3.1246</v>
      </c>
      <c r="D614" s="7" t="n">
        <v>0.0699</v>
      </c>
    </row>
    <row r="615">
      <c r="A615" s="6" t="inlineStr">
        <is>
          <t>49-9011</t>
        </is>
      </c>
      <c r="B615" s="6" t="inlineStr">
        <is>
          <t>Mechanical Door Repairers</t>
        </is>
      </c>
      <c r="C615" s="7" t="n">
        <v>-2.4206</v>
      </c>
      <c r="D615" s="7" t="n">
        <v>0.039</v>
      </c>
    </row>
    <row r="616">
      <c r="A616" s="6" t="inlineStr">
        <is>
          <t>49-9012</t>
        </is>
      </c>
      <c r="B616" s="6" t="inlineStr">
        <is>
          <t>Control and Valve Installers and Repairers, Except Mechanical Door</t>
        </is>
      </c>
      <c r="C616" s="7" t="n">
        <v>-1.8184</v>
      </c>
      <c r="D616" s="7" t="n">
        <v>0.1047</v>
      </c>
    </row>
    <row r="617">
      <c r="A617" s="6" t="inlineStr">
        <is>
          <t>49-9021</t>
        </is>
      </c>
      <c r="B617" s="6" t="inlineStr">
        <is>
          <t>Heating, Air Conditioning, and Refrigeration Mechanics and Installers</t>
        </is>
      </c>
      <c r="C617" s="7" t="n">
        <v>-1.8711</v>
      </c>
      <c r="D617" s="7" t="n">
        <v>0.0368</v>
      </c>
    </row>
    <row r="618">
      <c r="A618" s="6" t="inlineStr">
        <is>
          <t>49-9031</t>
        </is>
      </c>
      <c r="B618" s="6" t="inlineStr">
        <is>
          <t>Home Appliance Repairers</t>
        </is>
      </c>
      <c r="C618" s="7" t="n">
        <v>-1.7827</v>
      </c>
      <c r="D618" s="7" t="n">
        <v>0.0386</v>
      </c>
    </row>
    <row r="619">
      <c r="A619" s="6" t="inlineStr">
        <is>
          <t>49-9041</t>
        </is>
      </c>
      <c r="B619" s="6" t="inlineStr">
        <is>
          <t>Industrial Machinery Mechanics</t>
        </is>
      </c>
      <c r="C619" s="7" t="n">
        <v>-1.0818</v>
      </c>
      <c r="D619" s="7" t="n">
        <v>0.1815</v>
      </c>
    </row>
    <row r="620">
      <c r="A620" s="6" t="inlineStr">
        <is>
          <t>49-9043</t>
        </is>
      </c>
      <c r="B620" s="6" t="inlineStr">
        <is>
          <t>Maintenance Workers, Machinery</t>
        </is>
      </c>
      <c r="C620" s="7" t="n">
        <v>-1.6288</v>
      </c>
      <c r="D620" s="7" t="n">
        <v>0.0607</v>
      </c>
    </row>
    <row r="621">
      <c r="A621" s="6" t="inlineStr">
        <is>
          <t>49-9044</t>
        </is>
      </c>
      <c r="B621" s="6" t="inlineStr">
        <is>
          <t>Millwrights</t>
        </is>
      </c>
      <c r="C621" s="7" t="n">
        <v>-2.6114</v>
      </c>
      <c r="D621" s="7" t="n">
        <v>0.0557</v>
      </c>
    </row>
    <row r="622">
      <c r="A622" s="6" t="inlineStr">
        <is>
          <t>49-9045</t>
        </is>
      </c>
      <c r="B622" s="6" t="inlineStr">
        <is>
          <t>Refractory Materials Repairers, Except Brickmasons</t>
        </is>
      </c>
      <c r="C622" s="7" t="n">
        <v>-2.757</v>
      </c>
      <c r="D622" s="7" t="n">
        <v>0.0864</v>
      </c>
    </row>
    <row r="623">
      <c r="A623" s="6" t="inlineStr">
        <is>
          <t>49-9051</t>
        </is>
      </c>
      <c r="B623" s="6" t="inlineStr">
        <is>
          <t>Electrical Power-Line Installers and Repairers</t>
        </is>
      </c>
      <c r="C623" s="7" t="n">
        <v>-2.6265</v>
      </c>
      <c r="D623" s="7" t="n">
        <v>0.1179</v>
      </c>
    </row>
    <row r="624">
      <c r="A624" s="6" t="inlineStr">
        <is>
          <t>49-9052</t>
        </is>
      </c>
      <c r="B624" s="6" t="inlineStr">
        <is>
          <t>Telecommunications Line Installers and Repairers</t>
        </is>
      </c>
      <c r="C624" s="7" t="n">
        <v>-2.3132</v>
      </c>
      <c r="D624" s="7" t="n">
        <v>0.2281</v>
      </c>
    </row>
    <row r="625">
      <c r="A625" s="6" t="inlineStr">
        <is>
          <t>49-9061</t>
        </is>
      </c>
      <c r="B625" s="6" t="inlineStr">
        <is>
          <t>Camera and Photographic Equipment Repairers</t>
        </is>
      </c>
      <c r="C625" s="7" t="n">
        <v>-1.4269</v>
      </c>
      <c r="D625" s="7" t="n">
        <v>0.2881</v>
      </c>
    </row>
    <row r="626">
      <c r="A626" s="6" t="inlineStr">
        <is>
          <t>49-9062</t>
        </is>
      </c>
      <c r="B626" s="6" t="inlineStr">
        <is>
          <t>Medical Equipment Repairers</t>
        </is>
      </c>
      <c r="C626" s="7" t="n">
        <v>-0.4138</v>
      </c>
      <c r="D626" s="7" t="n">
        <v>0.0291</v>
      </c>
    </row>
    <row r="627">
      <c r="A627" s="6" t="inlineStr">
        <is>
          <t>49-9063</t>
        </is>
      </c>
      <c r="B627" s="6" t="inlineStr">
        <is>
          <t>Musical Instrument Repairers and Tuners</t>
        </is>
      </c>
      <c r="C627" s="7" t="n">
        <v>-2.2774</v>
      </c>
      <c r="D627" s="7" t="n">
        <v>0.2013</v>
      </c>
    </row>
    <row r="628">
      <c r="A628" s="6" t="inlineStr">
        <is>
          <t>49-9064</t>
        </is>
      </c>
      <c r="B628" s="6" t="inlineStr">
        <is>
          <t>Watch and Clock Repairers</t>
        </is>
      </c>
      <c r="C628" s="7" t="n">
        <v>-1.66</v>
      </c>
      <c r="D628" s="7" t="n">
        <v>0.0825</v>
      </c>
    </row>
    <row r="629">
      <c r="A629" s="6" t="inlineStr">
        <is>
          <t>49-9071</t>
        </is>
      </c>
      <c r="B629" s="6" t="inlineStr">
        <is>
          <t>Maintenance and Repair Workers, General</t>
        </is>
      </c>
      <c r="C629" s="7" t="n">
        <v>-1.7307</v>
      </c>
      <c r="D629" s="7" t="n">
        <v>0.1087</v>
      </c>
    </row>
    <row r="630">
      <c r="A630" s="6" t="inlineStr">
        <is>
          <t>49-9081</t>
        </is>
      </c>
      <c r="B630" s="6" t="inlineStr">
        <is>
          <t>Wind Turbine Service Technicians</t>
        </is>
      </c>
      <c r="C630" s="7" t="n">
        <v>-2.1539</v>
      </c>
      <c r="D630" s="7" t="n">
        <v>0.1373</v>
      </c>
    </row>
    <row r="631">
      <c r="A631" s="6" t="inlineStr">
        <is>
          <t>49-9091</t>
        </is>
      </c>
      <c r="B631" s="6" t="inlineStr">
        <is>
          <t>Coin, Vending, and Amusement Machine Servicers and Repairers</t>
        </is>
      </c>
      <c r="C631" s="7" t="n">
        <v>-1.1516</v>
      </c>
      <c r="D631" s="7" t="n">
        <v>0.08699999999999999</v>
      </c>
    </row>
    <row r="632">
      <c r="A632" s="6" t="inlineStr">
        <is>
          <t>49-9092</t>
        </is>
      </c>
      <c r="B632" s="6" t="inlineStr">
        <is>
          <t>Commercial Divers</t>
        </is>
      </c>
      <c r="C632" s="7" t="n">
        <v>-2.382</v>
      </c>
      <c r="D632" s="7" t="n">
        <v>0.0271</v>
      </c>
    </row>
    <row r="633">
      <c r="A633" s="6" t="inlineStr">
        <is>
          <t>49-9094</t>
        </is>
      </c>
      <c r="B633" s="6" t="inlineStr">
        <is>
          <t>Locksmiths and Safe Repairers</t>
        </is>
      </c>
      <c r="C633" s="7" t="n">
        <v>-2.1773</v>
      </c>
      <c r="D633" s="7" t="n">
        <v>0.0672</v>
      </c>
    </row>
    <row r="634">
      <c r="A634" s="6" t="inlineStr">
        <is>
          <t>49-9095</t>
        </is>
      </c>
      <c r="B634" s="6" t="inlineStr">
        <is>
          <t>Manufactured Building and Mobile Home Installers</t>
        </is>
      </c>
      <c r="C634" s="7" t="n">
        <v>-2.1988</v>
      </c>
      <c r="D634" s="7" t="n">
        <v>0.1097</v>
      </c>
    </row>
    <row r="635">
      <c r="A635" s="6" t="inlineStr">
        <is>
          <t>49-9096</t>
        </is>
      </c>
      <c r="B635" s="6" t="inlineStr">
        <is>
          <t>Riggers</t>
        </is>
      </c>
      <c r="C635" s="7" t="n">
        <v>-2.3799</v>
      </c>
      <c r="D635" s="7" t="n">
        <v>0.3027</v>
      </c>
    </row>
    <row r="636">
      <c r="A636" s="6" t="inlineStr">
        <is>
          <t>49-9097</t>
        </is>
      </c>
      <c r="B636" s="6" t="inlineStr">
        <is>
          <t>Signal and Track Switch Repairers</t>
        </is>
      </c>
      <c r="C636" s="7" t="n">
        <v>-2.3015</v>
      </c>
      <c r="D636" s="7" t="n">
        <v>0.035</v>
      </c>
    </row>
    <row r="637">
      <c r="A637" s="6" t="inlineStr">
        <is>
          <t>49-9098</t>
        </is>
      </c>
      <c r="B637" s="6" t="inlineStr">
        <is>
          <t>Helpers--Installation, Maintenance, and Repair Workers</t>
        </is>
      </c>
      <c r="C637" s="7" t="n">
        <v>-2.8412</v>
      </c>
      <c r="D637" s="7" t="n">
        <v>0.0447</v>
      </c>
    </row>
    <row r="638">
      <c r="A638" s="6" t="inlineStr">
        <is>
          <t>49-9099</t>
        </is>
      </c>
      <c r="B638" s="6" t="inlineStr">
        <is>
          <t>Installation, Maintenance, and Repair Workers, All Other</t>
        </is>
      </c>
      <c r="C638" s="7" t="n">
        <v>-0.9074</v>
      </c>
      <c r="D638" s="7" t="n">
        <v>0.6875</v>
      </c>
    </row>
    <row r="639">
      <c r="A639" s="6" t="inlineStr">
        <is>
          <t>51-1011</t>
        </is>
      </c>
      <c r="B639" s="6" t="inlineStr">
        <is>
          <t>First-Line Supervisors of Production and Operating Workers</t>
        </is>
      </c>
      <c r="C639" s="7" t="n">
        <v>1.2836</v>
      </c>
      <c r="D639" s="7" t="n">
        <v>0.4447</v>
      </c>
    </row>
    <row r="640">
      <c r="A640" s="6" t="inlineStr">
        <is>
          <t>51-2011</t>
        </is>
      </c>
      <c r="B640" s="6" t="inlineStr">
        <is>
          <t>Aircraft Structure, Surfaces, Rigging, and Systems Assemblers</t>
        </is>
      </c>
      <c r="C640" s="7" t="n">
        <v>-2.4804</v>
      </c>
      <c r="D640" s="7" t="n">
        <v>0.07190000000000001</v>
      </c>
    </row>
    <row r="641">
      <c r="A641" s="6" t="inlineStr">
        <is>
          <t>51-2021</t>
        </is>
      </c>
      <c r="B641" s="6" t="inlineStr">
        <is>
          <t>Coil Winders, Tapers, and Finishers</t>
        </is>
      </c>
      <c r="C641" s="7" t="n">
        <v>-1.552</v>
      </c>
      <c r="D641" s="7" t="n">
        <v>0.0285</v>
      </c>
    </row>
    <row r="642">
      <c r="A642" s="6" t="inlineStr">
        <is>
          <t>51-2031</t>
        </is>
      </c>
      <c r="B642" s="6" t="inlineStr">
        <is>
          <t>Engine and Other Machine Assemblers</t>
        </is>
      </c>
      <c r="C642" s="7" t="n">
        <v>-2.0415</v>
      </c>
      <c r="D642" s="7" t="n">
        <v>0.1337</v>
      </c>
    </row>
    <row r="643">
      <c r="A643" s="6" t="inlineStr">
        <is>
          <t>51-2041</t>
        </is>
      </c>
      <c r="B643" s="6" t="inlineStr">
        <is>
          <t>Structural Metal Fabricators and Fitters</t>
        </is>
      </c>
      <c r="C643" s="7" t="n">
        <v>-2.7627</v>
      </c>
      <c r="D643" s="7" t="n">
        <v>0.0317</v>
      </c>
    </row>
    <row r="644">
      <c r="A644" s="6" t="inlineStr">
        <is>
          <t>51-2051</t>
        </is>
      </c>
      <c r="B644" s="6" t="inlineStr">
        <is>
          <t>Fiberglass Laminators and Fabricators</t>
        </is>
      </c>
      <c r="C644" s="7" t="n">
        <v>-2.6209</v>
      </c>
      <c r="D644" s="7" t="n">
        <v>0.0336</v>
      </c>
    </row>
    <row r="645">
      <c r="A645" s="6" t="inlineStr">
        <is>
          <t>51-2061</t>
        </is>
      </c>
      <c r="B645" s="6" t="inlineStr">
        <is>
          <t>Timing Device Assemblers and Adjusters</t>
        </is>
      </c>
      <c r="C645" s="7" t="n">
        <v>-2.3579</v>
      </c>
      <c r="D645" s="7" t="n">
        <v>0.1885</v>
      </c>
    </row>
    <row r="646">
      <c r="A646" s="6" t="inlineStr">
        <is>
          <t>51-2092</t>
        </is>
      </c>
      <c r="B646" s="6" t="inlineStr">
        <is>
          <t>Team Assemblers</t>
        </is>
      </c>
      <c r="C646" s="7" t="n">
        <v>-1.9106</v>
      </c>
      <c r="D646" s="7" t="n">
        <v>0.0605</v>
      </c>
    </row>
    <row r="647">
      <c r="A647" s="6" t="inlineStr">
        <is>
          <t>51-3011</t>
        </is>
      </c>
      <c r="B647" s="6" t="inlineStr">
        <is>
          <t>Bakers</t>
        </is>
      </c>
      <c r="C647" s="7" t="n">
        <v>-1.3953</v>
      </c>
      <c r="D647" s="7" t="n">
        <v>0.0426</v>
      </c>
    </row>
    <row r="648">
      <c r="A648" s="6" t="inlineStr">
        <is>
          <t>51-3021</t>
        </is>
      </c>
      <c r="B648" s="6" t="inlineStr">
        <is>
          <t>Butchers and Meat Cutters</t>
        </is>
      </c>
      <c r="C648" s="7" t="n">
        <v>-1.663</v>
      </c>
      <c r="D648" s="7" t="n">
        <v>0.2857</v>
      </c>
    </row>
    <row r="649">
      <c r="A649" s="6" t="inlineStr">
        <is>
          <t>51-3022</t>
        </is>
      </c>
      <c r="B649" s="6" t="inlineStr">
        <is>
          <t>Meat, Poultry, and Fish Cutters and Trimmers</t>
        </is>
      </c>
      <c r="C649" s="7" t="n">
        <v>-2.376</v>
      </c>
      <c r="D649" s="7" t="n">
        <v>0.3599</v>
      </c>
    </row>
    <row r="650">
      <c r="A650" s="6" t="inlineStr">
        <is>
          <t>51-3023</t>
        </is>
      </c>
      <c r="B650" s="6" t="inlineStr">
        <is>
          <t>Slaughterers and Meat Packers</t>
        </is>
      </c>
      <c r="C650" s="7" t="n">
        <v>-2.9532</v>
      </c>
      <c r="D650" s="7" t="n">
        <v>0.1943</v>
      </c>
    </row>
    <row r="651">
      <c r="A651" s="6" t="inlineStr">
        <is>
          <t>51-3091</t>
        </is>
      </c>
      <c r="B651" s="6" t="inlineStr">
        <is>
          <t>Food and Tobacco Roasting, Baking, and Drying Machine Operators and Tenders</t>
        </is>
      </c>
      <c r="C651" s="7" t="n">
        <v>-2.1994</v>
      </c>
      <c r="D651" s="7" t="n">
        <v>0.0436</v>
      </c>
    </row>
    <row r="652">
      <c r="A652" s="6" t="inlineStr">
        <is>
          <t>51-3092</t>
        </is>
      </c>
      <c r="B652" s="6" t="inlineStr">
        <is>
          <t>Food Batchmakers</t>
        </is>
      </c>
      <c r="C652" s="7" t="n">
        <v>-1.3925</v>
      </c>
      <c r="D652" s="7" t="n">
        <v>0.07530000000000001</v>
      </c>
    </row>
    <row r="653">
      <c r="A653" s="6" t="inlineStr">
        <is>
          <t>51-3093</t>
        </is>
      </c>
      <c r="B653" s="6" t="inlineStr">
        <is>
          <t>Food Cooking Machine Operators and Tenders</t>
        </is>
      </c>
      <c r="C653" s="7" t="n">
        <v>-2.1668</v>
      </c>
      <c r="D653" s="7" t="n">
        <v>0.0544</v>
      </c>
    </row>
    <row r="654">
      <c r="A654" s="6" t="inlineStr">
        <is>
          <t>51-4021</t>
        </is>
      </c>
      <c r="B654" s="6" t="inlineStr">
        <is>
          <t>Extruding and Drawing Machine Setters, Operators, and Tenders, Metal and Plastic</t>
        </is>
      </c>
      <c r="C654" s="7" t="n">
        <v>-2.2773</v>
      </c>
      <c r="D654" s="7" t="n">
        <v>0.1834</v>
      </c>
    </row>
    <row r="655">
      <c r="A655" s="6" t="inlineStr">
        <is>
          <t>51-4022</t>
        </is>
      </c>
      <c r="B655" s="6" t="inlineStr">
        <is>
          <t>Forging Machine Setters, Operators, and Tenders, Metal and Plastic</t>
        </is>
      </c>
      <c r="C655" s="7" t="n">
        <v>-2.3227</v>
      </c>
      <c r="D655" s="7" t="n">
        <v>0.0877</v>
      </c>
    </row>
    <row r="656">
      <c r="A656" s="6" t="inlineStr">
        <is>
          <t>51-4023</t>
        </is>
      </c>
      <c r="B656" s="6" t="inlineStr">
        <is>
          <t>Rolling Machine Setters, Operators, and Tenders, Metal and Plastic</t>
        </is>
      </c>
      <c r="C656" s="7" t="n">
        <v>-1.7333</v>
      </c>
      <c r="D656" s="7" t="n">
        <v>0.0829</v>
      </c>
    </row>
    <row r="657">
      <c r="A657" s="6" t="inlineStr">
        <is>
          <t>51-4031</t>
        </is>
      </c>
      <c r="B657" s="6" t="inlineStr">
        <is>
          <t>Cutting, Punching, and Press Machine Setters, Operators, and Tenders, Metal and Plastic</t>
        </is>
      </c>
      <c r="C657" s="7" t="n">
        <v>-2.5278</v>
      </c>
      <c r="D657" s="7" t="n">
        <v>0.0775</v>
      </c>
    </row>
    <row r="658">
      <c r="A658" s="6" t="inlineStr">
        <is>
          <t>51-4032</t>
        </is>
      </c>
      <c r="B658" s="6" t="inlineStr">
        <is>
          <t>Drilling and Boring Machine Tool Setters, Operators, and Tenders, Metal and Plastic</t>
        </is>
      </c>
      <c r="C658" s="7" t="n">
        <v>-2.381</v>
      </c>
      <c r="D658" s="7" t="n">
        <v>0.0989</v>
      </c>
    </row>
    <row r="659">
      <c r="A659" s="6" t="inlineStr">
        <is>
          <t>51-4033</t>
        </is>
      </c>
      <c r="B659" s="6" t="inlineStr">
        <is>
          <t>Grinding, Lapping, Polishing, and Buffing Machine Tool Setters, Operators, and Tenders, Metal and Plastic</t>
        </is>
      </c>
      <c r="C659" s="7" t="n">
        <v>-2.0325</v>
      </c>
      <c r="D659" s="7" t="n">
        <v>0.0838</v>
      </c>
    </row>
    <row r="660">
      <c r="A660" s="6" t="inlineStr">
        <is>
          <t>51-4034</t>
        </is>
      </c>
      <c r="B660" s="6" t="inlineStr">
        <is>
          <t>Lathe and Turning Machine Tool Setters, Operators, and Tenders, Metal and Plastic</t>
        </is>
      </c>
      <c r="C660" s="7" t="n">
        <v>-2.1249</v>
      </c>
      <c r="D660" s="7" t="n">
        <v>0.1281</v>
      </c>
    </row>
    <row r="661">
      <c r="A661" s="6" t="inlineStr">
        <is>
          <t>51-4035</t>
        </is>
      </c>
      <c r="B661" s="6" t="inlineStr">
        <is>
          <t>Milling and Planing Machine Setters, Operators, and Tenders, Metal and Plastic</t>
        </is>
      </c>
      <c r="C661" s="7" t="n">
        <v>-1.8627</v>
      </c>
      <c r="D661" s="7" t="n">
        <v>0.0985</v>
      </c>
    </row>
    <row r="662">
      <c r="A662" s="6" t="inlineStr">
        <is>
          <t>51-4041</t>
        </is>
      </c>
      <c r="B662" s="6" t="inlineStr">
        <is>
          <t>Machinists</t>
        </is>
      </c>
      <c r="C662" s="7" t="n">
        <v>-1.2701</v>
      </c>
      <c r="D662" s="7" t="n">
        <v>0.09760000000000001</v>
      </c>
    </row>
    <row r="663">
      <c r="A663" s="6" t="inlineStr">
        <is>
          <t>51-4051</t>
        </is>
      </c>
      <c r="B663" s="6" t="inlineStr">
        <is>
          <t>Metal-Refining Furnace Operators and Tenders</t>
        </is>
      </c>
      <c r="C663" s="7" t="n">
        <v>-2.5029</v>
      </c>
      <c r="D663" s="7" t="n">
        <v>0.0152</v>
      </c>
    </row>
    <row r="664">
      <c r="A664" s="6" t="inlineStr">
        <is>
          <t>51-4052</t>
        </is>
      </c>
      <c r="B664" s="6" t="inlineStr">
        <is>
          <t>Pourers and Casters, Metal</t>
        </is>
      </c>
      <c r="C664" s="7" t="n">
        <v>-2.7661</v>
      </c>
      <c r="D664" s="7" t="n">
        <v>0.0584</v>
      </c>
    </row>
    <row r="665">
      <c r="A665" s="6" t="inlineStr">
        <is>
          <t>51-4061</t>
        </is>
      </c>
      <c r="B665" s="6" t="inlineStr">
        <is>
          <t>Model Makers, Metal and Plastic</t>
        </is>
      </c>
      <c r="C665" s="7" t="n">
        <v>-1.739</v>
      </c>
      <c r="D665" s="7" t="n">
        <v>0.037</v>
      </c>
    </row>
    <row r="666">
      <c r="A666" s="6" t="inlineStr">
        <is>
          <t>51-4062</t>
        </is>
      </c>
      <c r="B666" s="6" t="inlineStr">
        <is>
          <t>Patternmakers, Metal and Plastic</t>
        </is>
      </c>
      <c r="C666" s="7" t="n">
        <v>-1.5</v>
      </c>
      <c r="D666" s="7" t="n">
        <v>0.0745</v>
      </c>
    </row>
    <row r="667">
      <c r="A667" s="6" t="inlineStr">
        <is>
          <t>51-4071</t>
        </is>
      </c>
      <c r="B667" s="6" t="inlineStr">
        <is>
          <t>Foundry Mold and Coremakers</t>
        </is>
      </c>
      <c r="C667" s="7" t="n">
        <v>-3.283</v>
      </c>
      <c r="D667" s="7" t="n">
        <v>0.1104</v>
      </c>
    </row>
    <row r="668">
      <c r="A668" s="6" t="inlineStr">
        <is>
          <t>51-4072</t>
        </is>
      </c>
      <c r="B668" s="6" t="inlineStr">
        <is>
          <t>Molding, Coremaking, and Casting Machine Setters, Operators, and Tenders, Metal and Plastic</t>
        </is>
      </c>
      <c r="C668" s="7" t="n">
        <v>-2.553</v>
      </c>
      <c r="D668" s="7" t="n">
        <v>0.0175</v>
      </c>
    </row>
    <row r="669">
      <c r="A669" s="6" t="inlineStr">
        <is>
          <t>51-4081</t>
        </is>
      </c>
      <c r="B669" s="6" t="inlineStr">
        <is>
          <t>Multiple Machine Tool Setters, Operators, and Tenders, Metal and Plastic</t>
        </is>
      </c>
      <c r="C669" s="7" t="n">
        <v>-1.4549</v>
      </c>
      <c r="D669" s="7" t="n">
        <v>0.0848</v>
      </c>
    </row>
    <row r="670">
      <c r="A670" s="6" t="inlineStr">
        <is>
          <t>51-4111</t>
        </is>
      </c>
      <c r="B670" s="6" t="inlineStr">
        <is>
          <t>Tool and Die Makers</t>
        </is>
      </c>
      <c r="C670" s="7" t="n">
        <v>-1.564</v>
      </c>
      <c r="D670" s="7" t="n">
        <v>0.0227</v>
      </c>
    </row>
    <row r="671">
      <c r="A671" s="6" t="inlineStr">
        <is>
          <t>51-4121</t>
        </is>
      </c>
      <c r="B671" s="6" t="inlineStr">
        <is>
          <t>Welders, Cutters, Solderers, and Brazers</t>
        </is>
      </c>
      <c r="C671" s="7" t="n">
        <v>-2.4579</v>
      </c>
      <c r="D671" s="7" t="n">
        <v>0.0304</v>
      </c>
    </row>
    <row r="672">
      <c r="A672" s="6" t="inlineStr">
        <is>
          <t>51-4122</t>
        </is>
      </c>
      <c r="B672" s="6" t="inlineStr">
        <is>
          <t>Welding, Soldering, and Brazing Machine Setters, Operators, and Tenders</t>
        </is>
      </c>
      <c r="C672" s="7" t="n">
        <v>-2.315</v>
      </c>
      <c r="D672" s="7" t="n">
        <v>0.0339</v>
      </c>
    </row>
    <row r="673">
      <c r="A673" s="6" t="inlineStr">
        <is>
          <t>51-4191</t>
        </is>
      </c>
      <c r="B673" s="6" t="inlineStr">
        <is>
          <t>Heat Treating Equipment Setters, Operators, and Tenders, Metal and Plastic</t>
        </is>
      </c>
      <c r="C673" s="7" t="n">
        <v>-1.925</v>
      </c>
      <c r="D673" s="7" t="n">
        <v>0.0927</v>
      </c>
    </row>
    <row r="674">
      <c r="A674" s="6" t="inlineStr">
        <is>
          <t>51-4192</t>
        </is>
      </c>
      <c r="B674" s="6" t="inlineStr">
        <is>
          <t>Layout Workers, Metal and Plastic</t>
        </is>
      </c>
      <c r="C674" s="7" t="n">
        <v>-1.9232</v>
      </c>
      <c r="D674" s="7" t="n">
        <v>0.0105</v>
      </c>
    </row>
    <row r="675">
      <c r="A675" s="6" t="inlineStr">
        <is>
          <t>51-4193</t>
        </is>
      </c>
      <c r="B675" s="6" t="inlineStr">
        <is>
          <t>Plating Machine Setters, Operators, and Tenders, Metal and Plastic</t>
        </is>
      </c>
      <c r="C675" s="7" t="n">
        <v>-2.2223</v>
      </c>
      <c r="D675" s="7" t="n">
        <v>0.0272</v>
      </c>
    </row>
    <row r="676">
      <c r="A676" s="6" t="inlineStr">
        <is>
          <t>51-4194</t>
        </is>
      </c>
      <c r="B676" s="6" t="inlineStr">
        <is>
          <t>Tool Grinders, Filers, and Sharpeners</t>
        </is>
      </c>
      <c r="C676" s="7" t="n">
        <v>-2.5137</v>
      </c>
      <c r="D676" s="7" t="n">
        <v>0.0851</v>
      </c>
    </row>
    <row r="677">
      <c r="A677" s="6" t="inlineStr">
        <is>
          <t>51-5111</t>
        </is>
      </c>
      <c r="B677" s="6" t="inlineStr">
        <is>
          <t>Prepress Technicians and Workers</t>
        </is>
      </c>
      <c r="C677" s="7" t="n">
        <v>-0.0501</v>
      </c>
      <c r="D677" s="7" t="n">
        <v>0.2521</v>
      </c>
    </row>
    <row r="678">
      <c r="A678" s="6" t="inlineStr">
        <is>
          <t>51-5112</t>
        </is>
      </c>
      <c r="B678" s="6" t="inlineStr">
        <is>
          <t>Printing Press Operators</t>
        </is>
      </c>
      <c r="C678" s="7" t="n">
        <v>-1.1336</v>
      </c>
      <c r="D678" s="7" t="n">
        <v>0.0745</v>
      </c>
    </row>
    <row r="679">
      <c r="A679" s="6" t="inlineStr">
        <is>
          <t>51-5113</t>
        </is>
      </c>
      <c r="B679" s="6" t="inlineStr">
        <is>
          <t>Print Binding and Finishing Workers</t>
        </is>
      </c>
      <c r="C679" s="7" t="n">
        <v>-2.4811</v>
      </c>
      <c r="D679" s="7" t="n">
        <v>0.0119</v>
      </c>
    </row>
    <row r="680">
      <c r="A680" s="6" t="inlineStr">
        <is>
          <t>51-6011</t>
        </is>
      </c>
      <c r="B680" s="6" t="inlineStr">
        <is>
          <t>Laundry and Dry-Cleaning Workers</t>
        </is>
      </c>
      <c r="C680" s="7" t="n">
        <v>-2.6513</v>
      </c>
      <c r="D680" s="7" t="n">
        <v>0.0171</v>
      </c>
    </row>
    <row r="681">
      <c r="A681" s="6" t="inlineStr">
        <is>
          <t>51-6021</t>
        </is>
      </c>
      <c r="B681" s="6" t="inlineStr">
        <is>
          <t>Pressers, Textile, Garment, and Related Materials</t>
        </is>
      </c>
      <c r="C681" s="7" t="n">
        <v>-3.038</v>
      </c>
      <c r="D681" s="7" t="n">
        <v>0.1632</v>
      </c>
    </row>
    <row r="682">
      <c r="A682" s="6" t="inlineStr">
        <is>
          <t>51-6031</t>
        </is>
      </c>
      <c r="B682" s="6" t="inlineStr">
        <is>
          <t>Sewing Machine Operators</t>
        </is>
      </c>
      <c r="C682" s="7" t="n">
        <v>-2.6005</v>
      </c>
      <c r="D682" s="7" t="n">
        <v>0.0201</v>
      </c>
    </row>
    <row r="683">
      <c r="A683" s="6" t="inlineStr">
        <is>
          <t>51-6041</t>
        </is>
      </c>
      <c r="B683" s="6" t="inlineStr">
        <is>
          <t>Shoe and Leather Workers and Repairers</t>
        </is>
      </c>
      <c r="C683" s="7" t="n">
        <v>-2.5256</v>
      </c>
      <c r="D683" s="7" t="n">
        <v>0.0118</v>
      </c>
    </row>
    <row r="684">
      <c r="A684" s="6" t="inlineStr">
        <is>
          <t>51-6042</t>
        </is>
      </c>
      <c r="B684" s="6" t="inlineStr">
        <is>
          <t>Shoe Machine Operators and Tenders</t>
        </is>
      </c>
      <c r="C684" s="7" t="n">
        <v>-2.594</v>
      </c>
      <c r="D684" s="7" t="n">
        <v>0.0165</v>
      </c>
    </row>
    <row r="685">
      <c r="A685" s="6" t="inlineStr">
        <is>
          <t>51-6051</t>
        </is>
      </c>
      <c r="B685" s="6" t="inlineStr">
        <is>
          <t>Sewers, Hand</t>
        </is>
      </c>
      <c r="C685" s="7" t="n">
        <v>-2.3425</v>
      </c>
      <c r="D685" s="7" t="n">
        <v>0.0688</v>
      </c>
    </row>
    <row r="686">
      <c r="A686" s="6" t="inlineStr">
        <is>
          <t>51-6052</t>
        </is>
      </c>
      <c r="B686" s="6" t="inlineStr">
        <is>
          <t>Tailors, Dressmakers, and Custom Sewers</t>
        </is>
      </c>
      <c r="C686" s="7" t="n">
        <v>-2.2456</v>
      </c>
      <c r="D686" s="7" t="n">
        <v>0.06279999999999999</v>
      </c>
    </row>
    <row r="687">
      <c r="A687" s="6" t="inlineStr">
        <is>
          <t>51-6061</t>
        </is>
      </c>
      <c r="B687" s="6" t="inlineStr">
        <is>
          <t>Textile Bleaching and Dyeing Machine Operators and Tenders</t>
        </is>
      </c>
      <c r="C687" s="7" t="n">
        <v>-1.9369</v>
      </c>
      <c r="D687" s="7" t="n">
        <v>0.0107</v>
      </c>
    </row>
    <row r="688">
      <c r="A688" s="6" t="inlineStr">
        <is>
          <t>51-6062</t>
        </is>
      </c>
      <c r="B688" s="6" t="inlineStr">
        <is>
          <t>Textile Cutting Machine Setters, Operators, and Tenders</t>
        </is>
      </c>
      <c r="C688" s="7" t="n">
        <v>-1.6708</v>
      </c>
      <c r="D688" s="7" t="n">
        <v>0.0353</v>
      </c>
    </row>
    <row r="689">
      <c r="A689" s="6" t="inlineStr">
        <is>
          <t>51-6063</t>
        </is>
      </c>
      <c r="B689" s="6" t="inlineStr">
        <is>
          <t>Textile Knitting and Weaving Machine Setters, Operators, and Tenders</t>
        </is>
      </c>
      <c r="C689" s="7" t="n">
        <v>-1.8173</v>
      </c>
      <c r="D689" s="7" t="n">
        <v>0.08450000000000001</v>
      </c>
    </row>
    <row r="690">
      <c r="A690" s="6" t="inlineStr">
        <is>
          <t>51-6064</t>
        </is>
      </c>
      <c r="B690" s="6" t="inlineStr">
        <is>
          <t>Textile Winding, Twisting, and Drawing Out Machine Setters, Operators, and Tenders</t>
        </is>
      </c>
      <c r="C690" s="7" t="n">
        <v>-2.6379</v>
      </c>
      <c r="D690" s="7" t="n">
        <v>0.0251</v>
      </c>
    </row>
    <row r="691">
      <c r="A691" s="6" t="inlineStr">
        <is>
          <t>51-6091</t>
        </is>
      </c>
      <c r="B691" s="6" t="inlineStr">
        <is>
          <t>Extruding and Forming Machine Setters, Operators, and Tenders, Synthetic and Glass Fibers</t>
        </is>
      </c>
      <c r="C691" s="7" t="n">
        <v>-2.185</v>
      </c>
      <c r="D691" s="7" t="n">
        <v>0.067</v>
      </c>
    </row>
    <row r="692">
      <c r="A692" s="6" t="inlineStr">
        <is>
          <t>51-6092</t>
        </is>
      </c>
      <c r="B692" s="6" t="inlineStr">
        <is>
          <t>Fabric and Apparel Patternmakers</t>
        </is>
      </c>
      <c r="C692" s="7" t="n">
        <v>-0.2107</v>
      </c>
      <c r="D692" s="7" t="n">
        <v>0.1922</v>
      </c>
    </row>
    <row r="693">
      <c r="A693" s="6" t="inlineStr">
        <is>
          <t>51-6093</t>
        </is>
      </c>
      <c r="B693" s="6" t="inlineStr">
        <is>
          <t>Upholsterers</t>
        </is>
      </c>
      <c r="C693" s="7" t="n">
        <v>-2.2252</v>
      </c>
      <c r="D693" s="7" t="n">
        <v>0.0499</v>
      </c>
    </row>
    <row r="694">
      <c r="A694" s="6" t="inlineStr">
        <is>
          <t>51-7011</t>
        </is>
      </c>
      <c r="B694" s="6" t="inlineStr">
        <is>
          <t>Cabinetmakers and Bench Carpenters</t>
        </is>
      </c>
      <c r="C694" s="7" t="n">
        <v>-1.898</v>
      </c>
      <c r="D694" s="7" t="n">
        <v>0.1917</v>
      </c>
    </row>
    <row r="695">
      <c r="A695" s="6" t="inlineStr">
        <is>
          <t>51-7021</t>
        </is>
      </c>
      <c r="B695" s="6" t="inlineStr">
        <is>
          <t>Furniture Finishers</t>
        </is>
      </c>
      <c r="C695" s="7" t="n">
        <v>-2.567</v>
      </c>
      <c r="D695" s="7" t="n">
        <v>0.0385</v>
      </c>
    </row>
    <row r="696">
      <c r="A696" s="6" t="inlineStr">
        <is>
          <t>51-7031</t>
        </is>
      </c>
      <c r="B696" s="6" t="inlineStr">
        <is>
          <t>Model Makers, Wood</t>
        </is>
      </c>
      <c r="C696" s="7" t="n">
        <v>-1.7278</v>
      </c>
      <c r="D696" s="7" t="n">
        <v>0.09130000000000001</v>
      </c>
    </row>
    <row r="697">
      <c r="A697" s="6" t="inlineStr">
        <is>
          <t>51-7032</t>
        </is>
      </c>
      <c r="B697" s="6" t="inlineStr">
        <is>
          <t>Patternmakers, Wood</t>
        </is>
      </c>
      <c r="C697" s="7" t="n">
        <v>-1.0366</v>
      </c>
      <c r="D697" s="7" t="n">
        <v>0.1218</v>
      </c>
    </row>
    <row r="698">
      <c r="A698" s="6" t="inlineStr">
        <is>
          <t>51-7041</t>
        </is>
      </c>
      <c r="B698" s="6" t="inlineStr">
        <is>
          <t>Sawing Machine Setters, Operators, and Tenders, Wood</t>
        </is>
      </c>
      <c r="C698" s="7" t="n">
        <v>-2.5262</v>
      </c>
      <c r="D698" s="7" t="n">
        <v>0.0736</v>
      </c>
    </row>
    <row r="699">
      <c r="A699" s="6" t="inlineStr">
        <is>
          <t>51-7042</t>
        </is>
      </c>
      <c r="B699" s="6" t="inlineStr">
        <is>
          <t>Woodworking Machine Setters, Operators, and Tenders, Except Sawing</t>
        </is>
      </c>
      <c r="C699" s="7" t="n">
        <v>-2.1145</v>
      </c>
      <c r="D699" s="7" t="n">
        <v>0.1398</v>
      </c>
    </row>
    <row r="700">
      <c r="A700" s="6" t="inlineStr">
        <is>
          <t>51-8011</t>
        </is>
      </c>
      <c r="B700" s="6" t="inlineStr">
        <is>
          <t>Nuclear Power Reactor Operators</t>
        </is>
      </c>
      <c r="C700" s="7" t="n">
        <v>-0.7435</v>
      </c>
      <c r="D700" s="7" t="n">
        <v>0.3367</v>
      </c>
    </row>
    <row r="701">
      <c r="A701" s="6" t="inlineStr">
        <is>
          <t>51-8012</t>
        </is>
      </c>
      <c r="B701" s="6" t="inlineStr">
        <is>
          <t>Power Distributors and Dispatchers</t>
        </is>
      </c>
      <c r="C701" s="7" t="n">
        <v>-0.2761</v>
      </c>
      <c r="D701" s="7" t="n">
        <v>0.1715</v>
      </c>
    </row>
    <row r="702">
      <c r="A702" s="6" t="inlineStr">
        <is>
          <t>51-8013</t>
        </is>
      </c>
      <c r="B702" s="6" t="inlineStr">
        <is>
          <t>Power Plant Operators</t>
        </is>
      </c>
      <c r="C702" s="7" t="n">
        <v>-1.5067</v>
      </c>
      <c r="D702" s="7" t="n">
        <v>0.0936</v>
      </c>
    </row>
    <row r="703">
      <c r="A703" s="6" t="inlineStr">
        <is>
          <t>51-8021</t>
        </is>
      </c>
      <c r="B703" s="6" t="inlineStr">
        <is>
          <t>Stationary Engineers and Boiler Operators</t>
        </is>
      </c>
      <c r="C703" s="7" t="n">
        <v>-1.5862</v>
      </c>
      <c r="D703" s="7" t="n">
        <v>0.022</v>
      </c>
    </row>
    <row r="704">
      <c r="A704" s="6" t="inlineStr">
        <is>
          <t>51-8031</t>
        </is>
      </c>
      <c r="B704" s="6" t="inlineStr">
        <is>
          <t>Water and Wastewater Treatment Plant and System Operators</t>
        </is>
      </c>
      <c r="C704" s="7" t="n">
        <v>-1.7664</v>
      </c>
      <c r="D704" s="7" t="n">
        <v>0.2457</v>
      </c>
    </row>
    <row r="705">
      <c r="A705" s="6" t="inlineStr">
        <is>
          <t>51-8091</t>
        </is>
      </c>
      <c r="B705" s="6" t="inlineStr">
        <is>
          <t>Chemical Plant and System Operators</t>
        </is>
      </c>
      <c r="C705" s="7" t="n">
        <v>-1.454</v>
      </c>
      <c r="D705" s="7" t="n">
        <v>0.1146</v>
      </c>
    </row>
    <row r="706">
      <c r="A706" s="6" t="inlineStr">
        <is>
          <t>51-8092</t>
        </is>
      </c>
      <c r="B706" s="6" t="inlineStr">
        <is>
          <t>Gas Plant Operators</t>
        </is>
      </c>
      <c r="C706" s="7" t="n">
        <v>-1.6406</v>
      </c>
      <c r="D706" s="7" t="n">
        <v>0.0912</v>
      </c>
    </row>
    <row r="707">
      <c r="A707" s="6" t="inlineStr">
        <is>
          <t>51-8093</t>
        </is>
      </c>
      <c r="B707" s="6" t="inlineStr">
        <is>
          <t>Petroleum Pump System Operators, Refinery Operators, and Gaugers</t>
        </is>
      </c>
      <c r="C707" s="7" t="n">
        <v>-1.2654</v>
      </c>
      <c r="D707" s="7" t="n">
        <v>0.08119999999999999</v>
      </c>
    </row>
    <row r="708">
      <c r="A708" s="6" t="inlineStr">
        <is>
          <t>51-8099</t>
        </is>
      </c>
      <c r="B708" s="6" t="inlineStr">
        <is>
          <t>Plant and System Operators, All Other</t>
        </is>
      </c>
      <c r="C708" s="7" t="n">
        <v>-1.9924</v>
      </c>
      <c r="D708" s="7" t="n">
        <v>0.1413</v>
      </c>
    </row>
    <row r="709">
      <c r="A709" s="6" t="inlineStr">
        <is>
          <t>51-9011</t>
        </is>
      </c>
      <c r="B709" s="6" t="inlineStr">
        <is>
          <t>Chemical Equipment Operators and Tenders</t>
        </is>
      </c>
      <c r="C709" s="7" t="n">
        <v>-1.5287</v>
      </c>
      <c r="D709" s="7" t="n">
        <v>0.0919</v>
      </c>
    </row>
    <row r="710">
      <c r="A710" s="6" t="inlineStr">
        <is>
          <t>51-9012</t>
        </is>
      </c>
      <c r="B710" s="6" t="inlineStr">
        <is>
          <t>Separating, Filtering, Clarifying, Precipitating, and Still Machine Setters, Operators, and Tenders</t>
        </is>
      </c>
      <c r="C710" s="7" t="n">
        <v>-1.7572</v>
      </c>
      <c r="D710" s="7" t="n">
        <v>0.051</v>
      </c>
    </row>
    <row r="711">
      <c r="A711" s="6" t="inlineStr">
        <is>
          <t>51-9021</t>
        </is>
      </c>
      <c r="B711" s="6" t="inlineStr">
        <is>
          <t>Crushing, Grinding, and Polishing Machine Setters, Operators, and Tenders</t>
        </is>
      </c>
      <c r="C711" s="7" t="n">
        <v>-2.0881</v>
      </c>
      <c r="D711" s="7" t="n">
        <v>0.0785</v>
      </c>
    </row>
    <row r="712">
      <c r="A712" s="6" t="inlineStr">
        <is>
          <t>51-9022</t>
        </is>
      </c>
      <c r="B712" s="6" t="inlineStr">
        <is>
          <t>Grinding and Polishing Workers, Hand</t>
        </is>
      </c>
      <c r="C712" s="7" t="n">
        <v>-2.5844</v>
      </c>
      <c r="D712" s="7" t="n">
        <v>0.0451</v>
      </c>
    </row>
    <row r="713">
      <c r="A713" s="6" t="inlineStr">
        <is>
          <t>51-9023</t>
        </is>
      </c>
      <c r="B713" s="6" t="inlineStr">
        <is>
          <t>Mixing and Blending Machine Setters, Operators, and Tenders</t>
        </is>
      </c>
      <c r="C713" s="7" t="n">
        <v>-1.834</v>
      </c>
      <c r="D713" s="7" t="n">
        <v>0.06510000000000001</v>
      </c>
    </row>
    <row r="714">
      <c r="A714" s="6" t="inlineStr">
        <is>
          <t>51-9031</t>
        </is>
      </c>
      <c r="B714" s="6" t="inlineStr">
        <is>
          <t>Cutters and Trimmers, Hand</t>
        </is>
      </c>
      <c r="C714" s="7" t="n">
        <v>-2.777</v>
      </c>
      <c r="D714" s="7" t="n">
        <v>0.0593</v>
      </c>
    </row>
    <row r="715">
      <c r="A715" s="6" t="inlineStr">
        <is>
          <t>51-9032</t>
        </is>
      </c>
      <c r="B715" s="6" t="inlineStr">
        <is>
          <t>Cutting and Slicing Machine Setters, Operators, and Tenders</t>
        </is>
      </c>
      <c r="C715" s="7" t="n">
        <v>-2.093</v>
      </c>
      <c r="D715" s="7" t="n">
        <v>0.0896</v>
      </c>
    </row>
    <row r="716">
      <c r="A716" s="6" t="inlineStr">
        <is>
          <t>51-9041</t>
        </is>
      </c>
      <c r="B716" s="6" t="inlineStr">
        <is>
          <t>Extruding, Forming, Pressing, and Compacting Machine Setters, Operators, and Tenders</t>
        </is>
      </c>
      <c r="C716" s="7" t="n">
        <v>-2.2459</v>
      </c>
      <c r="D716" s="7" t="n">
        <v>0.0291</v>
      </c>
    </row>
    <row r="717">
      <c r="A717" s="6" t="inlineStr">
        <is>
          <t>51-9051</t>
        </is>
      </c>
      <c r="B717" s="6" t="inlineStr">
        <is>
          <t>Furnace, Kiln, Oven, Drier, and Kettle Operators and Tenders</t>
        </is>
      </c>
      <c r="C717" s="7" t="n">
        <v>-1.7098</v>
      </c>
      <c r="D717" s="7" t="n">
        <v>0.1113</v>
      </c>
    </row>
    <row r="718">
      <c r="A718" s="6" t="inlineStr">
        <is>
          <t>51-9061</t>
        </is>
      </c>
      <c r="B718" s="6" t="inlineStr">
        <is>
          <t>Inspectors, Testers, Sorters, Samplers, and Weighers</t>
        </is>
      </c>
      <c r="C718" s="7" t="n">
        <v>0.3939</v>
      </c>
      <c r="D718" s="7" t="n">
        <v>0.5222</v>
      </c>
    </row>
    <row r="719">
      <c r="A719" s="6" t="inlineStr">
        <is>
          <t>51-9071</t>
        </is>
      </c>
      <c r="B719" s="6" t="inlineStr">
        <is>
          <t>Jewelers and Precious Stone and Metal Workers</t>
        </is>
      </c>
      <c r="C719" s="7" t="n">
        <v>-1.4322</v>
      </c>
      <c r="D719" s="7" t="n">
        <v>0.0639</v>
      </c>
    </row>
    <row r="720">
      <c r="A720" s="6" t="inlineStr">
        <is>
          <t>51-9081</t>
        </is>
      </c>
      <c r="B720" s="6" t="inlineStr">
        <is>
          <t>Dental Laboratory Technicians</t>
        </is>
      </c>
      <c r="C720" s="7" t="n">
        <v>-2.2281</v>
      </c>
      <c r="D720" s="7" t="n">
        <v>0.2168</v>
      </c>
    </row>
    <row r="721">
      <c r="A721" s="6" t="inlineStr">
        <is>
          <t>51-9082</t>
        </is>
      </c>
      <c r="B721" s="6" t="inlineStr">
        <is>
          <t>Medical Appliance Technicians</t>
        </is>
      </c>
      <c r="C721" s="7" t="n">
        <v>-2.1507</v>
      </c>
      <c r="D721" s="7" t="n">
        <v>0.0533</v>
      </c>
    </row>
    <row r="722">
      <c r="A722" s="6" t="inlineStr">
        <is>
          <t>51-9083</t>
        </is>
      </c>
      <c r="B722" s="6" t="inlineStr">
        <is>
          <t>Ophthalmic Laboratory Technicians</t>
        </is>
      </c>
      <c r="C722" s="7" t="n">
        <v>-2.2352</v>
      </c>
      <c r="D722" s="7" t="n">
        <v>0.0328</v>
      </c>
    </row>
    <row r="723">
      <c r="A723" s="6" t="inlineStr">
        <is>
          <t>51-9111</t>
        </is>
      </c>
      <c r="B723" s="6" t="inlineStr">
        <is>
          <t>Packaging and Filling Machine Operators and Tenders</t>
        </is>
      </c>
      <c r="C723" s="7" t="n">
        <v>-2.7516</v>
      </c>
      <c r="D723" s="7" t="n">
        <v>0.0635</v>
      </c>
    </row>
    <row r="724">
      <c r="A724" s="6" t="inlineStr">
        <is>
          <t>51-9123</t>
        </is>
      </c>
      <c r="B724" s="6" t="inlineStr">
        <is>
          <t>Painting, Coating, and Decorating Workers</t>
        </is>
      </c>
      <c r="C724" s="7" t="n">
        <v>-2.5738</v>
      </c>
      <c r="D724" s="7" t="n">
        <v>0.07829999999999999</v>
      </c>
    </row>
    <row r="725">
      <c r="A725" s="6" t="inlineStr">
        <is>
          <t>51-9124</t>
        </is>
      </c>
      <c r="B725" s="6" t="inlineStr">
        <is>
          <t>Coating, Painting, and Spraying Machine Setters, Operators, and Tenders</t>
        </is>
      </c>
      <c r="C725" s="7" t="n">
        <v>-3.3269</v>
      </c>
      <c r="D725" s="7" t="n">
        <v>0.3487</v>
      </c>
    </row>
    <row r="726">
      <c r="A726" s="6" t="inlineStr">
        <is>
          <t>51-9141</t>
        </is>
      </c>
      <c r="B726" s="6" t="inlineStr">
        <is>
          <t>Semiconductor Processing Technicians</t>
        </is>
      </c>
      <c r="C726" s="7" t="n">
        <v>-1.4419</v>
      </c>
      <c r="D726" s="7" t="n">
        <v>0.0709</v>
      </c>
    </row>
    <row r="727">
      <c r="A727" s="6" t="inlineStr">
        <is>
          <t>51-9151</t>
        </is>
      </c>
      <c r="B727" s="6" t="inlineStr">
        <is>
          <t>Photographic Process Workers and Processing Machine Operators</t>
        </is>
      </c>
      <c r="C727" s="7" t="n">
        <v>-1.0141</v>
      </c>
      <c r="D727" s="7" t="n">
        <v>0.1301</v>
      </c>
    </row>
    <row r="728">
      <c r="A728" s="6" t="inlineStr">
        <is>
          <t>51-9161</t>
        </is>
      </c>
      <c r="B728" s="6" t="inlineStr">
        <is>
          <t>Computer Numerically Controlled Tool Operators</t>
        </is>
      </c>
      <c r="C728" s="7" t="n">
        <v>-0.0132</v>
      </c>
      <c r="D728" s="7" t="n">
        <v>1.3881</v>
      </c>
    </row>
    <row r="729">
      <c r="A729" s="6" t="inlineStr">
        <is>
          <t>51-9162</t>
        </is>
      </c>
      <c r="B729" s="6" t="inlineStr">
        <is>
          <t>Computer Numerically Controlled Tool Programmers</t>
        </is>
      </c>
      <c r="C729" s="7" t="n">
        <v>3.2924</v>
      </c>
      <c r="D729" s="7" t="n">
        <v>2.3028</v>
      </c>
    </row>
    <row r="730">
      <c r="A730" s="6" t="inlineStr">
        <is>
          <t>51-9191</t>
        </is>
      </c>
      <c r="B730" s="6" t="inlineStr">
        <is>
          <t>Adhesive Bonding Machine Operators and Tenders</t>
        </is>
      </c>
      <c r="C730" s="7" t="n">
        <v>-2.3451</v>
      </c>
      <c r="D730" s="7" t="n">
        <v>0.15</v>
      </c>
    </row>
    <row r="731">
      <c r="A731" s="6" t="inlineStr">
        <is>
          <t>51-9192</t>
        </is>
      </c>
      <c r="B731" s="6" t="inlineStr">
        <is>
          <t>Cleaning, Washing, and Metal Pickling Equipment Operators and Tenders</t>
        </is>
      </c>
      <c r="C731" s="7" t="n">
        <v>-2.1829</v>
      </c>
      <c r="D731" s="7" t="n">
        <v>0.09470000000000001</v>
      </c>
    </row>
    <row r="732">
      <c r="A732" s="6" t="inlineStr">
        <is>
          <t>51-9193</t>
        </is>
      </c>
      <c r="B732" s="6" t="inlineStr">
        <is>
          <t>Cooling and Freezing Equipment Operators and Tenders</t>
        </is>
      </c>
      <c r="C732" s="7" t="n">
        <v>-2.1365</v>
      </c>
      <c r="D732" s="7" t="n">
        <v>0.0694</v>
      </c>
    </row>
    <row r="733">
      <c r="A733" s="6" t="inlineStr">
        <is>
          <t>51-9194</t>
        </is>
      </c>
      <c r="B733" s="6" t="inlineStr">
        <is>
          <t>Etchers and Engravers</t>
        </is>
      </c>
      <c r="C733" s="7" t="n">
        <v>-2.1477</v>
      </c>
      <c r="D733" s="7" t="n">
        <v>0.0413</v>
      </c>
    </row>
    <row r="734">
      <c r="A734" s="6" t="inlineStr">
        <is>
          <t>51-9195</t>
        </is>
      </c>
      <c r="B734" s="6" t="inlineStr">
        <is>
          <t>Molders, Shapers, and Casters, Except Metal and Plastic</t>
        </is>
      </c>
      <c r="C734" s="7" t="n">
        <v>-2.4755</v>
      </c>
      <c r="D734" s="7" t="n">
        <v>0.0382</v>
      </c>
    </row>
    <row r="735">
      <c r="A735" s="6" t="inlineStr">
        <is>
          <t>51-9196</t>
        </is>
      </c>
      <c r="B735" s="6" t="inlineStr">
        <is>
          <t>Paper Goods Machine Setters, Operators, and Tenders</t>
        </is>
      </c>
      <c r="C735" s="7" t="n">
        <v>-2.5616</v>
      </c>
      <c r="D735" s="7" t="n">
        <v>0.077</v>
      </c>
    </row>
    <row r="736">
      <c r="A736" s="6" t="inlineStr">
        <is>
          <t>51-9197</t>
        </is>
      </c>
      <c r="B736" s="6" t="inlineStr">
        <is>
          <t>Tire Builders</t>
        </is>
      </c>
      <c r="C736" s="7" t="n">
        <v>-3.1526</v>
      </c>
      <c r="D736" s="7" t="n">
        <v>0.07870000000000001</v>
      </c>
    </row>
    <row r="737">
      <c r="A737" s="6" t="inlineStr">
        <is>
          <t>51-9198</t>
        </is>
      </c>
      <c r="B737" s="6" t="inlineStr">
        <is>
          <t>Helpers--Production Workers</t>
        </is>
      </c>
      <c r="C737" s="7" t="n">
        <v>-2.7345</v>
      </c>
      <c r="D737" s="7" t="n">
        <v>0.0551</v>
      </c>
    </row>
    <row r="738">
      <c r="A738" s="6" t="inlineStr">
        <is>
          <t>53-1041</t>
        </is>
      </c>
      <c r="B738" s="6" t="inlineStr">
        <is>
          <t>Aircraft Cargo Handling Supervisors</t>
        </is>
      </c>
      <c r="C738" s="7" t="n">
        <v>-1.5917</v>
      </c>
      <c r="D738" s="7" t="n">
        <v>0.2139</v>
      </c>
    </row>
    <row r="739">
      <c r="A739" s="6" t="inlineStr">
        <is>
          <t>53-2011</t>
        </is>
      </c>
      <c r="B739" s="6" t="inlineStr">
        <is>
          <t>Airline Pilots, Copilots, and Flight Engineers</t>
        </is>
      </c>
      <c r="C739" s="7" t="n">
        <v>-0.6587</v>
      </c>
      <c r="D739" s="7" t="n">
        <v>0.0467</v>
      </c>
    </row>
    <row r="740">
      <c r="A740" s="6" t="inlineStr">
        <is>
          <t>53-2012</t>
        </is>
      </c>
      <c r="B740" s="6" t="inlineStr">
        <is>
          <t>Commercial Pilots</t>
        </is>
      </c>
      <c r="C740" s="7" t="n">
        <v>-0.9344</v>
      </c>
      <c r="D740" s="7" t="n">
        <v>0.1054</v>
      </c>
    </row>
    <row r="741">
      <c r="A741" s="6" t="inlineStr">
        <is>
          <t>53-2021</t>
        </is>
      </c>
      <c r="B741" s="6" t="inlineStr">
        <is>
          <t>Air Traffic Controllers</t>
        </is>
      </c>
      <c r="C741" s="7" t="n">
        <v>0.1698</v>
      </c>
      <c r="D741" s="7" t="n">
        <v>0.3444</v>
      </c>
    </row>
    <row r="742">
      <c r="A742" s="6" t="inlineStr">
        <is>
          <t>53-2022</t>
        </is>
      </c>
      <c r="B742" s="6" t="inlineStr">
        <is>
          <t>Airfield Operations Specialists</t>
        </is>
      </c>
      <c r="C742" s="7" t="n">
        <v>0.1483</v>
      </c>
      <c r="D742" s="7" t="n">
        <v>0.1737</v>
      </c>
    </row>
    <row r="743">
      <c r="A743" s="6" t="inlineStr">
        <is>
          <t>53-2031</t>
        </is>
      </c>
      <c r="B743" s="6" t="inlineStr">
        <is>
          <t>Flight Attendants</t>
        </is>
      </c>
      <c r="C743" s="7" t="n">
        <v>-0.8142</v>
      </c>
      <c r="D743" s="7" t="n">
        <v>0.6444</v>
      </c>
    </row>
    <row r="744">
      <c r="A744" s="6" t="inlineStr">
        <is>
          <t>53-3011</t>
        </is>
      </c>
      <c r="B744" s="6" t="inlineStr">
        <is>
          <t>Ambulance Drivers and Attendants, Except Emergency Medical Technicians</t>
        </is>
      </c>
      <c r="C744" s="7" t="n">
        <v>-2.482</v>
      </c>
      <c r="D744" s="7" t="n">
        <v>0.0197</v>
      </c>
    </row>
    <row r="745">
      <c r="A745" s="6" t="inlineStr">
        <is>
          <t>53-3031</t>
        </is>
      </c>
      <c r="B745" s="6" t="inlineStr">
        <is>
          <t>Driver/Sales Workers</t>
        </is>
      </c>
      <c r="C745" s="7" t="n">
        <v>-1.5328</v>
      </c>
      <c r="D745" s="7" t="n">
        <v>0.1197</v>
      </c>
    </row>
    <row r="746">
      <c r="A746" s="6" t="inlineStr">
        <is>
          <t>53-3032</t>
        </is>
      </c>
      <c r="B746" s="6" t="inlineStr">
        <is>
          <t>Heavy and Tractor-Trailer Truck Drivers</t>
        </is>
      </c>
      <c r="C746" s="7" t="n">
        <v>-0.9435</v>
      </c>
      <c r="D746" s="7" t="n">
        <v>0.1665</v>
      </c>
    </row>
    <row r="747">
      <c r="A747" s="6" t="inlineStr">
        <is>
          <t>53-3033</t>
        </is>
      </c>
      <c r="B747" s="6" t="inlineStr">
        <is>
          <t>Light Truck Drivers</t>
        </is>
      </c>
      <c r="C747" s="7" t="n">
        <v>-1.0785</v>
      </c>
      <c r="D747" s="7" t="n">
        <v>0.1911</v>
      </c>
    </row>
    <row r="748">
      <c r="A748" s="6" t="inlineStr">
        <is>
          <t>53-3051</t>
        </is>
      </c>
      <c r="B748" s="6" t="inlineStr">
        <is>
          <t>Bus Drivers, School</t>
        </is>
      </c>
      <c r="C748" s="7" t="n">
        <v>-1.0185</v>
      </c>
      <c r="D748" s="7" t="n">
        <v>0.2145</v>
      </c>
    </row>
    <row r="749">
      <c r="A749" s="6" t="inlineStr">
        <is>
          <t>53-3052</t>
        </is>
      </c>
      <c r="B749" s="6" t="inlineStr">
        <is>
          <t>Bus Drivers, Transit and Intercity</t>
        </is>
      </c>
      <c r="C749" s="7" t="n">
        <v>-1.1846</v>
      </c>
      <c r="D749" s="7" t="n">
        <v>0.374</v>
      </c>
    </row>
    <row r="750">
      <c r="A750" s="6" t="inlineStr">
        <is>
          <t>53-3053</t>
        </is>
      </c>
      <c r="B750" s="6" t="inlineStr">
        <is>
          <t>Shuttle Drivers and Chauffeurs</t>
        </is>
      </c>
      <c r="C750" s="7" t="n">
        <v>-1.2044</v>
      </c>
      <c r="D750" s="7" t="n">
        <v>0.1638</v>
      </c>
    </row>
    <row r="751">
      <c r="A751" s="6" t="inlineStr">
        <is>
          <t>53-3054</t>
        </is>
      </c>
      <c r="B751" s="6" t="inlineStr">
        <is>
          <t>Taxi Drivers</t>
        </is>
      </c>
      <c r="C751" s="7" t="n">
        <v>-0.8197</v>
      </c>
      <c r="D751" s="7" t="n">
        <v>0.2731</v>
      </c>
    </row>
    <row r="752">
      <c r="A752" s="6" t="inlineStr">
        <is>
          <t>53-4011</t>
        </is>
      </c>
      <c r="B752" s="6" t="inlineStr">
        <is>
          <t>Locomotive Engineers</t>
        </is>
      </c>
      <c r="C752" s="7" t="n">
        <v>-1.0456</v>
      </c>
      <c r="D752" s="7" t="n">
        <v>0.0357</v>
      </c>
    </row>
    <row r="753">
      <c r="A753" s="6" t="inlineStr">
        <is>
          <t>53-4013</t>
        </is>
      </c>
      <c r="B753" s="6" t="inlineStr">
        <is>
          <t>Rail Yard Engineers, Dinkey Operators, and Hostlers</t>
        </is>
      </c>
      <c r="C753" s="7" t="n">
        <v>-1.4576</v>
      </c>
      <c r="D753" s="7" t="n">
        <v>0.104</v>
      </c>
    </row>
    <row r="754">
      <c r="A754" s="6" t="inlineStr">
        <is>
          <t>53-4022</t>
        </is>
      </c>
      <c r="B754" s="6" t="inlineStr">
        <is>
          <t>Railroad Brake, Signal, and Switch Operators and Locomotive Firers</t>
        </is>
      </c>
      <c r="C754" s="7" t="n">
        <v>-2.4393</v>
      </c>
      <c r="D754" s="7" t="n">
        <v>0.3478</v>
      </c>
    </row>
    <row r="755">
      <c r="A755" s="6" t="inlineStr">
        <is>
          <t>53-4031</t>
        </is>
      </c>
      <c r="B755" s="6" t="inlineStr">
        <is>
          <t>Railroad Conductors and Yardmasters</t>
        </is>
      </c>
      <c r="C755" s="7" t="n">
        <v>-0.6351</v>
      </c>
      <c r="D755" s="7" t="n">
        <v>0.0179</v>
      </c>
    </row>
    <row r="756">
      <c r="A756" s="6" t="inlineStr">
        <is>
          <t>53-4041</t>
        </is>
      </c>
      <c r="B756" s="6" t="inlineStr">
        <is>
          <t>Subway and Streetcar Operators</t>
        </is>
      </c>
      <c r="C756" s="7" t="n">
        <v>-0.5167</v>
      </c>
      <c r="D756" s="7" t="n">
        <v>0.1185</v>
      </c>
    </row>
    <row r="757">
      <c r="A757" s="6" t="inlineStr">
        <is>
          <t>53-5011</t>
        </is>
      </c>
      <c r="B757" s="6" t="inlineStr">
        <is>
          <t>Sailors and Marine Oilers</t>
        </is>
      </c>
      <c r="C757" s="7" t="n">
        <v>-2.6487</v>
      </c>
      <c r="D757" s="7" t="n">
        <v>0.0424</v>
      </c>
    </row>
    <row r="758">
      <c r="A758" s="6" t="inlineStr">
        <is>
          <t>53-5021</t>
        </is>
      </c>
      <c r="B758" s="6" t="inlineStr">
        <is>
          <t>Captains, Mates, and Pilots of Water Vessels</t>
        </is>
      </c>
      <c r="C758" s="7" t="n">
        <v>-0.8052</v>
      </c>
      <c r="D758" s="7" t="n">
        <v>0.0064</v>
      </c>
    </row>
    <row r="759">
      <c r="A759" s="6" t="inlineStr">
        <is>
          <t>53-5022</t>
        </is>
      </c>
      <c r="B759" s="6" t="inlineStr">
        <is>
          <t>Motorboat Operators</t>
        </is>
      </c>
      <c r="C759" s="7" t="n">
        <v>-2.6634</v>
      </c>
      <c r="D759" s="7" t="n">
        <v>0.1203</v>
      </c>
    </row>
    <row r="760">
      <c r="A760" s="6" t="inlineStr">
        <is>
          <t>53-5031</t>
        </is>
      </c>
      <c r="B760" s="6" t="inlineStr">
        <is>
          <t>Ship Engineers</t>
        </is>
      </c>
      <c r="C760" s="7" t="n">
        <v>-1.1507</v>
      </c>
      <c r="D760" s="7" t="n">
        <v>0.366</v>
      </c>
    </row>
    <row r="761">
      <c r="A761" s="6" t="inlineStr">
        <is>
          <t>53-6011</t>
        </is>
      </c>
      <c r="B761" s="6" t="inlineStr">
        <is>
          <t>Bridge and Lock Tenders</t>
        </is>
      </c>
      <c r="C761" s="7" t="n">
        <v>-1.2929</v>
      </c>
      <c r="D761" s="7" t="n">
        <v>0.3287</v>
      </c>
    </row>
    <row r="762">
      <c r="A762" s="6" t="inlineStr">
        <is>
          <t>53-6021</t>
        </is>
      </c>
      <c r="B762" s="6" t="inlineStr">
        <is>
          <t>Parking Attendants</t>
        </is>
      </c>
      <c r="C762" s="7" t="n">
        <v>-1.6787</v>
      </c>
      <c r="D762" s="7" t="n">
        <v>0.3524</v>
      </c>
    </row>
    <row r="763">
      <c r="A763" s="6" t="inlineStr">
        <is>
          <t>53-6031</t>
        </is>
      </c>
      <c r="B763" s="6" t="inlineStr">
        <is>
          <t>Automotive and Watercraft Service Attendants</t>
        </is>
      </c>
      <c r="C763" s="7" t="n">
        <v>-2.5337</v>
      </c>
      <c r="D763" s="7" t="n">
        <v>0.0189</v>
      </c>
    </row>
    <row r="764">
      <c r="A764" s="6" t="inlineStr">
        <is>
          <t>53-6041</t>
        </is>
      </c>
      <c r="B764" s="6" t="inlineStr">
        <is>
          <t>Traffic Technicians</t>
        </is>
      </c>
      <c r="C764" s="7" t="n">
        <v>0.4871</v>
      </c>
      <c r="D764" s="7" t="n">
        <v>0.2199</v>
      </c>
    </row>
    <row r="765">
      <c r="A765" s="6" t="inlineStr">
        <is>
          <t>53-6051</t>
        </is>
      </c>
      <c r="B765" s="6" t="inlineStr">
        <is>
          <t>Transportation Inspectors</t>
        </is>
      </c>
      <c r="C765" s="7" t="n">
        <v>-0.2952</v>
      </c>
      <c r="D765" s="7" t="n">
        <v>0.08649999999999999</v>
      </c>
    </row>
    <row r="766">
      <c r="A766" s="6" t="inlineStr">
        <is>
          <t>53-6061</t>
        </is>
      </c>
      <c r="B766" s="6" t="inlineStr">
        <is>
          <t>Passenger Attendants</t>
        </is>
      </c>
      <c r="C766" s="7" t="n">
        <v>0.0562</v>
      </c>
      <c r="D766" s="7" t="n">
        <v>2.0453</v>
      </c>
    </row>
    <row r="767">
      <c r="A767" s="6" t="inlineStr">
        <is>
          <t>53-7011</t>
        </is>
      </c>
      <c r="B767" s="6" t="inlineStr">
        <is>
          <t>Conveyor Operators and Tenders</t>
        </is>
      </c>
      <c r="C767" s="7" t="n">
        <v>-2.0577</v>
      </c>
      <c r="D767" s="7" t="n">
        <v>0.0378</v>
      </c>
    </row>
    <row r="768">
      <c r="A768" s="6" t="inlineStr">
        <is>
          <t>53-7021</t>
        </is>
      </c>
      <c r="B768" s="6" t="inlineStr">
        <is>
          <t>Crane and Tower Operators</t>
        </is>
      </c>
      <c r="C768" s="7" t="n">
        <v>-2.3382</v>
      </c>
      <c r="D768" s="7" t="n">
        <v>0.0397</v>
      </c>
    </row>
    <row r="769">
      <c r="A769" s="6" t="inlineStr">
        <is>
          <t>53-7031</t>
        </is>
      </c>
      <c r="B769" s="6" t="inlineStr">
        <is>
          <t>Dredge Operators</t>
        </is>
      </c>
      <c r="C769" s="7" t="n">
        <v>-2.9918</v>
      </c>
      <c r="D769" s="7" t="n">
        <v>0.09130000000000001</v>
      </c>
    </row>
    <row r="770">
      <c r="A770" s="6" t="inlineStr">
        <is>
          <t>53-7041</t>
        </is>
      </c>
      <c r="B770" s="6" t="inlineStr">
        <is>
          <t>Hoist and Winch Operators</t>
        </is>
      </c>
      <c r="C770" s="7" t="n">
        <v>-2.4958</v>
      </c>
      <c r="D770" s="7" t="n">
        <v>0.054</v>
      </c>
    </row>
    <row r="771">
      <c r="A771" s="6" t="inlineStr">
        <is>
          <t>53-7051</t>
        </is>
      </c>
      <c r="B771" s="6" t="inlineStr">
        <is>
          <t>Industrial Truck and Tractor Operators</t>
        </is>
      </c>
      <c r="C771" s="7" t="n">
        <v>-2.975</v>
      </c>
      <c r="D771" s="7" t="n">
        <v>0.0534</v>
      </c>
    </row>
    <row r="772">
      <c r="A772" s="6" t="inlineStr">
        <is>
          <t>53-7061</t>
        </is>
      </c>
      <c r="B772" s="6" t="inlineStr">
        <is>
          <t>Cleaners of Vehicles and Equipment</t>
        </is>
      </c>
      <c r="C772" s="7" t="n">
        <v>-2.9422</v>
      </c>
      <c r="D772" s="7" t="n">
        <v>0.0684</v>
      </c>
    </row>
    <row r="773">
      <c r="A773" s="6" t="inlineStr">
        <is>
          <t>53-7062</t>
        </is>
      </c>
      <c r="B773" s="6" t="inlineStr">
        <is>
          <t>Laborers and Freight, Stock, and Material Movers, Hand</t>
        </is>
      </c>
      <c r="C773" s="7" t="n">
        <v>-2.7243</v>
      </c>
      <c r="D773" s="7" t="n">
        <v>0.1353</v>
      </c>
    </row>
    <row r="774">
      <c r="A774" s="6" t="inlineStr">
        <is>
          <t>53-7063</t>
        </is>
      </c>
      <c r="B774" s="6" t="inlineStr">
        <is>
          <t>Machine Feeders and Offbearers</t>
        </is>
      </c>
      <c r="C774" s="7" t="n">
        <v>-2.2639</v>
      </c>
      <c r="D774" s="7" t="n">
        <v>0.1082</v>
      </c>
    </row>
    <row r="775">
      <c r="A775" s="6" t="inlineStr">
        <is>
          <t>53-7064</t>
        </is>
      </c>
      <c r="B775" s="6" t="inlineStr">
        <is>
          <t>Packers and Packagers, Hand</t>
        </is>
      </c>
      <c r="C775" s="7" t="n">
        <v>-2.2173</v>
      </c>
      <c r="D775" s="7" t="n">
        <v>0.1252</v>
      </c>
    </row>
    <row r="776">
      <c r="A776" s="6" t="inlineStr">
        <is>
          <t>53-7065</t>
        </is>
      </c>
      <c r="B776" s="6" t="inlineStr">
        <is>
          <t>Stockers and Order Fillers</t>
        </is>
      </c>
      <c r="C776" s="7" t="n">
        <v>-1.4293</v>
      </c>
      <c r="D776" s="7" t="n">
        <v>0.0172</v>
      </c>
    </row>
    <row r="777">
      <c r="A777" s="6" t="inlineStr">
        <is>
          <t>53-7071</t>
        </is>
      </c>
      <c r="B777" s="6" t="inlineStr">
        <is>
          <t>Gas Compressor and Gas Pumping Station Operators</t>
        </is>
      </c>
      <c r="C777" s="7" t="n">
        <v>-1.3843</v>
      </c>
      <c r="D777" s="7" t="n">
        <v>0.3696</v>
      </c>
    </row>
    <row r="778">
      <c r="A778" s="6" t="inlineStr">
        <is>
          <t>53-7072</t>
        </is>
      </c>
      <c r="B778" s="6" t="inlineStr">
        <is>
          <t>Pump Operators, Except Wellhead Pumpers</t>
        </is>
      </c>
      <c r="C778" s="7" t="n">
        <v>-1.2978</v>
      </c>
      <c r="D778" s="7" t="n">
        <v>0.0525</v>
      </c>
    </row>
    <row r="779">
      <c r="A779" s="6" t="inlineStr">
        <is>
          <t>53-7073</t>
        </is>
      </c>
      <c r="B779" s="6" t="inlineStr">
        <is>
          <t>Wellhead Pumpers</t>
        </is>
      </c>
      <c r="C779" s="7" t="n">
        <v>-2.7325</v>
      </c>
      <c r="D779" s="7" t="n">
        <v>0.0712</v>
      </c>
    </row>
    <row r="780">
      <c r="A780" s="6" t="inlineStr">
        <is>
          <t>53-7081</t>
        </is>
      </c>
      <c r="B780" s="6" t="inlineStr">
        <is>
          <t>Refuse and Recyclable Material Collectors</t>
        </is>
      </c>
      <c r="C780" s="7" t="n">
        <v>-2.0221</v>
      </c>
      <c r="D780" s="7" t="n">
        <v>0.1384</v>
      </c>
    </row>
    <row r="781">
      <c r="A781" s="6" t="inlineStr">
        <is>
          <t>53-7121</t>
        </is>
      </c>
      <c r="B781" s="6" t="inlineStr">
        <is>
          <t>Tank Car, Truck, and Ship Loaders</t>
        </is>
      </c>
      <c r="C781" s="7" t="n">
        <v>-2.0472</v>
      </c>
      <c r="D781" s="7" t="n">
        <v>0.1423</v>
      </c>
    </row>
    <row r="784">
      <c r="A784" s="8" t="inlineStr">
        <is>
          <t>SOC MAJOR GROUP ROLLUP (simple mean of the real occupation scores above, computed once)</t>
        </is>
      </c>
    </row>
    <row r="785">
      <c r="A785" s="5" t="inlineStr">
        <is>
          <t>SOC Major</t>
        </is>
      </c>
      <c r="B785" s="5" t="inlineStr">
        <is>
          <t>Group Name</t>
        </is>
      </c>
      <c r="C785" s="5" t="inlineStr">
        <is>
          <t>Mean Score</t>
        </is>
      </c>
      <c r="D785" s="5" t="inlineStr">
        <is>
          <t>Percentile</t>
        </is>
      </c>
    </row>
    <row r="786">
      <c r="A786" s="6" t="inlineStr">
        <is>
          <t>15</t>
        </is>
      </c>
      <c r="B786" s="6" t="inlineStr">
        <is>
          <t>Computer &amp; Mathematical</t>
        </is>
      </c>
      <c r="C786" s="7" t="n">
        <v>4.2416</v>
      </c>
      <c r="D786" s="9" t="n">
        <v>0.9769</v>
      </c>
    </row>
    <row r="787">
      <c r="A787" s="6" t="inlineStr">
        <is>
          <t>43</t>
        </is>
      </c>
      <c r="B787" s="6" t="inlineStr">
        <is>
          <t>Office &amp; Administrative Support</t>
        </is>
      </c>
      <c r="C787" s="7" t="n">
        <v>2.5248</v>
      </c>
      <c r="D787" s="9" t="n">
        <v>0.8548</v>
      </c>
    </row>
    <row r="788">
      <c r="A788" s="6" t="inlineStr">
        <is>
          <t>13</t>
        </is>
      </c>
      <c r="B788" s="6" t="inlineStr">
        <is>
          <t>Business &amp; Financial Operations</t>
        </is>
      </c>
      <c r="C788" s="7" t="n">
        <v>2.053</v>
      </c>
      <c r="D788" s="9" t="n">
        <v>0.8008</v>
      </c>
    </row>
    <row r="789">
      <c r="A789" s="6" t="inlineStr">
        <is>
          <t>41</t>
        </is>
      </c>
      <c r="B789" s="6" t="inlineStr">
        <is>
          <t>Sales &amp; Related</t>
        </is>
      </c>
      <c r="C789" s="7" t="n">
        <v>1.7244</v>
      </c>
      <c r="D789" s="9" t="n">
        <v>0.7506</v>
      </c>
    </row>
    <row r="790">
      <c r="A790" s="6" t="inlineStr">
        <is>
          <t>19</t>
        </is>
      </c>
      <c r="B790" s="6" t="inlineStr">
        <is>
          <t>Life, Physical &amp; Social Science</t>
        </is>
      </c>
      <c r="C790" s="7" t="n">
        <v>1.6898</v>
      </c>
      <c r="D790" s="9" t="n">
        <v>0.7429</v>
      </c>
    </row>
    <row r="791">
      <c r="A791" s="6" t="inlineStr">
        <is>
          <t>25</t>
        </is>
      </c>
      <c r="B791" s="6" t="inlineStr">
        <is>
          <t>Educational Instruction &amp; Library</t>
        </is>
      </c>
      <c r="C791" s="7" t="n">
        <v>1.667</v>
      </c>
      <c r="D791" s="9" t="n">
        <v>0.7365</v>
      </c>
    </row>
    <row r="792">
      <c r="A792" s="6" t="inlineStr">
        <is>
          <t>17</t>
        </is>
      </c>
      <c r="B792" s="6" t="inlineStr">
        <is>
          <t>Architecture &amp; Engineering</t>
        </is>
      </c>
      <c r="C792" s="7" t="n">
        <v>1.5703</v>
      </c>
      <c r="D792" s="9" t="n">
        <v>0.7249</v>
      </c>
    </row>
    <row r="793">
      <c r="A793" s="6" t="inlineStr">
        <is>
          <t>23</t>
        </is>
      </c>
      <c r="B793" s="6" t="inlineStr">
        <is>
          <t>Legal</t>
        </is>
      </c>
      <c r="C793" s="7" t="n">
        <v>1.5672</v>
      </c>
      <c r="D793" s="9" t="n">
        <v>0.7237</v>
      </c>
    </row>
    <row r="794">
      <c r="A794" s="6" t="inlineStr">
        <is>
          <t>11</t>
        </is>
      </c>
      <c r="B794" s="6" t="inlineStr">
        <is>
          <t>Management</t>
        </is>
      </c>
      <c r="C794" s="7" t="n">
        <v>1.2691</v>
      </c>
      <c r="D794" s="9" t="n">
        <v>0.6838</v>
      </c>
    </row>
    <row r="795">
      <c r="A795" s="6" t="inlineStr">
        <is>
          <t>21</t>
        </is>
      </c>
      <c r="B795" s="6" t="inlineStr">
        <is>
          <t>Community &amp; Social Service</t>
        </is>
      </c>
      <c r="C795" s="7" t="n">
        <v>0.9098000000000001</v>
      </c>
      <c r="D795" s="9" t="n">
        <v>0.6478</v>
      </c>
    </row>
    <row r="796">
      <c r="A796" s="6" t="inlineStr">
        <is>
          <t>27</t>
        </is>
      </c>
      <c r="B796" s="6" t="inlineStr">
        <is>
          <t>Arts, Design, Entertainment, Sports &amp; Media</t>
        </is>
      </c>
      <c r="C796" s="7" t="n">
        <v>0.9068000000000001</v>
      </c>
      <c r="D796" s="9" t="n">
        <v>0.6478</v>
      </c>
    </row>
    <row r="797">
      <c r="A797" s="6" t="inlineStr">
        <is>
          <t>29</t>
        </is>
      </c>
      <c r="B797" s="6" t="inlineStr">
        <is>
          <t>Healthcare Practitioners &amp; Technical</t>
        </is>
      </c>
      <c r="C797" s="7" t="n">
        <v>-0.3636</v>
      </c>
      <c r="D797" s="9" t="n">
        <v>0.4936</v>
      </c>
    </row>
    <row r="798">
      <c r="A798" s="6" t="inlineStr">
        <is>
          <t>33</t>
        </is>
      </c>
      <c r="B798" s="6" t="inlineStr">
        <is>
          <t>Protective Service</t>
        </is>
      </c>
      <c r="C798" s="7" t="n">
        <v>-0.6717</v>
      </c>
      <c r="D798" s="9" t="n">
        <v>0.4499</v>
      </c>
    </row>
    <row r="799">
      <c r="A799" s="6" t="inlineStr">
        <is>
          <t>39</t>
        </is>
      </c>
      <c r="B799" s="6" t="inlineStr">
        <is>
          <t>Personal Care &amp; Service</t>
        </is>
      </c>
      <c r="C799" s="7" t="n">
        <v>-0.8642</v>
      </c>
      <c r="D799" s="9" t="n">
        <v>0.419</v>
      </c>
    </row>
    <row r="800">
      <c r="A800" s="6" t="inlineStr">
        <is>
          <t>31</t>
        </is>
      </c>
      <c r="B800" s="6" t="inlineStr">
        <is>
          <t>Healthcare Support</t>
        </is>
      </c>
      <c r="C800" s="7" t="n">
        <v>-1.4019</v>
      </c>
      <c r="D800" s="9" t="n">
        <v>0.3406</v>
      </c>
    </row>
    <row r="801">
      <c r="A801" s="6" t="inlineStr">
        <is>
          <t>35</t>
        </is>
      </c>
      <c r="B801" s="6" t="inlineStr">
        <is>
          <t>Food Preparation &amp; Serving</t>
        </is>
      </c>
      <c r="C801" s="7" t="n">
        <v>-1.475</v>
      </c>
      <c r="D801" s="9" t="n">
        <v>0.3213</v>
      </c>
    </row>
    <row r="802">
      <c r="A802" s="6" t="inlineStr">
        <is>
          <t>53</t>
        </is>
      </c>
      <c r="B802" s="6" t="inlineStr">
        <is>
          <t>Transportation &amp; Material Moving</t>
        </is>
      </c>
      <c r="C802" s="7" t="n">
        <v>-1.511</v>
      </c>
      <c r="D802" s="9" t="n">
        <v>0.3162</v>
      </c>
    </row>
    <row r="803">
      <c r="A803" s="6" t="inlineStr">
        <is>
          <t>49</t>
        </is>
      </c>
      <c r="B803" s="6" t="inlineStr">
        <is>
          <t>Installation, Maintenance &amp; Repair</t>
        </is>
      </c>
      <c r="C803" s="7" t="n">
        <v>-1.8094</v>
      </c>
      <c r="D803" s="9" t="n">
        <v>0.2686</v>
      </c>
    </row>
    <row r="804">
      <c r="A804" s="6" t="inlineStr">
        <is>
          <t>51</t>
        </is>
      </c>
      <c r="B804" s="6" t="inlineStr">
        <is>
          <t>Production</t>
        </is>
      </c>
      <c r="C804" s="7" t="n">
        <v>-1.9204</v>
      </c>
      <c r="D804" s="9" t="n">
        <v>0.2532</v>
      </c>
    </row>
    <row r="805">
      <c r="A805" s="6" t="inlineStr">
        <is>
          <t>37</t>
        </is>
      </c>
      <c r="B805" s="6" t="inlineStr">
        <is>
          <t>Building &amp; Grounds Cleaning &amp; Maintenance</t>
        </is>
      </c>
      <c r="C805" s="7" t="n">
        <v>-1.9753</v>
      </c>
      <c r="D805" s="9" t="n">
        <v>0.2455</v>
      </c>
    </row>
    <row r="806">
      <c r="A806" s="6" t="inlineStr">
        <is>
          <t>45</t>
        </is>
      </c>
      <c r="B806" s="6" t="inlineStr">
        <is>
          <t>Farming, Fishing &amp; Forestry</t>
        </is>
      </c>
      <c r="C806" s="7" t="n">
        <v>-2.2031</v>
      </c>
      <c r="D806" s="9" t="n">
        <v>0.1954</v>
      </c>
    </row>
    <row r="807">
      <c r="A807" s="6" t="inlineStr">
        <is>
          <t>47</t>
        </is>
      </c>
      <c r="B807" s="6" t="inlineStr">
        <is>
          <t>Construction &amp; Extraction</t>
        </is>
      </c>
      <c r="C807" s="7" t="n">
        <v>-2.6338</v>
      </c>
      <c r="D807" s="9" t="n">
        <v>0.0925</v>
      </c>
    </row>
  </sheetData>
  <mergeCells count="2">
    <mergeCell ref="A1:D1"/>
    <mergeCell ref="A784:D78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6" customWidth="1" min="2" max="2"/>
    <col width="30" customWidth="1" min="3" max="3"/>
    <col width="30" customWidth="1" min="4" max="4"/>
    <col width="24" customWidth="1" min="5" max="5"/>
    <col width="55" customWidth="1" min="6" max="6"/>
  </cols>
  <sheetData>
    <row r="1" ht="28" customHeight="1">
      <c r="A1" t="inlineStr">
        <is>
          <t>VALUES ONLY. Every GICS Sub-Industry mapped to one workforce archetype. Default = Industry Group; every deviation from the group default is a named override with its stated reason, visible here, not hidden.</t>
        </is>
      </c>
    </row>
    <row r="3">
      <c r="A3" s="5" t="inlineStr">
        <is>
          <t>Sub-Ind Code</t>
        </is>
      </c>
      <c r="B3" s="5" t="inlineStr">
        <is>
          <t>Sub-Industry</t>
        </is>
      </c>
      <c r="C3" s="5" t="inlineStr">
        <is>
          <t>Industry Group</t>
        </is>
      </c>
      <c r="D3" s="5" t="inlineStr">
        <is>
          <t>Sector</t>
        </is>
      </c>
      <c r="E3" s="5" t="inlineStr">
        <is>
          <t>Archetype</t>
        </is>
      </c>
      <c r="F3" s="5" t="inlineStr">
        <is>
          <t>Basis</t>
        </is>
      </c>
    </row>
    <row r="4">
      <c r="A4" s="10" t="n">
        <v>10101010</v>
      </c>
      <c r="B4" s="10" t="inlineStr">
        <is>
          <t>Oil &amp; Gas Drilling</t>
        </is>
      </c>
      <c r="C4" s="10" t="inlineStr">
        <is>
          <t>Energy</t>
        </is>
      </c>
      <c r="D4" s="10" t="inlineStr">
        <is>
          <t>Energy</t>
        </is>
      </c>
      <c r="E4" s="11" t="inlineStr">
        <is>
          <t>A12_Energy</t>
        </is>
      </c>
      <c r="F4" s="10" t="inlineStr">
        <is>
          <t>Industry Group default</t>
        </is>
      </c>
    </row>
    <row r="5">
      <c r="A5" s="10" t="n">
        <v>10101020</v>
      </c>
      <c r="B5" s="10" t="inlineStr">
        <is>
          <t>Oil &amp; Gas Equipment &amp; Services</t>
        </is>
      </c>
      <c r="C5" s="10" t="inlineStr">
        <is>
          <t>Energy</t>
        </is>
      </c>
      <c r="D5" s="10" t="inlineStr">
        <is>
          <t>Energy</t>
        </is>
      </c>
      <c r="E5" s="11" t="inlineStr">
        <is>
          <t>A12_Energy</t>
        </is>
      </c>
      <c r="F5" s="10" t="inlineStr">
        <is>
          <t>Industry Group default</t>
        </is>
      </c>
    </row>
    <row r="6">
      <c r="A6" s="10" t="n">
        <v>10102010</v>
      </c>
      <c r="B6" s="10" t="inlineStr">
        <is>
          <t>Integrated Oil &amp; Gas</t>
        </is>
      </c>
      <c r="C6" s="10" t="inlineStr">
        <is>
          <t>Energy</t>
        </is>
      </c>
      <c r="D6" s="10" t="inlineStr">
        <is>
          <t>Energy</t>
        </is>
      </c>
      <c r="E6" s="11" t="inlineStr">
        <is>
          <t>A12_Energy</t>
        </is>
      </c>
      <c r="F6" s="10" t="inlineStr">
        <is>
          <t>Industry Group default</t>
        </is>
      </c>
    </row>
    <row r="7">
      <c r="A7" s="10" t="n">
        <v>10102020</v>
      </c>
      <c r="B7" s="10" t="inlineStr">
        <is>
          <t>Oil &amp; Gas Exploration &amp; Production</t>
        </is>
      </c>
      <c r="C7" s="10" t="inlineStr">
        <is>
          <t>Energy</t>
        </is>
      </c>
      <c r="D7" s="10" t="inlineStr">
        <is>
          <t>Energy</t>
        </is>
      </c>
      <c r="E7" s="11" t="inlineStr">
        <is>
          <t>A12_Energy</t>
        </is>
      </c>
      <c r="F7" s="10" t="inlineStr">
        <is>
          <t>Industry Group default</t>
        </is>
      </c>
    </row>
    <row r="8">
      <c r="A8" s="10" t="n">
        <v>10102030</v>
      </c>
      <c r="B8" s="10" t="inlineStr">
        <is>
          <t>Oil &amp; Gas Refining &amp; Marketing</t>
        </is>
      </c>
      <c r="C8" s="10" t="inlineStr">
        <is>
          <t>Energy</t>
        </is>
      </c>
      <c r="D8" s="10" t="inlineStr">
        <is>
          <t>Energy</t>
        </is>
      </c>
      <c r="E8" s="11" t="inlineStr">
        <is>
          <t>A12_Energy</t>
        </is>
      </c>
      <c r="F8" s="10" t="inlineStr">
        <is>
          <t>Industry Group default</t>
        </is>
      </c>
    </row>
    <row r="9">
      <c r="A9" s="10" t="n">
        <v>10102040</v>
      </c>
      <c r="B9" s="10" t="inlineStr">
        <is>
          <t>Oil &amp; Gas Storage &amp; Transportation</t>
        </is>
      </c>
      <c r="C9" s="10" t="inlineStr">
        <is>
          <t>Energy</t>
        </is>
      </c>
      <c r="D9" s="10" t="inlineStr">
        <is>
          <t>Energy</t>
        </is>
      </c>
      <c r="E9" s="11" t="inlineStr">
        <is>
          <t>A12_Energy</t>
        </is>
      </c>
      <c r="F9" s="10" t="inlineStr">
        <is>
          <t>Industry Group default</t>
        </is>
      </c>
    </row>
    <row r="10">
      <c r="A10" s="10" t="n">
        <v>10102050</v>
      </c>
      <c r="B10" s="10" t="inlineStr">
        <is>
          <t>Coal &amp; Consumable Fuels</t>
        </is>
      </c>
      <c r="C10" s="10" t="inlineStr">
        <is>
          <t>Energy</t>
        </is>
      </c>
      <c r="D10" s="10" t="inlineStr">
        <is>
          <t>Energy</t>
        </is>
      </c>
      <c r="E10" s="11" t="inlineStr">
        <is>
          <t>A12_Energy</t>
        </is>
      </c>
      <c r="F10" s="10" t="inlineStr">
        <is>
          <t>Industry Group default</t>
        </is>
      </c>
    </row>
    <row r="11">
      <c r="A11" s="10" t="n">
        <v>15101010</v>
      </c>
      <c r="B11" s="10" t="inlineStr">
        <is>
          <t>Commodity Chemicals</t>
        </is>
      </c>
      <c r="C11" s="10" t="inlineStr">
        <is>
          <t>Materials</t>
        </is>
      </c>
      <c r="D11" s="10" t="inlineStr">
        <is>
          <t>Materials</t>
        </is>
      </c>
      <c r="E11" s="11" t="inlineStr">
        <is>
          <t>A11_MaterialsChemMining</t>
        </is>
      </c>
      <c r="F11" s="10" t="inlineStr">
        <is>
          <t>Industry Group default</t>
        </is>
      </c>
    </row>
    <row r="12">
      <c r="A12" s="10" t="n">
        <v>15101020</v>
      </c>
      <c r="B12" s="10" t="inlineStr">
        <is>
          <t>Diversified Chemicals</t>
        </is>
      </c>
      <c r="C12" s="10" t="inlineStr">
        <is>
          <t>Materials</t>
        </is>
      </c>
      <c r="D12" s="10" t="inlineStr">
        <is>
          <t>Materials</t>
        </is>
      </c>
      <c r="E12" s="11" t="inlineStr">
        <is>
          <t>A11_MaterialsChemMining</t>
        </is>
      </c>
      <c r="F12" s="10" t="inlineStr">
        <is>
          <t>Industry Group default</t>
        </is>
      </c>
    </row>
    <row r="13">
      <c r="A13" s="10" t="n">
        <v>15101030</v>
      </c>
      <c r="B13" s="10" t="inlineStr">
        <is>
          <t>Fertilizers &amp; Agricultural Chemicals</t>
        </is>
      </c>
      <c r="C13" s="10" t="inlineStr">
        <is>
          <t>Materials</t>
        </is>
      </c>
      <c r="D13" s="10" t="inlineStr">
        <is>
          <t>Materials</t>
        </is>
      </c>
      <c r="E13" s="11" t="inlineStr">
        <is>
          <t>A11_MaterialsChemMining</t>
        </is>
      </c>
      <c r="F13" s="10" t="inlineStr">
        <is>
          <t>Industry Group default</t>
        </is>
      </c>
    </row>
    <row r="14">
      <c r="A14" s="10" t="n">
        <v>15101040</v>
      </c>
      <c r="B14" s="10" t="inlineStr">
        <is>
          <t>Industrial Gases</t>
        </is>
      </c>
      <c r="C14" s="10" t="inlineStr">
        <is>
          <t>Materials</t>
        </is>
      </c>
      <c r="D14" s="10" t="inlineStr">
        <is>
          <t>Materials</t>
        </is>
      </c>
      <c r="E14" s="11" t="inlineStr">
        <is>
          <t>A11_MaterialsChemMining</t>
        </is>
      </c>
      <c r="F14" s="10" t="inlineStr">
        <is>
          <t>Industry Group default</t>
        </is>
      </c>
    </row>
    <row r="15">
      <c r="A15" s="10" t="n">
        <v>15101050</v>
      </c>
      <c r="B15" s="10" t="inlineStr">
        <is>
          <t>Specialty Chemicals</t>
        </is>
      </c>
      <c r="C15" s="10" t="inlineStr">
        <is>
          <t>Materials</t>
        </is>
      </c>
      <c r="D15" s="10" t="inlineStr">
        <is>
          <t>Materials</t>
        </is>
      </c>
      <c r="E15" s="11" t="inlineStr">
        <is>
          <t>A11_MaterialsChemMining</t>
        </is>
      </c>
      <c r="F15" s="10" t="inlineStr">
        <is>
          <t>Industry Group default</t>
        </is>
      </c>
    </row>
    <row r="16">
      <c r="A16" s="10" t="n">
        <v>15102010</v>
      </c>
      <c r="B16" s="10" t="inlineStr">
        <is>
          <t>Construction Materials</t>
        </is>
      </c>
      <c r="C16" s="10" t="inlineStr">
        <is>
          <t>Materials</t>
        </is>
      </c>
      <c r="D16" s="10" t="inlineStr">
        <is>
          <t>Materials</t>
        </is>
      </c>
      <c r="E16" s="11" t="inlineStr">
        <is>
          <t>A11_MaterialsChemMining</t>
        </is>
      </c>
      <c r="F16" s="10" t="inlineStr">
        <is>
          <t>Industry Group default</t>
        </is>
      </c>
    </row>
    <row r="17">
      <c r="A17" s="10" t="n">
        <v>15103010</v>
      </c>
      <c r="B17" s="10" t="inlineStr">
        <is>
          <t>Metal, Glass &amp; Plastic Containers</t>
        </is>
      </c>
      <c r="C17" s="10" t="inlineStr">
        <is>
          <t>Materials</t>
        </is>
      </c>
      <c r="D17" s="10" t="inlineStr">
        <is>
          <t>Materials</t>
        </is>
      </c>
      <c r="E17" s="11" t="inlineStr">
        <is>
          <t>A11_MaterialsChemMining</t>
        </is>
      </c>
      <c r="F17" s="10" t="inlineStr">
        <is>
          <t>Industry Group default</t>
        </is>
      </c>
    </row>
    <row r="18">
      <c r="A18" s="10" t="n">
        <v>15103020</v>
      </c>
      <c r="B18" s="10" t="inlineStr">
        <is>
          <t>Paper &amp; Plastic Packaging Products &amp; Materials</t>
        </is>
      </c>
      <c r="C18" s="10" t="inlineStr">
        <is>
          <t>Materials</t>
        </is>
      </c>
      <c r="D18" s="10" t="inlineStr">
        <is>
          <t>Materials</t>
        </is>
      </c>
      <c r="E18" s="11" t="inlineStr">
        <is>
          <t>A11_MaterialsChemMining</t>
        </is>
      </c>
      <c r="F18" s="10" t="inlineStr">
        <is>
          <t>Industry Group default</t>
        </is>
      </c>
    </row>
    <row r="19">
      <c r="A19" s="10" t="n">
        <v>15104010</v>
      </c>
      <c r="B19" s="10" t="inlineStr">
        <is>
          <t>Aluminum</t>
        </is>
      </c>
      <c r="C19" s="10" t="inlineStr">
        <is>
          <t>Materials</t>
        </is>
      </c>
      <c r="D19" s="10" t="inlineStr">
        <is>
          <t>Materials</t>
        </is>
      </c>
      <c r="E19" s="11" t="inlineStr">
        <is>
          <t>A11_MaterialsChemMining</t>
        </is>
      </c>
      <c r="F19" s="10" t="inlineStr">
        <is>
          <t>Industry Group default</t>
        </is>
      </c>
    </row>
    <row r="20">
      <c r="A20" s="10" t="n">
        <v>15104020</v>
      </c>
      <c r="B20" s="10" t="inlineStr">
        <is>
          <t>Diversified Metals &amp; Mining</t>
        </is>
      </c>
      <c r="C20" s="10" t="inlineStr">
        <is>
          <t>Materials</t>
        </is>
      </c>
      <c r="D20" s="10" t="inlineStr">
        <is>
          <t>Materials</t>
        </is>
      </c>
      <c r="E20" s="11" t="inlineStr">
        <is>
          <t>A11_MaterialsChemMining</t>
        </is>
      </c>
      <c r="F20" s="10" t="inlineStr">
        <is>
          <t>Industry Group default</t>
        </is>
      </c>
    </row>
    <row r="21">
      <c r="A21" s="10" t="n">
        <v>15104025</v>
      </c>
      <c r="B21" s="10" t="inlineStr">
        <is>
          <t>Copper</t>
        </is>
      </c>
      <c r="C21" s="10" t="inlineStr">
        <is>
          <t>Materials</t>
        </is>
      </c>
      <c r="D21" s="10" t="inlineStr">
        <is>
          <t>Materials</t>
        </is>
      </c>
      <c r="E21" s="11" t="inlineStr">
        <is>
          <t>A11_MaterialsChemMining</t>
        </is>
      </c>
      <c r="F21" s="10" t="inlineStr">
        <is>
          <t>Industry Group default</t>
        </is>
      </c>
    </row>
    <row r="22">
      <c r="A22" s="10" t="n">
        <v>15104030</v>
      </c>
      <c r="B22" s="10" t="inlineStr">
        <is>
          <t>Gold</t>
        </is>
      </c>
      <c r="C22" s="10" t="inlineStr">
        <is>
          <t>Materials</t>
        </is>
      </c>
      <c r="D22" s="10" t="inlineStr">
        <is>
          <t>Materials</t>
        </is>
      </c>
      <c r="E22" s="11" t="inlineStr">
        <is>
          <t>A11_MaterialsChemMining</t>
        </is>
      </c>
      <c r="F22" s="10" t="inlineStr">
        <is>
          <t>Industry Group default</t>
        </is>
      </c>
    </row>
    <row r="23">
      <c r="A23" s="10" t="n">
        <v>15104040</v>
      </c>
      <c r="B23" s="10" t="inlineStr">
        <is>
          <t>Precious Metals &amp; Minerals</t>
        </is>
      </c>
      <c r="C23" s="10" t="inlineStr">
        <is>
          <t>Materials</t>
        </is>
      </c>
      <c r="D23" s="10" t="inlineStr">
        <is>
          <t>Materials</t>
        </is>
      </c>
      <c r="E23" s="11" t="inlineStr">
        <is>
          <t>A11_MaterialsChemMining</t>
        </is>
      </c>
      <c r="F23" s="10" t="inlineStr">
        <is>
          <t>Industry Group default</t>
        </is>
      </c>
    </row>
    <row r="24">
      <c r="A24" s="10" t="n">
        <v>15104045</v>
      </c>
      <c r="B24" s="10" t="inlineStr">
        <is>
          <t>Silver</t>
        </is>
      </c>
      <c r="C24" s="10" t="inlineStr">
        <is>
          <t>Materials</t>
        </is>
      </c>
      <c r="D24" s="10" t="inlineStr">
        <is>
          <t>Materials</t>
        </is>
      </c>
      <c r="E24" s="11" t="inlineStr">
        <is>
          <t>A11_MaterialsChemMining</t>
        </is>
      </c>
      <c r="F24" s="10" t="inlineStr">
        <is>
          <t>Industry Group default</t>
        </is>
      </c>
    </row>
    <row r="25">
      <c r="A25" s="10" t="n">
        <v>15104050</v>
      </c>
      <c r="B25" s="10" t="inlineStr">
        <is>
          <t>Steel</t>
        </is>
      </c>
      <c r="C25" s="10" t="inlineStr">
        <is>
          <t>Materials</t>
        </is>
      </c>
      <c r="D25" s="10" t="inlineStr">
        <is>
          <t>Materials</t>
        </is>
      </c>
      <c r="E25" s="11" t="inlineStr">
        <is>
          <t>A11_MaterialsChemMining</t>
        </is>
      </c>
      <c r="F25" s="10" t="inlineStr">
        <is>
          <t>Industry Group default</t>
        </is>
      </c>
    </row>
    <row r="26">
      <c r="A26" s="10" t="n">
        <v>15105010</v>
      </c>
      <c r="B26" s="10" t="inlineStr">
        <is>
          <t>Forest Products</t>
        </is>
      </c>
      <c r="C26" s="10" t="inlineStr">
        <is>
          <t>Materials</t>
        </is>
      </c>
      <c r="D26" s="10" t="inlineStr">
        <is>
          <t>Materials</t>
        </is>
      </c>
      <c r="E26" s="11" t="inlineStr">
        <is>
          <t>A11_MaterialsChemMining</t>
        </is>
      </c>
      <c r="F26" s="10" t="inlineStr">
        <is>
          <t>Industry Group default</t>
        </is>
      </c>
    </row>
    <row r="27">
      <c r="A27" s="10" t="n">
        <v>15105020</v>
      </c>
      <c r="B27" s="10" t="inlineStr">
        <is>
          <t>Paper Products</t>
        </is>
      </c>
      <c r="C27" s="10" t="inlineStr">
        <is>
          <t>Materials</t>
        </is>
      </c>
      <c r="D27" s="10" t="inlineStr">
        <is>
          <t>Materials</t>
        </is>
      </c>
      <c r="E27" s="11" t="inlineStr">
        <is>
          <t>A11_MaterialsChemMining</t>
        </is>
      </c>
      <c r="F27" s="10" t="inlineStr">
        <is>
          <t>Industry Group default</t>
        </is>
      </c>
    </row>
    <row r="28">
      <c r="A28" s="10" t="n">
        <v>20101010</v>
      </c>
      <c r="B28" s="10" t="inlineStr">
        <is>
          <t>Aerospace &amp; Defense</t>
        </is>
      </c>
      <c r="C28" s="10" t="inlineStr">
        <is>
          <t>Capital Goods</t>
        </is>
      </c>
      <c r="D28" s="10" t="inlineStr">
        <is>
          <t>Industrials</t>
        </is>
      </c>
      <c r="E28" s="11" t="inlineStr">
        <is>
          <t>A10_IndustrialsMachinery</t>
        </is>
      </c>
      <c r="F28" s="10" t="inlineStr">
        <is>
          <t>Industry Group default</t>
        </is>
      </c>
    </row>
    <row r="29">
      <c r="A29" s="10" t="n">
        <v>20102010</v>
      </c>
      <c r="B29" s="10" t="inlineStr">
        <is>
          <t>Building Products</t>
        </is>
      </c>
      <c r="C29" s="10" t="inlineStr">
        <is>
          <t>Capital Goods</t>
        </is>
      </c>
      <c r="D29" s="10" t="inlineStr">
        <is>
          <t>Industrials</t>
        </is>
      </c>
      <c r="E29" s="11" t="inlineStr">
        <is>
          <t>A10_IndustrialsMachinery</t>
        </is>
      </c>
      <c r="F29" s="10" t="inlineStr">
        <is>
          <t>Industry Group default</t>
        </is>
      </c>
    </row>
    <row r="30">
      <c r="A30" s="10" t="n">
        <v>20103010</v>
      </c>
      <c r="B30" s="10" t="inlineStr">
        <is>
          <t>Construction &amp; Engineering</t>
        </is>
      </c>
      <c r="C30" s="10" t="inlineStr">
        <is>
          <t>Capital Goods</t>
        </is>
      </c>
      <c r="D30" s="10" t="inlineStr">
        <is>
          <t>Industrials</t>
        </is>
      </c>
      <c r="E30" s="11" t="inlineStr">
        <is>
          <t>A10_IndustrialsMachinery</t>
        </is>
      </c>
      <c r="F30" s="10" t="inlineStr">
        <is>
          <t>Industry Group default</t>
        </is>
      </c>
    </row>
    <row r="31">
      <c r="A31" s="10" t="n">
        <v>20104010</v>
      </c>
      <c r="B31" s="10" t="inlineStr">
        <is>
          <t>Electrical Components &amp; Equipment</t>
        </is>
      </c>
      <c r="C31" s="10" t="inlineStr">
        <is>
          <t>Capital Goods</t>
        </is>
      </c>
      <c r="D31" s="10" t="inlineStr">
        <is>
          <t>Industrials</t>
        </is>
      </c>
      <c r="E31" s="11" t="inlineStr">
        <is>
          <t>A10_IndustrialsMachinery</t>
        </is>
      </c>
      <c r="F31" s="10" t="inlineStr">
        <is>
          <t>Industry Group default</t>
        </is>
      </c>
    </row>
    <row r="32">
      <c r="A32" s="10" t="n">
        <v>20104020</v>
      </c>
      <c r="B32" s="10" t="inlineStr">
        <is>
          <t>Heavy Electrical Equipment</t>
        </is>
      </c>
      <c r="C32" s="10" t="inlineStr">
        <is>
          <t>Capital Goods</t>
        </is>
      </c>
      <c r="D32" s="10" t="inlineStr">
        <is>
          <t>Industrials</t>
        </is>
      </c>
      <c r="E32" s="11" t="inlineStr">
        <is>
          <t>A10_IndustrialsMachinery</t>
        </is>
      </c>
      <c r="F32" s="10" t="inlineStr">
        <is>
          <t>Industry Group default</t>
        </is>
      </c>
    </row>
    <row r="33">
      <c r="A33" s="10" t="n">
        <v>20105010</v>
      </c>
      <c r="B33" s="10" t="inlineStr">
        <is>
          <t>Industrial Conglomerates</t>
        </is>
      </c>
      <c r="C33" s="10" t="inlineStr">
        <is>
          <t>Capital Goods</t>
        </is>
      </c>
      <c r="D33" s="10" t="inlineStr">
        <is>
          <t>Industrials</t>
        </is>
      </c>
      <c r="E33" s="11" t="inlineStr">
        <is>
          <t>A10_IndustrialsMachinery</t>
        </is>
      </c>
      <c r="F33" s="10" t="inlineStr">
        <is>
          <t>Industry Group default</t>
        </is>
      </c>
    </row>
    <row r="34">
      <c r="A34" s="10" t="n">
        <v>20106010</v>
      </c>
      <c r="B34" s="10" t="inlineStr">
        <is>
          <t>Construction Machinery &amp; Heavy Transportation Equipment</t>
        </is>
      </c>
      <c r="C34" s="10" t="inlineStr">
        <is>
          <t>Capital Goods</t>
        </is>
      </c>
      <c r="D34" s="10" t="inlineStr">
        <is>
          <t>Industrials</t>
        </is>
      </c>
      <c r="E34" s="11" t="inlineStr">
        <is>
          <t>A10_IndustrialsMachinery</t>
        </is>
      </c>
      <c r="F34" s="10" t="inlineStr">
        <is>
          <t>Industry Group default</t>
        </is>
      </c>
    </row>
    <row r="35">
      <c r="A35" s="10" t="n">
        <v>20106015</v>
      </c>
      <c r="B35" s="10" t="inlineStr">
        <is>
          <t>Agricultural &amp; Farm Machinery</t>
        </is>
      </c>
      <c r="C35" s="10" t="inlineStr">
        <is>
          <t>Capital Goods</t>
        </is>
      </c>
      <c r="D35" s="10" t="inlineStr">
        <is>
          <t>Industrials</t>
        </is>
      </c>
      <c r="E35" s="11" t="inlineStr">
        <is>
          <t>A10_IndustrialsMachinery</t>
        </is>
      </c>
      <c r="F35" s="10" t="inlineStr">
        <is>
          <t>Industry Group default</t>
        </is>
      </c>
    </row>
    <row r="36">
      <c r="A36" s="10" t="n">
        <v>20106020</v>
      </c>
      <c r="B36" s="10" t="inlineStr">
        <is>
          <t>Industrial Machinery &amp; Supplies &amp; Components</t>
        </is>
      </c>
      <c r="C36" s="10" t="inlineStr">
        <is>
          <t>Capital Goods</t>
        </is>
      </c>
      <c r="D36" s="10" t="inlineStr">
        <is>
          <t>Industrials</t>
        </is>
      </c>
      <c r="E36" s="11" t="inlineStr">
        <is>
          <t>A10_IndustrialsMachinery</t>
        </is>
      </c>
      <c r="F36" s="10" t="inlineStr">
        <is>
          <t>Industry Group default</t>
        </is>
      </c>
    </row>
    <row r="37">
      <c r="A37" s="10" t="n">
        <v>20107010</v>
      </c>
      <c r="B37" s="10" t="inlineStr">
        <is>
          <t>Trading Companies &amp; Distributors</t>
        </is>
      </c>
      <c r="C37" s="10" t="inlineStr">
        <is>
          <t>Capital Goods</t>
        </is>
      </c>
      <c r="D37" s="10" t="inlineStr">
        <is>
          <t>Industrials</t>
        </is>
      </c>
      <c r="E37" s="11" t="inlineStr">
        <is>
          <t>A9_RetailDistribution</t>
        </is>
      </c>
      <c r="F37" s="10" t="inlineStr">
        <is>
          <t>Trading Companies &amp; Distributors -- distribution/sales workforce, not IG default manufacturing</t>
        </is>
      </c>
    </row>
    <row r="38">
      <c r="A38" s="10" t="n">
        <v>20201010</v>
      </c>
      <c r="B38" s="10" t="inlineStr">
        <is>
          <t>Commercial Printing</t>
        </is>
      </c>
      <c r="C38" s="10" t="inlineStr">
        <is>
          <t>Commercial  &amp; Professional Services</t>
        </is>
      </c>
      <c r="D38" s="10" t="inlineStr">
        <is>
          <t>Industrials</t>
        </is>
      </c>
      <c r="E38" s="11" t="inlineStr">
        <is>
          <t>A8_ProfessionalBizServices</t>
        </is>
      </c>
      <c r="F38" s="10" t="inlineStr">
        <is>
          <t>Industry Group default</t>
        </is>
      </c>
    </row>
    <row r="39">
      <c r="A39" s="10" t="n">
        <v>20201050</v>
      </c>
      <c r="B39" s="10" t="inlineStr">
        <is>
          <t>Environmental &amp; Facilities Services</t>
        </is>
      </c>
      <c r="C39" s="10" t="inlineStr">
        <is>
          <t>Commercial  &amp; Professional Services</t>
        </is>
      </c>
      <c r="D39" s="10" t="inlineStr">
        <is>
          <t>Industrials</t>
        </is>
      </c>
      <c r="E39" s="11" t="inlineStr">
        <is>
          <t>A8_ProfessionalBizServices</t>
        </is>
      </c>
      <c r="F39" s="10" t="inlineStr">
        <is>
          <t>Industry Group default</t>
        </is>
      </c>
    </row>
    <row r="40">
      <c r="A40" s="10" t="n">
        <v>20201060</v>
      </c>
      <c r="B40" s="10" t="inlineStr">
        <is>
          <t>Office Services &amp; Supplies</t>
        </is>
      </c>
      <c r="C40" s="10" t="inlineStr">
        <is>
          <t>Commercial  &amp; Professional Services</t>
        </is>
      </c>
      <c r="D40" s="10" t="inlineStr">
        <is>
          <t>Industrials</t>
        </is>
      </c>
      <c r="E40" s="11" t="inlineStr">
        <is>
          <t>A9_RetailDistribution</t>
        </is>
      </c>
      <c r="F40" s="10" t="inlineStr">
        <is>
          <t>Office Services &amp; Supplies -- distribution-like, not professional-services labor</t>
        </is>
      </c>
    </row>
    <row r="41">
      <c r="A41" s="10" t="n">
        <v>20201070</v>
      </c>
      <c r="B41" s="10" t="inlineStr">
        <is>
          <t>Diversified Support Services</t>
        </is>
      </c>
      <c r="C41" s="10" t="inlineStr">
        <is>
          <t>Commercial  &amp; Professional Services</t>
        </is>
      </c>
      <c r="D41" s="10" t="inlineStr">
        <is>
          <t>Industrials</t>
        </is>
      </c>
      <c r="E41" s="11" t="inlineStr">
        <is>
          <t>A8_ProfessionalBizServices</t>
        </is>
      </c>
      <c r="F41" s="10" t="inlineStr">
        <is>
          <t>Industry Group default</t>
        </is>
      </c>
    </row>
    <row r="42">
      <c r="A42" s="10" t="n">
        <v>20201080</v>
      </c>
      <c r="B42" s="10" t="inlineStr">
        <is>
          <t>Security &amp; Alarm Services</t>
        </is>
      </c>
      <c r="C42" s="10" t="inlineStr">
        <is>
          <t>Commercial  &amp; Professional Services</t>
        </is>
      </c>
      <c r="D42" s="10" t="inlineStr">
        <is>
          <t>Industrials</t>
        </is>
      </c>
      <c r="E42" s="11" t="inlineStr">
        <is>
          <t>A8_ProfessionalBizServices</t>
        </is>
      </c>
      <c r="F42" s="10" t="inlineStr">
        <is>
          <t>Industry Group default</t>
        </is>
      </c>
    </row>
    <row r="43">
      <c r="A43" s="10" t="n">
        <v>20202010</v>
      </c>
      <c r="B43" s="10" t="inlineStr">
        <is>
          <t>Human Resource &amp; Employment Services</t>
        </is>
      </c>
      <c r="C43" s="10" t="inlineStr">
        <is>
          <t>Commercial  &amp; Professional Services</t>
        </is>
      </c>
      <c r="D43" s="10" t="inlineStr">
        <is>
          <t>Industrials</t>
        </is>
      </c>
      <c r="E43" s="11" t="inlineStr">
        <is>
          <t>A8_ProfessionalBizServices</t>
        </is>
      </c>
      <c r="F43" s="10" t="inlineStr">
        <is>
          <t>Industry Group default</t>
        </is>
      </c>
    </row>
    <row r="44">
      <c r="A44" s="10" t="n">
        <v>20202020</v>
      </c>
      <c r="B44" s="10" t="inlineStr">
        <is>
          <t>Research &amp; Consulting Services</t>
        </is>
      </c>
      <c r="C44" s="10" t="inlineStr">
        <is>
          <t>Commercial  &amp; Professional Services</t>
        </is>
      </c>
      <c r="D44" s="10" t="inlineStr">
        <is>
          <t>Industrials</t>
        </is>
      </c>
      <c r="E44" s="11" t="inlineStr">
        <is>
          <t>A8_ProfessionalBizServices</t>
        </is>
      </c>
      <c r="F44" s="10" t="inlineStr">
        <is>
          <t>Industry Group default</t>
        </is>
      </c>
    </row>
    <row r="45">
      <c r="A45" s="10" t="n">
        <v>20202030</v>
      </c>
      <c r="B45" s="10" t="inlineStr">
        <is>
          <t>Data Processing &amp; Outsourced Services</t>
        </is>
      </c>
      <c r="C45" s="10" t="inlineStr">
        <is>
          <t>Commercial  &amp; Professional Services</t>
        </is>
      </c>
      <c r="D45" s="10" t="inlineStr">
        <is>
          <t>Industrials</t>
        </is>
      </c>
      <c r="E45" s="11" t="inlineStr">
        <is>
          <t>A8_ProfessionalBizServices</t>
        </is>
      </c>
      <c r="F45" s="10" t="inlineStr">
        <is>
          <t>Industry Group default</t>
        </is>
      </c>
    </row>
    <row r="46">
      <c r="A46" s="10" t="n">
        <v>20301010</v>
      </c>
      <c r="B46" s="10" t="inlineStr">
        <is>
          <t>Air Freight &amp; Logistics</t>
        </is>
      </c>
      <c r="C46" s="10" t="inlineStr">
        <is>
          <t>Transportation</t>
        </is>
      </c>
      <c r="D46" s="10" t="inlineStr">
        <is>
          <t>Industrials</t>
        </is>
      </c>
      <c r="E46" s="11" t="inlineStr">
        <is>
          <t>A17_TransportationLogistics</t>
        </is>
      </c>
      <c r="F46" s="10" t="inlineStr">
        <is>
          <t>Industry Group default</t>
        </is>
      </c>
    </row>
    <row r="47">
      <c r="A47" s="10" t="n">
        <v>20302010</v>
      </c>
      <c r="B47" s="10" t="inlineStr">
        <is>
          <t>Passenger Airlines</t>
        </is>
      </c>
      <c r="C47" s="10" t="inlineStr">
        <is>
          <t>Transportation</t>
        </is>
      </c>
      <c r="D47" s="10" t="inlineStr">
        <is>
          <t>Industrials</t>
        </is>
      </c>
      <c r="E47" s="11" t="inlineStr">
        <is>
          <t>A17_TransportationLogistics</t>
        </is>
      </c>
      <c r="F47" s="10" t="inlineStr">
        <is>
          <t>Industry Group default</t>
        </is>
      </c>
    </row>
    <row r="48">
      <c r="A48" s="10" t="n">
        <v>20303010</v>
      </c>
      <c r="B48" s="10" t="inlineStr">
        <is>
          <t>Marine Transportation</t>
        </is>
      </c>
      <c r="C48" s="10" t="inlineStr">
        <is>
          <t>Transportation</t>
        </is>
      </c>
      <c r="D48" s="10" t="inlineStr">
        <is>
          <t>Industrials</t>
        </is>
      </c>
      <c r="E48" s="11" t="inlineStr">
        <is>
          <t>A17_TransportationLogistics</t>
        </is>
      </c>
      <c r="F48" s="10" t="inlineStr">
        <is>
          <t>Industry Group default</t>
        </is>
      </c>
    </row>
    <row r="49">
      <c r="A49" s="10" t="n">
        <v>20304010</v>
      </c>
      <c r="B49" s="10" t="inlineStr">
        <is>
          <t>Rail Transportation</t>
        </is>
      </c>
      <c r="C49" s="10" t="inlineStr">
        <is>
          <t>Transportation</t>
        </is>
      </c>
      <c r="D49" s="10" t="inlineStr">
        <is>
          <t>Industrials</t>
        </is>
      </c>
      <c r="E49" s="11" t="inlineStr">
        <is>
          <t>A17_TransportationLogistics</t>
        </is>
      </c>
      <c r="F49" s="10" t="inlineStr">
        <is>
          <t>Industry Group default</t>
        </is>
      </c>
    </row>
    <row r="50">
      <c r="A50" s="10" t="n">
        <v>20304030</v>
      </c>
      <c r="B50" s="10" t="inlineStr">
        <is>
          <t>Cargo Ground Transportation</t>
        </is>
      </c>
      <c r="C50" s="10" t="inlineStr">
        <is>
          <t>Transportation</t>
        </is>
      </c>
      <c r="D50" s="10" t="inlineStr">
        <is>
          <t>Industrials</t>
        </is>
      </c>
      <c r="E50" s="11" t="inlineStr">
        <is>
          <t>A17_TransportationLogistics</t>
        </is>
      </c>
      <c r="F50" s="10" t="inlineStr">
        <is>
          <t>Industry Group default</t>
        </is>
      </c>
    </row>
    <row r="51">
      <c r="A51" s="10" t="n">
        <v>20304040</v>
      </c>
      <c r="B51" s="10" t="inlineStr">
        <is>
          <t>Passenger Ground Transportation</t>
        </is>
      </c>
      <c r="C51" s="10" t="inlineStr">
        <is>
          <t>Transportation</t>
        </is>
      </c>
      <c r="D51" s="10" t="inlineStr">
        <is>
          <t>Industrials</t>
        </is>
      </c>
      <c r="E51" s="11" t="inlineStr">
        <is>
          <t>A17_TransportationLogistics</t>
        </is>
      </c>
      <c r="F51" s="10" t="inlineStr">
        <is>
          <t>Industry Group default</t>
        </is>
      </c>
    </row>
    <row r="52">
      <c r="A52" s="10" t="n">
        <v>20305010</v>
      </c>
      <c r="B52" s="10" t="inlineStr">
        <is>
          <t>Airport Services</t>
        </is>
      </c>
      <c r="C52" s="10" t="inlineStr">
        <is>
          <t>Transportation</t>
        </is>
      </c>
      <c r="D52" s="10" t="inlineStr">
        <is>
          <t>Industrials</t>
        </is>
      </c>
      <c r="E52" s="11" t="inlineStr">
        <is>
          <t>A17_TransportationLogistics</t>
        </is>
      </c>
      <c r="F52" s="10" t="inlineStr">
        <is>
          <t>Industry Group default</t>
        </is>
      </c>
    </row>
    <row r="53">
      <c r="A53" s="10" t="n">
        <v>20305020</v>
      </c>
      <c r="B53" s="10" t="inlineStr">
        <is>
          <t>Highways &amp; Railtracks</t>
        </is>
      </c>
      <c r="C53" s="10" t="inlineStr">
        <is>
          <t>Transportation</t>
        </is>
      </c>
      <c r="D53" s="10" t="inlineStr">
        <is>
          <t>Industrials</t>
        </is>
      </c>
      <c r="E53" s="11" t="inlineStr">
        <is>
          <t>A17_TransportationLogistics</t>
        </is>
      </c>
      <c r="F53" s="10" t="inlineStr">
        <is>
          <t>Industry Group default</t>
        </is>
      </c>
    </row>
    <row r="54">
      <c r="A54" s="10" t="n">
        <v>20305030</v>
      </c>
      <c r="B54" s="10" t="inlineStr">
        <is>
          <t>Marine Ports &amp; Services</t>
        </is>
      </c>
      <c r="C54" s="10" t="inlineStr">
        <is>
          <t>Transportation</t>
        </is>
      </c>
      <c r="D54" s="10" t="inlineStr">
        <is>
          <t>Industrials</t>
        </is>
      </c>
      <c r="E54" s="11" t="inlineStr">
        <is>
          <t>A17_TransportationLogistics</t>
        </is>
      </c>
      <c r="F54" s="10" t="inlineStr">
        <is>
          <t>Industry Group default</t>
        </is>
      </c>
    </row>
    <row r="55">
      <c r="A55" s="10" t="n">
        <v>25101010</v>
      </c>
      <c r="B55" s="10" t="inlineStr">
        <is>
          <t>Automotive Parts &amp; Equipment</t>
        </is>
      </c>
      <c r="C55" s="10" t="inlineStr">
        <is>
          <t>Automobiles &amp; Components</t>
        </is>
      </c>
      <c r="D55" s="10" t="inlineStr">
        <is>
          <t>Consumer Discretionary</t>
        </is>
      </c>
      <c r="E55" s="11" t="inlineStr">
        <is>
          <t>A22_AutosAutoParts</t>
        </is>
      </c>
      <c r="F55" s="10" t="inlineStr">
        <is>
          <t>Industry Group default</t>
        </is>
      </c>
    </row>
    <row r="56">
      <c r="A56" s="10" t="n">
        <v>25101020</v>
      </c>
      <c r="B56" s="10" t="inlineStr">
        <is>
          <t>Tires &amp; Rubber</t>
        </is>
      </c>
      <c r="C56" s="10" t="inlineStr">
        <is>
          <t>Automobiles &amp; Components</t>
        </is>
      </c>
      <c r="D56" s="10" t="inlineStr">
        <is>
          <t>Consumer Discretionary</t>
        </is>
      </c>
      <c r="E56" s="11" t="inlineStr">
        <is>
          <t>A22_AutosAutoParts</t>
        </is>
      </c>
      <c r="F56" s="10" t="inlineStr">
        <is>
          <t>Industry Group default</t>
        </is>
      </c>
    </row>
    <row r="57">
      <c r="A57" s="10" t="n">
        <v>25102010</v>
      </c>
      <c r="B57" s="10" t="inlineStr">
        <is>
          <t>Automobile Manufacturers</t>
        </is>
      </c>
      <c r="C57" s="10" t="inlineStr">
        <is>
          <t>Automobiles &amp; Components</t>
        </is>
      </c>
      <c r="D57" s="10" t="inlineStr">
        <is>
          <t>Consumer Discretionary</t>
        </is>
      </c>
      <c r="E57" s="11" t="inlineStr">
        <is>
          <t>A22_AutosAutoParts</t>
        </is>
      </c>
      <c r="F57" s="10" t="inlineStr">
        <is>
          <t>Industry Group default</t>
        </is>
      </c>
    </row>
    <row r="58">
      <c r="A58" s="10" t="n">
        <v>25102020</v>
      </c>
      <c r="B58" s="10" t="inlineStr">
        <is>
          <t>Motorcycle Manufacturers</t>
        </is>
      </c>
      <c r="C58" s="10" t="inlineStr">
        <is>
          <t>Automobiles &amp; Components</t>
        </is>
      </c>
      <c r="D58" s="10" t="inlineStr">
        <is>
          <t>Consumer Discretionary</t>
        </is>
      </c>
      <c r="E58" s="11" t="inlineStr">
        <is>
          <t>A22_AutosAutoParts</t>
        </is>
      </c>
      <c r="F58" s="10" t="inlineStr">
        <is>
          <t>Industry Group default</t>
        </is>
      </c>
    </row>
    <row r="59">
      <c r="A59" s="10" t="n">
        <v>25201010</v>
      </c>
      <c r="B59" s="10" t="inlineStr">
        <is>
          <t>Consumer Electronics</t>
        </is>
      </c>
      <c r="C59" s="10" t="inlineStr">
        <is>
          <t>Consumer Durables &amp; Apparel</t>
        </is>
      </c>
      <c r="D59" s="10" t="inlineStr">
        <is>
          <t>Consumer Discretionary</t>
        </is>
      </c>
      <c r="E59" s="11" t="inlineStr">
        <is>
          <t>A23_ApparelTextilesDurables</t>
        </is>
      </c>
      <c r="F59" s="10" t="inlineStr">
        <is>
          <t>Industry Group default</t>
        </is>
      </c>
    </row>
    <row r="60">
      <c r="A60" s="10" t="n">
        <v>25201020</v>
      </c>
      <c r="B60" s="10" t="inlineStr">
        <is>
          <t>Home Furnishings</t>
        </is>
      </c>
      <c r="C60" s="10" t="inlineStr">
        <is>
          <t>Consumer Durables &amp; Apparel</t>
        </is>
      </c>
      <c r="D60" s="10" t="inlineStr">
        <is>
          <t>Consumer Discretionary</t>
        </is>
      </c>
      <c r="E60" s="11" t="inlineStr">
        <is>
          <t>A23_ApparelTextilesDurables</t>
        </is>
      </c>
      <c r="F60" s="10" t="inlineStr">
        <is>
          <t>Industry Group default</t>
        </is>
      </c>
    </row>
    <row r="61">
      <c r="A61" s="10" t="n">
        <v>25201030</v>
      </c>
      <c r="B61" s="10" t="inlineStr">
        <is>
          <t>Homebuilding</t>
        </is>
      </c>
      <c r="C61" s="10" t="inlineStr">
        <is>
          <t>Consumer Durables &amp; Apparel</t>
        </is>
      </c>
      <c r="D61" s="10" t="inlineStr">
        <is>
          <t>Consumer Discretionary</t>
        </is>
      </c>
      <c r="E61" s="11" t="inlineStr">
        <is>
          <t>A13_ConstructionHomebuilding</t>
        </is>
      </c>
      <c r="F61" s="10" t="inlineStr">
        <is>
          <t>Homebuilding -- construction trades workforce, not durables manufacturing</t>
        </is>
      </c>
    </row>
    <row r="62">
      <c r="A62" s="10" t="n">
        <v>25201040</v>
      </c>
      <c r="B62" s="10" t="inlineStr">
        <is>
          <t>Household Appliances</t>
        </is>
      </c>
      <c r="C62" s="10" t="inlineStr">
        <is>
          <t>Consumer Durables &amp; Apparel</t>
        </is>
      </c>
      <c r="D62" s="10" t="inlineStr">
        <is>
          <t>Consumer Discretionary</t>
        </is>
      </c>
      <c r="E62" s="11" t="inlineStr">
        <is>
          <t>A23_ApparelTextilesDurables</t>
        </is>
      </c>
      <c r="F62" s="10" t="inlineStr">
        <is>
          <t>Industry Group default</t>
        </is>
      </c>
    </row>
    <row r="63">
      <c r="A63" s="10" t="n">
        <v>25201050</v>
      </c>
      <c r="B63" s="10" t="inlineStr">
        <is>
          <t>Housewares &amp; Specialties</t>
        </is>
      </c>
      <c r="C63" s="10" t="inlineStr">
        <is>
          <t>Consumer Durables &amp; Apparel</t>
        </is>
      </c>
      <c r="D63" s="10" t="inlineStr">
        <is>
          <t>Consumer Discretionary</t>
        </is>
      </c>
      <c r="E63" s="11" t="inlineStr">
        <is>
          <t>A23_ApparelTextilesDurables</t>
        </is>
      </c>
      <c r="F63" s="10" t="inlineStr">
        <is>
          <t>Industry Group default</t>
        </is>
      </c>
    </row>
    <row r="64">
      <c r="A64" s="10" t="n">
        <v>25202010</v>
      </c>
      <c r="B64" s="10" t="inlineStr">
        <is>
          <t>Leisure Products</t>
        </is>
      </c>
      <c r="C64" s="10" t="inlineStr">
        <is>
          <t>Consumer Durables &amp; Apparel</t>
        </is>
      </c>
      <c r="D64" s="10" t="inlineStr">
        <is>
          <t>Consumer Discretionary</t>
        </is>
      </c>
      <c r="E64" s="11" t="inlineStr">
        <is>
          <t>A23_ApparelTextilesDurables</t>
        </is>
      </c>
      <c r="F64" s="10" t="inlineStr">
        <is>
          <t>Industry Group default</t>
        </is>
      </c>
    </row>
    <row r="65">
      <c r="A65" s="10" t="n">
        <v>25203010</v>
      </c>
      <c r="B65" s="10" t="inlineStr">
        <is>
          <t>Apparel, Accessories &amp; Luxury Goods</t>
        </is>
      </c>
      <c r="C65" s="10" t="inlineStr">
        <is>
          <t>Consumer Durables &amp; Apparel</t>
        </is>
      </c>
      <c r="D65" s="10" t="inlineStr">
        <is>
          <t>Consumer Discretionary</t>
        </is>
      </c>
      <c r="E65" s="11" t="inlineStr">
        <is>
          <t>A23_ApparelTextilesDurables</t>
        </is>
      </c>
      <c r="F65" s="10" t="inlineStr">
        <is>
          <t>Industry Group default</t>
        </is>
      </c>
    </row>
    <row r="66">
      <c r="A66" s="10" t="n">
        <v>25203020</v>
      </c>
      <c r="B66" s="10" t="inlineStr">
        <is>
          <t>Footwear</t>
        </is>
      </c>
      <c r="C66" s="10" t="inlineStr">
        <is>
          <t>Consumer Durables &amp; Apparel</t>
        </is>
      </c>
      <c r="D66" s="10" t="inlineStr">
        <is>
          <t>Consumer Discretionary</t>
        </is>
      </c>
      <c r="E66" s="11" t="inlineStr">
        <is>
          <t>A23_ApparelTextilesDurables</t>
        </is>
      </c>
      <c r="F66" s="10" t="inlineStr">
        <is>
          <t>Industry Group default</t>
        </is>
      </c>
    </row>
    <row r="67">
      <c r="A67" s="10" t="n">
        <v>25203030</v>
      </c>
      <c r="B67" s="10" t="inlineStr">
        <is>
          <t>Textiles</t>
        </is>
      </c>
      <c r="C67" s="10" t="inlineStr">
        <is>
          <t>Consumer Durables &amp; Apparel</t>
        </is>
      </c>
      <c r="D67" s="10" t="inlineStr">
        <is>
          <t>Consumer Discretionary</t>
        </is>
      </c>
      <c r="E67" s="11" t="inlineStr">
        <is>
          <t>A23_ApparelTextilesDurables</t>
        </is>
      </c>
      <c r="F67" s="10" t="inlineStr">
        <is>
          <t>Industry Group default</t>
        </is>
      </c>
    </row>
    <row r="68">
      <c r="A68" s="10" t="n">
        <v>25301010</v>
      </c>
      <c r="B68" s="10" t="inlineStr">
        <is>
          <t>Casinos &amp; Gaming</t>
        </is>
      </c>
      <c r="C68" s="10" t="inlineStr">
        <is>
          <t>Consumer Services</t>
        </is>
      </c>
      <c r="D68" s="10" t="inlineStr">
        <is>
          <t>Consumer Discretionary</t>
        </is>
      </c>
      <c r="E68" s="11" t="inlineStr">
        <is>
          <t>A15_RestaurantsHotelsLeisure</t>
        </is>
      </c>
      <c r="F68" s="10" t="inlineStr">
        <is>
          <t>Industry Group default</t>
        </is>
      </c>
    </row>
    <row r="69">
      <c r="A69" s="10" t="n">
        <v>25301020</v>
      </c>
      <c r="B69" s="10" t="inlineStr">
        <is>
          <t>Hotels, Resorts &amp; Cruise Lines</t>
        </is>
      </c>
      <c r="C69" s="10" t="inlineStr">
        <is>
          <t>Consumer Services</t>
        </is>
      </c>
      <c r="D69" s="10" t="inlineStr">
        <is>
          <t>Consumer Discretionary</t>
        </is>
      </c>
      <c r="E69" s="11" t="inlineStr">
        <is>
          <t>A15_RestaurantsHotelsLeisure</t>
        </is>
      </c>
      <c r="F69" s="10" t="inlineStr">
        <is>
          <t>Industry Group default</t>
        </is>
      </c>
    </row>
    <row r="70">
      <c r="A70" s="10" t="n">
        <v>25301030</v>
      </c>
      <c r="B70" s="10" t="inlineStr">
        <is>
          <t>Leisure Facilities</t>
        </is>
      </c>
      <c r="C70" s="10" t="inlineStr">
        <is>
          <t>Consumer Services</t>
        </is>
      </c>
      <c r="D70" s="10" t="inlineStr">
        <is>
          <t>Consumer Discretionary</t>
        </is>
      </c>
      <c r="E70" s="11" t="inlineStr">
        <is>
          <t>A15_RestaurantsHotelsLeisure</t>
        </is>
      </c>
      <c r="F70" s="10" t="inlineStr">
        <is>
          <t>Industry Group default</t>
        </is>
      </c>
    </row>
    <row r="71">
      <c r="A71" s="10" t="n">
        <v>25301040</v>
      </c>
      <c r="B71" s="10" t="inlineStr">
        <is>
          <t>Restaurants</t>
        </is>
      </c>
      <c r="C71" s="10" t="inlineStr">
        <is>
          <t>Consumer Services</t>
        </is>
      </c>
      <c r="D71" s="10" t="inlineStr">
        <is>
          <t>Consumer Discretionary</t>
        </is>
      </c>
      <c r="E71" s="11" t="inlineStr">
        <is>
          <t>A15_RestaurantsHotelsLeisure</t>
        </is>
      </c>
      <c r="F71" s="10" t="inlineStr">
        <is>
          <t>Industry Group default</t>
        </is>
      </c>
    </row>
    <row r="72">
      <c r="A72" s="10" t="n">
        <v>25302010</v>
      </c>
      <c r="B72" s="10" t="inlineStr">
        <is>
          <t>Education Services</t>
        </is>
      </c>
      <c r="C72" s="10" t="inlineStr">
        <is>
          <t>Consumer Services</t>
        </is>
      </c>
      <c r="D72" s="10" t="inlineStr">
        <is>
          <t>Consumer Discretionary</t>
        </is>
      </c>
      <c r="E72" s="11" t="inlineStr">
        <is>
          <t>A20_EducationServices</t>
        </is>
      </c>
      <c r="F72" s="10" t="inlineStr">
        <is>
          <t>Education Services -- distinct instructional workforce</t>
        </is>
      </c>
    </row>
    <row r="73">
      <c r="A73" s="10" t="n">
        <v>25302020</v>
      </c>
      <c r="B73" s="10" t="inlineStr">
        <is>
          <t>Specialized Consumer Services</t>
        </is>
      </c>
      <c r="C73" s="10" t="inlineStr">
        <is>
          <t>Consumer Services</t>
        </is>
      </c>
      <c r="D73" s="10" t="inlineStr">
        <is>
          <t>Consumer Discretionary</t>
        </is>
      </c>
      <c r="E73" s="11" t="inlineStr">
        <is>
          <t>A15_RestaurantsHotelsLeisure</t>
        </is>
      </c>
      <c r="F73" s="10" t="inlineStr">
        <is>
          <t>Industry Group default</t>
        </is>
      </c>
    </row>
    <row r="74">
      <c r="A74" s="10" t="n">
        <v>25501010</v>
      </c>
      <c r="B74" s="10" t="inlineStr">
        <is>
          <t>Distributors</t>
        </is>
      </c>
      <c r="C74" s="10" t="inlineStr">
        <is>
          <t>Consumer Discretionary Distribution &amp; Retail</t>
        </is>
      </c>
      <c r="D74" s="10" t="inlineStr">
        <is>
          <t>Consumer Discretionary</t>
        </is>
      </c>
      <c r="E74" s="11" t="inlineStr">
        <is>
          <t>A9_RetailDistribution</t>
        </is>
      </c>
      <c r="F74" s="10" t="inlineStr">
        <is>
          <t>Industry Group default</t>
        </is>
      </c>
    </row>
    <row r="75">
      <c r="A75" s="10" t="n">
        <v>25503030</v>
      </c>
      <c r="B75" s="10" t="inlineStr">
        <is>
          <t>Broadline Retail</t>
        </is>
      </c>
      <c r="C75" s="10" t="inlineStr">
        <is>
          <t>Consumer Discretionary Distribution &amp; Retail</t>
        </is>
      </c>
      <c r="D75" s="10" t="inlineStr">
        <is>
          <t>Consumer Discretionary</t>
        </is>
      </c>
      <c r="E75" s="11" t="inlineStr">
        <is>
          <t>A9_RetailDistribution</t>
        </is>
      </c>
      <c r="F75" s="10" t="inlineStr">
        <is>
          <t>Industry Group default</t>
        </is>
      </c>
    </row>
    <row r="76">
      <c r="A76" s="10" t="n">
        <v>25504010</v>
      </c>
      <c r="B76" s="10" t="inlineStr">
        <is>
          <t>Apparel Retail</t>
        </is>
      </c>
      <c r="C76" s="10" t="inlineStr">
        <is>
          <t>Consumer Discretionary Distribution &amp; Retail</t>
        </is>
      </c>
      <c r="D76" s="10" t="inlineStr">
        <is>
          <t>Consumer Discretionary</t>
        </is>
      </c>
      <c r="E76" s="11" t="inlineStr">
        <is>
          <t>A9_RetailDistribution</t>
        </is>
      </c>
      <c r="F76" s="10" t="inlineStr">
        <is>
          <t>Industry Group default</t>
        </is>
      </c>
    </row>
    <row r="77">
      <c r="A77" s="10" t="n">
        <v>25504020</v>
      </c>
      <c r="B77" s="10" t="inlineStr">
        <is>
          <t>Computer &amp; Electronics Retail</t>
        </is>
      </c>
      <c r="C77" s="10" t="inlineStr">
        <is>
          <t>Consumer Discretionary Distribution &amp; Retail</t>
        </is>
      </c>
      <c r="D77" s="10" t="inlineStr">
        <is>
          <t>Consumer Discretionary</t>
        </is>
      </c>
      <c r="E77" s="11" t="inlineStr">
        <is>
          <t>A9_RetailDistribution</t>
        </is>
      </c>
      <c r="F77" s="10" t="inlineStr">
        <is>
          <t>Industry Group default</t>
        </is>
      </c>
    </row>
    <row r="78">
      <c r="A78" s="10" t="n">
        <v>25504030</v>
      </c>
      <c r="B78" s="10" t="inlineStr">
        <is>
          <t>Home Improvement Retail</t>
        </is>
      </c>
      <c r="C78" s="10" t="inlineStr">
        <is>
          <t>Consumer Discretionary Distribution &amp; Retail</t>
        </is>
      </c>
      <c r="D78" s="10" t="inlineStr">
        <is>
          <t>Consumer Discretionary</t>
        </is>
      </c>
      <c r="E78" s="11" t="inlineStr">
        <is>
          <t>A9_RetailDistribution</t>
        </is>
      </c>
      <c r="F78" s="10" t="inlineStr">
        <is>
          <t>Industry Group default</t>
        </is>
      </c>
    </row>
    <row r="79">
      <c r="A79" s="10" t="n">
        <v>25504040</v>
      </c>
      <c r="B79" s="10" t="inlineStr">
        <is>
          <t>Other Specialty Retail</t>
        </is>
      </c>
      <c r="C79" s="10" t="inlineStr">
        <is>
          <t>Consumer Discretionary Distribution &amp; Retail</t>
        </is>
      </c>
      <c r="D79" s="10" t="inlineStr">
        <is>
          <t>Consumer Discretionary</t>
        </is>
      </c>
      <c r="E79" s="11" t="inlineStr">
        <is>
          <t>A9_RetailDistribution</t>
        </is>
      </c>
      <c r="F79" s="10" t="inlineStr">
        <is>
          <t>Industry Group default</t>
        </is>
      </c>
    </row>
    <row r="80">
      <c r="A80" s="10" t="n">
        <v>25504050</v>
      </c>
      <c r="B80" s="10" t="inlineStr">
        <is>
          <t>Automotive Retail</t>
        </is>
      </c>
      <c r="C80" s="10" t="inlineStr">
        <is>
          <t>Consumer Discretionary Distribution &amp; Retail</t>
        </is>
      </c>
      <c r="D80" s="10" t="inlineStr">
        <is>
          <t>Consumer Discretionary</t>
        </is>
      </c>
      <c r="E80" s="11" t="inlineStr">
        <is>
          <t>A9_RetailDistribution</t>
        </is>
      </c>
      <c r="F80" s="10" t="inlineStr">
        <is>
          <t>Industry Group default</t>
        </is>
      </c>
    </row>
    <row r="81">
      <c r="A81" s="10" t="n">
        <v>25504060</v>
      </c>
      <c r="B81" s="10" t="inlineStr">
        <is>
          <t>Homefurnishing Retail</t>
        </is>
      </c>
      <c r="C81" s="10" t="inlineStr">
        <is>
          <t>Consumer Discretionary Distribution &amp; Retail</t>
        </is>
      </c>
      <c r="D81" s="10" t="inlineStr">
        <is>
          <t>Consumer Discretionary</t>
        </is>
      </c>
      <c r="E81" s="11" t="inlineStr">
        <is>
          <t>A9_RetailDistribution</t>
        </is>
      </c>
      <c r="F81" s="10" t="inlineStr">
        <is>
          <t>Industry Group default</t>
        </is>
      </c>
    </row>
    <row r="82">
      <c r="A82" s="10" t="n">
        <v>30101010</v>
      </c>
      <c r="B82" s="10" t="inlineStr">
        <is>
          <t>Drug Retail</t>
        </is>
      </c>
      <c r="C82" s="10" t="inlineStr">
        <is>
          <t>Consumer Staples Distribution &amp; Retail</t>
        </is>
      </c>
      <c r="D82" s="10" t="inlineStr">
        <is>
          <t>Consumer Staples</t>
        </is>
      </c>
      <c r="E82" s="11" t="inlineStr">
        <is>
          <t>A9_RetailDistribution</t>
        </is>
      </c>
      <c r="F82" s="10" t="inlineStr">
        <is>
          <t>Industry Group default</t>
        </is>
      </c>
    </row>
    <row r="83">
      <c r="A83" s="10" t="n">
        <v>30101020</v>
      </c>
      <c r="B83" s="10" t="inlineStr">
        <is>
          <t>Food Distributors</t>
        </is>
      </c>
      <c r="C83" s="10" t="inlineStr">
        <is>
          <t>Consumer Staples Distribution &amp; Retail</t>
        </is>
      </c>
      <c r="D83" s="10" t="inlineStr">
        <is>
          <t>Consumer Staples</t>
        </is>
      </c>
      <c r="E83" s="11" t="inlineStr">
        <is>
          <t>A9_RetailDistribution</t>
        </is>
      </c>
      <c r="F83" s="10" t="inlineStr">
        <is>
          <t>Industry Group default</t>
        </is>
      </c>
    </row>
    <row r="84">
      <c r="A84" s="10" t="n">
        <v>30101030</v>
      </c>
      <c r="B84" s="10" t="inlineStr">
        <is>
          <t>Food Retail</t>
        </is>
      </c>
      <c r="C84" s="10" t="inlineStr">
        <is>
          <t>Consumer Staples Distribution &amp; Retail</t>
        </is>
      </c>
      <c r="D84" s="10" t="inlineStr">
        <is>
          <t>Consumer Staples</t>
        </is>
      </c>
      <c r="E84" s="11" t="inlineStr">
        <is>
          <t>A9_RetailDistribution</t>
        </is>
      </c>
      <c r="F84" s="10" t="inlineStr">
        <is>
          <t>Industry Group default</t>
        </is>
      </c>
    </row>
    <row r="85">
      <c r="A85" s="10" t="n">
        <v>30101040</v>
      </c>
      <c r="B85" s="10" t="inlineStr">
        <is>
          <t>Consumer Staples Merchandise Retail</t>
        </is>
      </c>
      <c r="C85" s="10" t="inlineStr">
        <is>
          <t>Consumer Staples Distribution &amp; Retail</t>
        </is>
      </c>
      <c r="D85" s="10" t="inlineStr">
        <is>
          <t>Consumer Staples</t>
        </is>
      </c>
      <c r="E85" s="11" t="inlineStr">
        <is>
          <t>A9_RetailDistribution</t>
        </is>
      </c>
      <c r="F85" s="10" t="inlineStr">
        <is>
          <t>Industry Group default</t>
        </is>
      </c>
    </row>
    <row r="86">
      <c r="A86" s="10" t="n">
        <v>30201010</v>
      </c>
      <c r="B86" s="10" t="inlineStr">
        <is>
          <t>Brewers</t>
        </is>
      </c>
      <c r="C86" s="10" t="inlineStr">
        <is>
          <t>Food, Beverage &amp; Tobacco</t>
        </is>
      </c>
      <c r="D86" s="10" t="inlineStr">
        <is>
          <t>Consumer Staples</t>
        </is>
      </c>
      <c r="E86" s="11" t="inlineStr">
        <is>
          <t>A14_ConsumerStaplesMfg</t>
        </is>
      </c>
      <c r="F86" s="10" t="inlineStr">
        <is>
          <t>Industry Group default</t>
        </is>
      </c>
    </row>
    <row r="87">
      <c r="A87" s="10" t="n">
        <v>30201020</v>
      </c>
      <c r="B87" s="10" t="inlineStr">
        <is>
          <t>Distillers &amp; Vintners</t>
        </is>
      </c>
      <c r="C87" s="10" t="inlineStr">
        <is>
          <t>Food, Beverage &amp; Tobacco</t>
        </is>
      </c>
      <c r="D87" s="10" t="inlineStr">
        <is>
          <t>Consumer Staples</t>
        </is>
      </c>
      <c r="E87" s="11" t="inlineStr">
        <is>
          <t>A14_ConsumerStaplesMfg</t>
        </is>
      </c>
      <c r="F87" s="10" t="inlineStr">
        <is>
          <t>Industry Group default</t>
        </is>
      </c>
    </row>
    <row r="88">
      <c r="A88" s="10" t="n">
        <v>30201030</v>
      </c>
      <c r="B88" s="10" t="inlineStr">
        <is>
          <t>Soft Drinks &amp; Non-alcoholic Beverages</t>
        </is>
      </c>
      <c r="C88" s="10" t="inlineStr">
        <is>
          <t>Food, Beverage &amp; Tobacco</t>
        </is>
      </c>
      <c r="D88" s="10" t="inlineStr">
        <is>
          <t>Consumer Staples</t>
        </is>
      </c>
      <c r="E88" s="11" t="inlineStr">
        <is>
          <t>A14_ConsumerStaplesMfg</t>
        </is>
      </c>
      <c r="F88" s="10" t="inlineStr">
        <is>
          <t>Industry Group default</t>
        </is>
      </c>
    </row>
    <row r="89">
      <c r="A89" s="10" t="n">
        <v>30202010</v>
      </c>
      <c r="B89" s="10" t="inlineStr">
        <is>
          <t>Agricultural Products &amp; Services</t>
        </is>
      </c>
      <c r="C89" s="10" t="inlineStr">
        <is>
          <t>Food, Beverage &amp; Tobacco</t>
        </is>
      </c>
      <c r="D89" s="10" t="inlineStr">
        <is>
          <t>Consumer Staples</t>
        </is>
      </c>
      <c r="E89" s="11" t="inlineStr">
        <is>
          <t>A14_ConsumerStaplesMfg</t>
        </is>
      </c>
      <c r="F89" s="10" t="inlineStr">
        <is>
          <t>Industry Group default</t>
        </is>
      </c>
    </row>
    <row r="90">
      <c r="A90" s="10" t="n">
        <v>30202030</v>
      </c>
      <c r="B90" s="10" t="inlineStr">
        <is>
          <t>Packaged Foods &amp; Meats</t>
        </is>
      </c>
      <c r="C90" s="10" t="inlineStr">
        <is>
          <t>Food, Beverage &amp; Tobacco</t>
        </is>
      </c>
      <c r="D90" s="10" t="inlineStr">
        <is>
          <t>Consumer Staples</t>
        </is>
      </c>
      <c r="E90" s="11" t="inlineStr">
        <is>
          <t>A14_ConsumerStaplesMfg</t>
        </is>
      </c>
      <c r="F90" s="10" t="inlineStr">
        <is>
          <t>Industry Group default</t>
        </is>
      </c>
    </row>
    <row r="91">
      <c r="A91" s="10" t="n">
        <v>30203010</v>
      </c>
      <c r="B91" s="10" t="inlineStr">
        <is>
          <t>Tobacco</t>
        </is>
      </c>
      <c r="C91" s="10" t="inlineStr">
        <is>
          <t>Food, Beverage &amp; Tobacco</t>
        </is>
      </c>
      <c r="D91" s="10" t="inlineStr">
        <is>
          <t>Consumer Staples</t>
        </is>
      </c>
      <c r="E91" s="11" t="inlineStr">
        <is>
          <t>A14_ConsumerStaplesMfg</t>
        </is>
      </c>
      <c r="F91" s="10" t="inlineStr">
        <is>
          <t>Industry Group default</t>
        </is>
      </c>
    </row>
    <row r="92">
      <c r="A92" s="10" t="n">
        <v>30301010</v>
      </c>
      <c r="B92" s="10" t="inlineStr">
        <is>
          <t>Household Products</t>
        </is>
      </c>
      <c r="C92" s="10" t="inlineStr">
        <is>
          <t>Household &amp; Personal Products</t>
        </is>
      </c>
      <c r="D92" s="10" t="inlineStr">
        <is>
          <t>Consumer Staples</t>
        </is>
      </c>
      <c r="E92" s="11" t="inlineStr">
        <is>
          <t>A14_ConsumerStaplesMfg</t>
        </is>
      </c>
      <c r="F92" s="10" t="inlineStr">
        <is>
          <t>Industry Group default</t>
        </is>
      </c>
    </row>
    <row r="93">
      <c r="A93" s="10" t="n">
        <v>30302010</v>
      </c>
      <c r="B93" s="10" t="inlineStr">
        <is>
          <t>Personal Care Products</t>
        </is>
      </c>
      <c r="C93" s="10" t="inlineStr">
        <is>
          <t>Household &amp; Personal Products</t>
        </is>
      </c>
      <c r="D93" s="10" t="inlineStr">
        <is>
          <t>Consumer Staples</t>
        </is>
      </c>
      <c r="E93" s="11" t="inlineStr">
        <is>
          <t>A14_ConsumerStaplesMfg</t>
        </is>
      </c>
      <c r="F93" s="10" t="inlineStr">
        <is>
          <t>Industry Group default</t>
        </is>
      </c>
    </row>
    <row r="94">
      <c r="A94" s="10" t="n">
        <v>35101010</v>
      </c>
      <c r="B94" s="10" t="inlineStr">
        <is>
          <t>Health Care Equipment</t>
        </is>
      </c>
      <c r="C94" s="10" t="inlineStr">
        <is>
          <t>Health Care Equipment &amp; Services</t>
        </is>
      </c>
      <c r="D94" s="10" t="inlineStr">
        <is>
          <t>Health Care</t>
        </is>
      </c>
      <c r="E94" s="11" t="inlineStr">
        <is>
          <t>A5_HealthcareServices</t>
        </is>
      </c>
      <c r="F94" s="10" t="inlineStr">
        <is>
          <t>Industry Group default</t>
        </is>
      </c>
    </row>
    <row r="95">
      <c r="A95" s="10" t="n">
        <v>35101020</v>
      </c>
      <c r="B95" s="10" t="inlineStr">
        <is>
          <t>Health Care Supplies</t>
        </is>
      </c>
      <c r="C95" s="10" t="inlineStr">
        <is>
          <t>Health Care Equipment &amp; Services</t>
        </is>
      </c>
      <c r="D95" s="10" t="inlineStr">
        <is>
          <t>Health Care</t>
        </is>
      </c>
      <c r="E95" s="11" t="inlineStr">
        <is>
          <t>A5_HealthcareServices</t>
        </is>
      </c>
      <c r="F95" s="10" t="inlineStr">
        <is>
          <t>Industry Group default</t>
        </is>
      </c>
    </row>
    <row r="96">
      <c r="A96" s="10" t="n">
        <v>35102010</v>
      </c>
      <c r="B96" s="10" t="inlineStr">
        <is>
          <t>Health Care Distributors</t>
        </is>
      </c>
      <c r="C96" s="10" t="inlineStr">
        <is>
          <t>Health Care Equipment &amp; Services</t>
        </is>
      </c>
      <c r="D96" s="10" t="inlineStr">
        <is>
          <t>Health Care</t>
        </is>
      </c>
      <c r="E96" s="11" t="inlineStr">
        <is>
          <t>A9_RetailDistribution</t>
        </is>
      </c>
      <c r="F96" s="10" t="inlineStr">
        <is>
          <t>Health Care Distributors -- distribution workforce, not clinical/support staff</t>
        </is>
      </c>
    </row>
    <row r="97">
      <c r="A97" s="10" t="n">
        <v>35102015</v>
      </c>
      <c r="B97" s="10" t="inlineStr">
        <is>
          <t>Health Care Services</t>
        </is>
      </c>
      <c r="C97" s="10" t="inlineStr">
        <is>
          <t>Health Care Equipment &amp; Services</t>
        </is>
      </c>
      <c r="D97" s="10" t="inlineStr">
        <is>
          <t>Health Care</t>
        </is>
      </c>
      <c r="E97" s="11" t="inlineStr">
        <is>
          <t>A5_HealthcareServices</t>
        </is>
      </c>
      <c r="F97" s="10" t="inlineStr">
        <is>
          <t>Industry Group default</t>
        </is>
      </c>
    </row>
    <row r="98">
      <c r="A98" s="10" t="n">
        <v>35102020</v>
      </c>
      <c r="B98" s="10" t="inlineStr">
        <is>
          <t>Health Care Facilities</t>
        </is>
      </c>
      <c r="C98" s="10" t="inlineStr">
        <is>
          <t>Health Care Equipment &amp; Services</t>
        </is>
      </c>
      <c r="D98" s="10" t="inlineStr">
        <is>
          <t>Health Care</t>
        </is>
      </c>
      <c r="E98" s="11" t="inlineStr">
        <is>
          <t>A5_HealthcareServices</t>
        </is>
      </c>
      <c r="F98" s="10" t="inlineStr">
        <is>
          <t>Industry Group default</t>
        </is>
      </c>
    </row>
    <row r="99">
      <c r="A99" s="10" t="n">
        <v>35102030</v>
      </c>
      <c r="B99" s="10" t="inlineStr">
        <is>
          <t>Managed Health Care</t>
        </is>
      </c>
      <c r="C99" s="10" t="inlineStr">
        <is>
          <t>Health Care Equipment &amp; Services</t>
        </is>
      </c>
      <c r="D99" s="10" t="inlineStr">
        <is>
          <t>Health Care</t>
        </is>
      </c>
      <c r="E99" s="11" t="inlineStr">
        <is>
          <t>A5_HealthcareServices</t>
        </is>
      </c>
      <c r="F99" s="10" t="inlineStr">
        <is>
          <t>Industry Group default</t>
        </is>
      </c>
    </row>
    <row r="100">
      <c r="A100" s="10" t="n">
        <v>35103010</v>
      </c>
      <c r="B100" s="10" t="inlineStr">
        <is>
          <t>Health Care Technology</t>
        </is>
      </c>
      <c r="C100" s="10" t="inlineStr">
        <is>
          <t>Health Care Equipment &amp; Services</t>
        </is>
      </c>
      <c r="D100" s="10" t="inlineStr">
        <is>
          <t>Health Care</t>
        </is>
      </c>
      <c r="E100" s="11" t="inlineStr">
        <is>
          <t>A2_ITConsultingData</t>
        </is>
      </c>
      <c r="F100" s="10" t="inlineStr">
        <is>
          <t>Health Care Technology -- health IT/software workforce, not clinical staff</t>
        </is>
      </c>
    </row>
    <row r="101">
      <c r="A101" s="10" t="n">
        <v>35201010</v>
      </c>
      <c r="B101" s="10" t="inlineStr">
        <is>
          <t>Biotechnology</t>
        </is>
      </c>
      <c r="C101" s="10" t="inlineStr">
        <is>
          <t>Pharmaceuticals, Biotechnology &amp; Life Sciences</t>
        </is>
      </c>
      <c r="D101" s="10" t="inlineStr">
        <is>
          <t>Health Care</t>
        </is>
      </c>
      <c r="E101" s="11" t="inlineStr">
        <is>
          <t>A6_HealthcareProductsBiotech</t>
        </is>
      </c>
      <c r="F101" s="10" t="inlineStr">
        <is>
          <t>Industry Group default</t>
        </is>
      </c>
    </row>
    <row r="102">
      <c r="A102" s="10" t="n">
        <v>35202010</v>
      </c>
      <c r="B102" s="10" t="inlineStr">
        <is>
          <t>Pharmaceuticals</t>
        </is>
      </c>
      <c r="C102" s="10" t="inlineStr">
        <is>
          <t>Pharmaceuticals, Biotechnology &amp; Life Sciences</t>
        </is>
      </c>
      <c r="D102" s="10" t="inlineStr">
        <is>
          <t>Health Care</t>
        </is>
      </c>
      <c r="E102" s="11" t="inlineStr">
        <is>
          <t>A6_HealthcareProductsBiotech</t>
        </is>
      </c>
      <c r="F102" s="10" t="inlineStr">
        <is>
          <t>Industry Group default</t>
        </is>
      </c>
    </row>
    <row r="103">
      <c r="A103" s="10" t="n">
        <v>35203010</v>
      </c>
      <c r="B103" s="10" t="inlineStr">
        <is>
          <t>Life Sciences Tools &amp; Services</t>
        </is>
      </c>
      <c r="C103" s="10" t="inlineStr">
        <is>
          <t>Pharmaceuticals, Biotechnology &amp; Life Sciences</t>
        </is>
      </c>
      <c r="D103" s="10" t="inlineStr">
        <is>
          <t>Health Care</t>
        </is>
      </c>
      <c r="E103" s="11" t="inlineStr">
        <is>
          <t>A6_HealthcareProductsBiotech</t>
        </is>
      </c>
      <c r="F103" s="10" t="inlineStr">
        <is>
          <t>Industry Group default</t>
        </is>
      </c>
    </row>
    <row r="104">
      <c r="A104" s="10" t="n">
        <v>40101010</v>
      </c>
      <c r="B104" s="10" t="inlineStr">
        <is>
          <t>Diversified Banks</t>
        </is>
      </c>
      <c r="C104" s="10" t="inlineStr">
        <is>
          <t>Banks</t>
        </is>
      </c>
      <c r="D104" s="10" t="inlineStr">
        <is>
          <t>Financials</t>
        </is>
      </c>
      <c r="E104" s="11" t="inlineStr">
        <is>
          <t>A3_BankingFinServ</t>
        </is>
      </c>
      <c r="F104" s="10" t="inlineStr">
        <is>
          <t>Industry Group default</t>
        </is>
      </c>
    </row>
    <row r="105">
      <c r="A105" s="10" t="n">
        <v>40101015</v>
      </c>
      <c r="B105" s="10" t="inlineStr">
        <is>
          <t>Regional Banks</t>
        </is>
      </c>
      <c r="C105" s="10" t="inlineStr">
        <is>
          <t>Banks</t>
        </is>
      </c>
      <c r="D105" s="10" t="inlineStr">
        <is>
          <t>Financials</t>
        </is>
      </c>
      <c r="E105" s="11" t="inlineStr">
        <is>
          <t>A3_BankingFinServ</t>
        </is>
      </c>
      <c r="F105" s="10" t="inlineStr">
        <is>
          <t>Industry Group default</t>
        </is>
      </c>
    </row>
    <row r="106">
      <c r="A106" s="10" t="n">
        <v>40201020</v>
      </c>
      <c r="B106" s="10" t="inlineStr">
        <is>
          <t>Diversified Financial Services</t>
        </is>
      </c>
      <c r="C106" s="10" t="inlineStr">
        <is>
          <t>Financial Services</t>
        </is>
      </c>
      <c r="D106" s="10" t="inlineStr">
        <is>
          <t>Financials</t>
        </is>
      </c>
      <c r="E106" s="11" t="inlineStr">
        <is>
          <t>A3_BankingFinServ</t>
        </is>
      </c>
      <c r="F106" s="10" t="inlineStr">
        <is>
          <t>explicit sub-industry override</t>
        </is>
      </c>
    </row>
    <row r="107">
      <c r="A107" s="10" t="n">
        <v>40201030</v>
      </c>
      <c r="B107" s="10" t="inlineStr">
        <is>
          <t>Multi-Sector Holdings</t>
        </is>
      </c>
      <c r="C107" s="10" t="inlineStr">
        <is>
          <t>Financial Services</t>
        </is>
      </c>
      <c r="D107" s="10" t="inlineStr">
        <is>
          <t>Financials</t>
        </is>
      </c>
      <c r="E107" s="11" t="inlineStr">
        <is>
          <t>A3_BankingFinServ</t>
        </is>
      </c>
      <c r="F107" s="10" t="inlineStr">
        <is>
          <t>explicit sub-industry override</t>
        </is>
      </c>
    </row>
    <row r="108">
      <c r="A108" s="10" t="n">
        <v>40201040</v>
      </c>
      <c r="B108" s="10" t="inlineStr">
        <is>
          <t>Specialized Finance</t>
        </is>
      </c>
      <c r="C108" s="10" t="inlineStr">
        <is>
          <t>Financial Services</t>
        </is>
      </c>
      <c r="D108" s="10" t="inlineStr">
        <is>
          <t>Financials</t>
        </is>
      </c>
      <c r="E108" s="11" t="inlineStr">
        <is>
          <t>A3_BankingFinServ</t>
        </is>
      </c>
      <c r="F108" s="10" t="inlineStr">
        <is>
          <t>explicit sub-industry override</t>
        </is>
      </c>
    </row>
    <row r="109">
      <c r="A109" s="10" t="n">
        <v>40201050</v>
      </c>
      <c r="B109" s="10" t="inlineStr">
        <is>
          <t>Commercial &amp; Residential Mortgage Finance</t>
        </is>
      </c>
      <c r="C109" s="10" t="inlineStr">
        <is>
          <t>Financial Services</t>
        </is>
      </c>
      <c r="D109" s="10" t="inlineStr">
        <is>
          <t>Financials</t>
        </is>
      </c>
      <c r="E109" s="11" t="inlineStr">
        <is>
          <t>A3_BankingFinServ</t>
        </is>
      </c>
      <c r="F109" s="10" t="inlineStr">
        <is>
          <t>explicit sub-industry override</t>
        </is>
      </c>
    </row>
    <row r="110">
      <c r="A110" s="10" t="n">
        <v>40201060</v>
      </c>
      <c r="B110" s="10" t="inlineStr">
        <is>
          <t>Transaction &amp; Payment Processing Services</t>
        </is>
      </c>
      <c r="C110" s="10" t="inlineStr">
        <is>
          <t>Financial Services</t>
        </is>
      </c>
      <c r="D110" s="10" t="inlineStr">
        <is>
          <t>Financials</t>
        </is>
      </c>
      <c r="E110" s="11" t="inlineStr">
        <is>
          <t>A3_BankingFinServ</t>
        </is>
      </c>
      <c r="F110" s="10" t="inlineStr">
        <is>
          <t>explicit sub-industry override</t>
        </is>
      </c>
    </row>
    <row r="111">
      <c r="A111" s="10" t="n">
        <v>40202010</v>
      </c>
      <c r="B111" s="10" t="inlineStr">
        <is>
          <t>Consumer Finance</t>
        </is>
      </c>
      <c r="C111" s="10" t="inlineStr">
        <is>
          <t>Financial Services</t>
        </is>
      </c>
      <c r="D111" s="10" t="inlineStr">
        <is>
          <t>Financials</t>
        </is>
      </c>
      <c r="E111" s="11" t="inlineStr">
        <is>
          <t>A3_BankingFinServ</t>
        </is>
      </c>
      <c r="F111" s="10" t="inlineStr">
        <is>
          <t>Consumer Finance -- transactional/collections workforce</t>
        </is>
      </c>
    </row>
    <row r="112">
      <c r="A112" s="10" t="n">
        <v>40203010</v>
      </c>
      <c r="B112" s="10" t="inlineStr">
        <is>
          <t>Asset Management &amp; Custody Banks</t>
        </is>
      </c>
      <c r="C112" s="10" t="inlineStr">
        <is>
          <t>Financial Services</t>
        </is>
      </c>
      <c r="D112" s="10" t="inlineStr">
        <is>
          <t>Financials</t>
        </is>
      </c>
      <c r="E112" s="11" t="inlineStr">
        <is>
          <t>A3_BankingFinServ</t>
        </is>
      </c>
      <c r="F112" s="10" t="inlineStr">
        <is>
          <t>Industry Group default</t>
        </is>
      </c>
    </row>
    <row r="113">
      <c r="A113" s="10" t="n">
        <v>40203020</v>
      </c>
      <c r="B113" s="10" t="inlineStr">
        <is>
          <t>Investment Banking &amp; Brokerage</t>
        </is>
      </c>
      <c r="C113" s="10" t="inlineStr">
        <is>
          <t>Financial Services</t>
        </is>
      </c>
      <c r="D113" s="10" t="inlineStr">
        <is>
          <t>Financials</t>
        </is>
      </c>
      <c r="E113" s="11" t="inlineStr">
        <is>
          <t>A3_BankingFinServ</t>
        </is>
      </c>
      <c r="F113" s="10" t="inlineStr">
        <is>
          <t>Industry Group default</t>
        </is>
      </c>
    </row>
    <row r="114">
      <c r="A114" s="10" t="n">
        <v>40203030</v>
      </c>
      <c r="B114" s="10" t="inlineStr">
        <is>
          <t>Diversified Capital Markets</t>
        </is>
      </c>
      <c r="C114" s="10" t="inlineStr">
        <is>
          <t>Financial Services</t>
        </is>
      </c>
      <c r="D114" s="10" t="inlineStr">
        <is>
          <t>Financials</t>
        </is>
      </c>
      <c r="E114" s="11" t="inlineStr">
        <is>
          <t>A3_BankingFinServ</t>
        </is>
      </c>
      <c r="F114" s="10" t="inlineStr">
        <is>
          <t>Industry Group default</t>
        </is>
      </c>
    </row>
    <row r="115">
      <c r="A115" s="10" t="n">
        <v>40203040</v>
      </c>
      <c r="B115" s="10" t="inlineStr">
        <is>
          <t>Financial Exchanges &amp; Data</t>
        </is>
      </c>
      <c r="C115" s="10" t="inlineStr">
        <is>
          <t>Financial Services</t>
        </is>
      </c>
      <c r="D115" s="10" t="inlineStr">
        <is>
          <t>Financials</t>
        </is>
      </c>
      <c r="E115" s="11" t="inlineStr">
        <is>
          <t>A3_BankingFinServ</t>
        </is>
      </c>
      <c r="F115" s="10" t="inlineStr">
        <is>
          <t>Industry Group default</t>
        </is>
      </c>
    </row>
    <row r="116">
      <c r="A116" s="10" t="n">
        <v>40204010</v>
      </c>
      <c r="B116" s="10" t="inlineStr">
        <is>
          <t>Mortgage REITs*</t>
        </is>
      </c>
      <c r="C116" s="10" t="inlineStr">
        <is>
          <t>Financial Services</t>
        </is>
      </c>
      <c r="D116" s="10" t="inlineStr">
        <is>
          <t>Financials</t>
        </is>
      </c>
      <c r="E116" s="11" t="inlineStr">
        <is>
          <t>A16_RealEstate</t>
        </is>
      </c>
      <c r="F116" s="10" t="inlineStr">
        <is>
          <t>Mortgage REITs -- real-estate-finance vehicle, not banking operations</t>
        </is>
      </c>
    </row>
    <row r="117">
      <c r="A117" s="10" t="n">
        <v>40301010</v>
      </c>
      <c r="B117" s="10" t="inlineStr">
        <is>
          <t>Insurance Brokers</t>
        </is>
      </c>
      <c r="C117" s="10" t="inlineStr">
        <is>
          <t>Insurance</t>
        </is>
      </c>
      <c r="D117" s="10" t="inlineStr">
        <is>
          <t>Financials</t>
        </is>
      </c>
      <c r="E117" s="11" t="inlineStr">
        <is>
          <t>A21_InsuranceBrokers</t>
        </is>
      </c>
      <c r="F117" s="10" t="inlineStr">
        <is>
          <t>Insurance Brokers -- sales-led distribution workforce, distinct from underwriters</t>
        </is>
      </c>
    </row>
    <row r="118">
      <c r="A118" s="10" t="n">
        <v>40301020</v>
      </c>
      <c r="B118" s="10" t="inlineStr">
        <is>
          <t>Life &amp; Health Insurance</t>
        </is>
      </c>
      <c r="C118" s="10" t="inlineStr">
        <is>
          <t>Insurance</t>
        </is>
      </c>
      <c r="D118" s="10" t="inlineStr">
        <is>
          <t>Financials</t>
        </is>
      </c>
      <c r="E118" s="11" t="inlineStr">
        <is>
          <t>A4_AssetMgmtCapMkts</t>
        </is>
      </c>
      <c r="F118" s="10" t="inlineStr">
        <is>
          <t>Industry Group default</t>
        </is>
      </c>
    </row>
    <row r="119">
      <c r="A119" s="10" t="n">
        <v>40301030</v>
      </c>
      <c r="B119" s="10" t="inlineStr">
        <is>
          <t>Multi-line Insurance</t>
        </is>
      </c>
      <c r="C119" s="10" t="inlineStr">
        <is>
          <t>Insurance</t>
        </is>
      </c>
      <c r="D119" s="10" t="inlineStr">
        <is>
          <t>Financials</t>
        </is>
      </c>
      <c r="E119" s="11" t="inlineStr">
        <is>
          <t>A4_AssetMgmtCapMkts</t>
        </is>
      </c>
      <c r="F119" s="10" t="inlineStr">
        <is>
          <t>Industry Group default</t>
        </is>
      </c>
    </row>
    <row r="120">
      <c r="A120" s="10" t="n">
        <v>40301040</v>
      </c>
      <c r="B120" s="10" t="inlineStr">
        <is>
          <t>Property &amp; Casualty Insurance</t>
        </is>
      </c>
      <c r="C120" s="10" t="inlineStr">
        <is>
          <t>Insurance</t>
        </is>
      </c>
      <c r="D120" s="10" t="inlineStr">
        <is>
          <t>Financials</t>
        </is>
      </c>
      <c r="E120" s="11" t="inlineStr">
        <is>
          <t>A4_AssetMgmtCapMkts</t>
        </is>
      </c>
      <c r="F120" s="10" t="inlineStr">
        <is>
          <t>Industry Group default</t>
        </is>
      </c>
    </row>
    <row r="121">
      <c r="A121" s="10" t="n">
        <v>40301050</v>
      </c>
      <c r="B121" s="10" t="inlineStr">
        <is>
          <t>Reinsurance</t>
        </is>
      </c>
      <c r="C121" s="10" t="inlineStr">
        <is>
          <t>Insurance</t>
        </is>
      </c>
      <c r="D121" s="10" t="inlineStr">
        <is>
          <t>Financials</t>
        </is>
      </c>
      <c r="E121" s="11" t="inlineStr">
        <is>
          <t>A4_AssetMgmtCapMkts</t>
        </is>
      </c>
      <c r="F121" s="10" t="inlineStr">
        <is>
          <t>Industry Group default</t>
        </is>
      </c>
    </row>
    <row r="122">
      <c r="A122" s="10" t="n">
        <v>45102010</v>
      </c>
      <c r="B122" s="10" t="inlineStr">
        <is>
          <t>IT Consulting &amp; Other Services</t>
        </is>
      </c>
      <c r="C122" s="10" t="inlineStr">
        <is>
          <t>Software &amp; Services</t>
        </is>
      </c>
      <c r="D122" s="10" t="inlineStr">
        <is>
          <t>Information Technology</t>
        </is>
      </c>
      <c r="E122" s="11" t="inlineStr">
        <is>
          <t>A1_Software</t>
        </is>
      </c>
      <c r="F122" s="10" t="inlineStr">
        <is>
          <t>Industry Group default</t>
        </is>
      </c>
    </row>
    <row r="123">
      <c r="A123" s="10" t="n">
        <v>45102030</v>
      </c>
      <c r="B123" s="10" t="inlineStr">
        <is>
          <t>Internet Services &amp; Infrastructure</t>
        </is>
      </c>
      <c r="C123" s="10" t="inlineStr">
        <is>
          <t>Software &amp; Services</t>
        </is>
      </c>
      <c r="D123" s="10" t="inlineStr">
        <is>
          <t>Information Technology</t>
        </is>
      </c>
      <c r="E123" s="11" t="inlineStr">
        <is>
          <t>A1_Software</t>
        </is>
      </c>
      <c r="F123" s="10" t="inlineStr">
        <is>
          <t>Industry Group default</t>
        </is>
      </c>
    </row>
    <row r="124">
      <c r="A124" s="10" t="n">
        <v>45103010</v>
      </c>
      <c r="B124" s="10" t="inlineStr">
        <is>
          <t>Application Software</t>
        </is>
      </c>
      <c r="C124" s="10" t="inlineStr">
        <is>
          <t>Software &amp; Services</t>
        </is>
      </c>
      <c r="D124" s="10" t="inlineStr">
        <is>
          <t>Information Technology</t>
        </is>
      </c>
      <c r="E124" s="11" t="inlineStr">
        <is>
          <t>A1_Software</t>
        </is>
      </c>
      <c r="F124" s="10" t="inlineStr">
        <is>
          <t>Industry Group default</t>
        </is>
      </c>
    </row>
    <row r="125">
      <c r="A125" s="10" t="n">
        <v>45103020</v>
      </c>
      <c r="B125" s="10" t="inlineStr">
        <is>
          <t>Systems Software</t>
        </is>
      </c>
      <c r="C125" s="10" t="inlineStr">
        <is>
          <t>Software &amp; Services</t>
        </is>
      </c>
      <c r="D125" s="10" t="inlineStr">
        <is>
          <t>Information Technology</t>
        </is>
      </c>
      <c r="E125" s="11" t="inlineStr">
        <is>
          <t>A1_Software</t>
        </is>
      </c>
      <c r="F125" s="10" t="inlineStr">
        <is>
          <t>Industry Group default</t>
        </is>
      </c>
    </row>
    <row r="126">
      <c r="A126" s="10" t="n">
        <v>45201020</v>
      </c>
      <c r="B126" s="10" t="inlineStr">
        <is>
          <t>Communications Equipment</t>
        </is>
      </c>
      <c r="C126" s="10" t="inlineStr">
        <is>
          <t>Technology Hardware &amp; Equipment</t>
        </is>
      </c>
      <c r="D126" s="10" t="inlineStr">
        <is>
          <t>Information Technology</t>
        </is>
      </c>
      <c r="E126" s="11" t="inlineStr">
        <is>
          <t>A10_IndustrialsMachinery</t>
        </is>
      </c>
      <c r="F126" s="10" t="inlineStr">
        <is>
          <t>Industry Group default</t>
        </is>
      </c>
    </row>
    <row r="127">
      <c r="A127" s="10" t="n">
        <v>45202030</v>
      </c>
      <c r="B127" s="10" t="inlineStr">
        <is>
          <t>Technology Hardware, Storage &amp; Peripherals</t>
        </is>
      </c>
      <c r="C127" s="10" t="inlineStr">
        <is>
          <t>Technology Hardware &amp; Equipment</t>
        </is>
      </c>
      <c r="D127" s="10" t="inlineStr">
        <is>
          <t>Information Technology</t>
        </is>
      </c>
      <c r="E127" s="11" t="inlineStr">
        <is>
          <t>A10_IndustrialsMachinery</t>
        </is>
      </c>
      <c r="F127" s="10" t="inlineStr">
        <is>
          <t>Industry Group default</t>
        </is>
      </c>
    </row>
    <row r="128">
      <c r="A128" s="10" t="n">
        <v>45203010</v>
      </c>
      <c r="B128" s="10" t="inlineStr">
        <is>
          <t>Electronic Equipment &amp; Instruments</t>
        </is>
      </c>
      <c r="C128" s="10" t="inlineStr">
        <is>
          <t>Technology Hardware &amp; Equipment</t>
        </is>
      </c>
      <c r="D128" s="10" t="inlineStr">
        <is>
          <t>Information Technology</t>
        </is>
      </c>
      <c r="E128" s="11" t="inlineStr">
        <is>
          <t>A10_IndustrialsMachinery</t>
        </is>
      </c>
      <c r="F128" s="10" t="inlineStr">
        <is>
          <t>Industry Group default</t>
        </is>
      </c>
    </row>
    <row r="129">
      <c r="A129" s="10" t="n">
        <v>45203015</v>
      </c>
      <c r="B129" s="10" t="inlineStr">
        <is>
          <t>Electronic Components</t>
        </is>
      </c>
      <c r="C129" s="10" t="inlineStr">
        <is>
          <t>Technology Hardware &amp; Equipment</t>
        </is>
      </c>
      <c r="D129" s="10" t="inlineStr">
        <is>
          <t>Information Technology</t>
        </is>
      </c>
      <c r="E129" s="11" t="inlineStr">
        <is>
          <t>A10_IndustrialsMachinery</t>
        </is>
      </c>
      <c r="F129" s="10" t="inlineStr">
        <is>
          <t>Industry Group default</t>
        </is>
      </c>
    </row>
    <row r="130">
      <c r="A130" s="10" t="n">
        <v>45203020</v>
      </c>
      <c r="B130" s="10" t="inlineStr">
        <is>
          <t>Electronic Manufacturing Services</t>
        </is>
      </c>
      <c r="C130" s="10" t="inlineStr">
        <is>
          <t>Technology Hardware &amp; Equipment</t>
        </is>
      </c>
      <c r="D130" s="10" t="inlineStr">
        <is>
          <t>Information Technology</t>
        </is>
      </c>
      <c r="E130" s="11" t="inlineStr">
        <is>
          <t>A10_IndustrialsMachinery</t>
        </is>
      </c>
      <c r="F130" s="10" t="inlineStr">
        <is>
          <t>Industry Group default</t>
        </is>
      </c>
    </row>
    <row r="131">
      <c r="A131" s="10" t="n">
        <v>45203030</v>
      </c>
      <c r="B131" s="10" t="inlineStr">
        <is>
          <t>Technology Distributors</t>
        </is>
      </c>
      <c r="C131" s="10" t="inlineStr">
        <is>
          <t>Technology Hardware &amp; Equipment</t>
        </is>
      </c>
      <c r="D131" s="10" t="inlineStr">
        <is>
          <t>Information Technology</t>
        </is>
      </c>
      <c r="E131" s="11" t="inlineStr">
        <is>
          <t>A9_RetailDistribution</t>
        </is>
      </c>
      <c r="F131" s="10" t="inlineStr">
        <is>
          <t>Technology Distributors -- distribution workforce, not hardware manufacturing</t>
        </is>
      </c>
    </row>
    <row r="132">
      <c r="A132" s="10" t="n">
        <v>45301010</v>
      </c>
      <c r="B132" s="10" t="inlineStr">
        <is>
          <t>Semiconductor Materials &amp; Equipment</t>
        </is>
      </c>
      <c r="C132" s="10" t="inlineStr">
        <is>
          <t>Semiconductors &amp; Semiconductor Equipment</t>
        </is>
      </c>
      <c r="D132" s="10" t="inlineStr">
        <is>
          <t>Information Technology</t>
        </is>
      </c>
      <c r="E132" s="11" t="inlineStr">
        <is>
          <t>A10_IndustrialsMachinery</t>
        </is>
      </c>
      <c r="F132" s="10" t="inlineStr">
        <is>
          <t>Industry Group default</t>
        </is>
      </c>
    </row>
    <row r="133">
      <c r="A133" s="10" t="n">
        <v>45301020</v>
      </c>
      <c r="B133" s="10" t="inlineStr">
        <is>
          <t>Semiconductors</t>
        </is>
      </c>
      <c r="C133" s="10" t="inlineStr">
        <is>
          <t>Semiconductors &amp; Semiconductor Equipment</t>
        </is>
      </c>
      <c r="D133" s="10" t="inlineStr">
        <is>
          <t>Information Technology</t>
        </is>
      </c>
      <c r="E133" s="11" t="inlineStr">
        <is>
          <t>A10_IndustrialsMachinery</t>
        </is>
      </c>
      <c r="F133" s="10" t="inlineStr">
        <is>
          <t>Industry Group default</t>
        </is>
      </c>
    </row>
    <row r="134">
      <c r="A134" s="10" t="n">
        <v>50101010</v>
      </c>
      <c r="B134" s="10" t="inlineStr">
        <is>
          <t>Alternative Carriers</t>
        </is>
      </c>
      <c r="C134" s="10" t="inlineStr">
        <is>
          <t>Telecommunication Services</t>
        </is>
      </c>
      <c r="D134" s="10" t="inlineStr">
        <is>
          <t>Communication Services</t>
        </is>
      </c>
      <c r="E134" s="11" t="inlineStr">
        <is>
          <t>A19_TelecomServices</t>
        </is>
      </c>
      <c r="F134" s="10" t="inlineStr">
        <is>
          <t>Industry Group default</t>
        </is>
      </c>
    </row>
    <row r="135">
      <c r="A135" s="10" t="n">
        <v>50101020</v>
      </c>
      <c r="B135" s="10" t="inlineStr">
        <is>
          <t>Integrated Telecommunication Services</t>
        </is>
      </c>
      <c r="C135" s="10" t="inlineStr">
        <is>
          <t>Telecommunication Services</t>
        </is>
      </c>
      <c r="D135" s="10" t="inlineStr">
        <is>
          <t>Communication Services</t>
        </is>
      </c>
      <c r="E135" s="11" t="inlineStr">
        <is>
          <t>A19_TelecomServices</t>
        </is>
      </c>
      <c r="F135" s="10" t="inlineStr">
        <is>
          <t>Industry Group default</t>
        </is>
      </c>
    </row>
    <row r="136">
      <c r="A136" s="10" t="n">
        <v>50102010</v>
      </c>
      <c r="B136" s="10" t="inlineStr">
        <is>
          <t>Wireless Telecommunication Services</t>
        </is>
      </c>
      <c r="C136" s="10" t="inlineStr">
        <is>
          <t>Telecommunication Services</t>
        </is>
      </c>
      <c r="D136" s="10" t="inlineStr">
        <is>
          <t>Communication Services</t>
        </is>
      </c>
      <c r="E136" s="11" t="inlineStr">
        <is>
          <t>A19_TelecomServices</t>
        </is>
      </c>
      <c r="F136" s="10" t="inlineStr">
        <is>
          <t>Industry Group default</t>
        </is>
      </c>
    </row>
    <row r="137">
      <c r="A137" s="10" t="n">
        <v>50201010</v>
      </c>
      <c r="B137" s="10" t="inlineStr">
        <is>
          <t>Advertising</t>
        </is>
      </c>
      <c r="C137" s="10" t="inlineStr">
        <is>
          <t>Media &amp; Entertainment</t>
        </is>
      </c>
      <c r="D137" s="10" t="inlineStr">
        <is>
          <t>Communication Services</t>
        </is>
      </c>
      <c r="E137" s="11" t="inlineStr">
        <is>
          <t>A7_MediaAdvertising</t>
        </is>
      </c>
      <c r="F137" s="10" t="inlineStr">
        <is>
          <t>Industry Group default</t>
        </is>
      </c>
    </row>
    <row r="138">
      <c r="A138" s="10" t="n">
        <v>50201020</v>
      </c>
      <c r="B138" s="10" t="inlineStr">
        <is>
          <t>Broadcasting</t>
        </is>
      </c>
      <c r="C138" s="10" t="inlineStr">
        <is>
          <t>Media &amp; Entertainment</t>
        </is>
      </c>
      <c r="D138" s="10" t="inlineStr">
        <is>
          <t>Communication Services</t>
        </is>
      </c>
      <c r="E138" s="11" t="inlineStr">
        <is>
          <t>A7_MediaAdvertising</t>
        </is>
      </c>
      <c r="F138" s="10" t="inlineStr">
        <is>
          <t>Industry Group default</t>
        </is>
      </c>
    </row>
    <row r="139">
      <c r="A139" s="10" t="n">
        <v>50201030</v>
      </c>
      <c r="B139" s="10" t="inlineStr">
        <is>
          <t>Cable &amp; Satellite</t>
        </is>
      </c>
      <c r="C139" s="10" t="inlineStr">
        <is>
          <t>Media &amp; Entertainment</t>
        </is>
      </c>
      <c r="D139" s="10" t="inlineStr">
        <is>
          <t>Communication Services</t>
        </is>
      </c>
      <c r="E139" s="11" t="inlineStr">
        <is>
          <t>A19_TelecomServices</t>
        </is>
      </c>
      <c r="F139" s="10" t="inlineStr">
        <is>
          <t>Cable &amp; Satellite -- infrastructure/network workforce, not content/ad-sales</t>
        </is>
      </c>
    </row>
    <row r="140">
      <c r="A140" s="10" t="n">
        <v>50201040</v>
      </c>
      <c r="B140" s="10" t="inlineStr">
        <is>
          <t>Publishing</t>
        </is>
      </c>
      <c r="C140" s="10" t="inlineStr">
        <is>
          <t>Media &amp; Entertainment</t>
        </is>
      </c>
      <c r="D140" s="10" t="inlineStr">
        <is>
          <t>Communication Services</t>
        </is>
      </c>
      <c r="E140" s="11" t="inlineStr">
        <is>
          <t>A7_MediaAdvertising</t>
        </is>
      </c>
      <c r="F140" s="10" t="inlineStr">
        <is>
          <t>Industry Group default</t>
        </is>
      </c>
    </row>
    <row r="141">
      <c r="A141" s="10" t="n">
        <v>50202010</v>
      </c>
      <c r="B141" s="10" t="inlineStr">
        <is>
          <t>Movies &amp; Entertainment</t>
        </is>
      </c>
      <c r="C141" s="10" t="inlineStr">
        <is>
          <t>Media &amp; Entertainment</t>
        </is>
      </c>
      <c r="D141" s="10" t="inlineStr">
        <is>
          <t>Communication Services</t>
        </is>
      </c>
      <c r="E141" s="11" t="inlineStr">
        <is>
          <t>A7_MediaAdvertising</t>
        </is>
      </c>
      <c r="F141" s="10" t="inlineStr">
        <is>
          <t>Industry Group default</t>
        </is>
      </c>
    </row>
    <row r="142">
      <c r="A142" s="10" t="n">
        <v>50202020</v>
      </c>
      <c r="B142" s="10" t="inlineStr">
        <is>
          <t>Interactive Home Entertainment</t>
        </is>
      </c>
      <c r="C142" s="10" t="inlineStr">
        <is>
          <t>Media &amp; Entertainment</t>
        </is>
      </c>
      <c r="D142" s="10" t="inlineStr">
        <is>
          <t>Communication Services</t>
        </is>
      </c>
      <c r="E142" s="11" t="inlineStr">
        <is>
          <t>A1_Software</t>
        </is>
      </c>
      <c r="F142" s="10" t="inlineStr">
        <is>
          <t>Interactive Home Entertainment -- games studios are software-development workforces</t>
        </is>
      </c>
    </row>
    <row r="143">
      <c r="A143" s="10" t="n">
        <v>50203010</v>
      </c>
      <c r="B143" s="10" t="inlineStr">
        <is>
          <t>Interactive Media &amp; Services</t>
        </is>
      </c>
      <c r="C143" s="10" t="inlineStr">
        <is>
          <t>Media &amp; Entertainment</t>
        </is>
      </c>
      <c r="D143" s="10" t="inlineStr">
        <is>
          <t>Communication Services</t>
        </is>
      </c>
      <c r="E143" s="11" t="inlineStr">
        <is>
          <t>A1_Software</t>
        </is>
      </c>
      <c r="F143" s="10" t="inlineStr">
        <is>
          <t>Interactive Media &amp; Services -- digital platform/tech workforce</t>
        </is>
      </c>
    </row>
    <row r="144">
      <c r="A144" s="10" t="n">
        <v>55101010</v>
      </c>
      <c r="B144" s="10" t="inlineStr">
        <is>
          <t>Electric Utilities</t>
        </is>
      </c>
      <c r="C144" s="10" t="inlineStr">
        <is>
          <t>Utilities</t>
        </is>
      </c>
      <c r="D144" s="10" t="inlineStr">
        <is>
          <t>Utilities</t>
        </is>
      </c>
      <c r="E144" s="11" t="inlineStr">
        <is>
          <t>A18_Utilities</t>
        </is>
      </c>
      <c r="F144" s="10" t="inlineStr">
        <is>
          <t>Industry Group default</t>
        </is>
      </c>
    </row>
    <row r="145">
      <c r="A145" s="10" t="n">
        <v>55102010</v>
      </c>
      <c r="B145" s="10" t="inlineStr">
        <is>
          <t>Gas Utilities</t>
        </is>
      </c>
      <c r="C145" s="10" t="inlineStr">
        <is>
          <t>Utilities</t>
        </is>
      </c>
      <c r="D145" s="10" t="inlineStr">
        <is>
          <t>Utilities</t>
        </is>
      </c>
      <c r="E145" s="11" t="inlineStr">
        <is>
          <t>A18_Utilities</t>
        </is>
      </c>
      <c r="F145" s="10" t="inlineStr">
        <is>
          <t>Industry Group default</t>
        </is>
      </c>
    </row>
    <row r="146">
      <c r="A146" s="10" t="n">
        <v>55103010</v>
      </c>
      <c r="B146" s="10" t="inlineStr">
        <is>
          <t>Multi-Utilities</t>
        </is>
      </c>
      <c r="C146" s="10" t="inlineStr">
        <is>
          <t>Utilities</t>
        </is>
      </c>
      <c r="D146" s="10" t="inlineStr">
        <is>
          <t>Utilities</t>
        </is>
      </c>
      <c r="E146" s="11" t="inlineStr">
        <is>
          <t>A18_Utilities</t>
        </is>
      </c>
      <c r="F146" s="10" t="inlineStr">
        <is>
          <t>Industry Group default</t>
        </is>
      </c>
    </row>
    <row r="147">
      <c r="A147" s="10" t="n">
        <v>55104010</v>
      </c>
      <c r="B147" s="10" t="inlineStr">
        <is>
          <t>Water Utilities</t>
        </is>
      </c>
      <c r="C147" s="10" t="inlineStr">
        <is>
          <t>Utilities</t>
        </is>
      </c>
      <c r="D147" s="10" t="inlineStr">
        <is>
          <t>Utilities</t>
        </is>
      </c>
      <c r="E147" s="11" t="inlineStr">
        <is>
          <t>A18_Utilities</t>
        </is>
      </c>
      <c r="F147" s="10" t="inlineStr">
        <is>
          <t>Industry Group default</t>
        </is>
      </c>
    </row>
    <row r="148">
      <c r="A148" s="10" t="n">
        <v>55105010</v>
      </c>
      <c r="B148" s="10" t="inlineStr">
        <is>
          <t>Independent Power Producers &amp; Energy Traders</t>
        </is>
      </c>
      <c r="C148" s="10" t="inlineStr">
        <is>
          <t>Utilities</t>
        </is>
      </c>
      <c r="D148" s="10" t="inlineStr">
        <is>
          <t>Utilities</t>
        </is>
      </c>
      <c r="E148" s="11" t="inlineStr">
        <is>
          <t>A18_Utilities</t>
        </is>
      </c>
      <c r="F148" s="10" t="inlineStr">
        <is>
          <t>Industry Group default</t>
        </is>
      </c>
    </row>
    <row r="149">
      <c r="A149" s="10" t="n">
        <v>55105020</v>
      </c>
      <c r="B149" s="10" t="inlineStr">
        <is>
          <t>Renewable Electricity</t>
        </is>
      </c>
      <c r="C149" s="10" t="inlineStr">
        <is>
          <t>Utilities</t>
        </is>
      </c>
      <c r="D149" s="10" t="inlineStr">
        <is>
          <t>Utilities</t>
        </is>
      </c>
      <c r="E149" s="11" t="inlineStr">
        <is>
          <t>A18_Utilities</t>
        </is>
      </c>
      <c r="F149" s="10" t="inlineStr">
        <is>
          <t>Industry Group default</t>
        </is>
      </c>
    </row>
    <row r="150">
      <c r="A150" s="10" t="n">
        <v>60101010</v>
      </c>
      <c r="B150" s="10" t="inlineStr">
        <is>
          <t>Diversified REITs*</t>
        </is>
      </c>
      <c r="C150" s="10" t="inlineStr">
        <is>
          <t>Equity Real Estate Investment Trusts (REITs)</t>
        </is>
      </c>
      <c r="D150" s="10" t="inlineStr">
        <is>
          <t>Real Estate</t>
        </is>
      </c>
      <c r="E150" s="11" t="inlineStr">
        <is>
          <t>A16_RealEstate</t>
        </is>
      </c>
      <c r="F150" s="10" t="inlineStr">
        <is>
          <t>Industry Group default</t>
        </is>
      </c>
    </row>
    <row r="151">
      <c r="A151" s="10" t="n">
        <v>60102510</v>
      </c>
      <c r="B151" s="10" t="inlineStr">
        <is>
          <t>Industrial REITs*</t>
        </is>
      </c>
      <c r="C151" s="10" t="inlineStr">
        <is>
          <t>Equity Real Estate Investment Trusts (REITs)</t>
        </is>
      </c>
      <c r="D151" s="10" t="inlineStr">
        <is>
          <t>Real Estate</t>
        </is>
      </c>
      <c r="E151" s="11" t="inlineStr">
        <is>
          <t>A16_RealEstate</t>
        </is>
      </c>
      <c r="F151" s="10" t="inlineStr">
        <is>
          <t>Industry Group default</t>
        </is>
      </c>
    </row>
    <row r="152">
      <c r="A152" s="10" t="n">
        <v>60103010</v>
      </c>
      <c r="B152" s="10" t="inlineStr">
        <is>
          <t>Hotel &amp; Resort REITs*</t>
        </is>
      </c>
      <c r="C152" s="10" t="inlineStr">
        <is>
          <t>Equity Real Estate Investment Trusts (REITs)</t>
        </is>
      </c>
      <c r="D152" s="10" t="inlineStr">
        <is>
          <t>Real Estate</t>
        </is>
      </c>
      <c r="E152" s="11" t="inlineStr">
        <is>
          <t>A16_RealEstate</t>
        </is>
      </c>
      <c r="F152" s="10" t="inlineStr">
        <is>
          <t>Industry Group default</t>
        </is>
      </c>
    </row>
    <row r="153">
      <c r="A153" s="10" t="n">
        <v>60104010</v>
      </c>
      <c r="B153" s="10" t="inlineStr">
        <is>
          <t>Office REITs*</t>
        </is>
      </c>
      <c r="C153" s="10" t="inlineStr">
        <is>
          <t>Equity Real Estate Investment Trusts (REITs)</t>
        </is>
      </c>
      <c r="D153" s="10" t="inlineStr">
        <is>
          <t>Real Estate</t>
        </is>
      </c>
      <c r="E153" s="11" t="inlineStr">
        <is>
          <t>A16_RealEstate</t>
        </is>
      </c>
      <c r="F153" s="10" t="inlineStr">
        <is>
          <t>Industry Group default</t>
        </is>
      </c>
    </row>
    <row r="154">
      <c r="A154" s="10" t="n">
        <v>60105010</v>
      </c>
      <c r="B154" s="10" t="inlineStr">
        <is>
          <t>Health Care REITs*</t>
        </is>
      </c>
      <c r="C154" s="10" t="inlineStr">
        <is>
          <t>Equity Real Estate Investment Trusts (REITs)</t>
        </is>
      </c>
      <c r="D154" s="10" t="inlineStr">
        <is>
          <t>Real Estate</t>
        </is>
      </c>
      <c r="E154" s="11" t="inlineStr">
        <is>
          <t>A16_RealEstate</t>
        </is>
      </c>
      <c r="F154" s="10" t="inlineStr">
        <is>
          <t>Industry Group default</t>
        </is>
      </c>
    </row>
    <row r="155">
      <c r="A155" s="10" t="n">
        <v>60106010</v>
      </c>
      <c r="B155" s="10" t="inlineStr">
        <is>
          <t>Multi-Family Residential REITs*</t>
        </is>
      </c>
      <c r="C155" s="10" t="inlineStr">
        <is>
          <t>Equity Real Estate Investment Trusts (REITs)</t>
        </is>
      </c>
      <c r="D155" s="10" t="inlineStr">
        <is>
          <t>Real Estate</t>
        </is>
      </c>
      <c r="E155" s="11" t="inlineStr">
        <is>
          <t>A16_RealEstate</t>
        </is>
      </c>
      <c r="F155" s="10" t="inlineStr">
        <is>
          <t>Industry Group default</t>
        </is>
      </c>
    </row>
    <row r="156">
      <c r="A156" s="10" t="n">
        <v>60106020</v>
      </c>
      <c r="B156" s="10" t="inlineStr">
        <is>
          <t>Single-Family Residential REITs*</t>
        </is>
      </c>
      <c r="C156" s="10" t="inlineStr">
        <is>
          <t>Equity Real Estate Investment Trusts (REITs)</t>
        </is>
      </c>
      <c r="D156" s="10" t="inlineStr">
        <is>
          <t>Real Estate</t>
        </is>
      </c>
      <c r="E156" s="11" t="inlineStr">
        <is>
          <t>A16_RealEstate</t>
        </is>
      </c>
      <c r="F156" s="10" t="inlineStr">
        <is>
          <t>Industry Group default</t>
        </is>
      </c>
    </row>
    <row r="157">
      <c r="A157" s="10" t="n">
        <v>60107010</v>
      </c>
      <c r="B157" s="10" t="inlineStr">
        <is>
          <t>Retail REITs*</t>
        </is>
      </c>
      <c r="C157" s="10" t="inlineStr">
        <is>
          <t>Equity Real Estate Investment Trusts (REITs)</t>
        </is>
      </c>
      <c r="D157" s="10" t="inlineStr">
        <is>
          <t>Real Estate</t>
        </is>
      </c>
      <c r="E157" s="11" t="inlineStr">
        <is>
          <t>A16_RealEstate</t>
        </is>
      </c>
      <c r="F157" s="10" t="inlineStr">
        <is>
          <t>Industry Group default</t>
        </is>
      </c>
    </row>
    <row r="158">
      <c r="A158" s="10" t="n">
        <v>60108010</v>
      </c>
      <c r="B158" s="10" t="inlineStr">
        <is>
          <t>Other Specialized REITs*</t>
        </is>
      </c>
      <c r="C158" s="10" t="inlineStr">
        <is>
          <t>Equity Real Estate Investment Trusts (REITs)</t>
        </is>
      </c>
      <c r="D158" s="10" t="inlineStr">
        <is>
          <t>Real Estate</t>
        </is>
      </c>
      <c r="E158" s="11" t="inlineStr">
        <is>
          <t>A16_RealEstate</t>
        </is>
      </c>
      <c r="F158" s="10" t="inlineStr">
        <is>
          <t>Industry Group default</t>
        </is>
      </c>
    </row>
    <row r="159">
      <c r="A159" s="10" t="n">
        <v>60108020</v>
      </c>
      <c r="B159" s="10" t="inlineStr">
        <is>
          <t>Self-Storage REITs*</t>
        </is>
      </c>
      <c r="C159" s="10" t="inlineStr">
        <is>
          <t>Equity Real Estate Investment Trusts (REITs)</t>
        </is>
      </c>
      <c r="D159" s="10" t="inlineStr">
        <is>
          <t>Real Estate</t>
        </is>
      </c>
      <c r="E159" s="11" t="inlineStr">
        <is>
          <t>A16_RealEstate</t>
        </is>
      </c>
      <c r="F159" s="10" t="inlineStr">
        <is>
          <t>Industry Group default</t>
        </is>
      </c>
    </row>
    <row r="160">
      <c r="A160" s="10" t="n">
        <v>60108030</v>
      </c>
      <c r="B160" s="10" t="inlineStr">
        <is>
          <t>Telecom Tower REITs*</t>
        </is>
      </c>
      <c r="C160" s="10" t="inlineStr">
        <is>
          <t>Equity Real Estate Investment Trusts (REITs)</t>
        </is>
      </c>
      <c r="D160" s="10" t="inlineStr">
        <is>
          <t>Real Estate</t>
        </is>
      </c>
      <c r="E160" s="11" t="inlineStr">
        <is>
          <t>A16_RealEstate</t>
        </is>
      </c>
      <c r="F160" s="10" t="inlineStr">
        <is>
          <t>Industry Group default</t>
        </is>
      </c>
    </row>
    <row r="161">
      <c r="A161" s="10" t="n">
        <v>60108040</v>
      </c>
      <c r="B161" s="10" t="inlineStr">
        <is>
          <t>Timber REITs*</t>
        </is>
      </c>
      <c r="C161" s="10" t="inlineStr">
        <is>
          <t>Equity Real Estate Investment Trusts (REITs)</t>
        </is>
      </c>
      <c r="D161" s="10" t="inlineStr">
        <is>
          <t>Real Estate</t>
        </is>
      </c>
      <c r="E161" s="11" t="inlineStr">
        <is>
          <t>A16_RealEstate</t>
        </is>
      </c>
      <c r="F161" s="10" t="inlineStr">
        <is>
          <t>Industry Group default</t>
        </is>
      </c>
    </row>
    <row r="162">
      <c r="A162" s="10" t="n">
        <v>60108050</v>
      </c>
      <c r="B162" s="10" t="inlineStr">
        <is>
          <t>Data Center REITs*</t>
        </is>
      </c>
      <c r="C162" s="10" t="inlineStr">
        <is>
          <t>Equity Real Estate Investment Trusts (REITs)</t>
        </is>
      </c>
      <c r="D162" s="10" t="inlineStr">
        <is>
          <t>Real Estate</t>
        </is>
      </c>
      <c r="E162" s="11" t="inlineStr">
        <is>
          <t>A16_RealEstate</t>
        </is>
      </c>
      <c r="F162" s="10" t="inlineStr">
        <is>
          <t>Industry Group default</t>
        </is>
      </c>
    </row>
    <row r="163">
      <c r="A163" s="10" t="n">
        <v>60201010</v>
      </c>
      <c r="B163" s="10" t="inlineStr">
        <is>
          <t>Diversified Real Estate Activities</t>
        </is>
      </c>
      <c r="C163" s="10" t="inlineStr">
        <is>
          <t>Real Estate Management &amp; Development</t>
        </is>
      </c>
      <c r="D163" s="10" t="inlineStr">
        <is>
          <t>Real Estate</t>
        </is>
      </c>
      <c r="E163" s="11" t="inlineStr">
        <is>
          <t>A16_RealEstate</t>
        </is>
      </c>
      <c r="F163" s="10" t="inlineStr">
        <is>
          <t>Industry Group default</t>
        </is>
      </c>
    </row>
    <row r="164">
      <c r="A164" s="10" t="n">
        <v>60201020</v>
      </c>
      <c r="B164" s="10" t="inlineStr">
        <is>
          <t>Real Estate Operating Companies</t>
        </is>
      </c>
      <c r="C164" s="10" t="inlineStr">
        <is>
          <t>Real Estate Management &amp; Development</t>
        </is>
      </c>
      <c r="D164" s="10" t="inlineStr">
        <is>
          <t>Real Estate</t>
        </is>
      </c>
      <c r="E164" s="11" t="inlineStr">
        <is>
          <t>A16_RealEstate</t>
        </is>
      </c>
      <c r="F164" s="10" t="inlineStr">
        <is>
          <t>Industry Group default</t>
        </is>
      </c>
    </row>
    <row r="165">
      <c r="A165" s="10" t="n">
        <v>60201030</v>
      </c>
      <c r="B165" s="10" t="inlineStr">
        <is>
          <t>Real Estate Development</t>
        </is>
      </c>
      <c r="C165" s="10" t="inlineStr">
        <is>
          <t>Real Estate Management &amp; Development</t>
        </is>
      </c>
      <c r="D165" s="10" t="inlineStr">
        <is>
          <t>Real Estate</t>
        </is>
      </c>
      <c r="E165" s="11" t="inlineStr">
        <is>
          <t>A13_ConstructionHomebuilding</t>
        </is>
      </c>
      <c r="F165" s="10" t="inlineStr">
        <is>
          <t>Real Estate Development -- ground-up construction project workforce</t>
        </is>
      </c>
    </row>
    <row r="166">
      <c r="A166" s="10" t="n">
        <v>60201040</v>
      </c>
      <c r="B166" s="10" t="inlineStr">
        <is>
          <t>Real Estate Services</t>
        </is>
      </c>
      <c r="C166" s="10" t="inlineStr">
        <is>
          <t>Real Estate Management &amp; Development</t>
        </is>
      </c>
      <c r="D166" s="10" t="inlineStr">
        <is>
          <t>Real Estate</t>
        </is>
      </c>
      <c r="E166" s="11" t="inlineStr">
        <is>
          <t>A16_RealEstate</t>
        </is>
      </c>
      <c r="F166" s="10" t="inlineStr">
        <is>
          <t>Industry Group default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3" customWidth="1" min="24" max="24"/>
    <col width="13" customWidth="1" min="25" max="25"/>
    <col width="14" customWidth="1" min="26" max="26"/>
  </cols>
  <sheetData>
    <row r="1" ht="28" customHeight="1">
      <c r="A1" t="inlineStr">
        <is>
          <t>Occupation mix (columns B-W, SOC major group weights, must sum to 100% — judgement, editable) and Labor Cost Intensity (judgement, editable) are values. Exposure Score and Percentile (last two columns) are LIVE FORMULAS computed from the real data on sheet 1 — change the mix and they recalculate.</t>
        </is>
      </c>
    </row>
    <row r="3" ht="32" customHeight="1">
      <c r="A3" s="5" t="inlineStr">
        <is>
          <t>Archetype</t>
        </is>
      </c>
      <c r="B3" s="5" t="inlineStr">
        <is>
          <t>11
Management</t>
        </is>
      </c>
      <c r="C3" s="5" t="inlineStr">
        <is>
          <t>13
Business &amp; Fin</t>
        </is>
      </c>
      <c r="D3" s="5" t="inlineStr">
        <is>
          <t>15
Computer &amp; Mat</t>
        </is>
      </c>
      <c r="E3" s="5" t="inlineStr">
        <is>
          <t>17
Architecture &amp;</t>
        </is>
      </c>
      <c r="F3" s="5" t="inlineStr">
        <is>
          <t>19
Life, Physical</t>
        </is>
      </c>
      <c r="G3" s="5" t="inlineStr">
        <is>
          <t>21
Community &amp; So</t>
        </is>
      </c>
      <c r="H3" s="5" t="inlineStr">
        <is>
          <t>23
Legal</t>
        </is>
      </c>
      <c r="I3" s="5" t="inlineStr">
        <is>
          <t>25
Educational In</t>
        </is>
      </c>
      <c r="J3" s="5" t="inlineStr">
        <is>
          <t xml:space="preserve">27
Arts, Design, </t>
        </is>
      </c>
      <c r="K3" s="5" t="inlineStr">
        <is>
          <t>29
Healthcare Pra</t>
        </is>
      </c>
      <c r="L3" s="5" t="inlineStr">
        <is>
          <t>31
Healthcare Sup</t>
        </is>
      </c>
      <c r="M3" s="5" t="inlineStr">
        <is>
          <t>33
Protective Ser</t>
        </is>
      </c>
      <c r="N3" s="5" t="inlineStr">
        <is>
          <t>35
Food Preparati</t>
        </is>
      </c>
      <c r="O3" s="5" t="inlineStr">
        <is>
          <t>37
Building &amp; Gro</t>
        </is>
      </c>
      <c r="P3" s="5" t="inlineStr">
        <is>
          <t xml:space="preserve">39
Personal Care </t>
        </is>
      </c>
      <c r="Q3" s="5" t="inlineStr">
        <is>
          <t>41
Sales &amp; Relate</t>
        </is>
      </c>
      <c r="R3" s="5" t="inlineStr">
        <is>
          <t>43
Office &amp; Admin</t>
        </is>
      </c>
      <c r="S3" s="5" t="inlineStr">
        <is>
          <t>45
Farming, Fishi</t>
        </is>
      </c>
      <c r="T3" s="5" t="inlineStr">
        <is>
          <t>47
Construction &amp;</t>
        </is>
      </c>
      <c r="U3" s="5" t="inlineStr">
        <is>
          <t xml:space="preserve">49
Installation, </t>
        </is>
      </c>
      <c r="V3" s="5" t="inlineStr">
        <is>
          <t>51
Production</t>
        </is>
      </c>
      <c r="W3" s="5" t="inlineStr">
        <is>
          <t>53
Transportation</t>
        </is>
      </c>
      <c r="X3" s="5" t="inlineStr">
        <is>
          <t>Labor Cost
Intensity</t>
        </is>
      </c>
      <c r="Y3" s="5" t="inlineStr">
        <is>
          <t>Exposure
Score</t>
        </is>
      </c>
      <c r="Z3" s="5" t="inlineStr">
        <is>
          <t>Exposure
Percentile</t>
        </is>
      </c>
    </row>
    <row r="4">
      <c r="A4" t="inlineStr">
        <is>
          <t>A10_IndustrialsMachinery</t>
        </is>
      </c>
      <c r="B4" s="12" t="n">
        <v>0.2</v>
      </c>
      <c r="C4" s="13" t="n">
        <v>0</v>
      </c>
      <c r="D4" s="13" t="n">
        <v>0</v>
      </c>
      <c r="E4" s="12" t="n">
        <v>0.15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0</v>
      </c>
      <c r="T4" s="13" t="n">
        <v>0</v>
      </c>
      <c r="U4" s="12" t="n">
        <v>0.2</v>
      </c>
      <c r="V4" s="12" t="n">
        <v>0.45</v>
      </c>
      <c r="W4" s="13" t="n">
        <v>0</v>
      </c>
      <c r="X4" s="12" t="n">
        <v>0.25</v>
      </c>
      <c r="Y4" s="14">
        <f>B4*INDEX('1_SOC_Exposure_Data'!$C$786:$C$807,MATCH("11",'1_SOC_Exposure_Data'!$A$786:$A$807,0))+C4*INDEX('1_SOC_Exposure_Data'!$C$786:$C$807,MATCH("13",'1_SOC_Exposure_Data'!$A$786:$A$807,0))+D4*INDEX('1_SOC_Exposure_Data'!$C$786:$C$807,MATCH("15",'1_SOC_Exposure_Data'!$A$786:$A$807,0))+E4*INDEX('1_SOC_Exposure_Data'!$C$786:$C$807,MATCH("17",'1_SOC_Exposure_Data'!$A$786:$A$807,0))+F4*INDEX('1_SOC_Exposure_Data'!$C$786:$C$807,MATCH("19",'1_SOC_Exposure_Data'!$A$786:$A$807,0))+G4*INDEX('1_SOC_Exposure_Data'!$C$786:$C$807,MATCH("21",'1_SOC_Exposure_Data'!$A$786:$A$807,0))+H4*INDEX('1_SOC_Exposure_Data'!$C$786:$C$807,MATCH("23",'1_SOC_Exposure_Data'!$A$786:$A$807,0))+I4*INDEX('1_SOC_Exposure_Data'!$C$786:$C$807,MATCH("25",'1_SOC_Exposure_Data'!$A$786:$A$807,0))+J4*INDEX('1_SOC_Exposure_Data'!$C$786:$C$807,MATCH("27",'1_SOC_Exposure_Data'!$A$786:$A$807,0))+K4*INDEX('1_SOC_Exposure_Data'!$C$786:$C$807,MATCH("29",'1_SOC_Exposure_Data'!$A$786:$A$807,0))+L4*INDEX('1_SOC_Exposure_Data'!$C$786:$C$807,MATCH("31",'1_SOC_Exposure_Data'!$A$786:$A$807,0))+M4*INDEX('1_SOC_Exposure_Data'!$C$786:$C$807,MATCH("33",'1_SOC_Exposure_Data'!$A$786:$A$807,0))+N4*INDEX('1_SOC_Exposure_Data'!$C$786:$C$807,MATCH("35",'1_SOC_Exposure_Data'!$A$786:$A$807,0))+O4*INDEX('1_SOC_Exposure_Data'!$C$786:$C$807,MATCH("37",'1_SOC_Exposure_Data'!$A$786:$A$807,0))+P4*INDEX('1_SOC_Exposure_Data'!$C$786:$C$807,MATCH("39",'1_SOC_Exposure_Data'!$A$786:$A$807,0))+Q4*INDEX('1_SOC_Exposure_Data'!$C$786:$C$807,MATCH("41",'1_SOC_Exposure_Data'!$A$786:$A$807,0))+R4*INDEX('1_SOC_Exposure_Data'!$C$786:$C$807,MATCH("43",'1_SOC_Exposure_Data'!$A$786:$A$807,0))+S4*INDEX('1_SOC_Exposure_Data'!$C$786:$C$807,MATCH("45",'1_SOC_Exposure_Data'!$A$786:$A$807,0))+T4*INDEX('1_SOC_Exposure_Data'!$C$786:$C$807,MATCH("47",'1_SOC_Exposure_Data'!$A$786:$A$807,0))+U4*INDEX('1_SOC_Exposure_Data'!$C$786:$C$807,MATCH("49",'1_SOC_Exposure_Data'!$A$786:$A$807,0))+V4*INDEX('1_SOC_Exposure_Data'!$C$786:$C$807,MATCH("51",'1_SOC_Exposure_Data'!$A$786:$A$807,0))+W4*INDEX('1_SOC_Exposure_Data'!$C$786:$C$807,MATCH("53",'1_SOC_Exposure_Data'!$A$786:$A$807,0))</f>
        <v/>
      </c>
      <c r="Z4" s="15">
        <f>COUNTIF('1_SOC_Exposure_Data'!$C$4:$C$781,"&lt;"&amp;Y4)/778</f>
        <v/>
      </c>
    </row>
    <row r="5">
      <c r="A5" t="inlineStr">
        <is>
          <t>A11_MaterialsChemMining</t>
        </is>
      </c>
      <c r="B5" s="12" t="n">
        <v>0.25</v>
      </c>
      <c r="C5" s="13" t="n">
        <v>0</v>
      </c>
      <c r="D5" s="13" t="n">
        <v>0</v>
      </c>
      <c r="E5" s="12" t="n">
        <v>0.2</v>
      </c>
      <c r="F5" s="12" t="n">
        <v>0.15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2" t="n">
        <v>0.4</v>
      </c>
      <c r="W5" s="13" t="n">
        <v>0</v>
      </c>
      <c r="X5" s="12" t="n">
        <v>0.2</v>
      </c>
      <c r="Y5" s="14">
        <f>B5*INDEX('1_SOC_Exposure_Data'!$C$786:$C$807,MATCH("11",'1_SOC_Exposure_Data'!$A$786:$A$807,0))+C5*INDEX('1_SOC_Exposure_Data'!$C$786:$C$807,MATCH("13",'1_SOC_Exposure_Data'!$A$786:$A$807,0))+D5*INDEX('1_SOC_Exposure_Data'!$C$786:$C$807,MATCH("15",'1_SOC_Exposure_Data'!$A$786:$A$807,0))+E5*INDEX('1_SOC_Exposure_Data'!$C$786:$C$807,MATCH("17",'1_SOC_Exposure_Data'!$A$786:$A$807,0))+F5*INDEX('1_SOC_Exposure_Data'!$C$786:$C$807,MATCH("19",'1_SOC_Exposure_Data'!$A$786:$A$807,0))+G5*INDEX('1_SOC_Exposure_Data'!$C$786:$C$807,MATCH("21",'1_SOC_Exposure_Data'!$A$786:$A$807,0))+H5*INDEX('1_SOC_Exposure_Data'!$C$786:$C$807,MATCH("23",'1_SOC_Exposure_Data'!$A$786:$A$807,0))+I5*INDEX('1_SOC_Exposure_Data'!$C$786:$C$807,MATCH("25",'1_SOC_Exposure_Data'!$A$786:$A$807,0))+J5*INDEX('1_SOC_Exposure_Data'!$C$786:$C$807,MATCH("27",'1_SOC_Exposure_Data'!$A$786:$A$807,0))+K5*INDEX('1_SOC_Exposure_Data'!$C$786:$C$807,MATCH("29",'1_SOC_Exposure_Data'!$A$786:$A$807,0))+L5*INDEX('1_SOC_Exposure_Data'!$C$786:$C$807,MATCH("31",'1_SOC_Exposure_Data'!$A$786:$A$807,0))+M5*INDEX('1_SOC_Exposure_Data'!$C$786:$C$807,MATCH("33",'1_SOC_Exposure_Data'!$A$786:$A$807,0))+N5*INDEX('1_SOC_Exposure_Data'!$C$786:$C$807,MATCH("35",'1_SOC_Exposure_Data'!$A$786:$A$807,0))+O5*INDEX('1_SOC_Exposure_Data'!$C$786:$C$807,MATCH("37",'1_SOC_Exposure_Data'!$A$786:$A$807,0))+P5*INDEX('1_SOC_Exposure_Data'!$C$786:$C$807,MATCH("39",'1_SOC_Exposure_Data'!$A$786:$A$807,0))+Q5*INDEX('1_SOC_Exposure_Data'!$C$786:$C$807,MATCH("41",'1_SOC_Exposure_Data'!$A$786:$A$807,0))+R5*INDEX('1_SOC_Exposure_Data'!$C$786:$C$807,MATCH("43",'1_SOC_Exposure_Data'!$A$786:$A$807,0))+S5*INDEX('1_SOC_Exposure_Data'!$C$786:$C$807,MATCH("45",'1_SOC_Exposure_Data'!$A$786:$A$807,0))+T5*INDEX('1_SOC_Exposure_Data'!$C$786:$C$807,MATCH("47",'1_SOC_Exposure_Data'!$A$786:$A$807,0))+U5*INDEX('1_SOC_Exposure_Data'!$C$786:$C$807,MATCH("49",'1_SOC_Exposure_Data'!$A$786:$A$807,0))+V5*INDEX('1_SOC_Exposure_Data'!$C$786:$C$807,MATCH("51",'1_SOC_Exposure_Data'!$A$786:$A$807,0))+W5*INDEX('1_SOC_Exposure_Data'!$C$786:$C$807,MATCH("53",'1_SOC_Exposure_Data'!$A$786:$A$807,0))</f>
        <v/>
      </c>
      <c r="Z5" s="15">
        <f>COUNTIF('1_SOC_Exposure_Data'!$C$4:$C$781,"&lt;"&amp;Y5)/778</f>
        <v/>
      </c>
    </row>
    <row r="6">
      <c r="A6" t="inlineStr">
        <is>
          <t>A12_Energy</t>
        </is>
      </c>
      <c r="B6" s="12" t="n">
        <v>0.2</v>
      </c>
      <c r="C6" s="13" t="n">
        <v>0</v>
      </c>
      <c r="D6" s="13" t="n">
        <v>0</v>
      </c>
      <c r="E6" s="12" t="n">
        <v>0.2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2" t="n">
        <v>0.25</v>
      </c>
      <c r="V6" s="12" t="n">
        <v>0.35</v>
      </c>
      <c r="W6" s="13" t="n">
        <v>0</v>
      </c>
      <c r="X6" s="12" t="n">
        <v>0.15</v>
      </c>
      <c r="Y6" s="14">
        <f>B6*INDEX('1_SOC_Exposure_Data'!$C$786:$C$807,MATCH("11",'1_SOC_Exposure_Data'!$A$786:$A$807,0))+C6*INDEX('1_SOC_Exposure_Data'!$C$786:$C$807,MATCH("13",'1_SOC_Exposure_Data'!$A$786:$A$807,0))+D6*INDEX('1_SOC_Exposure_Data'!$C$786:$C$807,MATCH("15",'1_SOC_Exposure_Data'!$A$786:$A$807,0))+E6*INDEX('1_SOC_Exposure_Data'!$C$786:$C$807,MATCH("17",'1_SOC_Exposure_Data'!$A$786:$A$807,0))+F6*INDEX('1_SOC_Exposure_Data'!$C$786:$C$807,MATCH("19",'1_SOC_Exposure_Data'!$A$786:$A$807,0))+G6*INDEX('1_SOC_Exposure_Data'!$C$786:$C$807,MATCH("21",'1_SOC_Exposure_Data'!$A$786:$A$807,0))+H6*INDEX('1_SOC_Exposure_Data'!$C$786:$C$807,MATCH("23",'1_SOC_Exposure_Data'!$A$786:$A$807,0))+I6*INDEX('1_SOC_Exposure_Data'!$C$786:$C$807,MATCH("25",'1_SOC_Exposure_Data'!$A$786:$A$807,0))+J6*INDEX('1_SOC_Exposure_Data'!$C$786:$C$807,MATCH("27",'1_SOC_Exposure_Data'!$A$786:$A$807,0))+K6*INDEX('1_SOC_Exposure_Data'!$C$786:$C$807,MATCH("29",'1_SOC_Exposure_Data'!$A$786:$A$807,0))+L6*INDEX('1_SOC_Exposure_Data'!$C$786:$C$807,MATCH("31",'1_SOC_Exposure_Data'!$A$786:$A$807,0))+M6*INDEX('1_SOC_Exposure_Data'!$C$786:$C$807,MATCH("33",'1_SOC_Exposure_Data'!$A$786:$A$807,0))+N6*INDEX('1_SOC_Exposure_Data'!$C$786:$C$807,MATCH("35",'1_SOC_Exposure_Data'!$A$786:$A$807,0))+O6*INDEX('1_SOC_Exposure_Data'!$C$786:$C$807,MATCH("37",'1_SOC_Exposure_Data'!$A$786:$A$807,0))+P6*INDEX('1_SOC_Exposure_Data'!$C$786:$C$807,MATCH("39",'1_SOC_Exposure_Data'!$A$786:$A$807,0))+Q6*INDEX('1_SOC_Exposure_Data'!$C$786:$C$807,MATCH("41",'1_SOC_Exposure_Data'!$A$786:$A$807,0))+R6*INDEX('1_SOC_Exposure_Data'!$C$786:$C$807,MATCH("43",'1_SOC_Exposure_Data'!$A$786:$A$807,0))+S6*INDEX('1_SOC_Exposure_Data'!$C$786:$C$807,MATCH("45",'1_SOC_Exposure_Data'!$A$786:$A$807,0))+T6*INDEX('1_SOC_Exposure_Data'!$C$786:$C$807,MATCH("47",'1_SOC_Exposure_Data'!$A$786:$A$807,0))+U6*INDEX('1_SOC_Exposure_Data'!$C$786:$C$807,MATCH("49",'1_SOC_Exposure_Data'!$A$786:$A$807,0))+V6*INDEX('1_SOC_Exposure_Data'!$C$786:$C$807,MATCH("51",'1_SOC_Exposure_Data'!$A$786:$A$807,0))+W6*INDEX('1_SOC_Exposure_Data'!$C$786:$C$807,MATCH("53",'1_SOC_Exposure_Data'!$A$786:$A$807,0))</f>
        <v/>
      </c>
      <c r="Z6" s="15">
        <f>COUNTIF('1_SOC_Exposure_Data'!$C$4:$C$781,"&lt;"&amp;Y6)/778</f>
        <v/>
      </c>
    </row>
    <row r="7">
      <c r="A7" t="inlineStr">
        <is>
          <t>A13_ConstructionHomebuilding</t>
        </is>
      </c>
      <c r="B7" s="12" t="n">
        <v>0.2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2" t="n">
        <v>0.15</v>
      </c>
      <c r="R7" s="13" t="n">
        <v>0</v>
      </c>
      <c r="S7" s="13" t="n">
        <v>0</v>
      </c>
      <c r="T7" s="12" t="n">
        <v>0.45</v>
      </c>
      <c r="U7" s="13" t="n">
        <v>0</v>
      </c>
      <c r="V7" s="12" t="n">
        <v>0.2</v>
      </c>
      <c r="W7" s="13" t="n">
        <v>0</v>
      </c>
      <c r="X7" s="12" t="n">
        <v>0.35</v>
      </c>
      <c r="Y7" s="14">
        <f>B7*INDEX('1_SOC_Exposure_Data'!$C$786:$C$807,MATCH("11",'1_SOC_Exposure_Data'!$A$786:$A$807,0))+C7*INDEX('1_SOC_Exposure_Data'!$C$786:$C$807,MATCH("13",'1_SOC_Exposure_Data'!$A$786:$A$807,0))+D7*INDEX('1_SOC_Exposure_Data'!$C$786:$C$807,MATCH("15",'1_SOC_Exposure_Data'!$A$786:$A$807,0))+E7*INDEX('1_SOC_Exposure_Data'!$C$786:$C$807,MATCH("17",'1_SOC_Exposure_Data'!$A$786:$A$807,0))+F7*INDEX('1_SOC_Exposure_Data'!$C$786:$C$807,MATCH("19",'1_SOC_Exposure_Data'!$A$786:$A$807,0))+G7*INDEX('1_SOC_Exposure_Data'!$C$786:$C$807,MATCH("21",'1_SOC_Exposure_Data'!$A$786:$A$807,0))+H7*INDEX('1_SOC_Exposure_Data'!$C$786:$C$807,MATCH("23",'1_SOC_Exposure_Data'!$A$786:$A$807,0))+I7*INDEX('1_SOC_Exposure_Data'!$C$786:$C$807,MATCH("25",'1_SOC_Exposure_Data'!$A$786:$A$807,0))+J7*INDEX('1_SOC_Exposure_Data'!$C$786:$C$807,MATCH("27",'1_SOC_Exposure_Data'!$A$786:$A$807,0))+K7*INDEX('1_SOC_Exposure_Data'!$C$786:$C$807,MATCH("29",'1_SOC_Exposure_Data'!$A$786:$A$807,0))+L7*INDEX('1_SOC_Exposure_Data'!$C$786:$C$807,MATCH("31",'1_SOC_Exposure_Data'!$A$786:$A$807,0))+M7*INDEX('1_SOC_Exposure_Data'!$C$786:$C$807,MATCH("33",'1_SOC_Exposure_Data'!$A$786:$A$807,0))+N7*INDEX('1_SOC_Exposure_Data'!$C$786:$C$807,MATCH("35",'1_SOC_Exposure_Data'!$A$786:$A$807,0))+O7*INDEX('1_SOC_Exposure_Data'!$C$786:$C$807,MATCH("37",'1_SOC_Exposure_Data'!$A$786:$A$807,0))+P7*INDEX('1_SOC_Exposure_Data'!$C$786:$C$807,MATCH("39",'1_SOC_Exposure_Data'!$A$786:$A$807,0))+Q7*INDEX('1_SOC_Exposure_Data'!$C$786:$C$807,MATCH("41",'1_SOC_Exposure_Data'!$A$786:$A$807,0))+R7*INDEX('1_SOC_Exposure_Data'!$C$786:$C$807,MATCH("43",'1_SOC_Exposure_Data'!$A$786:$A$807,0))+S7*INDEX('1_SOC_Exposure_Data'!$C$786:$C$807,MATCH("45",'1_SOC_Exposure_Data'!$A$786:$A$807,0))+T7*INDEX('1_SOC_Exposure_Data'!$C$786:$C$807,MATCH("47",'1_SOC_Exposure_Data'!$A$786:$A$807,0))+U7*INDEX('1_SOC_Exposure_Data'!$C$786:$C$807,MATCH("49",'1_SOC_Exposure_Data'!$A$786:$A$807,0))+V7*INDEX('1_SOC_Exposure_Data'!$C$786:$C$807,MATCH("51",'1_SOC_Exposure_Data'!$A$786:$A$807,0))+W7*INDEX('1_SOC_Exposure_Data'!$C$786:$C$807,MATCH("53",'1_SOC_Exposure_Data'!$A$786:$A$807,0))</f>
        <v/>
      </c>
      <c r="Z7" s="15">
        <f>COUNTIF('1_SOC_Exposure_Data'!$C$4:$C$781,"&lt;"&amp;Y7)/778</f>
        <v/>
      </c>
    </row>
    <row r="8">
      <c r="A8" t="inlineStr">
        <is>
          <t>A14_ConsumerStaplesMfg</t>
        </is>
      </c>
      <c r="B8" s="12" t="n">
        <v>0.25</v>
      </c>
      <c r="C8" s="12" t="n">
        <v>0.2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2" t="n">
        <v>0.2</v>
      </c>
      <c r="R8" s="13" t="n">
        <v>0</v>
      </c>
      <c r="S8" s="13" t="n">
        <v>0</v>
      </c>
      <c r="T8" s="13" t="n">
        <v>0</v>
      </c>
      <c r="U8" s="13" t="n">
        <v>0</v>
      </c>
      <c r="V8" s="12" t="n">
        <v>0.35</v>
      </c>
      <c r="W8" s="13" t="n">
        <v>0</v>
      </c>
      <c r="X8" s="12" t="n">
        <v>0.2</v>
      </c>
      <c r="Y8" s="14">
        <f>B8*INDEX('1_SOC_Exposure_Data'!$C$786:$C$807,MATCH("11",'1_SOC_Exposure_Data'!$A$786:$A$807,0))+C8*INDEX('1_SOC_Exposure_Data'!$C$786:$C$807,MATCH("13",'1_SOC_Exposure_Data'!$A$786:$A$807,0))+D8*INDEX('1_SOC_Exposure_Data'!$C$786:$C$807,MATCH("15",'1_SOC_Exposure_Data'!$A$786:$A$807,0))+E8*INDEX('1_SOC_Exposure_Data'!$C$786:$C$807,MATCH("17",'1_SOC_Exposure_Data'!$A$786:$A$807,0))+F8*INDEX('1_SOC_Exposure_Data'!$C$786:$C$807,MATCH("19",'1_SOC_Exposure_Data'!$A$786:$A$807,0))+G8*INDEX('1_SOC_Exposure_Data'!$C$786:$C$807,MATCH("21",'1_SOC_Exposure_Data'!$A$786:$A$807,0))+H8*INDEX('1_SOC_Exposure_Data'!$C$786:$C$807,MATCH("23",'1_SOC_Exposure_Data'!$A$786:$A$807,0))+I8*INDEX('1_SOC_Exposure_Data'!$C$786:$C$807,MATCH("25",'1_SOC_Exposure_Data'!$A$786:$A$807,0))+J8*INDEX('1_SOC_Exposure_Data'!$C$786:$C$807,MATCH("27",'1_SOC_Exposure_Data'!$A$786:$A$807,0))+K8*INDEX('1_SOC_Exposure_Data'!$C$786:$C$807,MATCH("29",'1_SOC_Exposure_Data'!$A$786:$A$807,0))+L8*INDEX('1_SOC_Exposure_Data'!$C$786:$C$807,MATCH("31",'1_SOC_Exposure_Data'!$A$786:$A$807,0))+M8*INDEX('1_SOC_Exposure_Data'!$C$786:$C$807,MATCH("33",'1_SOC_Exposure_Data'!$A$786:$A$807,0))+N8*INDEX('1_SOC_Exposure_Data'!$C$786:$C$807,MATCH("35",'1_SOC_Exposure_Data'!$A$786:$A$807,0))+O8*INDEX('1_SOC_Exposure_Data'!$C$786:$C$807,MATCH("37",'1_SOC_Exposure_Data'!$A$786:$A$807,0))+P8*INDEX('1_SOC_Exposure_Data'!$C$786:$C$807,MATCH("39",'1_SOC_Exposure_Data'!$A$786:$A$807,0))+Q8*INDEX('1_SOC_Exposure_Data'!$C$786:$C$807,MATCH("41",'1_SOC_Exposure_Data'!$A$786:$A$807,0))+R8*INDEX('1_SOC_Exposure_Data'!$C$786:$C$807,MATCH("43",'1_SOC_Exposure_Data'!$A$786:$A$807,0))+S8*INDEX('1_SOC_Exposure_Data'!$C$786:$C$807,MATCH("45",'1_SOC_Exposure_Data'!$A$786:$A$807,0))+T8*INDEX('1_SOC_Exposure_Data'!$C$786:$C$807,MATCH("47",'1_SOC_Exposure_Data'!$A$786:$A$807,0))+U8*INDEX('1_SOC_Exposure_Data'!$C$786:$C$807,MATCH("49",'1_SOC_Exposure_Data'!$A$786:$A$807,0))+V8*INDEX('1_SOC_Exposure_Data'!$C$786:$C$807,MATCH("51",'1_SOC_Exposure_Data'!$A$786:$A$807,0))+W8*INDEX('1_SOC_Exposure_Data'!$C$786:$C$807,MATCH("53",'1_SOC_Exposure_Data'!$A$786:$A$807,0))</f>
        <v/>
      </c>
      <c r="Z8" s="15">
        <f>COUNTIF('1_SOC_Exposure_Data'!$C$4:$C$781,"&lt;"&amp;Y8)/778</f>
        <v/>
      </c>
    </row>
    <row r="9">
      <c r="A9" t="inlineStr">
        <is>
          <t>A15_RestaurantsHotelsLeisure</t>
        </is>
      </c>
      <c r="B9" s="12" t="n">
        <v>0.25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2" t="n">
        <v>0.4</v>
      </c>
      <c r="O9" s="13" t="n">
        <v>0</v>
      </c>
      <c r="P9" s="12" t="n">
        <v>0.2</v>
      </c>
      <c r="Q9" s="12" t="n">
        <v>0.15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2" t="n">
        <v>0.4</v>
      </c>
      <c r="Y9" s="14">
        <f>B9*INDEX('1_SOC_Exposure_Data'!$C$786:$C$807,MATCH("11",'1_SOC_Exposure_Data'!$A$786:$A$807,0))+C9*INDEX('1_SOC_Exposure_Data'!$C$786:$C$807,MATCH("13",'1_SOC_Exposure_Data'!$A$786:$A$807,0))+D9*INDEX('1_SOC_Exposure_Data'!$C$786:$C$807,MATCH("15",'1_SOC_Exposure_Data'!$A$786:$A$807,0))+E9*INDEX('1_SOC_Exposure_Data'!$C$786:$C$807,MATCH("17",'1_SOC_Exposure_Data'!$A$786:$A$807,0))+F9*INDEX('1_SOC_Exposure_Data'!$C$786:$C$807,MATCH("19",'1_SOC_Exposure_Data'!$A$786:$A$807,0))+G9*INDEX('1_SOC_Exposure_Data'!$C$786:$C$807,MATCH("21",'1_SOC_Exposure_Data'!$A$786:$A$807,0))+H9*INDEX('1_SOC_Exposure_Data'!$C$786:$C$807,MATCH("23",'1_SOC_Exposure_Data'!$A$786:$A$807,0))+I9*INDEX('1_SOC_Exposure_Data'!$C$786:$C$807,MATCH("25",'1_SOC_Exposure_Data'!$A$786:$A$807,0))+J9*INDEX('1_SOC_Exposure_Data'!$C$786:$C$807,MATCH("27",'1_SOC_Exposure_Data'!$A$786:$A$807,0))+K9*INDEX('1_SOC_Exposure_Data'!$C$786:$C$807,MATCH("29",'1_SOC_Exposure_Data'!$A$786:$A$807,0))+L9*INDEX('1_SOC_Exposure_Data'!$C$786:$C$807,MATCH("31",'1_SOC_Exposure_Data'!$A$786:$A$807,0))+M9*INDEX('1_SOC_Exposure_Data'!$C$786:$C$807,MATCH("33",'1_SOC_Exposure_Data'!$A$786:$A$807,0))+N9*INDEX('1_SOC_Exposure_Data'!$C$786:$C$807,MATCH("35",'1_SOC_Exposure_Data'!$A$786:$A$807,0))+O9*INDEX('1_SOC_Exposure_Data'!$C$786:$C$807,MATCH("37",'1_SOC_Exposure_Data'!$A$786:$A$807,0))+P9*INDEX('1_SOC_Exposure_Data'!$C$786:$C$807,MATCH("39",'1_SOC_Exposure_Data'!$A$786:$A$807,0))+Q9*INDEX('1_SOC_Exposure_Data'!$C$786:$C$807,MATCH("41",'1_SOC_Exposure_Data'!$A$786:$A$807,0))+R9*INDEX('1_SOC_Exposure_Data'!$C$786:$C$807,MATCH("43",'1_SOC_Exposure_Data'!$A$786:$A$807,0))+S9*INDEX('1_SOC_Exposure_Data'!$C$786:$C$807,MATCH("45",'1_SOC_Exposure_Data'!$A$786:$A$807,0))+T9*INDEX('1_SOC_Exposure_Data'!$C$786:$C$807,MATCH("47",'1_SOC_Exposure_Data'!$A$786:$A$807,0))+U9*INDEX('1_SOC_Exposure_Data'!$C$786:$C$807,MATCH("49",'1_SOC_Exposure_Data'!$A$786:$A$807,0))+V9*INDEX('1_SOC_Exposure_Data'!$C$786:$C$807,MATCH("51",'1_SOC_Exposure_Data'!$A$786:$A$807,0))+W9*INDEX('1_SOC_Exposure_Data'!$C$786:$C$807,MATCH("53",'1_SOC_Exposure_Data'!$A$786:$A$807,0))</f>
        <v/>
      </c>
      <c r="Z9" s="15">
        <f>COUNTIF('1_SOC_Exposure_Data'!$C$4:$C$781,"&lt;"&amp;Y9)/778</f>
        <v/>
      </c>
    </row>
    <row r="10">
      <c r="A10" t="inlineStr">
        <is>
          <t>A16_RealEstate</t>
        </is>
      </c>
      <c r="B10" s="12" t="n">
        <v>0.3</v>
      </c>
      <c r="C10" s="12" t="n">
        <v>0.4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2" t="n">
        <v>0.1</v>
      </c>
      <c r="R10" s="12" t="n">
        <v>0.2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2" t="n">
        <v>0.15</v>
      </c>
      <c r="Y10" s="14">
        <f>B10*INDEX('1_SOC_Exposure_Data'!$C$786:$C$807,MATCH("11",'1_SOC_Exposure_Data'!$A$786:$A$807,0))+C10*INDEX('1_SOC_Exposure_Data'!$C$786:$C$807,MATCH("13",'1_SOC_Exposure_Data'!$A$786:$A$807,0))+D10*INDEX('1_SOC_Exposure_Data'!$C$786:$C$807,MATCH("15",'1_SOC_Exposure_Data'!$A$786:$A$807,0))+E10*INDEX('1_SOC_Exposure_Data'!$C$786:$C$807,MATCH("17",'1_SOC_Exposure_Data'!$A$786:$A$807,0))+F10*INDEX('1_SOC_Exposure_Data'!$C$786:$C$807,MATCH("19",'1_SOC_Exposure_Data'!$A$786:$A$807,0))+G10*INDEX('1_SOC_Exposure_Data'!$C$786:$C$807,MATCH("21",'1_SOC_Exposure_Data'!$A$786:$A$807,0))+H10*INDEX('1_SOC_Exposure_Data'!$C$786:$C$807,MATCH("23",'1_SOC_Exposure_Data'!$A$786:$A$807,0))+I10*INDEX('1_SOC_Exposure_Data'!$C$786:$C$807,MATCH("25",'1_SOC_Exposure_Data'!$A$786:$A$807,0))+J10*INDEX('1_SOC_Exposure_Data'!$C$786:$C$807,MATCH("27",'1_SOC_Exposure_Data'!$A$786:$A$807,0))+K10*INDEX('1_SOC_Exposure_Data'!$C$786:$C$807,MATCH("29",'1_SOC_Exposure_Data'!$A$786:$A$807,0))+L10*INDEX('1_SOC_Exposure_Data'!$C$786:$C$807,MATCH("31",'1_SOC_Exposure_Data'!$A$786:$A$807,0))+M10*INDEX('1_SOC_Exposure_Data'!$C$786:$C$807,MATCH("33",'1_SOC_Exposure_Data'!$A$786:$A$807,0))+N10*INDEX('1_SOC_Exposure_Data'!$C$786:$C$807,MATCH("35",'1_SOC_Exposure_Data'!$A$786:$A$807,0))+O10*INDEX('1_SOC_Exposure_Data'!$C$786:$C$807,MATCH("37",'1_SOC_Exposure_Data'!$A$786:$A$807,0))+P10*INDEX('1_SOC_Exposure_Data'!$C$786:$C$807,MATCH("39",'1_SOC_Exposure_Data'!$A$786:$A$807,0))+Q10*INDEX('1_SOC_Exposure_Data'!$C$786:$C$807,MATCH("41",'1_SOC_Exposure_Data'!$A$786:$A$807,0))+R10*INDEX('1_SOC_Exposure_Data'!$C$786:$C$807,MATCH("43",'1_SOC_Exposure_Data'!$A$786:$A$807,0))+S10*INDEX('1_SOC_Exposure_Data'!$C$786:$C$807,MATCH("45",'1_SOC_Exposure_Data'!$A$786:$A$807,0))+T10*INDEX('1_SOC_Exposure_Data'!$C$786:$C$807,MATCH("47",'1_SOC_Exposure_Data'!$A$786:$A$807,0))+U10*INDEX('1_SOC_Exposure_Data'!$C$786:$C$807,MATCH("49",'1_SOC_Exposure_Data'!$A$786:$A$807,0))+V10*INDEX('1_SOC_Exposure_Data'!$C$786:$C$807,MATCH("51",'1_SOC_Exposure_Data'!$A$786:$A$807,0))+W10*INDEX('1_SOC_Exposure_Data'!$C$786:$C$807,MATCH("53",'1_SOC_Exposure_Data'!$A$786:$A$807,0))</f>
        <v/>
      </c>
      <c r="Z10" s="15">
        <f>COUNTIF('1_SOC_Exposure_Data'!$C$4:$C$781,"&lt;"&amp;Y10)/778</f>
        <v/>
      </c>
    </row>
    <row r="11">
      <c r="A11" t="inlineStr">
        <is>
          <t>A17_TransportationLogistics</t>
        </is>
      </c>
      <c r="B11" s="12" t="n">
        <v>0.2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2" t="n">
        <v>0.15</v>
      </c>
      <c r="R11" s="12" t="n">
        <v>0.2</v>
      </c>
      <c r="S11" s="13" t="n">
        <v>0</v>
      </c>
      <c r="T11" s="13" t="n">
        <v>0</v>
      </c>
      <c r="U11" s="13" t="n">
        <v>0</v>
      </c>
      <c r="V11" s="13" t="n">
        <v>0</v>
      </c>
      <c r="W11" s="12" t="n">
        <v>0.45</v>
      </c>
      <c r="X11" s="12" t="n">
        <v>0.35</v>
      </c>
      <c r="Y11" s="14">
        <f>B11*INDEX('1_SOC_Exposure_Data'!$C$786:$C$807,MATCH("11",'1_SOC_Exposure_Data'!$A$786:$A$807,0))+C11*INDEX('1_SOC_Exposure_Data'!$C$786:$C$807,MATCH("13",'1_SOC_Exposure_Data'!$A$786:$A$807,0))+D11*INDEX('1_SOC_Exposure_Data'!$C$786:$C$807,MATCH("15",'1_SOC_Exposure_Data'!$A$786:$A$807,0))+E11*INDEX('1_SOC_Exposure_Data'!$C$786:$C$807,MATCH("17",'1_SOC_Exposure_Data'!$A$786:$A$807,0))+F11*INDEX('1_SOC_Exposure_Data'!$C$786:$C$807,MATCH("19",'1_SOC_Exposure_Data'!$A$786:$A$807,0))+G11*INDEX('1_SOC_Exposure_Data'!$C$786:$C$807,MATCH("21",'1_SOC_Exposure_Data'!$A$786:$A$807,0))+H11*INDEX('1_SOC_Exposure_Data'!$C$786:$C$807,MATCH("23",'1_SOC_Exposure_Data'!$A$786:$A$807,0))+I11*INDEX('1_SOC_Exposure_Data'!$C$786:$C$807,MATCH("25",'1_SOC_Exposure_Data'!$A$786:$A$807,0))+J11*INDEX('1_SOC_Exposure_Data'!$C$786:$C$807,MATCH("27",'1_SOC_Exposure_Data'!$A$786:$A$807,0))+K11*INDEX('1_SOC_Exposure_Data'!$C$786:$C$807,MATCH("29",'1_SOC_Exposure_Data'!$A$786:$A$807,0))+L11*INDEX('1_SOC_Exposure_Data'!$C$786:$C$807,MATCH("31",'1_SOC_Exposure_Data'!$A$786:$A$807,0))+M11*INDEX('1_SOC_Exposure_Data'!$C$786:$C$807,MATCH("33",'1_SOC_Exposure_Data'!$A$786:$A$807,0))+N11*INDEX('1_SOC_Exposure_Data'!$C$786:$C$807,MATCH("35",'1_SOC_Exposure_Data'!$A$786:$A$807,0))+O11*INDEX('1_SOC_Exposure_Data'!$C$786:$C$807,MATCH("37",'1_SOC_Exposure_Data'!$A$786:$A$807,0))+P11*INDEX('1_SOC_Exposure_Data'!$C$786:$C$807,MATCH("39",'1_SOC_Exposure_Data'!$A$786:$A$807,0))+Q11*INDEX('1_SOC_Exposure_Data'!$C$786:$C$807,MATCH("41",'1_SOC_Exposure_Data'!$A$786:$A$807,0))+R11*INDEX('1_SOC_Exposure_Data'!$C$786:$C$807,MATCH("43",'1_SOC_Exposure_Data'!$A$786:$A$807,0))+S11*INDEX('1_SOC_Exposure_Data'!$C$786:$C$807,MATCH("45",'1_SOC_Exposure_Data'!$A$786:$A$807,0))+T11*INDEX('1_SOC_Exposure_Data'!$C$786:$C$807,MATCH("47",'1_SOC_Exposure_Data'!$A$786:$A$807,0))+U11*INDEX('1_SOC_Exposure_Data'!$C$786:$C$807,MATCH("49",'1_SOC_Exposure_Data'!$A$786:$A$807,0))+V11*INDEX('1_SOC_Exposure_Data'!$C$786:$C$807,MATCH("51",'1_SOC_Exposure_Data'!$A$786:$A$807,0))+W11*INDEX('1_SOC_Exposure_Data'!$C$786:$C$807,MATCH("53",'1_SOC_Exposure_Data'!$A$786:$A$807,0))</f>
        <v/>
      </c>
      <c r="Z11" s="15">
        <f>COUNTIF('1_SOC_Exposure_Data'!$C$4:$C$781,"&lt;"&amp;Y11)/778</f>
        <v/>
      </c>
    </row>
    <row r="12">
      <c r="A12" t="inlineStr">
        <is>
          <t>A18_Utilities</t>
        </is>
      </c>
      <c r="B12" s="12" t="n">
        <v>0.2</v>
      </c>
      <c r="C12" s="13" t="n">
        <v>0</v>
      </c>
      <c r="D12" s="13" t="n">
        <v>0</v>
      </c>
      <c r="E12" s="12" t="n">
        <v>0.2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2" t="n">
        <v>0.35</v>
      </c>
      <c r="V12" s="12" t="n">
        <v>0.25</v>
      </c>
      <c r="W12" s="13" t="n">
        <v>0</v>
      </c>
      <c r="X12" s="12" t="n">
        <v>0.15</v>
      </c>
      <c r="Y12" s="14">
        <f>B12*INDEX('1_SOC_Exposure_Data'!$C$786:$C$807,MATCH("11",'1_SOC_Exposure_Data'!$A$786:$A$807,0))+C12*INDEX('1_SOC_Exposure_Data'!$C$786:$C$807,MATCH("13",'1_SOC_Exposure_Data'!$A$786:$A$807,0))+D12*INDEX('1_SOC_Exposure_Data'!$C$786:$C$807,MATCH("15",'1_SOC_Exposure_Data'!$A$786:$A$807,0))+E12*INDEX('1_SOC_Exposure_Data'!$C$786:$C$807,MATCH("17",'1_SOC_Exposure_Data'!$A$786:$A$807,0))+F12*INDEX('1_SOC_Exposure_Data'!$C$786:$C$807,MATCH("19",'1_SOC_Exposure_Data'!$A$786:$A$807,0))+G12*INDEX('1_SOC_Exposure_Data'!$C$786:$C$807,MATCH("21",'1_SOC_Exposure_Data'!$A$786:$A$807,0))+H12*INDEX('1_SOC_Exposure_Data'!$C$786:$C$807,MATCH("23",'1_SOC_Exposure_Data'!$A$786:$A$807,0))+I12*INDEX('1_SOC_Exposure_Data'!$C$786:$C$807,MATCH("25",'1_SOC_Exposure_Data'!$A$786:$A$807,0))+J12*INDEX('1_SOC_Exposure_Data'!$C$786:$C$807,MATCH("27",'1_SOC_Exposure_Data'!$A$786:$A$807,0))+K12*INDEX('1_SOC_Exposure_Data'!$C$786:$C$807,MATCH("29",'1_SOC_Exposure_Data'!$A$786:$A$807,0))+L12*INDEX('1_SOC_Exposure_Data'!$C$786:$C$807,MATCH("31",'1_SOC_Exposure_Data'!$A$786:$A$807,0))+M12*INDEX('1_SOC_Exposure_Data'!$C$786:$C$807,MATCH("33",'1_SOC_Exposure_Data'!$A$786:$A$807,0))+N12*INDEX('1_SOC_Exposure_Data'!$C$786:$C$807,MATCH("35",'1_SOC_Exposure_Data'!$A$786:$A$807,0))+O12*INDEX('1_SOC_Exposure_Data'!$C$786:$C$807,MATCH("37",'1_SOC_Exposure_Data'!$A$786:$A$807,0))+P12*INDEX('1_SOC_Exposure_Data'!$C$786:$C$807,MATCH("39",'1_SOC_Exposure_Data'!$A$786:$A$807,0))+Q12*INDEX('1_SOC_Exposure_Data'!$C$786:$C$807,MATCH("41",'1_SOC_Exposure_Data'!$A$786:$A$807,0))+R12*INDEX('1_SOC_Exposure_Data'!$C$786:$C$807,MATCH("43",'1_SOC_Exposure_Data'!$A$786:$A$807,0))+S12*INDEX('1_SOC_Exposure_Data'!$C$786:$C$807,MATCH("45",'1_SOC_Exposure_Data'!$A$786:$A$807,0))+T12*INDEX('1_SOC_Exposure_Data'!$C$786:$C$807,MATCH("47",'1_SOC_Exposure_Data'!$A$786:$A$807,0))+U12*INDEX('1_SOC_Exposure_Data'!$C$786:$C$807,MATCH("49",'1_SOC_Exposure_Data'!$A$786:$A$807,0))+V12*INDEX('1_SOC_Exposure_Data'!$C$786:$C$807,MATCH("51",'1_SOC_Exposure_Data'!$A$786:$A$807,0))+W12*INDEX('1_SOC_Exposure_Data'!$C$786:$C$807,MATCH("53",'1_SOC_Exposure_Data'!$A$786:$A$807,0))</f>
        <v/>
      </c>
      <c r="Z12" s="15">
        <f>COUNTIF('1_SOC_Exposure_Data'!$C$4:$C$781,"&lt;"&amp;Y12)/778</f>
        <v/>
      </c>
    </row>
    <row r="13">
      <c r="A13" t="inlineStr">
        <is>
          <t>A19_TelecomServices</t>
        </is>
      </c>
      <c r="B13" s="12" t="n">
        <v>0.2</v>
      </c>
      <c r="C13" s="13" t="n">
        <v>0</v>
      </c>
      <c r="D13" s="12" t="n">
        <v>0.25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2" t="n">
        <v>0.25</v>
      </c>
      <c r="S13" s="13" t="n">
        <v>0</v>
      </c>
      <c r="T13" s="13" t="n">
        <v>0</v>
      </c>
      <c r="U13" s="12" t="n">
        <v>0.3</v>
      </c>
      <c r="V13" s="13" t="n">
        <v>0</v>
      </c>
      <c r="W13" s="13" t="n">
        <v>0</v>
      </c>
      <c r="X13" s="12" t="n">
        <v>0.25</v>
      </c>
      <c r="Y13" s="14">
        <f>B13*INDEX('1_SOC_Exposure_Data'!$C$786:$C$807,MATCH("11",'1_SOC_Exposure_Data'!$A$786:$A$807,0))+C13*INDEX('1_SOC_Exposure_Data'!$C$786:$C$807,MATCH("13",'1_SOC_Exposure_Data'!$A$786:$A$807,0))+D13*INDEX('1_SOC_Exposure_Data'!$C$786:$C$807,MATCH("15",'1_SOC_Exposure_Data'!$A$786:$A$807,0))+E13*INDEX('1_SOC_Exposure_Data'!$C$786:$C$807,MATCH("17",'1_SOC_Exposure_Data'!$A$786:$A$807,0))+F13*INDEX('1_SOC_Exposure_Data'!$C$786:$C$807,MATCH("19",'1_SOC_Exposure_Data'!$A$786:$A$807,0))+G13*INDEX('1_SOC_Exposure_Data'!$C$786:$C$807,MATCH("21",'1_SOC_Exposure_Data'!$A$786:$A$807,0))+H13*INDEX('1_SOC_Exposure_Data'!$C$786:$C$807,MATCH("23",'1_SOC_Exposure_Data'!$A$786:$A$807,0))+I13*INDEX('1_SOC_Exposure_Data'!$C$786:$C$807,MATCH("25",'1_SOC_Exposure_Data'!$A$786:$A$807,0))+J13*INDEX('1_SOC_Exposure_Data'!$C$786:$C$807,MATCH("27",'1_SOC_Exposure_Data'!$A$786:$A$807,0))+K13*INDEX('1_SOC_Exposure_Data'!$C$786:$C$807,MATCH("29",'1_SOC_Exposure_Data'!$A$786:$A$807,0))+L13*INDEX('1_SOC_Exposure_Data'!$C$786:$C$807,MATCH("31",'1_SOC_Exposure_Data'!$A$786:$A$807,0))+M13*INDEX('1_SOC_Exposure_Data'!$C$786:$C$807,MATCH("33",'1_SOC_Exposure_Data'!$A$786:$A$807,0))+N13*INDEX('1_SOC_Exposure_Data'!$C$786:$C$807,MATCH("35",'1_SOC_Exposure_Data'!$A$786:$A$807,0))+O13*INDEX('1_SOC_Exposure_Data'!$C$786:$C$807,MATCH("37",'1_SOC_Exposure_Data'!$A$786:$A$807,0))+P13*INDEX('1_SOC_Exposure_Data'!$C$786:$C$807,MATCH("39",'1_SOC_Exposure_Data'!$A$786:$A$807,0))+Q13*INDEX('1_SOC_Exposure_Data'!$C$786:$C$807,MATCH("41",'1_SOC_Exposure_Data'!$A$786:$A$807,0))+R13*INDEX('1_SOC_Exposure_Data'!$C$786:$C$807,MATCH("43",'1_SOC_Exposure_Data'!$A$786:$A$807,0))+S13*INDEX('1_SOC_Exposure_Data'!$C$786:$C$807,MATCH("45",'1_SOC_Exposure_Data'!$A$786:$A$807,0))+T13*INDEX('1_SOC_Exposure_Data'!$C$786:$C$807,MATCH("47",'1_SOC_Exposure_Data'!$A$786:$A$807,0))+U13*INDEX('1_SOC_Exposure_Data'!$C$786:$C$807,MATCH("49",'1_SOC_Exposure_Data'!$A$786:$A$807,0))+V13*INDEX('1_SOC_Exposure_Data'!$C$786:$C$807,MATCH("51",'1_SOC_Exposure_Data'!$A$786:$A$807,0))+W13*INDEX('1_SOC_Exposure_Data'!$C$786:$C$807,MATCH("53",'1_SOC_Exposure_Data'!$A$786:$A$807,0))</f>
        <v/>
      </c>
      <c r="Z13" s="15">
        <f>COUNTIF('1_SOC_Exposure_Data'!$C$4:$C$781,"&lt;"&amp;Y13)/778</f>
        <v/>
      </c>
    </row>
    <row r="14">
      <c r="A14" t="inlineStr">
        <is>
          <t>A1_Software</t>
        </is>
      </c>
      <c r="B14" s="12" t="n">
        <v>0.15</v>
      </c>
      <c r="C14" s="13" t="n">
        <v>0</v>
      </c>
      <c r="D14" s="12" t="n">
        <v>0.55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2" t="n">
        <v>0.2</v>
      </c>
      <c r="R14" s="12" t="n">
        <v>0.1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2" t="n">
        <v>0.55</v>
      </c>
      <c r="Y14" s="14">
        <f>B14*INDEX('1_SOC_Exposure_Data'!$C$786:$C$807,MATCH("11",'1_SOC_Exposure_Data'!$A$786:$A$807,0))+C14*INDEX('1_SOC_Exposure_Data'!$C$786:$C$807,MATCH("13",'1_SOC_Exposure_Data'!$A$786:$A$807,0))+D14*INDEX('1_SOC_Exposure_Data'!$C$786:$C$807,MATCH("15",'1_SOC_Exposure_Data'!$A$786:$A$807,0))+E14*INDEX('1_SOC_Exposure_Data'!$C$786:$C$807,MATCH("17",'1_SOC_Exposure_Data'!$A$786:$A$807,0))+F14*INDEX('1_SOC_Exposure_Data'!$C$786:$C$807,MATCH("19",'1_SOC_Exposure_Data'!$A$786:$A$807,0))+G14*INDEX('1_SOC_Exposure_Data'!$C$786:$C$807,MATCH("21",'1_SOC_Exposure_Data'!$A$786:$A$807,0))+H14*INDEX('1_SOC_Exposure_Data'!$C$786:$C$807,MATCH("23",'1_SOC_Exposure_Data'!$A$786:$A$807,0))+I14*INDEX('1_SOC_Exposure_Data'!$C$786:$C$807,MATCH("25",'1_SOC_Exposure_Data'!$A$786:$A$807,0))+J14*INDEX('1_SOC_Exposure_Data'!$C$786:$C$807,MATCH("27",'1_SOC_Exposure_Data'!$A$786:$A$807,0))+K14*INDEX('1_SOC_Exposure_Data'!$C$786:$C$807,MATCH("29",'1_SOC_Exposure_Data'!$A$786:$A$807,0))+L14*INDEX('1_SOC_Exposure_Data'!$C$786:$C$807,MATCH("31",'1_SOC_Exposure_Data'!$A$786:$A$807,0))+M14*INDEX('1_SOC_Exposure_Data'!$C$786:$C$807,MATCH("33",'1_SOC_Exposure_Data'!$A$786:$A$807,0))+N14*INDEX('1_SOC_Exposure_Data'!$C$786:$C$807,MATCH("35",'1_SOC_Exposure_Data'!$A$786:$A$807,0))+O14*INDEX('1_SOC_Exposure_Data'!$C$786:$C$807,MATCH("37",'1_SOC_Exposure_Data'!$A$786:$A$807,0))+P14*INDEX('1_SOC_Exposure_Data'!$C$786:$C$807,MATCH("39",'1_SOC_Exposure_Data'!$A$786:$A$807,0))+Q14*INDEX('1_SOC_Exposure_Data'!$C$786:$C$807,MATCH("41",'1_SOC_Exposure_Data'!$A$786:$A$807,0))+R14*INDEX('1_SOC_Exposure_Data'!$C$786:$C$807,MATCH("43",'1_SOC_Exposure_Data'!$A$786:$A$807,0))+S14*INDEX('1_SOC_Exposure_Data'!$C$786:$C$807,MATCH("45",'1_SOC_Exposure_Data'!$A$786:$A$807,0))+T14*INDEX('1_SOC_Exposure_Data'!$C$786:$C$807,MATCH("47",'1_SOC_Exposure_Data'!$A$786:$A$807,0))+U14*INDEX('1_SOC_Exposure_Data'!$C$786:$C$807,MATCH("49",'1_SOC_Exposure_Data'!$A$786:$A$807,0))+V14*INDEX('1_SOC_Exposure_Data'!$C$786:$C$807,MATCH("51",'1_SOC_Exposure_Data'!$A$786:$A$807,0))+W14*INDEX('1_SOC_Exposure_Data'!$C$786:$C$807,MATCH("53",'1_SOC_Exposure_Data'!$A$786:$A$807,0))</f>
        <v/>
      </c>
      <c r="Z14" s="15">
        <f>COUNTIF('1_SOC_Exposure_Data'!$C$4:$C$781,"&lt;"&amp;Y14)/778</f>
        <v/>
      </c>
    </row>
    <row r="15">
      <c r="A15" t="inlineStr">
        <is>
          <t>A20_EducationServices</t>
        </is>
      </c>
      <c r="B15" s="12" t="n">
        <v>0.25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2" t="n">
        <v>0.55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2" t="n">
        <v>0.2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2" t="n">
        <v>0.6</v>
      </c>
      <c r="Y15" s="14">
        <f>B15*INDEX('1_SOC_Exposure_Data'!$C$786:$C$807,MATCH("11",'1_SOC_Exposure_Data'!$A$786:$A$807,0))+C15*INDEX('1_SOC_Exposure_Data'!$C$786:$C$807,MATCH("13",'1_SOC_Exposure_Data'!$A$786:$A$807,0))+D15*INDEX('1_SOC_Exposure_Data'!$C$786:$C$807,MATCH("15",'1_SOC_Exposure_Data'!$A$786:$A$807,0))+E15*INDEX('1_SOC_Exposure_Data'!$C$786:$C$807,MATCH("17",'1_SOC_Exposure_Data'!$A$786:$A$807,0))+F15*INDEX('1_SOC_Exposure_Data'!$C$786:$C$807,MATCH("19",'1_SOC_Exposure_Data'!$A$786:$A$807,0))+G15*INDEX('1_SOC_Exposure_Data'!$C$786:$C$807,MATCH("21",'1_SOC_Exposure_Data'!$A$786:$A$807,0))+H15*INDEX('1_SOC_Exposure_Data'!$C$786:$C$807,MATCH("23",'1_SOC_Exposure_Data'!$A$786:$A$807,0))+I15*INDEX('1_SOC_Exposure_Data'!$C$786:$C$807,MATCH("25",'1_SOC_Exposure_Data'!$A$786:$A$807,0))+J15*INDEX('1_SOC_Exposure_Data'!$C$786:$C$807,MATCH("27",'1_SOC_Exposure_Data'!$A$786:$A$807,0))+K15*INDEX('1_SOC_Exposure_Data'!$C$786:$C$807,MATCH("29",'1_SOC_Exposure_Data'!$A$786:$A$807,0))+L15*INDEX('1_SOC_Exposure_Data'!$C$786:$C$807,MATCH("31",'1_SOC_Exposure_Data'!$A$786:$A$807,0))+M15*INDEX('1_SOC_Exposure_Data'!$C$786:$C$807,MATCH("33",'1_SOC_Exposure_Data'!$A$786:$A$807,0))+N15*INDEX('1_SOC_Exposure_Data'!$C$786:$C$807,MATCH("35",'1_SOC_Exposure_Data'!$A$786:$A$807,0))+O15*INDEX('1_SOC_Exposure_Data'!$C$786:$C$807,MATCH("37",'1_SOC_Exposure_Data'!$A$786:$A$807,0))+P15*INDEX('1_SOC_Exposure_Data'!$C$786:$C$807,MATCH("39",'1_SOC_Exposure_Data'!$A$786:$A$807,0))+Q15*INDEX('1_SOC_Exposure_Data'!$C$786:$C$807,MATCH("41",'1_SOC_Exposure_Data'!$A$786:$A$807,0))+R15*INDEX('1_SOC_Exposure_Data'!$C$786:$C$807,MATCH("43",'1_SOC_Exposure_Data'!$A$786:$A$807,0))+S15*INDEX('1_SOC_Exposure_Data'!$C$786:$C$807,MATCH("45",'1_SOC_Exposure_Data'!$A$786:$A$807,0))+T15*INDEX('1_SOC_Exposure_Data'!$C$786:$C$807,MATCH("47",'1_SOC_Exposure_Data'!$A$786:$A$807,0))+U15*INDEX('1_SOC_Exposure_Data'!$C$786:$C$807,MATCH("49",'1_SOC_Exposure_Data'!$A$786:$A$807,0))+V15*INDEX('1_SOC_Exposure_Data'!$C$786:$C$807,MATCH("51",'1_SOC_Exposure_Data'!$A$786:$A$807,0))+W15*INDEX('1_SOC_Exposure_Data'!$C$786:$C$807,MATCH("53",'1_SOC_Exposure_Data'!$A$786:$A$807,0))</f>
        <v/>
      </c>
      <c r="Z15" s="15">
        <f>COUNTIF('1_SOC_Exposure_Data'!$C$4:$C$781,"&lt;"&amp;Y15)/778</f>
        <v/>
      </c>
    </row>
    <row r="16">
      <c r="A16" t="inlineStr">
        <is>
          <t>A21_InsuranceBrokers</t>
        </is>
      </c>
      <c r="B16" s="12" t="n">
        <v>0.1</v>
      </c>
      <c r="C16" s="12" t="n">
        <v>0.3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2" t="n">
        <v>0.4</v>
      </c>
      <c r="R16" s="12" t="n">
        <v>0.2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2" t="n">
        <v>0.45</v>
      </c>
      <c r="Y16" s="14">
        <f>B16*INDEX('1_SOC_Exposure_Data'!$C$786:$C$807,MATCH("11",'1_SOC_Exposure_Data'!$A$786:$A$807,0))+C16*INDEX('1_SOC_Exposure_Data'!$C$786:$C$807,MATCH("13",'1_SOC_Exposure_Data'!$A$786:$A$807,0))+D16*INDEX('1_SOC_Exposure_Data'!$C$786:$C$807,MATCH("15",'1_SOC_Exposure_Data'!$A$786:$A$807,0))+E16*INDEX('1_SOC_Exposure_Data'!$C$786:$C$807,MATCH("17",'1_SOC_Exposure_Data'!$A$786:$A$807,0))+F16*INDEX('1_SOC_Exposure_Data'!$C$786:$C$807,MATCH("19",'1_SOC_Exposure_Data'!$A$786:$A$807,0))+G16*INDEX('1_SOC_Exposure_Data'!$C$786:$C$807,MATCH("21",'1_SOC_Exposure_Data'!$A$786:$A$807,0))+H16*INDEX('1_SOC_Exposure_Data'!$C$786:$C$807,MATCH("23",'1_SOC_Exposure_Data'!$A$786:$A$807,0))+I16*INDEX('1_SOC_Exposure_Data'!$C$786:$C$807,MATCH("25",'1_SOC_Exposure_Data'!$A$786:$A$807,0))+J16*INDEX('1_SOC_Exposure_Data'!$C$786:$C$807,MATCH("27",'1_SOC_Exposure_Data'!$A$786:$A$807,0))+K16*INDEX('1_SOC_Exposure_Data'!$C$786:$C$807,MATCH("29",'1_SOC_Exposure_Data'!$A$786:$A$807,0))+L16*INDEX('1_SOC_Exposure_Data'!$C$786:$C$807,MATCH("31",'1_SOC_Exposure_Data'!$A$786:$A$807,0))+M16*INDEX('1_SOC_Exposure_Data'!$C$786:$C$807,MATCH("33",'1_SOC_Exposure_Data'!$A$786:$A$807,0))+N16*INDEX('1_SOC_Exposure_Data'!$C$786:$C$807,MATCH("35",'1_SOC_Exposure_Data'!$A$786:$A$807,0))+O16*INDEX('1_SOC_Exposure_Data'!$C$786:$C$807,MATCH("37",'1_SOC_Exposure_Data'!$A$786:$A$807,0))+P16*INDEX('1_SOC_Exposure_Data'!$C$786:$C$807,MATCH("39",'1_SOC_Exposure_Data'!$A$786:$A$807,0))+Q16*INDEX('1_SOC_Exposure_Data'!$C$786:$C$807,MATCH("41",'1_SOC_Exposure_Data'!$A$786:$A$807,0))+R16*INDEX('1_SOC_Exposure_Data'!$C$786:$C$807,MATCH("43",'1_SOC_Exposure_Data'!$A$786:$A$807,0))+S16*INDEX('1_SOC_Exposure_Data'!$C$786:$C$807,MATCH("45",'1_SOC_Exposure_Data'!$A$786:$A$807,0))+T16*INDEX('1_SOC_Exposure_Data'!$C$786:$C$807,MATCH("47",'1_SOC_Exposure_Data'!$A$786:$A$807,0))+U16*INDEX('1_SOC_Exposure_Data'!$C$786:$C$807,MATCH("49",'1_SOC_Exposure_Data'!$A$786:$A$807,0))+V16*INDEX('1_SOC_Exposure_Data'!$C$786:$C$807,MATCH("51",'1_SOC_Exposure_Data'!$A$786:$A$807,0))+W16*INDEX('1_SOC_Exposure_Data'!$C$786:$C$807,MATCH("53",'1_SOC_Exposure_Data'!$A$786:$A$807,0))</f>
        <v/>
      </c>
      <c r="Z16" s="15">
        <f>COUNTIF('1_SOC_Exposure_Data'!$C$4:$C$781,"&lt;"&amp;Y16)/778</f>
        <v/>
      </c>
    </row>
    <row r="17">
      <c r="A17" t="inlineStr">
        <is>
          <t>A22_AutosAutoParts</t>
        </is>
      </c>
      <c r="B17" s="12" t="n">
        <v>0.2</v>
      </c>
      <c r="C17" s="13" t="n">
        <v>0</v>
      </c>
      <c r="D17" s="13" t="n">
        <v>0</v>
      </c>
      <c r="E17" s="12" t="n">
        <v>0.2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2" t="n">
        <v>0.2</v>
      </c>
      <c r="V17" s="12" t="n">
        <v>0.4</v>
      </c>
      <c r="W17" s="13" t="n">
        <v>0</v>
      </c>
      <c r="X17" s="12" t="n">
        <v>0.25</v>
      </c>
      <c r="Y17" s="14">
        <f>B17*INDEX('1_SOC_Exposure_Data'!$C$786:$C$807,MATCH("11",'1_SOC_Exposure_Data'!$A$786:$A$807,0))+C17*INDEX('1_SOC_Exposure_Data'!$C$786:$C$807,MATCH("13",'1_SOC_Exposure_Data'!$A$786:$A$807,0))+D17*INDEX('1_SOC_Exposure_Data'!$C$786:$C$807,MATCH("15",'1_SOC_Exposure_Data'!$A$786:$A$807,0))+E17*INDEX('1_SOC_Exposure_Data'!$C$786:$C$807,MATCH("17",'1_SOC_Exposure_Data'!$A$786:$A$807,0))+F17*INDEX('1_SOC_Exposure_Data'!$C$786:$C$807,MATCH("19",'1_SOC_Exposure_Data'!$A$786:$A$807,0))+G17*INDEX('1_SOC_Exposure_Data'!$C$786:$C$807,MATCH("21",'1_SOC_Exposure_Data'!$A$786:$A$807,0))+H17*INDEX('1_SOC_Exposure_Data'!$C$786:$C$807,MATCH("23",'1_SOC_Exposure_Data'!$A$786:$A$807,0))+I17*INDEX('1_SOC_Exposure_Data'!$C$786:$C$807,MATCH("25",'1_SOC_Exposure_Data'!$A$786:$A$807,0))+J17*INDEX('1_SOC_Exposure_Data'!$C$786:$C$807,MATCH("27",'1_SOC_Exposure_Data'!$A$786:$A$807,0))+K17*INDEX('1_SOC_Exposure_Data'!$C$786:$C$807,MATCH("29",'1_SOC_Exposure_Data'!$A$786:$A$807,0))+L17*INDEX('1_SOC_Exposure_Data'!$C$786:$C$807,MATCH("31",'1_SOC_Exposure_Data'!$A$786:$A$807,0))+M17*INDEX('1_SOC_Exposure_Data'!$C$786:$C$807,MATCH("33",'1_SOC_Exposure_Data'!$A$786:$A$807,0))+N17*INDEX('1_SOC_Exposure_Data'!$C$786:$C$807,MATCH("35",'1_SOC_Exposure_Data'!$A$786:$A$807,0))+O17*INDEX('1_SOC_Exposure_Data'!$C$786:$C$807,MATCH("37",'1_SOC_Exposure_Data'!$A$786:$A$807,0))+P17*INDEX('1_SOC_Exposure_Data'!$C$786:$C$807,MATCH("39",'1_SOC_Exposure_Data'!$A$786:$A$807,0))+Q17*INDEX('1_SOC_Exposure_Data'!$C$786:$C$807,MATCH("41",'1_SOC_Exposure_Data'!$A$786:$A$807,0))+R17*INDEX('1_SOC_Exposure_Data'!$C$786:$C$807,MATCH("43",'1_SOC_Exposure_Data'!$A$786:$A$807,0))+S17*INDEX('1_SOC_Exposure_Data'!$C$786:$C$807,MATCH("45",'1_SOC_Exposure_Data'!$A$786:$A$807,0))+T17*INDEX('1_SOC_Exposure_Data'!$C$786:$C$807,MATCH("47",'1_SOC_Exposure_Data'!$A$786:$A$807,0))+U17*INDEX('1_SOC_Exposure_Data'!$C$786:$C$807,MATCH("49",'1_SOC_Exposure_Data'!$A$786:$A$807,0))+V17*INDEX('1_SOC_Exposure_Data'!$C$786:$C$807,MATCH("51",'1_SOC_Exposure_Data'!$A$786:$A$807,0))+W17*INDEX('1_SOC_Exposure_Data'!$C$786:$C$807,MATCH("53",'1_SOC_Exposure_Data'!$A$786:$A$807,0))</f>
        <v/>
      </c>
      <c r="Z17" s="15">
        <f>COUNTIF('1_SOC_Exposure_Data'!$C$4:$C$781,"&lt;"&amp;Y17)/778</f>
        <v/>
      </c>
    </row>
    <row r="18">
      <c r="A18" t="inlineStr">
        <is>
          <t>A23_ApparelTextilesDurables</t>
        </is>
      </c>
      <c r="B18" s="12" t="n">
        <v>0.2</v>
      </c>
      <c r="C18" s="12" t="n">
        <v>0.2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2" t="n">
        <v>0.2</v>
      </c>
      <c r="R18" s="13" t="n">
        <v>0</v>
      </c>
      <c r="S18" s="13" t="n">
        <v>0</v>
      </c>
      <c r="T18" s="13" t="n">
        <v>0</v>
      </c>
      <c r="U18" s="13" t="n">
        <v>0</v>
      </c>
      <c r="V18" s="12" t="n">
        <v>0.4</v>
      </c>
      <c r="W18" s="13" t="n">
        <v>0</v>
      </c>
      <c r="X18" s="12" t="n">
        <v>0.25</v>
      </c>
      <c r="Y18" s="14">
        <f>B18*INDEX('1_SOC_Exposure_Data'!$C$786:$C$807,MATCH("11",'1_SOC_Exposure_Data'!$A$786:$A$807,0))+C18*INDEX('1_SOC_Exposure_Data'!$C$786:$C$807,MATCH("13",'1_SOC_Exposure_Data'!$A$786:$A$807,0))+D18*INDEX('1_SOC_Exposure_Data'!$C$786:$C$807,MATCH("15",'1_SOC_Exposure_Data'!$A$786:$A$807,0))+E18*INDEX('1_SOC_Exposure_Data'!$C$786:$C$807,MATCH("17",'1_SOC_Exposure_Data'!$A$786:$A$807,0))+F18*INDEX('1_SOC_Exposure_Data'!$C$786:$C$807,MATCH("19",'1_SOC_Exposure_Data'!$A$786:$A$807,0))+G18*INDEX('1_SOC_Exposure_Data'!$C$786:$C$807,MATCH("21",'1_SOC_Exposure_Data'!$A$786:$A$807,0))+H18*INDEX('1_SOC_Exposure_Data'!$C$786:$C$807,MATCH("23",'1_SOC_Exposure_Data'!$A$786:$A$807,0))+I18*INDEX('1_SOC_Exposure_Data'!$C$786:$C$807,MATCH("25",'1_SOC_Exposure_Data'!$A$786:$A$807,0))+J18*INDEX('1_SOC_Exposure_Data'!$C$786:$C$807,MATCH("27",'1_SOC_Exposure_Data'!$A$786:$A$807,0))+K18*INDEX('1_SOC_Exposure_Data'!$C$786:$C$807,MATCH("29",'1_SOC_Exposure_Data'!$A$786:$A$807,0))+L18*INDEX('1_SOC_Exposure_Data'!$C$786:$C$807,MATCH("31",'1_SOC_Exposure_Data'!$A$786:$A$807,0))+M18*INDEX('1_SOC_Exposure_Data'!$C$786:$C$807,MATCH("33",'1_SOC_Exposure_Data'!$A$786:$A$807,0))+N18*INDEX('1_SOC_Exposure_Data'!$C$786:$C$807,MATCH("35",'1_SOC_Exposure_Data'!$A$786:$A$807,0))+O18*INDEX('1_SOC_Exposure_Data'!$C$786:$C$807,MATCH("37",'1_SOC_Exposure_Data'!$A$786:$A$807,0))+P18*INDEX('1_SOC_Exposure_Data'!$C$786:$C$807,MATCH("39",'1_SOC_Exposure_Data'!$A$786:$A$807,0))+Q18*INDEX('1_SOC_Exposure_Data'!$C$786:$C$807,MATCH("41",'1_SOC_Exposure_Data'!$A$786:$A$807,0))+R18*INDEX('1_SOC_Exposure_Data'!$C$786:$C$807,MATCH("43",'1_SOC_Exposure_Data'!$A$786:$A$807,0))+S18*INDEX('1_SOC_Exposure_Data'!$C$786:$C$807,MATCH("45",'1_SOC_Exposure_Data'!$A$786:$A$807,0))+T18*INDEX('1_SOC_Exposure_Data'!$C$786:$C$807,MATCH("47",'1_SOC_Exposure_Data'!$A$786:$A$807,0))+U18*INDEX('1_SOC_Exposure_Data'!$C$786:$C$807,MATCH("49",'1_SOC_Exposure_Data'!$A$786:$A$807,0))+V18*INDEX('1_SOC_Exposure_Data'!$C$786:$C$807,MATCH("51",'1_SOC_Exposure_Data'!$A$786:$A$807,0))+W18*INDEX('1_SOC_Exposure_Data'!$C$786:$C$807,MATCH("53",'1_SOC_Exposure_Data'!$A$786:$A$807,0))</f>
        <v/>
      </c>
      <c r="Z18" s="15">
        <f>COUNTIF('1_SOC_Exposure_Data'!$C$4:$C$781,"&lt;"&amp;Y18)/778</f>
        <v/>
      </c>
    </row>
    <row r="19">
      <c r="A19" t="inlineStr">
        <is>
          <t>A2_ITConsultingData</t>
        </is>
      </c>
      <c r="B19" s="12" t="n">
        <v>0.2</v>
      </c>
      <c r="C19" s="12" t="n">
        <v>0.25</v>
      </c>
      <c r="D19" s="12" t="n">
        <v>0.35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2" t="n">
        <v>0.2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2" t="n">
        <v>0.65</v>
      </c>
      <c r="Y19" s="14">
        <f>B19*INDEX('1_SOC_Exposure_Data'!$C$786:$C$807,MATCH("11",'1_SOC_Exposure_Data'!$A$786:$A$807,0))+C19*INDEX('1_SOC_Exposure_Data'!$C$786:$C$807,MATCH("13",'1_SOC_Exposure_Data'!$A$786:$A$807,0))+D19*INDEX('1_SOC_Exposure_Data'!$C$786:$C$807,MATCH("15",'1_SOC_Exposure_Data'!$A$786:$A$807,0))+E19*INDEX('1_SOC_Exposure_Data'!$C$786:$C$807,MATCH("17",'1_SOC_Exposure_Data'!$A$786:$A$807,0))+F19*INDEX('1_SOC_Exposure_Data'!$C$786:$C$807,MATCH("19",'1_SOC_Exposure_Data'!$A$786:$A$807,0))+G19*INDEX('1_SOC_Exposure_Data'!$C$786:$C$807,MATCH("21",'1_SOC_Exposure_Data'!$A$786:$A$807,0))+H19*INDEX('1_SOC_Exposure_Data'!$C$786:$C$807,MATCH("23",'1_SOC_Exposure_Data'!$A$786:$A$807,0))+I19*INDEX('1_SOC_Exposure_Data'!$C$786:$C$807,MATCH("25",'1_SOC_Exposure_Data'!$A$786:$A$807,0))+J19*INDEX('1_SOC_Exposure_Data'!$C$786:$C$807,MATCH("27",'1_SOC_Exposure_Data'!$A$786:$A$807,0))+K19*INDEX('1_SOC_Exposure_Data'!$C$786:$C$807,MATCH("29",'1_SOC_Exposure_Data'!$A$786:$A$807,0))+L19*INDEX('1_SOC_Exposure_Data'!$C$786:$C$807,MATCH("31",'1_SOC_Exposure_Data'!$A$786:$A$807,0))+M19*INDEX('1_SOC_Exposure_Data'!$C$786:$C$807,MATCH("33",'1_SOC_Exposure_Data'!$A$786:$A$807,0))+N19*INDEX('1_SOC_Exposure_Data'!$C$786:$C$807,MATCH("35",'1_SOC_Exposure_Data'!$A$786:$A$807,0))+O19*INDEX('1_SOC_Exposure_Data'!$C$786:$C$807,MATCH("37",'1_SOC_Exposure_Data'!$A$786:$A$807,0))+P19*INDEX('1_SOC_Exposure_Data'!$C$786:$C$807,MATCH("39",'1_SOC_Exposure_Data'!$A$786:$A$807,0))+Q19*INDEX('1_SOC_Exposure_Data'!$C$786:$C$807,MATCH("41",'1_SOC_Exposure_Data'!$A$786:$A$807,0))+R19*INDEX('1_SOC_Exposure_Data'!$C$786:$C$807,MATCH("43",'1_SOC_Exposure_Data'!$A$786:$A$807,0))+S19*INDEX('1_SOC_Exposure_Data'!$C$786:$C$807,MATCH("45",'1_SOC_Exposure_Data'!$A$786:$A$807,0))+T19*INDEX('1_SOC_Exposure_Data'!$C$786:$C$807,MATCH("47",'1_SOC_Exposure_Data'!$A$786:$A$807,0))+U19*INDEX('1_SOC_Exposure_Data'!$C$786:$C$807,MATCH("49",'1_SOC_Exposure_Data'!$A$786:$A$807,0))+V19*INDEX('1_SOC_Exposure_Data'!$C$786:$C$807,MATCH("51",'1_SOC_Exposure_Data'!$A$786:$A$807,0))+W19*INDEX('1_SOC_Exposure_Data'!$C$786:$C$807,MATCH("53",'1_SOC_Exposure_Data'!$A$786:$A$807,0))</f>
        <v/>
      </c>
      <c r="Z19" s="15">
        <f>COUNTIF('1_SOC_Exposure_Data'!$C$4:$C$781,"&lt;"&amp;Y19)/778</f>
        <v/>
      </c>
    </row>
    <row r="20">
      <c r="A20" t="inlineStr">
        <is>
          <t>A3_BankingFinServ</t>
        </is>
      </c>
      <c r="B20" s="12" t="n">
        <v>0.15</v>
      </c>
      <c r="C20" s="12" t="n">
        <v>0.4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2" t="n">
        <v>0.15</v>
      </c>
      <c r="R20" s="12" t="n">
        <v>0.3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2" t="n">
        <v>0.45</v>
      </c>
      <c r="Y20" s="14">
        <f>B20*INDEX('1_SOC_Exposure_Data'!$C$786:$C$807,MATCH("11",'1_SOC_Exposure_Data'!$A$786:$A$807,0))+C20*INDEX('1_SOC_Exposure_Data'!$C$786:$C$807,MATCH("13",'1_SOC_Exposure_Data'!$A$786:$A$807,0))+D20*INDEX('1_SOC_Exposure_Data'!$C$786:$C$807,MATCH("15",'1_SOC_Exposure_Data'!$A$786:$A$807,0))+E20*INDEX('1_SOC_Exposure_Data'!$C$786:$C$807,MATCH("17",'1_SOC_Exposure_Data'!$A$786:$A$807,0))+F20*INDEX('1_SOC_Exposure_Data'!$C$786:$C$807,MATCH("19",'1_SOC_Exposure_Data'!$A$786:$A$807,0))+G20*INDEX('1_SOC_Exposure_Data'!$C$786:$C$807,MATCH("21",'1_SOC_Exposure_Data'!$A$786:$A$807,0))+H20*INDEX('1_SOC_Exposure_Data'!$C$786:$C$807,MATCH("23",'1_SOC_Exposure_Data'!$A$786:$A$807,0))+I20*INDEX('1_SOC_Exposure_Data'!$C$786:$C$807,MATCH("25",'1_SOC_Exposure_Data'!$A$786:$A$807,0))+J20*INDEX('1_SOC_Exposure_Data'!$C$786:$C$807,MATCH("27",'1_SOC_Exposure_Data'!$A$786:$A$807,0))+K20*INDEX('1_SOC_Exposure_Data'!$C$786:$C$807,MATCH("29",'1_SOC_Exposure_Data'!$A$786:$A$807,0))+L20*INDEX('1_SOC_Exposure_Data'!$C$786:$C$807,MATCH("31",'1_SOC_Exposure_Data'!$A$786:$A$807,0))+M20*INDEX('1_SOC_Exposure_Data'!$C$786:$C$807,MATCH("33",'1_SOC_Exposure_Data'!$A$786:$A$807,0))+N20*INDEX('1_SOC_Exposure_Data'!$C$786:$C$807,MATCH("35",'1_SOC_Exposure_Data'!$A$786:$A$807,0))+O20*INDEX('1_SOC_Exposure_Data'!$C$786:$C$807,MATCH("37",'1_SOC_Exposure_Data'!$A$786:$A$807,0))+P20*INDEX('1_SOC_Exposure_Data'!$C$786:$C$807,MATCH("39",'1_SOC_Exposure_Data'!$A$786:$A$807,0))+Q20*INDEX('1_SOC_Exposure_Data'!$C$786:$C$807,MATCH("41",'1_SOC_Exposure_Data'!$A$786:$A$807,0))+R20*INDEX('1_SOC_Exposure_Data'!$C$786:$C$807,MATCH("43",'1_SOC_Exposure_Data'!$A$786:$A$807,0))+S20*INDEX('1_SOC_Exposure_Data'!$C$786:$C$807,MATCH("45",'1_SOC_Exposure_Data'!$A$786:$A$807,0))+T20*INDEX('1_SOC_Exposure_Data'!$C$786:$C$807,MATCH("47",'1_SOC_Exposure_Data'!$A$786:$A$807,0))+U20*INDEX('1_SOC_Exposure_Data'!$C$786:$C$807,MATCH("49",'1_SOC_Exposure_Data'!$A$786:$A$807,0))+V20*INDEX('1_SOC_Exposure_Data'!$C$786:$C$807,MATCH("51",'1_SOC_Exposure_Data'!$A$786:$A$807,0))+W20*INDEX('1_SOC_Exposure_Data'!$C$786:$C$807,MATCH("53",'1_SOC_Exposure_Data'!$A$786:$A$807,0))</f>
        <v/>
      </c>
      <c r="Z20" s="15">
        <f>COUNTIF('1_SOC_Exposure_Data'!$C$4:$C$781,"&lt;"&amp;Y20)/778</f>
        <v/>
      </c>
    </row>
    <row r="21">
      <c r="A21" t="inlineStr">
        <is>
          <t>A4_AssetMgmtCapMkts</t>
        </is>
      </c>
      <c r="B21" s="12" t="n">
        <v>0.25</v>
      </c>
      <c r="C21" s="12" t="n">
        <v>0.55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2" t="n">
        <v>0.2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2" t="n">
        <v>0.5</v>
      </c>
      <c r="Y21" s="14">
        <f>B21*INDEX('1_SOC_Exposure_Data'!$C$786:$C$807,MATCH("11",'1_SOC_Exposure_Data'!$A$786:$A$807,0))+C21*INDEX('1_SOC_Exposure_Data'!$C$786:$C$807,MATCH("13",'1_SOC_Exposure_Data'!$A$786:$A$807,0))+D21*INDEX('1_SOC_Exposure_Data'!$C$786:$C$807,MATCH("15",'1_SOC_Exposure_Data'!$A$786:$A$807,0))+E21*INDEX('1_SOC_Exposure_Data'!$C$786:$C$807,MATCH("17",'1_SOC_Exposure_Data'!$A$786:$A$807,0))+F21*INDEX('1_SOC_Exposure_Data'!$C$786:$C$807,MATCH("19",'1_SOC_Exposure_Data'!$A$786:$A$807,0))+G21*INDEX('1_SOC_Exposure_Data'!$C$786:$C$807,MATCH("21",'1_SOC_Exposure_Data'!$A$786:$A$807,0))+H21*INDEX('1_SOC_Exposure_Data'!$C$786:$C$807,MATCH("23",'1_SOC_Exposure_Data'!$A$786:$A$807,0))+I21*INDEX('1_SOC_Exposure_Data'!$C$786:$C$807,MATCH("25",'1_SOC_Exposure_Data'!$A$786:$A$807,0))+J21*INDEX('1_SOC_Exposure_Data'!$C$786:$C$807,MATCH("27",'1_SOC_Exposure_Data'!$A$786:$A$807,0))+K21*INDEX('1_SOC_Exposure_Data'!$C$786:$C$807,MATCH("29",'1_SOC_Exposure_Data'!$A$786:$A$807,0))+L21*INDEX('1_SOC_Exposure_Data'!$C$786:$C$807,MATCH("31",'1_SOC_Exposure_Data'!$A$786:$A$807,0))+M21*INDEX('1_SOC_Exposure_Data'!$C$786:$C$807,MATCH("33",'1_SOC_Exposure_Data'!$A$786:$A$807,0))+N21*INDEX('1_SOC_Exposure_Data'!$C$786:$C$807,MATCH("35",'1_SOC_Exposure_Data'!$A$786:$A$807,0))+O21*INDEX('1_SOC_Exposure_Data'!$C$786:$C$807,MATCH("37",'1_SOC_Exposure_Data'!$A$786:$A$807,0))+P21*INDEX('1_SOC_Exposure_Data'!$C$786:$C$807,MATCH("39",'1_SOC_Exposure_Data'!$A$786:$A$807,0))+Q21*INDEX('1_SOC_Exposure_Data'!$C$786:$C$807,MATCH("41",'1_SOC_Exposure_Data'!$A$786:$A$807,0))+R21*INDEX('1_SOC_Exposure_Data'!$C$786:$C$807,MATCH("43",'1_SOC_Exposure_Data'!$A$786:$A$807,0))+S21*INDEX('1_SOC_Exposure_Data'!$C$786:$C$807,MATCH("45",'1_SOC_Exposure_Data'!$A$786:$A$807,0))+T21*INDEX('1_SOC_Exposure_Data'!$C$786:$C$807,MATCH("47",'1_SOC_Exposure_Data'!$A$786:$A$807,0))+U21*INDEX('1_SOC_Exposure_Data'!$C$786:$C$807,MATCH("49",'1_SOC_Exposure_Data'!$A$786:$A$807,0))+V21*INDEX('1_SOC_Exposure_Data'!$C$786:$C$807,MATCH("51",'1_SOC_Exposure_Data'!$A$786:$A$807,0))+W21*INDEX('1_SOC_Exposure_Data'!$C$786:$C$807,MATCH("53",'1_SOC_Exposure_Data'!$A$786:$A$807,0))</f>
        <v/>
      </c>
      <c r="Z21" s="15">
        <f>COUNTIF('1_SOC_Exposure_Data'!$C$4:$C$781,"&lt;"&amp;Y21)/778</f>
        <v/>
      </c>
    </row>
    <row r="22">
      <c r="A22" t="inlineStr">
        <is>
          <t>A5_HealthcareServices</t>
        </is>
      </c>
      <c r="B22" s="12" t="n">
        <v>0.15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2" t="n">
        <v>0.45</v>
      </c>
      <c r="L22" s="12" t="n">
        <v>0.3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2" t="n">
        <v>0.1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2" t="n">
        <v>0.6</v>
      </c>
      <c r="Y22" s="14">
        <f>B22*INDEX('1_SOC_Exposure_Data'!$C$786:$C$807,MATCH("11",'1_SOC_Exposure_Data'!$A$786:$A$807,0))+C22*INDEX('1_SOC_Exposure_Data'!$C$786:$C$807,MATCH("13",'1_SOC_Exposure_Data'!$A$786:$A$807,0))+D22*INDEX('1_SOC_Exposure_Data'!$C$786:$C$807,MATCH("15",'1_SOC_Exposure_Data'!$A$786:$A$807,0))+E22*INDEX('1_SOC_Exposure_Data'!$C$786:$C$807,MATCH("17",'1_SOC_Exposure_Data'!$A$786:$A$807,0))+F22*INDEX('1_SOC_Exposure_Data'!$C$786:$C$807,MATCH("19",'1_SOC_Exposure_Data'!$A$786:$A$807,0))+G22*INDEX('1_SOC_Exposure_Data'!$C$786:$C$807,MATCH("21",'1_SOC_Exposure_Data'!$A$786:$A$807,0))+H22*INDEX('1_SOC_Exposure_Data'!$C$786:$C$807,MATCH("23",'1_SOC_Exposure_Data'!$A$786:$A$807,0))+I22*INDEX('1_SOC_Exposure_Data'!$C$786:$C$807,MATCH("25",'1_SOC_Exposure_Data'!$A$786:$A$807,0))+J22*INDEX('1_SOC_Exposure_Data'!$C$786:$C$807,MATCH("27",'1_SOC_Exposure_Data'!$A$786:$A$807,0))+K22*INDEX('1_SOC_Exposure_Data'!$C$786:$C$807,MATCH("29",'1_SOC_Exposure_Data'!$A$786:$A$807,0))+L22*INDEX('1_SOC_Exposure_Data'!$C$786:$C$807,MATCH("31",'1_SOC_Exposure_Data'!$A$786:$A$807,0))+M22*INDEX('1_SOC_Exposure_Data'!$C$786:$C$807,MATCH("33",'1_SOC_Exposure_Data'!$A$786:$A$807,0))+N22*INDEX('1_SOC_Exposure_Data'!$C$786:$C$807,MATCH("35",'1_SOC_Exposure_Data'!$A$786:$A$807,0))+O22*INDEX('1_SOC_Exposure_Data'!$C$786:$C$807,MATCH("37",'1_SOC_Exposure_Data'!$A$786:$A$807,0))+P22*INDEX('1_SOC_Exposure_Data'!$C$786:$C$807,MATCH("39",'1_SOC_Exposure_Data'!$A$786:$A$807,0))+Q22*INDEX('1_SOC_Exposure_Data'!$C$786:$C$807,MATCH("41",'1_SOC_Exposure_Data'!$A$786:$A$807,0))+R22*INDEX('1_SOC_Exposure_Data'!$C$786:$C$807,MATCH("43",'1_SOC_Exposure_Data'!$A$786:$A$807,0))+S22*INDEX('1_SOC_Exposure_Data'!$C$786:$C$807,MATCH("45",'1_SOC_Exposure_Data'!$A$786:$A$807,0))+T22*INDEX('1_SOC_Exposure_Data'!$C$786:$C$807,MATCH("47",'1_SOC_Exposure_Data'!$A$786:$A$807,0))+U22*INDEX('1_SOC_Exposure_Data'!$C$786:$C$807,MATCH("49",'1_SOC_Exposure_Data'!$A$786:$A$807,0))+V22*INDEX('1_SOC_Exposure_Data'!$C$786:$C$807,MATCH("51",'1_SOC_Exposure_Data'!$A$786:$A$807,0))+W22*INDEX('1_SOC_Exposure_Data'!$C$786:$C$807,MATCH("53",'1_SOC_Exposure_Data'!$A$786:$A$807,0))</f>
        <v/>
      </c>
      <c r="Z22" s="15">
        <f>COUNTIF('1_SOC_Exposure_Data'!$C$4:$C$781,"&lt;"&amp;Y22)/778</f>
        <v/>
      </c>
    </row>
    <row r="23">
      <c r="A23" t="inlineStr">
        <is>
          <t>A6_HealthcareProductsBiotech</t>
        </is>
      </c>
      <c r="B23" s="12" t="n">
        <v>0.2</v>
      </c>
      <c r="C23" s="12" t="n">
        <v>0.2</v>
      </c>
      <c r="D23" s="13" t="n">
        <v>0</v>
      </c>
      <c r="E23" s="13" t="n">
        <v>0</v>
      </c>
      <c r="F23" s="12" t="n">
        <v>0.35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2" t="n">
        <v>0.25</v>
      </c>
      <c r="W23" s="13" t="n">
        <v>0</v>
      </c>
      <c r="X23" s="12" t="n">
        <v>0.3</v>
      </c>
      <c r="Y23" s="14">
        <f>B23*INDEX('1_SOC_Exposure_Data'!$C$786:$C$807,MATCH("11",'1_SOC_Exposure_Data'!$A$786:$A$807,0))+C23*INDEX('1_SOC_Exposure_Data'!$C$786:$C$807,MATCH("13",'1_SOC_Exposure_Data'!$A$786:$A$807,0))+D23*INDEX('1_SOC_Exposure_Data'!$C$786:$C$807,MATCH("15",'1_SOC_Exposure_Data'!$A$786:$A$807,0))+E23*INDEX('1_SOC_Exposure_Data'!$C$786:$C$807,MATCH("17",'1_SOC_Exposure_Data'!$A$786:$A$807,0))+F23*INDEX('1_SOC_Exposure_Data'!$C$786:$C$807,MATCH("19",'1_SOC_Exposure_Data'!$A$786:$A$807,0))+G23*INDEX('1_SOC_Exposure_Data'!$C$786:$C$807,MATCH("21",'1_SOC_Exposure_Data'!$A$786:$A$807,0))+H23*INDEX('1_SOC_Exposure_Data'!$C$786:$C$807,MATCH("23",'1_SOC_Exposure_Data'!$A$786:$A$807,0))+I23*INDEX('1_SOC_Exposure_Data'!$C$786:$C$807,MATCH("25",'1_SOC_Exposure_Data'!$A$786:$A$807,0))+J23*INDEX('1_SOC_Exposure_Data'!$C$786:$C$807,MATCH("27",'1_SOC_Exposure_Data'!$A$786:$A$807,0))+K23*INDEX('1_SOC_Exposure_Data'!$C$786:$C$807,MATCH("29",'1_SOC_Exposure_Data'!$A$786:$A$807,0))+L23*INDEX('1_SOC_Exposure_Data'!$C$786:$C$807,MATCH("31",'1_SOC_Exposure_Data'!$A$786:$A$807,0))+M23*INDEX('1_SOC_Exposure_Data'!$C$786:$C$807,MATCH("33",'1_SOC_Exposure_Data'!$A$786:$A$807,0))+N23*INDEX('1_SOC_Exposure_Data'!$C$786:$C$807,MATCH("35",'1_SOC_Exposure_Data'!$A$786:$A$807,0))+O23*INDEX('1_SOC_Exposure_Data'!$C$786:$C$807,MATCH("37",'1_SOC_Exposure_Data'!$A$786:$A$807,0))+P23*INDEX('1_SOC_Exposure_Data'!$C$786:$C$807,MATCH("39",'1_SOC_Exposure_Data'!$A$786:$A$807,0))+Q23*INDEX('1_SOC_Exposure_Data'!$C$786:$C$807,MATCH("41",'1_SOC_Exposure_Data'!$A$786:$A$807,0))+R23*INDEX('1_SOC_Exposure_Data'!$C$786:$C$807,MATCH("43",'1_SOC_Exposure_Data'!$A$786:$A$807,0))+S23*INDEX('1_SOC_Exposure_Data'!$C$786:$C$807,MATCH("45",'1_SOC_Exposure_Data'!$A$786:$A$807,0))+T23*INDEX('1_SOC_Exposure_Data'!$C$786:$C$807,MATCH("47",'1_SOC_Exposure_Data'!$A$786:$A$807,0))+U23*INDEX('1_SOC_Exposure_Data'!$C$786:$C$807,MATCH("49",'1_SOC_Exposure_Data'!$A$786:$A$807,0))+V23*INDEX('1_SOC_Exposure_Data'!$C$786:$C$807,MATCH("51",'1_SOC_Exposure_Data'!$A$786:$A$807,0))+W23*INDEX('1_SOC_Exposure_Data'!$C$786:$C$807,MATCH("53",'1_SOC_Exposure_Data'!$A$786:$A$807,0))</f>
        <v/>
      </c>
      <c r="Z23" s="15">
        <f>COUNTIF('1_SOC_Exposure_Data'!$C$4:$C$781,"&lt;"&amp;Y23)/778</f>
        <v/>
      </c>
    </row>
    <row r="24">
      <c r="A24" t="inlineStr">
        <is>
          <t>A7_MediaAdvertising</t>
        </is>
      </c>
      <c r="B24" s="12" t="n">
        <v>0.15</v>
      </c>
      <c r="C24" s="13" t="n">
        <v>0</v>
      </c>
      <c r="D24" s="12" t="n">
        <v>0.15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2" t="n">
        <v>0.45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2" t="n">
        <v>0.25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2" t="n">
        <v>0.45</v>
      </c>
      <c r="Y24" s="14">
        <f>B24*INDEX('1_SOC_Exposure_Data'!$C$786:$C$807,MATCH("11",'1_SOC_Exposure_Data'!$A$786:$A$807,0))+C24*INDEX('1_SOC_Exposure_Data'!$C$786:$C$807,MATCH("13",'1_SOC_Exposure_Data'!$A$786:$A$807,0))+D24*INDEX('1_SOC_Exposure_Data'!$C$786:$C$807,MATCH("15",'1_SOC_Exposure_Data'!$A$786:$A$807,0))+E24*INDEX('1_SOC_Exposure_Data'!$C$786:$C$807,MATCH("17",'1_SOC_Exposure_Data'!$A$786:$A$807,0))+F24*INDEX('1_SOC_Exposure_Data'!$C$786:$C$807,MATCH("19",'1_SOC_Exposure_Data'!$A$786:$A$807,0))+G24*INDEX('1_SOC_Exposure_Data'!$C$786:$C$807,MATCH("21",'1_SOC_Exposure_Data'!$A$786:$A$807,0))+H24*INDEX('1_SOC_Exposure_Data'!$C$786:$C$807,MATCH("23",'1_SOC_Exposure_Data'!$A$786:$A$807,0))+I24*INDEX('1_SOC_Exposure_Data'!$C$786:$C$807,MATCH("25",'1_SOC_Exposure_Data'!$A$786:$A$807,0))+J24*INDEX('1_SOC_Exposure_Data'!$C$786:$C$807,MATCH("27",'1_SOC_Exposure_Data'!$A$786:$A$807,0))+K24*INDEX('1_SOC_Exposure_Data'!$C$786:$C$807,MATCH("29",'1_SOC_Exposure_Data'!$A$786:$A$807,0))+L24*INDEX('1_SOC_Exposure_Data'!$C$786:$C$807,MATCH("31",'1_SOC_Exposure_Data'!$A$786:$A$807,0))+M24*INDEX('1_SOC_Exposure_Data'!$C$786:$C$807,MATCH("33",'1_SOC_Exposure_Data'!$A$786:$A$807,0))+N24*INDEX('1_SOC_Exposure_Data'!$C$786:$C$807,MATCH("35",'1_SOC_Exposure_Data'!$A$786:$A$807,0))+O24*INDEX('1_SOC_Exposure_Data'!$C$786:$C$807,MATCH("37",'1_SOC_Exposure_Data'!$A$786:$A$807,0))+P24*INDEX('1_SOC_Exposure_Data'!$C$786:$C$807,MATCH("39",'1_SOC_Exposure_Data'!$A$786:$A$807,0))+Q24*INDEX('1_SOC_Exposure_Data'!$C$786:$C$807,MATCH("41",'1_SOC_Exposure_Data'!$A$786:$A$807,0))+R24*INDEX('1_SOC_Exposure_Data'!$C$786:$C$807,MATCH("43",'1_SOC_Exposure_Data'!$A$786:$A$807,0))+S24*INDEX('1_SOC_Exposure_Data'!$C$786:$C$807,MATCH("45",'1_SOC_Exposure_Data'!$A$786:$A$807,0))+T24*INDEX('1_SOC_Exposure_Data'!$C$786:$C$807,MATCH("47",'1_SOC_Exposure_Data'!$A$786:$A$807,0))+U24*INDEX('1_SOC_Exposure_Data'!$C$786:$C$807,MATCH("49",'1_SOC_Exposure_Data'!$A$786:$A$807,0))+V24*INDEX('1_SOC_Exposure_Data'!$C$786:$C$807,MATCH("51",'1_SOC_Exposure_Data'!$A$786:$A$807,0))+W24*INDEX('1_SOC_Exposure_Data'!$C$786:$C$807,MATCH("53",'1_SOC_Exposure_Data'!$A$786:$A$807,0))</f>
        <v/>
      </c>
      <c r="Z24" s="15">
        <f>COUNTIF('1_SOC_Exposure_Data'!$C$4:$C$781,"&lt;"&amp;Y24)/778</f>
        <v/>
      </c>
    </row>
    <row r="25">
      <c r="A25" t="inlineStr">
        <is>
          <t>A8_ProfessionalBizServices</t>
        </is>
      </c>
      <c r="B25" s="12" t="n">
        <v>0.2</v>
      </c>
      <c r="C25" s="12" t="n">
        <v>0.35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2" t="n">
        <v>0.15</v>
      </c>
      <c r="R25" s="12" t="n">
        <v>0.3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2" t="n">
        <v>0.7</v>
      </c>
      <c r="Y25" s="14">
        <f>B25*INDEX('1_SOC_Exposure_Data'!$C$786:$C$807,MATCH("11",'1_SOC_Exposure_Data'!$A$786:$A$807,0))+C25*INDEX('1_SOC_Exposure_Data'!$C$786:$C$807,MATCH("13",'1_SOC_Exposure_Data'!$A$786:$A$807,0))+D25*INDEX('1_SOC_Exposure_Data'!$C$786:$C$807,MATCH("15",'1_SOC_Exposure_Data'!$A$786:$A$807,0))+E25*INDEX('1_SOC_Exposure_Data'!$C$786:$C$807,MATCH("17",'1_SOC_Exposure_Data'!$A$786:$A$807,0))+F25*INDEX('1_SOC_Exposure_Data'!$C$786:$C$807,MATCH("19",'1_SOC_Exposure_Data'!$A$786:$A$807,0))+G25*INDEX('1_SOC_Exposure_Data'!$C$786:$C$807,MATCH("21",'1_SOC_Exposure_Data'!$A$786:$A$807,0))+H25*INDEX('1_SOC_Exposure_Data'!$C$786:$C$807,MATCH("23",'1_SOC_Exposure_Data'!$A$786:$A$807,0))+I25*INDEX('1_SOC_Exposure_Data'!$C$786:$C$807,MATCH("25",'1_SOC_Exposure_Data'!$A$786:$A$807,0))+J25*INDEX('1_SOC_Exposure_Data'!$C$786:$C$807,MATCH("27",'1_SOC_Exposure_Data'!$A$786:$A$807,0))+K25*INDEX('1_SOC_Exposure_Data'!$C$786:$C$807,MATCH("29",'1_SOC_Exposure_Data'!$A$786:$A$807,0))+L25*INDEX('1_SOC_Exposure_Data'!$C$786:$C$807,MATCH("31",'1_SOC_Exposure_Data'!$A$786:$A$807,0))+M25*INDEX('1_SOC_Exposure_Data'!$C$786:$C$807,MATCH("33",'1_SOC_Exposure_Data'!$A$786:$A$807,0))+N25*INDEX('1_SOC_Exposure_Data'!$C$786:$C$807,MATCH("35",'1_SOC_Exposure_Data'!$A$786:$A$807,0))+O25*INDEX('1_SOC_Exposure_Data'!$C$786:$C$807,MATCH("37",'1_SOC_Exposure_Data'!$A$786:$A$807,0))+P25*INDEX('1_SOC_Exposure_Data'!$C$786:$C$807,MATCH("39",'1_SOC_Exposure_Data'!$A$786:$A$807,0))+Q25*INDEX('1_SOC_Exposure_Data'!$C$786:$C$807,MATCH("41",'1_SOC_Exposure_Data'!$A$786:$A$807,0))+R25*INDEX('1_SOC_Exposure_Data'!$C$786:$C$807,MATCH("43",'1_SOC_Exposure_Data'!$A$786:$A$807,0))+S25*INDEX('1_SOC_Exposure_Data'!$C$786:$C$807,MATCH("45",'1_SOC_Exposure_Data'!$A$786:$A$807,0))+T25*INDEX('1_SOC_Exposure_Data'!$C$786:$C$807,MATCH("47",'1_SOC_Exposure_Data'!$A$786:$A$807,0))+U25*INDEX('1_SOC_Exposure_Data'!$C$786:$C$807,MATCH("49",'1_SOC_Exposure_Data'!$A$786:$A$807,0))+V25*INDEX('1_SOC_Exposure_Data'!$C$786:$C$807,MATCH("51",'1_SOC_Exposure_Data'!$A$786:$A$807,0))+W25*INDEX('1_SOC_Exposure_Data'!$C$786:$C$807,MATCH("53",'1_SOC_Exposure_Data'!$A$786:$A$807,0))</f>
        <v/>
      </c>
      <c r="Z25" s="15">
        <f>COUNTIF('1_SOC_Exposure_Data'!$C$4:$C$781,"&lt;"&amp;Y25)/778</f>
        <v/>
      </c>
    </row>
    <row r="26">
      <c r="A26" t="inlineStr">
        <is>
          <t>A9_RetailDistribution</t>
        </is>
      </c>
      <c r="B26" s="12" t="n">
        <v>0.2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2" t="n">
        <v>0.4</v>
      </c>
      <c r="R26" s="12" t="n">
        <v>0.25</v>
      </c>
      <c r="S26" s="13" t="n">
        <v>0</v>
      </c>
      <c r="T26" s="13" t="n">
        <v>0</v>
      </c>
      <c r="U26" s="13" t="n">
        <v>0</v>
      </c>
      <c r="V26" s="13" t="n">
        <v>0</v>
      </c>
      <c r="W26" s="12" t="n">
        <v>0.15</v>
      </c>
      <c r="X26" s="12" t="n">
        <v>0.35</v>
      </c>
      <c r="Y26" s="14">
        <f>B26*INDEX('1_SOC_Exposure_Data'!$C$786:$C$807,MATCH("11",'1_SOC_Exposure_Data'!$A$786:$A$807,0))+C26*INDEX('1_SOC_Exposure_Data'!$C$786:$C$807,MATCH("13",'1_SOC_Exposure_Data'!$A$786:$A$807,0))+D26*INDEX('1_SOC_Exposure_Data'!$C$786:$C$807,MATCH("15",'1_SOC_Exposure_Data'!$A$786:$A$807,0))+E26*INDEX('1_SOC_Exposure_Data'!$C$786:$C$807,MATCH("17",'1_SOC_Exposure_Data'!$A$786:$A$807,0))+F26*INDEX('1_SOC_Exposure_Data'!$C$786:$C$807,MATCH("19",'1_SOC_Exposure_Data'!$A$786:$A$807,0))+G26*INDEX('1_SOC_Exposure_Data'!$C$786:$C$807,MATCH("21",'1_SOC_Exposure_Data'!$A$786:$A$807,0))+H26*INDEX('1_SOC_Exposure_Data'!$C$786:$C$807,MATCH("23",'1_SOC_Exposure_Data'!$A$786:$A$807,0))+I26*INDEX('1_SOC_Exposure_Data'!$C$786:$C$807,MATCH("25",'1_SOC_Exposure_Data'!$A$786:$A$807,0))+J26*INDEX('1_SOC_Exposure_Data'!$C$786:$C$807,MATCH("27",'1_SOC_Exposure_Data'!$A$786:$A$807,0))+K26*INDEX('1_SOC_Exposure_Data'!$C$786:$C$807,MATCH("29",'1_SOC_Exposure_Data'!$A$786:$A$807,0))+L26*INDEX('1_SOC_Exposure_Data'!$C$786:$C$807,MATCH("31",'1_SOC_Exposure_Data'!$A$786:$A$807,0))+M26*INDEX('1_SOC_Exposure_Data'!$C$786:$C$807,MATCH("33",'1_SOC_Exposure_Data'!$A$786:$A$807,0))+N26*INDEX('1_SOC_Exposure_Data'!$C$786:$C$807,MATCH("35",'1_SOC_Exposure_Data'!$A$786:$A$807,0))+O26*INDEX('1_SOC_Exposure_Data'!$C$786:$C$807,MATCH("37",'1_SOC_Exposure_Data'!$A$786:$A$807,0))+P26*INDEX('1_SOC_Exposure_Data'!$C$786:$C$807,MATCH("39",'1_SOC_Exposure_Data'!$A$786:$A$807,0))+Q26*INDEX('1_SOC_Exposure_Data'!$C$786:$C$807,MATCH("41",'1_SOC_Exposure_Data'!$A$786:$A$807,0))+R26*INDEX('1_SOC_Exposure_Data'!$C$786:$C$807,MATCH("43",'1_SOC_Exposure_Data'!$A$786:$A$807,0))+S26*INDEX('1_SOC_Exposure_Data'!$C$786:$C$807,MATCH("45",'1_SOC_Exposure_Data'!$A$786:$A$807,0))+T26*INDEX('1_SOC_Exposure_Data'!$C$786:$C$807,MATCH("47",'1_SOC_Exposure_Data'!$A$786:$A$807,0))+U26*INDEX('1_SOC_Exposure_Data'!$C$786:$C$807,MATCH("49",'1_SOC_Exposure_Data'!$A$786:$A$807,0))+V26*INDEX('1_SOC_Exposure_Data'!$C$786:$C$807,MATCH("51",'1_SOC_Exposure_Data'!$A$786:$A$807,0))+W26*INDEX('1_SOC_Exposure_Data'!$C$786:$C$807,MATCH("53",'1_SOC_Exposure_Data'!$A$786:$A$807,0))</f>
        <v/>
      </c>
      <c r="Z26" s="15">
        <f>COUNTIF('1_SOC_Exposure_Data'!$C$4:$C$781,"&lt;"&amp;Y26)/778</f>
        <v/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16" customWidth="1" min="2" max="2"/>
    <col width="60" customWidth="1" min="3" max="3"/>
  </cols>
  <sheetData>
    <row r="1">
      <c r="A1" s="1" t="inlineStr">
        <is>
          <t>STEP 4 — five global assumptions. First two are real (Anthropic Economic Index); the rest are editable severity judgements.</t>
        </is>
      </c>
    </row>
    <row r="3">
      <c r="A3" s="5" t="inlineStr">
        <is>
          <t>Assumption</t>
        </is>
      </c>
      <c r="B3" s="5" t="inlineStr">
        <is>
          <t>Value</t>
        </is>
      </c>
      <c r="C3" s="5" t="inlineStr">
        <is>
          <t>Note</t>
        </is>
      </c>
    </row>
    <row r="4" ht="30" customHeight="1">
      <c r="A4" s="16" t="inlineStr">
        <is>
          <t>Automation Share (real)</t>
        </is>
      </c>
      <c r="B4" s="17" t="n">
        <v>0.43</v>
      </c>
      <c r="C4" s="18" t="inlineStr">
        <is>
          <t>Anthropic Economic Index, Jan/Mar 2026: share of Claude.ai usage classified as automation (AI performs the task directly).</t>
        </is>
      </c>
    </row>
    <row r="5" ht="30" customHeight="1">
      <c r="A5" s="16" t="inlineStr">
        <is>
          <t>Augmentation Share (real)</t>
        </is>
      </c>
      <c r="B5" s="17" t="n">
        <v>0.57</v>
      </c>
      <c r="C5" s="18" t="inlineStr">
        <is>
          <t>Anthropic Economic Index, Jan/Mar 2026: share classified as augmentation (AI collaborates with a user).</t>
        </is>
      </c>
    </row>
    <row r="6" ht="30" customHeight="1">
      <c r="A6" s="16" t="inlineStr">
        <is>
          <t>Substitution Severity (dial)</t>
        </is>
      </c>
      <c r="B6" s="19" t="n">
        <v>0.2</v>
      </c>
      <c r="C6" s="18" t="inlineStr">
        <is>
          <t>At the 100th percentile of exposure, with 100% of usage being automation-type, up to this % of revenue is judged at risk over the scenario horizon.</t>
        </is>
      </c>
    </row>
    <row r="7" ht="30" customHeight="1">
      <c r="A7" s="16" t="inlineStr">
        <is>
          <t>Price Deflation Severity (dial)</t>
        </is>
      </c>
      <c r="B7" s="19" t="n">
        <v>0.12</v>
      </c>
      <c r="C7" s="18" t="inlineStr">
        <is>
          <t>At the 100th percentile of exposure, up to this many percentage points of EBITDA margin compression from AI-driven competitive/pricing pressure.</t>
        </is>
      </c>
    </row>
    <row r="8" ht="30" customHeight="1">
      <c r="A8" s="16" t="inlineStr">
        <is>
          <t>Cost Deflation Severity (dial)</t>
        </is>
      </c>
      <c r="B8" s="19" t="n">
        <v>0.35</v>
      </c>
      <c r="C8" s="18" t="inlineStr">
        <is>
          <t>At the 100th percentile of exposure AND 100% labor-cost-intensity AND 100% augmentation, up to this many percentage points of EBITDA margin benefit from the firm's own AI adoption.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t="inlineStr">
        <is>
          <t>STEP 5 — live per-sub-industry output. Looks up each sub-industry's archetype (sheet 2), that archetype's percentile and labor intensity (sheet 3), and the five dials (sheet 4), then computes the three channels. Ready to paste into PC_Deal_Level_Stress_Model.xlsx's 1_GICS_Shock_Input sheet.</t>
        </is>
      </c>
    </row>
    <row r="3" ht="30" customHeight="1">
      <c r="A3" s="5" t="inlineStr">
        <is>
          <t>Sub-Ind Code</t>
        </is>
      </c>
      <c r="B3" s="5" t="inlineStr">
        <is>
          <t>Sub-Industry</t>
        </is>
      </c>
      <c r="C3" s="5" t="inlineStr">
        <is>
          <t>Archetype</t>
        </is>
      </c>
      <c r="D3" s="5" t="inlineStr">
        <is>
          <t>Exposure
Percentile</t>
        </is>
      </c>
      <c r="E3" s="5" t="inlineStr">
        <is>
          <t>Labor Cost
Intensity</t>
        </is>
      </c>
      <c r="F3" s="5" t="inlineStr">
        <is>
          <t>Revenue
Decline %</t>
        </is>
      </c>
      <c r="G3" s="5" t="inlineStr">
        <is>
          <t>Margin Decline
(price, pp)</t>
        </is>
      </c>
      <c r="H3" s="5" t="inlineStr">
        <is>
          <t>Margin Benefit
(cost, pp)</t>
        </is>
      </c>
      <c r="I3" s="5" t="inlineStr">
        <is>
          <t>Net EBITDA
Margin (pp)</t>
        </is>
      </c>
      <c r="J3" s="5" t="inlineStr">
        <is>
          <t>Sign</t>
        </is>
      </c>
      <c r="K3" s="5" t="inlineStr">
        <is>
          <t>Rank (1=most
exposed)</t>
        </is>
      </c>
    </row>
    <row r="4">
      <c r="A4" s="10">
        <f>'2_GICS_Archetype_Map'!A4</f>
        <v/>
      </c>
      <c r="B4" s="10">
        <f>'2_GICS_Archetype_Map'!B4</f>
        <v/>
      </c>
      <c r="C4" s="10">
        <f>'2_GICS_Archetype_Map'!E4</f>
        <v/>
      </c>
      <c r="D4" s="15">
        <f>INDEX('3_Archetype_Params'!$Z$4:$Z$26,MATCH(C4,'3_Archetype_Params'!$A$4:$A$26,0))</f>
        <v/>
      </c>
      <c r="E4" s="13">
        <f>INDEX('3_Archetype_Params'!$X$4:$X$26,MATCH(C4,'3_Archetype_Params'!$A$4:$A$26,0))</f>
        <v/>
      </c>
      <c r="F4" s="20">
        <f>D4*'4_Severity_Dials'!$B$4*'4_Severity_Dials'!$B$6</f>
        <v/>
      </c>
      <c r="G4" s="20">
        <f>D4*'4_Severity_Dials'!$B$7</f>
        <v/>
      </c>
      <c r="H4" s="20">
        <f>D4*E4*'4_Severity_Dials'!$B$5*'4_Severity_Dials'!$B$8</f>
        <v/>
      </c>
      <c r="I4" s="20">
        <f>H4-G4</f>
        <v/>
      </c>
      <c r="J4" s="21">
        <f>IF(I4&gt;0,"BENEFIT","HEADWIND")</f>
        <v/>
      </c>
      <c r="K4" s="10">
        <f>RANK(D4,$D$4:$D$166,0)</f>
        <v/>
      </c>
    </row>
    <row r="5">
      <c r="A5" s="10">
        <f>'2_GICS_Archetype_Map'!A5</f>
        <v/>
      </c>
      <c r="B5" s="10">
        <f>'2_GICS_Archetype_Map'!B5</f>
        <v/>
      </c>
      <c r="C5" s="10">
        <f>'2_GICS_Archetype_Map'!E5</f>
        <v/>
      </c>
      <c r="D5" s="15">
        <f>INDEX('3_Archetype_Params'!$Z$4:$Z$26,MATCH(C5,'3_Archetype_Params'!$A$4:$A$26,0))</f>
        <v/>
      </c>
      <c r="E5" s="13">
        <f>INDEX('3_Archetype_Params'!$X$4:$X$26,MATCH(C5,'3_Archetype_Params'!$A$4:$A$26,0))</f>
        <v/>
      </c>
      <c r="F5" s="20">
        <f>D5*'4_Severity_Dials'!$B$4*'4_Severity_Dials'!$B$6</f>
        <v/>
      </c>
      <c r="G5" s="20">
        <f>D5*'4_Severity_Dials'!$B$7</f>
        <v/>
      </c>
      <c r="H5" s="20">
        <f>D5*E5*'4_Severity_Dials'!$B$5*'4_Severity_Dials'!$B$8</f>
        <v/>
      </c>
      <c r="I5" s="20">
        <f>H5-G5</f>
        <v/>
      </c>
      <c r="J5" s="21">
        <f>IF(I5&gt;0,"BENEFIT","HEADWIND")</f>
        <v/>
      </c>
      <c r="K5" s="10">
        <f>RANK(D5,$D$4:$D$166,0)</f>
        <v/>
      </c>
    </row>
    <row r="6">
      <c r="A6" s="10">
        <f>'2_GICS_Archetype_Map'!A6</f>
        <v/>
      </c>
      <c r="B6" s="10">
        <f>'2_GICS_Archetype_Map'!B6</f>
        <v/>
      </c>
      <c r="C6" s="10">
        <f>'2_GICS_Archetype_Map'!E6</f>
        <v/>
      </c>
      <c r="D6" s="15">
        <f>INDEX('3_Archetype_Params'!$Z$4:$Z$26,MATCH(C6,'3_Archetype_Params'!$A$4:$A$26,0))</f>
        <v/>
      </c>
      <c r="E6" s="13">
        <f>INDEX('3_Archetype_Params'!$X$4:$X$26,MATCH(C6,'3_Archetype_Params'!$A$4:$A$26,0))</f>
        <v/>
      </c>
      <c r="F6" s="20">
        <f>D6*'4_Severity_Dials'!$B$4*'4_Severity_Dials'!$B$6</f>
        <v/>
      </c>
      <c r="G6" s="20">
        <f>D6*'4_Severity_Dials'!$B$7</f>
        <v/>
      </c>
      <c r="H6" s="20">
        <f>D6*E6*'4_Severity_Dials'!$B$5*'4_Severity_Dials'!$B$8</f>
        <v/>
      </c>
      <c r="I6" s="20">
        <f>H6-G6</f>
        <v/>
      </c>
      <c r="J6" s="21">
        <f>IF(I6&gt;0,"BENEFIT","HEADWIND")</f>
        <v/>
      </c>
      <c r="K6" s="10">
        <f>RANK(D6,$D$4:$D$166,0)</f>
        <v/>
      </c>
    </row>
    <row r="7">
      <c r="A7" s="10">
        <f>'2_GICS_Archetype_Map'!A7</f>
        <v/>
      </c>
      <c r="B7" s="10">
        <f>'2_GICS_Archetype_Map'!B7</f>
        <v/>
      </c>
      <c r="C7" s="10">
        <f>'2_GICS_Archetype_Map'!E7</f>
        <v/>
      </c>
      <c r="D7" s="15">
        <f>INDEX('3_Archetype_Params'!$Z$4:$Z$26,MATCH(C7,'3_Archetype_Params'!$A$4:$A$26,0))</f>
        <v/>
      </c>
      <c r="E7" s="13">
        <f>INDEX('3_Archetype_Params'!$X$4:$X$26,MATCH(C7,'3_Archetype_Params'!$A$4:$A$26,0))</f>
        <v/>
      </c>
      <c r="F7" s="20">
        <f>D7*'4_Severity_Dials'!$B$4*'4_Severity_Dials'!$B$6</f>
        <v/>
      </c>
      <c r="G7" s="20">
        <f>D7*'4_Severity_Dials'!$B$7</f>
        <v/>
      </c>
      <c r="H7" s="20">
        <f>D7*E7*'4_Severity_Dials'!$B$5*'4_Severity_Dials'!$B$8</f>
        <v/>
      </c>
      <c r="I7" s="20">
        <f>H7-G7</f>
        <v/>
      </c>
      <c r="J7" s="21">
        <f>IF(I7&gt;0,"BENEFIT","HEADWIND")</f>
        <v/>
      </c>
      <c r="K7" s="10">
        <f>RANK(D7,$D$4:$D$166,0)</f>
        <v/>
      </c>
    </row>
    <row r="8">
      <c r="A8" s="10">
        <f>'2_GICS_Archetype_Map'!A8</f>
        <v/>
      </c>
      <c r="B8" s="10">
        <f>'2_GICS_Archetype_Map'!B8</f>
        <v/>
      </c>
      <c r="C8" s="10">
        <f>'2_GICS_Archetype_Map'!E8</f>
        <v/>
      </c>
      <c r="D8" s="15">
        <f>INDEX('3_Archetype_Params'!$Z$4:$Z$26,MATCH(C8,'3_Archetype_Params'!$A$4:$A$26,0))</f>
        <v/>
      </c>
      <c r="E8" s="13">
        <f>INDEX('3_Archetype_Params'!$X$4:$X$26,MATCH(C8,'3_Archetype_Params'!$A$4:$A$26,0))</f>
        <v/>
      </c>
      <c r="F8" s="20">
        <f>D8*'4_Severity_Dials'!$B$4*'4_Severity_Dials'!$B$6</f>
        <v/>
      </c>
      <c r="G8" s="20">
        <f>D8*'4_Severity_Dials'!$B$7</f>
        <v/>
      </c>
      <c r="H8" s="20">
        <f>D8*E8*'4_Severity_Dials'!$B$5*'4_Severity_Dials'!$B$8</f>
        <v/>
      </c>
      <c r="I8" s="20">
        <f>H8-G8</f>
        <v/>
      </c>
      <c r="J8" s="21">
        <f>IF(I8&gt;0,"BENEFIT","HEADWIND")</f>
        <v/>
      </c>
      <c r="K8" s="10">
        <f>RANK(D8,$D$4:$D$166,0)</f>
        <v/>
      </c>
    </row>
    <row r="9">
      <c r="A9" s="10">
        <f>'2_GICS_Archetype_Map'!A9</f>
        <v/>
      </c>
      <c r="B9" s="10">
        <f>'2_GICS_Archetype_Map'!B9</f>
        <v/>
      </c>
      <c r="C9" s="10">
        <f>'2_GICS_Archetype_Map'!E9</f>
        <v/>
      </c>
      <c r="D9" s="15">
        <f>INDEX('3_Archetype_Params'!$Z$4:$Z$26,MATCH(C9,'3_Archetype_Params'!$A$4:$A$26,0))</f>
        <v/>
      </c>
      <c r="E9" s="13">
        <f>INDEX('3_Archetype_Params'!$X$4:$X$26,MATCH(C9,'3_Archetype_Params'!$A$4:$A$26,0))</f>
        <v/>
      </c>
      <c r="F9" s="20">
        <f>D9*'4_Severity_Dials'!$B$4*'4_Severity_Dials'!$B$6</f>
        <v/>
      </c>
      <c r="G9" s="20">
        <f>D9*'4_Severity_Dials'!$B$7</f>
        <v/>
      </c>
      <c r="H9" s="20">
        <f>D9*E9*'4_Severity_Dials'!$B$5*'4_Severity_Dials'!$B$8</f>
        <v/>
      </c>
      <c r="I9" s="20">
        <f>H9-G9</f>
        <v/>
      </c>
      <c r="J9" s="21">
        <f>IF(I9&gt;0,"BENEFIT","HEADWIND")</f>
        <v/>
      </c>
      <c r="K9" s="10">
        <f>RANK(D9,$D$4:$D$166,0)</f>
        <v/>
      </c>
    </row>
    <row r="10">
      <c r="A10" s="10">
        <f>'2_GICS_Archetype_Map'!A10</f>
        <v/>
      </c>
      <c r="B10" s="10">
        <f>'2_GICS_Archetype_Map'!B10</f>
        <v/>
      </c>
      <c r="C10" s="10">
        <f>'2_GICS_Archetype_Map'!E10</f>
        <v/>
      </c>
      <c r="D10" s="15">
        <f>INDEX('3_Archetype_Params'!$Z$4:$Z$26,MATCH(C10,'3_Archetype_Params'!$A$4:$A$26,0))</f>
        <v/>
      </c>
      <c r="E10" s="13">
        <f>INDEX('3_Archetype_Params'!$X$4:$X$26,MATCH(C10,'3_Archetype_Params'!$A$4:$A$26,0))</f>
        <v/>
      </c>
      <c r="F10" s="20">
        <f>D10*'4_Severity_Dials'!$B$4*'4_Severity_Dials'!$B$6</f>
        <v/>
      </c>
      <c r="G10" s="20">
        <f>D10*'4_Severity_Dials'!$B$7</f>
        <v/>
      </c>
      <c r="H10" s="20">
        <f>D10*E10*'4_Severity_Dials'!$B$5*'4_Severity_Dials'!$B$8</f>
        <v/>
      </c>
      <c r="I10" s="20">
        <f>H10-G10</f>
        <v/>
      </c>
      <c r="J10" s="21">
        <f>IF(I10&gt;0,"BENEFIT","HEADWIND")</f>
        <v/>
      </c>
      <c r="K10" s="10">
        <f>RANK(D10,$D$4:$D$166,0)</f>
        <v/>
      </c>
    </row>
    <row r="11">
      <c r="A11" s="10">
        <f>'2_GICS_Archetype_Map'!A11</f>
        <v/>
      </c>
      <c r="B11" s="10">
        <f>'2_GICS_Archetype_Map'!B11</f>
        <v/>
      </c>
      <c r="C11" s="10">
        <f>'2_GICS_Archetype_Map'!E11</f>
        <v/>
      </c>
      <c r="D11" s="15">
        <f>INDEX('3_Archetype_Params'!$Z$4:$Z$26,MATCH(C11,'3_Archetype_Params'!$A$4:$A$26,0))</f>
        <v/>
      </c>
      <c r="E11" s="13">
        <f>INDEX('3_Archetype_Params'!$X$4:$X$26,MATCH(C11,'3_Archetype_Params'!$A$4:$A$26,0))</f>
        <v/>
      </c>
      <c r="F11" s="20">
        <f>D11*'4_Severity_Dials'!$B$4*'4_Severity_Dials'!$B$6</f>
        <v/>
      </c>
      <c r="G11" s="20">
        <f>D11*'4_Severity_Dials'!$B$7</f>
        <v/>
      </c>
      <c r="H11" s="20">
        <f>D11*E11*'4_Severity_Dials'!$B$5*'4_Severity_Dials'!$B$8</f>
        <v/>
      </c>
      <c r="I11" s="20">
        <f>H11-G11</f>
        <v/>
      </c>
      <c r="J11" s="21">
        <f>IF(I11&gt;0,"BENEFIT","HEADWIND")</f>
        <v/>
      </c>
      <c r="K11" s="10">
        <f>RANK(D11,$D$4:$D$166,0)</f>
        <v/>
      </c>
    </row>
    <row r="12">
      <c r="A12" s="10">
        <f>'2_GICS_Archetype_Map'!A12</f>
        <v/>
      </c>
      <c r="B12" s="10">
        <f>'2_GICS_Archetype_Map'!B12</f>
        <v/>
      </c>
      <c r="C12" s="10">
        <f>'2_GICS_Archetype_Map'!E12</f>
        <v/>
      </c>
      <c r="D12" s="15">
        <f>INDEX('3_Archetype_Params'!$Z$4:$Z$26,MATCH(C12,'3_Archetype_Params'!$A$4:$A$26,0))</f>
        <v/>
      </c>
      <c r="E12" s="13">
        <f>INDEX('3_Archetype_Params'!$X$4:$X$26,MATCH(C12,'3_Archetype_Params'!$A$4:$A$26,0))</f>
        <v/>
      </c>
      <c r="F12" s="20">
        <f>D12*'4_Severity_Dials'!$B$4*'4_Severity_Dials'!$B$6</f>
        <v/>
      </c>
      <c r="G12" s="20">
        <f>D12*'4_Severity_Dials'!$B$7</f>
        <v/>
      </c>
      <c r="H12" s="20">
        <f>D12*E12*'4_Severity_Dials'!$B$5*'4_Severity_Dials'!$B$8</f>
        <v/>
      </c>
      <c r="I12" s="20">
        <f>H12-G12</f>
        <v/>
      </c>
      <c r="J12" s="21">
        <f>IF(I12&gt;0,"BENEFIT","HEADWIND")</f>
        <v/>
      </c>
      <c r="K12" s="10">
        <f>RANK(D12,$D$4:$D$166,0)</f>
        <v/>
      </c>
    </row>
    <row r="13">
      <c r="A13" s="10">
        <f>'2_GICS_Archetype_Map'!A13</f>
        <v/>
      </c>
      <c r="B13" s="10">
        <f>'2_GICS_Archetype_Map'!B13</f>
        <v/>
      </c>
      <c r="C13" s="10">
        <f>'2_GICS_Archetype_Map'!E13</f>
        <v/>
      </c>
      <c r="D13" s="15">
        <f>INDEX('3_Archetype_Params'!$Z$4:$Z$26,MATCH(C13,'3_Archetype_Params'!$A$4:$A$26,0))</f>
        <v/>
      </c>
      <c r="E13" s="13">
        <f>INDEX('3_Archetype_Params'!$X$4:$X$26,MATCH(C13,'3_Archetype_Params'!$A$4:$A$26,0))</f>
        <v/>
      </c>
      <c r="F13" s="20">
        <f>D13*'4_Severity_Dials'!$B$4*'4_Severity_Dials'!$B$6</f>
        <v/>
      </c>
      <c r="G13" s="20">
        <f>D13*'4_Severity_Dials'!$B$7</f>
        <v/>
      </c>
      <c r="H13" s="20">
        <f>D13*E13*'4_Severity_Dials'!$B$5*'4_Severity_Dials'!$B$8</f>
        <v/>
      </c>
      <c r="I13" s="20">
        <f>H13-G13</f>
        <v/>
      </c>
      <c r="J13" s="21">
        <f>IF(I13&gt;0,"BENEFIT","HEADWIND")</f>
        <v/>
      </c>
      <c r="K13" s="10">
        <f>RANK(D13,$D$4:$D$166,0)</f>
        <v/>
      </c>
    </row>
    <row r="14">
      <c r="A14" s="10">
        <f>'2_GICS_Archetype_Map'!A14</f>
        <v/>
      </c>
      <c r="B14" s="10">
        <f>'2_GICS_Archetype_Map'!B14</f>
        <v/>
      </c>
      <c r="C14" s="10">
        <f>'2_GICS_Archetype_Map'!E14</f>
        <v/>
      </c>
      <c r="D14" s="15">
        <f>INDEX('3_Archetype_Params'!$Z$4:$Z$26,MATCH(C14,'3_Archetype_Params'!$A$4:$A$26,0))</f>
        <v/>
      </c>
      <c r="E14" s="13">
        <f>INDEX('3_Archetype_Params'!$X$4:$X$26,MATCH(C14,'3_Archetype_Params'!$A$4:$A$26,0))</f>
        <v/>
      </c>
      <c r="F14" s="20">
        <f>D14*'4_Severity_Dials'!$B$4*'4_Severity_Dials'!$B$6</f>
        <v/>
      </c>
      <c r="G14" s="20">
        <f>D14*'4_Severity_Dials'!$B$7</f>
        <v/>
      </c>
      <c r="H14" s="20">
        <f>D14*E14*'4_Severity_Dials'!$B$5*'4_Severity_Dials'!$B$8</f>
        <v/>
      </c>
      <c r="I14" s="20">
        <f>H14-G14</f>
        <v/>
      </c>
      <c r="J14" s="21">
        <f>IF(I14&gt;0,"BENEFIT","HEADWIND")</f>
        <v/>
      </c>
      <c r="K14" s="10">
        <f>RANK(D14,$D$4:$D$166,0)</f>
        <v/>
      </c>
    </row>
    <row r="15">
      <c r="A15" s="10">
        <f>'2_GICS_Archetype_Map'!A15</f>
        <v/>
      </c>
      <c r="B15" s="10">
        <f>'2_GICS_Archetype_Map'!B15</f>
        <v/>
      </c>
      <c r="C15" s="10">
        <f>'2_GICS_Archetype_Map'!E15</f>
        <v/>
      </c>
      <c r="D15" s="15">
        <f>INDEX('3_Archetype_Params'!$Z$4:$Z$26,MATCH(C15,'3_Archetype_Params'!$A$4:$A$26,0))</f>
        <v/>
      </c>
      <c r="E15" s="13">
        <f>INDEX('3_Archetype_Params'!$X$4:$X$26,MATCH(C15,'3_Archetype_Params'!$A$4:$A$26,0))</f>
        <v/>
      </c>
      <c r="F15" s="20">
        <f>D15*'4_Severity_Dials'!$B$4*'4_Severity_Dials'!$B$6</f>
        <v/>
      </c>
      <c r="G15" s="20">
        <f>D15*'4_Severity_Dials'!$B$7</f>
        <v/>
      </c>
      <c r="H15" s="20">
        <f>D15*E15*'4_Severity_Dials'!$B$5*'4_Severity_Dials'!$B$8</f>
        <v/>
      </c>
      <c r="I15" s="20">
        <f>H15-G15</f>
        <v/>
      </c>
      <c r="J15" s="21">
        <f>IF(I15&gt;0,"BENEFIT","HEADWIND")</f>
        <v/>
      </c>
      <c r="K15" s="10">
        <f>RANK(D15,$D$4:$D$166,0)</f>
        <v/>
      </c>
    </row>
    <row r="16">
      <c r="A16" s="10">
        <f>'2_GICS_Archetype_Map'!A16</f>
        <v/>
      </c>
      <c r="B16" s="10">
        <f>'2_GICS_Archetype_Map'!B16</f>
        <v/>
      </c>
      <c r="C16" s="10">
        <f>'2_GICS_Archetype_Map'!E16</f>
        <v/>
      </c>
      <c r="D16" s="15">
        <f>INDEX('3_Archetype_Params'!$Z$4:$Z$26,MATCH(C16,'3_Archetype_Params'!$A$4:$A$26,0))</f>
        <v/>
      </c>
      <c r="E16" s="13">
        <f>INDEX('3_Archetype_Params'!$X$4:$X$26,MATCH(C16,'3_Archetype_Params'!$A$4:$A$26,0))</f>
        <v/>
      </c>
      <c r="F16" s="20">
        <f>D16*'4_Severity_Dials'!$B$4*'4_Severity_Dials'!$B$6</f>
        <v/>
      </c>
      <c r="G16" s="20">
        <f>D16*'4_Severity_Dials'!$B$7</f>
        <v/>
      </c>
      <c r="H16" s="20">
        <f>D16*E16*'4_Severity_Dials'!$B$5*'4_Severity_Dials'!$B$8</f>
        <v/>
      </c>
      <c r="I16" s="20">
        <f>H16-G16</f>
        <v/>
      </c>
      <c r="J16" s="21">
        <f>IF(I16&gt;0,"BENEFIT","HEADWIND")</f>
        <v/>
      </c>
      <c r="K16" s="10">
        <f>RANK(D16,$D$4:$D$166,0)</f>
        <v/>
      </c>
    </row>
    <row r="17">
      <c r="A17" s="10">
        <f>'2_GICS_Archetype_Map'!A17</f>
        <v/>
      </c>
      <c r="B17" s="10">
        <f>'2_GICS_Archetype_Map'!B17</f>
        <v/>
      </c>
      <c r="C17" s="10">
        <f>'2_GICS_Archetype_Map'!E17</f>
        <v/>
      </c>
      <c r="D17" s="15">
        <f>INDEX('3_Archetype_Params'!$Z$4:$Z$26,MATCH(C17,'3_Archetype_Params'!$A$4:$A$26,0))</f>
        <v/>
      </c>
      <c r="E17" s="13">
        <f>INDEX('3_Archetype_Params'!$X$4:$X$26,MATCH(C17,'3_Archetype_Params'!$A$4:$A$26,0))</f>
        <v/>
      </c>
      <c r="F17" s="20">
        <f>D17*'4_Severity_Dials'!$B$4*'4_Severity_Dials'!$B$6</f>
        <v/>
      </c>
      <c r="G17" s="20">
        <f>D17*'4_Severity_Dials'!$B$7</f>
        <v/>
      </c>
      <c r="H17" s="20">
        <f>D17*E17*'4_Severity_Dials'!$B$5*'4_Severity_Dials'!$B$8</f>
        <v/>
      </c>
      <c r="I17" s="20">
        <f>H17-G17</f>
        <v/>
      </c>
      <c r="J17" s="21">
        <f>IF(I17&gt;0,"BENEFIT","HEADWIND")</f>
        <v/>
      </c>
      <c r="K17" s="10">
        <f>RANK(D17,$D$4:$D$166,0)</f>
        <v/>
      </c>
    </row>
    <row r="18">
      <c r="A18" s="10">
        <f>'2_GICS_Archetype_Map'!A18</f>
        <v/>
      </c>
      <c r="B18" s="10">
        <f>'2_GICS_Archetype_Map'!B18</f>
        <v/>
      </c>
      <c r="C18" s="10">
        <f>'2_GICS_Archetype_Map'!E18</f>
        <v/>
      </c>
      <c r="D18" s="15">
        <f>INDEX('3_Archetype_Params'!$Z$4:$Z$26,MATCH(C18,'3_Archetype_Params'!$A$4:$A$26,0))</f>
        <v/>
      </c>
      <c r="E18" s="13">
        <f>INDEX('3_Archetype_Params'!$X$4:$X$26,MATCH(C18,'3_Archetype_Params'!$A$4:$A$26,0))</f>
        <v/>
      </c>
      <c r="F18" s="20">
        <f>D18*'4_Severity_Dials'!$B$4*'4_Severity_Dials'!$B$6</f>
        <v/>
      </c>
      <c r="G18" s="20">
        <f>D18*'4_Severity_Dials'!$B$7</f>
        <v/>
      </c>
      <c r="H18" s="20">
        <f>D18*E18*'4_Severity_Dials'!$B$5*'4_Severity_Dials'!$B$8</f>
        <v/>
      </c>
      <c r="I18" s="20">
        <f>H18-G18</f>
        <v/>
      </c>
      <c r="J18" s="21">
        <f>IF(I18&gt;0,"BENEFIT","HEADWIND")</f>
        <v/>
      </c>
      <c r="K18" s="10">
        <f>RANK(D18,$D$4:$D$166,0)</f>
        <v/>
      </c>
    </row>
    <row r="19">
      <c r="A19" s="10">
        <f>'2_GICS_Archetype_Map'!A19</f>
        <v/>
      </c>
      <c r="B19" s="10">
        <f>'2_GICS_Archetype_Map'!B19</f>
        <v/>
      </c>
      <c r="C19" s="10">
        <f>'2_GICS_Archetype_Map'!E19</f>
        <v/>
      </c>
      <c r="D19" s="15">
        <f>INDEX('3_Archetype_Params'!$Z$4:$Z$26,MATCH(C19,'3_Archetype_Params'!$A$4:$A$26,0))</f>
        <v/>
      </c>
      <c r="E19" s="13">
        <f>INDEX('3_Archetype_Params'!$X$4:$X$26,MATCH(C19,'3_Archetype_Params'!$A$4:$A$26,0))</f>
        <v/>
      </c>
      <c r="F19" s="20">
        <f>D19*'4_Severity_Dials'!$B$4*'4_Severity_Dials'!$B$6</f>
        <v/>
      </c>
      <c r="G19" s="20">
        <f>D19*'4_Severity_Dials'!$B$7</f>
        <v/>
      </c>
      <c r="H19" s="20">
        <f>D19*E19*'4_Severity_Dials'!$B$5*'4_Severity_Dials'!$B$8</f>
        <v/>
      </c>
      <c r="I19" s="20">
        <f>H19-G19</f>
        <v/>
      </c>
      <c r="J19" s="21">
        <f>IF(I19&gt;0,"BENEFIT","HEADWIND")</f>
        <v/>
      </c>
      <c r="K19" s="10">
        <f>RANK(D19,$D$4:$D$166,0)</f>
        <v/>
      </c>
    </row>
    <row r="20">
      <c r="A20" s="10">
        <f>'2_GICS_Archetype_Map'!A20</f>
        <v/>
      </c>
      <c r="B20" s="10">
        <f>'2_GICS_Archetype_Map'!B20</f>
        <v/>
      </c>
      <c r="C20" s="10">
        <f>'2_GICS_Archetype_Map'!E20</f>
        <v/>
      </c>
      <c r="D20" s="15">
        <f>INDEX('3_Archetype_Params'!$Z$4:$Z$26,MATCH(C20,'3_Archetype_Params'!$A$4:$A$26,0))</f>
        <v/>
      </c>
      <c r="E20" s="13">
        <f>INDEX('3_Archetype_Params'!$X$4:$X$26,MATCH(C20,'3_Archetype_Params'!$A$4:$A$26,0))</f>
        <v/>
      </c>
      <c r="F20" s="20">
        <f>D20*'4_Severity_Dials'!$B$4*'4_Severity_Dials'!$B$6</f>
        <v/>
      </c>
      <c r="G20" s="20">
        <f>D20*'4_Severity_Dials'!$B$7</f>
        <v/>
      </c>
      <c r="H20" s="20">
        <f>D20*E20*'4_Severity_Dials'!$B$5*'4_Severity_Dials'!$B$8</f>
        <v/>
      </c>
      <c r="I20" s="20">
        <f>H20-G20</f>
        <v/>
      </c>
      <c r="J20" s="21">
        <f>IF(I20&gt;0,"BENEFIT","HEADWIND")</f>
        <v/>
      </c>
      <c r="K20" s="10">
        <f>RANK(D20,$D$4:$D$166,0)</f>
        <v/>
      </c>
    </row>
    <row r="21">
      <c r="A21" s="10">
        <f>'2_GICS_Archetype_Map'!A21</f>
        <v/>
      </c>
      <c r="B21" s="10">
        <f>'2_GICS_Archetype_Map'!B21</f>
        <v/>
      </c>
      <c r="C21" s="10">
        <f>'2_GICS_Archetype_Map'!E21</f>
        <v/>
      </c>
      <c r="D21" s="15">
        <f>INDEX('3_Archetype_Params'!$Z$4:$Z$26,MATCH(C21,'3_Archetype_Params'!$A$4:$A$26,0))</f>
        <v/>
      </c>
      <c r="E21" s="13">
        <f>INDEX('3_Archetype_Params'!$X$4:$X$26,MATCH(C21,'3_Archetype_Params'!$A$4:$A$26,0))</f>
        <v/>
      </c>
      <c r="F21" s="20">
        <f>D21*'4_Severity_Dials'!$B$4*'4_Severity_Dials'!$B$6</f>
        <v/>
      </c>
      <c r="G21" s="20">
        <f>D21*'4_Severity_Dials'!$B$7</f>
        <v/>
      </c>
      <c r="H21" s="20">
        <f>D21*E21*'4_Severity_Dials'!$B$5*'4_Severity_Dials'!$B$8</f>
        <v/>
      </c>
      <c r="I21" s="20">
        <f>H21-G21</f>
        <v/>
      </c>
      <c r="J21" s="21">
        <f>IF(I21&gt;0,"BENEFIT","HEADWIND")</f>
        <v/>
      </c>
      <c r="K21" s="10">
        <f>RANK(D21,$D$4:$D$166,0)</f>
        <v/>
      </c>
    </row>
    <row r="22">
      <c r="A22" s="10">
        <f>'2_GICS_Archetype_Map'!A22</f>
        <v/>
      </c>
      <c r="B22" s="10">
        <f>'2_GICS_Archetype_Map'!B22</f>
        <v/>
      </c>
      <c r="C22" s="10">
        <f>'2_GICS_Archetype_Map'!E22</f>
        <v/>
      </c>
      <c r="D22" s="15">
        <f>INDEX('3_Archetype_Params'!$Z$4:$Z$26,MATCH(C22,'3_Archetype_Params'!$A$4:$A$26,0))</f>
        <v/>
      </c>
      <c r="E22" s="13">
        <f>INDEX('3_Archetype_Params'!$X$4:$X$26,MATCH(C22,'3_Archetype_Params'!$A$4:$A$26,0))</f>
        <v/>
      </c>
      <c r="F22" s="20">
        <f>D22*'4_Severity_Dials'!$B$4*'4_Severity_Dials'!$B$6</f>
        <v/>
      </c>
      <c r="G22" s="20">
        <f>D22*'4_Severity_Dials'!$B$7</f>
        <v/>
      </c>
      <c r="H22" s="20">
        <f>D22*E22*'4_Severity_Dials'!$B$5*'4_Severity_Dials'!$B$8</f>
        <v/>
      </c>
      <c r="I22" s="20">
        <f>H22-G22</f>
        <v/>
      </c>
      <c r="J22" s="21">
        <f>IF(I22&gt;0,"BENEFIT","HEADWIND")</f>
        <v/>
      </c>
      <c r="K22" s="10">
        <f>RANK(D22,$D$4:$D$166,0)</f>
        <v/>
      </c>
    </row>
    <row r="23">
      <c r="A23" s="10">
        <f>'2_GICS_Archetype_Map'!A23</f>
        <v/>
      </c>
      <c r="B23" s="10">
        <f>'2_GICS_Archetype_Map'!B23</f>
        <v/>
      </c>
      <c r="C23" s="10">
        <f>'2_GICS_Archetype_Map'!E23</f>
        <v/>
      </c>
      <c r="D23" s="15">
        <f>INDEX('3_Archetype_Params'!$Z$4:$Z$26,MATCH(C23,'3_Archetype_Params'!$A$4:$A$26,0))</f>
        <v/>
      </c>
      <c r="E23" s="13">
        <f>INDEX('3_Archetype_Params'!$X$4:$X$26,MATCH(C23,'3_Archetype_Params'!$A$4:$A$26,0))</f>
        <v/>
      </c>
      <c r="F23" s="20">
        <f>D23*'4_Severity_Dials'!$B$4*'4_Severity_Dials'!$B$6</f>
        <v/>
      </c>
      <c r="G23" s="20">
        <f>D23*'4_Severity_Dials'!$B$7</f>
        <v/>
      </c>
      <c r="H23" s="20">
        <f>D23*E23*'4_Severity_Dials'!$B$5*'4_Severity_Dials'!$B$8</f>
        <v/>
      </c>
      <c r="I23" s="20">
        <f>H23-G23</f>
        <v/>
      </c>
      <c r="J23" s="21">
        <f>IF(I23&gt;0,"BENEFIT","HEADWIND")</f>
        <v/>
      </c>
      <c r="K23" s="10">
        <f>RANK(D23,$D$4:$D$166,0)</f>
        <v/>
      </c>
    </row>
    <row r="24">
      <c r="A24" s="10">
        <f>'2_GICS_Archetype_Map'!A24</f>
        <v/>
      </c>
      <c r="B24" s="10">
        <f>'2_GICS_Archetype_Map'!B24</f>
        <v/>
      </c>
      <c r="C24" s="10">
        <f>'2_GICS_Archetype_Map'!E24</f>
        <v/>
      </c>
      <c r="D24" s="15">
        <f>INDEX('3_Archetype_Params'!$Z$4:$Z$26,MATCH(C24,'3_Archetype_Params'!$A$4:$A$26,0))</f>
        <v/>
      </c>
      <c r="E24" s="13">
        <f>INDEX('3_Archetype_Params'!$X$4:$X$26,MATCH(C24,'3_Archetype_Params'!$A$4:$A$26,0))</f>
        <v/>
      </c>
      <c r="F24" s="20">
        <f>D24*'4_Severity_Dials'!$B$4*'4_Severity_Dials'!$B$6</f>
        <v/>
      </c>
      <c r="G24" s="20">
        <f>D24*'4_Severity_Dials'!$B$7</f>
        <v/>
      </c>
      <c r="H24" s="20">
        <f>D24*E24*'4_Severity_Dials'!$B$5*'4_Severity_Dials'!$B$8</f>
        <v/>
      </c>
      <c r="I24" s="20">
        <f>H24-G24</f>
        <v/>
      </c>
      <c r="J24" s="21">
        <f>IF(I24&gt;0,"BENEFIT","HEADWIND")</f>
        <v/>
      </c>
      <c r="K24" s="10">
        <f>RANK(D24,$D$4:$D$166,0)</f>
        <v/>
      </c>
    </row>
    <row r="25">
      <c r="A25" s="10">
        <f>'2_GICS_Archetype_Map'!A25</f>
        <v/>
      </c>
      <c r="B25" s="10">
        <f>'2_GICS_Archetype_Map'!B25</f>
        <v/>
      </c>
      <c r="C25" s="10">
        <f>'2_GICS_Archetype_Map'!E25</f>
        <v/>
      </c>
      <c r="D25" s="15">
        <f>INDEX('3_Archetype_Params'!$Z$4:$Z$26,MATCH(C25,'3_Archetype_Params'!$A$4:$A$26,0))</f>
        <v/>
      </c>
      <c r="E25" s="13">
        <f>INDEX('3_Archetype_Params'!$X$4:$X$26,MATCH(C25,'3_Archetype_Params'!$A$4:$A$26,0))</f>
        <v/>
      </c>
      <c r="F25" s="20">
        <f>D25*'4_Severity_Dials'!$B$4*'4_Severity_Dials'!$B$6</f>
        <v/>
      </c>
      <c r="G25" s="20">
        <f>D25*'4_Severity_Dials'!$B$7</f>
        <v/>
      </c>
      <c r="H25" s="20">
        <f>D25*E25*'4_Severity_Dials'!$B$5*'4_Severity_Dials'!$B$8</f>
        <v/>
      </c>
      <c r="I25" s="20">
        <f>H25-G25</f>
        <v/>
      </c>
      <c r="J25" s="21">
        <f>IF(I25&gt;0,"BENEFIT","HEADWIND")</f>
        <v/>
      </c>
      <c r="K25" s="10">
        <f>RANK(D25,$D$4:$D$166,0)</f>
        <v/>
      </c>
    </row>
    <row r="26">
      <c r="A26" s="10">
        <f>'2_GICS_Archetype_Map'!A26</f>
        <v/>
      </c>
      <c r="B26" s="10">
        <f>'2_GICS_Archetype_Map'!B26</f>
        <v/>
      </c>
      <c r="C26" s="10">
        <f>'2_GICS_Archetype_Map'!E26</f>
        <v/>
      </c>
      <c r="D26" s="15">
        <f>INDEX('3_Archetype_Params'!$Z$4:$Z$26,MATCH(C26,'3_Archetype_Params'!$A$4:$A$26,0))</f>
        <v/>
      </c>
      <c r="E26" s="13">
        <f>INDEX('3_Archetype_Params'!$X$4:$X$26,MATCH(C26,'3_Archetype_Params'!$A$4:$A$26,0))</f>
        <v/>
      </c>
      <c r="F26" s="20">
        <f>D26*'4_Severity_Dials'!$B$4*'4_Severity_Dials'!$B$6</f>
        <v/>
      </c>
      <c r="G26" s="20">
        <f>D26*'4_Severity_Dials'!$B$7</f>
        <v/>
      </c>
      <c r="H26" s="20">
        <f>D26*E26*'4_Severity_Dials'!$B$5*'4_Severity_Dials'!$B$8</f>
        <v/>
      </c>
      <c r="I26" s="20">
        <f>H26-G26</f>
        <v/>
      </c>
      <c r="J26" s="21">
        <f>IF(I26&gt;0,"BENEFIT","HEADWIND")</f>
        <v/>
      </c>
      <c r="K26" s="10">
        <f>RANK(D26,$D$4:$D$166,0)</f>
        <v/>
      </c>
    </row>
    <row r="27">
      <c r="A27" s="10">
        <f>'2_GICS_Archetype_Map'!A27</f>
        <v/>
      </c>
      <c r="B27" s="10">
        <f>'2_GICS_Archetype_Map'!B27</f>
        <v/>
      </c>
      <c r="C27" s="10">
        <f>'2_GICS_Archetype_Map'!E27</f>
        <v/>
      </c>
      <c r="D27" s="15">
        <f>INDEX('3_Archetype_Params'!$Z$4:$Z$26,MATCH(C27,'3_Archetype_Params'!$A$4:$A$26,0))</f>
        <v/>
      </c>
      <c r="E27" s="13">
        <f>INDEX('3_Archetype_Params'!$X$4:$X$26,MATCH(C27,'3_Archetype_Params'!$A$4:$A$26,0))</f>
        <v/>
      </c>
      <c r="F27" s="20">
        <f>D27*'4_Severity_Dials'!$B$4*'4_Severity_Dials'!$B$6</f>
        <v/>
      </c>
      <c r="G27" s="20">
        <f>D27*'4_Severity_Dials'!$B$7</f>
        <v/>
      </c>
      <c r="H27" s="20">
        <f>D27*E27*'4_Severity_Dials'!$B$5*'4_Severity_Dials'!$B$8</f>
        <v/>
      </c>
      <c r="I27" s="20">
        <f>H27-G27</f>
        <v/>
      </c>
      <c r="J27" s="21">
        <f>IF(I27&gt;0,"BENEFIT","HEADWIND")</f>
        <v/>
      </c>
      <c r="K27" s="10">
        <f>RANK(D27,$D$4:$D$166,0)</f>
        <v/>
      </c>
    </row>
    <row r="28">
      <c r="A28" s="10">
        <f>'2_GICS_Archetype_Map'!A28</f>
        <v/>
      </c>
      <c r="B28" s="10">
        <f>'2_GICS_Archetype_Map'!B28</f>
        <v/>
      </c>
      <c r="C28" s="10">
        <f>'2_GICS_Archetype_Map'!E28</f>
        <v/>
      </c>
      <c r="D28" s="15">
        <f>INDEX('3_Archetype_Params'!$Z$4:$Z$26,MATCH(C28,'3_Archetype_Params'!$A$4:$A$26,0))</f>
        <v/>
      </c>
      <c r="E28" s="13">
        <f>INDEX('3_Archetype_Params'!$X$4:$X$26,MATCH(C28,'3_Archetype_Params'!$A$4:$A$26,0))</f>
        <v/>
      </c>
      <c r="F28" s="20">
        <f>D28*'4_Severity_Dials'!$B$4*'4_Severity_Dials'!$B$6</f>
        <v/>
      </c>
      <c r="G28" s="20">
        <f>D28*'4_Severity_Dials'!$B$7</f>
        <v/>
      </c>
      <c r="H28" s="20">
        <f>D28*E28*'4_Severity_Dials'!$B$5*'4_Severity_Dials'!$B$8</f>
        <v/>
      </c>
      <c r="I28" s="20">
        <f>H28-G28</f>
        <v/>
      </c>
      <c r="J28" s="21">
        <f>IF(I28&gt;0,"BENEFIT","HEADWIND")</f>
        <v/>
      </c>
      <c r="K28" s="10">
        <f>RANK(D28,$D$4:$D$166,0)</f>
        <v/>
      </c>
    </row>
    <row r="29">
      <c r="A29" s="10">
        <f>'2_GICS_Archetype_Map'!A29</f>
        <v/>
      </c>
      <c r="B29" s="10">
        <f>'2_GICS_Archetype_Map'!B29</f>
        <v/>
      </c>
      <c r="C29" s="10">
        <f>'2_GICS_Archetype_Map'!E29</f>
        <v/>
      </c>
      <c r="D29" s="15">
        <f>INDEX('3_Archetype_Params'!$Z$4:$Z$26,MATCH(C29,'3_Archetype_Params'!$A$4:$A$26,0))</f>
        <v/>
      </c>
      <c r="E29" s="13">
        <f>INDEX('3_Archetype_Params'!$X$4:$X$26,MATCH(C29,'3_Archetype_Params'!$A$4:$A$26,0))</f>
        <v/>
      </c>
      <c r="F29" s="20">
        <f>D29*'4_Severity_Dials'!$B$4*'4_Severity_Dials'!$B$6</f>
        <v/>
      </c>
      <c r="G29" s="20">
        <f>D29*'4_Severity_Dials'!$B$7</f>
        <v/>
      </c>
      <c r="H29" s="20">
        <f>D29*E29*'4_Severity_Dials'!$B$5*'4_Severity_Dials'!$B$8</f>
        <v/>
      </c>
      <c r="I29" s="20">
        <f>H29-G29</f>
        <v/>
      </c>
      <c r="J29" s="21">
        <f>IF(I29&gt;0,"BENEFIT","HEADWIND")</f>
        <v/>
      </c>
      <c r="K29" s="10">
        <f>RANK(D29,$D$4:$D$166,0)</f>
        <v/>
      </c>
    </row>
    <row r="30">
      <c r="A30" s="10">
        <f>'2_GICS_Archetype_Map'!A30</f>
        <v/>
      </c>
      <c r="B30" s="10">
        <f>'2_GICS_Archetype_Map'!B30</f>
        <v/>
      </c>
      <c r="C30" s="10">
        <f>'2_GICS_Archetype_Map'!E30</f>
        <v/>
      </c>
      <c r="D30" s="15">
        <f>INDEX('3_Archetype_Params'!$Z$4:$Z$26,MATCH(C30,'3_Archetype_Params'!$A$4:$A$26,0))</f>
        <v/>
      </c>
      <c r="E30" s="13">
        <f>INDEX('3_Archetype_Params'!$X$4:$X$26,MATCH(C30,'3_Archetype_Params'!$A$4:$A$26,0))</f>
        <v/>
      </c>
      <c r="F30" s="20">
        <f>D30*'4_Severity_Dials'!$B$4*'4_Severity_Dials'!$B$6</f>
        <v/>
      </c>
      <c r="G30" s="20">
        <f>D30*'4_Severity_Dials'!$B$7</f>
        <v/>
      </c>
      <c r="H30" s="20">
        <f>D30*E30*'4_Severity_Dials'!$B$5*'4_Severity_Dials'!$B$8</f>
        <v/>
      </c>
      <c r="I30" s="20">
        <f>H30-G30</f>
        <v/>
      </c>
      <c r="J30" s="21">
        <f>IF(I30&gt;0,"BENEFIT","HEADWIND")</f>
        <v/>
      </c>
      <c r="K30" s="10">
        <f>RANK(D30,$D$4:$D$166,0)</f>
        <v/>
      </c>
    </row>
    <row r="31">
      <c r="A31" s="10">
        <f>'2_GICS_Archetype_Map'!A31</f>
        <v/>
      </c>
      <c r="B31" s="10">
        <f>'2_GICS_Archetype_Map'!B31</f>
        <v/>
      </c>
      <c r="C31" s="10">
        <f>'2_GICS_Archetype_Map'!E31</f>
        <v/>
      </c>
      <c r="D31" s="15">
        <f>INDEX('3_Archetype_Params'!$Z$4:$Z$26,MATCH(C31,'3_Archetype_Params'!$A$4:$A$26,0))</f>
        <v/>
      </c>
      <c r="E31" s="13">
        <f>INDEX('3_Archetype_Params'!$X$4:$X$26,MATCH(C31,'3_Archetype_Params'!$A$4:$A$26,0))</f>
        <v/>
      </c>
      <c r="F31" s="20">
        <f>D31*'4_Severity_Dials'!$B$4*'4_Severity_Dials'!$B$6</f>
        <v/>
      </c>
      <c r="G31" s="20">
        <f>D31*'4_Severity_Dials'!$B$7</f>
        <v/>
      </c>
      <c r="H31" s="20">
        <f>D31*E31*'4_Severity_Dials'!$B$5*'4_Severity_Dials'!$B$8</f>
        <v/>
      </c>
      <c r="I31" s="20">
        <f>H31-G31</f>
        <v/>
      </c>
      <c r="J31" s="21">
        <f>IF(I31&gt;0,"BENEFIT","HEADWIND")</f>
        <v/>
      </c>
      <c r="K31" s="10">
        <f>RANK(D31,$D$4:$D$166,0)</f>
        <v/>
      </c>
    </row>
    <row r="32">
      <c r="A32" s="10">
        <f>'2_GICS_Archetype_Map'!A32</f>
        <v/>
      </c>
      <c r="B32" s="10">
        <f>'2_GICS_Archetype_Map'!B32</f>
        <v/>
      </c>
      <c r="C32" s="10">
        <f>'2_GICS_Archetype_Map'!E32</f>
        <v/>
      </c>
      <c r="D32" s="15">
        <f>INDEX('3_Archetype_Params'!$Z$4:$Z$26,MATCH(C32,'3_Archetype_Params'!$A$4:$A$26,0))</f>
        <v/>
      </c>
      <c r="E32" s="13">
        <f>INDEX('3_Archetype_Params'!$X$4:$X$26,MATCH(C32,'3_Archetype_Params'!$A$4:$A$26,0))</f>
        <v/>
      </c>
      <c r="F32" s="20">
        <f>D32*'4_Severity_Dials'!$B$4*'4_Severity_Dials'!$B$6</f>
        <v/>
      </c>
      <c r="G32" s="20">
        <f>D32*'4_Severity_Dials'!$B$7</f>
        <v/>
      </c>
      <c r="H32" s="20">
        <f>D32*E32*'4_Severity_Dials'!$B$5*'4_Severity_Dials'!$B$8</f>
        <v/>
      </c>
      <c r="I32" s="20">
        <f>H32-G32</f>
        <v/>
      </c>
      <c r="J32" s="21">
        <f>IF(I32&gt;0,"BENEFIT","HEADWIND")</f>
        <v/>
      </c>
      <c r="K32" s="10">
        <f>RANK(D32,$D$4:$D$166,0)</f>
        <v/>
      </c>
    </row>
    <row r="33">
      <c r="A33" s="10">
        <f>'2_GICS_Archetype_Map'!A33</f>
        <v/>
      </c>
      <c r="B33" s="10">
        <f>'2_GICS_Archetype_Map'!B33</f>
        <v/>
      </c>
      <c r="C33" s="10">
        <f>'2_GICS_Archetype_Map'!E33</f>
        <v/>
      </c>
      <c r="D33" s="15">
        <f>INDEX('3_Archetype_Params'!$Z$4:$Z$26,MATCH(C33,'3_Archetype_Params'!$A$4:$A$26,0))</f>
        <v/>
      </c>
      <c r="E33" s="13">
        <f>INDEX('3_Archetype_Params'!$X$4:$X$26,MATCH(C33,'3_Archetype_Params'!$A$4:$A$26,0))</f>
        <v/>
      </c>
      <c r="F33" s="20">
        <f>D33*'4_Severity_Dials'!$B$4*'4_Severity_Dials'!$B$6</f>
        <v/>
      </c>
      <c r="G33" s="20">
        <f>D33*'4_Severity_Dials'!$B$7</f>
        <v/>
      </c>
      <c r="H33" s="20">
        <f>D33*E33*'4_Severity_Dials'!$B$5*'4_Severity_Dials'!$B$8</f>
        <v/>
      </c>
      <c r="I33" s="20">
        <f>H33-G33</f>
        <v/>
      </c>
      <c r="J33" s="21">
        <f>IF(I33&gt;0,"BENEFIT","HEADWIND")</f>
        <v/>
      </c>
      <c r="K33" s="10">
        <f>RANK(D33,$D$4:$D$166,0)</f>
        <v/>
      </c>
    </row>
    <row r="34">
      <c r="A34" s="10">
        <f>'2_GICS_Archetype_Map'!A34</f>
        <v/>
      </c>
      <c r="B34" s="10">
        <f>'2_GICS_Archetype_Map'!B34</f>
        <v/>
      </c>
      <c r="C34" s="10">
        <f>'2_GICS_Archetype_Map'!E34</f>
        <v/>
      </c>
      <c r="D34" s="15">
        <f>INDEX('3_Archetype_Params'!$Z$4:$Z$26,MATCH(C34,'3_Archetype_Params'!$A$4:$A$26,0))</f>
        <v/>
      </c>
      <c r="E34" s="13">
        <f>INDEX('3_Archetype_Params'!$X$4:$X$26,MATCH(C34,'3_Archetype_Params'!$A$4:$A$26,0))</f>
        <v/>
      </c>
      <c r="F34" s="20">
        <f>D34*'4_Severity_Dials'!$B$4*'4_Severity_Dials'!$B$6</f>
        <v/>
      </c>
      <c r="G34" s="20">
        <f>D34*'4_Severity_Dials'!$B$7</f>
        <v/>
      </c>
      <c r="H34" s="20">
        <f>D34*E34*'4_Severity_Dials'!$B$5*'4_Severity_Dials'!$B$8</f>
        <v/>
      </c>
      <c r="I34" s="20">
        <f>H34-G34</f>
        <v/>
      </c>
      <c r="J34" s="21">
        <f>IF(I34&gt;0,"BENEFIT","HEADWIND")</f>
        <v/>
      </c>
      <c r="K34" s="10">
        <f>RANK(D34,$D$4:$D$166,0)</f>
        <v/>
      </c>
    </row>
    <row r="35">
      <c r="A35" s="10">
        <f>'2_GICS_Archetype_Map'!A35</f>
        <v/>
      </c>
      <c r="B35" s="10">
        <f>'2_GICS_Archetype_Map'!B35</f>
        <v/>
      </c>
      <c r="C35" s="10">
        <f>'2_GICS_Archetype_Map'!E35</f>
        <v/>
      </c>
      <c r="D35" s="15">
        <f>INDEX('3_Archetype_Params'!$Z$4:$Z$26,MATCH(C35,'3_Archetype_Params'!$A$4:$A$26,0))</f>
        <v/>
      </c>
      <c r="E35" s="13">
        <f>INDEX('3_Archetype_Params'!$X$4:$X$26,MATCH(C35,'3_Archetype_Params'!$A$4:$A$26,0))</f>
        <v/>
      </c>
      <c r="F35" s="20">
        <f>D35*'4_Severity_Dials'!$B$4*'4_Severity_Dials'!$B$6</f>
        <v/>
      </c>
      <c r="G35" s="20">
        <f>D35*'4_Severity_Dials'!$B$7</f>
        <v/>
      </c>
      <c r="H35" s="20">
        <f>D35*E35*'4_Severity_Dials'!$B$5*'4_Severity_Dials'!$B$8</f>
        <v/>
      </c>
      <c r="I35" s="20">
        <f>H35-G35</f>
        <v/>
      </c>
      <c r="J35" s="21">
        <f>IF(I35&gt;0,"BENEFIT","HEADWIND")</f>
        <v/>
      </c>
      <c r="K35" s="10">
        <f>RANK(D35,$D$4:$D$166,0)</f>
        <v/>
      </c>
    </row>
    <row r="36">
      <c r="A36" s="10">
        <f>'2_GICS_Archetype_Map'!A36</f>
        <v/>
      </c>
      <c r="B36" s="10">
        <f>'2_GICS_Archetype_Map'!B36</f>
        <v/>
      </c>
      <c r="C36" s="10">
        <f>'2_GICS_Archetype_Map'!E36</f>
        <v/>
      </c>
      <c r="D36" s="15">
        <f>INDEX('3_Archetype_Params'!$Z$4:$Z$26,MATCH(C36,'3_Archetype_Params'!$A$4:$A$26,0))</f>
        <v/>
      </c>
      <c r="E36" s="13">
        <f>INDEX('3_Archetype_Params'!$X$4:$X$26,MATCH(C36,'3_Archetype_Params'!$A$4:$A$26,0))</f>
        <v/>
      </c>
      <c r="F36" s="20">
        <f>D36*'4_Severity_Dials'!$B$4*'4_Severity_Dials'!$B$6</f>
        <v/>
      </c>
      <c r="G36" s="20">
        <f>D36*'4_Severity_Dials'!$B$7</f>
        <v/>
      </c>
      <c r="H36" s="20">
        <f>D36*E36*'4_Severity_Dials'!$B$5*'4_Severity_Dials'!$B$8</f>
        <v/>
      </c>
      <c r="I36" s="20">
        <f>H36-G36</f>
        <v/>
      </c>
      <c r="J36" s="21">
        <f>IF(I36&gt;0,"BENEFIT","HEADWIND")</f>
        <v/>
      </c>
      <c r="K36" s="10">
        <f>RANK(D36,$D$4:$D$166,0)</f>
        <v/>
      </c>
    </row>
    <row r="37">
      <c r="A37" s="10">
        <f>'2_GICS_Archetype_Map'!A37</f>
        <v/>
      </c>
      <c r="B37" s="10">
        <f>'2_GICS_Archetype_Map'!B37</f>
        <v/>
      </c>
      <c r="C37" s="10">
        <f>'2_GICS_Archetype_Map'!E37</f>
        <v/>
      </c>
      <c r="D37" s="15">
        <f>INDEX('3_Archetype_Params'!$Z$4:$Z$26,MATCH(C37,'3_Archetype_Params'!$A$4:$A$26,0))</f>
        <v/>
      </c>
      <c r="E37" s="13">
        <f>INDEX('3_Archetype_Params'!$X$4:$X$26,MATCH(C37,'3_Archetype_Params'!$A$4:$A$26,0))</f>
        <v/>
      </c>
      <c r="F37" s="20">
        <f>D37*'4_Severity_Dials'!$B$4*'4_Severity_Dials'!$B$6</f>
        <v/>
      </c>
      <c r="G37" s="20">
        <f>D37*'4_Severity_Dials'!$B$7</f>
        <v/>
      </c>
      <c r="H37" s="20">
        <f>D37*E37*'4_Severity_Dials'!$B$5*'4_Severity_Dials'!$B$8</f>
        <v/>
      </c>
      <c r="I37" s="20">
        <f>H37-G37</f>
        <v/>
      </c>
      <c r="J37" s="21">
        <f>IF(I37&gt;0,"BENEFIT","HEADWIND")</f>
        <v/>
      </c>
      <c r="K37" s="10">
        <f>RANK(D37,$D$4:$D$166,0)</f>
        <v/>
      </c>
    </row>
    <row r="38">
      <c r="A38" s="10">
        <f>'2_GICS_Archetype_Map'!A38</f>
        <v/>
      </c>
      <c r="B38" s="10">
        <f>'2_GICS_Archetype_Map'!B38</f>
        <v/>
      </c>
      <c r="C38" s="10">
        <f>'2_GICS_Archetype_Map'!E38</f>
        <v/>
      </c>
      <c r="D38" s="15">
        <f>INDEX('3_Archetype_Params'!$Z$4:$Z$26,MATCH(C38,'3_Archetype_Params'!$A$4:$A$26,0))</f>
        <v/>
      </c>
      <c r="E38" s="13">
        <f>INDEX('3_Archetype_Params'!$X$4:$X$26,MATCH(C38,'3_Archetype_Params'!$A$4:$A$26,0))</f>
        <v/>
      </c>
      <c r="F38" s="20">
        <f>D38*'4_Severity_Dials'!$B$4*'4_Severity_Dials'!$B$6</f>
        <v/>
      </c>
      <c r="G38" s="20">
        <f>D38*'4_Severity_Dials'!$B$7</f>
        <v/>
      </c>
      <c r="H38" s="20">
        <f>D38*E38*'4_Severity_Dials'!$B$5*'4_Severity_Dials'!$B$8</f>
        <v/>
      </c>
      <c r="I38" s="20">
        <f>H38-G38</f>
        <v/>
      </c>
      <c r="J38" s="21">
        <f>IF(I38&gt;0,"BENEFIT","HEADWIND")</f>
        <v/>
      </c>
      <c r="K38" s="10">
        <f>RANK(D38,$D$4:$D$166,0)</f>
        <v/>
      </c>
    </row>
    <row r="39">
      <c r="A39" s="10">
        <f>'2_GICS_Archetype_Map'!A39</f>
        <v/>
      </c>
      <c r="B39" s="10">
        <f>'2_GICS_Archetype_Map'!B39</f>
        <v/>
      </c>
      <c r="C39" s="10">
        <f>'2_GICS_Archetype_Map'!E39</f>
        <v/>
      </c>
      <c r="D39" s="15">
        <f>INDEX('3_Archetype_Params'!$Z$4:$Z$26,MATCH(C39,'3_Archetype_Params'!$A$4:$A$26,0))</f>
        <v/>
      </c>
      <c r="E39" s="13">
        <f>INDEX('3_Archetype_Params'!$X$4:$X$26,MATCH(C39,'3_Archetype_Params'!$A$4:$A$26,0))</f>
        <v/>
      </c>
      <c r="F39" s="20">
        <f>D39*'4_Severity_Dials'!$B$4*'4_Severity_Dials'!$B$6</f>
        <v/>
      </c>
      <c r="G39" s="20">
        <f>D39*'4_Severity_Dials'!$B$7</f>
        <v/>
      </c>
      <c r="H39" s="20">
        <f>D39*E39*'4_Severity_Dials'!$B$5*'4_Severity_Dials'!$B$8</f>
        <v/>
      </c>
      <c r="I39" s="20">
        <f>H39-G39</f>
        <v/>
      </c>
      <c r="J39" s="21">
        <f>IF(I39&gt;0,"BENEFIT","HEADWIND")</f>
        <v/>
      </c>
      <c r="K39" s="10">
        <f>RANK(D39,$D$4:$D$166,0)</f>
        <v/>
      </c>
    </row>
    <row r="40">
      <c r="A40" s="10">
        <f>'2_GICS_Archetype_Map'!A40</f>
        <v/>
      </c>
      <c r="B40" s="10">
        <f>'2_GICS_Archetype_Map'!B40</f>
        <v/>
      </c>
      <c r="C40" s="10">
        <f>'2_GICS_Archetype_Map'!E40</f>
        <v/>
      </c>
      <c r="D40" s="15">
        <f>INDEX('3_Archetype_Params'!$Z$4:$Z$26,MATCH(C40,'3_Archetype_Params'!$A$4:$A$26,0))</f>
        <v/>
      </c>
      <c r="E40" s="13">
        <f>INDEX('3_Archetype_Params'!$X$4:$X$26,MATCH(C40,'3_Archetype_Params'!$A$4:$A$26,0))</f>
        <v/>
      </c>
      <c r="F40" s="20">
        <f>D40*'4_Severity_Dials'!$B$4*'4_Severity_Dials'!$B$6</f>
        <v/>
      </c>
      <c r="G40" s="20">
        <f>D40*'4_Severity_Dials'!$B$7</f>
        <v/>
      </c>
      <c r="H40" s="20">
        <f>D40*E40*'4_Severity_Dials'!$B$5*'4_Severity_Dials'!$B$8</f>
        <v/>
      </c>
      <c r="I40" s="20">
        <f>H40-G40</f>
        <v/>
      </c>
      <c r="J40" s="21">
        <f>IF(I40&gt;0,"BENEFIT","HEADWIND")</f>
        <v/>
      </c>
      <c r="K40" s="10">
        <f>RANK(D40,$D$4:$D$166,0)</f>
        <v/>
      </c>
    </row>
    <row r="41">
      <c r="A41" s="10">
        <f>'2_GICS_Archetype_Map'!A41</f>
        <v/>
      </c>
      <c r="B41" s="10">
        <f>'2_GICS_Archetype_Map'!B41</f>
        <v/>
      </c>
      <c r="C41" s="10">
        <f>'2_GICS_Archetype_Map'!E41</f>
        <v/>
      </c>
      <c r="D41" s="15">
        <f>INDEX('3_Archetype_Params'!$Z$4:$Z$26,MATCH(C41,'3_Archetype_Params'!$A$4:$A$26,0))</f>
        <v/>
      </c>
      <c r="E41" s="13">
        <f>INDEX('3_Archetype_Params'!$X$4:$X$26,MATCH(C41,'3_Archetype_Params'!$A$4:$A$26,0))</f>
        <v/>
      </c>
      <c r="F41" s="20">
        <f>D41*'4_Severity_Dials'!$B$4*'4_Severity_Dials'!$B$6</f>
        <v/>
      </c>
      <c r="G41" s="20">
        <f>D41*'4_Severity_Dials'!$B$7</f>
        <v/>
      </c>
      <c r="H41" s="20">
        <f>D41*E41*'4_Severity_Dials'!$B$5*'4_Severity_Dials'!$B$8</f>
        <v/>
      </c>
      <c r="I41" s="20">
        <f>H41-G41</f>
        <v/>
      </c>
      <c r="J41" s="21">
        <f>IF(I41&gt;0,"BENEFIT","HEADWIND")</f>
        <v/>
      </c>
      <c r="K41" s="10">
        <f>RANK(D41,$D$4:$D$166,0)</f>
        <v/>
      </c>
    </row>
    <row r="42">
      <c r="A42" s="10">
        <f>'2_GICS_Archetype_Map'!A42</f>
        <v/>
      </c>
      <c r="B42" s="10">
        <f>'2_GICS_Archetype_Map'!B42</f>
        <v/>
      </c>
      <c r="C42" s="10">
        <f>'2_GICS_Archetype_Map'!E42</f>
        <v/>
      </c>
      <c r="D42" s="15">
        <f>INDEX('3_Archetype_Params'!$Z$4:$Z$26,MATCH(C42,'3_Archetype_Params'!$A$4:$A$26,0))</f>
        <v/>
      </c>
      <c r="E42" s="13">
        <f>INDEX('3_Archetype_Params'!$X$4:$X$26,MATCH(C42,'3_Archetype_Params'!$A$4:$A$26,0))</f>
        <v/>
      </c>
      <c r="F42" s="20">
        <f>D42*'4_Severity_Dials'!$B$4*'4_Severity_Dials'!$B$6</f>
        <v/>
      </c>
      <c r="G42" s="20">
        <f>D42*'4_Severity_Dials'!$B$7</f>
        <v/>
      </c>
      <c r="H42" s="20">
        <f>D42*E42*'4_Severity_Dials'!$B$5*'4_Severity_Dials'!$B$8</f>
        <v/>
      </c>
      <c r="I42" s="20">
        <f>H42-G42</f>
        <v/>
      </c>
      <c r="J42" s="21">
        <f>IF(I42&gt;0,"BENEFIT","HEADWIND")</f>
        <v/>
      </c>
      <c r="K42" s="10">
        <f>RANK(D42,$D$4:$D$166,0)</f>
        <v/>
      </c>
    </row>
    <row r="43">
      <c r="A43" s="10">
        <f>'2_GICS_Archetype_Map'!A43</f>
        <v/>
      </c>
      <c r="B43" s="10">
        <f>'2_GICS_Archetype_Map'!B43</f>
        <v/>
      </c>
      <c r="C43" s="10">
        <f>'2_GICS_Archetype_Map'!E43</f>
        <v/>
      </c>
      <c r="D43" s="15">
        <f>INDEX('3_Archetype_Params'!$Z$4:$Z$26,MATCH(C43,'3_Archetype_Params'!$A$4:$A$26,0))</f>
        <v/>
      </c>
      <c r="E43" s="13">
        <f>INDEX('3_Archetype_Params'!$X$4:$X$26,MATCH(C43,'3_Archetype_Params'!$A$4:$A$26,0))</f>
        <v/>
      </c>
      <c r="F43" s="20">
        <f>D43*'4_Severity_Dials'!$B$4*'4_Severity_Dials'!$B$6</f>
        <v/>
      </c>
      <c r="G43" s="20">
        <f>D43*'4_Severity_Dials'!$B$7</f>
        <v/>
      </c>
      <c r="H43" s="20">
        <f>D43*E43*'4_Severity_Dials'!$B$5*'4_Severity_Dials'!$B$8</f>
        <v/>
      </c>
      <c r="I43" s="20">
        <f>H43-G43</f>
        <v/>
      </c>
      <c r="J43" s="21">
        <f>IF(I43&gt;0,"BENEFIT","HEADWIND")</f>
        <v/>
      </c>
      <c r="K43" s="10">
        <f>RANK(D43,$D$4:$D$166,0)</f>
        <v/>
      </c>
    </row>
    <row r="44">
      <c r="A44" s="10">
        <f>'2_GICS_Archetype_Map'!A44</f>
        <v/>
      </c>
      <c r="B44" s="10">
        <f>'2_GICS_Archetype_Map'!B44</f>
        <v/>
      </c>
      <c r="C44" s="10">
        <f>'2_GICS_Archetype_Map'!E44</f>
        <v/>
      </c>
      <c r="D44" s="15">
        <f>INDEX('3_Archetype_Params'!$Z$4:$Z$26,MATCH(C44,'3_Archetype_Params'!$A$4:$A$26,0))</f>
        <v/>
      </c>
      <c r="E44" s="13">
        <f>INDEX('3_Archetype_Params'!$X$4:$X$26,MATCH(C44,'3_Archetype_Params'!$A$4:$A$26,0))</f>
        <v/>
      </c>
      <c r="F44" s="20">
        <f>D44*'4_Severity_Dials'!$B$4*'4_Severity_Dials'!$B$6</f>
        <v/>
      </c>
      <c r="G44" s="20">
        <f>D44*'4_Severity_Dials'!$B$7</f>
        <v/>
      </c>
      <c r="H44" s="20">
        <f>D44*E44*'4_Severity_Dials'!$B$5*'4_Severity_Dials'!$B$8</f>
        <v/>
      </c>
      <c r="I44" s="20">
        <f>H44-G44</f>
        <v/>
      </c>
      <c r="J44" s="21">
        <f>IF(I44&gt;0,"BENEFIT","HEADWIND")</f>
        <v/>
      </c>
      <c r="K44" s="10">
        <f>RANK(D44,$D$4:$D$166,0)</f>
        <v/>
      </c>
    </row>
    <row r="45">
      <c r="A45" s="10">
        <f>'2_GICS_Archetype_Map'!A45</f>
        <v/>
      </c>
      <c r="B45" s="10">
        <f>'2_GICS_Archetype_Map'!B45</f>
        <v/>
      </c>
      <c r="C45" s="10">
        <f>'2_GICS_Archetype_Map'!E45</f>
        <v/>
      </c>
      <c r="D45" s="15">
        <f>INDEX('3_Archetype_Params'!$Z$4:$Z$26,MATCH(C45,'3_Archetype_Params'!$A$4:$A$26,0))</f>
        <v/>
      </c>
      <c r="E45" s="13">
        <f>INDEX('3_Archetype_Params'!$X$4:$X$26,MATCH(C45,'3_Archetype_Params'!$A$4:$A$26,0))</f>
        <v/>
      </c>
      <c r="F45" s="20">
        <f>D45*'4_Severity_Dials'!$B$4*'4_Severity_Dials'!$B$6</f>
        <v/>
      </c>
      <c r="G45" s="20">
        <f>D45*'4_Severity_Dials'!$B$7</f>
        <v/>
      </c>
      <c r="H45" s="20">
        <f>D45*E45*'4_Severity_Dials'!$B$5*'4_Severity_Dials'!$B$8</f>
        <v/>
      </c>
      <c r="I45" s="20">
        <f>H45-G45</f>
        <v/>
      </c>
      <c r="J45" s="21">
        <f>IF(I45&gt;0,"BENEFIT","HEADWIND")</f>
        <v/>
      </c>
      <c r="K45" s="10">
        <f>RANK(D45,$D$4:$D$166,0)</f>
        <v/>
      </c>
    </row>
    <row r="46">
      <c r="A46" s="10">
        <f>'2_GICS_Archetype_Map'!A46</f>
        <v/>
      </c>
      <c r="B46" s="10">
        <f>'2_GICS_Archetype_Map'!B46</f>
        <v/>
      </c>
      <c r="C46" s="10">
        <f>'2_GICS_Archetype_Map'!E46</f>
        <v/>
      </c>
      <c r="D46" s="15">
        <f>INDEX('3_Archetype_Params'!$Z$4:$Z$26,MATCH(C46,'3_Archetype_Params'!$A$4:$A$26,0))</f>
        <v/>
      </c>
      <c r="E46" s="13">
        <f>INDEX('3_Archetype_Params'!$X$4:$X$26,MATCH(C46,'3_Archetype_Params'!$A$4:$A$26,0))</f>
        <v/>
      </c>
      <c r="F46" s="20">
        <f>D46*'4_Severity_Dials'!$B$4*'4_Severity_Dials'!$B$6</f>
        <v/>
      </c>
      <c r="G46" s="20">
        <f>D46*'4_Severity_Dials'!$B$7</f>
        <v/>
      </c>
      <c r="H46" s="20">
        <f>D46*E46*'4_Severity_Dials'!$B$5*'4_Severity_Dials'!$B$8</f>
        <v/>
      </c>
      <c r="I46" s="20">
        <f>H46-G46</f>
        <v/>
      </c>
      <c r="J46" s="21">
        <f>IF(I46&gt;0,"BENEFIT","HEADWIND")</f>
        <v/>
      </c>
      <c r="K46" s="10">
        <f>RANK(D46,$D$4:$D$166,0)</f>
        <v/>
      </c>
    </row>
    <row r="47">
      <c r="A47" s="10">
        <f>'2_GICS_Archetype_Map'!A47</f>
        <v/>
      </c>
      <c r="B47" s="10">
        <f>'2_GICS_Archetype_Map'!B47</f>
        <v/>
      </c>
      <c r="C47" s="10">
        <f>'2_GICS_Archetype_Map'!E47</f>
        <v/>
      </c>
      <c r="D47" s="15">
        <f>INDEX('3_Archetype_Params'!$Z$4:$Z$26,MATCH(C47,'3_Archetype_Params'!$A$4:$A$26,0))</f>
        <v/>
      </c>
      <c r="E47" s="13">
        <f>INDEX('3_Archetype_Params'!$X$4:$X$26,MATCH(C47,'3_Archetype_Params'!$A$4:$A$26,0))</f>
        <v/>
      </c>
      <c r="F47" s="20">
        <f>D47*'4_Severity_Dials'!$B$4*'4_Severity_Dials'!$B$6</f>
        <v/>
      </c>
      <c r="G47" s="20">
        <f>D47*'4_Severity_Dials'!$B$7</f>
        <v/>
      </c>
      <c r="H47" s="20">
        <f>D47*E47*'4_Severity_Dials'!$B$5*'4_Severity_Dials'!$B$8</f>
        <v/>
      </c>
      <c r="I47" s="20">
        <f>H47-G47</f>
        <v/>
      </c>
      <c r="J47" s="21">
        <f>IF(I47&gt;0,"BENEFIT","HEADWIND")</f>
        <v/>
      </c>
      <c r="K47" s="10">
        <f>RANK(D47,$D$4:$D$166,0)</f>
        <v/>
      </c>
    </row>
    <row r="48">
      <c r="A48" s="10">
        <f>'2_GICS_Archetype_Map'!A48</f>
        <v/>
      </c>
      <c r="B48" s="10">
        <f>'2_GICS_Archetype_Map'!B48</f>
        <v/>
      </c>
      <c r="C48" s="10">
        <f>'2_GICS_Archetype_Map'!E48</f>
        <v/>
      </c>
      <c r="D48" s="15">
        <f>INDEX('3_Archetype_Params'!$Z$4:$Z$26,MATCH(C48,'3_Archetype_Params'!$A$4:$A$26,0))</f>
        <v/>
      </c>
      <c r="E48" s="13">
        <f>INDEX('3_Archetype_Params'!$X$4:$X$26,MATCH(C48,'3_Archetype_Params'!$A$4:$A$26,0))</f>
        <v/>
      </c>
      <c r="F48" s="20">
        <f>D48*'4_Severity_Dials'!$B$4*'4_Severity_Dials'!$B$6</f>
        <v/>
      </c>
      <c r="G48" s="20">
        <f>D48*'4_Severity_Dials'!$B$7</f>
        <v/>
      </c>
      <c r="H48" s="20">
        <f>D48*E48*'4_Severity_Dials'!$B$5*'4_Severity_Dials'!$B$8</f>
        <v/>
      </c>
      <c r="I48" s="20">
        <f>H48-G48</f>
        <v/>
      </c>
      <c r="J48" s="21">
        <f>IF(I48&gt;0,"BENEFIT","HEADWIND")</f>
        <v/>
      </c>
      <c r="K48" s="10">
        <f>RANK(D48,$D$4:$D$166,0)</f>
        <v/>
      </c>
    </row>
    <row r="49">
      <c r="A49" s="10">
        <f>'2_GICS_Archetype_Map'!A49</f>
        <v/>
      </c>
      <c r="B49" s="10">
        <f>'2_GICS_Archetype_Map'!B49</f>
        <v/>
      </c>
      <c r="C49" s="10">
        <f>'2_GICS_Archetype_Map'!E49</f>
        <v/>
      </c>
      <c r="D49" s="15">
        <f>INDEX('3_Archetype_Params'!$Z$4:$Z$26,MATCH(C49,'3_Archetype_Params'!$A$4:$A$26,0))</f>
        <v/>
      </c>
      <c r="E49" s="13">
        <f>INDEX('3_Archetype_Params'!$X$4:$X$26,MATCH(C49,'3_Archetype_Params'!$A$4:$A$26,0))</f>
        <v/>
      </c>
      <c r="F49" s="20">
        <f>D49*'4_Severity_Dials'!$B$4*'4_Severity_Dials'!$B$6</f>
        <v/>
      </c>
      <c r="G49" s="20">
        <f>D49*'4_Severity_Dials'!$B$7</f>
        <v/>
      </c>
      <c r="H49" s="20">
        <f>D49*E49*'4_Severity_Dials'!$B$5*'4_Severity_Dials'!$B$8</f>
        <v/>
      </c>
      <c r="I49" s="20">
        <f>H49-G49</f>
        <v/>
      </c>
      <c r="J49" s="21">
        <f>IF(I49&gt;0,"BENEFIT","HEADWIND")</f>
        <v/>
      </c>
      <c r="K49" s="10">
        <f>RANK(D49,$D$4:$D$166,0)</f>
        <v/>
      </c>
    </row>
    <row r="50">
      <c r="A50" s="10">
        <f>'2_GICS_Archetype_Map'!A50</f>
        <v/>
      </c>
      <c r="B50" s="10">
        <f>'2_GICS_Archetype_Map'!B50</f>
        <v/>
      </c>
      <c r="C50" s="10">
        <f>'2_GICS_Archetype_Map'!E50</f>
        <v/>
      </c>
      <c r="D50" s="15">
        <f>INDEX('3_Archetype_Params'!$Z$4:$Z$26,MATCH(C50,'3_Archetype_Params'!$A$4:$A$26,0))</f>
        <v/>
      </c>
      <c r="E50" s="13">
        <f>INDEX('3_Archetype_Params'!$X$4:$X$26,MATCH(C50,'3_Archetype_Params'!$A$4:$A$26,0))</f>
        <v/>
      </c>
      <c r="F50" s="20">
        <f>D50*'4_Severity_Dials'!$B$4*'4_Severity_Dials'!$B$6</f>
        <v/>
      </c>
      <c r="G50" s="20">
        <f>D50*'4_Severity_Dials'!$B$7</f>
        <v/>
      </c>
      <c r="H50" s="20">
        <f>D50*E50*'4_Severity_Dials'!$B$5*'4_Severity_Dials'!$B$8</f>
        <v/>
      </c>
      <c r="I50" s="20">
        <f>H50-G50</f>
        <v/>
      </c>
      <c r="J50" s="21">
        <f>IF(I50&gt;0,"BENEFIT","HEADWIND")</f>
        <v/>
      </c>
      <c r="K50" s="10">
        <f>RANK(D50,$D$4:$D$166,0)</f>
        <v/>
      </c>
    </row>
    <row r="51">
      <c r="A51" s="10">
        <f>'2_GICS_Archetype_Map'!A51</f>
        <v/>
      </c>
      <c r="B51" s="10">
        <f>'2_GICS_Archetype_Map'!B51</f>
        <v/>
      </c>
      <c r="C51" s="10">
        <f>'2_GICS_Archetype_Map'!E51</f>
        <v/>
      </c>
      <c r="D51" s="15">
        <f>INDEX('3_Archetype_Params'!$Z$4:$Z$26,MATCH(C51,'3_Archetype_Params'!$A$4:$A$26,0))</f>
        <v/>
      </c>
      <c r="E51" s="13">
        <f>INDEX('3_Archetype_Params'!$X$4:$X$26,MATCH(C51,'3_Archetype_Params'!$A$4:$A$26,0))</f>
        <v/>
      </c>
      <c r="F51" s="20">
        <f>D51*'4_Severity_Dials'!$B$4*'4_Severity_Dials'!$B$6</f>
        <v/>
      </c>
      <c r="G51" s="20">
        <f>D51*'4_Severity_Dials'!$B$7</f>
        <v/>
      </c>
      <c r="H51" s="20">
        <f>D51*E51*'4_Severity_Dials'!$B$5*'4_Severity_Dials'!$B$8</f>
        <v/>
      </c>
      <c r="I51" s="20">
        <f>H51-G51</f>
        <v/>
      </c>
      <c r="J51" s="21">
        <f>IF(I51&gt;0,"BENEFIT","HEADWIND")</f>
        <v/>
      </c>
      <c r="K51" s="10">
        <f>RANK(D51,$D$4:$D$166,0)</f>
        <v/>
      </c>
    </row>
    <row r="52">
      <c r="A52" s="10">
        <f>'2_GICS_Archetype_Map'!A52</f>
        <v/>
      </c>
      <c r="B52" s="10">
        <f>'2_GICS_Archetype_Map'!B52</f>
        <v/>
      </c>
      <c r="C52" s="10">
        <f>'2_GICS_Archetype_Map'!E52</f>
        <v/>
      </c>
      <c r="D52" s="15">
        <f>INDEX('3_Archetype_Params'!$Z$4:$Z$26,MATCH(C52,'3_Archetype_Params'!$A$4:$A$26,0))</f>
        <v/>
      </c>
      <c r="E52" s="13">
        <f>INDEX('3_Archetype_Params'!$X$4:$X$26,MATCH(C52,'3_Archetype_Params'!$A$4:$A$26,0))</f>
        <v/>
      </c>
      <c r="F52" s="20">
        <f>D52*'4_Severity_Dials'!$B$4*'4_Severity_Dials'!$B$6</f>
        <v/>
      </c>
      <c r="G52" s="20">
        <f>D52*'4_Severity_Dials'!$B$7</f>
        <v/>
      </c>
      <c r="H52" s="20">
        <f>D52*E52*'4_Severity_Dials'!$B$5*'4_Severity_Dials'!$B$8</f>
        <v/>
      </c>
      <c r="I52" s="20">
        <f>H52-G52</f>
        <v/>
      </c>
      <c r="J52" s="21">
        <f>IF(I52&gt;0,"BENEFIT","HEADWIND")</f>
        <v/>
      </c>
      <c r="K52" s="10">
        <f>RANK(D52,$D$4:$D$166,0)</f>
        <v/>
      </c>
    </row>
    <row r="53">
      <c r="A53" s="10">
        <f>'2_GICS_Archetype_Map'!A53</f>
        <v/>
      </c>
      <c r="B53" s="10">
        <f>'2_GICS_Archetype_Map'!B53</f>
        <v/>
      </c>
      <c r="C53" s="10">
        <f>'2_GICS_Archetype_Map'!E53</f>
        <v/>
      </c>
      <c r="D53" s="15">
        <f>INDEX('3_Archetype_Params'!$Z$4:$Z$26,MATCH(C53,'3_Archetype_Params'!$A$4:$A$26,0))</f>
        <v/>
      </c>
      <c r="E53" s="13">
        <f>INDEX('3_Archetype_Params'!$X$4:$X$26,MATCH(C53,'3_Archetype_Params'!$A$4:$A$26,0))</f>
        <v/>
      </c>
      <c r="F53" s="20">
        <f>D53*'4_Severity_Dials'!$B$4*'4_Severity_Dials'!$B$6</f>
        <v/>
      </c>
      <c r="G53" s="20">
        <f>D53*'4_Severity_Dials'!$B$7</f>
        <v/>
      </c>
      <c r="H53" s="20">
        <f>D53*E53*'4_Severity_Dials'!$B$5*'4_Severity_Dials'!$B$8</f>
        <v/>
      </c>
      <c r="I53" s="20">
        <f>H53-G53</f>
        <v/>
      </c>
      <c r="J53" s="21">
        <f>IF(I53&gt;0,"BENEFIT","HEADWIND")</f>
        <v/>
      </c>
      <c r="K53" s="10">
        <f>RANK(D53,$D$4:$D$166,0)</f>
        <v/>
      </c>
    </row>
    <row r="54">
      <c r="A54" s="10">
        <f>'2_GICS_Archetype_Map'!A54</f>
        <v/>
      </c>
      <c r="B54" s="10">
        <f>'2_GICS_Archetype_Map'!B54</f>
        <v/>
      </c>
      <c r="C54" s="10">
        <f>'2_GICS_Archetype_Map'!E54</f>
        <v/>
      </c>
      <c r="D54" s="15">
        <f>INDEX('3_Archetype_Params'!$Z$4:$Z$26,MATCH(C54,'3_Archetype_Params'!$A$4:$A$26,0))</f>
        <v/>
      </c>
      <c r="E54" s="13">
        <f>INDEX('3_Archetype_Params'!$X$4:$X$26,MATCH(C54,'3_Archetype_Params'!$A$4:$A$26,0))</f>
        <v/>
      </c>
      <c r="F54" s="20">
        <f>D54*'4_Severity_Dials'!$B$4*'4_Severity_Dials'!$B$6</f>
        <v/>
      </c>
      <c r="G54" s="20">
        <f>D54*'4_Severity_Dials'!$B$7</f>
        <v/>
      </c>
      <c r="H54" s="20">
        <f>D54*E54*'4_Severity_Dials'!$B$5*'4_Severity_Dials'!$B$8</f>
        <v/>
      </c>
      <c r="I54" s="20">
        <f>H54-G54</f>
        <v/>
      </c>
      <c r="J54" s="21">
        <f>IF(I54&gt;0,"BENEFIT","HEADWIND")</f>
        <v/>
      </c>
      <c r="K54" s="10">
        <f>RANK(D54,$D$4:$D$166,0)</f>
        <v/>
      </c>
    </row>
    <row r="55">
      <c r="A55" s="10">
        <f>'2_GICS_Archetype_Map'!A55</f>
        <v/>
      </c>
      <c r="B55" s="10">
        <f>'2_GICS_Archetype_Map'!B55</f>
        <v/>
      </c>
      <c r="C55" s="10">
        <f>'2_GICS_Archetype_Map'!E55</f>
        <v/>
      </c>
      <c r="D55" s="15">
        <f>INDEX('3_Archetype_Params'!$Z$4:$Z$26,MATCH(C55,'3_Archetype_Params'!$A$4:$A$26,0))</f>
        <v/>
      </c>
      <c r="E55" s="13">
        <f>INDEX('3_Archetype_Params'!$X$4:$X$26,MATCH(C55,'3_Archetype_Params'!$A$4:$A$26,0))</f>
        <v/>
      </c>
      <c r="F55" s="20">
        <f>D55*'4_Severity_Dials'!$B$4*'4_Severity_Dials'!$B$6</f>
        <v/>
      </c>
      <c r="G55" s="20">
        <f>D55*'4_Severity_Dials'!$B$7</f>
        <v/>
      </c>
      <c r="H55" s="20">
        <f>D55*E55*'4_Severity_Dials'!$B$5*'4_Severity_Dials'!$B$8</f>
        <v/>
      </c>
      <c r="I55" s="20">
        <f>H55-G55</f>
        <v/>
      </c>
      <c r="J55" s="21">
        <f>IF(I55&gt;0,"BENEFIT","HEADWIND")</f>
        <v/>
      </c>
      <c r="K55" s="10">
        <f>RANK(D55,$D$4:$D$166,0)</f>
        <v/>
      </c>
    </row>
    <row r="56">
      <c r="A56" s="10">
        <f>'2_GICS_Archetype_Map'!A56</f>
        <v/>
      </c>
      <c r="B56" s="10">
        <f>'2_GICS_Archetype_Map'!B56</f>
        <v/>
      </c>
      <c r="C56" s="10">
        <f>'2_GICS_Archetype_Map'!E56</f>
        <v/>
      </c>
      <c r="D56" s="15">
        <f>INDEX('3_Archetype_Params'!$Z$4:$Z$26,MATCH(C56,'3_Archetype_Params'!$A$4:$A$26,0))</f>
        <v/>
      </c>
      <c r="E56" s="13">
        <f>INDEX('3_Archetype_Params'!$X$4:$X$26,MATCH(C56,'3_Archetype_Params'!$A$4:$A$26,0))</f>
        <v/>
      </c>
      <c r="F56" s="20">
        <f>D56*'4_Severity_Dials'!$B$4*'4_Severity_Dials'!$B$6</f>
        <v/>
      </c>
      <c r="G56" s="20">
        <f>D56*'4_Severity_Dials'!$B$7</f>
        <v/>
      </c>
      <c r="H56" s="20">
        <f>D56*E56*'4_Severity_Dials'!$B$5*'4_Severity_Dials'!$B$8</f>
        <v/>
      </c>
      <c r="I56" s="20">
        <f>H56-G56</f>
        <v/>
      </c>
      <c r="J56" s="21">
        <f>IF(I56&gt;0,"BENEFIT","HEADWIND")</f>
        <v/>
      </c>
      <c r="K56" s="10">
        <f>RANK(D56,$D$4:$D$166,0)</f>
        <v/>
      </c>
    </row>
    <row r="57">
      <c r="A57" s="10">
        <f>'2_GICS_Archetype_Map'!A57</f>
        <v/>
      </c>
      <c r="B57" s="10">
        <f>'2_GICS_Archetype_Map'!B57</f>
        <v/>
      </c>
      <c r="C57" s="10">
        <f>'2_GICS_Archetype_Map'!E57</f>
        <v/>
      </c>
      <c r="D57" s="15">
        <f>INDEX('3_Archetype_Params'!$Z$4:$Z$26,MATCH(C57,'3_Archetype_Params'!$A$4:$A$26,0))</f>
        <v/>
      </c>
      <c r="E57" s="13">
        <f>INDEX('3_Archetype_Params'!$X$4:$X$26,MATCH(C57,'3_Archetype_Params'!$A$4:$A$26,0))</f>
        <v/>
      </c>
      <c r="F57" s="20">
        <f>D57*'4_Severity_Dials'!$B$4*'4_Severity_Dials'!$B$6</f>
        <v/>
      </c>
      <c r="G57" s="20">
        <f>D57*'4_Severity_Dials'!$B$7</f>
        <v/>
      </c>
      <c r="H57" s="20">
        <f>D57*E57*'4_Severity_Dials'!$B$5*'4_Severity_Dials'!$B$8</f>
        <v/>
      </c>
      <c r="I57" s="20">
        <f>H57-G57</f>
        <v/>
      </c>
      <c r="J57" s="21">
        <f>IF(I57&gt;0,"BENEFIT","HEADWIND")</f>
        <v/>
      </c>
      <c r="K57" s="10">
        <f>RANK(D57,$D$4:$D$166,0)</f>
        <v/>
      </c>
    </row>
    <row r="58">
      <c r="A58" s="10">
        <f>'2_GICS_Archetype_Map'!A58</f>
        <v/>
      </c>
      <c r="B58" s="10">
        <f>'2_GICS_Archetype_Map'!B58</f>
        <v/>
      </c>
      <c r="C58" s="10">
        <f>'2_GICS_Archetype_Map'!E58</f>
        <v/>
      </c>
      <c r="D58" s="15">
        <f>INDEX('3_Archetype_Params'!$Z$4:$Z$26,MATCH(C58,'3_Archetype_Params'!$A$4:$A$26,0))</f>
        <v/>
      </c>
      <c r="E58" s="13">
        <f>INDEX('3_Archetype_Params'!$X$4:$X$26,MATCH(C58,'3_Archetype_Params'!$A$4:$A$26,0))</f>
        <v/>
      </c>
      <c r="F58" s="20">
        <f>D58*'4_Severity_Dials'!$B$4*'4_Severity_Dials'!$B$6</f>
        <v/>
      </c>
      <c r="G58" s="20">
        <f>D58*'4_Severity_Dials'!$B$7</f>
        <v/>
      </c>
      <c r="H58" s="20">
        <f>D58*E58*'4_Severity_Dials'!$B$5*'4_Severity_Dials'!$B$8</f>
        <v/>
      </c>
      <c r="I58" s="20">
        <f>H58-G58</f>
        <v/>
      </c>
      <c r="J58" s="21">
        <f>IF(I58&gt;0,"BENEFIT","HEADWIND")</f>
        <v/>
      </c>
      <c r="K58" s="10">
        <f>RANK(D58,$D$4:$D$166,0)</f>
        <v/>
      </c>
    </row>
    <row r="59">
      <c r="A59" s="10">
        <f>'2_GICS_Archetype_Map'!A59</f>
        <v/>
      </c>
      <c r="B59" s="10">
        <f>'2_GICS_Archetype_Map'!B59</f>
        <v/>
      </c>
      <c r="C59" s="10">
        <f>'2_GICS_Archetype_Map'!E59</f>
        <v/>
      </c>
      <c r="D59" s="15">
        <f>INDEX('3_Archetype_Params'!$Z$4:$Z$26,MATCH(C59,'3_Archetype_Params'!$A$4:$A$26,0))</f>
        <v/>
      </c>
      <c r="E59" s="13">
        <f>INDEX('3_Archetype_Params'!$X$4:$X$26,MATCH(C59,'3_Archetype_Params'!$A$4:$A$26,0))</f>
        <v/>
      </c>
      <c r="F59" s="20">
        <f>D59*'4_Severity_Dials'!$B$4*'4_Severity_Dials'!$B$6</f>
        <v/>
      </c>
      <c r="G59" s="20">
        <f>D59*'4_Severity_Dials'!$B$7</f>
        <v/>
      </c>
      <c r="H59" s="20">
        <f>D59*E59*'4_Severity_Dials'!$B$5*'4_Severity_Dials'!$B$8</f>
        <v/>
      </c>
      <c r="I59" s="20">
        <f>H59-G59</f>
        <v/>
      </c>
      <c r="J59" s="21">
        <f>IF(I59&gt;0,"BENEFIT","HEADWIND")</f>
        <v/>
      </c>
      <c r="K59" s="10">
        <f>RANK(D59,$D$4:$D$166,0)</f>
        <v/>
      </c>
    </row>
    <row r="60">
      <c r="A60" s="10">
        <f>'2_GICS_Archetype_Map'!A60</f>
        <v/>
      </c>
      <c r="B60" s="10">
        <f>'2_GICS_Archetype_Map'!B60</f>
        <v/>
      </c>
      <c r="C60" s="10">
        <f>'2_GICS_Archetype_Map'!E60</f>
        <v/>
      </c>
      <c r="D60" s="15">
        <f>INDEX('3_Archetype_Params'!$Z$4:$Z$26,MATCH(C60,'3_Archetype_Params'!$A$4:$A$26,0))</f>
        <v/>
      </c>
      <c r="E60" s="13">
        <f>INDEX('3_Archetype_Params'!$X$4:$X$26,MATCH(C60,'3_Archetype_Params'!$A$4:$A$26,0))</f>
        <v/>
      </c>
      <c r="F60" s="20">
        <f>D60*'4_Severity_Dials'!$B$4*'4_Severity_Dials'!$B$6</f>
        <v/>
      </c>
      <c r="G60" s="20">
        <f>D60*'4_Severity_Dials'!$B$7</f>
        <v/>
      </c>
      <c r="H60" s="20">
        <f>D60*E60*'4_Severity_Dials'!$B$5*'4_Severity_Dials'!$B$8</f>
        <v/>
      </c>
      <c r="I60" s="20">
        <f>H60-G60</f>
        <v/>
      </c>
      <c r="J60" s="21">
        <f>IF(I60&gt;0,"BENEFIT","HEADWIND")</f>
        <v/>
      </c>
      <c r="K60" s="10">
        <f>RANK(D60,$D$4:$D$166,0)</f>
        <v/>
      </c>
    </row>
    <row r="61">
      <c r="A61" s="10">
        <f>'2_GICS_Archetype_Map'!A61</f>
        <v/>
      </c>
      <c r="B61" s="10">
        <f>'2_GICS_Archetype_Map'!B61</f>
        <v/>
      </c>
      <c r="C61" s="10">
        <f>'2_GICS_Archetype_Map'!E61</f>
        <v/>
      </c>
      <c r="D61" s="15">
        <f>INDEX('3_Archetype_Params'!$Z$4:$Z$26,MATCH(C61,'3_Archetype_Params'!$A$4:$A$26,0))</f>
        <v/>
      </c>
      <c r="E61" s="13">
        <f>INDEX('3_Archetype_Params'!$X$4:$X$26,MATCH(C61,'3_Archetype_Params'!$A$4:$A$26,0))</f>
        <v/>
      </c>
      <c r="F61" s="20">
        <f>D61*'4_Severity_Dials'!$B$4*'4_Severity_Dials'!$B$6</f>
        <v/>
      </c>
      <c r="G61" s="20">
        <f>D61*'4_Severity_Dials'!$B$7</f>
        <v/>
      </c>
      <c r="H61" s="20">
        <f>D61*E61*'4_Severity_Dials'!$B$5*'4_Severity_Dials'!$B$8</f>
        <v/>
      </c>
      <c r="I61" s="20">
        <f>H61-G61</f>
        <v/>
      </c>
      <c r="J61" s="21">
        <f>IF(I61&gt;0,"BENEFIT","HEADWIND")</f>
        <v/>
      </c>
      <c r="K61" s="10">
        <f>RANK(D61,$D$4:$D$166,0)</f>
        <v/>
      </c>
    </row>
    <row r="62">
      <c r="A62" s="10">
        <f>'2_GICS_Archetype_Map'!A62</f>
        <v/>
      </c>
      <c r="B62" s="10">
        <f>'2_GICS_Archetype_Map'!B62</f>
        <v/>
      </c>
      <c r="C62" s="10">
        <f>'2_GICS_Archetype_Map'!E62</f>
        <v/>
      </c>
      <c r="D62" s="15">
        <f>INDEX('3_Archetype_Params'!$Z$4:$Z$26,MATCH(C62,'3_Archetype_Params'!$A$4:$A$26,0))</f>
        <v/>
      </c>
      <c r="E62" s="13">
        <f>INDEX('3_Archetype_Params'!$X$4:$X$26,MATCH(C62,'3_Archetype_Params'!$A$4:$A$26,0))</f>
        <v/>
      </c>
      <c r="F62" s="20">
        <f>D62*'4_Severity_Dials'!$B$4*'4_Severity_Dials'!$B$6</f>
        <v/>
      </c>
      <c r="G62" s="20">
        <f>D62*'4_Severity_Dials'!$B$7</f>
        <v/>
      </c>
      <c r="H62" s="20">
        <f>D62*E62*'4_Severity_Dials'!$B$5*'4_Severity_Dials'!$B$8</f>
        <v/>
      </c>
      <c r="I62" s="20">
        <f>H62-G62</f>
        <v/>
      </c>
      <c r="J62" s="21">
        <f>IF(I62&gt;0,"BENEFIT","HEADWIND")</f>
        <v/>
      </c>
      <c r="K62" s="10">
        <f>RANK(D62,$D$4:$D$166,0)</f>
        <v/>
      </c>
    </row>
    <row r="63">
      <c r="A63" s="10">
        <f>'2_GICS_Archetype_Map'!A63</f>
        <v/>
      </c>
      <c r="B63" s="10">
        <f>'2_GICS_Archetype_Map'!B63</f>
        <v/>
      </c>
      <c r="C63" s="10">
        <f>'2_GICS_Archetype_Map'!E63</f>
        <v/>
      </c>
      <c r="D63" s="15">
        <f>INDEX('3_Archetype_Params'!$Z$4:$Z$26,MATCH(C63,'3_Archetype_Params'!$A$4:$A$26,0))</f>
        <v/>
      </c>
      <c r="E63" s="13">
        <f>INDEX('3_Archetype_Params'!$X$4:$X$26,MATCH(C63,'3_Archetype_Params'!$A$4:$A$26,0))</f>
        <v/>
      </c>
      <c r="F63" s="20">
        <f>D63*'4_Severity_Dials'!$B$4*'4_Severity_Dials'!$B$6</f>
        <v/>
      </c>
      <c r="G63" s="20">
        <f>D63*'4_Severity_Dials'!$B$7</f>
        <v/>
      </c>
      <c r="H63" s="20">
        <f>D63*E63*'4_Severity_Dials'!$B$5*'4_Severity_Dials'!$B$8</f>
        <v/>
      </c>
      <c r="I63" s="20">
        <f>H63-G63</f>
        <v/>
      </c>
      <c r="J63" s="21">
        <f>IF(I63&gt;0,"BENEFIT","HEADWIND")</f>
        <v/>
      </c>
      <c r="K63" s="10">
        <f>RANK(D63,$D$4:$D$166,0)</f>
        <v/>
      </c>
    </row>
    <row r="64">
      <c r="A64" s="10">
        <f>'2_GICS_Archetype_Map'!A64</f>
        <v/>
      </c>
      <c r="B64" s="10">
        <f>'2_GICS_Archetype_Map'!B64</f>
        <v/>
      </c>
      <c r="C64" s="10">
        <f>'2_GICS_Archetype_Map'!E64</f>
        <v/>
      </c>
      <c r="D64" s="15">
        <f>INDEX('3_Archetype_Params'!$Z$4:$Z$26,MATCH(C64,'3_Archetype_Params'!$A$4:$A$26,0))</f>
        <v/>
      </c>
      <c r="E64" s="13">
        <f>INDEX('3_Archetype_Params'!$X$4:$X$26,MATCH(C64,'3_Archetype_Params'!$A$4:$A$26,0))</f>
        <v/>
      </c>
      <c r="F64" s="20">
        <f>D64*'4_Severity_Dials'!$B$4*'4_Severity_Dials'!$B$6</f>
        <v/>
      </c>
      <c r="G64" s="20">
        <f>D64*'4_Severity_Dials'!$B$7</f>
        <v/>
      </c>
      <c r="H64" s="20">
        <f>D64*E64*'4_Severity_Dials'!$B$5*'4_Severity_Dials'!$B$8</f>
        <v/>
      </c>
      <c r="I64" s="20">
        <f>H64-G64</f>
        <v/>
      </c>
      <c r="J64" s="21">
        <f>IF(I64&gt;0,"BENEFIT","HEADWIND")</f>
        <v/>
      </c>
      <c r="K64" s="10">
        <f>RANK(D64,$D$4:$D$166,0)</f>
        <v/>
      </c>
    </row>
    <row r="65">
      <c r="A65" s="10">
        <f>'2_GICS_Archetype_Map'!A65</f>
        <v/>
      </c>
      <c r="B65" s="10">
        <f>'2_GICS_Archetype_Map'!B65</f>
        <v/>
      </c>
      <c r="C65" s="10">
        <f>'2_GICS_Archetype_Map'!E65</f>
        <v/>
      </c>
      <c r="D65" s="15">
        <f>INDEX('3_Archetype_Params'!$Z$4:$Z$26,MATCH(C65,'3_Archetype_Params'!$A$4:$A$26,0))</f>
        <v/>
      </c>
      <c r="E65" s="13">
        <f>INDEX('3_Archetype_Params'!$X$4:$X$26,MATCH(C65,'3_Archetype_Params'!$A$4:$A$26,0))</f>
        <v/>
      </c>
      <c r="F65" s="20">
        <f>D65*'4_Severity_Dials'!$B$4*'4_Severity_Dials'!$B$6</f>
        <v/>
      </c>
      <c r="G65" s="20">
        <f>D65*'4_Severity_Dials'!$B$7</f>
        <v/>
      </c>
      <c r="H65" s="20">
        <f>D65*E65*'4_Severity_Dials'!$B$5*'4_Severity_Dials'!$B$8</f>
        <v/>
      </c>
      <c r="I65" s="20">
        <f>H65-G65</f>
        <v/>
      </c>
      <c r="J65" s="21">
        <f>IF(I65&gt;0,"BENEFIT","HEADWIND")</f>
        <v/>
      </c>
      <c r="K65" s="10">
        <f>RANK(D65,$D$4:$D$166,0)</f>
        <v/>
      </c>
    </row>
    <row r="66">
      <c r="A66" s="10">
        <f>'2_GICS_Archetype_Map'!A66</f>
        <v/>
      </c>
      <c r="B66" s="10">
        <f>'2_GICS_Archetype_Map'!B66</f>
        <v/>
      </c>
      <c r="C66" s="10">
        <f>'2_GICS_Archetype_Map'!E66</f>
        <v/>
      </c>
      <c r="D66" s="15">
        <f>INDEX('3_Archetype_Params'!$Z$4:$Z$26,MATCH(C66,'3_Archetype_Params'!$A$4:$A$26,0))</f>
        <v/>
      </c>
      <c r="E66" s="13">
        <f>INDEX('3_Archetype_Params'!$X$4:$X$26,MATCH(C66,'3_Archetype_Params'!$A$4:$A$26,0))</f>
        <v/>
      </c>
      <c r="F66" s="20">
        <f>D66*'4_Severity_Dials'!$B$4*'4_Severity_Dials'!$B$6</f>
        <v/>
      </c>
      <c r="G66" s="20">
        <f>D66*'4_Severity_Dials'!$B$7</f>
        <v/>
      </c>
      <c r="H66" s="20">
        <f>D66*E66*'4_Severity_Dials'!$B$5*'4_Severity_Dials'!$B$8</f>
        <v/>
      </c>
      <c r="I66" s="20">
        <f>H66-G66</f>
        <v/>
      </c>
      <c r="J66" s="21">
        <f>IF(I66&gt;0,"BENEFIT","HEADWIND")</f>
        <v/>
      </c>
      <c r="K66" s="10">
        <f>RANK(D66,$D$4:$D$166,0)</f>
        <v/>
      </c>
    </row>
    <row r="67">
      <c r="A67" s="10">
        <f>'2_GICS_Archetype_Map'!A67</f>
        <v/>
      </c>
      <c r="B67" s="10">
        <f>'2_GICS_Archetype_Map'!B67</f>
        <v/>
      </c>
      <c r="C67" s="10">
        <f>'2_GICS_Archetype_Map'!E67</f>
        <v/>
      </c>
      <c r="D67" s="15">
        <f>INDEX('3_Archetype_Params'!$Z$4:$Z$26,MATCH(C67,'3_Archetype_Params'!$A$4:$A$26,0))</f>
        <v/>
      </c>
      <c r="E67" s="13">
        <f>INDEX('3_Archetype_Params'!$X$4:$X$26,MATCH(C67,'3_Archetype_Params'!$A$4:$A$26,0))</f>
        <v/>
      </c>
      <c r="F67" s="20">
        <f>D67*'4_Severity_Dials'!$B$4*'4_Severity_Dials'!$B$6</f>
        <v/>
      </c>
      <c r="G67" s="20">
        <f>D67*'4_Severity_Dials'!$B$7</f>
        <v/>
      </c>
      <c r="H67" s="20">
        <f>D67*E67*'4_Severity_Dials'!$B$5*'4_Severity_Dials'!$B$8</f>
        <v/>
      </c>
      <c r="I67" s="20">
        <f>H67-G67</f>
        <v/>
      </c>
      <c r="J67" s="21">
        <f>IF(I67&gt;0,"BENEFIT","HEADWIND")</f>
        <v/>
      </c>
      <c r="K67" s="10">
        <f>RANK(D67,$D$4:$D$166,0)</f>
        <v/>
      </c>
    </row>
    <row r="68">
      <c r="A68" s="10">
        <f>'2_GICS_Archetype_Map'!A68</f>
        <v/>
      </c>
      <c r="B68" s="10">
        <f>'2_GICS_Archetype_Map'!B68</f>
        <v/>
      </c>
      <c r="C68" s="10">
        <f>'2_GICS_Archetype_Map'!E68</f>
        <v/>
      </c>
      <c r="D68" s="15">
        <f>INDEX('3_Archetype_Params'!$Z$4:$Z$26,MATCH(C68,'3_Archetype_Params'!$A$4:$A$26,0))</f>
        <v/>
      </c>
      <c r="E68" s="13">
        <f>INDEX('3_Archetype_Params'!$X$4:$X$26,MATCH(C68,'3_Archetype_Params'!$A$4:$A$26,0))</f>
        <v/>
      </c>
      <c r="F68" s="20">
        <f>D68*'4_Severity_Dials'!$B$4*'4_Severity_Dials'!$B$6</f>
        <v/>
      </c>
      <c r="G68" s="20">
        <f>D68*'4_Severity_Dials'!$B$7</f>
        <v/>
      </c>
      <c r="H68" s="20">
        <f>D68*E68*'4_Severity_Dials'!$B$5*'4_Severity_Dials'!$B$8</f>
        <v/>
      </c>
      <c r="I68" s="20">
        <f>H68-G68</f>
        <v/>
      </c>
      <c r="J68" s="21">
        <f>IF(I68&gt;0,"BENEFIT","HEADWIND")</f>
        <v/>
      </c>
      <c r="K68" s="10">
        <f>RANK(D68,$D$4:$D$166,0)</f>
        <v/>
      </c>
    </row>
    <row r="69">
      <c r="A69" s="10">
        <f>'2_GICS_Archetype_Map'!A69</f>
        <v/>
      </c>
      <c r="B69" s="10">
        <f>'2_GICS_Archetype_Map'!B69</f>
        <v/>
      </c>
      <c r="C69" s="10">
        <f>'2_GICS_Archetype_Map'!E69</f>
        <v/>
      </c>
      <c r="D69" s="15">
        <f>INDEX('3_Archetype_Params'!$Z$4:$Z$26,MATCH(C69,'3_Archetype_Params'!$A$4:$A$26,0))</f>
        <v/>
      </c>
      <c r="E69" s="13">
        <f>INDEX('3_Archetype_Params'!$X$4:$X$26,MATCH(C69,'3_Archetype_Params'!$A$4:$A$26,0))</f>
        <v/>
      </c>
      <c r="F69" s="20">
        <f>D69*'4_Severity_Dials'!$B$4*'4_Severity_Dials'!$B$6</f>
        <v/>
      </c>
      <c r="G69" s="20">
        <f>D69*'4_Severity_Dials'!$B$7</f>
        <v/>
      </c>
      <c r="H69" s="20">
        <f>D69*E69*'4_Severity_Dials'!$B$5*'4_Severity_Dials'!$B$8</f>
        <v/>
      </c>
      <c r="I69" s="20">
        <f>H69-G69</f>
        <v/>
      </c>
      <c r="J69" s="21">
        <f>IF(I69&gt;0,"BENEFIT","HEADWIND")</f>
        <v/>
      </c>
      <c r="K69" s="10">
        <f>RANK(D69,$D$4:$D$166,0)</f>
        <v/>
      </c>
    </row>
    <row r="70">
      <c r="A70" s="10">
        <f>'2_GICS_Archetype_Map'!A70</f>
        <v/>
      </c>
      <c r="B70" s="10">
        <f>'2_GICS_Archetype_Map'!B70</f>
        <v/>
      </c>
      <c r="C70" s="10">
        <f>'2_GICS_Archetype_Map'!E70</f>
        <v/>
      </c>
      <c r="D70" s="15">
        <f>INDEX('3_Archetype_Params'!$Z$4:$Z$26,MATCH(C70,'3_Archetype_Params'!$A$4:$A$26,0))</f>
        <v/>
      </c>
      <c r="E70" s="13">
        <f>INDEX('3_Archetype_Params'!$X$4:$X$26,MATCH(C70,'3_Archetype_Params'!$A$4:$A$26,0))</f>
        <v/>
      </c>
      <c r="F70" s="20">
        <f>D70*'4_Severity_Dials'!$B$4*'4_Severity_Dials'!$B$6</f>
        <v/>
      </c>
      <c r="G70" s="20">
        <f>D70*'4_Severity_Dials'!$B$7</f>
        <v/>
      </c>
      <c r="H70" s="20">
        <f>D70*E70*'4_Severity_Dials'!$B$5*'4_Severity_Dials'!$B$8</f>
        <v/>
      </c>
      <c r="I70" s="20">
        <f>H70-G70</f>
        <v/>
      </c>
      <c r="J70" s="21">
        <f>IF(I70&gt;0,"BENEFIT","HEADWIND")</f>
        <v/>
      </c>
      <c r="K70" s="10">
        <f>RANK(D70,$D$4:$D$166,0)</f>
        <v/>
      </c>
    </row>
    <row r="71">
      <c r="A71" s="10">
        <f>'2_GICS_Archetype_Map'!A71</f>
        <v/>
      </c>
      <c r="B71" s="10">
        <f>'2_GICS_Archetype_Map'!B71</f>
        <v/>
      </c>
      <c r="C71" s="10">
        <f>'2_GICS_Archetype_Map'!E71</f>
        <v/>
      </c>
      <c r="D71" s="15">
        <f>INDEX('3_Archetype_Params'!$Z$4:$Z$26,MATCH(C71,'3_Archetype_Params'!$A$4:$A$26,0))</f>
        <v/>
      </c>
      <c r="E71" s="13">
        <f>INDEX('3_Archetype_Params'!$X$4:$X$26,MATCH(C71,'3_Archetype_Params'!$A$4:$A$26,0))</f>
        <v/>
      </c>
      <c r="F71" s="20">
        <f>D71*'4_Severity_Dials'!$B$4*'4_Severity_Dials'!$B$6</f>
        <v/>
      </c>
      <c r="G71" s="20">
        <f>D71*'4_Severity_Dials'!$B$7</f>
        <v/>
      </c>
      <c r="H71" s="20">
        <f>D71*E71*'4_Severity_Dials'!$B$5*'4_Severity_Dials'!$B$8</f>
        <v/>
      </c>
      <c r="I71" s="20">
        <f>H71-G71</f>
        <v/>
      </c>
      <c r="J71" s="21">
        <f>IF(I71&gt;0,"BENEFIT","HEADWIND")</f>
        <v/>
      </c>
      <c r="K71" s="10">
        <f>RANK(D71,$D$4:$D$166,0)</f>
        <v/>
      </c>
    </row>
    <row r="72">
      <c r="A72" s="10">
        <f>'2_GICS_Archetype_Map'!A72</f>
        <v/>
      </c>
      <c r="B72" s="10">
        <f>'2_GICS_Archetype_Map'!B72</f>
        <v/>
      </c>
      <c r="C72" s="10">
        <f>'2_GICS_Archetype_Map'!E72</f>
        <v/>
      </c>
      <c r="D72" s="15">
        <f>INDEX('3_Archetype_Params'!$Z$4:$Z$26,MATCH(C72,'3_Archetype_Params'!$A$4:$A$26,0))</f>
        <v/>
      </c>
      <c r="E72" s="13">
        <f>INDEX('3_Archetype_Params'!$X$4:$X$26,MATCH(C72,'3_Archetype_Params'!$A$4:$A$26,0))</f>
        <v/>
      </c>
      <c r="F72" s="20">
        <f>D72*'4_Severity_Dials'!$B$4*'4_Severity_Dials'!$B$6</f>
        <v/>
      </c>
      <c r="G72" s="20">
        <f>D72*'4_Severity_Dials'!$B$7</f>
        <v/>
      </c>
      <c r="H72" s="20">
        <f>D72*E72*'4_Severity_Dials'!$B$5*'4_Severity_Dials'!$B$8</f>
        <v/>
      </c>
      <c r="I72" s="20">
        <f>H72-G72</f>
        <v/>
      </c>
      <c r="J72" s="21">
        <f>IF(I72&gt;0,"BENEFIT","HEADWIND")</f>
        <v/>
      </c>
      <c r="K72" s="10">
        <f>RANK(D72,$D$4:$D$166,0)</f>
        <v/>
      </c>
    </row>
    <row r="73">
      <c r="A73" s="10">
        <f>'2_GICS_Archetype_Map'!A73</f>
        <v/>
      </c>
      <c r="B73" s="10">
        <f>'2_GICS_Archetype_Map'!B73</f>
        <v/>
      </c>
      <c r="C73" s="10">
        <f>'2_GICS_Archetype_Map'!E73</f>
        <v/>
      </c>
      <c r="D73" s="15">
        <f>INDEX('3_Archetype_Params'!$Z$4:$Z$26,MATCH(C73,'3_Archetype_Params'!$A$4:$A$26,0))</f>
        <v/>
      </c>
      <c r="E73" s="13">
        <f>INDEX('3_Archetype_Params'!$X$4:$X$26,MATCH(C73,'3_Archetype_Params'!$A$4:$A$26,0))</f>
        <v/>
      </c>
      <c r="F73" s="20">
        <f>D73*'4_Severity_Dials'!$B$4*'4_Severity_Dials'!$B$6</f>
        <v/>
      </c>
      <c r="G73" s="20">
        <f>D73*'4_Severity_Dials'!$B$7</f>
        <v/>
      </c>
      <c r="H73" s="20">
        <f>D73*E73*'4_Severity_Dials'!$B$5*'4_Severity_Dials'!$B$8</f>
        <v/>
      </c>
      <c r="I73" s="20">
        <f>H73-G73</f>
        <v/>
      </c>
      <c r="J73" s="21">
        <f>IF(I73&gt;0,"BENEFIT","HEADWIND")</f>
        <v/>
      </c>
      <c r="K73" s="10">
        <f>RANK(D73,$D$4:$D$166,0)</f>
        <v/>
      </c>
    </row>
    <row r="74">
      <c r="A74" s="10">
        <f>'2_GICS_Archetype_Map'!A74</f>
        <v/>
      </c>
      <c r="B74" s="10">
        <f>'2_GICS_Archetype_Map'!B74</f>
        <v/>
      </c>
      <c r="C74" s="10">
        <f>'2_GICS_Archetype_Map'!E74</f>
        <v/>
      </c>
      <c r="D74" s="15">
        <f>INDEX('3_Archetype_Params'!$Z$4:$Z$26,MATCH(C74,'3_Archetype_Params'!$A$4:$A$26,0))</f>
        <v/>
      </c>
      <c r="E74" s="13">
        <f>INDEX('3_Archetype_Params'!$X$4:$X$26,MATCH(C74,'3_Archetype_Params'!$A$4:$A$26,0))</f>
        <v/>
      </c>
      <c r="F74" s="20">
        <f>D74*'4_Severity_Dials'!$B$4*'4_Severity_Dials'!$B$6</f>
        <v/>
      </c>
      <c r="G74" s="20">
        <f>D74*'4_Severity_Dials'!$B$7</f>
        <v/>
      </c>
      <c r="H74" s="20">
        <f>D74*E74*'4_Severity_Dials'!$B$5*'4_Severity_Dials'!$B$8</f>
        <v/>
      </c>
      <c r="I74" s="20">
        <f>H74-G74</f>
        <v/>
      </c>
      <c r="J74" s="21">
        <f>IF(I74&gt;0,"BENEFIT","HEADWIND")</f>
        <v/>
      </c>
      <c r="K74" s="10">
        <f>RANK(D74,$D$4:$D$166,0)</f>
        <v/>
      </c>
    </row>
    <row r="75">
      <c r="A75" s="10">
        <f>'2_GICS_Archetype_Map'!A75</f>
        <v/>
      </c>
      <c r="B75" s="10">
        <f>'2_GICS_Archetype_Map'!B75</f>
        <v/>
      </c>
      <c r="C75" s="10">
        <f>'2_GICS_Archetype_Map'!E75</f>
        <v/>
      </c>
      <c r="D75" s="15">
        <f>INDEX('3_Archetype_Params'!$Z$4:$Z$26,MATCH(C75,'3_Archetype_Params'!$A$4:$A$26,0))</f>
        <v/>
      </c>
      <c r="E75" s="13">
        <f>INDEX('3_Archetype_Params'!$X$4:$X$26,MATCH(C75,'3_Archetype_Params'!$A$4:$A$26,0))</f>
        <v/>
      </c>
      <c r="F75" s="20">
        <f>D75*'4_Severity_Dials'!$B$4*'4_Severity_Dials'!$B$6</f>
        <v/>
      </c>
      <c r="G75" s="20">
        <f>D75*'4_Severity_Dials'!$B$7</f>
        <v/>
      </c>
      <c r="H75" s="20">
        <f>D75*E75*'4_Severity_Dials'!$B$5*'4_Severity_Dials'!$B$8</f>
        <v/>
      </c>
      <c r="I75" s="20">
        <f>H75-G75</f>
        <v/>
      </c>
      <c r="J75" s="21">
        <f>IF(I75&gt;0,"BENEFIT","HEADWIND")</f>
        <v/>
      </c>
      <c r="K75" s="10">
        <f>RANK(D75,$D$4:$D$166,0)</f>
        <v/>
      </c>
    </row>
    <row r="76">
      <c r="A76" s="10">
        <f>'2_GICS_Archetype_Map'!A76</f>
        <v/>
      </c>
      <c r="B76" s="10">
        <f>'2_GICS_Archetype_Map'!B76</f>
        <v/>
      </c>
      <c r="C76" s="10">
        <f>'2_GICS_Archetype_Map'!E76</f>
        <v/>
      </c>
      <c r="D76" s="15">
        <f>INDEX('3_Archetype_Params'!$Z$4:$Z$26,MATCH(C76,'3_Archetype_Params'!$A$4:$A$26,0))</f>
        <v/>
      </c>
      <c r="E76" s="13">
        <f>INDEX('3_Archetype_Params'!$X$4:$X$26,MATCH(C76,'3_Archetype_Params'!$A$4:$A$26,0))</f>
        <v/>
      </c>
      <c r="F76" s="20">
        <f>D76*'4_Severity_Dials'!$B$4*'4_Severity_Dials'!$B$6</f>
        <v/>
      </c>
      <c r="G76" s="20">
        <f>D76*'4_Severity_Dials'!$B$7</f>
        <v/>
      </c>
      <c r="H76" s="20">
        <f>D76*E76*'4_Severity_Dials'!$B$5*'4_Severity_Dials'!$B$8</f>
        <v/>
      </c>
      <c r="I76" s="20">
        <f>H76-G76</f>
        <v/>
      </c>
      <c r="J76" s="21">
        <f>IF(I76&gt;0,"BENEFIT","HEADWIND")</f>
        <v/>
      </c>
      <c r="K76" s="10">
        <f>RANK(D76,$D$4:$D$166,0)</f>
        <v/>
      </c>
    </row>
    <row r="77">
      <c r="A77" s="10">
        <f>'2_GICS_Archetype_Map'!A77</f>
        <v/>
      </c>
      <c r="B77" s="10">
        <f>'2_GICS_Archetype_Map'!B77</f>
        <v/>
      </c>
      <c r="C77" s="10">
        <f>'2_GICS_Archetype_Map'!E77</f>
        <v/>
      </c>
      <c r="D77" s="15">
        <f>INDEX('3_Archetype_Params'!$Z$4:$Z$26,MATCH(C77,'3_Archetype_Params'!$A$4:$A$26,0))</f>
        <v/>
      </c>
      <c r="E77" s="13">
        <f>INDEX('3_Archetype_Params'!$X$4:$X$26,MATCH(C77,'3_Archetype_Params'!$A$4:$A$26,0))</f>
        <v/>
      </c>
      <c r="F77" s="20">
        <f>D77*'4_Severity_Dials'!$B$4*'4_Severity_Dials'!$B$6</f>
        <v/>
      </c>
      <c r="G77" s="20">
        <f>D77*'4_Severity_Dials'!$B$7</f>
        <v/>
      </c>
      <c r="H77" s="20">
        <f>D77*E77*'4_Severity_Dials'!$B$5*'4_Severity_Dials'!$B$8</f>
        <v/>
      </c>
      <c r="I77" s="20">
        <f>H77-G77</f>
        <v/>
      </c>
      <c r="J77" s="21">
        <f>IF(I77&gt;0,"BENEFIT","HEADWIND")</f>
        <v/>
      </c>
      <c r="K77" s="10">
        <f>RANK(D77,$D$4:$D$166,0)</f>
        <v/>
      </c>
    </row>
    <row r="78">
      <c r="A78" s="10">
        <f>'2_GICS_Archetype_Map'!A78</f>
        <v/>
      </c>
      <c r="B78" s="10">
        <f>'2_GICS_Archetype_Map'!B78</f>
        <v/>
      </c>
      <c r="C78" s="10">
        <f>'2_GICS_Archetype_Map'!E78</f>
        <v/>
      </c>
      <c r="D78" s="15">
        <f>INDEX('3_Archetype_Params'!$Z$4:$Z$26,MATCH(C78,'3_Archetype_Params'!$A$4:$A$26,0))</f>
        <v/>
      </c>
      <c r="E78" s="13">
        <f>INDEX('3_Archetype_Params'!$X$4:$X$26,MATCH(C78,'3_Archetype_Params'!$A$4:$A$26,0))</f>
        <v/>
      </c>
      <c r="F78" s="20">
        <f>D78*'4_Severity_Dials'!$B$4*'4_Severity_Dials'!$B$6</f>
        <v/>
      </c>
      <c r="G78" s="20">
        <f>D78*'4_Severity_Dials'!$B$7</f>
        <v/>
      </c>
      <c r="H78" s="20">
        <f>D78*E78*'4_Severity_Dials'!$B$5*'4_Severity_Dials'!$B$8</f>
        <v/>
      </c>
      <c r="I78" s="20">
        <f>H78-G78</f>
        <v/>
      </c>
      <c r="J78" s="21">
        <f>IF(I78&gt;0,"BENEFIT","HEADWIND")</f>
        <v/>
      </c>
      <c r="K78" s="10">
        <f>RANK(D78,$D$4:$D$166,0)</f>
        <v/>
      </c>
    </row>
    <row r="79">
      <c r="A79" s="10">
        <f>'2_GICS_Archetype_Map'!A79</f>
        <v/>
      </c>
      <c r="B79" s="10">
        <f>'2_GICS_Archetype_Map'!B79</f>
        <v/>
      </c>
      <c r="C79" s="10">
        <f>'2_GICS_Archetype_Map'!E79</f>
        <v/>
      </c>
      <c r="D79" s="15">
        <f>INDEX('3_Archetype_Params'!$Z$4:$Z$26,MATCH(C79,'3_Archetype_Params'!$A$4:$A$26,0))</f>
        <v/>
      </c>
      <c r="E79" s="13">
        <f>INDEX('3_Archetype_Params'!$X$4:$X$26,MATCH(C79,'3_Archetype_Params'!$A$4:$A$26,0))</f>
        <v/>
      </c>
      <c r="F79" s="20">
        <f>D79*'4_Severity_Dials'!$B$4*'4_Severity_Dials'!$B$6</f>
        <v/>
      </c>
      <c r="G79" s="20">
        <f>D79*'4_Severity_Dials'!$B$7</f>
        <v/>
      </c>
      <c r="H79" s="20">
        <f>D79*E79*'4_Severity_Dials'!$B$5*'4_Severity_Dials'!$B$8</f>
        <v/>
      </c>
      <c r="I79" s="20">
        <f>H79-G79</f>
        <v/>
      </c>
      <c r="J79" s="21">
        <f>IF(I79&gt;0,"BENEFIT","HEADWIND")</f>
        <v/>
      </c>
      <c r="K79" s="10">
        <f>RANK(D79,$D$4:$D$166,0)</f>
        <v/>
      </c>
    </row>
    <row r="80">
      <c r="A80" s="10">
        <f>'2_GICS_Archetype_Map'!A80</f>
        <v/>
      </c>
      <c r="B80" s="10">
        <f>'2_GICS_Archetype_Map'!B80</f>
        <v/>
      </c>
      <c r="C80" s="10">
        <f>'2_GICS_Archetype_Map'!E80</f>
        <v/>
      </c>
      <c r="D80" s="15">
        <f>INDEX('3_Archetype_Params'!$Z$4:$Z$26,MATCH(C80,'3_Archetype_Params'!$A$4:$A$26,0))</f>
        <v/>
      </c>
      <c r="E80" s="13">
        <f>INDEX('3_Archetype_Params'!$X$4:$X$26,MATCH(C80,'3_Archetype_Params'!$A$4:$A$26,0))</f>
        <v/>
      </c>
      <c r="F80" s="20">
        <f>D80*'4_Severity_Dials'!$B$4*'4_Severity_Dials'!$B$6</f>
        <v/>
      </c>
      <c r="G80" s="20">
        <f>D80*'4_Severity_Dials'!$B$7</f>
        <v/>
      </c>
      <c r="H80" s="20">
        <f>D80*E80*'4_Severity_Dials'!$B$5*'4_Severity_Dials'!$B$8</f>
        <v/>
      </c>
      <c r="I80" s="20">
        <f>H80-G80</f>
        <v/>
      </c>
      <c r="J80" s="21">
        <f>IF(I80&gt;0,"BENEFIT","HEADWIND")</f>
        <v/>
      </c>
      <c r="K80" s="10">
        <f>RANK(D80,$D$4:$D$166,0)</f>
        <v/>
      </c>
    </row>
    <row r="81">
      <c r="A81" s="10">
        <f>'2_GICS_Archetype_Map'!A81</f>
        <v/>
      </c>
      <c r="B81" s="10">
        <f>'2_GICS_Archetype_Map'!B81</f>
        <v/>
      </c>
      <c r="C81" s="10">
        <f>'2_GICS_Archetype_Map'!E81</f>
        <v/>
      </c>
      <c r="D81" s="15">
        <f>INDEX('3_Archetype_Params'!$Z$4:$Z$26,MATCH(C81,'3_Archetype_Params'!$A$4:$A$26,0))</f>
        <v/>
      </c>
      <c r="E81" s="13">
        <f>INDEX('3_Archetype_Params'!$X$4:$X$26,MATCH(C81,'3_Archetype_Params'!$A$4:$A$26,0))</f>
        <v/>
      </c>
      <c r="F81" s="20">
        <f>D81*'4_Severity_Dials'!$B$4*'4_Severity_Dials'!$B$6</f>
        <v/>
      </c>
      <c r="G81" s="20">
        <f>D81*'4_Severity_Dials'!$B$7</f>
        <v/>
      </c>
      <c r="H81" s="20">
        <f>D81*E81*'4_Severity_Dials'!$B$5*'4_Severity_Dials'!$B$8</f>
        <v/>
      </c>
      <c r="I81" s="20">
        <f>H81-G81</f>
        <v/>
      </c>
      <c r="J81" s="21">
        <f>IF(I81&gt;0,"BENEFIT","HEADWIND")</f>
        <v/>
      </c>
      <c r="K81" s="10">
        <f>RANK(D81,$D$4:$D$166,0)</f>
        <v/>
      </c>
    </row>
    <row r="82">
      <c r="A82" s="10">
        <f>'2_GICS_Archetype_Map'!A82</f>
        <v/>
      </c>
      <c r="B82" s="10">
        <f>'2_GICS_Archetype_Map'!B82</f>
        <v/>
      </c>
      <c r="C82" s="10">
        <f>'2_GICS_Archetype_Map'!E82</f>
        <v/>
      </c>
      <c r="D82" s="15">
        <f>INDEX('3_Archetype_Params'!$Z$4:$Z$26,MATCH(C82,'3_Archetype_Params'!$A$4:$A$26,0))</f>
        <v/>
      </c>
      <c r="E82" s="13">
        <f>INDEX('3_Archetype_Params'!$X$4:$X$26,MATCH(C82,'3_Archetype_Params'!$A$4:$A$26,0))</f>
        <v/>
      </c>
      <c r="F82" s="20">
        <f>D82*'4_Severity_Dials'!$B$4*'4_Severity_Dials'!$B$6</f>
        <v/>
      </c>
      <c r="G82" s="20">
        <f>D82*'4_Severity_Dials'!$B$7</f>
        <v/>
      </c>
      <c r="H82" s="20">
        <f>D82*E82*'4_Severity_Dials'!$B$5*'4_Severity_Dials'!$B$8</f>
        <v/>
      </c>
      <c r="I82" s="20">
        <f>H82-G82</f>
        <v/>
      </c>
      <c r="J82" s="21">
        <f>IF(I82&gt;0,"BENEFIT","HEADWIND")</f>
        <v/>
      </c>
      <c r="K82" s="10">
        <f>RANK(D82,$D$4:$D$166,0)</f>
        <v/>
      </c>
    </row>
    <row r="83">
      <c r="A83" s="10">
        <f>'2_GICS_Archetype_Map'!A83</f>
        <v/>
      </c>
      <c r="B83" s="10">
        <f>'2_GICS_Archetype_Map'!B83</f>
        <v/>
      </c>
      <c r="C83" s="10">
        <f>'2_GICS_Archetype_Map'!E83</f>
        <v/>
      </c>
      <c r="D83" s="15">
        <f>INDEX('3_Archetype_Params'!$Z$4:$Z$26,MATCH(C83,'3_Archetype_Params'!$A$4:$A$26,0))</f>
        <v/>
      </c>
      <c r="E83" s="13">
        <f>INDEX('3_Archetype_Params'!$X$4:$X$26,MATCH(C83,'3_Archetype_Params'!$A$4:$A$26,0))</f>
        <v/>
      </c>
      <c r="F83" s="20">
        <f>D83*'4_Severity_Dials'!$B$4*'4_Severity_Dials'!$B$6</f>
        <v/>
      </c>
      <c r="G83" s="20">
        <f>D83*'4_Severity_Dials'!$B$7</f>
        <v/>
      </c>
      <c r="H83" s="20">
        <f>D83*E83*'4_Severity_Dials'!$B$5*'4_Severity_Dials'!$B$8</f>
        <v/>
      </c>
      <c r="I83" s="20">
        <f>H83-G83</f>
        <v/>
      </c>
      <c r="J83" s="21">
        <f>IF(I83&gt;0,"BENEFIT","HEADWIND")</f>
        <v/>
      </c>
      <c r="K83" s="10">
        <f>RANK(D83,$D$4:$D$166,0)</f>
        <v/>
      </c>
    </row>
    <row r="84">
      <c r="A84" s="10">
        <f>'2_GICS_Archetype_Map'!A84</f>
        <v/>
      </c>
      <c r="B84" s="10">
        <f>'2_GICS_Archetype_Map'!B84</f>
        <v/>
      </c>
      <c r="C84" s="10">
        <f>'2_GICS_Archetype_Map'!E84</f>
        <v/>
      </c>
      <c r="D84" s="15">
        <f>INDEX('3_Archetype_Params'!$Z$4:$Z$26,MATCH(C84,'3_Archetype_Params'!$A$4:$A$26,0))</f>
        <v/>
      </c>
      <c r="E84" s="13">
        <f>INDEX('3_Archetype_Params'!$X$4:$X$26,MATCH(C84,'3_Archetype_Params'!$A$4:$A$26,0))</f>
        <v/>
      </c>
      <c r="F84" s="20">
        <f>D84*'4_Severity_Dials'!$B$4*'4_Severity_Dials'!$B$6</f>
        <v/>
      </c>
      <c r="G84" s="20">
        <f>D84*'4_Severity_Dials'!$B$7</f>
        <v/>
      </c>
      <c r="H84" s="20">
        <f>D84*E84*'4_Severity_Dials'!$B$5*'4_Severity_Dials'!$B$8</f>
        <v/>
      </c>
      <c r="I84" s="20">
        <f>H84-G84</f>
        <v/>
      </c>
      <c r="J84" s="21">
        <f>IF(I84&gt;0,"BENEFIT","HEADWIND")</f>
        <v/>
      </c>
      <c r="K84" s="10">
        <f>RANK(D84,$D$4:$D$166,0)</f>
        <v/>
      </c>
    </row>
    <row r="85">
      <c r="A85" s="10">
        <f>'2_GICS_Archetype_Map'!A85</f>
        <v/>
      </c>
      <c r="B85" s="10">
        <f>'2_GICS_Archetype_Map'!B85</f>
        <v/>
      </c>
      <c r="C85" s="10">
        <f>'2_GICS_Archetype_Map'!E85</f>
        <v/>
      </c>
      <c r="D85" s="15">
        <f>INDEX('3_Archetype_Params'!$Z$4:$Z$26,MATCH(C85,'3_Archetype_Params'!$A$4:$A$26,0))</f>
        <v/>
      </c>
      <c r="E85" s="13">
        <f>INDEX('3_Archetype_Params'!$X$4:$X$26,MATCH(C85,'3_Archetype_Params'!$A$4:$A$26,0))</f>
        <v/>
      </c>
      <c r="F85" s="20">
        <f>D85*'4_Severity_Dials'!$B$4*'4_Severity_Dials'!$B$6</f>
        <v/>
      </c>
      <c r="G85" s="20">
        <f>D85*'4_Severity_Dials'!$B$7</f>
        <v/>
      </c>
      <c r="H85" s="20">
        <f>D85*E85*'4_Severity_Dials'!$B$5*'4_Severity_Dials'!$B$8</f>
        <v/>
      </c>
      <c r="I85" s="20">
        <f>H85-G85</f>
        <v/>
      </c>
      <c r="J85" s="21">
        <f>IF(I85&gt;0,"BENEFIT","HEADWIND")</f>
        <v/>
      </c>
      <c r="K85" s="10">
        <f>RANK(D85,$D$4:$D$166,0)</f>
        <v/>
      </c>
    </row>
    <row r="86">
      <c r="A86" s="10">
        <f>'2_GICS_Archetype_Map'!A86</f>
        <v/>
      </c>
      <c r="B86" s="10">
        <f>'2_GICS_Archetype_Map'!B86</f>
        <v/>
      </c>
      <c r="C86" s="10">
        <f>'2_GICS_Archetype_Map'!E86</f>
        <v/>
      </c>
      <c r="D86" s="15">
        <f>INDEX('3_Archetype_Params'!$Z$4:$Z$26,MATCH(C86,'3_Archetype_Params'!$A$4:$A$26,0))</f>
        <v/>
      </c>
      <c r="E86" s="13">
        <f>INDEX('3_Archetype_Params'!$X$4:$X$26,MATCH(C86,'3_Archetype_Params'!$A$4:$A$26,0))</f>
        <v/>
      </c>
      <c r="F86" s="20">
        <f>D86*'4_Severity_Dials'!$B$4*'4_Severity_Dials'!$B$6</f>
        <v/>
      </c>
      <c r="G86" s="20">
        <f>D86*'4_Severity_Dials'!$B$7</f>
        <v/>
      </c>
      <c r="H86" s="20">
        <f>D86*E86*'4_Severity_Dials'!$B$5*'4_Severity_Dials'!$B$8</f>
        <v/>
      </c>
      <c r="I86" s="20">
        <f>H86-G86</f>
        <v/>
      </c>
      <c r="J86" s="21">
        <f>IF(I86&gt;0,"BENEFIT","HEADWIND")</f>
        <v/>
      </c>
      <c r="K86" s="10">
        <f>RANK(D86,$D$4:$D$166,0)</f>
        <v/>
      </c>
    </row>
    <row r="87">
      <c r="A87" s="10">
        <f>'2_GICS_Archetype_Map'!A87</f>
        <v/>
      </c>
      <c r="B87" s="10">
        <f>'2_GICS_Archetype_Map'!B87</f>
        <v/>
      </c>
      <c r="C87" s="10">
        <f>'2_GICS_Archetype_Map'!E87</f>
        <v/>
      </c>
      <c r="D87" s="15">
        <f>INDEX('3_Archetype_Params'!$Z$4:$Z$26,MATCH(C87,'3_Archetype_Params'!$A$4:$A$26,0))</f>
        <v/>
      </c>
      <c r="E87" s="13">
        <f>INDEX('3_Archetype_Params'!$X$4:$X$26,MATCH(C87,'3_Archetype_Params'!$A$4:$A$26,0))</f>
        <v/>
      </c>
      <c r="F87" s="20">
        <f>D87*'4_Severity_Dials'!$B$4*'4_Severity_Dials'!$B$6</f>
        <v/>
      </c>
      <c r="G87" s="20">
        <f>D87*'4_Severity_Dials'!$B$7</f>
        <v/>
      </c>
      <c r="H87" s="20">
        <f>D87*E87*'4_Severity_Dials'!$B$5*'4_Severity_Dials'!$B$8</f>
        <v/>
      </c>
      <c r="I87" s="20">
        <f>H87-G87</f>
        <v/>
      </c>
      <c r="J87" s="21">
        <f>IF(I87&gt;0,"BENEFIT","HEADWIND")</f>
        <v/>
      </c>
      <c r="K87" s="10">
        <f>RANK(D87,$D$4:$D$166,0)</f>
        <v/>
      </c>
    </row>
    <row r="88">
      <c r="A88" s="10">
        <f>'2_GICS_Archetype_Map'!A88</f>
        <v/>
      </c>
      <c r="B88" s="10">
        <f>'2_GICS_Archetype_Map'!B88</f>
        <v/>
      </c>
      <c r="C88" s="10">
        <f>'2_GICS_Archetype_Map'!E88</f>
        <v/>
      </c>
      <c r="D88" s="15">
        <f>INDEX('3_Archetype_Params'!$Z$4:$Z$26,MATCH(C88,'3_Archetype_Params'!$A$4:$A$26,0))</f>
        <v/>
      </c>
      <c r="E88" s="13">
        <f>INDEX('3_Archetype_Params'!$X$4:$X$26,MATCH(C88,'3_Archetype_Params'!$A$4:$A$26,0))</f>
        <v/>
      </c>
      <c r="F88" s="20">
        <f>D88*'4_Severity_Dials'!$B$4*'4_Severity_Dials'!$B$6</f>
        <v/>
      </c>
      <c r="G88" s="20">
        <f>D88*'4_Severity_Dials'!$B$7</f>
        <v/>
      </c>
      <c r="H88" s="20">
        <f>D88*E88*'4_Severity_Dials'!$B$5*'4_Severity_Dials'!$B$8</f>
        <v/>
      </c>
      <c r="I88" s="20">
        <f>H88-G88</f>
        <v/>
      </c>
      <c r="J88" s="21">
        <f>IF(I88&gt;0,"BENEFIT","HEADWIND")</f>
        <v/>
      </c>
      <c r="K88" s="10">
        <f>RANK(D88,$D$4:$D$166,0)</f>
        <v/>
      </c>
    </row>
    <row r="89">
      <c r="A89" s="10">
        <f>'2_GICS_Archetype_Map'!A89</f>
        <v/>
      </c>
      <c r="B89" s="10">
        <f>'2_GICS_Archetype_Map'!B89</f>
        <v/>
      </c>
      <c r="C89" s="10">
        <f>'2_GICS_Archetype_Map'!E89</f>
        <v/>
      </c>
      <c r="D89" s="15">
        <f>INDEX('3_Archetype_Params'!$Z$4:$Z$26,MATCH(C89,'3_Archetype_Params'!$A$4:$A$26,0))</f>
        <v/>
      </c>
      <c r="E89" s="13">
        <f>INDEX('3_Archetype_Params'!$X$4:$X$26,MATCH(C89,'3_Archetype_Params'!$A$4:$A$26,0))</f>
        <v/>
      </c>
      <c r="F89" s="20">
        <f>D89*'4_Severity_Dials'!$B$4*'4_Severity_Dials'!$B$6</f>
        <v/>
      </c>
      <c r="G89" s="20">
        <f>D89*'4_Severity_Dials'!$B$7</f>
        <v/>
      </c>
      <c r="H89" s="20">
        <f>D89*E89*'4_Severity_Dials'!$B$5*'4_Severity_Dials'!$B$8</f>
        <v/>
      </c>
      <c r="I89" s="20">
        <f>H89-G89</f>
        <v/>
      </c>
      <c r="J89" s="21">
        <f>IF(I89&gt;0,"BENEFIT","HEADWIND")</f>
        <v/>
      </c>
      <c r="K89" s="10">
        <f>RANK(D89,$D$4:$D$166,0)</f>
        <v/>
      </c>
    </row>
    <row r="90">
      <c r="A90" s="10">
        <f>'2_GICS_Archetype_Map'!A90</f>
        <v/>
      </c>
      <c r="B90" s="10">
        <f>'2_GICS_Archetype_Map'!B90</f>
        <v/>
      </c>
      <c r="C90" s="10">
        <f>'2_GICS_Archetype_Map'!E90</f>
        <v/>
      </c>
      <c r="D90" s="15">
        <f>INDEX('3_Archetype_Params'!$Z$4:$Z$26,MATCH(C90,'3_Archetype_Params'!$A$4:$A$26,0))</f>
        <v/>
      </c>
      <c r="E90" s="13">
        <f>INDEX('3_Archetype_Params'!$X$4:$X$26,MATCH(C90,'3_Archetype_Params'!$A$4:$A$26,0))</f>
        <v/>
      </c>
      <c r="F90" s="20">
        <f>D90*'4_Severity_Dials'!$B$4*'4_Severity_Dials'!$B$6</f>
        <v/>
      </c>
      <c r="G90" s="20">
        <f>D90*'4_Severity_Dials'!$B$7</f>
        <v/>
      </c>
      <c r="H90" s="20">
        <f>D90*E90*'4_Severity_Dials'!$B$5*'4_Severity_Dials'!$B$8</f>
        <v/>
      </c>
      <c r="I90" s="20">
        <f>H90-G90</f>
        <v/>
      </c>
      <c r="J90" s="21">
        <f>IF(I90&gt;0,"BENEFIT","HEADWIND")</f>
        <v/>
      </c>
      <c r="K90" s="10">
        <f>RANK(D90,$D$4:$D$166,0)</f>
        <v/>
      </c>
    </row>
    <row r="91">
      <c r="A91" s="10">
        <f>'2_GICS_Archetype_Map'!A91</f>
        <v/>
      </c>
      <c r="B91" s="10">
        <f>'2_GICS_Archetype_Map'!B91</f>
        <v/>
      </c>
      <c r="C91" s="10">
        <f>'2_GICS_Archetype_Map'!E91</f>
        <v/>
      </c>
      <c r="D91" s="15">
        <f>INDEX('3_Archetype_Params'!$Z$4:$Z$26,MATCH(C91,'3_Archetype_Params'!$A$4:$A$26,0))</f>
        <v/>
      </c>
      <c r="E91" s="13">
        <f>INDEX('3_Archetype_Params'!$X$4:$X$26,MATCH(C91,'3_Archetype_Params'!$A$4:$A$26,0))</f>
        <v/>
      </c>
      <c r="F91" s="20">
        <f>D91*'4_Severity_Dials'!$B$4*'4_Severity_Dials'!$B$6</f>
        <v/>
      </c>
      <c r="G91" s="20">
        <f>D91*'4_Severity_Dials'!$B$7</f>
        <v/>
      </c>
      <c r="H91" s="20">
        <f>D91*E91*'4_Severity_Dials'!$B$5*'4_Severity_Dials'!$B$8</f>
        <v/>
      </c>
      <c r="I91" s="20">
        <f>H91-G91</f>
        <v/>
      </c>
      <c r="J91" s="21">
        <f>IF(I91&gt;0,"BENEFIT","HEADWIND")</f>
        <v/>
      </c>
      <c r="K91" s="10">
        <f>RANK(D91,$D$4:$D$166,0)</f>
        <v/>
      </c>
    </row>
    <row r="92">
      <c r="A92" s="10">
        <f>'2_GICS_Archetype_Map'!A92</f>
        <v/>
      </c>
      <c r="B92" s="10">
        <f>'2_GICS_Archetype_Map'!B92</f>
        <v/>
      </c>
      <c r="C92" s="10">
        <f>'2_GICS_Archetype_Map'!E92</f>
        <v/>
      </c>
      <c r="D92" s="15">
        <f>INDEX('3_Archetype_Params'!$Z$4:$Z$26,MATCH(C92,'3_Archetype_Params'!$A$4:$A$26,0))</f>
        <v/>
      </c>
      <c r="E92" s="13">
        <f>INDEX('3_Archetype_Params'!$X$4:$X$26,MATCH(C92,'3_Archetype_Params'!$A$4:$A$26,0))</f>
        <v/>
      </c>
      <c r="F92" s="20">
        <f>D92*'4_Severity_Dials'!$B$4*'4_Severity_Dials'!$B$6</f>
        <v/>
      </c>
      <c r="G92" s="20">
        <f>D92*'4_Severity_Dials'!$B$7</f>
        <v/>
      </c>
      <c r="H92" s="20">
        <f>D92*E92*'4_Severity_Dials'!$B$5*'4_Severity_Dials'!$B$8</f>
        <v/>
      </c>
      <c r="I92" s="20">
        <f>H92-G92</f>
        <v/>
      </c>
      <c r="J92" s="21">
        <f>IF(I92&gt;0,"BENEFIT","HEADWIND")</f>
        <v/>
      </c>
      <c r="K92" s="10">
        <f>RANK(D92,$D$4:$D$166,0)</f>
        <v/>
      </c>
    </row>
    <row r="93">
      <c r="A93" s="10">
        <f>'2_GICS_Archetype_Map'!A93</f>
        <v/>
      </c>
      <c r="B93" s="10">
        <f>'2_GICS_Archetype_Map'!B93</f>
        <v/>
      </c>
      <c r="C93" s="10">
        <f>'2_GICS_Archetype_Map'!E93</f>
        <v/>
      </c>
      <c r="D93" s="15">
        <f>INDEX('3_Archetype_Params'!$Z$4:$Z$26,MATCH(C93,'3_Archetype_Params'!$A$4:$A$26,0))</f>
        <v/>
      </c>
      <c r="E93" s="13">
        <f>INDEX('3_Archetype_Params'!$X$4:$X$26,MATCH(C93,'3_Archetype_Params'!$A$4:$A$26,0))</f>
        <v/>
      </c>
      <c r="F93" s="20">
        <f>D93*'4_Severity_Dials'!$B$4*'4_Severity_Dials'!$B$6</f>
        <v/>
      </c>
      <c r="G93" s="20">
        <f>D93*'4_Severity_Dials'!$B$7</f>
        <v/>
      </c>
      <c r="H93" s="20">
        <f>D93*E93*'4_Severity_Dials'!$B$5*'4_Severity_Dials'!$B$8</f>
        <v/>
      </c>
      <c r="I93" s="20">
        <f>H93-G93</f>
        <v/>
      </c>
      <c r="J93" s="21">
        <f>IF(I93&gt;0,"BENEFIT","HEADWIND")</f>
        <v/>
      </c>
      <c r="K93" s="10">
        <f>RANK(D93,$D$4:$D$166,0)</f>
        <v/>
      </c>
    </row>
    <row r="94">
      <c r="A94" s="10">
        <f>'2_GICS_Archetype_Map'!A94</f>
        <v/>
      </c>
      <c r="B94" s="10">
        <f>'2_GICS_Archetype_Map'!B94</f>
        <v/>
      </c>
      <c r="C94" s="10">
        <f>'2_GICS_Archetype_Map'!E94</f>
        <v/>
      </c>
      <c r="D94" s="15">
        <f>INDEX('3_Archetype_Params'!$Z$4:$Z$26,MATCH(C94,'3_Archetype_Params'!$A$4:$A$26,0))</f>
        <v/>
      </c>
      <c r="E94" s="13">
        <f>INDEX('3_Archetype_Params'!$X$4:$X$26,MATCH(C94,'3_Archetype_Params'!$A$4:$A$26,0))</f>
        <v/>
      </c>
      <c r="F94" s="20">
        <f>D94*'4_Severity_Dials'!$B$4*'4_Severity_Dials'!$B$6</f>
        <v/>
      </c>
      <c r="G94" s="20">
        <f>D94*'4_Severity_Dials'!$B$7</f>
        <v/>
      </c>
      <c r="H94" s="20">
        <f>D94*E94*'4_Severity_Dials'!$B$5*'4_Severity_Dials'!$B$8</f>
        <v/>
      </c>
      <c r="I94" s="20">
        <f>H94-G94</f>
        <v/>
      </c>
      <c r="J94" s="21">
        <f>IF(I94&gt;0,"BENEFIT","HEADWIND")</f>
        <v/>
      </c>
      <c r="K94" s="10">
        <f>RANK(D94,$D$4:$D$166,0)</f>
        <v/>
      </c>
    </row>
    <row r="95">
      <c r="A95" s="10">
        <f>'2_GICS_Archetype_Map'!A95</f>
        <v/>
      </c>
      <c r="B95" s="10">
        <f>'2_GICS_Archetype_Map'!B95</f>
        <v/>
      </c>
      <c r="C95" s="10">
        <f>'2_GICS_Archetype_Map'!E95</f>
        <v/>
      </c>
      <c r="D95" s="15">
        <f>INDEX('3_Archetype_Params'!$Z$4:$Z$26,MATCH(C95,'3_Archetype_Params'!$A$4:$A$26,0))</f>
        <v/>
      </c>
      <c r="E95" s="13">
        <f>INDEX('3_Archetype_Params'!$X$4:$X$26,MATCH(C95,'3_Archetype_Params'!$A$4:$A$26,0))</f>
        <v/>
      </c>
      <c r="F95" s="20">
        <f>D95*'4_Severity_Dials'!$B$4*'4_Severity_Dials'!$B$6</f>
        <v/>
      </c>
      <c r="G95" s="20">
        <f>D95*'4_Severity_Dials'!$B$7</f>
        <v/>
      </c>
      <c r="H95" s="20">
        <f>D95*E95*'4_Severity_Dials'!$B$5*'4_Severity_Dials'!$B$8</f>
        <v/>
      </c>
      <c r="I95" s="20">
        <f>H95-G95</f>
        <v/>
      </c>
      <c r="J95" s="21">
        <f>IF(I95&gt;0,"BENEFIT","HEADWIND")</f>
        <v/>
      </c>
      <c r="K95" s="10">
        <f>RANK(D95,$D$4:$D$166,0)</f>
        <v/>
      </c>
    </row>
    <row r="96">
      <c r="A96" s="10">
        <f>'2_GICS_Archetype_Map'!A96</f>
        <v/>
      </c>
      <c r="B96" s="10">
        <f>'2_GICS_Archetype_Map'!B96</f>
        <v/>
      </c>
      <c r="C96" s="10">
        <f>'2_GICS_Archetype_Map'!E96</f>
        <v/>
      </c>
      <c r="D96" s="15">
        <f>INDEX('3_Archetype_Params'!$Z$4:$Z$26,MATCH(C96,'3_Archetype_Params'!$A$4:$A$26,0))</f>
        <v/>
      </c>
      <c r="E96" s="13">
        <f>INDEX('3_Archetype_Params'!$X$4:$X$26,MATCH(C96,'3_Archetype_Params'!$A$4:$A$26,0))</f>
        <v/>
      </c>
      <c r="F96" s="20">
        <f>D96*'4_Severity_Dials'!$B$4*'4_Severity_Dials'!$B$6</f>
        <v/>
      </c>
      <c r="G96" s="20">
        <f>D96*'4_Severity_Dials'!$B$7</f>
        <v/>
      </c>
      <c r="H96" s="20">
        <f>D96*E96*'4_Severity_Dials'!$B$5*'4_Severity_Dials'!$B$8</f>
        <v/>
      </c>
      <c r="I96" s="20">
        <f>H96-G96</f>
        <v/>
      </c>
      <c r="J96" s="21">
        <f>IF(I96&gt;0,"BENEFIT","HEADWIND")</f>
        <v/>
      </c>
      <c r="K96" s="10">
        <f>RANK(D96,$D$4:$D$166,0)</f>
        <v/>
      </c>
    </row>
    <row r="97">
      <c r="A97" s="10">
        <f>'2_GICS_Archetype_Map'!A97</f>
        <v/>
      </c>
      <c r="B97" s="10">
        <f>'2_GICS_Archetype_Map'!B97</f>
        <v/>
      </c>
      <c r="C97" s="10">
        <f>'2_GICS_Archetype_Map'!E97</f>
        <v/>
      </c>
      <c r="D97" s="15">
        <f>INDEX('3_Archetype_Params'!$Z$4:$Z$26,MATCH(C97,'3_Archetype_Params'!$A$4:$A$26,0))</f>
        <v/>
      </c>
      <c r="E97" s="13">
        <f>INDEX('3_Archetype_Params'!$X$4:$X$26,MATCH(C97,'3_Archetype_Params'!$A$4:$A$26,0))</f>
        <v/>
      </c>
      <c r="F97" s="20">
        <f>D97*'4_Severity_Dials'!$B$4*'4_Severity_Dials'!$B$6</f>
        <v/>
      </c>
      <c r="G97" s="20">
        <f>D97*'4_Severity_Dials'!$B$7</f>
        <v/>
      </c>
      <c r="H97" s="20">
        <f>D97*E97*'4_Severity_Dials'!$B$5*'4_Severity_Dials'!$B$8</f>
        <v/>
      </c>
      <c r="I97" s="20">
        <f>H97-G97</f>
        <v/>
      </c>
      <c r="J97" s="21">
        <f>IF(I97&gt;0,"BENEFIT","HEADWIND")</f>
        <v/>
      </c>
      <c r="K97" s="10">
        <f>RANK(D97,$D$4:$D$166,0)</f>
        <v/>
      </c>
    </row>
    <row r="98">
      <c r="A98" s="10">
        <f>'2_GICS_Archetype_Map'!A98</f>
        <v/>
      </c>
      <c r="B98" s="10">
        <f>'2_GICS_Archetype_Map'!B98</f>
        <v/>
      </c>
      <c r="C98" s="10">
        <f>'2_GICS_Archetype_Map'!E98</f>
        <v/>
      </c>
      <c r="D98" s="15">
        <f>INDEX('3_Archetype_Params'!$Z$4:$Z$26,MATCH(C98,'3_Archetype_Params'!$A$4:$A$26,0))</f>
        <v/>
      </c>
      <c r="E98" s="13">
        <f>INDEX('3_Archetype_Params'!$X$4:$X$26,MATCH(C98,'3_Archetype_Params'!$A$4:$A$26,0))</f>
        <v/>
      </c>
      <c r="F98" s="20">
        <f>D98*'4_Severity_Dials'!$B$4*'4_Severity_Dials'!$B$6</f>
        <v/>
      </c>
      <c r="G98" s="20">
        <f>D98*'4_Severity_Dials'!$B$7</f>
        <v/>
      </c>
      <c r="H98" s="20">
        <f>D98*E98*'4_Severity_Dials'!$B$5*'4_Severity_Dials'!$B$8</f>
        <v/>
      </c>
      <c r="I98" s="20">
        <f>H98-G98</f>
        <v/>
      </c>
      <c r="J98" s="21">
        <f>IF(I98&gt;0,"BENEFIT","HEADWIND")</f>
        <v/>
      </c>
      <c r="K98" s="10">
        <f>RANK(D98,$D$4:$D$166,0)</f>
        <v/>
      </c>
    </row>
    <row r="99">
      <c r="A99" s="10">
        <f>'2_GICS_Archetype_Map'!A99</f>
        <v/>
      </c>
      <c r="B99" s="10">
        <f>'2_GICS_Archetype_Map'!B99</f>
        <v/>
      </c>
      <c r="C99" s="10">
        <f>'2_GICS_Archetype_Map'!E99</f>
        <v/>
      </c>
      <c r="D99" s="15">
        <f>INDEX('3_Archetype_Params'!$Z$4:$Z$26,MATCH(C99,'3_Archetype_Params'!$A$4:$A$26,0))</f>
        <v/>
      </c>
      <c r="E99" s="13">
        <f>INDEX('3_Archetype_Params'!$X$4:$X$26,MATCH(C99,'3_Archetype_Params'!$A$4:$A$26,0))</f>
        <v/>
      </c>
      <c r="F99" s="20">
        <f>D99*'4_Severity_Dials'!$B$4*'4_Severity_Dials'!$B$6</f>
        <v/>
      </c>
      <c r="G99" s="20">
        <f>D99*'4_Severity_Dials'!$B$7</f>
        <v/>
      </c>
      <c r="H99" s="20">
        <f>D99*E99*'4_Severity_Dials'!$B$5*'4_Severity_Dials'!$B$8</f>
        <v/>
      </c>
      <c r="I99" s="20">
        <f>H99-G99</f>
        <v/>
      </c>
      <c r="J99" s="21">
        <f>IF(I99&gt;0,"BENEFIT","HEADWIND")</f>
        <v/>
      </c>
      <c r="K99" s="10">
        <f>RANK(D99,$D$4:$D$166,0)</f>
        <v/>
      </c>
    </row>
    <row r="100">
      <c r="A100" s="10">
        <f>'2_GICS_Archetype_Map'!A100</f>
        <v/>
      </c>
      <c r="B100" s="10">
        <f>'2_GICS_Archetype_Map'!B100</f>
        <v/>
      </c>
      <c r="C100" s="10">
        <f>'2_GICS_Archetype_Map'!E100</f>
        <v/>
      </c>
      <c r="D100" s="15">
        <f>INDEX('3_Archetype_Params'!$Z$4:$Z$26,MATCH(C100,'3_Archetype_Params'!$A$4:$A$26,0))</f>
        <v/>
      </c>
      <c r="E100" s="13">
        <f>INDEX('3_Archetype_Params'!$X$4:$X$26,MATCH(C100,'3_Archetype_Params'!$A$4:$A$26,0))</f>
        <v/>
      </c>
      <c r="F100" s="20">
        <f>D100*'4_Severity_Dials'!$B$4*'4_Severity_Dials'!$B$6</f>
        <v/>
      </c>
      <c r="G100" s="20">
        <f>D100*'4_Severity_Dials'!$B$7</f>
        <v/>
      </c>
      <c r="H100" s="20">
        <f>D100*E100*'4_Severity_Dials'!$B$5*'4_Severity_Dials'!$B$8</f>
        <v/>
      </c>
      <c r="I100" s="20">
        <f>H100-G100</f>
        <v/>
      </c>
      <c r="J100" s="21">
        <f>IF(I100&gt;0,"BENEFIT","HEADWIND")</f>
        <v/>
      </c>
      <c r="K100" s="10">
        <f>RANK(D100,$D$4:$D$166,0)</f>
        <v/>
      </c>
    </row>
    <row r="101">
      <c r="A101" s="10">
        <f>'2_GICS_Archetype_Map'!A101</f>
        <v/>
      </c>
      <c r="B101" s="10">
        <f>'2_GICS_Archetype_Map'!B101</f>
        <v/>
      </c>
      <c r="C101" s="10">
        <f>'2_GICS_Archetype_Map'!E101</f>
        <v/>
      </c>
      <c r="D101" s="15">
        <f>INDEX('3_Archetype_Params'!$Z$4:$Z$26,MATCH(C101,'3_Archetype_Params'!$A$4:$A$26,0))</f>
        <v/>
      </c>
      <c r="E101" s="13">
        <f>INDEX('3_Archetype_Params'!$X$4:$X$26,MATCH(C101,'3_Archetype_Params'!$A$4:$A$26,0))</f>
        <v/>
      </c>
      <c r="F101" s="20">
        <f>D101*'4_Severity_Dials'!$B$4*'4_Severity_Dials'!$B$6</f>
        <v/>
      </c>
      <c r="G101" s="20">
        <f>D101*'4_Severity_Dials'!$B$7</f>
        <v/>
      </c>
      <c r="H101" s="20">
        <f>D101*E101*'4_Severity_Dials'!$B$5*'4_Severity_Dials'!$B$8</f>
        <v/>
      </c>
      <c r="I101" s="20">
        <f>H101-G101</f>
        <v/>
      </c>
      <c r="J101" s="21">
        <f>IF(I101&gt;0,"BENEFIT","HEADWIND")</f>
        <v/>
      </c>
      <c r="K101" s="10">
        <f>RANK(D101,$D$4:$D$166,0)</f>
        <v/>
      </c>
    </row>
    <row r="102">
      <c r="A102" s="10">
        <f>'2_GICS_Archetype_Map'!A102</f>
        <v/>
      </c>
      <c r="B102" s="10">
        <f>'2_GICS_Archetype_Map'!B102</f>
        <v/>
      </c>
      <c r="C102" s="10">
        <f>'2_GICS_Archetype_Map'!E102</f>
        <v/>
      </c>
      <c r="D102" s="15">
        <f>INDEX('3_Archetype_Params'!$Z$4:$Z$26,MATCH(C102,'3_Archetype_Params'!$A$4:$A$26,0))</f>
        <v/>
      </c>
      <c r="E102" s="13">
        <f>INDEX('3_Archetype_Params'!$X$4:$X$26,MATCH(C102,'3_Archetype_Params'!$A$4:$A$26,0))</f>
        <v/>
      </c>
      <c r="F102" s="20">
        <f>D102*'4_Severity_Dials'!$B$4*'4_Severity_Dials'!$B$6</f>
        <v/>
      </c>
      <c r="G102" s="20">
        <f>D102*'4_Severity_Dials'!$B$7</f>
        <v/>
      </c>
      <c r="H102" s="20">
        <f>D102*E102*'4_Severity_Dials'!$B$5*'4_Severity_Dials'!$B$8</f>
        <v/>
      </c>
      <c r="I102" s="20">
        <f>H102-G102</f>
        <v/>
      </c>
      <c r="J102" s="21">
        <f>IF(I102&gt;0,"BENEFIT","HEADWIND")</f>
        <v/>
      </c>
      <c r="K102" s="10">
        <f>RANK(D102,$D$4:$D$166,0)</f>
        <v/>
      </c>
    </row>
    <row r="103">
      <c r="A103" s="10">
        <f>'2_GICS_Archetype_Map'!A103</f>
        <v/>
      </c>
      <c r="B103" s="10">
        <f>'2_GICS_Archetype_Map'!B103</f>
        <v/>
      </c>
      <c r="C103" s="10">
        <f>'2_GICS_Archetype_Map'!E103</f>
        <v/>
      </c>
      <c r="D103" s="15">
        <f>INDEX('3_Archetype_Params'!$Z$4:$Z$26,MATCH(C103,'3_Archetype_Params'!$A$4:$A$26,0))</f>
        <v/>
      </c>
      <c r="E103" s="13">
        <f>INDEX('3_Archetype_Params'!$X$4:$X$26,MATCH(C103,'3_Archetype_Params'!$A$4:$A$26,0))</f>
        <v/>
      </c>
      <c r="F103" s="20">
        <f>D103*'4_Severity_Dials'!$B$4*'4_Severity_Dials'!$B$6</f>
        <v/>
      </c>
      <c r="G103" s="20">
        <f>D103*'4_Severity_Dials'!$B$7</f>
        <v/>
      </c>
      <c r="H103" s="20">
        <f>D103*E103*'4_Severity_Dials'!$B$5*'4_Severity_Dials'!$B$8</f>
        <v/>
      </c>
      <c r="I103" s="20">
        <f>H103-G103</f>
        <v/>
      </c>
      <c r="J103" s="21">
        <f>IF(I103&gt;0,"BENEFIT","HEADWIND")</f>
        <v/>
      </c>
      <c r="K103" s="10">
        <f>RANK(D103,$D$4:$D$166,0)</f>
        <v/>
      </c>
    </row>
    <row r="104">
      <c r="A104" s="10">
        <f>'2_GICS_Archetype_Map'!A104</f>
        <v/>
      </c>
      <c r="B104" s="10">
        <f>'2_GICS_Archetype_Map'!B104</f>
        <v/>
      </c>
      <c r="C104" s="10">
        <f>'2_GICS_Archetype_Map'!E104</f>
        <v/>
      </c>
      <c r="D104" s="15">
        <f>INDEX('3_Archetype_Params'!$Z$4:$Z$26,MATCH(C104,'3_Archetype_Params'!$A$4:$A$26,0))</f>
        <v/>
      </c>
      <c r="E104" s="13">
        <f>INDEX('3_Archetype_Params'!$X$4:$X$26,MATCH(C104,'3_Archetype_Params'!$A$4:$A$26,0))</f>
        <v/>
      </c>
      <c r="F104" s="20">
        <f>D104*'4_Severity_Dials'!$B$4*'4_Severity_Dials'!$B$6</f>
        <v/>
      </c>
      <c r="G104" s="20">
        <f>D104*'4_Severity_Dials'!$B$7</f>
        <v/>
      </c>
      <c r="H104" s="20">
        <f>D104*E104*'4_Severity_Dials'!$B$5*'4_Severity_Dials'!$B$8</f>
        <v/>
      </c>
      <c r="I104" s="20">
        <f>H104-G104</f>
        <v/>
      </c>
      <c r="J104" s="21">
        <f>IF(I104&gt;0,"BENEFIT","HEADWIND")</f>
        <v/>
      </c>
      <c r="K104" s="10">
        <f>RANK(D104,$D$4:$D$166,0)</f>
        <v/>
      </c>
    </row>
    <row r="105">
      <c r="A105" s="10">
        <f>'2_GICS_Archetype_Map'!A105</f>
        <v/>
      </c>
      <c r="B105" s="10">
        <f>'2_GICS_Archetype_Map'!B105</f>
        <v/>
      </c>
      <c r="C105" s="10">
        <f>'2_GICS_Archetype_Map'!E105</f>
        <v/>
      </c>
      <c r="D105" s="15">
        <f>INDEX('3_Archetype_Params'!$Z$4:$Z$26,MATCH(C105,'3_Archetype_Params'!$A$4:$A$26,0))</f>
        <v/>
      </c>
      <c r="E105" s="13">
        <f>INDEX('3_Archetype_Params'!$X$4:$X$26,MATCH(C105,'3_Archetype_Params'!$A$4:$A$26,0))</f>
        <v/>
      </c>
      <c r="F105" s="20">
        <f>D105*'4_Severity_Dials'!$B$4*'4_Severity_Dials'!$B$6</f>
        <v/>
      </c>
      <c r="G105" s="20">
        <f>D105*'4_Severity_Dials'!$B$7</f>
        <v/>
      </c>
      <c r="H105" s="20">
        <f>D105*E105*'4_Severity_Dials'!$B$5*'4_Severity_Dials'!$B$8</f>
        <v/>
      </c>
      <c r="I105" s="20">
        <f>H105-G105</f>
        <v/>
      </c>
      <c r="J105" s="21">
        <f>IF(I105&gt;0,"BENEFIT","HEADWIND")</f>
        <v/>
      </c>
      <c r="K105" s="10">
        <f>RANK(D105,$D$4:$D$166,0)</f>
        <v/>
      </c>
    </row>
    <row r="106">
      <c r="A106" s="10">
        <f>'2_GICS_Archetype_Map'!A106</f>
        <v/>
      </c>
      <c r="B106" s="10">
        <f>'2_GICS_Archetype_Map'!B106</f>
        <v/>
      </c>
      <c r="C106" s="10">
        <f>'2_GICS_Archetype_Map'!E106</f>
        <v/>
      </c>
      <c r="D106" s="15">
        <f>INDEX('3_Archetype_Params'!$Z$4:$Z$26,MATCH(C106,'3_Archetype_Params'!$A$4:$A$26,0))</f>
        <v/>
      </c>
      <c r="E106" s="13">
        <f>INDEX('3_Archetype_Params'!$X$4:$X$26,MATCH(C106,'3_Archetype_Params'!$A$4:$A$26,0))</f>
        <v/>
      </c>
      <c r="F106" s="20">
        <f>D106*'4_Severity_Dials'!$B$4*'4_Severity_Dials'!$B$6</f>
        <v/>
      </c>
      <c r="G106" s="20">
        <f>D106*'4_Severity_Dials'!$B$7</f>
        <v/>
      </c>
      <c r="H106" s="20">
        <f>D106*E106*'4_Severity_Dials'!$B$5*'4_Severity_Dials'!$B$8</f>
        <v/>
      </c>
      <c r="I106" s="20">
        <f>H106-G106</f>
        <v/>
      </c>
      <c r="J106" s="21">
        <f>IF(I106&gt;0,"BENEFIT","HEADWIND")</f>
        <v/>
      </c>
      <c r="K106" s="10">
        <f>RANK(D106,$D$4:$D$166,0)</f>
        <v/>
      </c>
    </row>
    <row r="107">
      <c r="A107" s="10">
        <f>'2_GICS_Archetype_Map'!A107</f>
        <v/>
      </c>
      <c r="B107" s="10">
        <f>'2_GICS_Archetype_Map'!B107</f>
        <v/>
      </c>
      <c r="C107" s="10">
        <f>'2_GICS_Archetype_Map'!E107</f>
        <v/>
      </c>
      <c r="D107" s="15">
        <f>INDEX('3_Archetype_Params'!$Z$4:$Z$26,MATCH(C107,'3_Archetype_Params'!$A$4:$A$26,0))</f>
        <v/>
      </c>
      <c r="E107" s="13">
        <f>INDEX('3_Archetype_Params'!$X$4:$X$26,MATCH(C107,'3_Archetype_Params'!$A$4:$A$26,0))</f>
        <v/>
      </c>
      <c r="F107" s="20">
        <f>D107*'4_Severity_Dials'!$B$4*'4_Severity_Dials'!$B$6</f>
        <v/>
      </c>
      <c r="G107" s="20">
        <f>D107*'4_Severity_Dials'!$B$7</f>
        <v/>
      </c>
      <c r="H107" s="20">
        <f>D107*E107*'4_Severity_Dials'!$B$5*'4_Severity_Dials'!$B$8</f>
        <v/>
      </c>
      <c r="I107" s="20">
        <f>H107-G107</f>
        <v/>
      </c>
      <c r="J107" s="21">
        <f>IF(I107&gt;0,"BENEFIT","HEADWIND")</f>
        <v/>
      </c>
      <c r="K107" s="10">
        <f>RANK(D107,$D$4:$D$166,0)</f>
        <v/>
      </c>
    </row>
    <row r="108">
      <c r="A108" s="10">
        <f>'2_GICS_Archetype_Map'!A108</f>
        <v/>
      </c>
      <c r="B108" s="10">
        <f>'2_GICS_Archetype_Map'!B108</f>
        <v/>
      </c>
      <c r="C108" s="10">
        <f>'2_GICS_Archetype_Map'!E108</f>
        <v/>
      </c>
      <c r="D108" s="15">
        <f>INDEX('3_Archetype_Params'!$Z$4:$Z$26,MATCH(C108,'3_Archetype_Params'!$A$4:$A$26,0))</f>
        <v/>
      </c>
      <c r="E108" s="13">
        <f>INDEX('3_Archetype_Params'!$X$4:$X$26,MATCH(C108,'3_Archetype_Params'!$A$4:$A$26,0))</f>
        <v/>
      </c>
      <c r="F108" s="20">
        <f>D108*'4_Severity_Dials'!$B$4*'4_Severity_Dials'!$B$6</f>
        <v/>
      </c>
      <c r="G108" s="20">
        <f>D108*'4_Severity_Dials'!$B$7</f>
        <v/>
      </c>
      <c r="H108" s="20">
        <f>D108*E108*'4_Severity_Dials'!$B$5*'4_Severity_Dials'!$B$8</f>
        <v/>
      </c>
      <c r="I108" s="20">
        <f>H108-G108</f>
        <v/>
      </c>
      <c r="J108" s="21">
        <f>IF(I108&gt;0,"BENEFIT","HEADWIND")</f>
        <v/>
      </c>
      <c r="K108" s="10">
        <f>RANK(D108,$D$4:$D$166,0)</f>
        <v/>
      </c>
    </row>
    <row r="109">
      <c r="A109" s="10">
        <f>'2_GICS_Archetype_Map'!A109</f>
        <v/>
      </c>
      <c r="B109" s="10">
        <f>'2_GICS_Archetype_Map'!B109</f>
        <v/>
      </c>
      <c r="C109" s="10">
        <f>'2_GICS_Archetype_Map'!E109</f>
        <v/>
      </c>
      <c r="D109" s="15">
        <f>INDEX('3_Archetype_Params'!$Z$4:$Z$26,MATCH(C109,'3_Archetype_Params'!$A$4:$A$26,0))</f>
        <v/>
      </c>
      <c r="E109" s="13">
        <f>INDEX('3_Archetype_Params'!$X$4:$X$26,MATCH(C109,'3_Archetype_Params'!$A$4:$A$26,0))</f>
        <v/>
      </c>
      <c r="F109" s="20">
        <f>D109*'4_Severity_Dials'!$B$4*'4_Severity_Dials'!$B$6</f>
        <v/>
      </c>
      <c r="G109" s="20">
        <f>D109*'4_Severity_Dials'!$B$7</f>
        <v/>
      </c>
      <c r="H109" s="20">
        <f>D109*E109*'4_Severity_Dials'!$B$5*'4_Severity_Dials'!$B$8</f>
        <v/>
      </c>
      <c r="I109" s="20">
        <f>H109-G109</f>
        <v/>
      </c>
      <c r="J109" s="21">
        <f>IF(I109&gt;0,"BENEFIT","HEADWIND")</f>
        <v/>
      </c>
      <c r="K109" s="10">
        <f>RANK(D109,$D$4:$D$166,0)</f>
        <v/>
      </c>
    </row>
    <row r="110">
      <c r="A110" s="10">
        <f>'2_GICS_Archetype_Map'!A110</f>
        <v/>
      </c>
      <c r="B110" s="10">
        <f>'2_GICS_Archetype_Map'!B110</f>
        <v/>
      </c>
      <c r="C110" s="10">
        <f>'2_GICS_Archetype_Map'!E110</f>
        <v/>
      </c>
      <c r="D110" s="15">
        <f>INDEX('3_Archetype_Params'!$Z$4:$Z$26,MATCH(C110,'3_Archetype_Params'!$A$4:$A$26,0))</f>
        <v/>
      </c>
      <c r="E110" s="13">
        <f>INDEX('3_Archetype_Params'!$X$4:$X$26,MATCH(C110,'3_Archetype_Params'!$A$4:$A$26,0))</f>
        <v/>
      </c>
      <c r="F110" s="20">
        <f>D110*'4_Severity_Dials'!$B$4*'4_Severity_Dials'!$B$6</f>
        <v/>
      </c>
      <c r="G110" s="20">
        <f>D110*'4_Severity_Dials'!$B$7</f>
        <v/>
      </c>
      <c r="H110" s="20">
        <f>D110*E110*'4_Severity_Dials'!$B$5*'4_Severity_Dials'!$B$8</f>
        <v/>
      </c>
      <c r="I110" s="20">
        <f>H110-G110</f>
        <v/>
      </c>
      <c r="J110" s="21">
        <f>IF(I110&gt;0,"BENEFIT","HEADWIND")</f>
        <v/>
      </c>
      <c r="K110" s="10">
        <f>RANK(D110,$D$4:$D$166,0)</f>
        <v/>
      </c>
    </row>
    <row r="111">
      <c r="A111" s="10">
        <f>'2_GICS_Archetype_Map'!A111</f>
        <v/>
      </c>
      <c r="B111" s="10">
        <f>'2_GICS_Archetype_Map'!B111</f>
        <v/>
      </c>
      <c r="C111" s="10">
        <f>'2_GICS_Archetype_Map'!E111</f>
        <v/>
      </c>
      <c r="D111" s="15">
        <f>INDEX('3_Archetype_Params'!$Z$4:$Z$26,MATCH(C111,'3_Archetype_Params'!$A$4:$A$26,0))</f>
        <v/>
      </c>
      <c r="E111" s="13">
        <f>INDEX('3_Archetype_Params'!$X$4:$X$26,MATCH(C111,'3_Archetype_Params'!$A$4:$A$26,0))</f>
        <v/>
      </c>
      <c r="F111" s="20">
        <f>D111*'4_Severity_Dials'!$B$4*'4_Severity_Dials'!$B$6</f>
        <v/>
      </c>
      <c r="G111" s="20">
        <f>D111*'4_Severity_Dials'!$B$7</f>
        <v/>
      </c>
      <c r="H111" s="20">
        <f>D111*E111*'4_Severity_Dials'!$B$5*'4_Severity_Dials'!$B$8</f>
        <v/>
      </c>
      <c r="I111" s="20">
        <f>H111-G111</f>
        <v/>
      </c>
      <c r="J111" s="21">
        <f>IF(I111&gt;0,"BENEFIT","HEADWIND")</f>
        <v/>
      </c>
      <c r="K111" s="10">
        <f>RANK(D111,$D$4:$D$166,0)</f>
        <v/>
      </c>
    </row>
    <row r="112">
      <c r="A112" s="10">
        <f>'2_GICS_Archetype_Map'!A112</f>
        <v/>
      </c>
      <c r="B112" s="10">
        <f>'2_GICS_Archetype_Map'!B112</f>
        <v/>
      </c>
      <c r="C112" s="10">
        <f>'2_GICS_Archetype_Map'!E112</f>
        <v/>
      </c>
      <c r="D112" s="15">
        <f>INDEX('3_Archetype_Params'!$Z$4:$Z$26,MATCH(C112,'3_Archetype_Params'!$A$4:$A$26,0))</f>
        <v/>
      </c>
      <c r="E112" s="13">
        <f>INDEX('3_Archetype_Params'!$X$4:$X$26,MATCH(C112,'3_Archetype_Params'!$A$4:$A$26,0))</f>
        <v/>
      </c>
      <c r="F112" s="20">
        <f>D112*'4_Severity_Dials'!$B$4*'4_Severity_Dials'!$B$6</f>
        <v/>
      </c>
      <c r="G112" s="20">
        <f>D112*'4_Severity_Dials'!$B$7</f>
        <v/>
      </c>
      <c r="H112" s="20">
        <f>D112*E112*'4_Severity_Dials'!$B$5*'4_Severity_Dials'!$B$8</f>
        <v/>
      </c>
      <c r="I112" s="20">
        <f>H112-G112</f>
        <v/>
      </c>
      <c r="J112" s="21">
        <f>IF(I112&gt;0,"BENEFIT","HEADWIND")</f>
        <v/>
      </c>
      <c r="K112" s="10">
        <f>RANK(D112,$D$4:$D$166,0)</f>
        <v/>
      </c>
    </row>
    <row r="113">
      <c r="A113" s="10">
        <f>'2_GICS_Archetype_Map'!A113</f>
        <v/>
      </c>
      <c r="B113" s="10">
        <f>'2_GICS_Archetype_Map'!B113</f>
        <v/>
      </c>
      <c r="C113" s="10">
        <f>'2_GICS_Archetype_Map'!E113</f>
        <v/>
      </c>
      <c r="D113" s="15">
        <f>INDEX('3_Archetype_Params'!$Z$4:$Z$26,MATCH(C113,'3_Archetype_Params'!$A$4:$A$26,0))</f>
        <v/>
      </c>
      <c r="E113" s="13">
        <f>INDEX('3_Archetype_Params'!$X$4:$X$26,MATCH(C113,'3_Archetype_Params'!$A$4:$A$26,0))</f>
        <v/>
      </c>
      <c r="F113" s="20">
        <f>D113*'4_Severity_Dials'!$B$4*'4_Severity_Dials'!$B$6</f>
        <v/>
      </c>
      <c r="G113" s="20">
        <f>D113*'4_Severity_Dials'!$B$7</f>
        <v/>
      </c>
      <c r="H113" s="20">
        <f>D113*E113*'4_Severity_Dials'!$B$5*'4_Severity_Dials'!$B$8</f>
        <v/>
      </c>
      <c r="I113" s="20">
        <f>H113-G113</f>
        <v/>
      </c>
      <c r="J113" s="21">
        <f>IF(I113&gt;0,"BENEFIT","HEADWIND")</f>
        <v/>
      </c>
      <c r="K113" s="10">
        <f>RANK(D113,$D$4:$D$166,0)</f>
        <v/>
      </c>
    </row>
    <row r="114">
      <c r="A114" s="10">
        <f>'2_GICS_Archetype_Map'!A114</f>
        <v/>
      </c>
      <c r="B114" s="10">
        <f>'2_GICS_Archetype_Map'!B114</f>
        <v/>
      </c>
      <c r="C114" s="10">
        <f>'2_GICS_Archetype_Map'!E114</f>
        <v/>
      </c>
      <c r="D114" s="15">
        <f>INDEX('3_Archetype_Params'!$Z$4:$Z$26,MATCH(C114,'3_Archetype_Params'!$A$4:$A$26,0))</f>
        <v/>
      </c>
      <c r="E114" s="13">
        <f>INDEX('3_Archetype_Params'!$X$4:$X$26,MATCH(C114,'3_Archetype_Params'!$A$4:$A$26,0))</f>
        <v/>
      </c>
      <c r="F114" s="20">
        <f>D114*'4_Severity_Dials'!$B$4*'4_Severity_Dials'!$B$6</f>
        <v/>
      </c>
      <c r="G114" s="20">
        <f>D114*'4_Severity_Dials'!$B$7</f>
        <v/>
      </c>
      <c r="H114" s="20">
        <f>D114*E114*'4_Severity_Dials'!$B$5*'4_Severity_Dials'!$B$8</f>
        <v/>
      </c>
      <c r="I114" s="20">
        <f>H114-G114</f>
        <v/>
      </c>
      <c r="J114" s="21">
        <f>IF(I114&gt;0,"BENEFIT","HEADWIND")</f>
        <v/>
      </c>
      <c r="K114" s="10">
        <f>RANK(D114,$D$4:$D$166,0)</f>
        <v/>
      </c>
    </row>
    <row r="115">
      <c r="A115" s="10">
        <f>'2_GICS_Archetype_Map'!A115</f>
        <v/>
      </c>
      <c r="B115" s="10">
        <f>'2_GICS_Archetype_Map'!B115</f>
        <v/>
      </c>
      <c r="C115" s="10">
        <f>'2_GICS_Archetype_Map'!E115</f>
        <v/>
      </c>
      <c r="D115" s="15">
        <f>INDEX('3_Archetype_Params'!$Z$4:$Z$26,MATCH(C115,'3_Archetype_Params'!$A$4:$A$26,0))</f>
        <v/>
      </c>
      <c r="E115" s="13">
        <f>INDEX('3_Archetype_Params'!$X$4:$X$26,MATCH(C115,'3_Archetype_Params'!$A$4:$A$26,0))</f>
        <v/>
      </c>
      <c r="F115" s="20">
        <f>D115*'4_Severity_Dials'!$B$4*'4_Severity_Dials'!$B$6</f>
        <v/>
      </c>
      <c r="G115" s="20">
        <f>D115*'4_Severity_Dials'!$B$7</f>
        <v/>
      </c>
      <c r="H115" s="20">
        <f>D115*E115*'4_Severity_Dials'!$B$5*'4_Severity_Dials'!$B$8</f>
        <v/>
      </c>
      <c r="I115" s="20">
        <f>H115-G115</f>
        <v/>
      </c>
      <c r="J115" s="21">
        <f>IF(I115&gt;0,"BENEFIT","HEADWIND")</f>
        <v/>
      </c>
      <c r="K115" s="10">
        <f>RANK(D115,$D$4:$D$166,0)</f>
        <v/>
      </c>
    </row>
    <row r="116">
      <c r="A116" s="10">
        <f>'2_GICS_Archetype_Map'!A116</f>
        <v/>
      </c>
      <c r="B116" s="10">
        <f>'2_GICS_Archetype_Map'!B116</f>
        <v/>
      </c>
      <c r="C116" s="10">
        <f>'2_GICS_Archetype_Map'!E116</f>
        <v/>
      </c>
      <c r="D116" s="15">
        <f>INDEX('3_Archetype_Params'!$Z$4:$Z$26,MATCH(C116,'3_Archetype_Params'!$A$4:$A$26,0))</f>
        <v/>
      </c>
      <c r="E116" s="13">
        <f>INDEX('3_Archetype_Params'!$X$4:$X$26,MATCH(C116,'3_Archetype_Params'!$A$4:$A$26,0))</f>
        <v/>
      </c>
      <c r="F116" s="20">
        <f>D116*'4_Severity_Dials'!$B$4*'4_Severity_Dials'!$B$6</f>
        <v/>
      </c>
      <c r="G116" s="20">
        <f>D116*'4_Severity_Dials'!$B$7</f>
        <v/>
      </c>
      <c r="H116" s="20">
        <f>D116*E116*'4_Severity_Dials'!$B$5*'4_Severity_Dials'!$B$8</f>
        <v/>
      </c>
      <c r="I116" s="20">
        <f>H116-G116</f>
        <v/>
      </c>
      <c r="J116" s="21">
        <f>IF(I116&gt;0,"BENEFIT","HEADWIND")</f>
        <v/>
      </c>
      <c r="K116" s="10">
        <f>RANK(D116,$D$4:$D$166,0)</f>
        <v/>
      </c>
    </row>
    <row r="117">
      <c r="A117" s="10">
        <f>'2_GICS_Archetype_Map'!A117</f>
        <v/>
      </c>
      <c r="B117" s="10">
        <f>'2_GICS_Archetype_Map'!B117</f>
        <v/>
      </c>
      <c r="C117" s="10">
        <f>'2_GICS_Archetype_Map'!E117</f>
        <v/>
      </c>
      <c r="D117" s="15">
        <f>INDEX('3_Archetype_Params'!$Z$4:$Z$26,MATCH(C117,'3_Archetype_Params'!$A$4:$A$26,0))</f>
        <v/>
      </c>
      <c r="E117" s="13">
        <f>INDEX('3_Archetype_Params'!$X$4:$X$26,MATCH(C117,'3_Archetype_Params'!$A$4:$A$26,0))</f>
        <v/>
      </c>
      <c r="F117" s="20">
        <f>D117*'4_Severity_Dials'!$B$4*'4_Severity_Dials'!$B$6</f>
        <v/>
      </c>
      <c r="G117" s="20">
        <f>D117*'4_Severity_Dials'!$B$7</f>
        <v/>
      </c>
      <c r="H117" s="20">
        <f>D117*E117*'4_Severity_Dials'!$B$5*'4_Severity_Dials'!$B$8</f>
        <v/>
      </c>
      <c r="I117" s="20">
        <f>H117-G117</f>
        <v/>
      </c>
      <c r="J117" s="21">
        <f>IF(I117&gt;0,"BENEFIT","HEADWIND")</f>
        <v/>
      </c>
      <c r="K117" s="10">
        <f>RANK(D117,$D$4:$D$166,0)</f>
        <v/>
      </c>
    </row>
    <row r="118">
      <c r="A118" s="10">
        <f>'2_GICS_Archetype_Map'!A118</f>
        <v/>
      </c>
      <c r="B118" s="10">
        <f>'2_GICS_Archetype_Map'!B118</f>
        <v/>
      </c>
      <c r="C118" s="10">
        <f>'2_GICS_Archetype_Map'!E118</f>
        <v/>
      </c>
      <c r="D118" s="15">
        <f>INDEX('3_Archetype_Params'!$Z$4:$Z$26,MATCH(C118,'3_Archetype_Params'!$A$4:$A$26,0))</f>
        <v/>
      </c>
      <c r="E118" s="13">
        <f>INDEX('3_Archetype_Params'!$X$4:$X$26,MATCH(C118,'3_Archetype_Params'!$A$4:$A$26,0))</f>
        <v/>
      </c>
      <c r="F118" s="20">
        <f>D118*'4_Severity_Dials'!$B$4*'4_Severity_Dials'!$B$6</f>
        <v/>
      </c>
      <c r="G118" s="20">
        <f>D118*'4_Severity_Dials'!$B$7</f>
        <v/>
      </c>
      <c r="H118" s="20">
        <f>D118*E118*'4_Severity_Dials'!$B$5*'4_Severity_Dials'!$B$8</f>
        <v/>
      </c>
      <c r="I118" s="20">
        <f>H118-G118</f>
        <v/>
      </c>
      <c r="J118" s="21">
        <f>IF(I118&gt;0,"BENEFIT","HEADWIND")</f>
        <v/>
      </c>
      <c r="K118" s="10">
        <f>RANK(D118,$D$4:$D$166,0)</f>
        <v/>
      </c>
    </row>
    <row r="119">
      <c r="A119" s="10">
        <f>'2_GICS_Archetype_Map'!A119</f>
        <v/>
      </c>
      <c r="B119" s="10">
        <f>'2_GICS_Archetype_Map'!B119</f>
        <v/>
      </c>
      <c r="C119" s="10">
        <f>'2_GICS_Archetype_Map'!E119</f>
        <v/>
      </c>
      <c r="D119" s="15">
        <f>INDEX('3_Archetype_Params'!$Z$4:$Z$26,MATCH(C119,'3_Archetype_Params'!$A$4:$A$26,0))</f>
        <v/>
      </c>
      <c r="E119" s="13">
        <f>INDEX('3_Archetype_Params'!$X$4:$X$26,MATCH(C119,'3_Archetype_Params'!$A$4:$A$26,0))</f>
        <v/>
      </c>
      <c r="F119" s="20">
        <f>D119*'4_Severity_Dials'!$B$4*'4_Severity_Dials'!$B$6</f>
        <v/>
      </c>
      <c r="G119" s="20">
        <f>D119*'4_Severity_Dials'!$B$7</f>
        <v/>
      </c>
      <c r="H119" s="20">
        <f>D119*E119*'4_Severity_Dials'!$B$5*'4_Severity_Dials'!$B$8</f>
        <v/>
      </c>
      <c r="I119" s="20">
        <f>H119-G119</f>
        <v/>
      </c>
      <c r="J119" s="21">
        <f>IF(I119&gt;0,"BENEFIT","HEADWIND")</f>
        <v/>
      </c>
      <c r="K119" s="10">
        <f>RANK(D119,$D$4:$D$166,0)</f>
        <v/>
      </c>
    </row>
    <row r="120">
      <c r="A120" s="10">
        <f>'2_GICS_Archetype_Map'!A120</f>
        <v/>
      </c>
      <c r="B120" s="10">
        <f>'2_GICS_Archetype_Map'!B120</f>
        <v/>
      </c>
      <c r="C120" s="10">
        <f>'2_GICS_Archetype_Map'!E120</f>
        <v/>
      </c>
      <c r="D120" s="15">
        <f>INDEX('3_Archetype_Params'!$Z$4:$Z$26,MATCH(C120,'3_Archetype_Params'!$A$4:$A$26,0))</f>
        <v/>
      </c>
      <c r="E120" s="13">
        <f>INDEX('3_Archetype_Params'!$X$4:$X$26,MATCH(C120,'3_Archetype_Params'!$A$4:$A$26,0))</f>
        <v/>
      </c>
      <c r="F120" s="20">
        <f>D120*'4_Severity_Dials'!$B$4*'4_Severity_Dials'!$B$6</f>
        <v/>
      </c>
      <c r="G120" s="20">
        <f>D120*'4_Severity_Dials'!$B$7</f>
        <v/>
      </c>
      <c r="H120" s="20">
        <f>D120*E120*'4_Severity_Dials'!$B$5*'4_Severity_Dials'!$B$8</f>
        <v/>
      </c>
      <c r="I120" s="20">
        <f>H120-G120</f>
        <v/>
      </c>
      <c r="J120" s="21">
        <f>IF(I120&gt;0,"BENEFIT","HEADWIND")</f>
        <v/>
      </c>
      <c r="K120" s="10">
        <f>RANK(D120,$D$4:$D$166,0)</f>
        <v/>
      </c>
    </row>
    <row r="121">
      <c r="A121" s="10">
        <f>'2_GICS_Archetype_Map'!A121</f>
        <v/>
      </c>
      <c r="B121" s="10">
        <f>'2_GICS_Archetype_Map'!B121</f>
        <v/>
      </c>
      <c r="C121" s="10">
        <f>'2_GICS_Archetype_Map'!E121</f>
        <v/>
      </c>
      <c r="D121" s="15">
        <f>INDEX('3_Archetype_Params'!$Z$4:$Z$26,MATCH(C121,'3_Archetype_Params'!$A$4:$A$26,0))</f>
        <v/>
      </c>
      <c r="E121" s="13">
        <f>INDEX('3_Archetype_Params'!$X$4:$X$26,MATCH(C121,'3_Archetype_Params'!$A$4:$A$26,0))</f>
        <v/>
      </c>
      <c r="F121" s="20">
        <f>D121*'4_Severity_Dials'!$B$4*'4_Severity_Dials'!$B$6</f>
        <v/>
      </c>
      <c r="G121" s="20">
        <f>D121*'4_Severity_Dials'!$B$7</f>
        <v/>
      </c>
      <c r="H121" s="20">
        <f>D121*E121*'4_Severity_Dials'!$B$5*'4_Severity_Dials'!$B$8</f>
        <v/>
      </c>
      <c r="I121" s="20">
        <f>H121-G121</f>
        <v/>
      </c>
      <c r="J121" s="21">
        <f>IF(I121&gt;0,"BENEFIT","HEADWIND")</f>
        <v/>
      </c>
      <c r="K121" s="10">
        <f>RANK(D121,$D$4:$D$166,0)</f>
        <v/>
      </c>
    </row>
    <row r="122">
      <c r="A122" s="10">
        <f>'2_GICS_Archetype_Map'!A122</f>
        <v/>
      </c>
      <c r="B122" s="10">
        <f>'2_GICS_Archetype_Map'!B122</f>
        <v/>
      </c>
      <c r="C122" s="10">
        <f>'2_GICS_Archetype_Map'!E122</f>
        <v/>
      </c>
      <c r="D122" s="15">
        <f>INDEX('3_Archetype_Params'!$Z$4:$Z$26,MATCH(C122,'3_Archetype_Params'!$A$4:$A$26,0))</f>
        <v/>
      </c>
      <c r="E122" s="13">
        <f>INDEX('3_Archetype_Params'!$X$4:$X$26,MATCH(C122,'3_Archetype_Params'!$A$4:$A$26,0))</f>
        <v/>
      </c>
      <c r="F122" s="20">
        <f>D122*'4_Severity_Dials'!$B$4*'4_Severity_Dials'!$B$6</f>
        <v/>
      </c>
      <c r="G122" s="20">
        <f>D122*'4_Severity_Dials'!$B$7</f>
        <v/>
      </c>
      <c r="H122" s="20">
        <f>D122*E122*'4_Severity_Dials'!$B$5*'4_Severity_Dials'!$B$8</f>
        <v/>
      </c>
      <c r="I122" s="20">
        <f>H122-G122</f>
        <v/>
      </c>
      <c r="J122" s="21">
        <f>IF(I122&gt;0,"BENEFIT","HEADWIND")</f>
        <v/>
      </c>
      <c r="K122" s="10">
        <f>RANK(D122,$D$4:$D$166,0)</f>
        <v/>
      </c>
    </row>
    <row r="123">
      <c r="A123" s="10">
        <f>'2_GICS_Archetype_Map'!A123</f>
        <v/>
      </c>
      <c r="B123" s="10">
        <f>'2_GICS_Archetype_Map'!B123</f>
        <v/>
      </c>
      <c r="C123" s="10">
        <f>'2_GICS_Archetype_Map'!E123</f>
        <v/>
      </c>
      <c r="D123" s="15">
        <f>INDEX('3_Archetype_Params'!$Z$4:$Z$26,MATCH(C123,'3_Archetype_Params'!$A$4:$A$26,0))</f>
        <v/>
      </c>
      <c r="E123" s="13">
        <f>INDEX('3_Archetype_Params'!$X$4:$X$26,MATCH(C123,'3_Archetype_Params'!$A$4:$A$26,0))</f>
        <v/>
      </c>
      <c r="F123" s="20">
        <f>D123*'4_Severity_Dials'!$B$4*'4_Severity_Dials'!$B$6</f>
        <v/>
      </c>
      <c r="G123" s="20">
        <f>D123*'4_Severity_Dials'!$B$7</f>
        <v/>
      </c>
      <c r="H123" s="20">
        <f>D123*E123*'4_Severity_Dials'!$B$5*'4_Severity_Dials'!$B$8</f>
        <v/>
      </c>
      <c r="I123" s="20">
        <f>H123-G123</f>
        <v/>
      </c>
      <c r="J123" s="21">
        <f>IF(I123&gt;0,"BENEFIT","HEADWIND")</f>
        <v/>
      </c>
      <c r="K123" s="10">
        <f>RANK(D123,$D$4:$D$166,0)</f>
        <v/>
      </c>
    </row>
    <row r="124">
      <c r="A124" s="10">
        <f>'2_GICS_Archetype_Map'!A124</f>
        <v/>
      </c>
      <c r="B124" s="10">
        <f>'2_GICS_Archetype_Map'!B124</f>
        <v/>
      </c>
      <c r="C124" s="10">
        <f>'2_GICS_Archetype_Map'!E124</f>
        <v/>
      </c>
      <c r="D124" s="15">
        <f>INDEX('3_Archetype_Params'!$Z$4:$Z$26,MATCH(C124,'3_Archetype_Params'!$A$4:$A$26,0))</f>
        <v/>
      </c>
      <c r="E124" s="13">
        <f>INDEX('3_Archetype_Params'!$X$4:$X$26,MATCH(C124,'3_Archetype_Params'!$A$4:$A$26,0))</f>
        <v/>
      </c>
      <c r="F124" s="20">
        <f>D124*'4_Severity_Dials'!$B$4*'4_Severity_Dials'!$B$6</f>
        <v/>
      </c>
      <c r="G124" s="20">
        <f>D124*'4_Severity_Dials'!$B$7</f>
        <v/>
      </c>
      <c r="H124" s="20">
        <f>D124*E124*'4_Severity_Dials'!$B$5*'4_Severity_Dials'!$B$8</f>
        <v/>
      </c>
      <c r="I124" s="20">
        <f>H124-G124</f>
        <v/>
      </c>
      <c r="J124" s="21">
        <f>IF(I124&gt;0,"BENEFIT","HEADWIND")</f>
        <v/>
      </c>
      <c r="K124" s="10">
        <f>RANK(D124,$D$4:$D$166,0)</f>
        <v/>
      </c>
    </row>
    <row r="125">
      <c r="A125" s="10">
        <f>'2_GICS_Archetype_Map'!A125</f>
        <v/>
      </c>
      <c r="B125" s="10">
        <f>'2_GICS_Archetype_Map'!B125</f>
        <v/>
      </c>
      <c r="C125" s="10">
        <f>'2_GICS_Archetype_Map'!E125</f>
        <v/>
      </c>
      <c r="D125" s="15">
        <f>INDEX('3_Archetype_Params'!$Z$4:$Z$26,MATCH(C125,'3_Archetype_Params'!$A$4:$A$26,0))</f>
        <v/>
      </c>
      <c r="E125" s="13">
        <f>INDEX('3_Archetype_Params'!$X$4:$X$26,MATCH(C125,'3_Archetype_Params'!$A$4:$A$26,0))</f>
        <v/>
      </c>
      <c r="F125" s="20">
        <f>D125*'4_Severity_Dials'!$B$4*'4_Severity_Dials'!$B$6</f>
        <v/>
      </c>
      <c r="G125" s="20">
        <f>D125*'4_Severity_Dials'!$B$7</f>
        <v/>
      </c>
      <c r="H125" s="20">
        <f>D125*E125*'4_Severity_Dials'!$B$5*'4_Severity_Dials'!$B$8</f>
        <v/>
      </c>
      <c r="I125" s="20">
        <f>H125-G125</f>
        <v/>
      </c>
      <c r="J125" s="21">
        <f>IF(I125&gt;0,"BENEFIT","HEADWIND")</f>
        <v/>
      </c>
      <c r="K125" s="10">
        <f>RANK(D125,$D$4:$D$166,0)</f>
        <v/>
      </c>
    </row>
    <row r="126">
      <c r="A126" s="10">
        <f>'2_GICS_Archetype_Map'!A126</f>
        <v/>
      </c>
      <c r="B126" s="10">
        <f>'2_GICS_Archetype_Map'!B126</f>
        <v/>
      </c>
      <c r="C126" s="10">
        <f>'2_GICS_Archetype_Map'!E126</f>
        <v/>
      </c>
      <c r="D126" s="15">
        <f>INDEX('3_Archetype_Params'!$Z$4:$Z$26,MATCH(C126,'3_Archetype_Params'!$A$4:$A$26,0))</f>
        <v/>
      </c>
      <c r="E126" s="13">
        <f>INDEX('3_Archetype_Params'!$X$4:$X$26,MATCH(C126,'3_Archetype_Params'!$A$4:$A$26,0))</f>
        <v/>
      </c>
      <c r="F126" s="20">
        <f>D126*'4_Severity_Dials'!$B$4*'4_Severity_Dials'!$B$6</f>
        <v/>
      </c>
      <c r="G126" s="20">
        <f>D126*'4_Severity_Dials'!$B$7</f>
        <v/>
      </c>
      <c r="H126" s="20">
        <f>D126*E126*'4_Severity_Dials'!$B$5*'4_Severity_Dials'!$B$8</f>
        <v/>
      </c>
      <c r="I126" s="20">
        <f>H126-G126</f>
        <v/>
      </c>
      <c r="J126" s="21">
        <f>IF(I126&gt;0,"BENEFIT","HEADWIND")</f>
        <v/>
      </c>
      <c r="K126" s="10">
        <f>RANK(D126,$D$4:$D$166,0)</f>
        <v/>
      </c>
    </row>
    <row r="127">
      <c r="A127" s="10">
        <f>'2_GICS_Archetype_Map'!A127</f>
        <v/>
      </c>
      <c r="B127" s="10">
        <f>'2_GICS_Archetype_Map'!B127</f>
        <v/>
      </c>
      <c r="C127" s="10">
        <f>'2_GICS_Archetype_Map'!E127</f>
        <v/>
      </c>
      <c r="D127" s="15">
        <f>INDEX('3_Archetype_Params'!$Z$4:$Z$26,MATCH(C127,'3_Archetype_Params'!$A$4:$A$26,0))</f>
        <v/>
      </c>
      <c r="E127" s="13">
        <f>INDEX('3_Archetype_Params'!$X$4:$X$26,MATCH(C127,'3_Archetype_Params'!$A$4:$A$26,0))</f>
        <v/>
      </c>
      <c r="F127" s="20">
        <f>D127*'4_Severity_Dials'!$B$4*'4_Severity_Dials'!$B$6</f>
        <v/>
      </c>
      <c r="G127" s="20">
        <f>D127*'4_Severity_Dials'!$B$7</f>
        <v/>
      </c>
      <c r="H127" s="20">
        <f>D127*E127*'4_Severity_Dials'!$B$5*'4_Severity_Dials'!$B$8</f>
        <v/>
      </c>
      <c r="I127" s="20">
        <f>H127-G127</f>
        <v/>
      </c>
      <c r="J127" s="21">
        <f>IF(I127&gt;0,"BENEFIT","HEADWIND")</f>
        <v/>
      </c>
      <c r="K127" s="10">
        <f>RANK(D127,$D$4:$D$166,0)</f>
        <v/>
      </c>
    </row>
    <row r="128">
      <c r="A128" s="10">
        <f>'2_GICS_Archetype_Map'!A128</f>
        <v/>
      </c>
      <c r="B128" s="10">
        <f>'2_GICS_Archetype_Map'!B128</f>
        <v/>
      </c>
      <c r="C128" s="10">
        <f>'2_GICS_Archetype_Map'!E128</f>
        <v/>
      </c>
      <c r="D128" s="15">
        <f>INDEX('3_Archetype_Params'!$Z$4:$Z$26,MATCH(C128,'3_Archetype_Params'!$A$4:$A$26,0))</f>
        <v/>
      </c>
      <c r="E128" s="13">
        <f>INDEX('3_Archetype_Params'!$X$4:$X$26,MATCH(C128,'3_Archetype_Params'!$A$4:$A$26,0))</f>
        <v/>
      </c>
      <c r="F128" s="20">
        <f>D128*'4_Severity_Dials'!$B$4*'4_Severity_Dials'!$B$6</f>
        <v/>
      </c>
      <c r="G128" s="20">
        <f>D128*'4_Severity_Dials'!$B$7</f>
        <v/>
      </c>
      <c r="H128" s="20">
        <f>D128*E128*'4_Severity_Dials'!$B$5*'4_Severity_Dials'!$B$8</f>
        <v/>
      </c>
      <c r="I128" s="20">
        <f>H128-G128</f>
        <v/>
      </c>
      <c r="J128" s="21">
        <f>IF(I128&gt;0,"BENEFIT","HEADWIND")</f>
        <v/>
      </c>
      <c r="K128" s="10">
        <f>RANK(D128,$D$4:$D$166,0)</f>
        <v/>
      </c>
    </row>
    <row r="129">
      <c r="A129" s="10">
        <f>'2_GICS_Archetype_Map'!A129</f>
        <v/>
      </c>
      <c r="B129" s="10">
        <f>'2_GICS_Archetype_Map'!B129</f>
        <v/>
      </c>
      <c r="C129" s="10">
        <f>'2_GICS_Archetype_Map'!E129</f>
        <v/>
      </c>
      <c r="D129" s="15">
        <f>INDEX('3_Archetype_Params'!$Z$4:$Z$26,MATCH(C129,'3_Archetype_Params'!$A$4:$A$26,0))</f>
        <v/>
      </c>
      <c r="E129" s="13">
        <f>INDEX('3_Archetype_Params'!$X$4:$X$26,MATCH(C129,'3_Archetype_Params'!$A$4:$A$26,0))</f>
        <v/>
      </c>
      <c r="F129" s="20">
        <f>D129*'4_Severity_Dials'!$B$4*'4_Severity_Dials'!$B$6</f>
        <v/>
      </c>
      <c r="G129" s="20">
        <f>D129*'4_Severity_Dials'!$B$7</f>
        <v/>
      </c>
      <c r="H129" s="20">
        <f>D129*E129*'4_Severity_Dials'!$B$5*'4_Severity_Dials'!$B$8</f>
        <v/>
      </c>
      <c r="I129" s="20">
        <f>H129-G129</f>
        <v/>
      </c>
      <c r="J129" s="21">
        <f>IF(I129&gt;0,"BENEFIT","HEADWIND")</f>
        <v/>
      </c>
      <c r="K129" s="10">
        <f>RANK(D129,$D$4:$D$166,0)</f>
        <v/>
      </c>
    </row>
    <row r="130">
      <c r="A130" s="10">
        <f>'2_GICS_Archetype_Map'!A130</f>
        <v/>
      </c>
      <c r="B130" s="10">
        <f>'2_GICS_Archetype_Map'!B130</f>
        <v/>
      </c>
      <c r="C130" s="10">
        <f>'2_GICS_Archetype_Map'!E130</f>
        <v/>
      </c>
      <c r="D130" s="15">
        <f>INDEX('3_Archetype_Params'!$Z$4:$Z$26,MATCH(C130,'3_Archetype_Params'!$A$4:$A$26,0))</f>
        <v/>
      </c>
      <c r="E130" s="13">
        <f>INDEX('3_Archetype_Params'!$X$4:$X$26,MATCH(C130,'3_Archetype_Params'!$A$4:$A$26,0))</f>
        <v/>
      </c>
      <c r="F130" s="20">
        <f>D130*'4_Severity_Dials'!$B$4*'4_Severity_Dials'!$B$6</f>
        <v/>
      </c>
      <c r="G130" s="20">
        <f>D130*'4_Severity_Dials'!$B$7</f>
        <v/>
      </c>
      <c r="H130" s="20">
        <f>D130*E130*'4_Severity_Dials'!$B$5*'4_Severity_Dials'!$B$8</f>
        <v/>
      </c>
      <c r="I130" s="20">
        <f>H130-G130</f>
        <v/>
      </c>
      <c r="J130" s="21">
        <f>IF(I130&gt;0,"BENEFIT","HEADWIND")</f>
        <v/>
      </c>
      <c r="K130" s="10">
        <f>RANK(D130,$D$4:$D$166,0)</f>
        <v/>
      </c>
    </row>
    <row r="131">
      <c r="A131" s="10">
        <f>'2_GICS_Archetype_Map'!A131</f>
        <v/>
      </c>
      <c r="B131" s="10">
        <f>'2_GICS_Archetype_Map'!B131</f>
        <v/>
      </c>
      <c r="C131" s="10">
        <f>'2_GICS_Archetype_Map'!E131</f>
        <v/>
      </c>
      <c r="D131" s="15">
        <f>INDEX('3_Archetype_Params'!$Z$4:$Z$26,MATCH(C131,'3_Archetype_Params'!$A$4:$A$26,0))</f>
        <v/>
      </c>
      <c r="E131" s="13">
        <f>INDEX('3_Archetype_Params'!$X$4:$X$26,MATCH(C131,'3_Archetype_Params'!$A$4:$A$26,0))</f>
        <v/>
      </c>
      <c r="F131" s="20">
        <f>D131*'4_Severity_Dials'!$B$4*'4_Severity_Dials'!$B$6</f>
        <v/>
      </c>
      <c r="G131" s="20">
        <f>D131*'4_Severity_Dials'!$B$7</f>
        <v/>
      </c>
      <c r="H131" s="20">
        <f>D131*E131*'4_Severity_Dials'!$B$5*'4_Severity_Dials'!$B$8</f>
        <v/>
      </c>
      <c r="I131" s="20">
        <f>H131-G131</f>
        <v/>
      </c>
      <c r="J131" s="21">
        <f>IF(I131&gt;0,"BENEFIT","HEADWIND")</f>
        <v/>
      </c>
      <c r="K131" s="10">
        <f>RANK(D131,$D$4:$D$166,0)</f>
        <v/>
      </c>
    </row>
    <row r="132">
      <c r="A132" s="10">
        <f>'2_GICS_Archetype_Map'!A132</f>
        <v/>
      </c>
      <c r="B132" s="10">
        <f>'2_GICS_Archetype_Map'!B132</f>
        <v/>
      </c>
      <c r="C132" s="10">
        <f>'2_GICS_Archetype_Map'!E132</f>
        <v/>
      </c>
      <c r="D132" s="15">
        <f>INDEX('3_Archetype_Params'!$Z$4:$Z$26,MATCH(C132,'3_Archetype_Params'!$A$4:$A$26,0))</f>
        <v/>
      </c>
      <c r="E132" s="13">
        <f>INDEX('3_Archetype_Params'!$X$4:$X$26,MATCH(C132,'3_Archetype_Params'!$A$4:$A$26,0))</f>
        <v/>
      </c>
      <c r="F132" s="20">
        <f>D132*'4_Severity_Dials'!$B$4*'4_Severity_Dials'!$B$6</f>
        <v/>
      </c>
      <c r="G132" s="20">
        <f>D132*'4_Severity_Dials'!$B$7</f>
        <v/>
      </c>
      <c r="H132" s="20">
        <f>D132*E132*'4_Severity_Dials'!$B$5*'4_Severity_Dials'!$B$8</f>
        <v/>
      </c>
      <c r="I132" s="20">
        <f>H132-G132</f>
        <v/>
      </c>
      <c r="J132" s="21">
        <f>IF(I132&gt;0,"BENEFIT","HEADWIND")</f>
        <v/>
      </c>
      <c r="K132" s="10">
        <f>RANK(D132,$D$4:$D$166,0)</f>
        <v/>
      </c>
    </row>
    <row r="133">
      <c r="A133" s="10">
        <f>'2_GICS_Archetype_Map'!A133</f>
        <v/>
      </c>
      <c r="B133" s="10">
        <f>'2_GICS_Archetype_Map'!B133</f>
        <v/>
      </c>
      <c r="C133" s="10">
        <f>'2_GICS_Archetype_Map'!E133</f>
        <v/>
      </c>
      <c r="D133" s="15">
        <f>INDEX('3_Archetype_Params'!$Z$4:$Z$26,MATCH(C133,'3_Archetype_Params'!$A$4:$A$26,0))</f>
        <v/>
      </c>
      <c r="E133" s="13">
        <f>INDEX('3_Archetype_Params'!$X$4:$X$26,MATCH(C133,'3_Archetype_Params'!$A$4:$A$26,0))</f>
        <v/>
      </c>
      <c r="F133" s="20">
        <f>D133*'4_Severity_Dials'!$B$4*'4_Severity_Dials'!$B$6</f>
        <v/>
      </c>
      <c r="G133" s="20">
        <f>D133*'4_Severity_Dials'!$B$7</f>
        <v/>
      </c>
      <c r="H133" s="20">
        <f>D133*E133*'4_Severity_Dials'!$B$5*'4_Severity_Dials'!$B$8</f>
        <v/>
      </c>
      <c r="I133" s="20">
        <f>H133-G133</f>
        <v/>
      </c>
      <c r="J133" s="21">
        <f>IF(I133&gt;0,"BENEFIT","HEADWIND")</f>
        <v/>
      </c>
      <c r="K133" s="10">
        <f>RANK(D133,$D$4:$D$166,0)</f>
        <v/>
      </c>
    </row>
    <row r="134">
      <c r="A134" s="10">
        <f>'2_GICS_Archetype_Map'!A134</f>
        <v/>
      </c>
      <c r="B134" s="10">
        <f>'2_GICS_Archetype_Map'!B134</f>
        <v/>
      </c>
      <c r="C134" s="10">
        <f>'2_GICS_Archetype_Map'!E134</f>
        <v/>
      </c>
      <c r="D134" s="15">
        <f>INDEX('3_Archetype_Params'!$Z$4:$Z$26,MATCH(C134,'3_Archetype_Params'!$A$4:$A$26,0))</f>
        <v/>
      </c>
      <c r="E134" s="13">
        <f>INDEX('3_Archetype_Params'!$X$4:$X$26,MATCH(C134,'3_Archetype_Params'!$A$4:$A$26,0))</f>
        <v/>
      </c>
      <c r="F134" s="20">
        <f>D134*'4_Severity_Dials'!$B$4*'4_Severity_Dials'!$B$6</f>
        <v/>
      </c>
      <c r="G134" s="20">
        <f>D134*'4_Severity_Dials'!$B$7</f>
        <v/>
      </c>
      <c r="H134" s="20">
        <f>D134*E134*'4_Severity_Dials'!$B$5*'4_Severity_Dials'!$B$8</f>
        <v/>
      </c>
      <c r="I134" s="20">
        <f>H134-G134</f>
        <v/>
      </c>
      <c r="J134" s="21">
        <f>IF(I134&gt;0,"BENEFIT","HEADWIND")</f>
        <v/>
      </c>
      <c r="K134" s="10">
        <f>RANK(D134,$D$4:$D$166,0)</f>
        <v/>
      </c>
    </row>
    <row r="135">
      <c r="A135" s="10">
        <f>'2_GICS_Archetype_Map'!A135</f>
        <v/>
      </c>
      <c r="B135" s="10">
        <f>'2_GICS_Archetype_Map'!B135</f>
        <v/>
      </c>
      <c r="C135" s="10">
        <f>'2_GICS_Archetype_Map'!E135</f>
        <v/>
      </c>
      <c r="D135" s="15">
        <f>INDEX('3_Archetype_Params'!$Z$4:$Z$26,MATCH(C135,'3_Archetype_Params'!$A$4:$A$26,0))</f>
        <v/>
      </c>
      <c r="E135" s="13">
        <f>INDEX('3_Archetype_Params'!$X$4:$X$26,MATCH(C135,'3_Archetype_Params'!$A$4:$A$26,0))</f>
        <v/>
      </c>
      <c r="F135" s="20">
        <f>D135*'4_Severity_Dials'!$B$4*'4_Severity_Dials'!$B$6</f>
        <v/>
      </c>
      <c r="G135" s="20">
        <f>D135*'4_Severity_Dials'!$B$7</f>
        <v/>
      </c>
      <c r="H135" s="20">
        <f>D135*E135*'4_Severity_Dials'!$B$5*'4_Severity_Dials'!$B$8</f>
        <v/>
      </c>
      <c r="I135" s="20">
        <f>H135-G135</f>
        <v/>
      </c>
      <c r="J135" s="21">
        <f>IF(I135&gt;0,"BENEFIT","HEADWIND")</f>
        <v/>
      </c>
      <c r="K135" s="10">
        <f>RANK(D135,$D$4:$D$166,0)</f>
        <v/>
      </c>
    </row>
    <row r="136">
      <c r="A136" s="10">
        <f>'2_GICS_Archetype_Map'!A136</f>
        <v/>
      </c>
      <c r="B136" s="10">
        <f>'2_GICS_Archetype_Map'!B136</f>
        <v/>
      </c>
      <c r="C136" s="10">
        <f>'2_GICS_Archetype_Map'!E136</f>
        <v/>
      </c>
      <c r="D136" s="15">
        <f>INDEX('3_Archetype_Params'!$Z$4:$Z$26,MATCH(C136,'3_Archetype_Params'!$A$4:$A$26,0))</f>
        <v/>
      </c>
      <c r="E136" s="13">
        <f>INDEX('3_Archetype_Params'!$X$4:$X$26,MATCH(C136,'3_Archetype_Params'!$A$4:$A$26,0))</f>
        <v/>
      </c>
      <c r="F136" s="20">
        <f>D136*'4_Severity_Dials'!$B$4*'4_Severity_Dials'!$B$6</f>
        <v/>
      </c>
      <c r="G136" s="20">
        <f>D136*'4_Severity_Dials'!$B$7</f>
        <v/>
      </c>
      <c r="H136" s="20">
        <f>D136*E136*'4_Severity_Dials'!$B$5*'4_Severity_Dials'!$B$8</f>
        <v/>
      </c>
      <c r="I136" s="20">
        <f>H136-G136</f>
        <v/>
      </c>
      <c r="J136" s="21">
        <f>IF(I136&gt;0,"BENEFIT","HEADWIND")</f>
        <v/>
      </c>
      <c r="K136" s="10">
        <f>RANK(D136,$D$4:$D$166,0)</f>
        <v/>
      </c>
    </row>
    <row r="137">
      <c r="A137" s="10">
        <f>'2_GICS_Archetype_Map'!A137</f>
        <v/>
      </c>
      <c r="B137" s="10">
        <f>'2_GICS_Archetype_Map'!B137</f>
        <v/>
      </c>
      <c r="C137" s="10">
        <f>'2_GICS_Archetype_Map'!E137</f>
        <v/>
      </c>
      <c r="D137" s="15">
        <f>INDEX('3_Archetype_Params'!$Z$4:$Z$26,MATCH(C137,'3_Archetype_Params'!$A$4:$A$26,0))</f>
        <v/>
      </c>
      <c r="E137" s="13">
        <f>INDEX('3_Archetype_Params'!$X$4:$X$26,MATCH(C137,'3_Archetype_Params'!$A$4:$A$26,0))</f>
        <v/>
      </c>
      <c r="F137" s="20">
        <f>D137*'4_Severity_Dials'!$B$4*'4_Severity_Dials'!$B$6</f>
        <v/>
      </c>
      <c r="G137" s="20">
        <f>D137*'4_Severity_Dials'!$B$7</f>
        <v/>
      </c>
      <c r="H137" s="20">
        <f>D137*E137*'4_Severity_Dials'!$B$5*'4_Severity_Dials'!$B$8</f>
        <v/>
      </c>
      <c r="I137" s="20">
        <f>H137-G137</f>
        <v/>
      </c>
      <c r="J137" s="21">
        <f>IF(I137&gt;0,"BENEFIT","HEADWIND")</f>
        <v/>
      </c>
      <c r="K137" s="10">
        <f>RANK(D137,$D$4:$D$166,0)</f>
        <v/>
      </c>
    </row>
    <row r="138">
      <c r="A138" s="10">
        <f>'2_GICS_Archetype_Map'!A138</f>
        <v/>
      </c>
      <c r="B138" s="10">
        <f>'2_GICS_Archetype_Map'!B138</f>
        <v/>
      </c>
      <c r="C138" s="10">
        <f>'2_GICS_Archetype_Map'!E138</f>
        <v/>
      </c>
      <c r="D138" s="15">
        <f>INDEX('3_Archetype_Params'!$Z$4:$Z$26,MATCH(C138,'3_Archetype_Params'!$A$4:$A$26,0))</f>
        <v/>
      </c>
      <c r="E138" s="13">
        <f>INDEX('3_Archetype_Params'!$X$4:$X$26,MATCH(C138,'3_Archetype_Params'!$A$4:$A$26,0))</f>
        <v/>
      </c>
      <c r="F138" s="20">
        <f>D138*'4_Severity_Dials'!$B$4*'4_Severity_Dials'!$B$6</f>
        <v/>
      </c>
      <c r="G138" s="20">
        <f>D138*'4_Severity_Dials'!$B$7</f>
        <v/>
      </c>
      <c r="H138" s="20">
        <f>D138*E138*'4_Severity_Dials'!$B$5*'4_Severity_Dials'!$B$8</f>
        <v/>
      </c>
      <c r="I138" s="20">
        <f>H138-G138</f>
        <v/>
      </c>
      <c r="J138" s="21">
        <f>IF(I138&gt;0,"BENEFIT","HEADWIND")</f>
        <v/>
      </c>
      <c r="K138" s="10">
        <f>RANK(D138,$D$4:$D$166,0)</f>
        <v/>
      </c>
    </row>
    <row r="139">
      <c r="A139" s="10">
        <f>'2_GICS_Archetype_Map'!A139</f>
        <v/>
      </c>
      <c r="B139" s="10">
        <f>'2_GICS_Archetype_Map'!B139</f>
        <v/>
      </c>
      <c r="C139" s="10">
        <f>'2_GICS_Archetype_Map'!E139</f>
        <v/>
      </c>
      <c r="D139" s="15">
        <f>INDEX('3_Archetype_Params'!$Z$4:$Z$26,MATCH(C139,'3_Archetype_Params'!$A$4:$A$26,0))</f>
        <v/>
      </c>
      <c r="E139" s="13">
        <f>INDEX('3_Archetype_Params'!$X$4:$X$26,MATCH(C139,'3_Archetype_Params'!$A$4:$A$26,0))</f>
        <v/>
      </c>
      <c r="F139" s="20">
        <f>D139*'4_Severity_Dials'!$B$4*'4_Severity_Dials'!$B$6</f>
        <v/>
      </c>
      <c r="G139" s="20">
        <f>D139*'4_Severity_Dials'!$B$7</f>
        <v/>
      </c>
      <c r="H139" s="20">
        <f>D139*E139*'4_Severity_Dials'!$B$5*'4_Severity_Dials'!$B$8</f>
        <v/>
      </c>
      <c r="I139" s="20">
        <f>H139-G139</f>
        <v/>
      </c>
      <c r="J139" s="21">
        <f>IF(I139&gt;0,"BENEFIT","HEADWIND")</f>
        <v/>
      </c>
      <c r="K139" s="10">
        <f>RANK(D139,$D$4:$D$166,0)</f>
        <v/>
      </c>
    </row>
    <row r="140">
      <c r="A140" s="10">
        <f>'2_GICS_Archetype_Map'!A140</f>
        <v/>
      </c>
      <c r="B140" s="10">
        <f>'2_GICS_Archetype_Map'!B140</f>
        <v/>
      </c>
      <c r="C140" s="10">
        <f>'2_GICS_Archetype_Map'!E140</f>
        <v/>
      </c>
      <c r="D140" s="15">
        <f>INDEX('3_Archetype_Params'!$Z$4:$Z$26,MATCH(C140,'3_Archetype_Params'!$A$4:$A$26,0))</f>
        <v/>
      </c>
      <c r="E140" s="13">
        <f>INDEX('3_Archetype_Params'!$X$4:$X$26,MATCH(C140,'3_Archetype_Params'!$A$4:$A$26,0))</f>
        <v/>
      </c>
      <c r="F140" s="20">
        <f>D140*'4_Severity_Dials'!$B$4*'4_Severity_Dials'!$B$6</f>
        <v/>
      </c>
      <c r="G140" s="20">
        <f>D140*'4_Severity_Dials'!$B$7</f>
        <v/>
      </c>
      <c r="H140" s="20">
        <f>D140*E140*'4_Severity_Dials'!$B$5*'4_Severity_Dials'!$B$8</f>
        <v/>
      </c>
      <c r="I140" s="20">
        <f>H140-G140</f>
        <v/>
      </c>
      <c r="J140" s="21">
        <f>IF(I140&gt;0,"BENEFIT","HEADWIND")</f>
        <v/>
      </c>
      <c r="K140" s="10">
        <f>RANK(D140,$D$4:$D$166,0)</f>
        <v/>
      </c>
    </row>
    <row r="141">
      <c r="A141" s="10">
        <f>'2_GICS_Archetype_Map'!A141</f>
        <v/>
      </c>
      <c r="B141" s="10">
        <f>'2_GICS_Archetype_Map'!B141</f>
        <v/>
      </c>
      <c r="C141" s="10">
        <f>'2_GICS_Archetype_Map'!E141</f>
        <v/>
      </c>
      <c r="D141" s="15">
        <f>INDEX('3_Archetype_Params'!$Z$4:$Z$26,MATCH(C141,'3_Archetype_Params'!$A$4:$A$26,0))</f>
        <v/>
      </c>
      <c r="E141" s="13">
        <f>INDEX('3_Archetype_Params'!$X$4:$X$26,MATCH(C141,'3_Archetype_Params'!$A$4:$A$26,0))</f>
        <v/>
      </c>
      <c r="F141" s="20">
        <f>D141*'4_Severity_Dials'!$B$4*'4_Severity_Dials'!$B$6</f>
        <v/>
      </c>
      <c r="G141" s="20">
        <f>D141*'4_Severity_Dials'!$B$7</f>
        <v/>
      </c>
      <c r="H141" s="20">
        <f>D141*E141*'4_Severity_Dials'!$B$5*'4_Severity_Dials'!$B$8</f>
        <v/>
      </c>
      <c r="I141" s="20">
        <f>H141-G141</f>
        <v/>
      </c>
      <c r="J141" s="21">
        <f>IF(I141&gt;0,"BENEFIT","HEADWIND")</f>
        <v/>
      </c>
      <c r="K141" s="10">
        <f>RANK(D141,$D$4:$D$166,0)</f>
        <v/>
      </c>
    </row>
    <row r="142">
      <c r="A142" s="10">
        <f>'2_GICS_Archetype_Map'!A142</f>
        <v/>
      </c>
      <c r="B142" s="10">
        <f>'2_GICS_Archetype_Map'!B142</f>
        <v/>
      </c>
      <c r="C142" s="10">
        <f>'2_GICS_Archetype_Map'!E142</f>
        <v/>
      </c>
      <c r="D142" s="15">
        <f>INDEX('3_Archetype_Params'!$Z$4:$Z$26,MATCH(C142,'3_Archetype_Params'!$A$4:$A$26,0))</f>
        <v/>
      </c>
      <c r="E142" s="13">
        <f>INDEX('3_Archetype_Params'!$X$4:$X$26,MATCH(C142,'3_Archetype_Params'!$A$4:$A$26,0))</f>
        <v/>
      </c>
      <c r="F142" s="20">
        <f>D142*'4_Severity_Dials'!$B$4*'4_Severity_Dials'!$B$6</f>
        <v/>
      </c>
      <c r="G142" s="20">
        <f>D142*'4_Severity_Dials'!$B$7</f>
        <v/>
      </c>
      <c r="H142" s="20">
        <f>D142*E142*'4_Severity_Dials'!$B$5*'4_Severity_Dials'!$B$8</f>
        <v/>
      </c>
      <c r="I142" s="20">
        <f>H142-G142</f>
        <v/>
      </c>
      <c r="J142" s="21">
        <f>IF(I142&gt;0,"BENEFIT","HEADWIND")</f>
        <v/>
      </c>
      <c r="K142" s="10">
        <f>RANK(D142,$D$4:$D$166,0)</f>
        <v/>
      </c>
    </row>
    <row r="143">
      <c r="A143" s="10">
        <f>'2_GICS_Archetype_Map'!A143</f>
        <v/>
      </c>
      <c r="B143" s="10">
        <f>'2_GICS_Archetype_Map'!B143</f>
        <v/>
      </c>
      <c r="C143" s="10">
        <f>'2_GICS_Archetype_Map'!E143</f>
        <v/>
      </c>
      <c r="D143" s="15">
        <f>INDEX('3_Archetype_Params'!$Z$4:$Z$26,MATCH(C143,'3_Archetype_Params'!$A$4:$A$26,0))</f>
        <v/>
      </c>
      <c r="E143" s="13">
        <f>INDEX('3_Archetype_Params'!$X$4:$X$26,MATCH(C143,'3_Archetype_Params'!$A$4:$A$26,0))</f>
        <v/>
      </c>
      <c r="F143" s="20">
        <f>D143*'4_Severity_Dials'!$B$4*'4_Severity_Dials'!$B$6</f>
        <v/>
      </c>
      <c r="G143" s="20">
        <f>D143*'4_Severity_Dials'!$B$7</f>
        <v/>
      </c>
      <c r="H143" s="20">
        <f>D143*E143*'4_Severity_Dials'!$B$5*'4_Severity_Dials'!$B$8</f>
        <v/>
      </c>
      <c r="I143" s="20">
        <f>H143-G143</f>
        <v/>
      </c>
      <c r="J143" s="21">
        <f>IF(I143&gt;0,"BENEFIT","HEADWIND")</f>
        <v/>
      </c>
      <c r="K143" s="10">
        <f>RANK(D143,$D$4:$D$166,0)</f>
        <v/>
      </c>
    </row>
    <row r="144">
      <c r="A144" s="10">
        <f>'2_GICS_Archetype_Map'!A144</f>
        <v/>
      </c>
      <c r="B144" s="10">
        <f>'2_GICS_Archetype_Map'!B144</f>
        <v/>
      </c>
      <c r="C144" s="10">
        <f>'2_GICS_Archetype_Map'!E144</f>
        <v/>
      </c>
      <c r="D144" s="15">
        <f>INDEX('3_Archetype_Params'!$Z$4:$Z$26,MATCH(C144,'3_Archetype_Params'!$A$4:$A$26,0))</f>
        <v/>
      </c>
      <c r="E144" s="13">
        <f>INDEX('3_Archetype_Params'!$X$4:$X$26,MATCH(C144,'3_Archetype_Params'!$A$4:$A$26,0))</f>
        <v/>
      </c>
      <c r="F144" s="20">
        <f>D144*'4_Severity_Dials'!$B$4*'4_Severity_Dials'!$B$6</f>
        <v/>
      </c>
      <c r="G144" s="20">
        <f>D144*'4_Severity_Dials'!$B$7</f>
        <v/>
      </c>
      <c r="H144" s="20">
        <f>D144*E144*'4_Severity_Dials'!$B$5*'4_Severity_Dials'!$B$8</f>
        <v/>
      </c>
      <c r="I144" s="20">
        <f>H144-G144</f>
        <v/>
      </c>
      <c r="J144" s="21">
        <f>IF(I144&gt;0,"BENEFIT","HEADWIND")</f>
        <v/>
      </c>
      <c r="K144" s="10">
        <f>RANK(D144,$D$4:$D$166,0)</f>
        <v/>
      </c>
    </row>
    <row r="145">
      <c r="A145" s="10">
        <f>'2_GICS_Archetype_Map'!A145</f>
        <v/>
      </c>
      <c r="B145" s="10">
        <f>'2_GICS_Archetype_Map'!B145</f>
        <v/>
      </c>
      <c r="C145" s="10">
        <f>'2_GICS_Archetype_Map'!E145</f>
        <v/>
      </c>
      <c r="D145" s="15">
        <f>INDEX('3_Archetype_Params'!$Z$4:$Z$26,MATCH(C145,'3_Archetype_Params'!$A$4:$A$26,0))</f>
        <v/>
      </c>
      <c r="E145" s="13">
        <f>INDEX('3_Archetype_Params'!$X$4:$X$26,MATCH(C145,'3_Archetype_Params'!$A$4:$A$26,0))</f>
        <v/>
      </c>
      <c r="F145" s="20">
        <f>D145*'4_Severity_Dials'!$B$4*'4_Severity_Dials'!$B$6</f>
        <v/>
      </c>
      <c r="G145" s="20">
        <f>D145*'4_Severity_Dials'!$B$7</f>
        <v/>
      </c>
      <c r="H145" s="20">
        <f>D145*E145*'4_Severity_Dials'!$B$5*'4_Severity_Dials'!$B$8</f>
        <v/>
      </c>
      <c r="I145" s="20">
        <f>H145-G145</f>
        <v/>
      </c>
      <c r="J145" s="21">
        <f>IF(I145&gt;0,"BENEFIT","HEADWIND")</f>
        <v/>
      </c>
      <c r="K145" s="10">
        <f>RANK(D145,$D$4:$D$166,0)</f>
        <v/>
      </c>
    </row>
    <row r="146">
      <c r="A146" s="10">
        <f>'2_GICS_Archetype_Map'!A146</f>
        <v/>
      </c>
      <c r="B146" s="10">
        <f>'2_GICS_Archetype_Map'!B146</f>
        <v/>
      </c>
      <c r="C146" s="10">
        <f>'2_GICS_Archetype_Map'!E146</f>
        <v/>
      </c>
      <c r="D146" s="15">
        <f>INDEX('3_Archetype_Params'!$Z$4:$Z$26,MATCH(C146,'3_Archetype_Params'!$A$4:$A$26,0))</f>
        <v/>
      </c>
      <c r="E146" s="13">
        <f>INDEX('3_Archetype_Params'!$X$4:$X$26,MATCH(C146,'3_Archetype_Params'!$A$4:$A$26,0))</f>
        <v/>
      </c>
      <c r="F146" s="20">
        <f>D146*'4_Severity_Dials'!$B$4*'4_Severity_Dials'!$B$6</f>
        <v/>
      </c>
      <c r="G146" s="20">
        <f>D146*'4_Severity_Dials'!$B$7</f>
        <v/>
      </c>
      <c r="H146" s="20">
        <f>D146*E146*'4_Severity_Dials'!$B$5*'4_Severity_Dials'!$B$8</f>
        <v/>
      </c>
      <c r="I146" s="20">
        <f>H146-G146</f>
        <v/>
      </c>
      <c r="J146" s="21">
        <f>IF(I146&gt;0,"BENEFIT","HEADWIND")</f>
        <v/>
      </c>
      <c r="K146" s="10">
        <f>RANK(D146,$D$4:$D$166,0)</f>
        <v/>
      </c>
    </row>
    <row r="147">
      <c r="A147" s="10">
        <f>'2_GICS_Archetype_Map'!A147</f>
        <v/>
      </c>
      <c r="B147" s="10">
        <f>'2_GICS_Archetype_Map'!B147</f>
        <v/>
      </c>
      <c r="C147" s="10">
        <f>'2_GICS_Archetype_Map'!E147</f>
        <v/>
      </c>
      <c r="D147" s="15">
        <f>INDEX('3_Archetype_Params'!$Z$4:$Z$26,MATCH(C147,'3_Archetype_Params'!$A$4:$A$26,0))</f>
        <v/>
      </c>
      <c r="E147" s="13">
        <f>INDEX('3_Archetype_Params'!$X$4:$X$26,MATCH(C147,'3_Archetype_Params'!$A$4:$A$26,0))</f>
        <v/>
      </c>
      <c r="F147" s="20">
        <f>D147*'4_Severity_Dials'!$B$4*'4_Severity_Dials'!$B$6</f>
        <v/>
      </c>
      <c r="G147" s="20">
        <f>D147*'4_Severity_Dials'!$B$7</f>
        <v/>
      </c>
      <c r="H147" s="20">
        <f>D147*E147*'4_Severity_Dials'!$B$5*'4_Severity_Dials'!$B$8</f>
        <v/>
      </c>
      <c r="I147" s="20">
        <f>H147-G147</f>
        <v/>
      </c>
      <c r="J147" s="21">
        <f>IF(I147&gt;0,"BENEFIT","HEADWIND")</f>
        <v/>
      </c>
      <c r="K147" s="10">
        <f>RANK(D147,$D$4:$D$166,0)</f>
        <v/>
      </c>
    </row>
    <row r="148">
      <c r="A148" s="10">
        <f>'2_GICS_Archetype_Map'!A148</f>
        <v/>
      </c>
      <c r="B148" s="10">
        <f>'2_GICS_Archetype_Map'!B148</f>
        <v/>
      </c>
      <c r="C148" s="10">
        <f>'2_GICS_Archetype_Map'!E148</f>
        <v/>
      </c>
      <c r="D148" s="15">
        <f>INDEX('3_Archetype_Params'!$Z$4:$Z$26,MATCH(C148,'3_Archetype_Params'!$A$4:$A$26,0))</f>
        <v/>
      </c>
      <c r="E148" s="13">
        <f>INDEX('3_Archetype_Params'!$X$4:$X$26,MATCH(C148,'3_Archetype_Params'!$A$4:$A$26,0))</f>
        <v/>
      </c>
      <c r="F148" s="20">
        <f>D148*'4_Severity_Dials'!$B$4*'4_Severity_Dials'!$B$6</f>
        <v/>
      </c>
      <c r="G148" s="20">
        <f>D148*'4_Severity_Dials'!$B$7</f>
        <v/>
      </c>
      <c r="H148" s="20">
        <f>D148*E148*'4_Severity_Dials'!$B$5*'4_Severity_Dials'!$B$8</f>
        <v/>
      </c>
      <c r="I148" s="20">
        <f>H148-G148</f>
        <v/>
      </c>
      <c r="J148" s="21">
        <f>IF(I148&gt;0,"BENEFIT","HEADWIND")</f>
        <v/>
      </c>
      <c r="K148" s="10">
        <f>RANK(D148,$D$4:$D$166,0)</f>
        <v/>
      </c>
    </row>
    <row r="149">
      <c r="A149" s="10">
        <f>'2_GICS_Archetype_Map'!A149</f>
        <v/>
      </c>
      <c r="B149" s="10">
        <f>'2_GICS_Archetype_Map'!B149</f>
        <v/>
      </c>
      <c r="C149" s="10">
        <f>'2_GICS_Archetype_Map'!E149</f>
        <v/>
      </c>
      <c r="D149" s="15">
        <f>INDEX('3_Archetype_Params'!$Z$4:$Z$26,MATCH(C149,'3_Archetype_Params'!$A$4:$A$26,0))</f>
        <v/>
      </c>
      <c r="E149" s="13">
        <f>INDEX('3_Archetype_Params'!$X$4:$X$26,MATCH(C149,'3_Archetype_Params'!$A$4:$A$26,0))</f>
        <v/>
      </c>
      <c r="F149" s="20">
        <f>D149*'4_Severity_Dials'!$B$4*'4_Severity_Dials'!$B$6</f>
        <v/>
      </c>
      <c r="G149" s="20">
        <f>D149*'4_Severity_Dials'!$B$7</f>
        <v/>
      </c>
      <c r="H149" s="20">
        <f>D149*E149*'4_Severity_Dials'!$B$5*'4_Severity_Dials'!$B$8</f>
        <v/>
      </c>
      <c r="I149" s="20">
        <f>H149-G149</f>
        <v/>
      </c>
      <c r="J149" s="21">
        <f>IF(I149&gt;0,"BENEFIT","HEADWIND")</f>
        <v/>
      </c>
      <c r="K149" s="10">
        <f>RANK(D149,$D$4:$D$166,0)</f>
        <v/>
      </c>
    </row>
    <row r="150">
      <c r="A150" s="10">
        <f>'2_GICS_Archetype_Map'!A150</f>
        <v/>
      </c>
      <c r="B150" s="10">
        <f>'2_GICS_Archetype_Map'!B150</f>
        <v/>
      </c>
      <c r="C150" s="10">
        <f>'2_GICS_Archetype_Map'!E150</f>
        <v/>
      </c>
      <c r="D150" s="15">
        <f>INDEX('3_Archetype_Params'!$Z$4:$Z$26,MATCH(C150,'3_Archetype_Params'!$A$4:$A$26,0))</f>
        <v/>
      </c>
      <c r="E150" s="13">
        <f>INDEX('3_Archetype_Params'!$X$4:$X$26,MATCH(C150,'3_Archetype_Params'!$A$4:$A$26,0))</f>
        <v/>
      </c>
      <c r="F150" s="20">
        <f>D150*'4_Severity_Dials'!$B$4*'4_Severity_Dials'!$B$6</f>
        <v/>
      </c>
      <c r="G150" s="20">
        <f>D150*'4_Severity_Dials'!$B$7</f>
        <v/>
      </c>
      <c r="H150" s="20">
        <f>D150*E150*'4_Severity_Dials'!$B$5*'4_Severity_Dials'!$B$8</f>
        <v/>
      </c>
      <c r="I150" s="20">
        <f>H150-G150</f>
        <v/>
      </c>
      <c r="J150" s="21">
        <f>IF(I150&gt;0,"BENEFIT","HEADWIND")</f>
        <v/>
      </c>
      <c r="K150" s="10">
        <f>RANK(D150,$D$4:$D$166,0)</f>
        <v/>
      </c>
    </row>
    <row r="151">
      <c r="A151" s="10">
        <f>'2_GICS_Archetype_Map'!A151</f>
        <v/>
      </c>
      <c r="B151" s="10">
        <f>'2_GICS_Archetype_Map'!B151</f>
        <v/>
      </c>
      <c r="C151" s="10">
        <f>'2_GICS_Archetype_Map'!E151</f>
        <v/>
      </c>
      <c r="D151" s="15">
        <f>INDEX('3_Archetype_Params'!$Z$4:$Z$26,MATCH(C151,'3_Archetype_Params'!$A$4:$A$26,0))</f>
        <v/>
      </c>
      <c r="E151" s="13">
        <f>INDEX('3_Archetype_Params'!$X$4:$X$26,MATCH(C151,'3_Archetype_Params'!$A$4:$A$26,0))</f>
        <v/>
      </c>
      <c r="F151" s="20">
        <f>D151*'4_Severity_Dials'!$B$4*'4_Severity_Dials'!$B$6</f>
        <v/>
      </c>
      <c r="G151" s="20">
        <f>D151*'4_Severity_Dials'!$B$7</f>
        <v/>
      </c>
      <c r="H151" s="20">
        <f>D151*E151*'4_Severity_Dials'!$B$5*'4_Severity_Dials'!$B$8</f>
        <v/>
      </c>
      <c r="I151" s="20">
        <f>H151-G151</f>
        <v/>
      </c>
      <c r="J151" s="21">
        <f>IF(I151&gt;0,"BENEFIT","HEADWIND")</f>
        <v/>
      </c>
      <c r="K151" s="10">
        <f>RANK(D151,$D$4:$D$166,0)</f>
        <v/>
      </c>
    </row>
    <row r="152">
      <c r="A152" s="10">
        <f>'2_GICS_Archetype_Map'!A152</f>
        <v/>
      </c>
      <c r="B152" s="10">
        <f>'2_GICS_Archetype_Map'!B152</f>
        <v/>
      </c>
      <c r="C152" s="10">
        <f>'2_GICS_Archetype_Map'!E152</f>
        <v/>
      </c>
      <c r="D152" s="15">
        <f>INDEX('3_Archetype_Params'!$Z$4:$Z$26,MATCH(C152,'3_Archetype_Params'!$A$4:$A$26,0))</f>
        <v/>
      </c>
      <c r="E152" s="13">
        <f>INDEX('3_Archetype_Params'!$X$4:$X$26,MATCH(C152,'3_Archetype_Params'!$A$4:$A$26,0))</f>
        <v/>
      </c>
      <c r="F152" s="20">
        <f>D152*'4_Severity_Dials'!$B$4*'4_Severity_Dials'!$B$6</f>
        <v/>
      </c>
      <c r="G152" s="20">
        <f>D152*'4_Severity_Dials'!$B$7</f>
        <v/>
      </c>
      <c r="H152" s="20">
        <f>D152*E152*'4_Severity_Dials'!$B$5*'4_Severity_Dials'!$B$8</f>
        <v/>
      </c>
      <c r="I152" s="20">
        <f>H152-G152</f>
        <v/>
      </c>
      <c r="J152" s="21">
        <f>IF(I152&gt;0,"BENEFIT","HEADWIND")</f>
        <v/>
      </c>
      <c r="K152" s="10">
        <f>RANK(D152,$D$4:$D$166,0)</f>
        <v/>
      </c>
    </row>
    <row r="153">
      <c r="A153" s="10">
        <f>'2_GICS_Archetype_Map'!A153</f>
        <v/>
      </c>
      <c r="B153" s="10">
        <f>'2_GICS_Archetype_Map'!B153</f>
        <v/>
      </c>
      <c r="C153" s="10">
        <f>'2_GICS_Archetype_Map'!E153</f>
        <v/>
      </c>
      <c r="D153" s="15">
        <f>INDEX('3_Archetype_Params'!$Z$4:$Z$26,MATCH(C153,'3_Archetype_Params'!$A$4:$A$26,0))</f>
        <v/>
      </c>
      <c r="E153" s="13">
        <f>INDEX('3_Archetype_Params'!$X$4:$X$26,MATCH(C153,'3_Archetype_Params'!$A$4:$A$26,0))</f>
        <v/>
      </c>
      <c r="F153" s="20">
        <f>D153*'4_Severity_Dials'!$B$4*'4_Severity_Dials'!$B$6</f>
        <v/>
      </c>
      <c r="G153" s="20">
        <f>D153*'4_Severity_Dials'!$B$7</f>
        <v/>
      </c>
      <c r="H153" s="20">
        <f>D153*E153*'4_Severity_Dials'!$B$5*'4_Severity_Dials'!$B$8</f>
        <v/>
      </c>
      <c r="I153" s="20">
        <f>H153-G153</f>
        <v/>
      </c>
      <c r="J153" s="21">
        <f>IF(I153&gt;0,"BENEFIT","HEADWIND")</f>
        <v/>
      </c>
      <c r="K153" s="10">
        <f>RANK(D153,$D$4:$D$166,0)</f>
        <v/>
      </c>
    </row>
    <row r="154">
      <c r="A154" s="10">
        <f>'2_GICS_Archetype_Map'!A154</f>
        <v/>
      </c>
      <c r="B154" s="10">
        <f>'2_GICS_Archetype_Map'!B154</f>
        <v/>
      </c>
      <c r="C154" s="10">
        <f>'2_GICS_Archetype_Map'!E154</f>
        <v/>
      </c>
      <c r="D154" s="15">
        <f>INDEX('3_Archetype_Params'!$Z$4:$Z$26,MATCH(C154,'3_Archetype_Params'!$A$4:$A$26,0))</f>
        <v/>
      </c>
      <c r="E154" s="13">
        <f>INDEX('3_Archetype_Params'!$X$4:$X$26,MATCH(C154,'3_Archetype_Params'!$A$4:$A$26,0))</f>
        <v/>
      </c>
      <c r="F154" s="20">
        <f>D154*'4_Severity_Dials'!$B$4*'4_Severity_Dials'!$B$6</f>
        <v/>
      </c>
      <c r="G154" s="20">
        <f>D154*'4_Severity_Dials'!$B$7</f>
        <v/>
      </c>
      <c r="H154" s="20">
        <f>D154*E154*'4_Severity_Dials'!$B$5*'4_Severity_Dials'!$B$8</f>
        <v/>
      </c>
      <c r="I154" s="20">
        <f>H154-G154</f>
        <v/>
      </c>
      <c r="J154" s="21">
        <f>IF(I154&gt;0,"BENEFIT","HEADWIND")</f>
        <v/>
      </c>
      <c r="K154" s="10">
        <f>RANK(D154,$D$4:$D$166,0)</f>
        <v/>
      </c>
    </row>
    <row r="155">
      <c r="A155" s="10">
        <f>'2_GICS_Archetype_Map'!A155</f>
        <v/>
      </c>
      <c r="B155" s="10">
        <f>'2_GICS_Archetype_Map'!B155</f>
        <v/>
      </c>
      <c r="C155" s="10">
        <f>'2_GICS_Archetype_Map'!E155</f>
        <v/>
      </c>
      <c r="D155" s="15">
        <f>INDEX('3_Archetype_Params'!$Z$4:$Z$26,MATCH(C155,'3_Archetype_Params'!$A$4:$A$26,0))</f>
        <v/>
      </c>
      <c r="E155" s="13">
        <f>INDEX('3_Archetype_Params'!$X$4:$X$26,MATCH(C155,'3_Archetype_Params'!$A$4:$A$26,0))</f>
        <v/>
      </c>
      <c r="F155" s="20">
        <f>D155*'4_Severity_Dials'!$B$4*'4_Severity_Dials'!$B$6</f>
        <v/>
      </c>
      <c r="G155" s="20">
        <f>D155*'4_Severity_Dials'!$B$7</f>
        <v/>
      </c>
      <c r="H155" s="20">
        <f>D155*E155*'4_Severity_Dials'!$B$5*'4_Severity_Dials'!$B$8</f>
        <v/>
      </c>
      <c r="I155" s="20">
        <f>H155-G155</f>
        <v/>
      </c>
      <c r="J155" s="21">
        <f>IF(I155&gt;0,"BENEFIT","HEADWIND")</f>
        <v/>
      </c>
      <c r="K155" s="10">
        <f>RANK(D155,$D$4:$D$166,0)</f>
        <v/>
      </c>
    </row>
    <row r="156">
      <c r="A156" s="10">
        <f>'2_GICS_Archetype_Map'!A156</f>
        <v/>
      </c>
      <c r="B156" s="10">
        <f>'2_GICS_Archetype_Map'!B156</f>
        <v/>
      </c>
      <c r="C156" s="10">
        <f>'2_GICS_Archetype_Map'!E156</f>
        <v/>
      </c>
      <c r="D156" s="15">
        <f>INDEX('3_Archetype_Params'!$Z$4:$Z$26,MATCH(C156,'3_Archetype_Params'!$A$4:$A$26,0))</f>
        <v/>
      </c>
      <c r="E156" s="13">
        <f>INDEX('3_Archetype_Params'!$X$4:$X$26,MATCH(C156,'3_Archetype_Params'!$A$4:$A$26,0))</f>
        <v/>
      </c>
      <c r="F156" s="20">
        <f>D156*'4_Severity_Dials'!$B$4*'4_Severity_Dials'!$B$6</f>
        <v/>
      </c>
      <c r="G156" s="20">
        <f>D156*'4_Severity_Dials'!$B$7</f>
        <v/>
      </c>
      <c r="H156" s="20">
        <f>D156*E156*'4_Severity_Dials'!$B$5*'4_Severity_Dials'!$B$8</f>
        <v/>
      </c>
      <c r="I156" s="20">
        <f>H156-G156</f>
        <v/>
      </c>
      <c r="J156" s="21">
        <f>IF(I156&gt;0,"BENEFIT","HEADWIND")</f>
        <v/>
      </c>
      <c r="K156" s="10">
        <f>RANK(D156,$D$4:$D$166,0)</f>
        <v/>
      </c>
    </row>
    <row r="157">
      <c r="A157" s="10">
        <f>'2_GICS_Archetype_Map'!A157</f>
        <v/>
      </c>
      <c r="B157" s="10">
        <f>'2_GICS_Archetype_Map'!B157</f>
        <v/>
      </c>
      <c r="C157" s="10">
        <f>'2_GICS_Archetype_Map'!E157</f>
        <v/>
      </c>
      <c r="D157" s="15">
        <f>INDEX('3_Archetype_Params'!$Z$4:$Z$26,MATCH(C157,'3_Archetype_Params'!$A$4:$A$26,0))</f>
        <v/>
      </c>
      <c r="E157" s="13">
        <f>INDEX('3_Archetype_Params'!$X$4:$X$26,MATCH(C157,'3_Archetype_Params'!$A$4:$A$26,0))</f>
        <v/>
      </c>
      <c r="F157" s="20">
        <f>D157*'4_Severity_Dials'!$B$4*'4_Severity_Dials'!$B$6</f>
        <v/>
      </c>
      <c r="G157" s="20">
        <f>D157*'4_Severity_Dials'!$B$7</f>
        <v/>
      </c>
      <c r="H157" s="20">
        <f>D157*E157*'4_Severity_Dials'!$B$5*'4_Severity_Dials'!$B$8</f>
        <v/>
      </c>
      <c r="I157" s="20">
        <f>H157-G157</f>
        <v/>
      </c>
      <c r="J157" s="21">
        <f>IF(I157&gt;0,"BENEFIT","HEADWIND")</f>
        <v/>
      </c>
      <c r="K157" s="10">
        <f>RANK(D157,$D$4:$D$166,0)</f>
        <v/>
      </c>
    </row>
    <row r="158">
      <c r="A158" s="10">
        <f>'2_GICS_Archetype_Map'!A158</f>
        <v/>
      </c>
      <c r="B158" s="10">
        <f>'2_GICS_Archetype_Map'!B158</f>
        <v/>
      </c>
      <c r="C158" s="10">
        <f>'2_GICS_Archetype_Map'!E158</f>
        <v/>
      </c>
      <c r="D158" s="15">
        <f>INDEX('3_Archetype_Params'!$Z$4:$Z$26,MATCH(C158,'3_Archetype_Params'!$A$4:$A$26,0))</f>
        <v/>
      </c>
      <c r="E158" s="13">
        <f>INDEX('3_Archetype_Params'!$X$4:$X$26,MATCH(C158,'3_Archetype_Params'!$A$4:$A$26,0))</f>
        <v/>
      </c>
      <c r="F158" s="20">
        <f>D158*'4_Severity_Dials'!$B$4*'4_Severity_Dials'!$B$6</f>
        <v/>
      </c>
      <c r="G158" s="20">
        <f>D158*'4_Severity_Dials'!$B$7</f>
        <v/>
      </c>
      <c r="H158" s="20">
        <f>D158*E158*'4_Severity_Dials'!$B$5*'4_Severity_Dials'!$B$8</f>
        <v/>
      </c>
      <c r="I158" s="20">
        <f>H158-G158</f>
        <v/>
      </c>
      <c r="J158" s="21">
        <f>IF(I158&gt;0,"BENEFIT","HEADWIND")</f>
        <v/>
      </c>
      <c r="K158" s="10">
        <f>RANK(D158,$D$4:$D$166,0)</f>
        <v/>
      </c>
    </row>
    <row r="159">
      <c r="A159" s="10">
        <f>'2_GICS_Archetype_Map'!A159</f>
        <v/>
      </c>
      <c r="B159" s="10">
        <f>'2_GICS_Archetype_Map'!B159</f>
        <v/>
      </c>
      <c r="C159" s="10">
        <f>'2_GICS_Archetype_Map'!E159</f>
        <v/>
      </c>
      <c r="D159" s="15">
        <f>INDEX('3_Archetype_Params'!$Z$4:$Z$26,MATCH(C159,'3_Archetype_Params'!$A$4:$A$26,0))</f>
        <v/>
      </c>
      <c r="E159" s="13">
        <f>INDEX('3_Archetype_Params'!$X$4:$X$26,MATCH(C159,'3_Archetype_Params'!$A$4:$A$26,0))</f>
        <v/>
      </c>
      <c r="F159" s="20">
        <f>D159*'4_Severity_Dials'!$B$4*'4_Severity_Dials'!$B$6</f>
        <v/>
      </c>
      <c r="G159" s="20">
        <f>D159*'4_Severity_Dials'!$B$7</f>
        <v/>
      </c>
      <c r="H159" s="20">
        <f>D159*E159*'4_Severity_Dials'!$B$5*'4_Severity_Dials'!$B$8</f>
        <v/>
      </c>
      <c r="I159" s="20">
        <f>H159-G159</f>
        <v/>
      </c>
      <c r="J159" s="21">
        <f>IF(I159&gt;0,"BENEFIT","HEADWIND")</f>
        <v/>
      </c>
      <c r="K159" s="10">
        <f>RANK(D159,$D$4:$D$166,0)</f>
        <v/>
      </c>
    </row>
    <row r="160">
      <c r="A160" s="10">
        <f>'2_GICS_Archetype_Map'!A160</f>
        <v/>
      </c>
      <c r="B160" s="10">
        <f>'2_GICS_Archetype_Map'!B160</f>
        <v/>
      </c>
      <c r="C160" s="10">
        <f>'2_GICS_Archetype_Map'!E160</f>
        <v/>
      </c>
      <c r="D160" s="15">
        <f>INDEX('3_Archetype_Params'!$Z$4:$Z$26,MATCH(C160,'3_Archetype_Params'!$A$4:$A$26,0))</f>
        <v/>
      </c>
      <c r="E160" s="13">
        <f>INDEX('3_Archetype_Params'!$X$4:$X$26,MATCH(C160,'3_Archetype_Params'!$A$4:$A$26,0))</f>
        <v/>
      </c>
      <c r="F160" s="20">
        <f>D160*'4_Severity_Dials'!$B$4*'4_Severity_Dials'!$B$6</f>
        <v/>
      </c>
      <c r="G160" s="20">
        <f>D160*'4_Severity_Dials'!$B$7</f>
        <v/>
      </c>
      <c r="H160" s="20">
        <f>D160*E160*'4_Severity_Dials'!$B$5*'4_Severity_Dials'!$B$8</f>
        <v/>
      </c>
      <c r="I160" s="20">
        <f>H160-G160</f>
        <v/>
      </c>
      <c r="J160" s="21">
        <f>IF(I160&gt;0,"BENEFIT","HEADWIND")</f>
        <v/>
      </c>
      <c r="K160" s="10">
        <f>RANK(D160,$D$4:$D$166,0)</f>
        <v/>
      </c>
    </row>
    <row r="161">
      <c r="A161" s="10">
        <f>'2_GICS_Archetype_Map'!A161</f>
        <v/>
      </c>
      <c r="B161" s="10">
        <f>'2_GICS_Archetype_Map'!B161</f>
        <v/>
      </c>
      <c r="C161" s="10">
        <f>'2_GICS_Archetype_Map'!E161</f>
        <v/>
      </c>
      <c r="D161" s="15">
        <f>INDEX('3_Archetype_Params'!$Z$4:$Z$26,MATCH(C161,'3_Archetype_Params'!$A$4:$A$26,0))</f>
        <v/>
      </c>
      <c r="E161" s="13">
        <f>INDEX('3_Archetype_Params'!$X$4:$X$26,MATCH(C161,'3_Archetype_Params'!$A$4:$A$26,0))</f>
        <v/>
      </c>
      <c r="F161" s="20">
        <f>D161*'4_Severity_Dials'!$B$4*'4_Severity_Dials'!$B$6</f>
        <v/>
      </c>
      <c r="G161" s="20">
        <f>D161*'4_Severity_Dials'!$B$7</f>
        <v/>
      </c>
      <c r="H161" s="20">
        <f>D161*E161*'4_Severity_Dials'!$B$5*'4_Severity_Dials'!$B$8</f>
        <v/>
      </c>
      <c r="I161" s="20">
        <f>H161-G161</f>
        <v/>
      </c>
      <c r="J161" s="21">
        <f>IF(I161&gt;0,"BENEFIT","HEADWIND")</f>
        <v/>
      </c>
      <c r="K161" s="10">
        <f>RANK(D161,$D$4:$D$166,0)</f>
        <v/>
      </c>
    </row>
    <row r="162">
      <c r="A162" s="10">
        <f>'2_GICS_Archetype_Map'!A162</f>
        <v/>
      </c>
      <c r="B162" s="10">
        <f>'2_GICS_Archetype_Map'!B162</f>
        <v/>
      </c>
      <c r="C162" s="10">
        <f>'2_GICS_Archetype_Map'!E162</f>
        <v/>
      </c>
      <c r="D162" s="15">
        <f>INDEX('3_Archetype_Params'!$Z$4:$Z$26,MATCH(C162,'3_Archetype_Params'!$A$4:$A$26,0))</f>
        <v/>
      </c>
      <c r="E162" s="13">
        <f>INDEX('3_Archetype_Params'!$X$4:$X$26,MATCH(C162,'3_Archetype_Params'!$A$4:$A$26,0))</f>
        <v/>
      </c>
      <c r="F162" s="20">
        <f>D162*'4_Severity_Dials'!$B$4*'4_Severity_Dials'!$B$6</f>
        <v/>
      </c>
      <c r="G162" s="20">
        <f>D162*'4_Severity_Dials'!$B$7</f>
        <v/>
      </c>
      <c r="H162" s="20">
        <f>D162*E162*'4_Severity_Dials'!$B$5*'4_Severity_Dials'!$B$8</f>
        <v/>
      </c>
      <c r="I162" s="20">
        <f>H162-G162</f>
        <v/>
      </c>
      <c r="J162" s="21">
        <f>IF(I162&gt;0,"BENEFIT","HEADWIND")</f>
        <v/>
      </c>
      <c r="K162" s="10">
        <f>RANK(D162,$D$4:$D$166,0)</f>
        <v/>
      </c>
    </row>
    <row r="163">
      <c r="A163" s="10">
        <f>'2_GICS_Archetype_Map'!A163</f>
        <v/>
      </c>
      <c r="B163" s="10">
        <f>'2_GICS_Archetype_Map'!B163</f>
        <v/>
      </c>
      <c r="C163" s="10">
        <f>'2_GICS_Archetype_Map'!E163</f>
        <v/>
      </c>
      <c r="D163" s="15">
        <f>INDEX('3_Archetype_Params'!$Z$4:$Z$26,MATCH(C163,'3_Archetype_Params'!$A$4:$A$26,0))</f>
        <v/>
      </c>
      <c r="E163" s="13">
        <f>INDEX('3_Archetype_Params'!$X$4:$X$26,MATCH(C163,'3_Archetype_Params'!$A$4:$A$26,0))</f>
        <v/>
      </c>
      <c r="F163" s="20">
        <f>D163*'4_Severity_Dials'!$B$4*'4_Severity_Dials'!$B$6</f>
        <v/>
      </c>
      <c r="G163" s="20">
        <f>D163*'4_Severity_Dials'!$B$7</f>
        <v/>
      </c>
      <c r="H163" s="20">
        <f>D163*E163*'4_Severity_Dials'!$B$5*'4_Severity_Dials'!$B$8</f>
        <v/>
      </c>
      <c r="I163" s="20">
        <f>H163-G163</f>
        <v/>
      </c>
      <c r="J163" s="21">
        <f>IF(I163&gt;0,"BENEFIT","HEADWIND")</f>
        <v/>
      </c>
      <c r="K163" s="10">
        <f>RANK(D163,$D$4:$D$166,0)</f>
        <v/>
      </c>
    </row>
    <row r="164">
      <c r="A164" s="10">
        <f>'2_GICS_Archetype_Map'!A164</f>
        <v/>
      </c>
      <c r="B164" s="10">
        <f>'2_GICS_Archetype_Map'!B164</f>
        <v/>
      </c>
      <c r="C164" s="10">
        <f>'2_GICS_Archetype_Map'!E164</f>
        <v/>
      </c>
      <c r="D164" s="15">
        <f>INDEX('3_Archetype_Params'!$Z$4:$Z$26,MATCH(C164,'3_Archetype_Params'!$A$4:$A$26,0))</f>
        <v/>
      </c>
      <c r="E164" s="13">
        <f>INDEX('3_Archetype_Params'!$X$4:$X$26,MATCH(C164,'3_Archetype_Params'!$A$4:$A$26,0))</f>
        <v/>
      </c>
      <c r="F164" s="20">
        <f>D164*'4_Severity_Dials'!$B$4*'4_Severity_Dials'!$B$6</f>
        <v/>
      </c>
      <c r="G164" s="20">
        <f>D164*'4_Severity_Dials'!$B$7</f>
        <v/>
      </c>
      <c r="H164" s="20">
        <f>D164*E164*'4_Severity_Dials'!$B$5*'4_Severity_Dials'!$B$8</f>
        <v/>
      </c>
      <c r="I164" s="20">
        <f>H164-G164</f>
        <v/>
      </c>
      <c r="J164" s="21">
        <f>IF(I164&gt;0,"BENEFIT","HEADWIND")</f>
        <v/>
      </c>
      <c r="K164" s="10">
        <f>RANK(D164,$D$4:$D$166,0)</f>
        <v/>
      </c>
    </row>
    <row r="165">
      <c r="A165" s="10">
        <f>'2_GICS_Archetype_Map'!A165</f>
        <v/>
      </c>
      <c r="B165" s="10">
        <f>'2_GICS_Archetype_Map'!B165</f>
        <v/>
      </c>
      <c r="C165" s="10">
        <f>'2_GICS_Archetype_Map'!E165</f>
        <v/>
      </c>
      <c r="D165" s="15">
        <f>INDEX('3_Archetype_Params'!$Z$4:$Z$26,MATCH(C165,'3_Archetype_Params'!$A$4:$A$26,0))</f>
        <v/>
      </c>
      <c r="E165" s="13">
        <f>INDEX('3_Archetype_Params'!$X$4:$X$26,MATCH(C165,'3_Archetype_Params'!$A$4:$A$26,0))</f>
        <v/>
      </c>
      <c r="F165" s="20">
        <f>D165*'4_Severity_Dials'!$B$4*'4_Severity_Dials'!$B$6</f>
        <v/>
      </c>
      <c r="G165" s="20">
        <f>D165*'4_Severity_Dials'!$B$7</f>
        <v/>
      </c>
      <c r="H165" s="20">
        <f>D165*E165*'4_Severity_Dials'!$B$5*'4_Severity_Dials'!$B$8</f>
        <v/>
      </c>
      <c r="I165" s="20">
        <f>H165-G165</f>
        <v/>
      </c>
      <c r="J165" s="21">
        <f>IF(I165&gt;0,"BENEFIT","HEADWIND")</f>
        <v/>
      </c>
      <c r="K165" s="10">
        <f>RANK(D165,$D$4:$D$166,0)</f>
        <v/>
      </c>
    </row>
    <row r="166">
      <c r="A166" s="10">
        <f>'2_GICS_Archetype_Map'!A166</f>
        <v/>
      </c>
      <c r="B166" s="10">
        <f>'2_GICS_Archetype_Map'!B166</f>
        <v/>
      </c>
      <c r="C166" s="10">
        <f>'2_GICS_Archetype_Map'!E166</f>
        <v/>
      </c>
      <c r="D166" s="15">
        <f>INDEX('3_Archetype_Params'!$Z$4:$Z$26,MATCH(C166,'3_Archetype_Params'!$A$4:$A$26,0))</f>
        <v/>
      </c>
      <c r="E166" s="13">
        <f>INDEX('3_Archetype_Params'!$X$4:$X$26,MATCH(C166,'3_Archetype_Params'!$A$4:$A$26,0))</f>
        <v/>
      </c>
      <c r="F166" s="20">
        <f>D166*'4_Severity_Dials'!$B$4*'4_Severity_Dials'!$B$6</f>
        <v/>
      </c>
      <c r="G166" s="20">
        <f>D166*'4_Severity_Dials'!$B$7</f>
        <v/>
      </c>
      <c r="H166" s="20">
        <f>D166*E166*'4_Severity_Dials'!$B$5*'4_Severity_Dials'!$B$8</f>
        <v/>
      </c>
      <c r="I166" s="20">
        <f>H166-G166</f>
        <v/>
      </c>
      <c r="J166" s="21">
        <f>IF(I166&gt;0,"BENEFIT","HEADWIND")</f>
        <v/>
      </c>
      <c r="K166" s="10">
        <f>RANK(D166,$D$4:$D$166,0)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2026-08-08T13:53:32Z</dcterms:created>
  <dcterms:modified xmlns:dcterms="http://purl.org/dc/terms/" xmlns:xsi="http://www.w3.org/2001/XMLSchema-instance" xsi:type="dcterms:W3CDTF">2026-08-08T13:53:33Z</dcterms:modified>
</cp:coreProperties>
</file>