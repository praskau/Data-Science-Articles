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kaushik/Desktop/Claude/"/>
    </mc:Choice>
  </mc:AlternateContent>
  <xr:revisionPtr revIDLastSave="0" documentId="8_{9856A16C-4298-8046-98EC-2F879BF04F37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Dashboard" sheetId="1" r:id="rId1"/>
    <sheet name="CRO Charts" sheetId="2" r:id="rId2"/>
    <sheet name="Data Guide" sheetId="3" r:id="rId3"/>
    <sheet name="DL" sheetId="4" r:id="rId4"/>
    <sheet name="InfraDebt" sheetId="5" r:id="rId5"/>
    <sheet name="RCF" sheetId="6" r:id="rId6"/>
    <sheet name="NAV" sheetId="7" r:id="rId7"/>
    <sheet name="TWCS" sheetId="8" r:id="rId8"/>
    <sheet name="HAIL RE" sheetId="9" r:id="rId9"/>
    <sheet name="HTRE RE" sheetId="10" r:id="rId10"/>
    <sheet name="RE Asia" sheetId="11" r:id="rId11"/>
    <sheet name="REIM" sheetId="12" r:id="rId12"/>
    <sheet name="ETI" sheetId="13" r:id="rId13"/>
    <sheet name="HF" sheetId="14" r:id="rId14"/>
    <sheet name="PrivMkts" sheetId="15" r:id="rId15"/>
    <sheet name="VC" sheetId="16" r:id="rId1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6" l="1"/>
  <c r="D11" i="16"/>
  <c r="C11" i="16"/>
  <c r="B11" i="16"/>
  <c r="F11" i="16" s="1"/>
  <c r="E10" i="16"/>
  <c r="D10" i="16"/>
  <c r="C10" i="16"/>
  <c r="B10" i="16"/>
  <c r="F10" i="16" s="1"/>
  <c r="E9" i="16"/>
  <c r="D9" i="16"/>
  <c r="C9" i="16"/>
  <c r="B9" i="16"/>
  <c r="F9" i="16" s="1"/>
  <c r="E8" i="16"/>
  <c r="D8" i="16"/>
  <c r="C8" i="16"/>
  <c r="B8" i="16"/>
  <c r="F8" i="16" s="1"/>
  <c r="H85" i="1" s="1"/>
  <c r="E7" i="16"/>
  <c r="E12" i="16" s="1"/>
  <c r="D7" i="16"/>
  <c r="F7" i="16" s="1"/>
  <c r="C7" i="16"/>
  <c r="C12" i="16" s="1"/>
  <c r="U22" i="2" s="1"/>
  <c r="B7" i="16"/>
  <c r="B12" i="16" s="1"/>
  <c r="E11" i="15"/>
  <c r="D11" i="15"/>
  <c r="C11" i="15"/>
  <c r="F11" i="15" s="1"/>
  <c r="B11" i="15"/>
  <c r="E10" i="15"/>
  <c r="D10" i="15"/>
  <c r="C10" i="15"/>
  <c r="B10" i="15"/>
  <c r="F10" i="15" s="1"/>
  <c r="E9" i="15"/>
  <c r="D9" i="15"/>
  <c r="C9" i="15"/>
  <c r="B9" i="15"/>
  <c r="F9" i="15" s="1"/>
  <c r="E8" i="15"/>
  <c r="D8" i="15"/>
  <c r="C8" i="15"/>
  <c r="B8" i="15"/>
  <c r="F8" i="15" s="1"/>
  <c r="H79" i="1" s="1"/>
  <c r="E7" i="15"/>
  <c r="E12" i="15" s="1"/>
  <c r="D7" i="15"/>
  <c r="D12" i="15" s="1"/>
  <c r="C7" i="15"/>
  <c r="C12" i="15" s="1"/>
  <c r="U21" i="2" s="1"/>
  <c r="B7" i="15"/>
  <c r="B12" i="15" s="1"/>
  <c r="E11" i="14"/>
  <c r="D11" i="14"/>
  <c r="F11" i="14" s="1"/>
  <c r="C11" i="14"/>
  <c r="B11" i="14"/>
  <c r="E10" i="14"/>
  <c r="D10" i="14"/>
  <c r="C10" i="14"/>
  <c r="F10" i="14" s="1"/>
  <c r="B10" i="14"/>
  <c r="F9" i="14"/>
  <c r="E9" i="14"/>
  <c r="D9" i="14"/>
  <c r="C9" i="14"/>
  <c r="B9" i="14"/>
  <c r="E8" i="14"/>
  <c r="D8" i="14"/>
  <c r="C8" i="14"/>
  <c r="B8" i="14"/>
  <c r="F8" i="14" s="1"/>
  <c r="H73" i="1" s="1"/>
  <c r="E7" i="14"/>
  <c r="E12" i="14" s="1"/>
  <c r="D7" i="14"/>
  <c r="D12" i="14" s="1"/>
  <c r="C7" i="14"/>
  <c r="C12" i="14" s="1"/>
  <c r="B7" i="14"/>
  <c r="B12" i="14" s="1"/>
  <c r="D70" i="1" s="1"/>
  <c r="E11" i="13"/>
  <c r="D11" i="13"/>
  <c r="C11" i="13"/>
  <c r="B11" i="13"/>
  <c r="F11" i="13" s="1"/>
  <c r="E10" i="13"/>
  <c r="D10" i="13"/>
  <c r="C10" i="13"/>
  <c r="B10" i="13"/>
  <c r="F10" i="13" s="1"/>
  <c r="H67" i="1" s="1"/>
  <c r="E9" i="13"/>
  <c r="D9" i="13"/>
  <c r="F9" i="13" s="1"/>
  <c r="C9" i="13"/>
  <c r="B9" i="13"/>
  <c r="E8" i="13"/>
  <c r="E12" i="13" s="1"/>
  <c r="D8" i="13"/>
  <c r="C8" i="13"/>
  <c r="F8" i="13" s="1"/>
  <c r="B8" i="13"/>
  <c r="F7" i="13"/>
  <c r="E7" i="13"/>
  <c r="D7" i="13"/>
  <c r="D12" i="13" s="1"/>
  <c r="C7" i="13"/>
  <c r="C12" i="13" s="1"/>
  <c r="B7" i="13"/>
  <c r="B12" i="13" s="1"/>
  <c r="E11" i="12"/>
  <c r="D11" i="12"/>
  <c r="C11" i="12"/>
  <c r="B11" i="12"/>
  <c r="F11" i="12" s="1"/>
  <c r="E10" i="12"/>
  <c r="E12" i="12" s="1"/>
  <c r="D10" i="12"/>
  <c r="C10" i="12"/>
  <c r="B10" i="12"/>
  <c r="F10" i="12" s="1"/>
  <c r="H61" i="1" s="1"/>
  <c r="E9" i="12"/>
  <c r="D9" i="12"/>
  <c r="C9" i="12"/>
  <c r="B9" i="12"/>
  <c r="F9" i="12" s="1"/>
  <c r="E8" i="12"/>
  <c r="D8" i="12"/>
  <c r="C8" i="12"/>
  <c r="C12" i="12" s="1"/>
  <c r="B8" i="12"/>
  <c r="F8" i="12" s="1"/>
  <c r="E7" i="12"/>
  <c r="D7" i="12"/>
  <c r="F7" i="12" s="1"/>
  <c r="F12" i="12" s="1"/>
  <c r="Y18" i="2" s="1"/>
  <c r="C7" i="12"/>
  <c r="B7" i="12"/>
  <c r="B12" i="12" s="1"/>
  <c r="D57" i="1" s="1"/>
  <c r="F11" i="11"/>
  <c r="E11" i="11"/>
  <c r="D11" i="11"/>
  <c r="C11" i="11"/>
  <c r="B11" i="11"/>
  <c r="E10" i="11"/>
  <c r="D10" i="11"/>
  <c r="C10" i="11"/>
  <c r="C12" i="11" s="1"/>
  <c r="B10" i="11"/>
  <c r="F10" i="11" s="1"/>
  <c r="H55" i="1" s="1"/>
  <c r="E9" i="11"/>
  <c r="D9" i="11"/>
  <c r="C9" i="11"/>
  <c r="B9" i="11"/>
  <c r="F9" i="11" s="1"/>
  <c r="E8" i="11"/>
  <c r="E12" i="11" s="1"/>
  <c r="D8" i="11"/>
  <c r="C8" i="11"/>
  <c r="B8" i="11"/>
  <c r="F8" i="11" s="1"/>
  <c r="E7" i="11"/>
  <c r="D7" i="11"/>
  <c r="D12" i="11" s="1"/>
  <c r="C7" i="11"/>
  <c r="B7" i="11"/>
  <c r="B12" i="11" s="1"/>
  <c r="D51" i="1" s="1"/>
  <c r="E11" i="10"/>
  <c r="D11" i="10"/>
  <c r="F11" i="10" s="1"/>
  <c r="C11" i="10"/>
  <c r="B11" i="10"/>
  <c r="E10" i="10"/>
  <c r="D10" i="10"/>
  <c r="C10" i="10"/>
  <c r="F10" i="10" s="1"/>
  <c r="H49" i="1" s="1"/>
  <c r="B10" i="10"/>
  <c r="F9" i="10"/>
  <c r="E9" i="10"/>
  <c r="D9" i="10"/>
  <c r="C9" i="10"/>
  <c r="B9" i="10"/>
  <c r="E8" i="10"/>
  <c r="D8" i="10"/>
  <c r="C8" i="10"/>
  <c r="C12" i="10" s="1"/>
  <c r="B8" i="10"/>
  <c r="F8" i="10" s="1"/>
  <c r="E7" i="10"/>
  <c r="E12" i="10" s="1"/>
  <c r="D7" i="10"/>
  <c r="F46" i="1" s="1"/>
  <c r="C7" i="10"/>
  <c r="B7" i="10"/>
  <c r="B12" i="10" s="1"/>
  <c r="D45" i="1" s="1"/>
  <c r="E11" i="9"/>
  <c r="D11" i="9"/>
  <c r="C11" i="9"/>
  <c r="B11" i="9"/>
  <c r="F11" i="9" s="1"/>
  <c r="E10" i="9"/>
  <c r="D10" i="9"/>
  <c r="C10" i="9"/>
  <c r="B10" i="9"/>
  <c r="F10" i="9" s="1"/>
  <c r="H43" i="1" s="1"/>
  <c r="E9" i="9"/>
  <c r="D9" i="9"/>
  <c r="F9" i="9" s="1"/>
  <c r="C9" i="9"/>
  <c r="B9" i="9"/>
  <c r="E8" i="9"/>
  <c r="E12" i="9" s="1"/>
  <c r="D8" i="9"/>
  <c r="C8" i="9"/>
  <c r="F8" i="9" s="1"/>
  <c r="B8" i="9"/>
  <c r="E7" i="9"/>
  <c r="D7" i="9"/>
  <c r="D12" i="9" s="1"/>
  <c r="C7" i="9"/>
  <c r="C12" i="9" s="1"/>
  <c r="B7" i="9"/>
  <c r="E11" i="8"/>
  <c r="D11" i="8"/>
  <c r="C11" i="8"/>
  <c r="B11" i="8"/>
  <c r="E10" i="8"/>
  <c r="E12" i="8" s="1"/>
  <c r="D10" i="8"/>
  <c r="C10" i="8"/>
  <c r="B10" i="8"/>
  <c r="F10" i="8" s="1"/>
  <c r="H35" i="1" s="1"/>
  <c r="F9" i="8"/>
  <c r="E9" i="8"/>
  <c r="D9" i="8"/>
  <c r="C9" i="8"/>
  <c r="B9" i="8"/>
  <c r="E8" i="8"/>
  <c r="D8" i="8"/>
  <c r="C8" i="8"/>
  <c r="C12" i="8" s="1"/>
  <c r="B8" i="8"/>
  <c r="E7" i="8"/>
  <c r="D7" i="8"/>
  <c r="F7" i="8" s="1"/>
  <c r="C7" i="8"/>
  <c r="B7" i="8"/>
  <c r="B12" i="8" s="1"/>
  <c r="E12" i="7"/>
  <c r="E11" i="7"/>
  <c r="D11" i="7"/>
  <c r="C11" i="7"/>
  <c r="E30" i="1" s="1"/>
  <c r="B11" i="7"/>
  <c r="F11" i="7" s="1"/>
  <c r="H30" i="1" s="1"/>
  <c r="E10" i="7"/>
  <c r="D10" i="7"/>
  <c r="C10" i="7"/>
  <c r="C12" i="7" s="1"/>
  <c r="B10" i="7"/>
  <c r="F10" i="7" s="1"/>
  <c r="H29" i="1" s="1"/>
  <c r="E9" i="7"/>
  <c r="G28" i="1" s="1"/>
  <c r="D9" i="7"/>
  <c r="C9" i="7"/>
  <c r="B9" i="7"/>
  <c r="F9" i="7" s="1"/>
  <c r="H28" i="1" s="1"/>
  <c r="E8" i="7"/>
  <c r="G27" i="1" s="1"/>
  <c r="D8" i="7"/>
  <c r="C8" i="7"/>
  <c r="B8" i="7"/>
  <c r="D27" i="1" s="1"/>
  <c r="F7" i="7"/>
  <c r="E7" i="7"/>
  <c r="D7" i="7"/>
  <c r="C7" i="7"/>
  <c r="B7" i="7"/>
  <c r="E11" i="6"/>
  <c r="D11" i="6"/>
  <c r="F11" i="6" s="1"/>
  <c r="H24" i="1" s="1"/>
  <c r="C11" i="6"/>
  <c r="B11" i="6"/>
  <c r="E10" i="6"/>
  <c r="D10" i="6"/>
  <c r="C10" i="6"/>
  <c r="B10" i="6"/>
  <c r="E9" i="6"/>
  <c r="D9" i="6"/>
  <c r="C9" i="6"/>
  <c r="U27" i="2" s="1"/>
  <c r="B9" i="6"/>
  <c r="F9" i="6" s="1"/>
  <c r="H22" i="1" s="1"/>
  <c r="E8" i="6"/>
  <c r="G21" i="1" s="1"/>
  <c r="D8" i="6"/>
  <c r="C8" i="6"/>
  <c r="C12" i="6" s="1"/>
  <c r="B8" i="6"/>
  <c r="E7" i="6"/>
  <c r="W25" i="2" s="1"/>
  <c r="D7" i="6"/>
  <c r="C7" i="6"/>
  <c r="B7" i="6"/>
  <c r="E11" i="5"/>
  <c r="D11" i="5"/>
  <c r="C11" i="5"/>
  <c r="B11" i="5"/>
  <c r="F11" i="5" s="1"/>
  <c r="H18" i="1" s="1"/>
  <c r="E10" i="5"/>
  <c r="D10" i="5"/>
  <c r="F17" i="1" s="1"/>
  <c r="C10" i="5"/>
  <c r="B10" i="5"/>
  <c r="E9" i="5"/>
  <c r="D9" i="5"/>
  <c r="F9" i="5" s="1"/>
  <c r="H16" i="1" s="1"/>
  <c r="C9" i="5"/>
  <c r="B9" i="5"/>
  <c r="E8" i="5"/>
  <c r="E12" i="5" s="1"/>
  <c r="D8" i="5"/>
  <c r="C8" i="5"/>
  <c r="B8" i="5"/>
  <c r="E7" i="5"/>
  <c r="D7" i="5"/>
  <c r="C7" i="5"/>
  <c r="U25" i="2" s="1"/>
  <c r="B7" i="5"/>
  <c r="E12" i="4"/>
  <c r="E11" i="4"/>
  <c r="W29" i="2" s="1"/>
  <c r="D11" i="4"/>
  <c r="F12" i="1" s="1"/>
  <c r="C11" i="4"/>
  <c r="B11" i="4"/>
  <c r="E10" i="4"/>
  <c r="W28" i="2" s="1"/>
  <c r="D10" i="4"/>
  <c r="C10" i="4"/>
  <c r="B10" i="4"/>
  <c r="E9" i="4"/>
  <c r="D9" i="4"/>
  <c r="F10" i="1" s="1"/>
  <c r="C9" i="4"/>
  <c r="B9" i="4"/>
  <c r="D10" i="1" s="1"/>
  <c r="E8" i="4"/>
  <c r="D8" i="4"/>
  <c r="V26" i="2" s="1"/>
  <c r="C8" i="4"/>
  <c r="U26" i="2" s="1"/>
  <c r="B8" i="4"/>
  <c r="E7" i="4"/>
  <c r="D7" i="4"/>
  <c r="D12" i="4" s="1"/>
  <c r="V10" i="2" s="1"/>
  <c r="C7" i="4"/>
  <c r="B7" i="4"/>
  <c r="B12" i="4" s="1"/>
  <c r="D7" i="1" s="1"/>
  <c r="T39" i="2"/>
  <c r="V28" i="2"/>
  <c r="X28" i="2" s="1"/>
  <c r="T28" i="2"/>
  <c r="W27" i="2"/>
  <c r="V27" i="2"/>
  <c r="X27" i="2" s="1"/>
  <c r="T27" i="2"/>
  <c r="T26" i="2"/>
  <c r="T22" i="2"/>
  <c r="V21" i="2"/>
  <c r="T21" i="2"/>
  <c r="T20" i="2"/>
  <c r="V19" i="2"/>
  <c r="T41" i="2" s="1"/>
  <c r="T18" i="2"/>
  <c r="V17" i="2"/>
  <c r="T17" i="2"/>
  <c r="T16" i="2"/>
  <c r="V15" i="2"/>
  <c r="T14" i="2"/>
  <c r="U6" i="2"/>
  <c r="T6" i="2"/>
  <c r="W5" i="2"/>
  <c r="C111" i="1"/>
  <c r="E110" i="1"/>
  <c r="C110" i="1"/>
  <c r="C109" i="1"/>
  <c r="G108" i="1"/>
  <c r="E108" i="1"/>
  <c r="C108" i="1"/>
  <c r="E107" i="1"/>
  <c r="C107" i="1"/>
  <c r="E106" i="1"/>
  <c r="G106" i="1" s="1"/>
  <c r="C106" i="1"/>
  <c r="C105" i="1"/>
  <c r="D104" i="1"/>
  <c r="C104" i="1"/>
  <c r="C103" i="1"/>
  <c r="E102" i="1"/>
  <c r="C102" i="1"/>
  <c r="C101" i="1"/>
  <c r="C100" i="1"/>
  <c r="C99" i="1"/>
  <c r="H88" i="1"/>
  <c r="G88" i="1"/>
  <c r="F88" i="1"/>
  <c r="E88" i="1"/>
  <c r="D88" i="1"/>
  <c r="H87" i="1"/>
  <c r="G87" i="1"/>
  <c r="F87" i="1"/>
  <c r="E87" i="1"/>
  <c r="D87" i="1"/>
  <c r="H86" i="1"/>
  <c r="G86" i="1"/>
  <c r="F86" i="1"/>
  <c r="E86" i="1"/>
  <c r="D86" i="1"/>
  <c r="G85" i="1"/>
  <c r="F85" i="1"/>
  <c r="E85" i="1"/>
  <c r="D85" i="1"/>
  <c r="G84" i="1"/>
  <c r="F84" i="1"/>
  <c r="E84" i="1"/>
  <c r="D84" i="1"/>
  <c r="E83" i="1"/>
  <c r="D83" i="1"/>
  <c r="C83" i="1"/>
  <c r="H82" i="1"/>
  <c r="G82" i="1"/>
  <c r="F82" i="1"/>
  <c r="E82" i="1"/>
  <c r="D82" i="1"/>
  <c r="H81" i="1"/>
  <c r="G81" i="1"/>
  <c r="F81" i="1"/>
  <c r="E81" i="1"/>
  <c r="D81" i="1"/>
  <c r="H80" i="1"/>
  <c r="G80" i="1"/>
  <c r="F80" i="1"/>
  <c r="E80" i="1"/>
  <c r="D80" i="1"/>
  <c r="G79" i="1"/>
  <c r="F79" i="1"/>
  <c r="E79" i="1"/>
  <c r="D79" i="1"/>
  <c r="G78" i="1"/>
  <c r="F78" i="1"/>
  <c r="E78" i="1"/>
  <c r="D78" i="1"/>
  <c r="E77" i="1"/>
  <c r="D77" i="1"/>
  <c r="C77" i="1"/>
  <c r="H76" i="1"/>
  <c r="G76" i="1"/>
  <c r="F76" i="1"/>
  <c r="E76" i="1"/>
  <c r="D76" i="1"/>
  <c r="H75" i="1"/>
  <c r="G75" i="1"/>
  <c r="F75" i="1"/>
  <c r="E75" i="1"/>
  <c r="D75" i="1"/>
  <c r="H74" i="1"/>
  <c r="G74" i="1"/>
  <c r="F74" i="1"/>
  <c r="E74" i="1"/>
  <c r="D74" i="1"/>
  <c r="G73" i="1"/>
  <c r="F73" i="1"/>
  <c r="E73" i="1"/>
  <c r="D73" i="1"/>
  <c r="G72" i="1"/>
  <c r="F72" i="1"/>
  <c r="E72" i="1"/>
  <c r="D72" i="1"/>
  <c r="E71" i="1"/>
  <c r="D71" i="1"/>
  <c r="C71" i="1"/>
  <c r="C70" i="1"/>
  <c r="H68" i="1"/>
  <c r="G68" i="1"/>
  <c r="F68" i="1"/>
  <c r="E68" i="1"/>
  <c r="D68" i="1"/>
  <c r="G67" i="1"/>
  <c r="F67" i="1"/>
  <c r="E67" i="1"/>
  <c r="D67" i="1"/>
  <c r="H66" i="1"/>
  <c r="G66" i="1"/>
  <c r="F66" i="1"/>
  <c r="E66" i="1"/>
  <c r="D66" i="1"/>
  <c r="H65" i="1"/>
  <c r="G65" i="1"/>
  <c r="F65" i="1"/>
  <c r="E65" i="1"/>
  <c r="D65" i="1"/>
  <c r="H64" i="1"/>
  <c r="G64" i="1"/>
  <c r="F64" i="1"/>
  <c r="E64" i="1"/>
  <c r="D64" i="1"/>
  <c r="F63" i="1"/>
  <c r="C63" i="1"/>
  <c r="H62" i="1"/>
  <c r="G62" i="1"/>
  <c r="F62" i="1"/>
  <c r="E62" i="1"/>
  <c r="D62" i="1"/>
  <c r="G61" i="1"/>
  <c r="F61" i="1"/>
  <c r="E61" i="1"/>
  <c r="D61" i="1"/>
  <c r="H60" i="1"/>
  <c r="G60" i="1"/>
  <c r="F60" i="1"/>
  <c r="E60" i="1"/>
  <c r="D60" i="1"/>
  <c r="H59" i="1"/>
  <c r="G59" i="1"/>
  <c r="F59" i="1"/>
  <c r="E59" i="1"/>
  <c r="D59" i="1"/>
  <c r="H58" i="1"/>
  <c r="G58" i="1"/>
  <c r="F58" i="1"/>
  <c r="E58" i="1"/>
  <c r="D58" i="1"/>
  <c r="H57" i="1"/>
  <c r="C57" i="1"/>
  <c r="H56" i="1"/>
  <c r="G56" i="1"/>
  <c r="F56" i="1"/>
  <c r="E56" i="1"/>
  <c r="D56" i="1"/>
  <c r="G55" i="1"/>
  <c r="F55" i="1"/>
  <c r="E55" i="1"/>
  <c r="D55" i="1"/>
  <c r="H54" i="1"/>
  <c r="G54" i="1"/>
  <c r="F54" i="1"/>
  <c r="E54" i="1"/>
  <c r="D54" i="1"/>
  <c r="H53" i="1"/>
  <c r="G53" i="1"/>
  <c r="F53" i="1"/>
  <c r="E53" i="1"/>
  <c r="D53" i="1"/>
  <c r="G52" i="1"/>
  <c r="F52" i="1"/>
  <c r="E52" i="1"/>
  <c r="D52" i="1"/>
  <c r="F51" i="1"/>
  <c r="C51" i="1"/>
  <c r="H50" i="1"/>
  <c r="G50" i="1"/>
  <c r="F50" i="1"/>
  <c r="E50" i="1"/>
  <c r="D50" i="1"/>
  <c r="G49" i="1"/>
  <c r="F49" i="1"/>
  <c r="E49" i="1"/>
  <c r="D49" i="1"/>
  <c r="H48" i="1"/>
  <c r="G48" i="1"/>
  <c r="F48" i="1"/>
  <c r="E48" i="1"/>
  <c r="D48" i="1"/>
  <c r="H47" i="1"/>
  <c r="G47" i="1"/>
  <c r="F47" i="1"/>
  <c r="E47" i="1"/>
  <c r="D47" i="1"/>
  <c r="G46" i="1"/>
  <c r="E46" i="1"/>
  <c r="D46" i="1"/>
  <c r="C45" i="1"/>
  <c r="H44" i="1"/>
  <c r="G44" i="1"/>
  <c r="F44" i="1"/>
  <c r="E44" i="1"/>
  <c r="D44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G40" i="1"/>
  <c r="F40" i="1"/>
  <c r="E40" i="1"/>
  <c r="F39" i="1"/>
  <c r="C39" i="1"/>
  <c r="C38" i="1"/>
  <c r="G36" i="1"/>
  <c r="F36" i="1"/>
  <c r="E36" i="1"/>
  <c r="D36" i="1"/>
  <c r="G35" i="1"/>
  <c r="F35" i="1"/>
  <c r="E35" i="1"/>
  <c r="D35" i="1"/>
  <c r="H34" i="1"/>
  <c r="G34" i="1"/>
  <c r="F34" i="1"/>
  <c r="E34" i="1"/>
  <c r="D34" i="1"/>
  <c r="G33" i="1"/>
  <c r="F33" i="1"/>
  <c r="D33" i="1"/>
  <c r="H32" i="1"/>
  <c r="G32" i="1"/>
  <c r="F32" i="1"/>
  <c r="E32" i="1"/>
  <c r="D32" i="1"/>
  <c r="D31" i="1"/>
  <c r="C31" i="1"/>
  <c r="G30" i="1"/>
  <c r="F30" i="1"/>
  <c r="G29" i="1"/>
  <c r="F29" i="1"/>
  <c r="D29" i="1"/>
  <c r="F28" i="1"/>
  <c r="E28" i="1"/>
  <c r="D28" i="1"/>
  <c r="F27" i="1"/>
  <c r="E27" i="1"/>
  <c r="H26" i="1"/>
  <c r="G26" i="1"/>
  <c r="F26" i="1"/>
  <c r="E26" i="1"/>
  <c r="C25" i="1"/>
  <c r="G24" i="1"/>
  <c r="F24" i="1"/>
  <c r="E24" i="1"/>
  <c r="D24" i="1"/>
  <c r="G23" i="1"/>
  <c r="F23" i="1"/>
  <c r="D23" i="1"/>
  <c r="G22" i="1"/>
  <c r="F22" i="1"/>
  <c r="F21" i="1"/>
  <c r="E21" i="1"/>
  <c r="D21" i="1"/>
  <c r="F20" i="1"/>
  <c r="E20" i="1"/>
  <c r="C19" i="1"/>
  <c r="G18" i="1"/>
  <c r="F18" i="1"/>
  <c r="E18" i="1"/>
  <c r="D18" i="1"/>
  <c r="G17" i="1"/>
  <c r="D17" i="1"/>
  <c r="G16" i="1"/>
  <c r="E16" i="1"/>
  <c r="D16" i="1"/>
  <c r="F15" i="1"/>
  <c r="E15" i="1"/>
  <c r="D15" i="1"/>
  <c r="G14" i="1"/>
  <c r="F14" i="1"/>
  <c r="C13" i="1"/>
  <c r="G12" i="1"/>
  <c r="E12" i="1"/>
  <c r="F11" i="1"/>
  <c r="E11" i="1"/>
  <c r="D11" i="1"/>
  <c r="G10" i="1"/>
  <c r="E10" i="1"/>
  <c r="G9" i="1"/>
  <c r="F9" i="1"/>
  <c r="D9" i="1"/>
  <c r="G8" i="1"/>
  <c r="E8" i="1"/>
  <c r="D8" i="1"/>
  <c r="F7" i="1"/>
  <c r="C7" i="1"/>
  <c r="C6" i="1"/>
  <c r="E19" i="1" l="1"/>
  <c r="U12" i="2"/>
  <c r="T32" i="2"/>
  <c r="G13" i="1"/>
  <c r="W11" i="2"/>
  <c r="U33" i="2" s="1"/>
  <c r="E100" i="1"/>
  <c r="G100" i="1" s="1"/>
  <c r="X26" i="2"/>
  <c r="B12" i="5"/>
  <c r="T25" i="2"/>
  <c r="D14" i="1"/>
  <c r="F16" i="1"/>
  <c r="T10" i="2"/>
  <c r="V29" i="2"/>
  <c r="X29" i="2" s="1"/>
  <c r="F7" i="4"/>
  <c r="D30" i="1"/>
  <c r="F8" i="4"/>
  <c r="F9" i="4"/>
  <c r="F11" i="8"/>
  <c r="H36" i="1" s="1"/>
  <c r="I63" i="1"/>
  <c r="D108" i="1"/>
  <c r="F108" i="1" s="1"/>
  <c r="F10" i="4"/>
  <c r="C12" i="4"/>
  <c r="F8" i="5"/>
  <c r="H15" i="1" s="1"/>
  <c r="F10" i="5"/>
  <c r="H17" i="1" s="1"/>
  <c r="F10" i="6"/>
  <c r="H23" i="1" s="1"/>
  <c r="B12" i="7"/>
  <c r="F12" i="8"/>
  <c r="W18" i="2"/>
  <c r="U40" i="2" s="1"/>
  <c r="G57" i="1"/>
  <c r="U28" i="2"/>
  <c r="E17" i="1"/>
  <c r="U17" i="2"/>
  <c r="E51" i="1"/>
  <c r="F12" i="13"/>
  <c r="D110" i="1"/>
  <c r="F110" i="1" s="1"/>
  <c r="I77" i="1"/>
  <c r="F77" i="1"/>
  <c r="D12" i="7"/>
  <c r="F8" i="8"/>
  <c r="H33" i="1" s="1"/>
  <c r="G38" i="1"/>
  <c r="W15" i="2"/>
  <c r="U37" i="2" s="1"/>
  <c r="G39" i="1"/>
  <c r="E104" i="1"/>
  <c r="G104" i="1" s="1"/>
  <c r="E105" i="1"/>
  <c r="G105" i="1" s="1"/>
  <c r="G45" i="1"/>
  <c r="W16" i="2"/>
  <c r="U38" i="2" s="1"/>
  <c r="G77" i="1"/>
  <c r="W21" i="2"/>
  <c r="U43" i="2" s="1"/>
  <c r="U14" i="2"/>
  <c r="E31" i="1"/>
  <c r="F7" i="9"/>
  <c r="B12" i="9"/>
  <c r="G51" i="1"/>
  <c r="W17" i="2"/>
  <c r="U39" i="2" s="1"/>
  <c r="E70" i="1"/>
  <c r="U20" i="2"/>
  <c r="X21" i="2"/>
  <c r="T43" i="2"/>
  <c r="E9" i="1"/>
  <c r="W10" i="2"/>
  <c r="U32" i="2" s="1"/>
  <c r="M6" i="2"/>
  <c r="G7" i="1"/>
  <c r="I7" i="1"/>
  <c r="D22" i="1"/>
  <c r="F11" i="4"/>
  <c r="T29" i="2"/>
  <c r="D12" i="5"/>
  <c r="D12" i="6"/>
  <c r="U5" i="2"/>
  <c r="E38" i="1"/>
  <c r="U15" i="2"/>
  <c r="E39" i="1"/>
  <c r="E45" i="1"/>
  <c r="U16" i="2"/>
  <c r="I71" i="1"/>
  <c r="V20" i="2"/>
  <c r="V6" i="2"/>
  <c r="D109" i="1"/>
  <c r="F71" i="1"/>
  <c r="B12" i="6"/>
  <c r="F7" i="6"/>
  <c r="D20" i="1"/>
  <c r="G25" i="1"/>
  <c r="W13" i="2"/>
  <c r="U35" i="2" s="1"/>
  <c r="I39" i="1"/>
  <c r="T19" i="2"/>
  <c r="D63" i="1"/>
  <c r="W19" i="2"/>
  <c r="U41" i="2" s="1"/>
  <c r="G63" i="1"/>
  <c r="G70" i="1"/>
  <c r="W20" i="2"/>
  <c r="U42" i="2" s="1"/>
  <c r="W6" i="2"/>
  <c r="E109" i="1"/>
  <c r="G109" i="1" s="1"/>
  <c r="G71" i="1"/>
  <c r="F12" i="16"/>
  <c r="H84" i="1"/>
  <c r="W26" i="2"/>
  <c r="G15" i="1"/>
  <c r="F6" i="1"/>
  <c r="G11" i="1"/>
  <c r="D40" i="1"/>
  <c r="D99" i="1"/>
  <c r="X19" i="2"/>
  <c r="V25" i="2"/>
  <c r="X25" i="2" s="1"/>
  <c r="G6" i="1"/>
  <c r="F8" i="1"/>
  <c r="D12" i="1"/>
  <c r="E33" i="1"/>
  <c r="E99" i="1"/>
  <c r="G99" i="1" s="1"/>
  <c r="F7" i="5"/>
  <c r="F8" i="6"/>
  <c r="H21" i="1" s="1"/>
  <c r="U13" i="2"/>
  <c r="E25" i="1"/>
  <c r="W14" i="2"/>
  <c r="U36" i="2" s="1"/>
  <c r="G31" i="1"/>
  <c r="E103" i="1"/>
  <c r="I51" i="1"/>
  <c r="D106" i="1"/>
  <c r="F106" i="1" s="1"/>
  <c r="U18" i="2"/>
  <c r="E57" i="1"/>
  <c r="U19" i="2"/>
  <c r="E63" i="1"/>
  <c r="W22" i="2"/>
  <c r="U44" i="2" s="1"/>
  <c r="E111" i="1"/>
  <c r="G83" i="1"/>
  <c r="F7" i="11"/>
  <c r="F7" i="15"/>
  <c r="D12" i="10"/>
  <c r="E23" i="1"/>
  <c r="D26" i="1"/>
  <c r="E29" i="1"/>
  <c r="C12" i="5"/>
  <c r="E12" i="6"/>
  <c r="W4" i="2" s="1"/>
  <c r="W7" i="2" s="1"/>
  <c r="F7" i="10"/>
  <c r="F7" i="14"/>
  <c r="E14" i="1"/>
  <c r="U29" i="2"/>
  <c r="G20" i="1"/>
  <c r="E22" i="1"/>
  <c r="F8" i="7"/>
  <c r="H27" i="1" s="1"/>
  <c r="D12" i="8"/>
  <c r="V4" i="2" s="1"/>
  <c r="D12" i="12"/>
  <c r="D12" i="16"/>
  <c r="X4" i="2" l="1"/>
  <c r="F12" i="6"/>
  <c r="H20" i="1"/>
  <c r="E13" i="1"/>
  <c r="U11" i="2"/>
  <c r="T15" i="2"/>
  <c r="D39" i="1"/>
  <c r="T5" i="2"/>
  <c r="D38" i="1"/>
  <c r="X10" i="2"/>
  <c r="D19" i="1"/>
  <c r="T12" i="2"/>
  <c r="E6" i="2"/>
  <c r="F12" i="9"/>
  <c r="H40" i="1"/>
  <c r="Y14" i="2"/>
  <c r="H31" i="1"/>
  <c r="X6" i="2"/>
  <c r="I83" i="1"/>
  <c r="F83" i="1"/>
  <c r="F70" i="1"/>
  <c r="V22" i="2"/>
  <c r="D111" i="1"/>
  <c r="F111" i="1" s="1"/>
  <c r="T42" i="2"/>
  <c r="X20" i="2"/>
  <c r="F12" i="7"/>
  <c r="Y26" i="2"/>
  <c r="H9" i="1"/>
  <c r="G103" i="1"/>
  <c r="Y22" i="2"/>
  <c r="H83" i="1"/>
  <c r="F12" i="4"/>
  <c r="Y25" i="2"/>
  <c r="H8" i="1"/>
  <c r="F99" i="1"/>
  <c r="F109" i="1"/>
  <c r="Y19" i="2"/>
  <c r="H63" i="1"/>
  <c r="I45" i="1"/>
  <c r="V16" i="2"/>
  <c r="V5" i="2"/>
  <c r="X5" i="2" s="1"/>
  <c r="F45" i="1"/>
  <c r="D105" i="1"/>
  <c r="F105" i="1" s="1"/>
  <c r="F38" i="1"/>
  <c r="H78" i="1"/>
  <c r="F12" i="15"/>
  <c r="I57" i="1"/>
  <c r="D107" i="1"/>
  <c r="F57" i="1"/>
  <c r="V18" i="2"/>
  <c r="F12" i="10"/>
  <c r="H46" i="1"/>
  <c r="F12" i="11"/>
  <c r="H52" i="1"/>
  <c r="F12" i="5"/>
  <c r="H14" i="1"/>
  <c r="D6" i="1"/>
  <c r="V12" i="2"/>
  <c r="D101" i="1"/>
  <c r="I19" i="1"/>
  <c r="F19" i="1"/>
  <c r="X17" i="2"/>
  <c r="T11" i="2"/>
  <c r="D13" i="1"/>
  <c r="T4" i="2"/>
  <c r="T7" i="2" s="1"/>
  <c r="G111" i="1"/>
  <c r="H11" i="1"/>
  <c r="Y28" i="2"/>
  <c r="Y29" i="2"/>
  <c r="H12" i="1"/>
  <c r="F104" i="1"/>
  <c r="T13" i="2"/>
  <c r="D25" i="1"/>
  <c r="Y27" i="2"/>
  <c r="H10" i="1"/>
  <c r="F12" i="14"/>
  <c r="H72" i="1"/>
  <c r="F31" i="1"/>
  <c r="V14" i="2"/>
  <c r="X14" i="2" s="1"/>
  <c r="D103" i="1"/>
  <c r="F103" i="1" s="1"/>
  <c r="I31" i="1"/>
  <c r="G19" i="1"/>
  <c r="W12" i="2"/>
  <c r="U34" i="2" s="1"/>
  <c r="E101" i="1"/>
  <c r="G101" i="1" s="1"/>
  <c r="G110" i="1"/>
  <c r="D100" i="1"/>
  <c r="F100" i="1" s="1"/>
  <c r="I13" i="1"/>
  <c r="F13" i="1"/>
  <c r="V11" i="2"/>
  <c r="I6" i="2"/>
  <c r="D102" i="1"/>
  <c r="I25" i="1"/>
  <c r="F25" i="1"/>
  <c r="V13" i="2"/>
  <c r="X13" i="2" s="1"/>
  <c r="E6" i="1"/>
  <c r="U10" i="2"/>
  <c r="E7" i="1"/>
  <c r="U4" i="2"/>
  <c r="U7" i="2" s="1"/>
  <c r="X15" i="2"/>
  <c r="Y15" i="2" l="1"/>
  <c r="Y5" i="2"/>
  <c r="H39" i="1"/>
  <c r="H38" i="1"/>
  <c r="F102" i="1"/>
  <c r="G102" i="1"/>
  <c r="X18" i="2"/>
  <c r="T40" i="2"/>
  <c r="Y13" i="2"/>
  <c r="H25" i="1"/>
  <c r="X7" i="2"/>
  <c r="Y21" i="2"/>
  <c r="H77" i="1"/>
  <c r="Y17" i="2"/>
  <c r="H51" i="1"/>
  <c r="Y20" i="2"/>
  <c r="Y6" i="2"/>
  <c r="H71" i="1"/>
  <c r="H70" i="1"/>
  <c r="F101" i="1"/>
  <c r="F107" i="1"/>
  <c r="G107" i="1"/>
  <c r="X16" i="2"/>
  <c r="T38" i="2"/>
  <c r="Y4" i="2"/>
  <c r="Y7" i="2" s="1"/>
  <c r="T37" i="2" s="1"/>
  <c r="Y10" i="2"/>
  <c r="H6" i="1"/>
  <c r="H7" i="1"/>
  <c r="A6" i="2"/>
  <c r="V7" i="2"/>
  <c r="T36" i="2" s="1"/>
  <c r="X22" i="2"/>
  <c r="T44" i="2"/>
  <c r="Y16" i="2"/>
  <c r="H45" i="1"/>
  <c r="T35" i="2"/>
  <c r="X12" i="2"/>
  <c r="Y12" i="2"/>
  <c r="H19" i="1"/>
  <c r="T33" i="2"/>
  <c r="X11" i="2"/>
  <c r="Y11" i="2"/>
  <c r="H13" i="1"/>
  <c r="T34" i="2" l="1"/>
</calcChain>
</file>

<file path=xl/sharedStrings.xml><?xml version="1.0" encoding="utf-8"?>
<sst xmlns="http://schemas.openxmlformats.org/spreadsheetml/2006/main" count="1120" uniqueCount="273">
  <si>
    <t xml:space="preserve">  HSBC Asset Management | Alternatives Risk</t>
  </si>
  <si>
    <t xml:space="preserve">  MAT Monitoring Dashboard  ·  All figures auto-update from strategy input tabs</t>
  </si>
  <si>
    <t>Asset Class / Fund</t>
  </si>
  <si>
    <t>Risk Stripe</t>
  </si>
  <si>
    <t>Mand.</t>
  </si>
  <si>
    <t>Green</t>
  </si>
  <si>
    <t>Amb-Grn</t>
  </si>
  <si>
    <t>Amber</t>
  </si>
  <si>
    <t>Red</t>
  </si>
  <si>
    <t>Total</t>
  </si>
  <si>
    <t>Private Credit &amp; Capital Solutions</t>
  </si>
  <si>
    <t>Direct Lending UK &amp; EUR</t>
  </si>
  <si>
    <t>All risk stripes</t>
  </si>
  <si>
    <t>Market Risk</t>
  </si>
  <si>
    <t>Liquidity Risk</t>
  </si>
  <si>
    <t>Counterparty / CCR</t>
  </si>
  <si>
    <t>Sustainability</t>
  </si>
  <si>
    <t>Performance</t>
  </si>
  <si>
    <t>Infrastructure Debt</t>
  </si>
  <si>
    <t>RCF</t>
  </si>
  <si>
    <t>NAV Financing</t>
  </si>
  <si>
    <t>Trade &amp; Working Capital</t>
  </si>
  <si>
    <t>Real Asset</t>
  </si>
  <si>
    <t>HAIL Direct RE</t>
  </si>
  <si>
    <t>HTRE RE</t>
  </si>
  <si>
    <t>Real Estate Asia</t>
  </si>
  <si>
    <t>REIM</t>
  </si>
  <si>
    <t>ETI</t>
  </si>
  <si>
    <t>Private Markets &amp; Hedge Funds</t>
  </si>
  <si>
    <t>Hedge Funds</t>
  </si>
  <si>
    <t>Private Markets</t>
  </si>
  <si>
    <t>Venture Capital</t>
  </si>
  <si>
    <t>RAG STATUS DEFINITIONS</t>
  </si>
  <si>
    <t>▪  Green (G)</t>
  </si>
  <si>
    <t>No MATs triggered</t>
  </si>
  <si>
    <t>▪  Amber-Green (AG)</t>
  </si>
  <si>
    <t>MATs triggered but not material; portfolio under enhanced monitoring</t>
  </si>
  <si>
    <t>▪  Amber (A)</t>
  </si>
  <si>
    <t>MATs triggered &amp; material; action plan in place and on track</t>
  </si>
  <si>
    <t>▪  Red (R)</t>
  </si>
  <si>
    <t>MATs triggered &amp; material; NO action plan / not on track</t>
  </si>
  <si>
    <t>ESCALATION FLAGS  ·  Strategies with Amber or Red MATs</t>
  </si>
  <si>
    <t>Strategy</t>
  </si>
  <si>
    <t>A+R</t>
  </si>
  <si>
    <t>Status</t>
  </si>
  <si>
    <t xml:space="preserve">  HSBC Asset Management | Alternatives  ·  MAT Risk Executive Summary</t>
  </si>
  <si>
    <t>◀ CHART DATA ZONE – formula-driven from input tabs – do not edit manually</t>
  </si>
  <si>
    <t xml:space="preserve">  CRO Dashboard  ·  Private Credit | Real Assets | Private Markets &amp; HF</t>
  </si>
  <si>
    <t>Section</t>
  </si>
  <si>
    <t>TOTAL MATs MONITORED</t>
  </si>
  <si>
    <t>ON TRACK  (Green + AG)</t>
  </si>
  <si>
    <t>UNDER WATCH  (Amber)</t>
  </si>
  <si>
    <t>ESCALATED  (Red)</t>
  </si>
  <si>
    <t>Private Credit</t>
  </si>
  <si>
    <t>Priv Mkts + HF</t>
  </si>
  <si>
    <t>TOTAL</t>
  </si>
  <si>
    <t>Across all strategies &amp; risk stripes</t>
  </si>
  <si>
    <t>No escalation required</t>
  </si>
  <si>
    <t>Action plans in place — monitor closely</t>
  </si>
  <si>
    <t>Requires CRO attention &amp; action</t>
  </si>
  <si>
    <t>Direct Lending UK …</t>
  </si>
  <si>
    <t>Trade &amp; Working Ca…</t>
  </si>
  <si>
    <t>OVERALL RAG SPLIT (%)</t>
  </si>
  <si>
    <t>Amber-Green</t>
  </si>
  <si>
    <t xml:space="preserve">  Data Guide – How to Update the Dashboard Each Quarter</t>
  </si>
  <si>
    <t>Quarterly Update Workflow</t>
  </si>
  <si>
    <t>1.  Open the strategy tab for the report received (e.g. 'DL' for Direct Lending).</t>
  </si>
  <si>
    <t>2.  Update cell B3 → reporting period  (e.g. 'Q4 2025').</t>
  </si>
  <si>
    <t>3.  Update cell B4 → number of mandates / funds in scope.</t>
  </si>
  <si>
    <t>4.  Enter  G / AG / A / R  per fund per MAT in the fund cells (row 15+).</t>
  </si>
  <si>
    <t xml:space="preserve">      Columns D onwards = individual funds.  Rows = individual MAT metrics.</t>
  </si>
  <si>
    <t xml:space="preserve">      Status codes:  G = Green  |  AG = Amber-Green  |  A = Amber  |  R = Red</t>
  </si>
  <si>
    <t xml:space="preserve">      Cells colour automatically via conditional formatting.</t>
  </si>
  <si>
    <t>5.  Rows 7–12 (Strategy Summary) recalculate instantly via SUMPRODUCT formulas.</t>
  </si>
  <si>
    <t>6.  Switch to 'Dashboard' or 'CRO Charts' – all totals refresh automatically.</t>
  </si>
  <si>
    <t>How the formulas work</t>
  </si>
  <si>
    <t xml:space="preserve">  • Each fund-level status cell (D16+) is checked by SUMPRODUCT in the summary.</t>
  </si>
  <si>
    <t xml:space="preserve">  • SUMPRODUCT filters by Risk Type (col B) and counts matching G/AG/A/R values.</t>
  </si>
  <si>
    <t xml:space="preserve">  • Dashboard reads rows 7-12 of each tab via cross-sheet formulas (='DL'!B7, etc).</t>
  </si>
  <si>
    <t xml:space="preserve">  • CRO Charts data zone (cols S-Y) is also formula-linked – never edit manually.</t>
  </si>
  <si>
    <t>RAG Status Guide</t>
  </si>
  <si>
    <t xml:space="preserve">   G   = Green       – No MATs triggered</t>
  </si>
  <si>
    <t xml:space="preserve">   AG  = Amber-Green – MATs triggered but not material; enhanced monitoring</t>
  </si>
  <si>
    <t xml:space="preserve">   A   = Amber       – MATs triggered; material; action plan in place &amp; on track</t>
  </si>
  <si>
    <t xml:space="preserve">   R   = Red         – MATs triggered; material; NO action plan / not on track</t>
  </si>
  <si>
    <t>Strategy Tabs</t>
  </si>
  <si>
    <t>Tab</t>
  </si>
  <si>
    <t>Period</t>
  </si>
  <si>
    <t>DL</t>
  </si>
  <si>
    <t>Q3 2025</t>
  </si>
  <si>
    <t>InfraDebt</t>
  </si>
  <si>
    <t>NAV</t>
  </si>
  <si>
    <t>Q4 2025</t>
  </si>
  <si>
    <t>TWCS</t>
  </si>
  <si>
    <t>HAIL RE</t>
  </si>
  <si>
    <t>Real Assets</t>
  </si>
  <si>
    <t>RE Asia</t>
  </si>
  <si>
    <t>HF</t>
  </si>
  <si>
    <t>PrivMkts</t>
  </si>
  <si>
    <t>VC</t>
  </si>
  <si>
    <t xml:space="preserve">  Direct Lending UK &amp; EUR  ·  MAT Monitoring</t>
  </si>
  <si>
    <t>▸  Update B3 = Reporting Period    ▸  Update B4 = Number of Mandates
▸  Enter G / AG / A / R per fund in the coloured cells below (rows 15+)
▸  Strategy Summary (rows 7–12) and Dashboard auto-refresh via formulas</t>
  </si>
  <si>
    <t>Reporting Period</t>
  </si>
  <si>
    <t>Number of Mandates / Funds</t>
  </si>
  <si>
    <t>STRATEGY SUMMARY  (auto-calculated from fund data below  ▼)</t>
  </si>
  <si>
    <t>FUND-LEVEL MAT DATA  ·  7 funds  ·  Enter  G / AG / A / R  per fund in each cell  ▼</t>
  </si>
  <si>
    <t>MAT Metric</t>
  </si>
  <si>
    <t>Risk Type</t>
  </si>
  <si>
    <t>Trigger</t>
  </si>
  <si>
    <t>SDLF I</t>
  </si>
  <si>
    <t>SDLF II</t>
  </si>
  <si>
    <t>ESDLF</t>
  </si>
  <si>
    <t>Anglo</t>
  </si>
  <si>
    <t>Hollywood</t>
  </si>
  <si>
    <t>INSP</t>
  </si>
  <si>
    <t>Orchid</t>
  </si>
  <si>
    <t>Watchlist (% Amber / any red)</t>
  </si>
  <si>
    <t>&gt;=20%</t>
  </si>
  <si>
    <t>G</t>
  </si>
  <si>
    <t>Portfolio Leverage at Origination</t>
  </si>
  <si>
    <t>&gt;=4.5x</t>
  </si>
  <si>
    <t>Portfolio Leverage Over Time</t>
  </si>
  <si>
    <t>&gt;=5.0x</t>
  </si>
  <si>
    <t>AG</t>
  </si>
  <si>
    <t>Industry Concentration Risk</t>
  </si>
  <si>
    <t>&gt;30%</t>
  </si>
  <si>
    <t>Breach of Covenants / Guidelines</t>
  </si>
  <si>
    <t>&gt;0</t>
  </si>
  <si>
    <t>Breach of Liquidity MATs</t>
  </si>
  <si>
    <t>Downgrade to 'Weak' rating</t>
  </si>
  <si>
    <t xml:space="preserve">  Infrastructure Debt  ·  MAT Monitoring</t>
  </si>
  <si>
    <t>FUND-LEVEL MAT DATA  ·  8 funds  ·  Enter  G / AG / A / R  per fund in each cell  ▼</t>
  </si>
  <si>
    <t>SGIDF</t>
  </si>
  <si>
    <t>GIDF</t>
  </si>
  <si>
    <t>GTIDF</t>
  </si>
  <si>
    <t>Red Hex</t>
  </si>
  <si>
    <t>INHK</t>
  </si>
  <si>
    <t>HSIC</t>
  </si>
  <si>
    <t>AIA</t>
  </si>
  <si>
    <t>R</t>
  </si>
  <si>
    <t>A</t>
  </si>
  <si>
    <t>Breach of any guidelines</t>
  </si>
  <si>
    <t>Utilisation of credit facility &gt;80%</t>
  </si>
  <si>
    <t>&gt;2wks</t>
  </si>
  <si>
    <t>Outside FX hedge ratio 98-102%</t>
  </si>
  <si>
    <t>&gt;2 days</t>
  </si>
  <si>
    <t>Liquidity test triggered</t>
  </si>
  <si>
    <t>Yes</t>
  </si>
  <si>
    <t xml:space="preserve">  RCF  ·  MAT Monitoring</t>
  </si>
  <si>
    <t>FUND-LEVEL MAT DATA  ·  2 funds  ·  Enter  G / AG / A / R  per fund in each cell  ▼</t>
  </si>
  <si>
    <t>OMERS</t>
  </si>
  <si>
    <t>Fund borrowings / credit lines</t>
  </si>
  <si>
    <t>&gt;=50%</t>
  </si>
  <si>
    <t>Increase in RCF drawings 1wk</t>
  </si>
  <si>
    <t>&gt;=10%</t>
  </si>
  <si>
    <t>Increase in RCF drawings 1mth</t>
  </si>
  <si>
    <t>&gt;=35%</t>
  </si>
  <si>
    <t>SLF outstanding maturity</t>
  </si>
  <si>
    <t>&lt;=6mths</t>
  </si>
  <si>
    <t>Unhedged non-EUR exposure</t>
  </si>
  <si>
    <t>&gt;40%</t>
  </si>
  <si>
    <t xml:space="preserve">  NAV Financing  ·  MAT Monitoring</t>
  </si>
  <si>
    <t>NAV Fund</t>
  </si>
  <si>
    <t>AXA</t>
  </si>
  <si>
    <t>&lt;=12mths</t>
  </si>
  <si>
    <t>&gt;20%</t>
  </si>
  <si>
    <t xml:space="preserve">  Trade &amp; Working Capital  ·  MAT Monitoring</t>
  </si>
  <si>
    <t>Note</t>
  </si>
  <si>
    <t>Fund</t>
  </si>
  <si>
    <t>Leverage</t>
  </si>
  <si>
    <t>&gt;5.0x</t>
  </si>
  <si>
    <t>Programme Utilisation</t>
  </si>
  <si>
    <t>&lt;50%</t>
  </si>
  <si>
    <t>Late payment rate</t>
  </si>
  <si>
    <t>&gt;2%</t>
  </si>
  <si>
    <t>Avg maturity of invoices increase</t>
  </si>
  <si>
    <t>Portfolio concentration</t>
  </si>
  <si>
    <t>&gt;40m</t>
  </si>
  <si>
    <t xml:space="preserve">  HAIL Direct RE  ·  MAT Monitoring</t>
  </si>
  <si>
    <t>Downing</t>
  </si>
  <si>
    <t>Port H</t>
  </si>
  <si>
    <t>Stand LH</t>
  </si>
  <si>
    <t>Exch Pl</t>
  </si>
  <si>
    <t>Geneva</t>
  </si>
  <si>
    <t>Vienna</t>
  </si>
  <si>
    <t>Brussels</t>
  </si>
  <si>
    <t>Target Exit Date</t>
  </si>
  <si>
    <t>&lt;1yr</t>
  </si>
  <si>
    <t>Debt Maturity</t>
  </si>
  <si>
    <t>Occupancy %</t>
  </si>
  <si>
    <t>&lt;=85%</t>
  </si>
  <si>
    <t>LTV vs covenant buffer</t>
  </si>
  <si>
    <t>&lt;10% under</t>
  </si>
  <si>
    <t>ICR vs covenant buffer</t>
  </si>
  <si>
    <t>&lt;25% over</t>
  </si>
  <si>
    <t>Equity Multiple</t>
  </si>
  <si>
    <t>&lt;=1.0x</t>
  </si>
  <si>
    <t>Total Multiple</t>
  </si>
  <si>
    <t xml:space="preserve">  HTRE RE  ·  MAT Monitoring</t>
  </si>
  <si>
    <t>FUND-LEVEL MAT DATA  ·  6 funds  ·  Enter  G / AG / A / R  per fund in each cell  ▼</t>
  </si>
  <si>
    <t>Fonds 3</t>
  </si>
  <si>
    <t>Fonds 6</t>
  </si>
  <si>
    <t>Fonds 7</t>
  </si>
  <si>
    <t>Fonds 8</t>
  </si>
  <si>
    <t>Fonds 11</t>
  </si>
  <si>
    <t>Fonds 12</t>
  </si>
  <si>
    <t>&lt;90%</t>
  </si>
  <si>
    <t>Distribution in %</t>
  </si>
  <si>
    <t>&lt;2.9%</t>
  </si>
  <si>
    <t>LTV %</t>
  </si>
  <si>
    <t>Selling option</t>
  </si>
  <si>
    <t>No</t>
  </si>
  <si>
    <t>Audit (without reservation)</t>
  </si>
  <si>
    <t xml:space="preserve">  Real Estate Asia  ·  MAT Monitoring</t>
  </si>
  <si>
    <t>FUND-LEVEL MAT DATA  ·  5 funds  ·  Enter  G / AG / A / R  per fund in each cell  ▼</t>
  </si>
  <si>
    <t>Fund 1</t>
  </si>
  <si>
    <t>Fund 2</t>
  </si>
  <si>
    <t>Fund 3</t>
  </si>
  <si>
    <t>Fund 4</t>
  </si>
  <si>
    <t>Fund 5</t>
  </si>
  <si>
    <t>Market MAT 1</t>
  </si>
  <si>
    <t>Market MAT 2</t>
  </si>
  <si>
    <t>Market MAT 3</t>
  </si>
  <si>
    <t>Liquidity (Closed End)</t>
  </si>
  <si>
    <t>Counterparty exposure</t>
  </si>
  <si>
    <t xml:space="preserve">  REIM  ·  MAT Monitoring</t>
  </si>
  <si>
    <t>FUND-LEVEL MAT DATA  ·  3 funds  ·  Enter  G / AG / A / R  per fund in each cell  ▼</t>
  </si>
  <si>
    <t>Fund A</t>
  </si>
  <si>
    <t>Fund B</t>
  </si>
  <si>
    <t>Fund C</t>
  </si>
  <si>
    <t>Liquidity (Open End)</t>
  </si>
  <si>
    <t xml:space="preserve">  ETI  ·  MAT Monitoring</t>
  </si>
  <si>
    <t>Q2 2025</t>
  </si>
  <si>
    <t>Performance – Fund level (lower threshold)</t>
  </si>
  <si>
    <t>5%</t>
  </si>
  <si>
    <t>Credit facility usage (upper threshold)</t>
  </si>
  <si>
    <t>20%</t>
  </si>
  <si>
    <t>Capital Deployment (lower threshold)</t>
  </si>
  <si>
    <t>50%</t>
  </si>
  <si>
    <t>Counterparty / Credit exposure</t>
  </si>
  <si>
    <t>ESG / SIFfA – investment level</t>
  </si>
  <si>
    <t>Fail</t>
  </si>
  <si>
    <t xml:space="preserve">  Hedge Funds  ·  MAT Monitoring</t>
  </si>
  <si>
    <t>GH</t>
  </si>
  <si>
    <t>Alpha Core</t>
  </si>
  <si>
    <t>Orbit</t>
  </si>
  <si>
    <t>UCITS ADV</t>
  </si>
  <si>
    <t>GH Lux</t>
  </si>
  <si>
    <t>Volatility (min/max band)</t>
  </si>
  <si>
    <t>Min/Max</t>
  </si>
  <si>
    <t>VaR breach</t>
  </si>
  <si>
    <t>&gt;limit</t>
  </si>
  <si>
    <t>Liquidity risk</t>
  </si>
  <si>
    <t xml:space="preserve">  Private Markets  ·  MAT Monitoring</t>
  </si>
  <si>
    <t>PB-PE pre-20</t>
  </si>
  <si>
    <t>PB-PC pre-20</t>
  </si>
  <si>
    <t>PB post-19</t>
  </si>
  <si>
    <t>Lux Entities</t>
  </si>
  <si>
    <t>RE Syndic.</t>
  </si>
  <si>
    <t>Legacy PE</t>
  </si>
  <si>
    <t>Legacy FoF</t>
  </si>
  <si>
    <t>Performance vs target (PE)</t>
  </si>
  <si>
    <t>Various</t>
  </si>
  <si>
    <t>Performance vs target (PC)</t>
  </si>
  <si>
    <t>Capital deployment pace</t>
  </si>
  <si>
    <t>Concentration risk</t>
  </si>
  <si>
    <t>Liquidity / fund term</t>
  </si>
  <si>
    <t xml:space="preserve">  Venture Capital  ·  MAT Monitoring</t>
  </si>
  <si>
    <t>FUND-LEVEL MAT DATA  ·  1 funds  ·  Enter  G / AG / A / R  per fund in each cell  ▼</t>
  </si>
  <si>
    <t>FinTech Fund</t>
  </si>
  <si>
    <t>Gross IRR</t>
  </si>
  <si>
    <t>&lt;15%</t>
  </si>
  <si>
    <t>Investment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</si>
</sst>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4" x14ac:knownFonts="1">
    <font>
      <sz val="11"/>
      <color theme="1"/>
      <name val="Calibri"/>
      <family val="2"/>
      <scheme val="minor"/>
    </font>
    <font>
      <b/>
      <sz val="14"/>
      <color rgb="FFFFFFFF"/>
      <name val="Aptos Narrow"/>
    </font>
    <font>
      <i/>
      <sz val="10"/>
      <color rgb="FF1A1A1A"/>
      <name val="Aptos Narrow"/>
    </font>
    <font>
      <b/>
      <sz val="11"/>
      <color rgb="FF1A1A1A"/>
      <name val="Aptos Narrow"/>
    </font>
    <font>
      <b/>
      <sz val="12"/>
      <color rgb="FF000000"/>
      <name val="Aptos Narrow"/>
    </font>
    <font>
      <b/>
      <sz val="14"/>
      <color rgb="FF000000"/>
      <name val="Aptos Narrow"/>
    </font>
    <font>
      <b/>
      <sz val="9"/>
      <color rgb="FFFFFFFF"/>
      <name val="Aptos Narrow"/>
    </font>
    <font>
      <b/>
      <sz val="9"/>
      <color rgb="FF1A1A1A"/>
      <name val="Aptos Narrow"/>
    </font>
    <font>
      <sz val="11"/>
      <color rgb="FF000000"/>
      <name val="Aptos Narrow"/>
    </font>
    <font>
      <sz val="11"/>
      <color rgb="FF5C6470"/>
      <name val="Aptos Narrow"/>
    </font>
    <font>
      <b/>
      <sz val="11"/>
      <color rgb="FFFFFFFF"/>
      <name val="Aptos Narrow"/>
    </font>
    <font>
      <sz val="10"/>
      <color rgb="FF1A1A1A"/>
      <name val="Aptos Narrow"/>
    </font>
    <font>
      <i/>
      <sz val="9"/>
      <color rgb="FF5C6470"/>
      <name val="Aptos Narrow"/>
    </font>
    <font>
      <sz val="9"/>
      <color rgb="FF1A1A1A"/>
      <name val="Aptos Narrow"/>
    </font>
    <font>
      <i/>
      <sz val="10"/>
      <color rgb="FFFFFFFF"/>
      <name val="Aptos Narrow"/>
    </font>
    <font>
      <b/>
      <sz val="11"/>
      <color rgb="FF000000"/>
      <name val="Aptos Narrow"/>
    </font>
    <font>
      <sz val="11"/>
      <color rgb="FFFFFFFF"/>
      <name val="Aptos Narrow"/>
    </font>
    <font>
      <sz val="11"/>
      <color rgb="FF1A1A1A"/>
      <name val="Aptos Narrow"/>
    </font>
    <font>
      <b/>
      <sz val="32"/>
      <color rgb="FFFFFFFF"/>
      <name val="Aptos Narrow"/>
    </font>
    <font>
      <i/>
      <sz val="9"/>
      <color rgb="FFFFFFFF"/>
      <name val="Aptos Narrow"/>
    </font>
    <font>
      <b/>
      <sz val="9"/>
      <color rgb="FFF0FFF0"/>
      <name val="Aptos Narrow"/>
    </font>
    <font>
      <i/>
      <sz val="9"/>
      <color rgb="FFF0FFF0"/>
      <name val="Aptos Narrow"/>
    </font>
    <font>
      <b/>
      <sz val="32"/>
      <color rgb="FF1A1A1A"/>
      <name val="Aptos Narrow"/>
    </font>
    <font>
      <i/>
      <sz val="9"/>
      <color rgb="FF1A1A1A"/>
      <name val="Aptos Narrow"/>
    </font>
    <font>
      <b/>
      <sz val="9"/>
      <color rgb="FFFFE8E8"/>
      <name val="Aptos Narrow"/>
    </font>
    <font>
      <i/>
      <sz val="9"/>
      <color rgb="FFFFE8E8"/>
      <name val="Aptos Narrow"/>
    </font>
    <font>
      <sz val="10"/>
      <color rgb="FF000000"/>
      <name val="Aptos Narrow"/>
    </font>
    <font>
      <b/>
      <sz val="12"/>
      <color rgb="FF1A1A1A"/>
      <name val="Aptos Narrow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FFCCCC"/>
      <name val="Calibri"/>
      <family val="2"/>
    </font>
    <font>
      <b/>
      <sz val="11"/>
      <color rgb="FFFFFFFF"/>
      <name val="Calibri"/>
      <family val="2"/>
    </font>
    <font>
      <sz val="9"/>
      <color rgb="FF595959"/>
      <name val="Calibri"/>
      <family val="2"/>
    </font>
    <font>
      <b/>
      <sz val="11"/>
      <color rgb="FF375623"/>
      <name val="Calibri"/>
      <family val="2"/>
    </font>
    <font>
      <b/>
      <sz val="11"/>
      <color rgb="FF3F3F00"/>
      <name val="Calibri"/>
      <family val="2"/>
    </font>
    <font>
      <b/>
      <sz val="11"/>
      <color rgb="FF3F3000"/>
      <name val="Calibri"/>
      <family val="2"/>
    </font>
    <font>
      <b/>
      <sz val="11"/>
      <color rgb="FFFFFFFF"/>
      <name val="Calibri"/>
      <family val="2"/>
    </font>
    <font>
      <b/>
      <sz val="10"/>
      <color rgb="FF595959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DB0011"/>
      </patternFill>
    </fill>
    <fill>
      <patternFill patternType="solid">
        <fgColor rgb="FFFEF9E7"/>
      </patternFill>
    </fill>
    <fill>
      <patternFill patternType="solid">
        <fgColor rgb="FFF5F5F5"/>
      </patternFill>
    </fill>
    <fill>
      <patternFill patternType="solid">
        <fgColor rgb="FFEAF4E4"/>
      </patternFill>
    </fill>
    <fill>
      <patternFill patternType="solid">
        <fgColor rgb="FF1B2A4A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70AD47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3A0000"/>
      </patternFill>
    </fill>
    <fill>
      <patternFill patternType="solid">
        <fgColor rgb="FF375623"/>
      </patternFill>
    </fill>
    <fill>
      <patternFill patternType="solid">
        <fgColor rgb="FF7F7F00"/>
      </patternFill>
    </fill>
    <fill>
      <patternFill patternType="solid">
        <fgColor rgb="FF833C00"/>
      </patternFill>
    </fill>
    <fill>
      <patternFill patternType="solid">
        <fgColor rgb="FF9C000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C0"/>
      </patternFill>
    </fill>
    <fill>
      <patternFill patternType="solid">
        <fgColor rgb="FFFCE4D6"/>
      </patternFill>
    </fill>
    <fill>
      <patternFill patternType="solid">
        <fgColor rgb="FFFFD7D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DB0011"/>
      </bottom>
      <diagonal/>
    </border>
    <border>
      <left/>
      <right/>
      <top/>
      <bottom style="medium">
        <color rgb="FFDB001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2" fillId="1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15" fillId="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3" borderId="0" xfId="0" applyFill="1"/>
    <xf numFmtId="0" fontId="29" fillId="14" borderId="6" xfId="0" applyFont="1" applyFill="1" applyBorder="1" applyAlignment="1">
      <alignment horizontal="center" vertical="center"/>
    </xf>
    <xf numFmtId="0" fontId="29" fillId="19" borderId="6" xfId="0" applyFont="1" applyFill="1" applyBorder="1" applyAlignment="1">
      <alignment horizontal="center" vertical="center"/>
    </xf>
    <xf numFmtId="0" fontId="29" fillId="20" borderId="6" xfId="0" applyFont="1" applyFill="1" applyBorder="1" applyAlignment="1">
      <alignment horizontal="center" vertical="center"/>
    </xf>
    <xf numFmtId="0" fontId="29" fillId="21" borderId="6" xfId="0" applyFont="1" applyFill="1" applyBorder="1" applyAlignment="1">
      <alignment horizontal="center" vertical="center"/>
    </xf>
    <xf numFmtId="0" fontId="29" fillId="22" borderId="6" xfId="0" applyFont="1" applyFill="1" applyBorder="1" applyAlignment="1">
      <alignment horizontal="center" vertical="center"/>
    </xf>
    <xf numFmtId="0" fontId="35" fillId="13" borderId="6" xfId="0" applyFont="1" applyFill="1" applyBorder="1" applyAlignment="1">
      <alignment horizontal="left" vertical="center"/>
    </xf>
    <xf numFmtId="0" fontId="35" fillId="13" borderId="6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left" vertical="center"/>
    </xf>
    <xf numFmtId="0" fontId="36" fillId="23" borderId="6" xfId="0" applyFont="1" applyFill="1" applyBorder="1"/>
    <xf numFmtId="0" fontId="36" fillId="23" borderId="6" xfId="0" applyFont="1" applyFill="1" applyBorder="1" applyAlignment="1">
      <alignment horizontal="left" vertical="center"/>
    </xf>
    <xf numFmtId="0" fontId="36" fillId="23" borderId="6" xfId="0" applyFont="1" applyFill="1" applyBorder="1" applyAlignment="1">
      <alignment horizontal="center" vertical="center"/>
    </xf>
    <xf numFmtId="0" fontId="36" fillId="24" borderId="6" xfId="0" applyFont="1" applyFill="1" applyBorder="1" applyAlignment="1">
      <alignment horizontal="center" vertical="center"/>
    </xf>
    <xf numFmtId="0" fontId="36" fillId="25" borderId="6" xfId="0" applyFont="1" applyFill="1" applyBorder="1" applyAlignment="1">
      <alignment horizontal="center" vertical="center"/>
    </xf>
    <xf numFmtId="0" fontId="36" fillId="26" borderId="6" xfId="0" applyFont="1" applyFill="1" applyBorder="1" applyAlignment="1">
      <alignment horizontal="center" vertical="center"/>
    </xf>
    <xf numFmtId="0" fontId="36" fillId="27" borderId="6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left" vertical="center"/>
    </xf>
    <xf numFmtId="0" fontId="37" fillId="15" borderId="1" xfId="0" applyFont="1" applyFill="1" applyBorder="1" applyAlignment="1">
      <alignment horizontal="left" vertical="center"/>
    </xf>
    <xf numFmtId="0" fontId="38" fillId="16" borderId="1" xfId="0" applyFont="1" applyFill="1" applyBorder="1" applyAlignment="1">
      <alignment horizontal="left" vertical="center"/>
    </xf>
    <xf numFmtId="0" fontId="39" fillId="9" borderId="1" xfId="0" applyFont="1" applyFill="1" applyBorder="1" applyAlignment="1">
      <alignment horizontal="left" vertical="center"/>
    </xf>
    <xf numFmtId="0" fontId="40" fillId="10" borderId="1" xfId="0" applyFont="1" applyFill="1" applyBorder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/>
    <xf numFmtId="0" fontId="41" fillId="23" borderId="6" xfId="0" applyFont="1" applyFill="1" applyBorder="1" applyAlignment="1">
      <alignment horizontal="left" vertical="center"/>
    </xf>
    <xf numFmtId="0" fontId="42" fillId="23" borderId="6" xfId="0" applyFont="1" applyFill="1" applyBorder="1" applyAlignment="1">
      <alignment horizontal="center" vertical="center"/>
    </xf>
    <xf numFmtId="1" fontId="43" fillId="23" borderId="6" xfId="0" applyNumberFormat="1" applyFont="1" applyFill="1" applyBorder="1" applyAlignment="1">
      <alignment horizontal="center" vertical="center"/>
    </xf>
    <xf numFmtId="0" fontId="30" fillId="23" borderId="6" xfId="0" applyFont="1" applyFill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0" fillId="17" borderId="0" xfId="0" applyFill="1"/>
    <xf numFmtId="0" fontId="32" fillId="14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4" fillId="18" borderId="0" xfId="0" applyFont="1" applyFill="1" applyAlignment="1">
      <alignment horizontal="left" vertical="center"/>
    </xf>
    <xf numFmtId="0" fontId="0" fillId="18" borderId="0" xfId="0" applyFill="1"/>
    <xf numFmtId="0" fontId="16" fillId="7" borderId="1" xfId="0" applyFont="1" applyFill="1" applyBorder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0" fillId="13" borderId="0" xfId="0" applyFill="1"/>
    <xf numFmtId="0" fontId="29" fillId="14" borderId="0" xfId="0" applyFont="1" applyFill="1"/>
    <xf numFmtId="0" fontId="16" fillId="10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18" fillId="7" borderId="0" xfId="0" applyFont="1" applyFill="1" applyAlignment="1">
      <alignment horizontal="center" vertical="center"/>
    </xf>
    <xf numFmtId="0" fontId="0" fillId="0" borderId="0" xfId="0"/>
    <xf numFmtId="0" fontId="22" fillId="9" borderId="0" xfId="0" applyFont="1" applyFill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0" fillId="0" borderId="5" xfId="0" applyBorder="1"/>
    <xf numFmtId="0" fontId="24" fillId="10" borderId="0" xfId="0" applyFont="1" applyFill="1" applyAlignment="1">
      <alignment horizontal="left" vertical="center"/>
    </xf>
    <xf numFmtId="0" fontId="21" fillId="7" borderId="5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23" fillId="9" borderId="5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25" fillId="10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7" fillId="11" borderId="0" xfId="0" applyFont="1" applyFill="1" applyAlignment="1">
      <alignment horizontal="left" vertical="center"/>
    </xf>
    <xf numFmtId="0" fontId="28" fillId="13" borderId="0" xfId="0" applyFont="1" applyFill="1" applyAlignment="1">
      <alignment horizontal="left" vertical="center"/>
    </xf>
    <xf numFmtId="0" fontId="29" fillId="1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1" fillId="17" borderId="0" xfId="0" applyFont="1" applyFill="1" applyAlignment="1">
      <alignment horizontal="left" vertical="center"/>
    </xf>
    <xf numFmtId="0" fontId="0" fillId="17" borderId="0" xfId="0" applyFill="1"/>
    <xf numFmtId="0" fontId="5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58"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3F3F00"/>
      </font>
      <fill>
        <patternFill patternType="solid">
          <fgColor rgb="FFFFFF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FF0000"/>
        </patternFill>
      </fill>
    </dxf>
    <dxf>
      <font>
        <b/>
      </font>
      <fill>
        <patternFill patternType="solid">
          <fgColor rgb="FFFFC000"/>
        </patternFill>
      </fill>
    </dxf>
    <dxf>
      <font>
        <b/>
        <color rgb="FF375623"/>
      </font>
      <fill>
        <patternFill patternType="solid">
          <fgColor rgb="FF70AD47"/>
        </patternFill>
      </fill>
    </dxf>
    <dxf>
      <font>
        <b/>
        <color rgb="FF3F3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Portfolio RAG Distribution  –  All MATs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E0-4B41-BBE4-C70A65BDDC8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E0-4B41-BBE4-C70A65BDDC8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E0-4B41-BBE4-C70A65BDDC8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E0-4B41-BBE4-C70A65BDDC8C}"/>
              </c:ext>
            </c:extLst>
          </c:dPt>
          <c:cat>
            <c:strRef>
              <c:f>'CRO Charts'!$T$3:$W$3</c:f>
              <c:strCache>
                <c:ptCount val="4"/>
                <c:pt idx="0">
                  <c:v>Green</c:v>
                </c:pt>
                <c:pt idx="1">
                  <c:v>Amb-Grn</c:v>
                </c:pt>
                <c:pt idx="2">
                  <c:v>Amber</c:v>
                </c:pt>
                <c:pt idx="3">
                  <c:v>Red</c:v>
                </c:pt>
              </c:strCache>
            </c:strRef>
          </c:cat>
          <c:val>
            <c:numRef>
              <c:f>'CRO Charts'!$T$7</c:f>
              <c:numCache>
                <c:formatCode>General</c:formatCode>
                <c:ptCount val="1"/>
                <c:pt idx="0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E0-4B41-BBE4-C70A65BDDC8C}"/>
            </c:ext>
          </c:extLst>
        </c:ser>
        <c:ser>
          <c:idx val="1"/>
          <c:order val="1"/>
          <c:spPr>
            <a:ln>
              <a:prstDash val="solid"/>
            </a:ln>
          </c:spPr>
          <c:cat>
            <c:strRef>
              <c:f>'CRO Charts'!$T$3:$W$3</c:f>
              <c:strCache>
                <c:ptCount val="4"/>
                <c:pt idx="0">
                  <c:v>Green</c:v>
                </c:pt>
                <c:pt idx="1">
                  <c:v>Amb-Grn</c:v>
                </c:pt>
                <c:pt idx="2">
                  <c:v>Amber</c:v>
                </c:pt>
                <c:pt idx="3">
                  <c:v>Red</c:v>
                </c:pt>
              </c:strCache>
            </c:strRef>
          </c:cat>
          <c:val>
            <c:numRef>
              <c:f>'CRO Charts'!$U$7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E0-4B41-BBE4-C70A65BDDC8C}"/>
            </c:ext>
          </c:extLst>
        </c:ser>
        <c:ser>
          <c:idx val="2"/>
          <c:order val="2"/>
          <c:spPr>
            <a:ln>
              <a:prstDash val="solid"/>
            </a:ln>
          </c:spPr>
          <c:cat>
            <c:strRef>
              <c:f>'CRO Charts'!$T$3:$W$3</c:f>
              <c:strCache>
                <c:ptCount val="4"/>
                <c:pt idx="0">
                  <c:v>Green</c:v>
                </c:pt>
                <c:pt idx="1">
                  <c:v>Amb-Grn</c:v>
                </c:pt>
                <c:pt idx="2">
                  <c:v>Amber</c:v>
                </c:pt>
                <c:pt idx="3">
                  <c:v>Red</c:v>
                </c:pt>
              </c:strCache>
            </c:strRef>
          </c:cat>
          <c:val>
            <c:numRef>
              <c:f>'CRO Charts'!$V$7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E0-4B41-BBE4-C70A65BDDC8C}"/>
            </c:ext>
          </c:extLst>
        </c:ser>
        <c:ser>
          <c:idx val="3"/>
          <c:order val="3"/>
          <c:spPr>
            <a:ln>
              <a:prstDash val="solid"/>
            </a:ln>
          </c:spPr>
          <c:cat>
            <c:strRef>
              <c:f>'CRO Charts'!$T$3:$W$3</c:f>
              <c:strCache>
                <c:ptCount val="4"/>
                <c:pt idx="0">
                  <c:v>Green</c:v>
                </c:pt>
                <c:pt idx="1">
                  <c:v>Amb-Grn</c:v>
                </c:pt>
                <c:pt idx="2">
                  <c:v>Amber</c:v>
                </c:pt>
                <c:pt idx="3">
                  <c:v>Red</c:v>
                </c:pt>
              </c:strCache>
            </c:strRef>
          </c:cat>
          <c:val>
            <c:numRef>
              <c:f>'CRO Charts'!$W$7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E0-4B41-BBE4-C70A65BDD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MAT Status by Asset Class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'CRO Charts'!$T$3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Charts'!$S$4:$S$6</c:f>
              <c:strCache>
                <c:ptCount val="3"/>
                <c:pt idx="0">
                  <c:v>Private Credit</c:v>
                </c:pt>
                <c:pt idx="1">
                  <c:v>Real Asset</c:v>
                </c:pt>
                <c:pt idx="2">
                  <c:v>Priv Mkts + HF</c:v>
                </c:pt>
              </c:strCache>
            </c:strRef>
          </c:cat>
          <c:val>
            <c:numRef>
              <c:f>'CRO Charts'!$T$4:$T$6</c:f>
              <c:numCache>
                <c:formatCode>General</c:formatCode>
                <c:ptCount val="3"/>
                <c:pt idx="0">
                  <c:v>121</c:v>
                </c:pt>
                <c:pt idx="1">
                  <c:v>104</c:v>
                </c:pt>
                <c:pt idx="2">
                  <c:v>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08-E440-8B4E-710064B3F24A}"/>
            </c:ext>
          </c:extLst>
        </c:ser>
        <c:ser>
          <c:idx val="1"/>
          <c:order val="1"/>
          <c:tx>
            <c:strRef>
              <c:f>'CRO Charts'!$U$3</c:f>
              <c:strCache>
                <c:ptCount val="1"/>
                <c:pt idx="0">
                  <c:v>Amb-Grn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Charts'!$S$4:$S$6</c:f>
              <c:strCache>
                <c:ptCount val="3"/>
                <c:pt idx="0">
                  <c:v>Private Credit</c:v>
                </c:pt>
                <c:pt idx="1">
                  <c:v>Real Asset</c:v>
                </c:pt>
                <c:pt idx="2">
                  <c:v>Priv Mkts + HF</c:v>
                </c:pt>
              </c:strCache>
            </c:strRef>
          </c:cat>
          <c:val>
            <c:numRef>
              <c:f>'CRO Charts'!$U$4:$U$6</c:f>
              <c:numCache>
                <c:formatCode>General</c:formatCode>
                <c:ptCount val="3"/>
                <c:pt idx="0">
                  <c:v>2</c:v>
                </c:pt>
                <c:pt idx="1">
                  <c:v>16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08-E440-8B4E-710064B3F24A}"/>
            </c:ext>
          </c:extLst>
        </c:ser>
        <c:ser>
          <c:idx val="2"/>
          <c:order val="2"/>
          <c:tx>
            <c:strRef>
              <c:f>'CRO Charts'!$V$3</c:f>
              <c:strCache>
                <c:ptCount val="1"/>
                <c:pt idx="0">
                  <c:v>Amber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Charts'!$S$4:$S$6</c:f>
              <c:strCache>
                <c:ptCount val="3"/>
                <c:pt idx="0">
                  <c:v>Private Credit</c:v>
                </c:pt>
                <c:pt idx="1">
                  <c:v>Real Asset</c:v>
                </c:pt>
                <c:pt idx="2">
                  <c:v>Priv Mkts + HF</c:v>
                </c:pt>
              </c:strCache>
            </c:strRef>
          </c:cat>
          <c:val>
            <c:numRef>
              <c:f>'CRO Charts'!$V$4:$V$6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708-E440-8B4E-710064B3F24A}"/>
            </c:ext>
          </c:extLst>
        </c:ser>
        <c:ser>
          <c:idx val="3"/>
          <c:order val="3"/>
          <c:tx>
            <c:strRef>
              <c:f>'CRO Charts'!$W$3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Charts'!$S$4:$S$6</c:f>
              <c:strCache>
                <c:ptCount val="3"/>
                <c:pt idx="0">
                  <c:v>Private Credit</c:v>
                </c:pt>
                <c:pt idx="1">
                  <c:v>Real Asset</c:v>
                </c:pt>
                <c:pt idx="2">
                  <c:v>Priv Mkts + HF</c:v>
                </c:pt>
              </c:strCache>
            </c:strRef>
          </c:cat>
          <c:val>
            <c:numRef>
              <c:f>'CRO Charts'!$W$4:$W$6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708-E440-8B4E-710064B3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Elevated Strategies  –  Amber &amp; Red MATs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'CRO Charts'!$T$31</c:f>
              <c:strCache>
                <c:ptCount val="1"/>
                <c:pt idx="0">
                  <c:v>Amber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Charts'!$S$32:$S$44</c:f>
              <c:strCache>
                <c:ptCount val="13"/>
                <c:pt idx="0">
                  <c:v>Direct Lending UK …</c:v>
                </c:pt>
                <c:pt idx="1">
                  <c:v>OVERALL RAG SPLIT (%)</c:v>
                </c:pt>
                <c:pt idx="2">
                  <c:v>Green</c:v>
                </c:pt>
                <c:pt idx="3">
                  <c:v>Amber-Green</c:v>
                </c:pt>
                <c:pt idx="4">
                  <c:v>Amber</c:v>
                </c:pt>
                <c:pt idx="5">
                  <c:v>Red</c:v>
                </c:pt>
                <c:pt idx="6">
                  <c:v>HTRE RE</c:v>
                </c:pt>
                <c:pt idx="7">
                  <c:v>Real Estate Asia</c:v>
                </c:pt>
                <c:pt idx="8">
                  <c:v>REIM</c:v>
                </c:pt>
                <c:pt idx="9">
                  <c:v>ETI</c:v>
                </c:pt>
                <c:pt idx="10">
                  <c:v>Hedge Funds</c:v>
                </c:pt>
                <c:pt idx="11">
                  <c:v>Private Markets</c:v>
                </c:pt>
                <c:pt idx="12">
                  <c:v>Venture Capital</c:v>
                </c:pt>
              </c:strCache>
            </c:strRef>
          </c:cat>
          <c:val>
            <c:numRef>
              <c:f>'CRO Charts'!$T$32:$T$44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 formatCode="0.0%">
                  <c:v>0.89490445859872614</c:v>
                </c:pt>
                <c:pt idx="3" formatCode="0.0%">
                  <c:v>6.0509554140127389E-2</c:v>
                </c:pt>
                <c:pt idx="4" formatCode="0.0%">
                  <c:v>1.9108280254777069E-2</c:v>
                </c:pt>
                <c:pt idx="5" formatCode="0.0%">
                  <c:v>2.5477707006369428E-2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43-804F-85C0-3B6085577481}"/>
            </c:ext>
          </c:extLst>
        </c:ser>
        <c:ser>
          <c:idx val="1"/>
          <c:order val="1"/>
          <c:tx>
            <c:strRef>
              <c:f>'CRO Charts'!$U$31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Charts'!$S$32:$S$44</c:f>
              <c:strCache>
                <c:ptCount val="13"/>
                <c:pt idx="0">
                  <c:v>Direct Lending UK …</c:v>
                </c:pt>
                <c:pt idx="1">
                  <c:v>OVERALL RAG SPLIT (%)</c:v>
                </c:pt>
                <c:pt idx="2">
                  <c:v>Green</c:v>
                </c:pt>
                <c:pt idx="3">
                  <c:v>Amber-Green</c:v>
                </c:pt>
                <c:pt idx="4">
                  <c:v>Amber</c:v>
                </c:pt>
                <c:pt idx="5">
                  <c:v>Red</c:v>
                </c:pt>
                <c:pt idx="6">
                  <c:v>HTRE RE</c:v>
                </c:pt>
                <c:pt idx="7">
                  <c:v>Real Estate Asia</c:v>
                </c:pt>
                <c:pt idx="8">
                  <c:v>REIM</c:v>
                </c:pt>
                <c:pt idx="9">
                  <c:v>ETI</c:v>
                </c:pt>
                <c:pt idx="10">
                  <c:v>Hedge Funds</c:v>
                </c:pt>
                <c:pt idx="11">
                  <c:v>Private Markets</c:v>
                </c:pt>
                <c:pt idx="12">
                  <c:v>Venture Capital</c:v>
                </c:pt>
              </c:strCache>
            </c:strRef>
          </c:cat>
          <c:val>
            <c:numRef>
              <c:f>'CRO Charts'!$U$32:$U$44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43-804F-85C0-3B608557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Risk Stripe Analysis  –  Amber &amp; Red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'CRO Charts'!$V$24</c:f>
              <c:strCache>
                <c:ptCount val="1"/>
                <c:pt idx="0">
                  <c:v>Amber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Charts'!$S$25:$S$29</c:f>
              <c:strCache>
                <c:ptCount val="5"/>
                <c:pt idx="0">
                  <c:v>Market Risk</c:v>
                </c:pt>
                <c:pt idx="1">
                  <c:v>Liquidity Risk</c:v>
                </c:pt>
                <c:pt idx="2">
                  <c:v>Counterparty / CCR</c:v>
                </c:pt>
                <c:pt idx="3">
                  <c:v>Sustainability</c:v>
                </c:pt>
                <c:pt idx="4">
                  <c:v>Performance</c:v>
                </c:pt>
              </c:strCache>
            </c:strRef>
          </c:cat>
          <c:val>
            <c:numRef>
              <c:f>'CRO Charts'!$V$25:$V$29</c:f>
              <c:numCache>
                <c:formatCode>General</c:formatCode>
                <c:ptCount val="5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1C0-FF46-B00B-D5A53B624E2B}"/>
            </c:ext>
          </c:extLst>
        </c:ser>
        <c:ser>
          <c:idx val="1"/>
          <c:order val="1"/>
          <c:tx>
            <c:strRef>
              <c:f>'CRO Charts'!$W$24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'CRO Charts'!$S$25:$S$29</c:f>
              <c:strCache>
                <c:ptCount val="5"/>
                <c:pt idx="0">
                  <c:v>Market Risk</c:v>
                </c:pt>
                <c:pt idx="1">
                  <c:v>Liquidity Risk</c:v>
                </c:pt>
                <c:pt idx="2">
                  <c:v>Counterparty / CCR</c:v>
                </c:pt>
                <c:pt idx="3">
                  <c:v>Sustainability</c:v>
                </c:pt>
                <c:pt idx="4">
                  <c:v>Performance</c:v>
                </c:pt>
              </c:strCache>
            </c:strRef>
          </c:cat>
          <c:val>
            <c:numRef>
              <c:f>'CRO Charts'!$W$25:$W$29</c:f>
              <c:numCache>
                <c:formatCode>General</c:formatCode>
                <c:ptCount val="5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1C0-FF46-B00B-D5A53B624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MAT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468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11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612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34</xdr:row>
      <xdr:rowOff>0</xdr:rowOff>
    </xdr:from>
    <xdr:ext cx="5400000" cy="46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0011"/>
  </sheetPr>
  <dimension ref="A1:I111"/>
  <sheetViews>
    <sheetView showGridLines="0" workbookViewId="0">
      <pane ySplit="4" topLeftCell="A5" activePane="bottomLeft" state="frozen"/>
      <selection pane="bottomLeft" activeCell="D33" sqref="D33"/>
    </sheetView>
  </sheetViews>
  <sheetFormatPr baseColWidth="10" defaultColWidth="8.83203125" defaultRowHeight="15" x14ac:dyDescent="0.2"/>
  <cols>
    <col min="1" max="1" width="36" customWidth="1"/>
    <col min="2" max="2" width="22" customWidth="1"/>
    <col min="3" max="3" width="8" customWidth="1"/>
    <col min="4" max="6" width="9" customWidth="1"/>
    <col min="7" max="7" width="26" customWidth="1"/>
    <col min="8" max="8" width="9" customWidth="1"/>
    <col min="9" max="9" width="6" customWidth="1"/>
  </cols>
  <sheetData>
    <row r="1" spans="1:9" ht="30" customHeight="1" x14ac:dyDescent="0.2">
      <c r="A1" s="75" t="s">
        <v>0</v>
      </c>
      <c r="B1" s="76"/>
      <c r="C1" s="76"/>
      <c r="D1" s="76"/>
      <c r="E1" s="76"/>
      <c r="F1" s="76"/>
      <c r="G1" s="76"/>
      <c r="H1" s="76"/>
      <c r="I1" s="76"/>
    </row>
    <row r="2" spans="1:9" ht="18" customHeight="1" x14ac:dyDescent="0.2">
      <c r="A2" s="72" t="s">
        <v>1</v>
      </c>
      <c r="B2" s="73"/>
      <c r="C2" s="73"/>
      <c r="D2" s="73"/>
      <c r="E2" s="73"/>
      <c r="F2" s="73"/>
      <c r="G2" s="73"/>
      <c r="H2" s="73"/>
      <c r="I2" s="73"/>
    </row>
    <row r="3" spans="1:9" ht="5" customHeight="1" x14ac:dyDescent="0.2"/>
    <row r="4" spans="1:9" ht="28" customHeight="1" x14ac:dyDescent="0.2">
      <c r="A4" s="28" t="s">
        <v>2</v>
      </c>
      <c r="B4" s="28" t="s">
        <v>3</v>
      </c>
      <c r="C4" s="28" t="s">
        <v>4</v>
      </c>
      <c r="D4" s="29" t="s">
        <v>5</v>
      </c>
      <c r="E4" s="30" t="s">
        <v>6</v>
      </c>
      <c r="F4" s="31" t="s">
        <v>7</v>
      </c>
      <c r="G4" s="32" t="s">
        <v>8</v>
      </c>
      <c r="H4" s="28" t="s">
        <v>9</v>
      </c>
      <c r="I4" s="1"/>
    </row>
    <row r="5" spans="1:9" ht="4" customHeight="1" x14ac:dyDescent="0.2"/>
    <row r="6" spans="1:9" ht="20" customHeight="1" x14ac:dyDescent="0.2">
      <c r="A6" s="33" t="s">
        <v>10</v>
      </c>
      <c r="B6" s="34"/>
      <c r="C6" s="34">
        <f>DL!B4+InfraDebt!B4+RCF!B4+NAV!B4+TWCS!B4</f>
        <v>21</v>
      </c>
      <c r="D6" s="34">
        <f>DL!B12+InfraDebt!B12+RCF!B12+NAV!B12+TWCS!B12</f>
        <v>121</v>
      </c>
      <c r="E6" s="34">
        <f>DL!C12+InfraDebt!C12+RCF!C12+NAV!C12+TWCS!C12</f>
        <v>2</v>
      </c>
      <c r="F6" s="34">
        <f>DL!D12+InfraDebt!D12+RCF!D12+NAV!D12+TWCS!D12</f>
        <v>2</v>
      </c>
      <c r="G6" s="34">
        <f>DL!E12+InfraDebt!E12+RCF!E12+NAV!E12+TWCS!E12</f>
        <v>2</v>
      </c>
      <c r="H6" s="34">
        <f>DL!F12+InfraDebt!F12+RCF!F12+NAV!F12+TWCS!F12</f>
        <v>127</v>
      </c>
      <c r="I6" s="34"/>
    </row>
    <row r="7" spans="1:9" ht="16" customHeight="1" x14ac:dyDescent="0.2">
      <c r="A7" s="35" t="s">
        <v>11</v>
      </c>
      <c r="B7" s="28" t="s">
        <v>12</v>
      </c>
      <c r="C7" s="28">
        <f>DL!B4</f>
        <v>7</v>
      </c>
      <c r="D7" s="28">
        <f>DL!B12</f>
        <v>52</v>
      </c>
      <c r="E7" s="28">
        <f>DL!C12</f>
        <v>1</v>
      </c>
      <c r="F7" s="28">
        <f>DL!D12</f>
        <v>0</v>
      </c>
      <c r="G7" s="28">
        <f>DL!E12</f>
        <v>0</v>
      </c>
      <c r="H7" s="28">
        <f>DL!F12</f>
        <v>53</v>
      </c>
      <c r="I7" s="28" t="str">
        <f>IF(OR(DL!D12&gt;0,DL!E12&gt;0),"→","")</f>
        <v/>
      </c>
    </row>
    <row r="8" spans="1:9" ht="13" customHeight="1" x14ac:dyDescent="0.2">
      <c r="A8" s="36"/>
      <c r="B8" s="37" t="s">
        <v>13</v>
      </c>
      <c r="C8" s="38"/>
      <c r="D8" s="39">
        <f>DL!B7</f>
        <v>38</v>
      </c>
      <c r="E8" s="40">
        <f>DL!C7</f>
        <v>1</v>
      </c>
      <c r="F8" s="41">
        <f>DL!D7</f>
        <v>0</v>
      </c>
      <c r="G8" s="42">
        <f>DL!E7</f>
        <v>0</v>
      </c>
      <c r="H8" s="38">
        <f>DL!F7</f>
        <v>39</v>
      </c>
      <c r="I8" s="38"/>
    </row>
    <row r="9" spans="1:9" ht="13" customHeight="1" x14ac:dyDescent="0.2">
      <c r="A9" s="36"/>
      <c r="B9" s="37" t="s">
        <v>14</v>
      </c>
      <c r="C9" s="38"/>
      <c r="D9" s="39">
        <f>DL!B8</f>
        <v>7</v>
      </c>
      <c r="E9" s="40">
        <f>DL!C8</f>
        <v>0</v>
      </c>
      <c r="F9" s="41">
        <f>DL!D8</f>
        <v>0</v>
      </c>
      <c r="G9" s="42">
        <f>DL!E8</f>
        <v>0</v>
      </c>
      <c r="H9" s="38">
        <f>DL!F8</f>
        <v>7</v>
      </c>
      <c r="I9" s="38"/>
    </row>
    <row r="10" spans="1:9" ht="13" customHeight="1" x14ac:dyDescent="0.2">
      <c r="A10" s="36"/>
      <c r="B10" s="37" t="s">
        <v>15</v>
      </c>
      <c r="C10" s="38"/>
      <c r="D10" s="39">
        <f>DL!B9</f>
        <v>0</v>
      </c>
      <c r="E10" s="40">
        <f>DL!C9</f>
        <v>0</v>
      </c>
      <c r="F10" s="41">
        <f>DL!D9</f>
        <v>0</v>
      </c>
      <c r="G10" s="42">
        <f>DL!E9</f>
        <v>0</v>
      </c>
      <c r="H10" s="38">
        <f>DL!F9</f>
        <v>0</v>
      </c>
      <c r="I10" s="38"/>
    </row>
    <row r="11" spans="1:9" ht="13" customHeight="1" x14ac:dyDescent="0.2">
      <c r="A11" s="36"/>
      <c r="B11" s="37" t="s">
        <v>16</v>
      </c>
      <c r="C11" s="38"/>
      <c r="D11" s="39">
        <f>DL!B10</f>
        <v>7</v>
      </c>
      <c r="E11" s="40">
        <f>DL!C10</f>
        <v>0</v>
      </c>
      <c r="F11" s="41">
        <f>DL!D10</f>
        <v>0</v>
      </c>
      <c r="G11" s="42">
        <f>DL!E10</f>
        <v>0</v>
      </c>
      <c r="H11" s="38">
        <f>DL!F10</f>
        <v>7</v>
      </c>
      <c r="I11" s="38"/>
    </row>
    <row r="12" spans="1:9" ht="13" customHeight="1" x14ac:dyDescent="0.2">
      <c r="A12" s="36"/>
      <c r="B12" s="37" t="s">
        <v>17</v>
      </c>
      <c r="C12" s="38"/>
      <c r="D12" s="39">
        <f>DL!B11</f>
        <v>0</v>
      </c>
      <c r="E12" s="40">
        <f>DL!C11</f>
        <v>0</v>
      </c>
      <c r="F12" s="41">
        <f>DL!D11</f>
        <v>0</v>
      </c>
      <c r="G12" s="42">
        <f>DL!E11</f>
        <v>0</v>
      </c>
      <c r="H12" s="38">
        <f>DL!F11</f>
        <v>0</v>
      </c>
      <c r="I12" s="38"/>
    </row>
    <row r="13" spans="1:9" ht="16" customHeight="1" x14ac:dyDescent="0.2">
      <c r="A13" s="35" t="s">
        <v>18</v>
      </c>
      <c r="B13" s="28" t="s">
        <v>12</v>
      </c>
      <c r="C13" s="28">
        <f>InfraDebt!B4</f>
        <v>8</v>
      </c>
      <c r="D13" s="28">
        <f>InfraDebt!B12</f>
        <v>36</v>
      </c>
      <c r="E13" s="28">
        <f>InfraDebt!C12</f>
        <v>0</v>
      </c>
      <c r="F13" s="28">
        <f>InfraDebt!D12</f>
        <v>2</v>
      </c>
      <c r="G13" s="28">
        <f>InfraDebt!E12</f>
        <v>2</v>
      </c>
      <c r="H13" s="28">
        <f>InfraDebt!F12</f>
        <v>40</v>
      </c>
      <c r="I13" s="28" t="str">
        <f>IF(OR(InfraDebt!D12&gt;0,InfraDebt!E12&gt;0),"→","")</f>
        <v>→</v>
      </c>
    </row>
    <row r="14" spans="1:9" ht="13" customHeight="1" x14ac:dyDescent="0.2">
      <c r="A14" s="36"/>
      <c r="B14" s="37" t="s">
        <v>13</v>
      </c>
      <c r="C14" s="38"/>
      <c r="D14" s="39">
        <f>InfraDebt!B7</f>
        <v>16</v>
      </c>
      <c r="E14" s="40">
        <f>InfraDebt!C7</f>
        <v>0</v>
      </c>
      <c r="F14" s="41">
        <f>InfraDebt!D7</f>
        <v>2</v>
      </c>
      <c r="G14" s="42">
        <f>InfraDebt!E7</f>
        <v>2</v>
      </c>
      <c r="H14" s="38">
        <f>InfraDebt!F7</f>
        <v>20</v>
      </c>
      <c r="I14" s="38"/>
    </row>
    <row r="15" spans="1:9" ht="13" customHeight="1" x14ac:dyDescent="0.2">
      <c r="A15" s="36"/>
      <c r="B15" s="37" t="s">
        <v>14</v>
      </c>
      <c r="C15" s="38"/>
      <c r="D15" s="39">
        <f>InfraDebt!B8</f>
        <v>16</v>
      </c>
      <c r="E15" s="40">
        <f>InfraDebt!C8</f>
        <v>0</v>
      </c>
      <c r="F15" s="41">
        <f>InfraDebt!D8</f>
        <v>0</v>
      </c>
      <c r="G15" s="42">
        <f>InfraDebt!E8</f>
        <v>0</v>
      </c>
      <c r="H15" s="38">
        <f>InfraDebt!F8</f>
        <v>16</v>
      </c>
      <c r="I15" s="38"/>
    </row>
    <row r="16" spans="1:9" ht="13" customHeight="1" x14ac:dyDescent="0.2">
      <c r="A16" s="36"/>
      <c r="B16" s="37" t="s">
        <v>15</v>
      </c>
      <c r="C16" s="38"/>
      <c r="D16" s="39">
        <f>InfraDebt!B9</f>
        <v>0</v>
      </c>
      <c r="E16" s="40">
        <f>InfraDebt!C9</f>
        <v>0</v>
      </c>
      <c r="F16" s="41">
        <f>InfraDebt!D9</f>
        <v>0</v>
      </c>
      <c r="G16" s="42">
        <f>InfraDebt!E9</f>
        <v>0</v>
      </c>
      <c r="H16" s="38">
        <f>InfraDebt!F9</f>
        <v>0</v>
      </c>
      <c r="I16" s="38"/>
    </row>
    <row r="17" spans="1:9" ht="13" customHeight="1" x14ac:dyDescent="0.2">
      <c r="A17" s="36"/>
      <c r="B17" s="37" t="s">
        <v>16</v>
      </c>
      <c r="C17" s="38"/>
      <c r="D17" s="39">
        <f>InfraDebt!B10</f>
        <v>4</v>
      </c>
      <c r="E17" s="40">
        <f>InfraDebt!C10</f>
        <v>0</v>
      </c>
      <c r="F17" s="41">
        <f>InfraDebt!D10</f>
        <v>0</v>
      </c>
      <c r="G17" s="42">
        <f>InfraDebt!E10</f>
        <v>0</v>
      </c>
      <c r="H17" s="38">
        <f>InfraDebt!F10</f>
        <v>4</v>
      </c>
      <c r="I17" s="38"/>
    </row>
    <row r="18" spans="1:9" ht="13" customHeight="1" x14ac:dyDescent="0.2">
      <c r="A18" s="36"/>
      <c r="B18" s="37" t="s">
        <v>17</v>
      </c>
      <c r="C18" s="38"/>
      <c r="D18" s="39">
        <f>InfraDebt!B11</f>
        <v>0</v>
      </c>
      <c r="E18" s="40">
        <f>InfraDebt!C11</f>
        <v>0</v>
      </c>
      <c r="F18" s="41">
        <f>InfraDebt!D11</f>
        <v>0</v>
      </c>
      <c r="G18" s="42">
        <f>InfraDebt!E11</f>
        <v>0</v>
      </c>
      <c r="H18" s="38">
        <f>InfraDebt!F11</f>
        <v>0</v>
      </c>
      <c r="I18" s="38"/>
    </row>
    <row r="19" spans="1:9" ht="16" customHeight="1" x14ac:dyDescent="0.2">
      <c r="A19" s="35" t="s">
        <v>19</v>
      </c>
      <c r="B19" s="28" t="s">
        <v>12</v>
      </c>
      <c r="C19" s="28">
        <f>RCF!B4</f>
        <v>2</v>
      </c>
      <c r="D19" s="28">
        <f>RCF!B12</f>
        <v>15</v>
      </c>
      <c r="E19" s="28">
        <f>RCF!C12</f>
        <v>1</v>
      </c>
      <c r="F19" s="28">
        <f>RCF!D12</f>
        <v>0</v>
      </c>
      <c r="G19" s="28">
        <f>RCF!E12</f>
        <v>0</v>
      </c>
      <c r="H19" s="28">
        <f>RCF!F12</f>
        <v>16</v>
      </c>
      <c r="I19" s="28" t="str">
        <f>IF(OR(RCF!D12&gt;0,RCF!E12&gt;0),"→","")</f>
        <v/>
      </c>
    </row>
    <row r="20" spans="1:9" ht="13" customHeight="1" x14ac:dyDescent="0.2">
      <c r="A20" s="36"/>
      <c r="B20" s="37" t="s">
        <v>13</v>
      </c>
      <c r="C20" s="38"/>
      <c r="D20" s="39">
        <f>RCF!B7</f>
        <v>6</v>
      </c>
      <c r="E20" s="40">
        <f>RCF!C7</f>
        <v>0</v>
      </c>
      <c r="F20" s="41">
        <f>RCF!D7</f>
        <v>0</v>
      </c>
      <c r="G20" s="42">
        <f>RCF!E7</f>
        <v>0</v>
      </c>
      <c r="H20" s="38">
        <f>RCF!F7</f>
        <v>6</v>
      </c>
      <c r="I20" s="38"/>
    </row>
    <row r="21" spans="1:9" ht="13" customHeight="1" x14ac:dyDescent="0.2">
      <c r="A21" s="36"/>
      <c r="B21" s="37" t="s">
        <v>14</v>
      </c>
      <c r="C21" s="38"/>
      <c r="D21" s="39">
        <f>RCF!B8</f>
        <v>7</v>
      </c>
      <c r="E21" s="40">
        <f>RCF!C8</f>
        <v>1</v>
      </c>
      <c r="F21" s="41">
        <f>RCF!D8</f>
        <v>0</v>
      </c>
      <c r="G21" s="42">
        <f>RCF!E8</f>
        <v>0</v>
      </c>
      <c r="H21" s="38">
        <f>RCF!F8</f>
        <v>8</v>
      </c>
      <c r="I21" s="38"/>
    </row>
    <row r="22" spans="1:9" ht="13" customHeight="1" x14ac:dyDescent="0.2">
      <c r="A22" s="36"/>
      <c r="B22" s="37" t="s">
        <v>15</v>
      </c>
      <c r="C22" s="38"/>
      <c r="D22" s="39">
        <f>RCF!B9</f>
        <v>0</v>
      </c>
      <c r="E22" s="40">
        <f>RCF!C9</f>
        <v>0</v>
      </c>
      <c r="F22" s="41">
        <f>RCF!D9</f>
        <v>0</v>
      </c>
      <c r="G22" s="42">
        <f>RCF!E9</f>
        <v>0</v>
      </c>
      <c r="H22" s="38">
        <f>RCF!F9</f>
        <v>0</v>
      </c>
      <c r="I22" s="38"/>
    </row>
    <row r="23" spans="1:9" ht="13" customHeight="1" x14ac:dyDescent="0.2">
      <c r="A23" s="36"/>
      <c r="B23" s="37" t="s">
        <v>16</v>
      </c>
      <c r="C23" s="38"/>
      <c r="D23" s="39">
        <f>RCF!B10</f>
        <v>2</v>
      </c>
      <c r="E23" s="40">
        <f>RCF!C10</f>
        <v>0</v>
      </c>
      <c r="F23" s="41">
        <f>RCF!D10</f>
        <v>0</v>
      </c>
      <c r="G23" s="42">
        <f>RCF!E10</f>
        <v>0</v>
      </c>
      <c r="H23" s="38">
        <f>RCF!F10</f>
        <v>2</v>
      </c>
      <c r="I23" s="38"/>
    </row>
    <row r="24" spans="1:9" ht="13" customHeight="1" x14ac:dyDescent="0.2">
      <c r="A24" s="36"/>
      <c r="B24" s="37" t="s">
        <v>17</v>
      </c>
      <c r="C24" s="38"/>
      <c r="D24" s="39">
        <f>RCF!B11</f>
        <v>0</v>
      </c>
      <c r="E24" s="40">
        <f>RCF!C11</f>
        <v>0</v>
      </c>
      <c r="F24" s="41">
        <f>RCF!D11</f>
        <v>0</v>
      </c>
      <c r="G24" s="42">
        <f>RCF!E11</f>
        <v>0</v>
      </c>
      <c r="H24" s="38">
        <f>RCF!F11</f>
        <v>0</v>
      </c>
      <c r="I24" s="38"/>
    </row>
    <row r="25" spans="1:9" ht="16" customHeight="1" x14ac:dyDescent="0.2">
      <c r="A25" s="35" t="s">
        <v>20</v>
      </c>
      <c r="B25" s="28" t="s">
        <v>12</v>
      </c>
      <c r="C25" s="28">
        <f>NAV!B4</f>
        <v>2</v>
      </c>
      <c r="D25" s="28">
        <f>NAV!B12</f>
        <v>8</v>
      </c>
      <c r="E25" s="28">
        <f>NAV!C12</f>
        <v>0</v>
      </c>
      <c r="F25" s="28">
        <f>NAV!D12</f>
        <v>0</v>
      </c>
      <c r="G25" s="28">
        <f>NAV!E12</f>
        <v>0</v>
      </c>
      <c r="H25" s="28">
        <f>NAV!F12</f>
        <v>8</v>
      </c>
      <c r="I25" s="28" t="str">
        <f>IF(OR(NAV!D12&gt;0,NAV!E12&gt;0),"→","")</f>
        <v/>
      </c>
    </row>
    <row r="26" spans="1:9" ht="13" customHeight="1" x14ac:dyDescent="0.2">
      <c r="A26" s="36"/>
      <c r="B26" s="37" t="s">
        <v>13</v>
      </c>
      <c r="C26" s="38"/>
      <c r="D26" s="39">
        <f>NAV!B7</f>
        <v>6</v>
      </c>
      <c r="E26" s="40">
        <f>NAV!C7</f>
        <v>0</v>
      </c>
      <c r="F26" s="41">
        <f>NAV!D7</f>
        <v>0</v>
      </c>
      <c r="G26" s="42">
        <f>NAV!E7</f>
        <v>0</v>
      </c>
      <c r="H26" s="38">
        <f>NAV!F7</f>
        <v>6</v>
      </c>
      <c r="I26" s="38"/>
    </row>
    <row r="27" spans="1:9" ht="13" customHeight="1" x14ac:dyDescent="0.2">
      <c r="A27" s="36"/>
      <c r="B27" s="37" t="s">
        <v>14</v>
      </c>
      <c r="C27" s="38"/>
      <c r="D27" s="39">
        <f>NAV!B8</f>
        <v>0</v>
      </c>
      <c r="E27" s="40">
        <f>NAV!C8</f>
        <v>0</v>
      </c>
      <c r="F27" s="41">
        <f>NAV!D8</f>
        <v>0</v>
      </c>
      <c r="G27" s="42">
        <f>NAV!E8</f>
        <v>0</v>
      </c>
      <c r="H27" s="38">
        <f>NAV!F8</f>
        <v>0</v>
      </c>
      <c r="I27" s="38"/>
    </row>
    <row r="28" spans="1:9" ht="13" customHeight="1" x14ac:dyDescent="0.2">
      <c r="A28" s="36"/>
      <c r="B28" s="37" t="s">
        <v>15</v>
      </c>
      <c r="C28" s="38"/>
      <c r="D28" s="39">
        <f>NAV!B9</f>
        <v>0</v>
      </c>
      <c r="E28" s="40">
        <f>NAV!C9</f>
        <v>0</v>
      </c>
      <c r="F28" s="41">
        <f>NAV!D9</f>
        <v>0</v>
      </c>
      <c r="G28" s="42">
        <f>NAV!E9</f>
        <v>0</v>
      </c>
      <c r="H28" s="38">
        <f>NAV!F9</f>
        <v>0</v>
      </c>
      <c r="I28" s="38"/>
    </row>
    <row r="29" spans="1:9" ht="13" customHeight="1" x14ac:dyDescent="0.2">
      <c r="A29" s="36"/>
      <c r="B29" s="37" t="s">
        <v>16</v>
      </c>
      <c r="C29" s="38"/>
      <c r="D29" s="39">
        <f>NAV!B10</f>
        <v>2</v>
      </c>
      <c r="E29" s="40">
        <f>NAV!C10</f>
        <v>0</v>
      </c>
      <c r="F29" s="41">
        <f>NAV!D10</f>
        <v>0</v>
      </c>
      <c r="G29" s="42">
        <f>NAV!E10</f>
        <v>0</v>
      </c>
      <c r="H29" s="38">
        <f>NAV!F10</f>
        <v>2</v>
      </c>
      <c r="I29" s="38"/>
    </row>
    <row r="30" spans="1:9" ht="13" customHeight="1" x14ac:dyDescent="0.2">
      <c r="A30" s="36"/>
      <c r="B30" s="37" t="s">
        <v>17</v>
      </c>
      <c r="C30" s="38"/>
      <c r="D30" s="39">
        <f>NAV!B11</f>
        <v>0</v>
      </c>
      <c r="E30" s="40">
        <f>NAV!C11</f>
        <v>0</v>
      </c>
      <c r="F30" s="41">
        <f>NAV!D11</f>
        <v>0</v>
      </c>
      <c r="G30" s="42">
        <f>NAV!E11</f>
        <v>0</v>
      </c>
      <c r="H30" s="38">
        <f>NAV!F11</f>
        <v>0</v>
      </c>
      <c r="I30" s="38"/>
    </row>
    <row r="31" spans="1:9" ht="16" customHeight="1" x14ac:dyDescent="0.2">
      <c r="A31" s="35" t="s">
        <v>21</v>
      </c>
      <c r="B31" s="28" t="s">
        <v>12</v>
      </c>
      <c r="C31" s="28">
        <f>TWCS!B4</f>
        <v>2</v>
      </c>
      <c r="D31" s="28">
        <f>TWCS!B12</f>
        <v>10</v>
      </c>
      <c r="E31" s="28">
        <f>TWCS!C12</f>
        <v>0</v>
      </c>
      <c r="F31" s="28">
        <f>TWCS!D12</f>
        <v>0</v>
      </c>
      <c r="G31" s="28">
        <f>TWCS!E12</f>
        <v>0</v>
      </c>
      <c r="H31" s="28">
        <f>TWCS!F12</f>
        <v>10</v>
      </c>
      <c r="I31" s="28" t="str">
        <f>IF(OR(TWCS!D12&gt;0,TWCS!E12&gt;0),"→","")</f>
        <v/>
      </c>
    </row>
    <row r="32" spans="1:9" ht="13" customHeight="1" x14ac:dyDescent="0.2">
      <c r="A32" s="36"/>
      <c r="B32" s="37" t="s">
        <v>13</v>
      </c>
      <c r="C32" s="38"/>
      <c r="D32" s="39">
        <f>TWCS!B7</f>
        <v>10</v>
      </c>
      <c r="E32" s="40">
        <f>TWCS!C7</f>
        <v>0</v>
      </c>
      <c r="F32" s="41">
        <f>TWCS!D7</f>
        <v>0</v>
      </c>
      <c r="G32" s="42">
        <f>TWCS!E7</f>
        <v>0</v>
      </c>
      <c r="H32" s="38">
        <f>TWCS!F7</f>
        <v>10</v>
      </c>
      <c r="I32" s="38"/>
    </row>
    <row r="33" spans="1:9" ht="13" customHeight="1" x14ac:dyDescent="0.2">
      <c r="A33" s="36"/>
      <c r="B33" s="37" t="s">
        <v>14</v>
      </c>
      <c r="C33" s="38"/>
      <c r="D33" s="39">
        <f>TWCS!B8</f>
        <v>0</v>
      </c>
      <c r="E33" s="40">
        <f>TWCS!C8</f>
        <v>0</v>
      </c>
      <c r="F33" s="41">
        <f>TWCS!D8</f>
        <v>0</v>
      </c>
      <c r="G33" s="42">
        <f>TWCS!E8</f>
        <v>0</v>
      </c>
      <c r="H33" s="38">
        <f>TWCS!F8</f>
        <v>0</v>
      </c>
      <c r="I33" s="38"/>
    </row>
    <row r="34" spans="1:9" ht="13" customHeight="1" x14ac:dyDescent="0.2">
      <c r="A34" s="36"/>
      <c r="B34" s="37" t="s">
        <v>15</v>
      </c>
      <c r="C34" s="38"/>
      <c r="D34" s="39">
        <f>TWCS!B9</f>
        <v>0</v>
      </c>
      <c r="E34" s="40">
        <f>TWCS!C9</f>
        <v>0</v>
      </c>
      <c r="F34" s="41">
        <f>TWCS!D9</f>
        <v>0</v>
      </c>
      <c r="G34" s="42">
        <f>TWCS!E9</f>
        <v>0</v>
      </c>
      <c r="H34" s="38">
        <f>TWCS!F9</f>
        <v>0</v>
      </c>
      <c r="I34" s="38"/>
    </row>
    <row r="35" spans="1:9" ht="13" customHeight="1" x14ac:dyDescent="0.2">
      <c r="A35" s="36"/>
      <c r="B35" s="37" t="s">
        <v>16</v>
      </c>
      <c r="C35" s="38"/>
      <c r="D35" s="39">
        <f>TWCS!B10</f>
        <v>0</v>
      </c>
      <c r="E35" s="40">
        <f>TWCS!C10</f>
        <v>0</v>
      </c>
      <c r="F35" s="41">
        <f>TWCS!D10</f>
        <v>0</v>
      </c>
      <c r="G35" s="42">
        <f>TWCS!E10</f>
        <v>0</v>
      </c>
      <c r="H35" s="38">
        <f>TWCS!F10</f>
        <v>0</v>
      </c>
      <c r="I35" s="38"/>
    </row>
    <row r="36" spans="1:9" ht="13" customHeight="1" x14ac:dyDescent="0.2">
      <c r="A36" s="36"/>
      <c r="B36" s="37" t="s">
        <v>17</v>
      </c>
      <c r="C36" s="38"/>
      <c r="D36" s="39">
        <f>TWCS!B11</f>
        <v>0</v>
      </c>
      <c r="E36" s="40">
        <f>TWCS!C11</f>
        <v>0</v>
      </c>
      <c r="F36" s="41">
        <f>TWCS!D11</f>
        <v>0</v>
      </c>
      <c r="G36" s="42">
        <f>TWCS!E11</f>
        <v>0</v>
      </c>
      <c r="H36" s="38">
        <f>TWCS!F11</f>
        <v>0</v>
      </c>
      <c r="I36" s="38"/>
    </row>
    <row r="37" spans="1:9" ht="6" customHeight="1" x14ac:dyDescent="0.2"/>
    <row r="38" spans="1:9" ht="20" customHeight="1" x14ac:dyDescent="0.2">
      <c r="A38" s="33" t="s">
        <v>22</v>
      </c>
      <c r="B38" s="34"/>
      <c r="C38" s="34">
        <f>'HAIL RE'!B4+'HTRE RE'!B4+'RE Asia'!B4+REIM!B4+ETI!B4</f>
        <v>22</v>
      </c>
      <c r="D38" s="34">
        <f>'HAIL RE'!B12+'HTRE RE'!B12+'RE Asia'!B12+REIM!B12+ETI!B12</f>
        <v>104</v>
      </c>
      <c r="E38" s="34">
        <f>'HAIL RE'!C12+'HTRE RE'!C12+'RE Asia'!C12+REIM!C12+ETI!C12</f>
        <v>16</v>
      </c>
      <c r="F38" s="34">
        <f>'HAIL RE'!D12+'HTRE RE'!D12+'RE Asia'!D12+REIM!D12+ETI!D12</f>
        <v>4</v>
      </c>
      <c r="G38" s="34">
        <f>'HAIL RE'!E12+'HTRE RE'!E12+'RE Asia'!E12+REIM!E12+ETI!E12</f>
        <v>5</v>
      </c>
      <c r="H38" s="34">
        <f>'HAIL RE'!F12+'HTRE RE'!F12+'RE Asia'!F12+REIM!F12+ETI!F12</f>
        <v>129</v>
      </c>
      <c r="I38" s="34"/>
    </row>
    <row r="39" spans="1:9" ht="16" customHeight="1" x14ac:dyDescent="0.2">
      <c r="A39" s="35" t="s">
        <v>23</v>
      </c>
      <c r="B39" s="28" t="s">
        <v>12</v>
      </c>
      <c r="C39" s="28">
        <f>'HAIL RE'!B4</f>
        <v>7</v>
      </c>
      <c r="D39" s="28">
        <f>'HAIL RE'!B12</f>
        <v>23</v>
      </c>
      <c r="E39" s="28">
        <f>'HAIL RE'!C12</f>
        <v>10</v>
      </c>
      <c r="F39" s="28">
        <f>'HAIL RE'!D12</f>
        <v>0</v>
      </c>
      <c r="G39" s="28">
        <f>'HAIL RE'!E12</f>
        <v>2</v>
      </c>
      <c r="H39" s="28">
        <f>'HAIL RE'!F12</f>
        <v>35</v>
      </c>
      <c r="I39" s="28" t="str">
        <f>IF(OR('HAIL RE'!D12&gt;0,'HAIL RE'!E12&gt;0),"→","")</f>
        <v>→</v>
      </c>
    </row>
    <row r="40" spans="1:9" ht="13" customHeight="1" x14ac:dyDescent="0.2">
      <c r="A40" s="36"/>
      <c r="B40" s="37" t="s">
        <v>13</v>
      </c>
      <c r="C40" s="38"/>
      <c r="D40" s="39">
        <f>'HAIL RE'!B7</f>
        <v>23</v>
      </c>
      <c r="E40" s="40">
        <f>'HAIL RE'!C7</f>
        <v>10</v>
      </c>
      <c r="F40" s="41">
        <f>'HAIL RE'!D7</f>
        <v>0</v>
      </c>
      <c r="G40" s="42">
        <f>'HAIL RE'!E7</f>
        <v>2</v>
      </c>
      <c r="H40" s="38">
        <f>'HAIL RE'!F7</f>
        <v>35</v>
      </c>
      <c r="I40" s="38"/>
    </row>
    <row r="41" spans="1:9" ht="13" customHeight="1" x14ac:dyDescent="0.2">
      <c r="A41" s="36"/>
      <c r="B41" s="37" t="s">
        <v>14</v>
      </c>
      <c r="C41" s="38"/>
      <c r="D41" s="39">
        <f>'HAIL RE'!B8</f>
        <v>0</v>
      </c>
      <c r="E41" s="40">
        <f>'HAIL RE'!C8</f>
        <v>0</v>
      </c>
      <c r="F41" s="41">
        <f>'HAIL RE'!D8</f>
        <v>0</v>
      </c>
      <c r="G41" s="42">
        <f>'HAIL RE'!E8</f>
        <v>0</v>
      </c>
      <c r="H41" s="38">
        <f>'HAIL RE'!F8</f>
        <v>0</v>
      </c>
      <c r="I41" s="38"/>
    </row>
    <row r="42" spans="1:9" ht="13" customHeight="1" x14ac:dyDescent="0.2">
      <c r="A42" s="36"/>
      <c r="B42" s="37" t="s">
        <v>15</v>
      </c>
      <c r="C42" s="38"/>
      <c r="D42" s="39">
        <f>'HAIL RE'!B9</f>
        <v>0</v>
      </c>
      <c r="E42" s="40">
        <f>'HAIL RE'!C9</f>
        <v>0</v>
      </c>
      <c r="F42" s="41">
        <f>'HAIL RE'!D9</f>
        <v>0</v>
      </c>
      <c r="G42" s="42">
        <f>'HAIL RE'!E9</f>
        <v>0</v>
      </c>
      <c r="H42" s="38">
        <f>'HAIL RE'!F9</f>
        <v>0</v>
      </c>
      <c r="I42" s="38"/>
    </row>
    <row r="43" spans="1:9" ht="13" customHeight="1" x14ac:dyDescent="0.2">
      <c r="A43" s="36"/>
      <c r="B43" s="37" t="s">
        <v>16</v>
      </c>
      <c r="C43" s="38"/>
      <c r="D43" s="39">
        <f>'HAIL RE'!B10</f>
        <v>0</v>
      </c>
      <c r="E43" s="40">
        <f>'HAIL RE'!C10</f>
        <v>0</v>
      </c>
      <c r="F43" s="41">
        <f>'HAIL RE'!D10</f>
        <v>0</v>
      </c>
      <c r="G43" s="42">
        <f>'HAIL RE'!E10</f>
        <v>0</v>
      </c>
      <c r="H43" s="38">
        <f>'HAIL RE'!F10</f>
        <v>0</v>
      </c>
      <c r="I43" s="38"/>
    </row>
    <row r="44" spans="1:9" ht="13" customHeight="1" x14ac:dyDescent="0.2">
      <c r="A44" s="36"/>
      <c r="B44" s="37" t="s">
        <v>17</v>
      </c>
      <c r="C44" s="38"/>
      <c r="D44" s="39">
        <f>'HAIL RE'!B11</f>
        <v>0</v>
      </c>
      <c r="E44" s="40">
        <f>'HAIL RE'!C11</f>
        <v>0</v>
      </c>
      <c r="F44" s="41">
        <f>'HAIL RE'!D11</f>
        <v>0</v>
      </c>
      <c r="G44" s="42">
        <f>'HAIL RE'!E11</f>
        <v>0</v>
      </c>
      <c r="H44" s="38">
        <f>'HAIL RE'!F11</f>
        <v>0</v>
      </c>
      <c r="I44" s="38"/>
    </row>
    <row r="45" spans="1:9" ht="16" customHeight="1" x14ac:dyDescent="0.2">
      <c r="A45" s="35" t="s">
        <v>24</v>
      </c>
      <c r="B45" s="28" t="s">
        <v>12</v>
      </c>
      <c r="C45" s="28">
        <f>'HTRE RE'!B4</f>
        <v>6</v>
      </c>
      <c r="D45" s="28">
        <f>'HTRE RE'!B12</f>
        <v>33</v>
      </c>
      <c r="E45" s="28">
        <f>'HTRE RE'!C12</f>
        <v>1</v>
      </c>
      <c r="F45" s="28">
        <f>'HTRE RE'!D12</f>
        <v>1</v>
      </c>
      <c r="G45" s="28">
        <f>'HTRE RE'!E12</f>
        <v>1</v>
      </c>
      <c r="H45" s="28">
        <f>'HTRE RE'!F12</f>
        <v>36</v>
      </c>
      <c r="I45" s="28" t="str">
        <f>IF(OR('HTRE RE'!D12&gt;0,'HTRE RE'!E12&gt;0),"→","")</f>
        <v>→</v>
      </c>
    </row>
    <row r="46" spans="1:9" ht="13" customHeight="1" x14ac:dyDescent="0.2">
      <c r="A46" s="36"/>
      <c r="B46" s="37" t="s">
        <v>13</v>
      </c>
      <c r="C46" s="38"/>
      <c r="D46" s="39">
        <f>'HTRE RE'!B7</f>
        <v>27</v>
      </c>
      <c r="E46" s="40">
        <f>'HTRE RE'!C7</f>
        <v>1</v>
      </c>
      <c r="F46" s="41">
        <f>'HTRE RE'!D7</f>
        <v>1</v>
      </c>
      <c r="G46" s="42">
        <f>'HTRE RE'!E7</f>
        <v>1</v>
      </c>
      <c r="H46" s="38">
        <f>'HTRE RE'!F7</f>
        <v>30</v>
      </c>
      <c r="I46" s="38"/>
    </row>
    <row r="47" spans="1:9" ht="13" customHeight="1" x14ac:dyDescent="0.2">
      <c r="A47" s="36"/>
      <c r="B47" s="37" t="s">
        <v>14</v>
      </c>
      <c r="C47" s="38"/>
      <c r="D47" s="39">
        <f>'HTRE RE'!B8</f>
        <v>0</v>
      </c>
      <c r="E47" s="40">
        <f>'HTRE RE'!C8</f>
        <v>0</v>
      </c>
      <c r="F47" s="41">
        <f>'HTRE RE'!D8</f>
        <v>0</v>
      </c>
      <c r="G47" s="42">
        <f>'HTRE RE'!E8</f>
        <v>0</v>
      </c>
      <c r="H47" s="38">
        <f>'HTRE RE'!F8</f>
        <v>0</v>
      </c>
      <c r="I47" s="38"/>
    </row>
    <row r="48" spans="1:9" ht="13" customHeight="1" x14ac:dyDescent="0.2">
      <c r="A48" s="36"/>
      <c r="B48" s="37" t="s">
        <v>15</v>
      </c>
      <c r="C48" s="38"/>
      <c r="D48" s="39">
        <f>'HTRE RE'!B9</f>
        <v>0</v>
      </c>
      <c r="E48" s="40">
        <f>'HTRE RE'!C9</f>
        <v>0</v>
      </c>
      <c r="F48" s="41">
        <f>'HTRE RE'!D9</f>
        <v>0</v>
      </c>
      <c r="G48" s="42">
        <f>'HTRE RE'!E9</f>
        <v>0</v>
      </c>
      <c r="H48" s="38">
        <f>'HTRE RE'!F9</f>
        <v>0</v>
      </c>
      <c r="I48" s="38"/>
    </row>
    <row r="49" spans="1:9" ht="13" customHeight="1" x14ac:dyDescent="0.2">
      <c r="A49" s="36"/>
      <c r="B49" s="37" t="s">
        <v>16</v>
      </c>
      <c r="C49" s="38"/>
      <c r="D49" s="39">
        <f>'HTRE RE'!B10</f>
        <v>6</v>
      </c>
      <c r="E49" s="40">
        <f>'HTRE RE'!C10</f>
        <v>0</v>
      </c>
      <c r="F49" s="41">
        <f>'HTRE RE'!D10</f>
        <v>0</v>
      </c>
      <c r="G49" s="42">
        <f>'HTRE RE'!E10</f>
        <v>0</v>
      </c>
      <c r="H49" s="38">
        <f>'HTRE RE'!F10</f>
        <v>6</v>
      </c>
      <c r="I49" s="38"/>
    </row>
    <row r="50" spans="1:9" ht="13" customHeight="1" x14ac:dyDescent="0.2">
      <c r="A50" s="36"/>
      <c r="B50" s="37" t="s">
        <v>17</v>
      </c>
      <c r="C50" s="38"/>
      <c r="D50" s="39">
        <f>'HTRE RE'!B11</f>
        <v>0</v>
      </c>
      <c r="E50" s="40">
        <f>'HTRE RE'!C11</f>
        <v>0</v>
      </c>
      <c r="F50" s="41">
        <f>'HTRE RE'!D11</f>
        <v>0</v>
      </c>
      <c r="G50" s="42">
        <f>'HTRE RE'!E11</f>
        <v>0</v>
      </c>
      <c r="H50" s="38">
        <f>'HTRE RE'!F11</f>
        <v>0</v>
      </c>
      <c r="I50" s="38"/>
    </row>
    <row r="51" spans="1:9" ht="16" customHeight="1" x14ac:dyDescent="0.2">
      <c r="A51" s="35" t="s">
        <v>25</v>
      </c>
      <c r="B51" s="28" t="s">
        <v>12</v>
      </c>
      <c r="C51" s="28">
        <f>'RE Asia'!B4</f>
        <v>5</v>
      </c>
      <c r="D51" s="28">
        <f>'RE Asia'!B12</f>
        <v>24</v>
      </c>
      <c r="E51" s="28">
        <f>'RE Asia'!C12</f>
        <v>4</v>
      </c>
      <c r="F51" s="28">
        <f>'RE Asia'!D12</f>
        <v>1</v>
      </c>
      <c r="G51" s="28">
        <f>'RE Asia'!E12</f>
        <v>1</v>
      </c>
      <c r="H51" s="28">
        <f>'RE Asia'!F12</f>
        <v>30</v>
      </c>
      <c r="I51" s="28" t="str">
        <f>IF(OR('RE Asia'!D12&gt;0,'RE Asia'!E12&gt;0),"→","")</f>
        <v>→</v>
      </c>
    </row>
    <row r="52" spans="1:9" ht="13" customHeight="1" x14ac:dyDescent="0.2">
      <c r="A52" s="36"/>
      <c r="B52" s="37" t="s">
        <v>13</v>
      </c>
      <c r="C52" s="38"/>
      <c r="D52" s="39">
        <f>'RE Asia'!B7</f>
        <v>11</v>
      </c>
      <c r="E52" s="40">
        <f>'RE Asia'!C7</f>
        <v>2</v>
      </c>
      <c r="F52" s="41">
        <f>'RE Asia'!D7</f>
        <v>1</v>
      </c>
      <c r="G52" s="42">
        <f>'RE Asia'!E7</f>
        <v>1</v>
      </c>
      <c r="H52" s="38">
        <f>'RE Asia'!F7</f>
        <v>15</v>
      </c>
      <c r="I52" s="38"/>
    </row>
    <row r="53" spans="1:9" ht="13" customHeight="1" x14ac:dyDescent="0.2">
      <c r="A53" s="36"/>
      <c r="B53" s="37" t="s">
        <v>14</v>
      </c>
      <c r="C53" s="38"/>
      <c r="D53" s="39">
        <f>'RE Asia'!B8</f>
        <v>5</v>
      </c>
      <c r="E53" s="40">
        <f>'RE Asia'!C8</f>
        <v>0</v>
      </c>
      <c r="F53" s="41">
        <f>'RE Asia'!D8</f>
        <v>0</v>
      </c>
      <c r="G53" s="42">
        <f>'RE Asia'!E8</f>
        <v>0</v>
      </c>
      <c r="H53" s="38">
        <f>'RE Asia'!F8</f>
        <v>5</v>
      </c>
      <c r="I53" s="38"/>
    </row>
    <row r="54" spans="1:9" ht="13" customHeight="1" x14ac:dyDescent="0.2">
      <c r="A54" s="36"/>
      <c r="B54" s="37" t="s">
        <v>15</v>
      </c>
      <c r="C54" s="38"/>
      <c r="D54" s="39">
        <f>'RE Asia'!B9</f>
        <v>5</v>
      </c>
      <c r="E54" s="40">
        <f>'RE Asia'!C9</f>
        <v>0</v>
      </c>
      <c r="F54" s="41">
        <f>'RE Asia'!D9</f>
        <v>0</v>
      </c>
      <c r="G54" s="42">
        <f>'RE Asia'!E9</f>
        <v>0</v>
      </c>
      <c r="H54" s="38">
        <f>'RE Asia'!F9</f>
        <v>5</v>
      </c>
      <c r="I54" s="38"/>
    </row>
    <row r="55" spans="1:9" ht="13" customHeight="1" x14ac:dyDescent="0.2">
      <c r="A55" s="36"/>
      <c r="B55" s="37" t="s">
        <v>16</v>
      </c>
      <c r="C55" s="38"/>
      <c r="D55" s="39">
        <f>'RE Asia'!B10</f>
        <v>3</v>
      </c>
      <c r="E55" s="40">
        <f>'RE Asia'!C10</f>
        <v>2</v>
      </c>
      <c r="F55" s="41">
        <f>'RE Asia'!D10</f>
        <v>0</v>
      </c>
      <c r="G55" s="42">
        <f>'RE Asia'!E10</f>
        <v>0</v>
      </c>
      <c r="H55" s="38">
        <f>'RE Asia'!F10</f>
        <v>5</v>
      </c>
      <c r="I55" s="38"/>
    </row>
    <row r="56" spans="1:9" ht="13" customHeight="1" x14ac:dyDescent="0.2">
      <c r="A56" s="36"/>
      <c r="B56" s="37" t="s">
        <v>17</v>
      </c>
      <c r="C56" s="38"/>
      <c r="D56" s="39">
        <f>'RE Asia'!B11</f>
        <v>0</v>
      </c>
      <c r="E56" s="40">
        <f>'RE Asia'!C11</f>
        <v>0</v>
      </c>
      <c r="F56" s="41">
        <f>'RE Asia'!D11</f>
        <v>0</v>
      </c>
      <c r="G56" s="42">
        <f>'RE Asia'!E11</f>
        <v>0</v>
      </c>
      <c r="H56" s="38">
        <f>'RE Asia'!F11</f>
        <v>0</v>
      </c>
      <c r="I56" s="38"/>
    </row>
    <row r="57" spans="1:9" ht="16" customHeight="1" x14ac:dyDescent="0.2">
      <c r="A57" s="35" t="s">
        <v>26</v>
      </c>
      <c r="B57" s="28" t="s">
        <v>12</v>
      </c>
      <c r="C57" s="28">
        <f>REIM!B4</f>
        <v>3</v>
      </c>
      <c r="D57" s="28">
        <f>REIM!B12</f>
        <v>15</v>
      </c>
      <c r="E57" s="28">
        <f>REIM!C12</f>
        <v>1</v>
      </c>
      <c r="F57" s="28">
        <f>REIM!D12</f>
        <v>2</v>
      </c>
      <c r="G57" s="28">
        <f>REIM!E12</f>
        <v>0</v>
      </c>
      <c r="H57" s="28">
        <f>REIM!F12</f>
        <v>18</v>
      </c>
      <c r="I57" s="28" t="str">
        <f>IF(OR(REIM!D12&gt;0,REIM!E12&gt;0),"→","")</f>
        <v>→</v>
      </c>
    </row>
    <row r="58" spans="1:9" ht="13" customHeight="1" x14ac:dyDescent="0.2">
      <c r="A58" s="36"/>
      <c r="B58" s="37" t="s">
        <v>13</v>
      </c>
      <c r="C58" s="38"/>
      <c r="D58" s="39">
        <f>REIM!B7</f>
        <v>7</v>
      </c>
      <c r="E58" s="40">
        <f>REIM!C7</f>
        <v>1</v>
      </c>
      <c r="F58" s="41">
        <f>REIM!D7</f>
        <v>1</v>
      </c>
      <c r="G58" s="42">
        <f>REIM!E7</f>
        <v>0</v>
      </c>
      <c r="H58" s="38">
        <f>REIM!F7</f>
        <v>9</v>
      </c>
      <c r="I58" s="38"/>
    </row>
    <row r="59" spans="1:9" ht="13" customHeight="1" x14ac:dyDescent="0.2">
      <c r="A59" s="36"/>
      <c r="B59" s="37" t="s">
        <v>14</v>
      </c>
      <c r="C59" s="38"/>
      <c r="D59" s="39">
        <f>REIM!B8</f>
        <v>2</v>
      </c>
      <c r="E59" s="40">
        <f>REIM!C8</f>
        <v>0</v>
      </c>
      <c r="F59" s="41">
        <f>REIM!D8</f>
        <v>1</v>
      </c>
      <c r="G59" s="42">
        <f>REIM!E8</f>
        <v>0</v>
      </c>
      <c r="H59" s="38">
        <f>REIM!F8</f>
        <v>3</v>
      </c>
      <c r="I59" s="38"/>
    </row>
    <row r="60" spans="1:9" ht="13" customHeight="1" x14ac:dyDescent="0.2">
      <c r="A60" s="36"/>
      <c r="B60" s="37" t="s">
        <v>15</v>
      </c>
      <c r="C60" s="38"/>
      <c r="D60" s="39">
        <f>REIM!B9</f>
        <v>3</v>
      </c>
      <c r="E60" s="40">
        <f>REIM!C9</f>
        <v>0</v>
      </c>
      <c r="F60" s="41">
        <f>REIM!D9</f>
        <v>0</v>
      </c>
      <c r="G60" s="42">
        <f>REIM!E9</f>
        <v>0</v>
      </c>
      <c r="H60" s="38">
        <f>REIM!F9</f>
        <v>3</v>
      </c>
      <c r="I60" s="38"/>
    </row>
    <row r="61" spans="1:9" ht="13" customHeight="1" x14ac:dyDescent="0.2">
      <c r="A61" s="36"/>
      <c r="B61" s="37" t="s">
        <v>16</v>
      </c>
      <c r="C61" s="38"/>
      <c r="D61" s="39">
        <f>REIM!B10</f>
        <v>3</v>
      </c>
      <c r="E61" s="40">
        <f>REIM!C10</f>
        <v>0</v>
      </c>
      <c r="F61" s="41">
        <f>REIM!D10</f>
        <v>0</v>
      </c>
      <c r="G61" s="42">
        <f>REIM!E10</f>
        <v>0</v>
      </c>
      <c r="H61" s="38">
        <f>REIM!F10</f>
        <v>3</v>
      </c>
      <c r="I61" s="38"/>
    </row>
    <row r="62" spans="1:9" ht="13" customHeight="1" x14ac:dyDescent="0.2">
      <c r="A62" s="36"/>
      <c r="B62" s="37" t="s">
        <v>17</v>
      </c>
      <c r="C62" s="38"/>
      <c r="D62" s="39">
        <f>REIM!B11</f>
        <v>0</v>
      </c>
      <c r="E62" s="40">
        <f>REIM!C11</f>
        <v>0</v>
      </c>
      <c r="F62" s="41">
        <f>REIM!D11</f>
        <v>0</v>
      </c>
      <c r="G62" s="42">
        <f>REIM!E11</f>
        <v>0</v>
      </c>
      <c r="H62" s="38">
        <f>REIM!F11</f>
        <v>0</v>
      </c>
      <c r="I62" s="38"/>
    </row>
    <row r="63" spans="1:9" ht="16" customHeight="1" x14ac:dyDescent="0.2">
      <c r="A63" s="35" t="s">
        <v>27</v>
      </c>
      <c r="B63" s="28" t="s">
        <v>12</v>
      </c>
      <c r="C63" s="28">
        <f>ETI!B4</f>
        <v>1</v>
      </c>
      <c r="D63" s="28">
        <f>ETI!B12</f>
        <v>9</v>
      </c>
      <c r="E63" s="28">
        <f>ETI!C12</f>
        <v>0</v>
      </c>
      <c r="F63" s="28">
        <f>ETI!D12</f>
        <v>0</v>
      </c>
      <c r="G63" s="28">
        <f>ETI!E12</f>
        <v>1</v>
      </c>
      <c r="H63" s="28">
        <f>ETI!F12</f>
        <v>10</v>
      </c>
      <c r="I63" s="28" t="str">
        <f>IF(OR(ETI!D12&gt;0,ETI!E12&gt;0),"→","")</f>
        <v>→</v>
      </c>
    </row>
    <row r="64" spans="1:9" ht="13" customHeight="1" x14ac:dyDescent="0.2">
      <c r="A64" s="36"/>
      <c r="B64" s="37" t="s">
        <v>13</v>
      </c>
      <c r="C64" s="38"/>
      <c r="D64" s="39">
        <f>ETI!B7</f>
        <v>5</v>
      </c>
      <c r="E64" s="40">
        <f>ETI!C7</f>
        <v>0</v>
      </c>
      <c r="F64" s="41">
        <f>ETI!D7</f>
        <v>0</v>
      </c>
      <c r="G64" s="42">
        <f>ETI!E7</f>
        <v>1</v>
      </c>
      <c r="H64" s="38">
        <f>ETI!F7</f>
        <v>6</v>
      </c>
      <c r="I64" s="38"/>
    </row>
    <row r="65" spans="1:9" ht="13" customHeight="1" x14ac:dyDescent="0.2">
      <c r="A65" s="36"/>
      <c r="B65" s="37" t="s">
        <v>14</v>
      </c>
      <c r="C65" s="38"/>
      <c r="D65" s="39">
        <f>ETI!B8</f>
        <v>0</v>
      </c>
      <c r="E65" s="40">
        <f>ETI!C8</f>
        <v>0</v>
      </c>
      <c r="F65" s="41">
        <f>ETI!D8</f>
        <v>0</v>
      </c>
      <c r="G65" s="42">
        <f>ETI!E8</f>
        <v>0</v>
      </c>
      <c r="H65" s="38">
        <f>ETI!F8</f>
        <v>0</v>
      </c>
      <c r="I65" s="38"/>
    </row>
    <row r="66" spans="1:9" ht="13" customHeight="1" x14ac:dyDescent="0.2">
      <c r="A66" s="36"/>
      <c r="B66" s="37" t="s">
        <v>15</v>
      </c>
      <c r="C66" s="38"/>
      <c r="D66" s="39">
        <f>ETI!B9</f>
        <v>2</v>
      </c>
      <c r="E66" s="40">
        <f>ETI!C9</f>
        <v>0</v>
      </c>
      <c r="F66" s="41">
        <f>ETI!D9</f>
        <v>0</v>
      </c>
      <c r="G66" s="42">
        <f>ETI!E9</f>
        <v>0</v>
      </c>
      <c r="H66" s="38">
        <f>ETI!F9</f>
        <v>2</v>
      </c>
      <c r="I66" s="38"/>
    </row>
    <row r="67" spans="1:9" ht="13" customHeight="1" x14ac:dyDescent="0.2">
      <c r="A67" s="36"/>
      <c r="B67" s="37" t="s">
        <v>16</v>
      </c>
      <c r="C67" s="38"/>
      <c r="D67" s="39">
        <f>ETI!B10</f>
        <v>2</v>
      </c>
      <c r="E67" s="40">
        <f>ETI!C10</f>
        <v>0</v>
      </c>
      <c r="F67" s="41">
        <f>ETI!D10</f>
        <v>0</v>
      </c>
      <c r="G67" s="42">
        <f>ETI!E10</f>
        <v>0</v>
      </c>
      <c r="H67" s="38">
        <f>ETI!F10</f>
        <v>2</v>
      </c>
      <c r="I67" s="38"/>
    </row>
    <row r="68" spans="1:9" ht="13" customHeight="1" x14ac:dyDescent="0.2">
      <c r="A68" s="36"/>
      <c r="B68" s="37" t="s">
        <v>17</v>
      </c>
      <c r="C68" s="38"/>
      <c r="D68" s="39">
        <f>ETI!B11</f>
        <v>0</v>
      </c>
      <c r="E68" s="40">
        <f>ETI!C11</f>
        <v>0</v>
      </c>
      <c r="F68" s="41">
        <f>ETI!D11</f>
        <v>0</v>
      </c>
      <c r="G68" s="42">
        <f>ETI!E11</f>
        <v>0</v>
      </c>
      <c r="H68" s="38">
        <f>ETI!F11</f>
        <v>0</v>
      </c>
      <c r="I68" s="38"/>
    </row>
    <row r="69" spans="1:9" ht="6" customHeight="1" x14ac:dyDescent="0.2"/>
    <row r="70" spans="1:9" ht="20" customHeight="1" x14ac:dyDescent="0.2">
      <c r="A70" s="33" t="s">
        <v>28</v>
      </c>
      <c r="B70" s="34"/>
      <c r="C70" s="34">
        <f>HF!B4+PrivMkts!B4+VC!B4</f>
        <v>13</v>
      </c>
      <c r="D70" s="34">
        <f>HF!B12+PrivMkts!B12+VC!B12</f>
        <v>56</v>
      </c>
      <c r="E70" s="34">
        <f>HF!C12+PrivMkts!C12+VC!C12</f>
        <v>1</v>
      </c>
      <c r="F70" s="34">
        <f>HF!D12+PrivMkts!D12+VC!D12</f>
        <v>0</v>
      </c>
      <c r="G70" s="34">
        <f>HF!E12+PrivMkts!E12+VC!E12</f>
        <v>1</v>
      </c>
      <c r="H70" s="34">
        <f>HF!F12+PrivMkts!F12+VC!F12</f>
        <v>58</v>
      </c>
      <c r="I70" s="34"/>
    </row>
    <row r="71" spans="1:9" ht="16" customHeight="1" x14ac:dyDescent="0.2">
      <c r="A71" s="35" t="s">
        <v>29</v>
      </c>
      <c r="B71" s="28" t="s">
        <v>12</v>
      </c>
      <c r="C71" s="28">
        <f>HF!B4</f>
        <v>5</v>
      </c>
      <c r="D71" s="28">
        <f>HF!B12</f>
        <v>19</v>
      </c>
      <c r="E71" s="28">
        <f>HF!C12</f>
        <v>0</v>
      </c>
      <c r="F71" s="28">
        <f>HF!D12</f>
        <v>0</v>
      </c>
      <c r="G71" s="28">
        <f>HF!E12</f>
        <v>1</v>
      </c>
      <c r="H71" s="28">
        <f>HF!F12</f>
        <v>20</v>
      </c>
      <c r="I71" s="28" t="str">
        <f>IF(OR(HF!D12&gt;0,HF!E12&gt;0),"→","")</f>
        <v>→</v>
      </c>
    </row>
    <row r="72" spans="1:9" ht="13" customHeight="1" x14ac:dyDescent="0.2">
      <c r="A72" s="36"/>
      <c r="B72" s="37" t="s">
        <v>13</v>
      </c>
      <c r="C72" s="38"/>
      <c r="D72" s="39">
        <f>HF!B7</f>
        <v>9</v>
      </c>
      <c r="E72" s="40">
        <f>HF!C7</f>
        <v>0</v>
      </c>
      <c r="F72" s="41">
        <f>HF!D7</f>
        <v>0</v>
      </c>
      <c r="G72" s="42">
        <f>HF!E7</f>
        <v>1</v>
      </c>
      <c r="H72" s="38">
        <f>HF!F7</f>
        <v>10</v>
      </c>
      <c r="I72" s="38"/>
    </row>
    <row r="73" spans="1:9" ht="13" customHeight="1" x14ac:dyDescent="0.2">
      <c r="A73" s="36"/>
      <c r="B73" s="37" t="s">
        <v>14</v>
      </c>
      <c r="C73" s="38"/>
      <c r="D73" s="39">
        <f>HF!B8</f>
        <v>5</v>
      </c>
      <c r="E73" s="40">
        <f>HF!C8</f>
        <v>0</v>
      </c>
      <c r="F73" s="41">
        <f>HF!D8</f>
        <v>0</v>
      </c>
      <c r="G73" s="42">
        <f>HF!E8</f>
        <v>0</v>
      </c>
      <c r="H73" s="38">
        <f>HF!F8</f>
        <v>5</v>
      </c>
      <c r="I73" s="38"/>
    </row>
    <row r="74" spans="1:9" ht="13" customHeight="1" x14ac:dyDescent="0.2">
      <c r="A74" s="36"/>
      <c r="B74" s="37" t="s">
        <v>15</v>
      </c>
      <c r="C74" s="38"/>
      <c r="D74" s="39">
        <f>HF!B9</f>
        <v>5</v>
      </c>
      <c r="E74" s="40">
        <f>HF!C9</f>
        <v>0</v>
      </c>
      <c r="F74" s="41">
        <f>HF!D9</f>
        <v>0</v>
      </c>
      <c r="G74" s="42">
        <f>HF!E9</f>
        <v>0</v>
      </c>
      <c r="H74" s="38">
        <f>HF!F9</f>
        <v>5</v>
      </c>
      <c r="I74" s="38"/>
    </row>
    <row r="75" spans="1:9" ht="13" customHeight="1" x14ac:dyDescent="0.2">
      <c r="A75" s="36"/>
      <c r="B75" s="37" t="s">
        <v>16</v>
      </c>
      <c r="C75" s="38"/>
      <c r="D75" s="39">
        <f>HF!B10</f>
        <v>0</v>
      </c>
      <c r="E75" s="40">
        <f>HF!C10</f>
        <v>0</v>
      </c>
      <c r="F75" s="41">
        <f>HF!D10</f>
        <v>0</v>
      </c>
      <c r="G75" s="42">
        <f>HF!E10</f>
        <v>0</v>
      </c>
      <c r="H75" s="38">
        <f>HF!F10</f>
        <v>0</v>
      </c>
      <c r="I75" s="38"/>
    </row>
    <row r="76" spans="1:9" ht="13" customHeight="1" x14ac:dyDescent="0.2">
      <c r="A76" s="36"/>
      <c r="B76" s="37" t="s">
        <v>17</v>
      </c>
      <c r="C76" s="38"/>
      <c r="D76" s="39">
        <f>HF!B11</f>
        <v>0</v>
      </c>
      <c r="E76" s="40">
        <f>HF!C11</f>
        <v>0</v>
      </c>
      <c r="F76" s="41">
        <f>HF!D11</f>
        <v>0</v>
      </c>
      <c r="G76" s="42">
        <f>HF!E11</f>
        <v>0</v>
      </c>
      <c r="H76" s="38">
        <f>HF!F11</f>
        <v>0</v>
      </c>
      <c r="I76" s="38"/>
    </row>
    <row r="77" spans="1:9" ht="16" customHeight="1" x14ac:dyDescent="0.2">
      <c r="A77" s="35" t="s">
        <v>30</v>
      </c>
      <c r="B77" s="28" t="s">
        <v>12</v>
      </c>
      <c r="C77" s="28">
        <f>PrivMkts!B4</f>
        <v>7</v>
      </c>
      <c r="D77" s="28">
        <f>PrivMkts!B12</f>
        <v>34</v>
      </c>
      <c r="E77" s="28">
        <f>PrivMkts!C12</f>
        <v>1</v>
      </c>
      <c r="F77" s="28">
        <f>PrivMkts!D12</f>
        <v>0</v>
      </c>
      <c r="G77" s="28">
        <f>PrivMkts!E12</f>
        <v>0</v>
      </c>
      <c r="H77" s="28">
        <f>PrivMkts!F12</f>
        <v>35</v>
      </c>
      <c r="I77" s="28" t="str">
        <f>IF(OR(PrivMkts!D12&gt;0,PrivMkts!E12&gt;0),"→","")</f>
        <v/>
      </c>
    </row>
    <row r="78" spans="1:9" ht="13" customHeight="1" x14ac:dyDescent="0.2">
      <c r="A78" s="36"/>
      <c r="B78" s="37" t="s">
        <v>13</v>
      </c>
      <c r="C78" s="38"/>
      <c r="D78" s="39">
        <f>PrivMkts!B7</f>
        <v>27</v>
      </c>
      <c r="E78" s="40">
        <f>PrivMkts!C7</f>
        <v>1</v>
      </c>
      <c r="F78" s="41">
        <f>PrivMkts!D7</f>
        <v>0</v>
      </c>
      <c r="G78" s="42">
        <f>PrivMkts!E7</f>
        <v>0</v>
      </c>
      <c r="H78" s="38">
        <f>PrivMkts!F7</f>
        <v>28</v>
      </c>
      <c r="I78" s="38"/>
    </row>
    <row r="79" spans="1:9" ht="13" customHeight="1" x14ac:dyDescent="0.2">
      <c r="A79" s="36"/>
      <c r="B79" s="37" t="s">
        <v>14</v>
      </c>
      <c r="C79" s="38"/>
      <c r="D79" s="39">
        <f>PrivMkts!B8</f>
        <v>7</v>
      </c>
      <c r="E79" s="40">
        <f>PrivMkts!C8</f>
        <v>0</v>
      </c>
      <c r="F79" s="41">
        <f>PrivMkts!D8</f>
        <v>0</v>
      </c>
      <c r="G79" s="42">
        <f>PrivMkts!E8</f>
        <v>0</v>
      </c>
      <c r="H79" s="38">
        <f>PrivMkts!F8</f>
        <v>7</v>
      </c>
      <c r="I79" s="38"/>
    </row>
    <row r="80" spans="1:9" ht="13" customHeight="1" x14ac:dyDescent="0.2">
      <c r="A80" s="36"/>
      <c r="B80" s="37" t="s">
        <v>15</v>
      </c>
      <c r="C80" s="38"/>
      <c r="D80" s="39">
        <f>PrivMkts!B9</f>
        <v>0</v>
      </c>
      <c r="E80" s="40">
        <f>PrivMkts!C9</f>
        <v>0</v>
      </c>
      <c r="F80" s="41">
        <f>PrivMkts!D9</f>
        <v>0</v>
      </c>
      <c r="G80" s="42">
        <f>PrivMkts!E9</f>
        <v>0</v>
      </c>
      <c r="H80" s="38">
        <f>PrivMkts!F9</f>
        <v>0</v>
      </c>
      <c r="I80" s="38"/>
    </row>
    <row r="81" spans="1:9" ht="13" customHeight="1" x14ac:dyDescent="0.2">
      <c r="A81" s="36"/>
      <c r="B81" s="37" t="s">
        <v>16</v>
      </c>
      <c r="C81" s="38"/>
      <c r="D81" s="39">
        <f>PrivMkts!B10</f>
        <v>0</v>
      </c>
      <c r="E81" s="40">
        <f>PrivMkts!C10</f>
        <v>0</v>
      </c>
      <c r="F81" s="41">
        <f>PrivMkts!D10</f>
        <v>0</v>
      </c>
      <c r="G81" s="42">
        <f>PrivMkts!E10</f>
        <v>0</v>
      </c>
      <c r="H81" s="38">
        <f>PrivMkts!F10</f>
        <v>0</v>
      </c>
      <c r="I81" s="38"/>
    </row>
    <row r="82" spans="1:9" ht="13" customHeight="1" x14ac:dyDescent="0.2">
      <c r="A82" s="36"/>
      <c r="B82" s="37" t="s">
        <v>17</v>
      </c>
      <c r="C82" s="38"/>
      <c r="D82" s="39">
        <f>PrivMkts!B11</f>
        <v>0</v>
      </c>
      <c r="E82" s="40">
        <f>PrivMkts!C11</f>
        <v>0</v>
      </c>
      <c r="F82" s="41">
        <f>PrivMkts!D11</f>
        <v>0</v>
      </c>
      <c r="G82" s="42">
        <f>PrivMkts!E11</f>
        <v>0</v>
      </c>
      <c r="H82" s="38">
        <f>PrivMkts!F11</f>
        <v>0</v>
      </c>
      <c r="I82" s="38"/>
    </row>
    <row r="83" spans="1:9" ht="16" customHeight="1" x14ac:dyDescent="0.2">
      <c r="A83" s="35" t="s">
        <v>31</v>
      </c>
      <c r="B83" s="28" t="s">
        <v>12</v>
      </c>
      <c r="C83" s="28">
        <f>VC!B4</f>
        <v>1</v>
      </c>
      <c r="D83" s="28">
        <f>VC!B12</f>
        <v>3</v>
      </c>
      <c r="E83" s="28">
        <f>VC!C12</f>
        <v>0</v>
      </c>
      <c r="F83" s="28">
        <f>VC!D12</f>
        <v>0</v>
      </c>
      <c r="G83" s="28">
        <f>VC!E12</f>
        <v>0</v>
      </c>
      <c r="H83" s="28">
        <f>VC!F12</f>
        <v>3</v>
      </c>
      <c r="I83" s="28" t="str">
        <f>IF(OR(VC!D12&gt;0,VC!E12&gt;0),"→","")</f>
        <v/>
      </c>
    </row>
    <row r="84" spans="1:9" ht="13" customHeight="1" x14ac:dyDescent="0.2">
      <c r="A84" s="36"/>
      <c r="B84" s="37" t="s">
        <v>13</v>
      </c>
      <c r="C84" s="38"/>
      <c r="D84" s="39">
        <f>VC!B7</f>
        <v>2</v>
      </c>
      <c r="E84" s="40">
        <f>VC!C7</f>
        <v>0</v>
      </c>
      <c r="F84" s="41">
        <f>VC!D7</f>
        <v>0</v>
      </c>
      <c r="G84" s="42">
        <f>VC!E7</f>
        <v>0</v>
      </c>
      <c r="H84" s="38">
        <f>VC!F7</f>
        <v>2</v>
      </c>
      <c r="I84" s="38"/>
    </row>
    <row r="85" spans="1:9" ht="13" customHeight="1" x14ac:dyDescent="0.2">
      <c r="A85" s="36"/>
      <c r="B85" s="37" t="s">
        <v>14</v>
      </c>
      <c r="C85" s="38"/>
      <c r="D85" s="39">
        <f>VC!B8</f>
        <v>0</v>
      </c>
      <c r="E85" s="40">
        <f>VC!C8</f>
        <v>0</v>
      </c>
      <c r="F85" s="41">
        <f>VC!D8</f>
        <v>0</v>
      </c>
      <c r="G85" s="42">
        <f>VC!E8</f>
        <v>0</v>
      </c>
      <c r="H85" s="38">
        <f>VC!F8</f>
        <v>0</v>
      </c>
      <c r="I85" s="38"/>
    </row>
    <row r="86" spans="1:9" ht="13" customHeight="1" x14ac:dyDescent="0.2">
      <c r="A86" s="36"/>
      <c r="B86" s="37" t="s">
        <v>15</v>
      </c>
      <c r="C86" s="38"/>
      <c r="D86" s="39">
        <f>VC!B9</f>
        <v>0</v>
      </c>
      <c r="E86" s="40">
        <f>VC!C9</f>
        <v>0</v>
      </c>
      <c r="F86" s="41">
        <f>VC!D9</f>
        <v>0</v>
      </c>
      <c r="G86" s="42">
        <f>VC!E9</f>
        <v>0</v>
      </c>
      <c r="H86" s="38">
        <f>VC!F9</f>
        <v>0</v>
      </c>
      <c r="I86" s="38"/>
    </row>
    <row r="87" spans="1:9" ht="13" customHeight="1" x14ac:dyDescent="0.2">
      <c r="A87" s="36"/>
      <c r="B87" s="37" t="s">
        <v>16</v>
      </c>
      <c r="C87" s="38"/>
      <c r="D87" s="39">
        <f>VC!B10</f>
        <v>1</v>
      </c>
      <c r="E87" s="40">
        <f>VC!C10</f>
        <v>0</v>
      </c>
      <c r="F87" s="41">
        <f>VC!D10</f>
        <v>0</v>
      </c>
      <c r="G87" s="42">
        <f>VC!E10</f>
        <v>0</v>
      </c>
      <c r="H87" s="38">
        <f>VC!F10</f>
        <v>1</v>
      </c>
      <c r="I87" s="38"/>
    </row>
    <row r="88" spans="1:9" ht="13" customHeight="1" x14ac:dyDescent="0.2">
      <c r="A88" s="36"/>
      <c r="B88" s="37" t="s">
        <v>17</v>
      </c>
      <c r="C88" s="38"/>
      <c r="D88" s="39">
        <f>VC!B11</f>
        <v>0</v>
      </c>
      <c r="E88" s="40">
        <f>VC!C11</f>
        <v>0</v>
      </c>
      <c r="F88" s="41">
        <f>VC!D11</f>
        <v>0</v>
      </c>
      <c r="G88" s="42">
        <f>VC!E11</f>
        <v>0</v>
      </c>
      <c r="H88" s="38">
        <f>VC!F11</f>
        <v>0</v>
      </c>
      <c r="I88" s="38"/>
    </row>
    <row r="89" spans="1:9" ht="6" customHeight="1" x14ac:dyDescent="0.2"/>
    <row r="90" spans="1:9" ht="16" customHeight="1" x14ac:dyDescent="0.2">
      <c r="A90" s="43" t="s">
        <v>32</v>
      </c>
      <c r="B90" s="77"/>
      <c r="C90" s="77"/>
      <c r="D90" s="77"/>
      <c r="E90" s="77"/>
      <c r="F90" s="77"/>
      <c r="G90" s="77"/>
      <c r="H90" s="77"/>
      <c r="I90" s="77"/>
    </row>
    <row r="91" spans="1:9" ht="14" customHeight="1" x14ac:dyDescent="0.2">
      <c r="A91" s="44" t="s">
        <v>33</v>
      </c>
      <c r="B91" s="74" t="s">
        <v>34</v>
      </c>
      <c r="C91" s="70"/>
      <c r="D91" s="70"/>
      <c r="E91" s="70"/>
      <c r="F91" s="70"/>
      <c r="G91" s="70"/>
      <c r="H91" s="70"/>
      <c r="I91" s="71"/>
    </row>
    <row r="92" spans="1:9" ht="14" customHeight="1" x14ac:dyDescent="0.2">
      <c r="A92" s="45" t="s">
        <v>35</v>
      </c>
      <c r="B92" s="69" t="s">
        <v>36</v>
      </c>
      <c r="C92" s="70"/>
      <c r="D92" s="70"/>
      <c r="E92" s="70"/>
      <c r="F92" s="70"/>
      <c r="G92" s="70"/>
      <c r="H92" s="70"/>
      <c r="I92" s="71"/>
    </row>
    <row r="93" spans="1:9" ht="14" customHeight="1" x14ac:dyDescent="0.2">
      <c r="A93" s="46" t="s">
        <v>37</v>
      </c>
      <c r="B93" s="79" t="s">
        <v>38</v>
      </c>
      <c r="C93" s="70"/>
      <c r="D93" s="70"/>
      <c r="E93" s="70"/>
      <c r="F93" s="70"/>
      <c r="G93" s="70"/>
      <c r="H93" s="70"/>
      <c r="I93" s="71"/>
    </row>
    <row r="94" spans="1:9" ht="14" customHeight="1" x14ac:dyDescent="0.2">
      <c r="A94" s="47" t="s">
        <v>39</v>
      </c>
      <c r="B94" s="78" t="s">
        <v>40</v>
      </c>
      <c r="C94" s="70"/>
      <c r="D94" s="70"/>
      <c r="E94" s="70"/>
      <c r="F94" s="70"/>
      <c r="G94" s="70"/>
      <c r="H94" s="70"/>
      <c r="I94" s="71"/>
    </row>
    <row r="97" spans="1:9" x14ac:dyDescent="0.2">
      <c r="A97" s="48" t="s">
        <v>41</v>
      </c>
      <c r="B97" s="49"/>
      <c r="C97" s="49"/>
      <c r="D97" s="49"/>
      <c r="E97" s="49"/>
      <c r="F97" s="49"/>
      <c r="G97" s="49"/>
      <c r="H97" s="49"/>
      <c r="I97" s="49"/>
    </row>
    <row r="98" spans="1:9" x14ac:dyDescent="0.2">
      <c r="A98" s="28" t="s">
        <v>42</v>
      </c>
      <c r="C98" s="28" t="s">
        <v>4</v>
      </c>
      <c r="D98" s="28" t="s">
        <v>7</v>
      </c>
      <c r="E98" s="28" t="s">
        <v>8</v>
      </c>
      <c r="F98" s="28" t="s">
        <v>43</v>
      </c>
      <c r="G98" s="28" t="s">
        <v>44</v>
      </c>
    </row>
    <row r="99" spans="1:9" x14ac:dyDescent="0.2">
      <c r="A99" s="50" t="s">
        <v>11</v>
      </c>
      <c r="C99" s="51">
        <f>DL!B4</f>
        <v>7</v>
      </c>
      <c r="D99" s="52">
        <f>DL!D12</f>
        <v>0</v>
      </c>
      <c r="E99" s="52">
        <f>DL!E12</f>
        <v>0</v>
      </c>
      <c r="F99" s="52">
        <f t="shared" ref="F99:F111" si="0">D99+E99</f>
        <v>0</v>
      </c>
      <c r="G99" s="53" t="str">
        <f t="shared" ref="G99:G111" si="1">IF(E99&gt;0,"RED - Escalate to CRO",IF(D99&gt;0,"AMBER - Monitor","GREEN - On Track"))</f>
        <v>GREEN - On Track</v>
      </c>
    </row>
    <row r="100" spans="1:9" x14ac:dyDescent="0.2">
      <c r="A100" s="50" t="s">
        <v>18</v>
      </c>
      <c r="C100" s="51">
        <f>InfraDebt!B4</f>
        <v>8</v>
      </c>
      <c r="D100" s="52">
        <f>InfraDebt!D12</f>
        <v>2</v>
      </c>
      <c r="E100" s="52">
        <f>InfraDebt!E12</f>
        <v>2</v>
      </c>
      <c r="F100" s="52">
        <f t="shared" si="0"/>
        <v>4</v>
      </c>
      <c r="G100" s="53" t="str">
        <f t="shared" si="1"/>
        <v>RED - Escalate to CRO</v>
      </c>
    </row>
    <row r="101" spans="1:9" x14ac:dyDescent="0.2">
      <c r="A101" s="50" t="s">
        <v>19</v>
      </c>
      <c r="C101" s="51">
        <f>RCF!B4</f>
        <v>2</v>
      </c>
      <c r="D101" s="52">
        <f>RCF!D12</f>
        <v>0</v>
      </c>
      <c r="E101" s="52">
        <f>RCF!E12</f>
        <v>0</v>
      </c>
      <c r="F101" s="52">
        <f t="shared" si="0"/>
        <v>0</v>
      </c>
      <c r="G101" s="53" t="str">
        <f t="shared" si="1"/>
        <v>GREEN - On Track</v>
      </c>
    </row>
    <row r="102" spans="1:9" x14ac:dyDescent="0.2">
      <c r="A102" s="50" t="s">
        <v>20</v>
      </c>
      <c r="C102" s="51">
        <f>NAV!B4</f>
        <v>2</v>
      </c>
      <c r="D102" s="52">
        <f>NAV!D12</f>
        <v>0</v>
      </c>
      <c r="E102" s="52">
        <f>NAV!E12</f>
        <v>0</v>
      </c>
      <c r="F102" s="52">
        <f t="shared" si="0"/>
        <v>0</v>
      </c>
      <c r="G102" s="53" t="str">
        <f t="shared" si="1"/>
        <v>GREEN - On Track</v>
      </c>
    </row>
    <row r="103" spans="1:9" x14ac:dyDescent="0.2">
      <c r="A103" s="50" t="s">
        <v>21</v>
      </c>
      <c r="C103" s="51">
        <f>TWCS!B4</f>
        <v>2</v>
      </c>
      <c r="D103" s="52">
        <f>TWCS!D12</f>
        <v>0</v>
      </c>
      <c r="E103" s="52">
        <f>TWCS!E12</f>
        <v>0</v>
      </c>
      <c r="F103" s="52">
        <f t="shared" si="0"/>
        <v>0</v>
      </c>
      <c r="G103" s="53" t="str">
        <f t="shared" si="1"/>
        <v>GREEN - On Track</v>
      </c>
    </row>
    <row r="104" spans="1:9" x14ac:dyDescent="0.2">
      <c r="A104" s="50" t="s">
        <v>23</v>
      </c>
      <c r="C104" s="51">
        <f>'HAIL RE'!B4</f>
        <v>7</v>
      </c>
      <c r="D104" s="52">
        <f>'HAIL RE'!D12</f>
        <v>0</v>
      </c>
      <c r="E104" s="52">
        <f>'HAIL RE'!E12</f>
        <v>2</v>
      </c>
      <c r="F104" s="52">
        <f t="shared" si="0"/>
        <v>2</v>
      </c>
      <c r="G104" s="53" t="str">
        <f t="shared" si="1"/>
        <v>RED - Escalate to CRO</v>
      </c>
    </row>
    <row r="105" spans="1:9" x14ac:dyDescent="0.2">
      <c r="A105" s="50" t="s">
        <v>24</v>
      </c>
      <c r="C105" s="51">
        <f>'HTRE RE'!B4</f>
        <v>6</v>
      </c>
      <c r="D105" s="52">
        <f>'HTRE RE'!D12</f>
        <v>1</v>
      </c>
      <c r="E105" s="52">
        <f>'HTRE RE'!E12</f>
        <v>1</v>
      </c>
      <c r="F105" s="52">
        <f t="shared" si="0"/>
        <v>2</v>
      </c>
      <c r="G105" s="53" t="str">
        <f t="shared" si="1"/>
        <v>RED - Escalate to CRO</v>
      </c>
    </row>
    <row r="106" spans="1:9" x14ac:dyDescent="0.2">
      <c r="A106" s="50" t="s">
        <v>25</v>
      </c>
      <c r="C106" s="51">
        <f>'RE Asia'!B4</f>
        <v>5</v>
      </c>
      <c r="D106" s="52">
        <f>'RE Asia'!D12</f>
        <v>1</v>
      </c>
      <c r="E106" s="52">
        <f>'RE Asia'!E12</f>
        <v>1</v>
      </c>
      <c r="F106" s="52">
        <f t="shared" si="0"/>
        <v>2</v>
      </c>
      <c r="G106" s="53" t="str">
        <f t="shared" si="1"/>
        <v>RED - Escalate to CRO</v>
      </c>
    </row>
    <row r="107" spans="1:9" x14ac:dyDescent="0.2">
      <c r="A107" s="50" t="s">
        <v>26</v>
      </c>
      <c r="C107" s="51">
        <f>REIM!B4</f>
        <v>3</v>
      </c>
      <c r="D107" s="52">
        <f>REIM!D12</f>
        <v>2</v>
      </c>
      <c r="E107" s="52">
        <f>REIM!E12</f>
        <v>0</v>
      </c>
      <c r="F107" s="52">
        <f t="shared" si="0"/>
        <v>2</v>
      </c>
      <c r="G107" s="53" t="str">
        <f t="shared" si="1"/>
        <v>AMBER - Monitor</v>
      </c>
    </row>
    <row r="108" spans="1:9" x14ac:dyDescent="0.2">
      <c r="A108" s="50" t="s">
        <v>27</v>
      </c>
      <c r="C108" s="51">
        <f>ETI!B4</f>
        <v>1</v>
      </c>
      <c r="D108" s="52">
        <f>ETI!D12</f>
        <v>0</v>
      </c>
      <c r="E108" s="52">
        <f>ETI!E12</f>
        <v>1</v>
      </c>
      <c r="F108" s="52">
        <f t="shared" si="0"/>
        <v>1</v>
      </c>
      <c r="G108" s="53" t="str">
        <f t="shared" si="1"/>
        <v>RED - Escalate to CRO</v>
      </c>
    </row>
    <row r="109" spans="1:9" x14ac:dyDescent="0.2">
      <c r="A109" s="50" t="s">
        <v>29</v>
      </c>
      <c r="C109" s="51">
        <f>HF!B4</f>
        <v>5</v>
      </c>
      <c r="D109" s="52">
        <f>HF!D12</f>
        <v>0</v>
      </c>
      <c r="E109" s="52">
        <f>HF!E12</f>
        <v>1</v>
      </c>
      <c r="F109" s="52">
        <f t="shared" si="0"/>
        <v>1</v>
      </c>
      <c r="G109" s="53" t="str">
        <f t="shared" si="1"/>
        <v>RED - Escalate to CRO</v>
      </c>
    </row>
    <row r="110" spans="1:9" x14ac:dyDescent="0.2">
      <c r="A110" s="50" t="s">
        <v>30</v>
      </c>
      <c r="C110" s="51">
        <f>PrivMkts!B4</f>
        <v>7</v>
      </c>
      <c r="D110" s="52">
        <f>PrivMkts!D12</f>
        <v>0</v>
      </c>
      <c r="E110" s="52">
        <f>PrivMkts!E12</f>
        <v>0</v>
      </c>
      <c r="F110" s="52">
        <f t="shared" si="0"/>
        <v>0</v>
      </c>
      <c r="G110" s="53" t="str">
        <f t="shared" si="1"/>
        <v>GREEN - On Track</v>
      </c>
    </row>
    <row r="111" spans="1:9" x14ac:dyDescent="0.2">
      <c r="A111" s="50" t="s">
        <v>31</v>
      </c>
      <c r="C111" s="51">
        <f>VC!B4</f>
        <v>1</v>
      </c>
      <c r="D111" s="52">
        <f>VC!D12</f>
        <v>0</v>
      </c>
      <c r="E111" s="52">
        <f>VC!E12</f>
        <v>0</v>
      </c>
      <c r="F111" s="52">
        <f t="shared" si="0"/>
        <v>0</v>
      </c>
      <c r="G111" s="53" t="str">
        <f t="shared" si="1"/>
        <v>GREEN - On Track</v>
      </c>
    </row>
  </sheetData>
  <mergeCells count="7">
    <mergeCell ref="B94:I94"/>
    <mergeCell ref="B93:I93"/>
    <mergeCell ref="B92:I92"/>
    <mergeCell ref="A2:I2"/>
    <mergeCell ref="B91:I91"/>
    <mergeCell ref="A1:I1"/>
    <mergeCell ref="B90:I90"/>
  </mergeCells>
  <conditionalFormatting sqref="G99:G111">
    <cfRule type="expression" dxfId="57" priority="1">
      <formula>NOT(ISERROR(SEARCH("RED",G99)))</formula>
    </cfRule>
    <cfRule type="expression" dxfId="56" priority="2">
      <formula>NOT(ISERROR(SEARCH("AMBER",G99)))</formula>
    </cfRule>
    <cfRule type="expression" dxfId="55" priority="3">
      <formula>NOT(ISERROR(SEARCH("GREEN",G99)))</formula>
    </cfRule>
  </conditionalFormatting>
  <conditionalFormatting sqref="D99:D111">
    <cfRule type="cellIs" dxfId="54" priority="4" operator="greaterThan">
      <formula>0</formula>
    </cfRule>
  </conditionalFormatting>
  <conditionalFormatting sqref="E99:E111">
    <cfRule type="cellIs" dxfId="53" priority="5" operator="greaterThan">
      <formula>0</formula>
    </cfRule>
  </conditionalFormatting>
  <conditionalFormatting sqref="F99:F111">
    <cfRule type="cellIs" dxfId="52" priority="6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Y44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8" width="8" customWidth="1"/>
    <col min="19" max="29" width="14" customWidth="1"/>
  </cols>
  <sheetData>
    <row r="1" spans="1:25" ht="30" customHeight="1" x14ac:dyDescent="0.2">
      <c r="A1" s="94" t="s">
        <v>45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4" t="s">
        <v>46</v>
      </c>
    </row>
    <row r="2" spans="1:25" ht="18" customHeight="1" x14ac:dyDescent="0.2">
      <c r="A2" s="88" t="s">
        <v>47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25" ht="16" customHeight="1" x14ac:dyDescent="0.2">
      <c r="S3" s="5" t="s">
        <v>48</v>
      </c>
      <c r="T3" s="5" t="s">
        <v>5</v>
      </c>
      <c r="U3" s="5" t="s">
        <v>6</v>
      </c>
      <c r="V3" s="5" t="s">
        <v>7</v>
      </c>
      <c r="W3" s="5" t="s">
        <v>8</v>
      </c>
      <c r="X3" s="5" t="s">
        <v>43</v>
      </c>
      <c r="Y3" s="5" t="s">
        <v>9</v>
      </c>
    </row>
    <row r="4" spans="1:25" ht="15" customHeight="1" x14ac:dyDescent="0.2">
      <c r="A4" s="89" t="s">
        <v>49</v>
      </c>
      <c r="B4" s="81"/>
      <c r="C4" s="81"/>
      <c r="D4" s="81"/>
      <c r="E4" s="91" t="s">
        <v>50</v>
      </c>
      <c r="F4" s="81"/>
      <c r="G4" s="81"/>
      <c r="H4" s="81"/>
      <c r="I4" s="92" t="s">
        <v>51</v>
      </c>
      <c r="J4" s="81"/>
      <c r="K4" s="81"/>
      <c r="L4" s="81"/>
      <c r="M4" s="85" t="s">
        <v>52</v>
      </c>
      <c r="N4" s="81"/>
      <c r="O4" s="81"/>
      <c r="P4" s="81"/>
      <c r="S4" s="6" t="s">
        <v>53</v>
      </c>
      <c r="T4" s="7">
        <f>DL!B12+InfraDebt!B12+RCF!B12+NAV!B12+TWCS!B12</f>
        <v>121</v>
      </c>
      <c r="U4" s="7">
        <f>DL!C12+InfraDebt!C12+RCF!C12+NAV!C12+TWCS!C12</f>
        <v>2</v>
      </c>
      <c r="V4" s="7">
        <f>DL!D12+InfraDebt!D12+RCF!D12+NAV!D12+TWCS!D12</f>
        <v>2</v>
      </c>
      <c r="W4" s="7">
        <f>DL!E12+InfraDebt!E12+RCF!E12+NAV!E12+TWCS!E12</f>
        <v>2</v>
      </c>
      <c r="X4" s="7">
        <f>V4+W4</f>
        <v>4</v>
      </c>
      <c r="Y4" s="7">
        <f>DL!F12+InfraDebt!F12+RCF!F12+NAV!F12+TWCS!F12</f>
        <v>127</v>
      </c>
    </row>
    <row r="5" spans="1:25" ht="15" customHeight="1" x14ac:dyDescent="0.2">
      <c r="A5" s="8"/>
      <c r="B5" s="8"/>
      <c r="C5" s="8"/>
      <c r="D5" s="8"/>
      <c r="E5" s="9"/>
      <c r="F5" s="9"/>
      <c r="G5" s="9"/>
      <c r="H5" s="9"/>
      <c r="I5" s="10"/>
      <c r="J5" s="10"/>
      <c r="K5" s="10"/>
      <c r="L5" s="10"/>
      <c r="M5" s="11"/>
      <c r="N5" s="11"/>
      <c r="O5" s="11"/>
      <c r="P5" s="11"/>
      <c r="S5" s="6" t="s">
        <v>22</v>
      </c>
      <c r="T5" s="7">
        <f>'HAIL RE'!B12+'HTRE RE'!B12+'RE Asia'!B12+REIM!B12+ETI!B12</f>
        <v>104</v>
      </c>
      <c r="U5" s="7">
        <f>'HAIL RE'!C12+'HTRE RE'!C12+'RE Asia'!C12+REIM!C12+ETI!C12</f>
        <v>16</v>
      </c>
      <c r="V5" s="7">
        <f>'HAIL RE'!D12+'HTRE RE'!D12+'RE Asia'!D12+REIM!D12+ETI!D12</f>
        <v>4</v>
      </c>
      <c r="W5" s="7">
        <f>'HAIL RE'!E12+'HTRE RE'!E12+'RE Asia'!E12+REIM!E12+ETI!E12</f>
        <v>5</v>
      </c>
      <c r="X5" s="7">
        <f>V5+W5</f>
        <v>9</v>
      </c>
      <c r="Y5" s="7">
        <f>'HAIL RE'!F12+'HTRE RE'!F12+'RE Asia'!F12+REIM!F12+ETI!F12</f>
        <v>129</v>
      </c>
    </row>
    <row r="6" spans="1:25" ht="15" customHeight="1" x14ac:dyDescent="0.2">
      <c r="A6" s="95">
        <f>DL!F12+InfraDebt!F12+RCF!F12+NAV!F12+TWCS!F12+'HAIL RE'!F12+'HTRE RE'!F12+'RE Asia'!F12+REIM!F12+ETI!F12+HF!F12+PrivMkts!F12+VC!F12</f>
        <v>314</v>
      </c>
      <c r="B6" s="81"/>
      <c r="C6" s="81"/>
      <c r="D6" s="81"/>
      <c r="E6" s="80">
        <f>DL!B12+InfraDebt!B12+RCF!B12+NAV!B12+TWCS!B12+'HAIL RE'!B12+'HTRE RE'!B12+'RE Asia'!B12+REIM!B12+ETI!B12+HF!B12+PrivMkts!B12+VC!B12+DL!C12+InfraDebt!C12+RCF!C12+NAV!C12+TWCS!C12+'HAIL RE'!C12+'HTRE RE'!C12+'RE Asia'!C12+REIM!C12+ETI!C12+HF!C12+PrivMkts!C12+VC!C12</f>
        <v>300</v>
      </c>
      <c r="F6" s="81"/>
      <c r="G6" s="81"/>
      <c r="H6" s="81"/>
      <c r="I6" s="82">
        <f>DL!D12+InfraDebt!D12+RCF!D12+NAV!D12+TWCS!D12+'HAIL RE'!D12+'HTRE RE'!D12+'RE Asia'!D12+REIM!D12+ETI!D12+HF!D12+PrivMkts!D12+VC!D12</f>
        <v>6</v>
      </c>
      <c r="J6" s="81"/>
      <c r="K6" s="81"/>
      <c r="L6" s="81"/>
      <c r="M6" s="87">
        <f>DL!E12+InfraDebt!E12+RCF!E12+NAV!E12+TWCS!E12+'HAIL RE'!E12+'HTRE RE'!E12+'RE Asia'!E12+REIM!E12+ETI!E12+HF!E12+PrivMkts!E12+VC!E12</f>
        <v>8</v>
      </c>
      <c r="N6" s="81"/>
      <c r="O6" s="81"/>
      <c r="P6" s="81"/>
      <c r="S6" s="6" t="s">
        <v>54</v>
      </c>
      <c r="T6" s="7">
        <f>HF!B12+PrivMkts!B12+VC!B12</f>
        <v>56</v>
      </c>
      <c r="U6" s="7">
        <f>HF!C12+PrivMkts!C12+VC!C12</f>
        <v>1</v>
      </c>
      <c r="V6" s="7">
        <f>HF!D12+PrivMkts!D12+VC!D12</f>
        <v>0</v>
      </c>
      <c r="W6" s="7">
        <f>HF!E12+PrivMkts!E12+VC!E12</f>
        <v>1</v>
      </c>
      <c r="X6" s="7">
        <f>V6+W6</f>
        <v>1</v>
      </c>
      <c r="Y6" s="7">
        <f>HF!F12+PrivMkts!F12+VC!F12</f>
        <v>58</v>
      </c>
    </row>
    <row r="7" spans="1:25" ht="16" customHeight="1" x14ac:dyDescent="0.2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S7" s="6" t="s">
        <v>55</v>
      </c>
      <c r="T7" s="12">
        <f t="shared" ref="T7:Y7" si="0">SUM(T4:T6)</f>
        <v>281</v>
      </c>
      <c r="U7" s="12">
        <f t="shared" si="0"/>
        <v>19</v>
      </c>
      <c r="V7" s="12">
        <f t="shared" si="0"/>
        <v>6</v>
      </c>
      <c r="W7" s="12">
        <f t="shared" si="0"/>
        <v>8</v>
      </c>
      <c r="X7" s="12">
        <f t="shared" si="0"/>
        <v>14</v>
      </c>
      <c r="Y7" s="12">
        <f t="shared" si="0"/>
        <v>314</v>
      </c>
    </row>
    <row r="8" spans="1:25" ht="24" customHeight="1" x14ac:dyDescent="0.2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</row>
    <row r="9" spans="1:25" ht="16" customHeight="1" x14ac:dyDescent="0.2">
      <c r="A9" s="83" t="s">
        <v>56</v>
      </c>
      <c r="B9" s="81"/>
      <c r="C9" s="81"/>
      <c r="D9" s="81"/>
      <c r="E9" s="86" t="s">
        <v>57</v>
      </c>
      <c r="F9" s="81"/>
      <c r="G9" s="81"/>
      <c r="H9" s="81"/>
      <c r="I9" s="90" t="s">
        <v>58</v>
      </c>
      <c r="J9" s="81"/>
      <c r="K9" s="81"/>
      <c r="L9" s="81"/>
      <c r="M9" s="93" t="s">
        <v>59</v>
      </c>
      <c r="N9" s="81"/>
      <c r="O9" s="81"/>
      <c r="P9" s="81"/>
      <c r="S9" s="5" t="s">
        <v>42</v>
      </c>
      <c r="T9" s="5" t="s">
        <v>5</v>
      </c>
      <c r="U9" s="5" t="s">
        <v>6</v>
      </c>
      <c r="V9" s="5" t="s">
        <v>7</v>
      </c>
      <c r="W9" s="5" t="s">
        <v>8</v>
      </c>
      <c r="X9" s="5" t="s">
        <v>43</v>
      </c>
      <c r="Y9" s="5" t="s">
        <v>9</v>
      </c>
    </row>
    <row r="10" spans="1:25" ht="15" customHeight="1" x14ac:dyDescent="0.2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S10" s="13" t="s">
        <v>60</v>
      </c>
      <c r="T10" s="14">
        <f>DL!B12</f>
        <v>52</v>
      </c>
      <c r="U10" s="14">
        <f>DL!C12</f>
        <v>1</v>
      </c>
      <c r="V10" s="14">
        <f>DL!D12</f>
        <v>0</v>
      </c>
      <c r="W10" s="14">
        <f>DL!E12</f>
        <v>0</v>
      </c>
      <c r="X10" s="14">
        <f t="shared" ref="X10:X22" si="1">V10+W10</f>
        <v>0</v>
      </c>
      <c r="Y10" s="14">
        <f>DL!F12</f>
        <v>53</v>
      </c>
    </row>
    <row r="11" spans="1:25" ht="15" customHeight="1" x14ac:dyDescent="0.2">
      <c r="S11" s="13" t="s">
        <v>18</v>
      </c>
      <c r="T11" s="14">
        <f>InfraDebt!B12</f>
        <v>36</v>
      </c>
      <c r="U11" s="14">
        <f>InfraDebt!C12</f>
        <v>0</v>
      </c>
      <c r="V11" s="14">
        <f>InfraDebt!D12</f>
        <v>2</v>
      </c>
      <c r="W11" s="14">
        <f>InfraDebt!E12</f>
        <v>2</v>
      </c>
      <c r="X11" s="14">
        <f t="shared" si="1"/>
        <v>4</v>
      </c>
      <c r="Y11" s="14">
        <f>InfraDebt!F12</f>
        <v>40</v>
      </c>
    </row>
    <row r="12" spans="1:25" ht="15" customHeight="1" x14ac:dyDescent="0.2">
      <c r="S12" s="13" t="s">
        <v>19</v>
      </c>
      <c r="T12" s="14">
        <f>RCF!B12</f>
        <v>15</v>
      </c>
      <c r="U12" s="14">
        <f>RCF!C12</f>
        <v>1</v>
      </c>
      <c r="V12" s="14">
        <f>RCF!D12</f>
        <v>0</v>
      </c>
      <c r="W12" s="14">
        <f>RCF!E12</f>
        <v>0</v>
      </c>
      <c r="X12" s="14">
        <f t="shared" si="1"/>
        <v>0</v>
      </c>
      <c r="Y12" s="14">
        <f>RCF!F12</f>
        <v>16</v>
      </c>
    </row>
    <row r="13" spans="1:25" ht="15" customHeight="1" x14ac:dyDescent="0.2">
      <c r="S13" s="13" t="s">
        <v>20</v>
      </c>
      <c r="T13" s="14">
        <f>NAV!B12</f>
        <v>8</v>
      </c>
      <c r="U13" s="14">
        <f>NAV!C12</f>
        <v>0</v>
      </c>
      <c r="V13" s="14">
        <f>NAV!D12</f>
        <v>0</v>
      </c>
      <c r="W13" s="14">
        <f>NAV!E12</f>
        <v>0</v>
      </c>
      <c r="X13" s="14">
        <f t="shared" si="1"/>
        <v>0</v>
      </c>
      <c r="Y13" s="14">
        <f>NAV!F12</f>
        <v>8</v>
      </c>
    </row>
    <row r="14" spans="1:25" ht="15" customHeight="1" x14ac:dyDescent="0.2">
      <c r="S14" s="13" t="s">
        <v>61</v>
      </c>
      <c r="T14" s="14">
        <f>TWCS!B12</f>
        <v>10</v>
      </c>
      <c r="U14" s="14">
        <f>TWCS!C12</f>
        <v>0</v>
      </c>
      <c r="V14" s="14">
        <f>TWCS!D12</f>
        <v>0</v>
      </c>
      <c r="W14" s="14">
        <f>TWCS!E12</f>
        <v>0</v>
      </c>
      <c r="X14" s="14">
        <f t="shared" si="1"/>
        <v>0</v>
      </c>
      <c r="Y14" s="14">
        <f>TWCS!F12</f>
        <v>10</v>
      </c>
    </row>
    <row r="15" spans="1:25" ht="15" customHeight="1" x14ac:dyDescent="0.2">
      <c r="S15" s="13" t="s">
        <v>23</v>
      </c>
      <c r="T15" s="14">
        <f>'HAIL RE'!B12</f>
        <v>23</v>
      </c>
      <c r="U15" s="14">
        <f>'HAIL RE'!C12</f>
        <v>10</v>
      </c>
      <c r="V15" s="14">
        <f>'HAIL RE'!D12</f>
        <v>0</v>
      </c>
      <c r="W15" s="14">
        <f>'HAIL RE'!E12</f>
        <v>2</v>
      </c>
      <c r="X15" s="14">
        <f t="shared" si="1"/>
        <v>2</v>
      </c>
      <c r="Y15" s="14">
        <f>'HAIL RE'!F12</f>
        <v>35</v>
      </c>
    </row>
    <row r="16" spans="1:25" ht="15" customHeight="1" x14ac:dyDescent="0.2">
      <c r="S16" s="13" t="s">
        <v>24</v>
      </c>
      <c r="T16" s="14">
        <f>'HTRE RE'!B12</f>
        <v>33</v>
      </c>
      <c r="U16" s="14">
        <f>'HTRE RE'!C12</f>
        <v>1</v>
      </c>
      <c r="V16" s="14">
        <f>'HTRE RE'!D12</f>
        <v>1</v>
      </c>
      <c r="W16" s="14">
        <f>'HTRE RE'!E12</f>
        <v>1</v>
      </c>
      <c r="X16" s="14">
        <f t="shared" si="1"/>
        <v>2</v>
      </c>
      <c r="Y16" s="14">
        <f>'HTRE RE'!F12</f>
        <v>36</v>
      </c>
    </row>
    <row r="17" spans="19:25" ht="15" customHeight="1" x14ac:dyDescent="0.2">
      <c r="S17" s="13" t="s">
        <v>25</v>
      </c>
      <c r="T17" s="14">
        <f>'RE Asia'!B12</f>
        <v>24</v>
      </c>
      <c r="U17" s="14">
        <f>'RE Asia'!C12</f>
        <v>4</v>
      </c>
      <c r="V17" s="14">
        <f>'RE Asia'!D12</f>
        <v>1</v>
      </c>
      <c r="W17" s="14">
        <f>'RE Asia'!E12</f>
        <v>1</v>
      </c>
      <c r="X17" s="14">
        <f t="shared" si="1"/>
        <v>2</v>
      </c>
      <c r="Y17" s="14">
        <f>'RE Asia'!F12</f>
        <v>30</v>
      </c>
    </row>
    <row r="18" spans="19:25" ht="15" customHeight="1" x14ac:dyDescent="0.2">
      <c r="S18" s="13" t="s">
        <v>26</v>
      </c>
      <c r="T18" s="14">
        <f>REIM!B12</f>
        <v>15</v>
      </c>
      <c r="U18" s="14">
        <f>REIM!C12</f>
        <v>1</v>
      </c>
      <c r="V18" s="14">
        <f>REIM!D12</f>
        <v>2</v>
      </c>
      <c r="W18" s="14">
        <f>REIM!E12</f>
        <v>0</v>
      </c>
      <c r="X18" s="14">
        <f t="shared" si="1"/>
        <v>2</v>
      </c>
      <c r="Y18" s="14">
        <f>REIM!F12</f>
        <v>18</v>
      </c>
    </row>
    <row r="19" spans="19:25" ht="15" customHeight="1" x14ac:dyDescent="0.2">
      <c r="S19" s="13" t="s">
        <v>27</v>
      </c>
      <c r="T19" s="14">
        <f>ETI!B12</f>
        <v>9</v>
      </c>
      <c r="U19" s="14">
        <f>ETI!C12</f>
        <v>0</v>
      </c>
      <c r="V19" s="14">
        <f>ETI!D12</f>
        <v>0</v>
      </c>
      <c r="W19" s="14">
        <f>ETI!E12</f>
        <v>1</v>
      </c>
      <c r="X19" s="14">
        <f t="shared" si="1"/>
        <v>1</v>
      </c>
      <c r="Y19" s="14">
        <f>ETI!F12</f>
        <v>10</v>
      </c>
    </row>
    <row r="20" spans="19:25" ht="15" customHeight="1" x14ac:dyDescent="0.2">
      <c r="S20" s="13" t="s">
        <v>29</v>
      </c>
      <c r="T20" s="14">
        <f>HF!B12</f>
        <v>19</v>
      </c>
      <c r="U20" s="14">
        <f>HF!C12</f>
        <v>0</v>
      </c>
      <c r="V20" s="14">
        <f>HF!D12</f>
        <v>0</v>
      </c>
      <c r="W20" s="14">
        <f>HF!E12</f>
        <v>1</v>
      </c>
      <c r="X20" s="14">
        <f t="shared" si="1"/>
        <v>1</v>
      </c>
      <c r="Y20" s="14">
        <f>HF!F12</f>
        <v>20</v>
      </c>
    </row>
    <row r="21" spans="19:25" ht="15" customHeight="1" x14ac:dyDescent="0.2">
      <c r="S21" s="13" t="s">
        <v>30</v>
      </c>
      <c r="T21" s="14">
        <f>PrivMkts!B12</f>
        <v>34</v>
      </c>
      <c r="U21" s="14">
        <f>PrivMkts!C12</f>
        <v>1</v>
      </c>
      <c r="V21" s="14">
        <f>PrivMkts!D12</f>
        <v>0</v>
      </c>
      <c r="W21" s="14">
        <f>PrivMkts!E12</f>
        <v>0</v>
      </c>
      <c r="X21" s="14">
        <f t="shared" si="1"/>
        <v>0</v>
      </c>
      <c r="Y21" s="14">
        <f>PrivMkts!F12</f>
        <v>35</v>
      </c>
    </row>
    <row r="22" spans="19:25" ht="15" customHeight="1" x14ac:dyDescent="0.2">
      <c r="S22" s="13" t="s">
        <v>31</v>
      </c>
      <c r="T22" s="14">
        <f>VC!B12</f>
        <v>3</v>
      </c>
      <c r="U22" s="14">
        <f>VC!C12</f>
        <v>0</v>
      </c>
      <c r="V22" s="14">
        <f>VC!D12</f>
        <v>0</v>
      </c>
      <c r="W22" s="14">
        <f>VC!E12</f>
        <v>0</v>
      </c>
      <c r="X22" s="14">
        <f t="shared" si="1"/>
        <v>0</v>
      </c>
      <c r="Y22" s="14">
        <f>VC!F12</f>
        <v>3</v>
      </c>
    </row>
    <row r="24" spans="19:25" ht="16" customHeight="1" x14ac:dyDescent="0.2">
      <c r="S24" s="5" t="s">
        <v>3</v>
      </c>
      <c r="T24" s="5" t="s">
        <v>5</v>
      </c>
      <c r="U24" s="5" t="s">
        <v>6</v>
      </c>
      <c r="V24" s="5" t="s">
        <v>7</v>
      </c>
      <c r="W24" s="5" t="s">
        <v>8</v>
      </c>
      <c r="X24" s="5" t="s">
        <v>43</v>
      </c>
      <c r="Y24" s="5" t="s">
        <v>9</v>
      </c>
    </row>
    <row r="25" spans="19:25" ht="15" customHeight="1" x14ac:dyDescent="0.2">
      <c r="S25" s="13" t="s">
        <v>13</v>
      </c>
      <c r="T25" s="14">
        <f>DL!B7+InfraDebt!B7+RCF!B7+NAV!B7+TWCS!B7+'HAIL RE'!B7+'HTRE RE'!B7+'RE Asia'!B7+REIM!B7+ETI!B7+HF!B7+PrivMkts!B7+VC!B7</f>
        <v>187</v>
      </c>
      <c r="U25" s="14">
        <f>DL!C7+InfraDebt!C7+RCF!C7+NAV!C7+TWCS!C7+'HAIL RE'!C7+'HTRE RE'!C7+'RE Asia'!C7+REIM!C7+ETI!C7+HF!C7+PrivMkts!C7+VC!C7</f>
        <v>16</v>
      </c>
      <c r="V25" s="14">
        <f>DL!D7+InfraDebt!D7+RCF!D7+NAV!D7+TWCS!D7+'HAIL RE'!D7+'HTRE RE'!D7+'RE Asia'!D7+REIM!D7+ETI!D7+HF!D7+PrivMkts!D7+VC!D7</f>
        <v>5</v>
      </c>
      <c r="W25" s="14">
        <f>DL!E7+InfraDebt!E7+RCF!E7+NAV!E7+TWCS!E7+'HAIL RE'!E7+'HTRE RE'!E7+'RE Asia'!E7+REIM!E7+ETI!E7+HF!E7+PrivMkts!E7+VC!E7</f>
        <v>8</v>
      </c>
      <c r="X25" s="15">
        <f>V25+W25</f>
        <v>13</v>
      </c>
      <c r="Y25" s="15">
        <f>DL!F7+InfraDebt!F7+RCF!F7+NAV!F7+TWCS!F7+'HAIL RE'!F7+'HTRE RE'!F7+'RE Asia'!F7+REIM!F7+ETI!F7+HF!F7+PrivMkts!F7+VC!F7</f>
        <v>216</v>
      </c>
    </row>
    <row r="26" spans="19:25" ht="15" customHeight="1" x14ac:dyDescent="0.2">
      <c r="S26" s="13" t="s">
        <v>14</v>
      </c>
      <c r="T26" s="14">
        <f>DL!B8+InfraDebt!B8+RCF!B8+NAV!B8+TWCS!B8+'HAIL RE'!B8+'HTRE RE'!B8+'RE Asia'!B8+REIM!B8+ETI!B8+HF!B8+PrivMkts!B8+VC!B8</f>
        <v>49</v>
      </c>
      <c r="U26" s="14">
        <f>DL!C8+InfraDebt!C8+RCF!C8+NAV!C8+TWCS!C8+'HAIL RE'!C8+'HTRE RE'!C8+'RE Asia'!C8+REIM!C8+ETI!C8+HF!C8+PrivMkts!C8+VC!C8</f>
        <v>1</v>
      </c>
      <c r="V26" s="14">
        <f>DL!D8+InfraDebt!D8+RCF!D8+NAV!D8+TWCS!D8+'HAIL RE'!D8+'HTRE RE'!D8+'RE Asia'!D8+REIM!D8+ETI!D8+HF!D8+PrivMkts!D8+VC!D8</f>
        <v>1</v>
      </c>
      <c r="W26" s="14">
        <f>DL!E8+InfraDebt!E8+RCF!E8+NAV!E8+TWCS!E8+'HAIL RE'!E8+'HTRE RE'!E8+'RE Asia'!E8+REIM!E8+ETI!E8+HF!E8+PrivMkts!E8+VC!E8</f>
        <v>0</v>
      </c>
      <c r="X26" s="15">
        <f>V26+W26</f>
        <v>1</v>
      </c>
      <c r="Y26" s="15">
        <f>DL!F8+InfraDebt!F8+RCF!F8+NAV!F8+TWCS!F8+'HAIL RE'!F8+'HTRE RE'!F8+'RE Asia'!F8+REIM!F8+ETI!F8+HF!F8+PrivMkts!F8+VC!F8</f>
        <v>51</v>
      </c>
    </row>
    <row r="27" spans="19:25" ht="15" customHeight="1" x14ac:dyDescent="0.2">
      <c r="S27" s="13" t="s">
        <v>15</v>
      </c>
      <c r="T27" s="14">
        <f>DL!B9+InfraDebt!B9+RCF!B9+NAV!B9+TWCS!B9+'HAIL RE'!B9+'HTRE RE'!B9+'RE Asia'!B9+REIM!B9+ETI!B9+HF!B9+PrivMkts!B9+VC!B9</f>
        <v>15</v>
      </c>
      <c r="U27" s="14">
        <f>DL!C9+InfraDebt!C9+RCF!C9+NAV!C9+TWCS!C9+'HAIL RE'!C9+'HTRE RE'!C9+'RE Asia'!C9+REIM!C9+ETI!C9+HF!C9+PrivMkts!C9+VC!C9</f>
        <v>0</v>
      </c>
      <c r="V27" s="14">
        <f>DL!D9+InfraDebt!D9+RCF!D9+NAV!D9+TWCS!D9+'HAIL RE'!D9+'HTRE RE'!D9+'RE Asia'!D9+REIM!D9+ETI!D9+HF!D9+PrivMkts!D9+VC!D9</f>
        <v>0</v>
      </c>
      <c r="W27" s="14">
        <f>DL!E9+InfraDebt!E9+RCF!E9+NAV!E9+TWCS!E9+'HAIL RE'!E9+'HTRE RE'!E9+'RE Asia'!E9+REIM!E9+ETI!E9+HF!E9+PrivMkts!E9+VC!E9</f>
        <v>0</v>
      </c>
      <c r="X27" s="15">
        <f>V27+W27</f>
        <v>0</v>
      </c>
      <c r="Y27" s="15">
        <f>DL!F9+InfraDebt!F9+RCF!F9+NAV!F9+TWCS!F9+'HAIL RE'!F9+'HTRE RE'!F9+'RE Asia'!F9+REIM!F9+ETI!F9+HF!F9+PrivMkts!F9+VC!F9</f>
        <v>15</v>
      </c>
    </row>
    <row r="28" spans="19:25" ht="15" customHeight="1" x14ac:dyDescent="0.2">
      <c r="S28" s="13" t="s">
        <v>16</v>
      </c>
      <c r="T28" s="14">
        <f>DL!B10+InfraDebt!B10+RCF!B10+NAV!B10+TWCS!B10+'HAIL RE'!B10+'HTRE RE'!B10+'RE Asia'!B10+REIM!B10+ETI!B10+HF!B10+PrivMkts!B10+VC!B10</f>
        <v>30</v>
      </c>
      <c r="U28" s="14">
        <f>DL!C10+InfraDebt!C10+RCF!C10+NAV!C10+TWCS!C10+'HAIL RE'!C10+'HTRE RE'!C10+'RE Asia'!C10+REIM!C10+ETI!C10+HF!C10+PrivMkts!C10+VC!C10</f>
        <v>2</v>
      </c>
      <c r="V28" s="14">
        <f>DL!D10+InfraDebt!D10+RCF!D10+NAV!D10+TWCS!D10+'HAIL RE'!D10+'HTRE RE'!D10+'RE Asia'!D10+REIM!D10+ETI!D10+HF!D10+PrivMkts!D10+VC!D10</f>
        <v>0</v>
      </c>
      <c r="W28" s="14">
        <f>DL!E10+InfraDebt!E10+RCF!E10+NAV!E10+TWCS!E10+'HAIL RE'!E10+'HTRE RE'!E10+'RE Asia'!E10+REIM!E10+ETI!E10+HF!E10+PrivMkts!E10+VC!E10</f>
        <v>0</v>
      </c>
      <c r="X28" s="15">
        <f>V28+W28</f>
        <v>0</v>
      </c>
      <c r="Y28" s="15">
        <f>DL!F10+InfraDebt!F10+RCF!F10+NAV!F10+TWCS!F10+'HAIL RE'!F10+'HTRE RE'!F10+'RE Asia'!F10+REIM!F10+ETI!F10+HF!F10+PrivMkts!F10+VC!F10</f>
        <v>32</v>
      </c>
    </row>
    <row r="29" spans="19:25" ht="15" customHeight="1" x14ac:dyDescent="0.2">
      <c r="S29" s="13" t="s">
        <v>17</v>
      </c>
      <c r="T29" s="14">
        <f>DL!B11+InfraDebt!B11+RCF!B11+NAV!B11+TWCS!B11+'HAIL RE'!B11+'HTRE RE'!B11+'RE Asia'!B11+REIM!B11+ETI!B11+HF!B11+PrivMkts!B11+VC!B11</f>
        <v>0</v>
      </c>
      <c r="U29" s="14">
        <f>DL!C11+InfraDebt!C11+RCF!C11+NAV!C11+TWCS!C11+'HAIL RE'!C11+'HTRE RE'!C11+'RE Asia'!C11+REIM!C11+ETI!C11+HF!C11+PrivMkts!C11+VC!C11</f>
        <v>0</v>
      </c>
      <c r="V29" s="14">
        <f>DL!D11+InfraDebt!D11+RCF!D11+NAV!D11+TWCS!D11+'HAIL RE'!D11+'HTRE RE'!D11+'RE Asia'!D11+REIM!D11+ETI!D11+HF!D11+PrivMkts!D11+VC!D11</f>
        <v>0</v>
      </c>
      <c r="W29" s="14">
        <f>DL!E11+InfraDebt!E11+RCF!E11+NAV!E11+TWCS!E11+'HAIL RE'!E11+'HTRE RE'!E11+'RE Asia'!E11+REIM!E11+ETI!E11+HF!E11+PrivMkts!E11+VC!E11</f>
        <v>0</v>
      </c>
      <c r="X29" s="15">
        <f>V29+W29</f>
        <v>0</v>
      </c>
      <c r="Y29" s="15">
        <f>DL!F11+InfraDebt!F11+RCF!F11+NAV!F11+TWCS!F11+'HAIL RE'!F11+'HTRE RE'!F11+'RE Asia'!F11+REIM!F11+ETI!F11+HF!F11+PrivMkts!F11+VC!F11</f>
        <v>0</v>
      </c>
    </row>
    <row r="31" spans="19:25" ht="16" customHeight="1" x14ac:dyDescent="0.2">
      <c r="S31" s="5" t="s">
        <v>42</v>
      </c>
      <c r="T31" s="5" t="s">
        <v>7</v>
      </c>
      <c r="U31" s="5" t="s">
        <v>8</v>
      </c>
    </row>
    <row r="32" spans="19:25" ht="15" customHeight="1" x14ac:dyDescent="0.2">
      <c r="S32" s="13" t="s">
        <v>60</v>
      </c>
      <c r="T32" s="14">
        <f>V10</f>
        <v>0</v>
      </c>
      <c r="U32" s="14">
        <f>W10</f>
        <v>0</v>
      </c>
    </row>
    <row r="33" spans="19:21" ht="15" customHeight="1" x14ac:dyDescent="0.2">
      <c r="S33" s="43" t="s">
        <v>62</v>
      </c>
      <c r="T33" s="14">
        <f>V11</f>
        <v>2</v>
      </c>
      <c r="U33" s="14">
        <f>W11</f>
        <v>2</v>
      </c>
    </row>
    <row r="34" spans="19:21" ht="15" customHeight="1" x14ac:dyDescent="0.2">
      <c r="S34" s="13" t="s">
        <v>5</v>
      </c>
      <c r="T34" s="54">
        <f>T7/Y7</f>
        <v>0.89490445859872614</v>
      </c>
      <c r="U34" s="14">
        <f t="shared" ref="U34:U44" si="2">W12</f>
        <v>0</v>
      </c>
    </row>
    <row r="35" spans="19:21" ht="15" customHeight="1" x14ac:dyDescent="0.2">
      <c r="S35" s="13" t="s">
        <v>63</v>
      </c>
      <c r="T35" s="54">
        <f>U7/Y7</f>
        <v>6.0509554140127389E-2</v>
      </c>
      <c r="U35" s="14">
        <f t="shared" si="2"/>
        <v>0</v>
      </c>
    </row>
    <row r="36" spans="19:21" ht="15" customHeight="1" x14ac:dyDescent="0.2">
      <c r="S36" s="13" t="s">
        <v>7</v>
      </c>
      <c r="T36" s="54">
        <f>V7/Y7</f>
        <v>1.9108280254777069E-2</v>
      </c>
      <c r="U36" s="14">
        <f t="shared" si="2"/>
        <v>0</v>
      </c>
    </row>
    <row r="37" spans="19:21" ht="15" customHeight="1" x14ac:dyDescent="0.2">
      <c r="S37" s="13" t="s">
        <v>8</v>
      </c>
      <c r="T37" s="54">
        <f>W7/Y7</f>
        <v>2.5477707006369428E-2</v>
      </c>
      <c r="U37" s="14">
        <f t="shared" si="2"/>
        <v>2</v>
      </c>
    </row>
    <row r="38" spans="19:21" ht="15" customHeight="1" x14ac:dyDescent="0.2">
      <c r="S38" s="13" t="s">
        <v>24</v>
      </c>
      <c r="T38" s="14">
        <f t="shared" ref="T38:T44" si="3">V16</f>
        <v>1</v>
      </c>
      <c r="U38" s="14">
        <f t="shared" si="2"/>
        <v>1</v>
      </c>
    </row>
    <row r="39" spans="19:21" ht="15" customHeight="1" x14ac:dyDescent="0.2">
      <c r="S39" s="13" t="s">
        <v>25</v>
      </c>
      <c r="T39" s="14">
        <f t="shared" si="3"/>
        <v>1</v>
      </c>
      <c r="U39" s="14">
        <f t="shared" si="2"/>
        <v>1</v>
      </c>
    </row>
    <row r="40" spans="19:21" ht="15" customHeight="1" x14ac:dyDescent="0.2">
      <c r="S40" s="13" t="s">
        <v>26</v>
      </c>
      <c r="T40" s="14">
        <f t="shared" si="3"/>
        <v>2</v>
      </c>
      <c r="U40" s="14">
        <f t="shared" si="2"/>
        <v>0</v>
      </c>
    </row>
    <row r="41" spans="19:21" ht="15" customHeight="1" x14ac:dyDescent="0.2">
      <c r="S41" s="13" t="s">
        <v>27</v>
      </c>
      <c r="T41" s="14">
        <f t="shared" si="3"/>
        <v>0</v>
      </c>
      <c r="U41" s="14">
        <f t="shared" si="2"/>
        <v>1</v>
      </c>
    </row>
    <row r="42" spans="19:21" ht="15" customHeight="1" x14ac:dyDescent="0.2">
      <c r="S42" s="13" t="s">
        <v>29</v>
      </c>
      <c r="T42" s="14">
        <f t="shared" si="3"/>
        <v>0</v>
      </c>
      <c r="U42" s="14">
        <f t="shared" si="2"/>
        <v>1</v>
      </c>
    </row>
    <row r="43" spans="19:21" ht="15" customHeight="1" x14ac:dyDescent="0.2">
      <c r="S43" s="13" t="s">
        <v>30</v>
      </c>
      <c r="T43" s="14">
        <f t="shared" si="3"/>
        <v>0</v>
      </c>
      <c r="U43" s="14">
        <f t="shared" si="2"/>
        <v>0</v>
      </c>
    </row>
    <row r="44" spans="19:21" ht="15" customHeight="1" x14ac:dyDescent="0.2">
      <c r="S44" s="13" t="s">
        <v>31</v>
      </c>
      <c r="T44" s="14">
        <f t="shared" si="3"/>
        <v>0</v>
      </c>
      <c r="U44" s="14">
        <f t="shared" si="2"/>
        <v>0</v>
      </c>
    </row>
  </sheetData>
  <mergeCells count="14">
    <mergeCell ref="A1:R1"/>
    <mergeCell ref="A6:D8"/>
    <mergeCell ref="A2:R2"/>
    <mergeCell ref="A4:D4"/>
    <mergeCell ref="I9:L10"/>
    <mergeCell ref="E4:H4"/>
    <mergeCell ref="I4:L4"/>
    <mergeCell ref="M9:P10"/>
    <mergeCell ref="E6:H8"/>
    <mergeCell ref="I6:L8"/>
    <mergeCell ref="A9:D10"/>
    <mergeCell ref="M4:P4"/>
    <mergeCell ref="E9:H10"/>
    <mergeCell ref="M6:P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1:D42"/>
  <sheetViews>
    <sheetView workbookViewId="0"/>
  </sheetViews>
  <sheetFormatPr baseColWidth="10" defaultColWidth="8.83203125" defaultRowHeight="15" x14ac:dyDescent="0.2"/>
  <cols>
    <col min="1" max="1" width="34" customWidth="1"/>
    <col min="2" max="2" width="60" customWidth="1"/>
    <col min="3" max="4" width="16" customWidth="1"/>
  </cols>
  <sheetData>
    <row r="1" spans="1:4" ht="30" customHeight="1" x14ac:dyDescent="0.2">
      <c r="A1" s="94" t="s">
        <v>64</v>
      </c>
      <c r="B1" s="81"/>
      <c r="C1" s="81"/>
      <c r="D1" s="81"/>
    </row>
    <row r="2" spans="1:4" ht="8" customHeight="1" x14ac:dyDescent="0.2"/>
    <row r="3" spans="1:4" ht="15" customHeight="1" x14ac:dyDescent="0.2">
      <c r="A3" s="97" t="s">
        <v>65</v>
      </c>
      <c r="B3" s="81"/>
      <c r="C3" s="81"/>
      <c r="D3" s="81"/>
    </row>
    <row r="4" spans="1:4" ht="6" customHeight="1" x14ac:dyDescent="0.2">
      <c r="A4" s="96"/>
      <c r="B4" s="81"/>
      <c r="C4" s="81"/>
      <c r="D4" s="81"/>
    </row>
    <row r="5" spans="1:4" ht="15" customHeight="1" x14ac:dyDescent="0.2">
      <c r="A5" s="96" t="s">
        <v>66</v>
      </c>
      <c r="B5" s="81"/>
      <c r="C5" s="81"/>
      <c r="D5" s="81"/>
    </row>
    <row r="6" spans="1:4" ht="15" customHeight="1" x14ac:dyDescent="0.2">
      <c r="A6" s="96" t="s">
        <v>67</v>
      </c>
      <c r="B6" s="81"/>
      <c r="C6" s="81"/>
      <c r="D6" s="81"/>
    </row>
    <row r="7" spans="1:4" ht="15" customHeight="1" x14ac:dyDescent="0.2">
      <c r="A7" s="96" t="s">
        <v>68</v>
      </c>
      <c r="B7" s="81"/>
      <c r="C7" s="81"/>
      <c r="D7" s="81"/>
    </row>
    <row r="8" spans="1:4" ht="15" customHeight="1" x14ac:dyDescent="0.2">
      <c r="A8" s="96" t="s">
        <v>69</v>
      </c>
      <c r="B8" s="81"/>
      <c r="C8" s="81"/>
      <c r="D8" s="81"/>
    </row>
    <row r="9" spans="1:4" ht="15" customHeight="1" x14ac:dyDescent="0.2">
      <c r="A9" s="96" t="s">
        <v>70</v>
      </c>
      <c r="B9" s="81"/>
      <c r="C9" s="81"/>
      <c r="D9" s="81"/>
    </row>
    <row r="10" spans="1:4" ht="15" customHeight="1" x14ac:dyDescent="0.2">
      <c r="A10" s="96" t="s">
        <v>71</v>
      </c>
      <c r="B10" s="81"/>
      <c r="C10" s="81"/>
      <c r="D10" s="81"/>
    </row>
    <row r="11" spans="1:4" ht="15" customHeight="1" x14ac:dyDescent="0.2">
      <c r="A11" s="96" t="s">
        <v>72</v>
      </c>
      <c r="B11" s="81"/>
      <c r="C11" s="81"/>
      <c r="D11" s="81"/>
    </row>
    <row r="12" spans="1:4" ht="15" customHeight="1" x14ac:dyDescent="0.2">
      <c r="A12" s="96" t="s">
        <v>73</v>
      </c>
      <c r="B12" s="81"/>
      <c r="C12" s="81"/>
      <c r="D12" s="81"/>
    </row>
    <row r="13" spans="1:4" ht="15" customHeight="1" x14ac:dyDescent="0.2">
      <c r="A13" s="96" t="s">
        <v>74</v>
      </c>
      <c r="B13" s="81"/>
      <c r="C13" s="81"/>
      <c r="D13" s="81"/>
    </row>
    <row r="14" spans="1:4" ht="6" customHeight="1" x14ac:dyDescent="0.2">
      <c r="A14" s="96"/>
      <c r="B14" s="81"/>
      <c r="C14" s="81"/>
      <c r="D14" s="81"/>
    </row>
    <row r="15" spans="1:4" ht="15" customHeight="1" x14ac:dyDescent="0.2">
      <c r="A15" s="97" t="s">
        <v>75</v>
      </c>
      <c r="B15" s="81"/>
      <c r="C15" s="81"/>
      <c r="D15" s="81"/>
    </row>
    <row r="16" spans="1:4" ht="15" customHeight="1" x14ac:dyDescent="0.2">
      <c r="A16" s="96" t="s">
        <v>76</v>
      </c>
      <c r="B16" s="81"/>
      <c r="C16" s="81"/>
      <c r="D16" s="81"/>
    </row>
    <row r="17" spans="1:4" ht="15" customHeight="1" x14ac:dyDescent="0.2">
      <c r="A17" s="96" t="s">
        <v>77</v>
      </c>
      <c r="B17" s="81"/>
      <c r="C17" s="81"/>
      <c r="D17" s="81"/>
    </row>
    <row r="18" spans="1:4" ht="15" customHeight="1" x14ac:dyDescent="0.2">
      <c r="A18" s="96" t="s">
        <v>78</v>
      </c>
      <c r="B18" s="81"/>
      <c r="C18" s="81"/>
      <c r="D18" s="81"/>
    </row>
    <row r="19" spans="1:4" ht="15" customHeight="1" x14ac:dyDescent="0.2">
      <c r="A19" s="96" t="s">
        <v>79</v>
      </c>
      <c r="B19" s="81"/>
      <c r="C19" s="81"/>
      <c r="D19" s="81"/>
    </row>
    <row r="20" spans="1:4" ht="6" customHeight="1" x14ac:dyDescent="0.2">
      <c r="A20" s="96"/>
      <c r="B20" s="81"/>
      <c r="C20" s="81"/>
      <c r="D20" s="81"/>
    </row>
    <row r="21" spans="1:4" ht="15" customHeight="1" x14ac:dyDescent="0.2">
      <c r="A21" s="97" t="s">
        <v>80</v>
      </c>
      <c r="B21" s="81"/>
      <c r="C21" s="81"/>
      <c r="D21" s="81"/>
    </row>
    <row r="22" spans="1:4" ht="15" customHeight="1" x14ac:dyDescent="0.2">
      <c r="A22" s="96" t="s">
        <v>81</v>
      </c>
      <c r="B22" s="81"/>
      <c r="C22" s="81"/>
      <c r="D22" s="81"/>
    </row>
    <row r="23" spans="1:4" ht="15" customHeight="1" x14ac:dyDescent="0.2">
      <c r="A23" s="96" t="s">
        <v>82</v>
      </c>
      <c r="B23" s="81"/>
      <c r="C23" s="81"/>
      <c r="D23" s="81"/>
    </row>
    <row r="24" spans="1:4" ht="15" customHeight="1" x14ac:dyDescent="0.2">
      <c r="A24" s="96" t="s">
        <v>83</v>
      </c>
      <c r="B24" s="81"/>
      <c r="C24" s="81"/>
      <c r="D24" s="81"/>
    </row>
    <row r="25" spans="1:4" ht="15" customHeight="1" x14ac:dyDescent="0.2">
      <c r="A25" s="96" t="s">
        <v>84</v>
      </c>
      <c r="B25" s="81"/>
      <c r="C25" s="81"/>
      <c r="D25" s="81"/>
    </row>
    <row r="26" spans="1:4" ht="6" customHeight="1" x14ac:dyDescent="0.2">
      <c r="A26" s="96"/>
      <c r="B26" s="81"/>
      <c r="C26" s="81"/>
      <c r="D26" s="81"/>
    </row>
    <row r="27" spans="1:4" ht="15" customHeight="1" x14ac:dyDescent="0.2">
      <c r="A27" s="97" t="s">
        <v>85</v>
      </c>
      <c r="B27" s="81"/>
      <c r="C27" s="81"/>
      <c r="D27" s="81"/>
    </row>
    <row r="29" spans="1:4" ht="18" customHeight="1" x14ac:dyDescent="0.2">
      <c r="A29" s="5" t="s">
        <v>86</v>
      </c>
      <c r="B29" s="5" t="s">
        <v>42</v>
      </c>
      <c r="C29" s="5" t="s">
        <v>48</v>
      </c>
      <c r="D29" s="5" t="s">
        <v>87</v>
      </c>
    </row>
    <row r="30" spans="1:4" ht="15" customHeight="1" x14ac:dyDescent="0.2">
      <c r="A30" s="16" t="s">
        <v>88</v>
      </c>
      <c r="B30" s="16" t="s">
        <v>11</v>
      </c>
      <c r="C30" s="16" t="s">
        <v>53</v>
      </c>
      <c r="D30" s="16" t="s">
        <v>89</v>
      </c>
    </row>
    <row r="31" spans="1:4" ht="15" customHeight="1" x14ac:dyDescent="0.2">
      <c r="A31" s="16" t="s">
        <v>90</v>
      </c>
      <c r="B31" s="16" t="s">
        <v>18</v>
      </c>
      <c r="C31" s="16" t="s">
        <v>53</v>
      </c>
      <c r="D31" s="16" t="s">
        <v>89</v>
      </c>
    </row>
    <row r="32" spans="1:4" ht="15" customHeight="1" x14ac:dyDescent="0.2">
      <c r="A32" s="16" t="s">
        <v>19</v>
      </c>
      <c r="B32" s="16" t="s">
        <v>19</v>
      </c>
      <c r="C32" s="16" t="s">
        <v>53</v>
      </c>
      <c r="D32" s="16" t="s">
        <v>89</v>
      </c>
    </row>
    <row r="33" spans="1:4" ht="15" customHeight="1" x14ac:dyDescent="0.2">
      <c r="A33" s="16" t="s">
        <v>91</v>
      </c>
      <c r="B33" s="16" t="s">
        <v>20</v>
      </c>
      <c r="C33" s="16" t="s">
        <v>53</v>
      </c>
      <c r="D33" s="16" t="s">
        <v>92</v>
      </c>
    </row>
    <row r="34" spans="1:4" ht="15" customHeight="1" x14ac:dyDescent="0.2">
      <c r="A34" s="16" t="s">
        <v>93</v>
      </c>
      <c r="B34" s="16" t="s">
        <v>21</v>
      </c>
      <c r="C34" s="16" t="s">
        <v>53</v>
      </c>
      <c r="D34" s="16" t="s">
        <v>92</v>
      </c>
    </row>
    <row r="35" spans="1:4" ht="15" customHeight="1" x14ac:dyDescent="0.2">
      <c r="A35" s="16" t="s">
        <v>94</v>
      </c>
      <c r="B35" s="16" t="s">
        <v>23</v>
      </c>
      <c r="C35" s="16" t="s">
        <v>95</v>
      </c>
      <c r="D35" s="16" t="s">
        <v>92</v>
      </c>
    </row>
    <row r="36" spans="1:4" ht="15" customHeight="1" x14ac:dyDescent="0.2">
      <c r="A36" s="16" t="s">
        <v>24</v>
      </c>
      <c r="B36" s="16" t="s">
        <v>24</v>
      </c>
      <c r="C36" s="16" t="s">
        <v>95</v>
      </c>
      <c r="D36" s="16" t="s">
        <v>89</v>
      </c>
    </row>
    <row r="37" spans="1:4" ht="15" customHeight="1" x14ac:dyDescent="0.2">
      <c r="A37" s="16" t="s">
        <v>96</v>
      </c>
      <c r="B37" s="16" t="s">
        <v>25</v>
      </c>
      <c r="C37" s="16" t="s">
        <v>95</v>
      </c>
      <c r="D37" s="16" t="s">
        <v>89</v>
      </c>
    </row>
    <row r="38" spans="1:4" ht="15" customHeight="1" x14ac:dyDescent="0.2">
      <c r="A38" s="16" t="s">
        <v>26</v>
      </c>
      <c r="B38" s="16" t="s">
        <v>26</v>
      </c>
      <c r="C38" s="16" t="s">
        <v>95</v>
      </c>
      <c r="D38" s="16" t="s">
        <v>89</v>
      </c>
    </row>
    <row r="39" spans="1:4" ht="15" customHeight="1" x14ac:dyDescent="0.2">
      <c r="A39" s="16" t="s">
        <v>27</v>
      </c>
      <c r="B39" s="16" t="s">
        <v>27</v>
      </c>
      <c r="C39" s="16" t="s">
        <v>95</v>
      </c>
      <c r="D39" s="16" t="s">
        <v>89</v>
      </c>
    </row>
    <row r="40" spans="1:4" ht="15" customHeight="1" x14ac:dyDescent="0.2">
      <c r="A40" s="16" t="s">
        <v>97</v>
      </c>
      <c r="B40" s="16" t="s">
        <v>29</v>
      </c>
      <c r="C40" s="16" t="s">
        <v>54</v>
      </c>
      <c r="D40" s="16" t="s">
        <v>89</v>
      </c>
    </row>
    <row r="41" spans="1:4" ht="15" customHeight="1" x14ac:dyDescent="0.2">
      <c r="A41" s="16" t="s">
        <v>98</v>
      </c>
      <c r="B41" s="16" t="s">
        <v>30</v>
      </c>
      <c r="C41" s="16" t="s">
        <v>54</v>
      </c>
      <c r="D41" s="16" t="s">
        <v>89</v>
      </c>
    </row>
    <row r="42" spans="1:4" ht="15" customHeight="1" x14ac:dyDescent="0.2">
      <c r="A42" s="16" t="s">
        <v>99</v>
      </c>
      <c r="B42" s="16" t="s">
        <v>31</v>
      </c>
      <c r="C42" s="16" t="s">
        <v>54</v>
      </c>
      <c r="D42" s="16" t="s">
        <v>89</v>
      </c>
    </row>
  </sheetData>
  <mergeCells count="26">
    <mergeCell ref="A25:D25"/>
    <mergeCell ref="A16:D16"/>
    <mergeCell ref="A18:D18"/>
    <mergeCell ref="A27:D27"/>
    <mergeCell ref="A12:D12"/>
    <mergeCell ref="A21:D21"/>
    <mergeCell ref="A26:D26"/>
    <mergeCell ref="A14:D14"/>
    <mergeCell ref="A24:D24"/>
    <mergeCell ref="A11:D11"/>
    <mergeCell ref="A1:D1"/>
    <mergeCell ref="A6:D6"/>
    <mergeCell ref="A7:D7"/>
    <mergeCell ref="A3:D3"/>
    <mergeCell ref="A4:D4"/>
    <mergeCell ref="A20:D20"/>
    <mergeCell ref="A19:D19"/>
    <mergeCell ref="A10:D10"/>
    <mergeCell ref="A13:D13"/>
    <mergeCell ref="A9:D9"/>
    <mergeCell ref="A15:D15"/>
    <mergeCell ref="A5:D5"/>
    <mergeCell ref="A17:D17"/>
    <mergeCell ref="A23:D23"/>
    <mergeCell ref="A8:D8"/>
    <mergeCell ref="A22:D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28"/>
  <sheetViews>
    <sheetView showGridLines="0" tabSelected="1" workbookViewId="0">
      <pane ySplit="15" topLeftCell="A16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100</v>
      </c>
      <c r="B1" s="76"/>
      <c r="C1" s="76"/>
      <c r="D1" s="76"/>
      <c r="E1" s="76"/>
      <c r="F1" s="76"/>
      <c r="G1" s="76"/>
      <c r="H1" s="76"/>
      <c r="I1" s="76"/>
      <c r="J1" s="76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  <c r="I2" s="81"/>
      <c r="J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0"/>
      <c r="G3" s="70"/>
      <c r="H3" s="70"/>
      <c r="I3" s="70"/>
      <c r="J3" s="71"/>
    </row>
    <row r="4" spans="1:13" ht="18" customHeight="1" x14ac:dyDescent="0.2">
      <c r="A4" s="17" t="s">
        <v>103</v>
      </c>
      <c r="B4" s="103">
        <v>7</v>
      </c>
      <c r="C4" s="70"/>
      <c r="D4" s="70"/>
      <c r="E4" s="70"/>
      <c r="F4" s="70"/>
      <c r="G4" s="70"/>
      <c r="H4" s="70"/>
      <c r="I4" s="70"/>
      <c r="J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38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1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39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7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7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7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7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52</v>
      </c>
      <c r="C12" s="64">
        <f>SUM(C7:C11)</f>
        <v>1</v>
      </c>
      <c r="D12" s="65">
        <f>SUM(D7:D11)</f>
        <v>0</v>
      </c>
      <c r="E12" s="66">
        <f>SUM(E7:E11)</f>
        <v>0</v>
      </c>
      <c r="F12" s="20">
        <f>SUM(F7:F11)</f>
        <v>53</v>
      </c>
    </row>
    <row r="13" spans="1:13" ht="8" customHeight="1" x14ac:dyDescent="0.2"/>
    <row r="14" spans="1:13" ht="22" customHeight="1" x14ac:dyDescent="0.2">
      <c r="A14" s="101" t="s">
        <v>105</v>
      </c>
      <c r="B14" s="102"/>
      <c r="C14" s="102"/>
      <c r="D14" s="102"/>
      <c r="E14" s="102"/>
      <c r="F14" s="102"/>
      <c r="G14" s="102"/>
      <c r="H14" s="102"/>
      <c r="I14" s="102"/>
      <c r="J14" s="102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109</v>
      </c>
      <c r="E15" s="68" t="s">
        <v>110</v>
      </c>
      <c r="F15" s="68" t="s">
        <v>111</v>
      </c>
      <c r="G15" s="68" t="s">
        <v>112</v>
      </c>
      <c r="H15" s="68" t="s">
        <v>113</v>
      </c>
      <c r="I15" s="68" t="s">
        <v>114</v>
      </c>
      <c r="J15" s="68" t="s">
        <v>115</v>
      </c>
    </row>
    <row r="16" spans="1:13" ht="17" customHeight="1" x14ac:dyDescent="0.2">
      <c r="A16" s="21" t="s">
        <v>116</v>
      </c>
      <c r="B16" s="22" t="s">
        <v>13</v>
      </c>
      <c r="C16" s="23" t="s">
        <v>117</v>
      </c>
      <c r="D16" s="15" t="s">
        <v>118</v>
      </c>
      <c r="E16" s="15" t="s">
        <v>118</v>
      </c>
      <c r="F16" s="15" t="s">
        <v>118</v>
      </c>
      <c r="G16" s="15" t="s">
        <v>118</v>
      </c>
      <c r="H16" s="15" t="s">
        <v>118</v>
      </c>
      <c r="I16" s="15" t="s">
        <v>118</v>
      </c>
      <c r="J16" s="15" t="s">
        <v>118</v>
      </c>
    </row>
    <row r="17" spans="1:11" ht="17" customHeight="1" x14ac:dyDescent="0.2">
      <c r="A17" s="24" t="s">
        <v>119</v>
      </c>
      <c r="B17" s="3" t="s">
        <v>13</v>
      </c>
      <c r="C17" s="25" t="s">
        <v>120</v>
      </c>
      <c r="D17" s="15" t="s">
        <v>118</v>
      </c>
      <c r="E17" s="15" t="s">
        <v>118</v>
      </c>
      <c r="F17" s="15" t="s">
        <v>118</v>
      </c>
      <c r="G17" s="15" t="s">
        <v>118</v>
      </c>
      <c r="H17" s="15" t="s">
        <v>118</v>
      </c>
      <c r="I17" s="15" t="s">
        <v>118</v>
      </c>
      <c r="J17" s="15" t="s">
        <v>118</v>
      </c>
    </row>
    <row r="18" spans="1:11" ht="17" customHeight="1" x14ac:dyDescent="0.2">
      <c r="A18" s="21" t="s">
        <v>121</v>
      </c>
      <c r="B18" s="22" t="s">
        <v>13</v>
      </c>
      <c r="C18" s="23" t="s">
        <v>122</v>
      </c>
      <c r="D18" s="15" t="s">
        <v>118</v>
      </c>
      <c r="E18" s="15" t="s">
        <v>118</v>
      </c>
      <c r="F18" s="15" t="s">
        <v>118</v>
      </c>
      <c r="G18" s="15" t="s">
        <v>123</v>
      </c>
      <c r="H18" s="15" t="s">
        <v>118</v>
      </c>
      <c r="I18" s="15" t="s">
        <v>118</v>
      </c>
      <c r="J18" s="15" t="s">
        <v>118</v>
      </c>
    </row>
    <row r="19" spans="1:11" ht="17" customHeight="1" x14ac:dyDescent="0.2">
      <c r="A19" s="24" t="s">
        <v>124</v>
      </c>
      <c r="B19" s="3" t="s">
        <v>13</v>
      </c>
      <c r="C19" s="25" t="s">
        <v>125</v>
      </c>
      <c r="D19" s="15" t="s">
        <v>118</v>
      </c>
      <c r="E19" s="15" t="s">
        <v>118</v>
      </c>
      <c r="F19" s="15" t="s">
        <v>118</v>
      </c>
      <c r="G19" s="15" t="s">
        <v>118</v>
      </c>
      <c r="H19" s="15" t="s">
        <v>118</v>
      </c>
      <c r="I19" s="15" t="s">
        <v>118</v>
      </c>
      <c r="J19" s="15" t="s">
        <v>118</v>
      </c>
    </row>
    <row r="20" spans="1:11" ht="17" customHeight="1" x14ac:dyDescent="0.2">
      <c r="A20" s="21" t="s">
        <v>126</v>
      </c>
      <c r="B20" s="22" t="s">
        <v>13</v>
      </c>
      <c r="C20" s="23" t="s">
        <v>127</v>
      </c>
      <c r="D20" s="15" t="s">
        <v>118</v>
      </c>
      <c r="E20" s="15" t="s">
        <v>118</v>
      </c>
      <c r="F20" s="15" t="s">
        <v>118</v>
      </c>
      <c r="G20" s="15" t="s">
        <v>118</v>
      </c>
      <c r="H20" s="15" t="s">
        <v>118</v>
      </c>
      <c r="I20" s="15" t="s">
        <v>118</v>
      </c>
      <c r="J20" s="15" t="s">
        <v>118</v>
      </c>
    </row>
    <row r="21" spans="1:11" ht="17" customHeight="1" x14ac:dyDescent="0.2">
      <c r="A21" s="24" t="s">
        <v>128</v>
      </c>
      <c r="B21" s="3" t="s">
        <v>13</v>
      </c>
      <c r="C21" s="25"/>
      <c r="D21" s="15" t="s">
        <v>118</v>
      </c>
      <c r="E21" s="15" t="s">
        <v>118</v>
      </c>
      <c r="F21" s="15" t="s">
        <v>118</v>
      </c>
      <c r="G21" s="15" t="s">
        <v>118</v>
      </c>
      <c r="H21" s="26"/>
      <c r="I21" s="26"/>
      <c r="J21" s="26"/>
    </row>
    <row r="22" spans="1:11" ht="17" customHeight="1" x14ac:dyDescent="0.2">
      <c r="A22" s="21" t="s">
        <v>129</v>
      </c>
      <c r="B22" s="22" t="s">
        <v>14</v>
      </c>
      <c r="C22" s="23"/>
      <c r="D22" s="15" t="s">
        <v>118</v>
      </c>
      <c r="E22" s="15" t="s">
        <v>118</v>
      </c>
      <c r="F22" s="15" t="s">
        <v>118</v>
      </c>
      <c r="G22" s="15" t="s">
        <v>118</v>
      </c>
      <c r="H22" s="15" t="s">
        <v>118</v>
      </c>
      <c r="I22" s="15" t="s">
        <v>118</v>
      </c>
      <c r="J22" s="15" t="s">
        <v>118</v>
      </c>
    </row>
    <row r="23" spans="1:11" ht="17" customHeight="1" x14ac:dyDescent="0.2">
      <c r="A23" s="24" t="s">
        <v>16</v>
      </c>
      <c r="B23" s="3" t="s">
        <v>16</v>
      </c>
      <c r="C23" s="25"/>
      <c r="D23" s="15" t="s">
        <v>118</v>
      </c>
      <c r="E23" s="15" t="s">
        <v>118</v>
      </c>
      <c r="F23" s="15" t="s">
        <v>118</v>
      </c>
      <c r="G23" s="15" t="s">
        <v>118</v>
      </c>
      <c r="H23" s="15" t="s">
        <v>118</v>
      </c>
      <c r="I23" s="15" t="s">
        <v>118</v>
      </c>
      <c r="J23" s="15" t="s">
        <v>118</v>
      </c>
    </row>
    <row r="24" spans="1:11" ht="17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7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7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7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mergeCells count="6">
    <mergeCell ref="A1:J1"/>
    <mergeCell ref="A6"/>
    <mergeCell ref="B3:J3"/>
    <mergeCell ref="A14:J14"/>
    <mergeCell ref="B4:J4"/>
    <mergeCell ref="A2:J2"/>
  </mergeCells>
  <conditionalFormatting sqref="D16:M200">
    <cfRule type="cellIs" dxfId="51" priority="1" stopIfTrue="1" operator="equal">
      <formula>"G"</formula>
    </cfRule>
    <cfRule type="cellIs" dxfId="50" priority="2" stopIfTrue="1" operator="equal">
      <formula>"AG"</formula>
    </cfRule>
    <cfRule type="cellIs" dxfId="49" priority="3" stopIfTrue="1" operator="equal">
      <formula>"A"</formula>
    </cfRule>
    <cfRule type="cellIs" dxfId="48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300-000000000000}">
      <formula1>"G,AG,A,R"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27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130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0"/>
      <c r="G3" s="70"/>
      <c r="H3" s="70"/>
      <c r="I3" s="70"/>
      <c r="J3" s="70"/>
      <c r="K3" s="71"/>
    </row>
    <row r="4" spans="1:13" ht="18" customHeight="1" x14ac:dyDescent="0.2">
      <c r="A4" s="17" t="s">
        <v>103</v>
      </c>
      <c r="B4" s="103">
        <v>8</v>
      </c>
      <c r="C4" s="70"/>
      <c r="D4" s="70"/>
      <c r="E4" s="70"/>
      <c r="F4" s="70"/>
      <c r="G4" s="70"/>
      <c r="H4" s="70"/>
      <c r="I4" s="70"/>
      <c r="J4" s="70"/>
      <c r="K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16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2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2</v>
      </c>
      <c r="F7" s="18">
        <f>SUM(B7:E7)</f>
        <v>20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16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16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4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4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36</v>
      </c>
      <c r="C12" s="64">
        <f>SUM(C7:C11)</f>
        <v>0</v>
      </c>
      <c r="D12" s="65">
        <f>SUM(D7:D11)</f>
        <v>2</v>
      </c>
      <c r="E12" s="66">
        <f>SUM(E7:E11)</f>
        <v>2</v>
      </c>
      <c r="F12" s="20">
        <f>SUM(F7:F11)</f>
        <v>40</v>
      </c>
    </row>
    <row r="13" spans="1:13" ht="8" customHeight="1" x14ac:dyDescent="0.2"/>
    <row r="14" spans="1:13" ht="22" customHeight="1" x14ac:dyDescent="0.2">
      <c r="A14" s="101" t="s">
        <v>131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132</v>
      </c>
      <c r="E15" s="68" t="s">
        <v>133</v>
      </c>
      <c r="F15" s="68" t="s">
        <v>134</v>
      </c>
      <c r="G15" s="68" t="s">
        <v>135</v>
      </c>
      <c r="H15" s="68" t="s">
        <v>136</v>
      </c>
      <c r="I15" s="68" t="s">
        <v>137</v>
      </c>
      <c r="J15" s="68" t="s">
        <v>114</v>
      </c>
      <c r="K15" s="68" t="s">
        <v>138</v>
      </c>
    </row>
    <row r="16" spans="1:13" ht="17" customHeight="1" x14ac:dyDescent="0.2">
      <c r="A16" s="21" t="s">
        <v>116</v>
      </c>
      <c r="B16" s="22" t="s">
        <v>13</v>
      </c>
      <c r="C16" s="23" t="s">
        <v>117</v>
      </c>
      <c r="D16" s="15" t="s">
        <v>118</v>
      </c>
      <c r="E16" s="15" t="s">
        <v>139</v>
      </c>
      <c r="F16" s="15" t="s">
        <v>118</v>
      </c>
      <c r="G16" s="15" t="s">
        <v>118</v>
      </c>
      <c r="H16" s="15" t="s">
        <v>139</v>
      </c>
      <c r="I16" s="15" t="s">
        <v>118</v>
      </c>
      <c r="J16" s="15" t="s">
        <v>118</v>
      </c>
      <c r="K16" s="15" t="s">
        <v>140</v>
      </c>
    </row>
    <row r="17" spans="1:12" ht="17" customHeight="1" x14ac:dyDescent="0.2">
      <c r="A17" s="24" t="s">
        <v>141</v>
      </c>
      <c r="B17" s="3" t="s">
        <v>13</v>
      </c>
      <c r="C17" s="25" t="s">
        <v>127</v>
      </c>
      <c r="D17" s="15" t="s">
        <v>118</v>
      </c>
      <c r="E17" s="15" t="s">
        <v>140</v>
      </c>
      <c r="F17" s="15" t="s">
        <v>118</v>
      </c>
      <c r="G17" s="15" t="s">
        <v>118</v>
      </c>
      <c r="H17" s="15" t="s">
        <v>118</v>
      </c>
      <c r="I17" s="15" t="s">
        <v>118</v>
      </c>
      <c r="J17" s="15" t="s">
        <v>118</v>
      </c>
      <c r="K17" s="15" t="s">
        <v>118</v>
      </c>
    </row>
    <row r="18" spans="1:12" ht="17" customHeight="1" x14ac:dyDescent="0.2">
      <c r="A18" s="21" t="s">
        <v>142</v>
      </c>
      <c r="B18" s="22" t="s">
        <v>14</v>
      </c>
      <c r="C18" s="23" t="s">
        <v>143</v>
      </c>
      <c r="D18" s="15" t="s">
        <v>118</v>
      </c>
      <c r="E18" s="15" t="s">
        <v>118</v>
      </c>
      <c r="F18" s="15" t="s">
        <v>118</v>
      </c>
      <c r="G18" s="15" t="s">
        <v>118</v>
      </c>
      <c r="H18" s="26"/>
      <c r="I18" s="26"/>
      <c r="J18" s="26"/>
      <c r="K18" s="26"/>
    </row>
    <row r="19" spans="1:12" ht="17" customHeight="1" x14ac:dyDescent="0.2">
      <c r="A19" s="24" t="s">
        <v>144</v>
      </c>
      <c r="B19" s="3" t="s">
        <v>13</v>
      </c>
      <c r="C19" s="25" t="s">
        <v>145</v>
      </c>
      <c r="D19" s="15" t="s">
        <v>118</v>
      </c>
      <c r="E19" s="15" t="s">
        <v>118</v>
      </c>
      <c r="F19" s="15" t="s">
        <v>118</v>
      </c>
      <c r="G19" s="15" t="s">
        <v>118</v>
      </c>
      <c r="H19" s="26"/>
      <c r="I19" s="26"/>
      <c r="J19" s="26"/>
      <c r="K19" s="26"/>
    </row>
    <row r="20" spans="1:12" ht="17" customHeight="1" x14ac:dyDescent="0.2">
      <c r="A20" s="21" t="s">
        <v>146</v>
      </c>
      <c r="B20" s="22" t="s">
        <v>14</v>
      </c>
      <c r="C20" s="23" t="s">
        <v>147</v>
      </c>
      <c r="D20" s="15" t="s">
        <v>118</v>
      </c>
      <c r="E20" s="15" t="s">
        <v>118</v>
      </c>
      <c r="F20" s="15" t="s">
        <v>118</v>
      </c>
      <c r="G20" s="15" t="s">
        <v>118</v>
      </c>
      <c r="H20" s="26"/>
      <c r="I20" s="26"/>
      <c r="J20" s="26"/>
      <c r="K20" s="26"/>
    </row>
    <row r="21" spans="1:12" ht="17" customHeight="1" x14ac:dyDescent="0.2">
      <c r="A21" s="24" t="s">
        <v>129</v>
      </c>
      <c r="B21" s="3" t="s">
        <v>14</v>
      </c>
      <c r="C21" s="25"/>
      <c r="D21" s="15" t="s">
        <v>118</v>
      </c>
      <c r="E21" s="15" t="s">
        <v>118</v>
      </c>
      <c r="F21" s="15" t="s">
        <v>118</v>
      </c>
      <c r="G21" s="15" t="s">
        <v>118</v>
      </c>
      <c r="H21" s="15" t="s">
        <v>118</v>
      </c>
      <c r="I21" s="15" t="s">
        <v>118</v>
      </c>
      <c r="J21" s="15" t="s">
        <v>118</v>
      </c>
      <c r="K21" s="15" t="s">
        <v>118</v>
      </c>
    </row>
    <row r="22" spans="1:12" ht="17" customHeight="1" x14ac:dyDescent="0.2">
      <c r="A22" s="21" t="s">
        <v>16</v>
      </c>
      <c r="B22" s="22" t="s">
        <v>16</v>
      </c>
      <c r="C22" s="23"/>
      <c r="D22" s="15" t="s">
        <v>118</v>
      </c>
      <c r="E22" s="15" t="s">
        <v>118</v>
      </c>
      <c r="F22" s="15" t="s">
        <v>118</v>
      </c>
      <c r="G22" s="15" t="s">
        <v>118</v>
      </c>
      <c r="H22" s="26"/>
      <c r="I22" s="26"/>
      <c r="J22" s="26"/>
      <c r="K22" s="26"/>
    </row>
    <row r="23" spans="1:12" ht="17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7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7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7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mergeCells count="6">
    <mergeCell ref="A6"/>
    <mergeCell ref="B4:K4"/>
    <mergeCell ref="A2:K2"/>
    <mergeCell ref="A14:K14"/>
    <mergeCell ref="A1:K1"/>
    <mergeCell ref="B3:K3"/>
  </mergeCells>
  <conditionalFormatting sqref="D16:M200">
    <cfRule type="cellIs" dxfId="47" priority="1" stopIfTrue="1" operator="equal">
      <formula>"G"</formula>
    </cfRule>
    <cfRule type="cellIs" dxfId="46" priority="2" stopIfTrue="1" operator="equal">
      <formula>"AG"</formula>
    </cfRule>
    <cfRule type="cellIs" dxfId="45" priority="3" stopIfTrue="1" operator="equal">
      <formula>"A"</formula>
    </cfRule>
    <cfRule type="cellIs" dxfId="44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400-000000000000}">
      <formula1>"G,AG,A,R"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M28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148</v>
      </c>
      <c r="B1" s="76"/>
      <c r="C1" s="76"/>
      <c r="D1" s="76"/>
      <c r="E1" s="76"/>
      <c r="F1" s="76"/>
      <c r="G1" s="27"/>
      <c r="H1" s="27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1"/>
    </row>
    <row r="4" spans="1:13" ht="18" customHeight="1" x14ac:dyDescent="0.2">
      <c r="A4" s="17" t="s">
        <v>103</v>
      </c>
      <c r="B4" s="103">
        <v>2</v>
      </c>
      <c r="C4" s="70"/>
      <c r="D4" s="70"/>
      <c r="E4" s="70"/>
      <c r="F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6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6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7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1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8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2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2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15</v>
      </c>
      <c r="C12" s="64">
        <f>SUM(C7:C11)</f>
        <v>1</v>
      </c>
      <c r="D12" s="65">
        <f>SUM(D7:D11)</f>
        <v>0</v>
      </c>
      <c r="E12" s="66">
        <f>SUM(E7:E11)</f>
        <v>0</v>
      </c>
      <c r="F12" s="20">
        <f>SUM(F7:F11)</f>
        <v>16</v>
      </c>
    </row>
    <row r="13" spans="1:13" ht="8" customHeight="1" x14ac:dyDescent="0.2"/>
    <row r="14" spans="1:13" ht="22" customHeight="1" x14ac:dyDescent="0.2">
      <c r="A14" s="101" t="s">
        <v>149</v>
      </c>
      <c r="B14" s="102"/>
      <c r="C14" s="102"/>
      <c r="D14" s="102"/>
      <c r="E14" s="102"/>
      <c r="F14" s="67"/>
      <c r="G14" s="67"/>
      <c r="H14" s="67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19</v>
      </c>
      <c r="E15" s="68" t="s">
        <v>150</v>
      </c>
    </row>
    <row r="16" spans="1:13" ht="17" customHeight="1" x14ac:dyDescent="0.2">
      <c r="A16" s="21" t="s">
        <v>116</v>
      </c>
      <c r="B16" s="22" t="s">
        <v>13</v>
      </c>
      <c r="C16" s="23" t="s">
        <v>117</v>
      </c>
      <c r="D16" s="15" t="s">
        <v>118</v>
      </c>
      <c r="E16" s="15" t="s">
        <v>118</v>
      </c>
    </row>
    <row r="17" spans="1:6" ht="17" customHeight="1" x14ac:dyDescent="0.2">
      <c r="A17" s="24" t="s">
        <v>151</v>
      </c>
      <c r="B17" s="3" t="s">
        <v>14</v>
      </c>
      <c r="C17" s="25" t="s">
        <v>152</v>
      </c>
      <c r="D17" s="15" t="s">
        <v>118</v>
      </c>
      <c r="E17" s="15" t="s">
        <v>118</v>
      </c>
    </row>
    <row r="18" spans="1:6" ht="17" customHeight="1" x14ac:dyDescent="0.2">
      <c r="A18" s="21" t="s">
        <v>153</v>
      </c>
      <c r="B18" s="22" t="s">
        <v>14</v>
      </c>
      <c r="C18" s="23" t="s">
        <v>154</v>
      </c>
      <c r="D18" s="15" t="s">
        <v>118</v>
      </c>
      <c r="E18" s="15" t="s">
        <v>118</v>
      </c>
    </row>
    <row r="19" spans="1:6" ht="17" customHeight="1" x14ac:dyDescent="0.2">
      <c r="A19" s="24" t="s">
        <v>155</v>
      </c>
      <c r="B19" s="3" t="s">
        <v>14</v>
      </c>
      <c r="C19" s="25" t="s">
        <v>156</v>
      </c>
      <c r="D19" s="15" t="s">
        <v>118</v>
      </c>
      <c r="E19" s="15" t="s">
        <v>118</v>
      </c>
    </row>
    <row r="20" spans="1:6" ht="17" customHeight="1" x14ac:dyDescent="0.2">
      <c r="A20" s="21" t="s">
        <v>157</v>
      </c>
      <c r="B20" s="22" t="s">
        <v>14</v>
      </c>
      <c r="C20" s="23" t="s">
        <v>158</v>
      </c>
      <c r="D20" s="15" t="s">
        <v>123</v>
      </c>
      <c r="E20" s="15" t="s">
        <v>118</v>
      </c>
    </row>
    <row r="21" spans="1:6" ht="17" customHeight="1" x14ac:dyDescent="0.2">
      <c r="A21" s="24" t="s">
        <v>159</v>
      </c>
      <c r="B21" s="3" t="s">
        <v>13</v>
      </c>
      <c r="C21" s="25" t="s">
        <v>160</v>
      </c>
      <c r="D21" s="15" t="s">
        <v>118</v>
      </c>
      <c r="E21" s="15" t="s">
        <v>118</v>
      </c>
    </row>
    <row r="22" spans="1:6" ht="17" customHeight="1" x14ac:dyDescent="0.2">
      <c r="A22" s="21" t="s">
        <v>129</v>
      </c>
      <c r="B22" s="22" t="s">
        <v>13</v>
      </c>
      <c r="C22" s="23"/>
      <c r="D22" s="15" t="s">
        <v>118</v>
      </c>
      <c r="E22" s="15" t="s">
        <v>118</v>
      </c>
    </row>
    <row r="23" spans="1:6" ht="17" customHeight="1" x14ac:dyDescent="0.2">
      <c r="A23" s="24" t="s">
        <v>16</v>
      </c>
      <c r="B23" s="3" t="s">
        <v>16</v>
      </c>
      <c r="C23" s="25"/>
      <c r="D23" s="15" t="s">
        <v>118</v>
      </c>
      <c r="E23" s="15" t="s">
        <v>118</v>
      </c>
    </row>
    <row r="24" spans="1:6" ht="17" customHeight="1" x14ac:dyDescent="0.2">
      <c r="A24" s="2"/>
      <c r="B24" s="2"/>
      <c r="C24" s="2"/>
      <c r="D24" s="2"/>
      <c r="E24" s="2"/>
      <c r="F24" s="2"/>
    </row>
    <row r="25" spans="1:6" ht="17" customHeight="1" x14ac:dyDescent="0.2">
      <c r="A25" s="2"/>
      <c r="B25" s="2"/>
      <c r="C25" s="2"/>
      <c r="D25" s="2"/>
      <c r="E25" s="2"/>
      <c r="F25" s="2"/>
    </row>
    <row r="26" spans="1:6" ht="17" customHeight="1" x14ac:dyDescent="0.2">
      <c r="A26" s="2"/>
      <c r="B26" s="2"/>
      <c r="C26" s="2"/>
      <c r="D26" s="2"/>
      <c r="E26" s="2"/>
      <c r="F26" s="2"/>
    </row>
    <row r="27" spans="1:6" ht="17" customHeight="1" x14ac:dyDescent="0.2">
      <c r="A27" s="2"/>
      <c r="B27" s="2"/>
      <c r="C27" s="2"/>
      <c r="D27" s="2"/>
      <c r="E27" s="2"/>
      <c r="F27" s="2"/>
    </row>
    <row r="28" spans="1:6" ht="17" customHeight="1" x14ac:dyDescent="0.2">
      <c r="A28" s="2"/>
      <c r="B28" s="2"/>
      <c r="C28" s="2"/>
      <c r="D28" s="2"/>
      <c r="E28" s="2"/>
      <c r="F28" s="2"/>
    </row>
  </sheetData>
  <mergeCells count="6">
    <mergeCell ref="A14:E14"/>
    <mergeCell ref="B4:F4"/>
    <mergeCell ref="A2:F2"/>
    <mergeCell ref="A6"/>
    <mergeCell ref="A1:F1"/>
    <mergeCell ref="B3:F3"/>
  </mergeCells>
  <conditionalFormatting sqref="D16:M200">
    <cfRule type="cellIs" dxfId="43" priority="1" stopIfTrue="1" operator="equal">
      <formula>"G"</formula>
    </cfRule>
    <cfRule type="cellIs" dxfId="42" priority="2" stopIfTrue="1" operator="equal">
      <formula>"AG"</formula>
    </cfRule>
    <cfRule type="cellIs" dxfId="41" priority="3" stopIfTrue="1" operator="equal">
      <formula>"A"</formula>
    </cfRule>
    <cfRule type="cellIs" dxfId="40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500-000000000000}">
      <formula1>"G,AG,A,R"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M24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161</v>
      </c>
      <c r="B1" s="76"/>
      <c r="C1" s="76"/>
      <c r="D1" s="76"/>
      <c r="E1" s="76"/>
      <c r="F1" s="76"/>
      <c r="G1" s="27"/>
      <c r="H1" s="27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</row>
    <row r="3" spans="1:13" ht="18" customHeight="1" x14ac:dyDescent="0.2">
      <c r="A3" s="17" t="s">
        <v>102</v>
      </c>
      <c r="B3" s="100" t="s">
        <v>92</v>
      </c>
      <c r="C3" s="70"/>
      <c r="D3" s="70"/>
      <c r="E3" s="70"/>
      <c r="F3" s="71"/>
    </row>
    <row r="4" spans="1:13" ht="18" customHeight="1" x14ac:dyDescent="0.2">
      <c r="A4" s="17" t="s">
        <v>103</v>
      </c>
      <c r="B4" s="103">
        <v>2</v>
      </c>
      <c r="C4" s="70"/>
      <c r="D4" s="70"/>
      <c r="E4" s="70"/>
      <c r="F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6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6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0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0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2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2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8</v>
      </c>
      <c r="C12" s="64">
        <f>SUM(C7:C11)</f>
        <v>0</v>
      </c>
      <c r="D12" s="65">
        <f>SUM(D7:D11)</f>
        <v>0</v>
      </c>
      <c r="E12" s="66">
        <f>SUM(E7:E11)</f>
        <v>0</v>
      </c>
      <c r="F12" s="20">
        <f>SUM(F7:F11)</f>
        <v>8</v>
      </c>
    </row>
    <row r="13" spans="1:13" ht="8" customHeight="1" x14ac:dyDescent="0.2"/>
    <row r="14" spans="1:13" ht="22" customHeight="1" x14ac:dyDescent="0.2">
      <c r="A14" s="101" t="s">
        <v>149</v>
      </c>
      <c r="B14" s="102"/>
      <c r="C14" s="102"/>
      <c r="D14" s="102"/>
      <c r="E14" s="102"/>
      <c r="F14" s="67"/>
      <c r="G14" s="67"/>
      <c r="H14" s="67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162</v>
      </c>
      <c r="E15" s="68" t="s">
        <v>163</v>
      </c>
    </row>
    <row r="16" spans="1:13" ht="17" customHeight="1" x14ac:dyDescent="0.2">
      <c r="A16" s="21" t="s">
        <v>116</v>
      </c>
      <c r="B16" s="22" t="s">
        <v>13</v>
      </c>
      <c r="C16" s="23" t="s">
        <v>117</v>
      </c>
      <c r="D16" s="15" t="s">
        <v>118</v>
      </c>
      <c r="E16" s="15" t="s">
        <v>118</v>
      </c>
    </row>
    <row r="17" spans="1:6" ht="17" customHeight="1" x14ac:dyDescent="0.2">
      <c r="A17" s="24" t="s">
        <v>157</v>
      </c>
      <c r="B17" s="3" t="s">
        <v>13</v>
      </c>
      <c r="C17" s="25" t="s">
        <v>164</v>
      </c>
      <c r="D17" s="15" t="s">
        <v>118</v>
      </c>
      <c r="E17" s="15" t="s">
        <v>118</v>
      </c>
    </row>
    <row r="18" spans="1:6" ht="17" customHeight="1" x14ac:dyDescent="0.2">
      <c r="A18" s="21" t="s">
        <v>159</v>
      </c>
      <c r="B18" s="22" t="s">
        <v>13</v>
      </c>
      <c r="C18" s="23" t="s">
        <v>165</v>
      </c>
      <c r="D18" s="15" t="s">
        <v>118</v>
      </c>
      <c r="E18" s="15" t="s">
        <v>118</v>
      </c>
    </row>
    <row r="19" spans="1:6" ht="17" customHeight="1" x14ac:dyDescent="0.2">
      <c r="A19" s="24" t="s">
        <v>16</v>
      </c>
      <c r="B19" s="3" t="s">
        <v>16</v>
      </c>
      <c r="C19" s="25"/>
      <c r="D19" s="15" t="s">
        <v>118</v>
      </c>
      <c r="E19" s="15" t="s">
        <v>118</v>
      </c>
    </row>
    <row r="20" spans="1:6" ht="17" customHeight="1" x14ac:dyDescent="0.2">
      <c r="A20" s="2"/>
      <c r="B20" s="2"/>
      <c r="C20" s="2"/>
      <c r="D20" s="2"/>
      <c r="E20" s="2"/>
      <c r="F20" s="2"/>
    </row>
    <row r="21" spans="1:6" ht="17" customHeight="1" x14ac:dyDescent="0.2">
      <c r="A21" s="2"/>
      <c r="B21" s="2"/>
      <c r="C21" s="2"/>
      <c r="D21" s="2"/>
      <c r="E21" s="2"/>
      <c r="F21" s="2"/>
    </row>
    <row r="22" spans="1:6" ht="17" customHeight="1" x14ac:dyDescent="0.2">
      <c r="A22" s="2"/>
      <c r="B22" s="2"/>
      <c r="C22" s="2"/>
      <c r="D22" s="2"/>
      <c r="E22" s="2"/>
      <c r="F22" s="2"/>
    </row>
    <row r="23" spans="1:6" ht="17" customHeight="1" x14ac:dyDescent="0.2">
      <c r="A23" s="2"/>
      <c r="B23" s="2"/>
      <c r="C23" s="2"/>
      <c r="D23" s="2"/>
      <c r="E23" s="2"/>
      <c r="F23" s="2"/>
    </row>
    <row r="24" spans="1:6" ht="17" customHeight="1" x14ac:dyDescent="0.2">
      <c r="A24" s="2"/>
      <c r="B24" s="2"/>
      <c r="C24" s="2"/>
      <c r="D24" s="2"/>
      <c r="E24" s="2"/>
      <c r="F24" s="2"/>
    </row>
  </sheetData>
  <mergeCells count="6">
    <mergeCell ref="A14:E14"/>
    <mergeCell ref="B4:F4"/>
    <mergeCell ref="A2:F2"/>
    <mergeCell ref="A6"/>
    <mergeCell ref="A1:F1"/>
    <mergeCell ref="B3:F3"/>
  </mergeCells>
  <conditionalFormatting sqref="D16:M200">
    <cfRule type="cellIs" dxfId="39" priority="1" stopIfTrue="1" operator="equal">
      <formula>"G"</formula>
    </cfRule>
    <cfRule type="cellIs" dxfId="38" priority="2" stopIfTrue="1" operator="equal">
      <formula>"AG"</formula>
    </cfRule>
    <cfRule type="cellIs" dxfId="37" priority="3" stopIfTrue="1" operator="equal">
      <formula>"A"</formula>
    </cfRule>
    <cfRule type="cellIs" dxfId="36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600-000000000000}">
      <formula1>"G,AG,A,R"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25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166</v>
      </c>
      <c r="B1" s="76"/>
      <c r="C1" s="76"/>
      <c r="D1" s="76"/>
      <c r="E1" s="76"/>
      <c r="F1" s="76"/>
      <c r="G1" s="27"/>
      <c r="H1" s="27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</row>
    <row r="3" spans="1:13" ht="18" customHeight="1" x14ac:dyDescent="0.2">
      <c r="A3" s="17" t="s">
        <v>102</v>
      </c>
      <c r="B3" s="100" t="s">
        <v>92</v>
      </c>
      <c r="C3" s="70"/>
      <c r="D3" s="70"/>
      <c r="E3" s="70"/>
      <c r="F3" s="71"/>
    </row>
    <row r="4" spans="1:13" ht="18" customHeight="1" x14ac:dyDescent="0.2">
      <c r="A4" s="17" t="s">
        <v>103</v>
      </c>
      <c r="B4" s="103">
        <v>2</v>
      </c>
      <c r="C4" s="70"/>
      <c r="D4" s="70"/>
      <c r="E4" s="70"/>
      <c r="F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10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10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0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0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0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0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10</v>
      </c>
      <c r="C12" s="64">
        <f>SUM(C7:C11)</f>
        <v>0</v>
      </c>
      <c r="D12" s="65">
        <f>SUM(D7:D11)</f>
        <v>0</v>
      </c>
      <c r="E12" s="66">
        <f>SUM(E7:E11)</f>
        <v>0</v>
      </c>
      <c r="F12" s="20">
        <f>SUM(F7:F11)</f>
        <v>10</v>
      </c>
    </row>
    <row r="13" spans="1:13" ht="8" customHeight="1" x14ac:dyDescent="0.2"/>
    <row r="14" spans="1:13" ht="22" customHeight="1" x14ac:dyDescent="0.2">
      <c r="A14" s="101" t="s">
        <v>149</v>
      </c>
      <c r="B14" s="102"/>
      <c r="C14" s="102"/>
      <c r="D14" s="102"/>
      <c r="E14" s="102"/>
      <c r="F14" s="67"/>
      <c r="G14" s="67"/>
      <c r="H14" s="67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167</v>
      </c>
      <c r="E15" s="68" t="s">
        <v>168</v>
      </c>
    </row>
    <row r="16" spans="1:13" ht="17" customHeight="1" x14ac:dyDescent="0.2">
      <c r="A16" s="21" t="s">
        <v>169</v>
      </c>
      <c r="B16" s="22" t="s">
        <v>13</v>
      </c>
      <c r="C16" s="23" t="s">
        <v>170</v>
      </c>
      <c r="D16" s="15" t="s">
        <v>118</v>
      </c>
      <c r="E16" s="15" t="s">
        <v>118</v>
      </c>
    </row>
    <row r="17" spans="1:6" ht="17" customHeight="1" x14ac:dyDescent="0.2">
      <c r="A17" s="24" t="s">
        <v>171</v>
      </c>
      <c r="B17" s="3" t="s">
        <v>13</v>
      </c>
      <c r="C17" s="25" t="s">
        <v>172</v>
      </c>
      <c r="D17" s="15" t="s">
        <v>118</v>
      </c>
      <c r="E17" s="15" t="s">
        <v>118</v>
      </c>
    </row>
    <row r="18" spans="1:6" ht="17" customHeight="1" x14ac:dyDescent="0.2">
      <c r="A18" s="21" t="s">
        <v>173</v>
      </c>
      <c r="B18" s="22" t="s">
        <v>13</v>
      </c>
      <c r="C18" s="23" t="s">
        <v>174</v>
      </c>
      <c r="D18" s="15" t="s">
        <v>118</v>
      </c>
      <c r="E18" s="15" t="s">
        <v>118</v>
      </c>
    </row>
    <row r="19" spans="1:6" ht="17" customHeight="1" x14ac:dyDescent="0.2">
      <c r="A19" s="24" t="s">
        <v>175</v>
      </c>
      <c r="B19" s="3" t="s">
        <v>13</v>
      </c>
      <c r="C19" s="25" t="s">
        <v>143</v>
      </c>
      <c r="D19" s="15" t="s">
        <v>118</v>
      </c>
      <c r="E19" s="15" t="s">
        <v>118</v>
      </c>
    </row>
    <row r="20" spans="1:6" ht="17" customHeight="1" x14ac:dyDescent="0.2">
      <c r="A20" s="21" t="s">
        <v>176</v>
      </c>
      <c r="B20" s="22" t="s">
        <v>13</v>
      </c>
      <c r="C20" s="23" t="s">
        <v>177</v>
      </c>
      <c r="D20" s="15" t="s">
        <v>118</v>
      </c>
      <c r="E20" s="15" t="s">
        <v>118</v>
      </c>
    </row>
    <row r="21" spans="1:6" ht="17" customHeight="1" x14ac:dyDescent="0.2">
      <c r="A21" s="2"/>
      <c r="B21" s="2"/>
      <c r="C21" s="2"/>
      <c r="D21" s="2"/>
      <c r="E21" s="2"/>
      <c r="F21" s="2"/>
    </row>
    <row r="22" spans="1:6" ht="17" customHeight="1" x14ac:dyDescent="0.2">
      <c r="A22" s="2"/>
      <c r="B22" s="2"/>
      <c r="C22" s="2"/>
      <c r="D22" s="2"/>
      <c r="E22" s="2"/>
      <c r="F22" s="2"/>
    </row>
    <row r="23" spans="1:6" ht="17" customHeight="1" x14ac:dyDescent="0.2">
      <c r="A23" s="2"/>
      <c r="B23" s="2"/>
      <c r="C23" s="2"/>
      <c r="D23" s="2"/>
      <c r="E23" s="2"/>
      <c r="F23" s="2"/>
    </row>
    <row r="24" spans="1:6" ht="17" customHeight="1" x14ac:dyDescent="0.2">
      <c r="A24" s="2"/>
      <c r="B24" s="2"/>
      <c r="C24" s="2"/>
      <c r="D24" s="2"/>
      <c r="E24" s="2"/>
      <c r="F24" s="2"/>
    </row>
    <row r="25" spans="1:6" ht="17" customHeight="1" x14ac:dyDescent="0.2">
      <c r="A25" s="2"/>
      <c r="B25" s="2"/>
      <c r="C25" s="2"/>
      <c r="D25" s="2"/>
      <c r="E25" s="2"/>
      <c r="F25" s="2"/>
    </row>
  </sheetData>
  <mergeCells count="6">
    <mergeCell ref="A14:E14"/>
    <mergeCell ref="B4:F4"/>
    <mergeCell ref="A2:F2"/>
    <mergeCell ref="A6"/>
    <mergeCell ref="A1:F1"/>
    <mergeCell ref="B3:F3"/>
  </mergeCells>
  <conditionalFormatting sqref="D16:M200">
    <cfRule type="cellIs" dxfId="35" priority="1" stopIfTrue="1" operator="equal">
      <formula>"G"</formula>
    </cfRule>
    <cfRule type="cellIs" dxfId="34" priority="2" stopIfTrue="1" operator="equal">
      <formula>"AG"</formula>
    </cfRule>
    <cfRule type="cellIs" dxfId="33" priority="3" stopIfTrue="1" operator="equal">
      <formula>"A"</formula>
    </cfRule>
    <cfRule type="cellIs" dxfId="32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700-000000000000}">
      <formula1>"G,AG,A,R"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M27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178</v>
      </c>
      <c r="B1" s="76"/>
      <c r="C1" s="76"/>
      <c r="D1" s="76"/>
      <c r="E1" s="76"/>
      <c r="F1" s="76"/>
      <c r="G1" s="76"/>
      <c r="H1" s="76"/>
      <c r="I1" s="76"/>
      <c r="J1" s="76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  <c r="I2" s="81"/>
      <c r="J2" s="81"/>
    </row>
    <row r="3" spans="1:13" ht="18" customHeight="1" x14ac:dyDescent="0.2">
      <c r="A3" s="17" t="s">
        <v>102</v>
      </c>
      <c r="B3" s="100" t="s">
        <v>92</v>
      </c>
      <c r="C3" s="70"/>
      <c r="D3" s="70"/>
      <c r="E3" s="70"/>
      <c r="F3" s="70"/>
      <c r="G3" s="70"/>
      <c r="H3" s="70"/>
      <c r="I3" s="70"/>
      <c r="J3" s="71"/>
    </row>
    <row r="4" spans="1:13" ht="18" customHeight="1" x14ac:dyDescent="0.2">
      <c r="A4" s="17" t="s">
        <v>103</v>
      </c>
      <c r="B4" s="103">
        <v>7</v>
      </c>
      <c r="C4" s="70"/>
      <c r="D4" s="70"/>
      <c r="E4" s="70"/>
      <c r="F4" s="70"/>
      <c r="G4" s="70"/>
      <c r="H4" s="70"/>
      <c r="I4" s="70"/>
      <c r="J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23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10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2</v>
      </c>
      <c r="F7" s="18">
        <f>SUM(B7:E7)</f>
        <v>35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0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0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0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0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23</v>
      </c>
      <c r="C12" s="64">
        <f>SUM(C7:C11)</f>
        <v>10</v>
      </c>
      <c r="D12" s="65">
        <f>SUM(D7:D11)</f>
        <v>0</v>
      </c>
      <c r="E12" s="66">
        <f>SUM(E7:E11)</f>
        <v>2</v>
      </c>
      <c r="F12" s="20">
        <f>SUM(F7:F11)</f>
        <v>35</v>
      </c>
    </row>
    <row r="13" spans="1:13" ht="8" customHeight="1" x14ac:dyDescent="0.2"/>
    <row r="14" spans="1:13" ht="22" customHeight="1" x14ac:dyDescent="0.2">
      <c r="A14" s="101" t="s">
        <v>105</v>
      </c>
      <c r="B14" s="102"/>
      <c r="C14" s="102"/>
      <c r="D14" s="102"/>
      <c r="E14" s="102"/>
      <c r="F14" s="102"/>
      <c r="G14" s="102"/>
      <c r="H14" s="102"/>
      <c r="I14" s="102"/>
      <c r="J14" s="102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179</v>
      </c>
      <c r="E15" s="68" t="s">
        <v>180</v>
      </c>
      <c r="F15" s="68" t="s">
        <v>181</v>
      </c>
      <c r="G15" s="68" t="s">
        <v>182</v>
      </c>
      <c r="H15" s="68" t="s">
        <v>183</v>
      </c>
      <c r="I15" s="68" t="s">
        <v>184</v>
      </c>
      <c r="J15" s="68" t="s">
        <v>185</v>
      </c>
    </row>
    <row r="16" spans="1:13" ht="17" customHeight="1" x14ac:dyDescent="0.2">
      <c r="A16" s="21" t="s">
        <v>186</v>
      </c>
      <c r="B16" s="22" t="s">
        <v>13</v>
      </c>
      <c r="C16" s="23" t="s">
        <v>187</v>
      </c>
      <c r="D16" s="15" t="s">
        <v>123</v>
      </c>
      <c r="E16" s="15" t="s">
        <v>118</v>
      </c>
      <c r="F16" s="15" t="s">
        <v>118</v>
      </c>
      <c r="G16" s="15" t="s">
        <v>118</v>
      </c>
      <c r="H16" s="26"/>
      <c r="I16" s="26"/>
      <c r="J16" s="26"/>
    </row>
    <row r="17" spans="1:11" ht="17" customHeight="1" x14ac:dyDescent="0.2">
      <c r="A17" s="24" t="s">
        <v>188</v>
      </c>
      <c r="B17" s="3" t="s">
        <v>13</v>
      </c>
      <c r="C17" s="25" t="s">
        <v>187</v>
      </c>
      <c r="D17" s="15" t="s">
        <v>118</v>
      </c>
      <c r="E17" s="15" t="s">
        <v>118</v>
      </c>
      <c r="F17" s="15" t="s">
        <v>118</v>
      </c>
      <c r="G17" s="15" t="s">
        <v>118</v>
      </c>
      <c r="H17" s="15" t="s">
        <v>118</v>
      </c>
      <c r="I17" s="26"/>
      <c r="J17" s="26"/>
    </row>
    <row r="18" spans="1:11" ht="17" customHeight="1" x14ac:dyDescent="0.2">
      <c r="A18" s="21" t="s">
        <v>189</v>
      </c>
      <c r="B18" s="22" t="s">
        <v>13</v>
      </c>
      <c r="C18" s="23" t="s">
        <v>190</v>
      </c>
      <c r="D18" s="15" t="s">
        <v>118</v>
      </c>
      <c r="E18" s="15" t="s">
        <v>139</v>
      </c>
      <c r="F18" s="15" t="s">
        <v>118</v>
      </c>
      <c r="G18" s="15" t="s">
        <v>123</v>
      </c>
      <c r="H18" s="15" t="s">
        <v>118</v>
      </c>
      <c r="I18" s="15" t="s">
        <v>118</v>
      </c>
      <c r="J18" s="15" t="s">
        <v>139</v>
      </c>
    </row>
    <row r="19" spans="1:11" ht="17" customHeight="1" x14ac:dyDescent="0.2">
      <c r="A19" s="24" t="s">
        <v>191</v>
      </c>
      <c r="B19" s="3" t="s">
        <v>13</v>
      </c>
      <c r="C19" s="25" t="s">
        <v>192</v>
      </c>
      <c r="D19" s="15" t="s">
        <v>118</v>
      </c>
      <c r="E19" s="15" t="s">
        <v>118</v>
      </c>
      <c r="F19" s="15" t="s">
        <v>118</v>
      </c>
      <c r="G19" s="15" t="s">
        <v>123</v>
      </c>
      <c r="H19" s="15" t="s">
        <v>123</v>
      </c>
      <c r="I19" s="15" t="s">
        <v>118</v>
      </c>
      <c r="J19" s="26"/>
    </row>
    <row r="20" spans="1:11" ht="17" customHeight="1" x14ac:dyDescent="0.2">
      <c r="A20" s="21" t="s">
        <v>193</v>
      </c>
      <c r="B20" s="22" t="s">
        <v>13</v>
      </c>
      <c r="C20" s="23" t="s">
        <v>194</v>
      </c>
      <c r="D20" s="15" t="s">
        <v>118</v>
      </c>
      <c r="E20" s="15" t="s">
        <v>118</v>
      </c>
      <c r="F20" s="15" t="s">
        <v>118</v>
      </c>
      <c r="G20" s="15" t="s">
        <v>118</v>
      </c>
      <c r="H20" s="15" t="s">
        <v>123</v>
      </c>
      <c r="I20" s="26"/>
      <c r="J20" s="26"/>
    </row>
    <row r="21" spans="1:11" ht="17" customHeight="1" x14ac:dyDescent="0.2">
      <c r="A21" s="24" t="s">
        <v>195</v>
      </c>
      <c r="B21" s="3" t="s">
        <v>13</v>
      </c>
      <c r="C21" s="25" t="s">
        <v>196</v>
      </c>
      <c r="D21" s="15" t="s">
        <v>118</v>
      </c>
      <c r="E21" s="15" t="s">
        <v>123</v>
      </c>
      <c r="F21" s="15" t="s">
        <v>123</v>
      </c>
      <c r="G21" s="15" t="s">
        <v>123</v>
      </c>
      <c r="H21" s="26"/>
      <c r="I21" s="26"/>
      <c r="J21" s="26"/>
    </row>
    <row r="22" spans="1:11" ht="17" customHeight="1" x14ac:dyDescent="0.2">
      <c r="A22" s="21" t="s">
        <v>197</v>
      </c>
      <c r="B22" s="22" t="s">
        <v>13</v>
      </c>
      <c r="C22" s="23" t="s">
        <v>196</v>
      </c>
      <c r="D22" s="15" t="s">
        <v>118</v>
      </c>
      <c r="E22" s="15" t="s">
        <v>118</v>
      </c>
      <c r="F22" s="15" t="s">
        <v>123</v>
      </c>
      <c r="G22" s="15" t="s">
        <v>123</v>
      </c>
      <c r="H22" s="26"/>
      <c r="I22" s="26"/>
      <c r="J22" s="26"/>
    </row>
    <row r="23" spans="1:11" ht="17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7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7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7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6">
    <mergeCell ref="A1:J1"/>
    <mergeCell ref="A6"/>
    <mergeCell ref="B3:J3"/>
    <mergeCell ref="A14:J14"/>
    <mergeCell ref="B4:J4"/>
    <mergeCell ref="A2:J2"/>
  </mergeCells>
  <conditionalFormatting sqref="D16:M200">
    <cfRule type="cellIs" dxfId="31" priority="1" stopIfTrue="1" operator="equal">
      <formula>"G"</formula>
    </cfRule>
    <cfRule type="cellIs" dxfId="30" priority="2" stopIfTrue="1" operator="equal">
      <formula>"AG"</formula>
    </cfRule>
    <cfRule type="cellIs" dxfId="29" priority="3" stopIfTrue="1" operator="equal">
      <formula>"A"</formula>
    </cfRule>
    <cfRule type="cellIs" dxfId="28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800-000000000000}">
      <formula1>"G,AG,A,R"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M26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198</v>
      </c>
      <c r="B1" s="76"/>
      <c r="C1" s="76"/>
      <c r="D1" s="76"/>
      <c r="E1" s="76"/>
      <c r="F1" s="76"/>
      <c r="G1" s="76"/>
      <c r="H1" s="76"/>
      <c r="I1" s="76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  <c r="I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0"/>
      <c r="G3" s="70"/>
      <c r="H3" s="70"/>
      <c r="I3" s="71"/>
    </row>
    <row r="4" spans="1:13" ht="18" customHeight="1" x14ac:dyDescent="0.2">
      <c r="A4" s="17" t="s">
        <v>103</v>
      </c>
      <c r="B4" s="103">
        <v>6</v>
      </c>
      <c r="C4" s="70"/>
      <c r="D4" s="70"/>
      <c r="E4" s="70"/>
      <c r="F4" s="70"/>
      <c r="G4" s="70"/>
      <c r="H4" s="70"/>
      <c r="I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27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1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1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1</v>
      </c>
      <c r="F7" s="18">
        <f>SUM(B7:E7)</f>
        <v>30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0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0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6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6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33</v>
      </c>
      <c r="C12" s="64">
        <f>SUM(C7:C11)</f>
        <v>1</v>
      </c>
      <c r="D12" s="65">
        <f>SUM(D7:D11)</f>
        <v>1</v>
      </c>
      <c r="E12" s="66">
        <f>SUM(E7:E11)</f>
        <v>1</v>
      </c>
      <c r="F12" s="20">
        <f>SUM(F7:F11)</f>
        <v>36</v>
      </c>
    </row>
    <row r="13" spans="1:13" ht="8" customHeight="1" x14ac:dyDescent="0.2"/>
    <row r="14" spans="1:13" ht="22" customHeight="1" x14ac:dyDescent="0.2">
      <c r="A14" s="101" t="s">
        <v>199</v>
      </c>
      <c r="B14" s="102"/>
      <c r="C14" s="102"/>
      <c r="D14" s="102"/>
      <c r="E14" s="102"/>
      <c r="F14" s="102"/>
      <c r="G14" s="102"/>
      <c r="H14" s="102"/>
      <c r="I14" s="102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200</v>
      </c>
      <c r="E15" s="68" t="s">
        <v>201</v>
      </c>
      <c r="F15" s="68" t="s">
        <v>202</v>
      </c>
      <c r="G15" s="68" t="s">
        <v>203</v>
      </c>
      <c r="H15" s="68" t="s">
        <v>204</v>
      </c>
      <c r="I15" s="68" t="s">
        <v>205</v>
      </c>
    </row>
    <row r="16" spans="1:13" ht="17" customHeight="1" x14ac:dyDescent="0.2">
      <c r="A16" s="21" t="s">
        <v>189</v>
      </c>
      <c r="B16" s="22" t="s">
        <v>13</v>
      </c>
      <c r="C16" s="23" t="s">
        <v>206</v>
      </c>
      <c r="D16" s="15" t="s">
        <v>118</v>
      </c>
      <c r="E16" s="15" t="s">
        <v>118</v>
      </c>
      <c r="F16" s="15" t="s">
        <v>118</v>
      </c>
      <c r="G16" s="15" t="s">
        <v>118</v>
      </c>
      <c r="H16" s="15" t="s">
        <v>118</v>
      </c>
      <c r="I16" s="15" t="s">
        <v>118</v>
      </c>
    </row>
    <row r="17" spans="1:10" ht="17" customHeight="1" x14ac:dyDescent="0.2">
      <c r="A17" s="24" t="s">
        <v>207</v>
      </c>
      <c r="B17" s="3" t="s">
        <v>13</v>
      </c>
      <c r="C17" s="25" t="s">
        <v>208</v>
      </c>
      <c r="D17" s="15" t="s">
        <v>118</v>
      </c>
      <c r="E17" s="15" t="s">
        <v>118</v>
      </c>
      <c r="F17" s="15" t="s">
        <v>123</v>
      </c>
      <c r="G17" s="15" t="s">
        <v>118</v>
      </c>
      <c r="H17" s="15" t="s">
        <v>118</v>
      </c>
      <c r="I17" s="15" t="s">
        <v>118</v>
      </c>
    </row>
    <row r="18" spans="1:10" ht="17" customHeight="1" x14ac:dyDescent="0.2">
      <c r="A18" s="21" t="s">
        <v>209</v>
      </c>
      <c r="B18" s="22" t="s">
        <v>13</v>
      </c>
      <c r="C18" s="23" t="s">
        <v>152</v>
      </c>
      <c r="D18" s="15" t="s">
        <v>118</v>
      </c>
      <c r="E18" s="15" t="s">
        <v>118</v>
      </c>
      <c r="F18" s="15" t="s">
        <v>139</v>
      </c>
      <c r="G18" s="15" t="s">
        <v>140</v>
      </c>
      <c r="H18" s="15" t="s">
        <v>118</v>
      </c>
      <c r="I18" s="15" t="s">
        <v>118</v>
      </c>
    </row>
    <row r="19" spans="1:10" ht="17" customHeight="1" x14ac:dyDescent="0.2">
      <c r="A19" s="24" t="s">
        <v>210</v>
      </c>
      <c r="B19" s="3" t="s">
        <v>13</v>
      </c>
      <c r="C19" s="25" t="s">
        <v>211</v>
      </c>
      <c r="D19" s="15" t="s">
        <v>118</v>
      </c>
      <c r="E19" s="15" t="s">
        <v>118</v>
      </c>
      <c r="F19" s="15" t="s">
        <v>118</v>
      </c>
      <c r="G19" s="15" t="s">
        <v>118</v>
      </c>
      <c r="H19" s="15" t="s">
        <v>118</v>
      </c>
      <c r="I19" s="15" t="s">
        <v>118</v>
      </c>
    </row>
    <row r="20" spans="1:10" ht="17" customHeight="1" x14ac:dyDescent="0.2">
      <c r="A20" s="21" t="s">
        <v>212</v>
      </c>
      <c r="B20" s="22" t="s">
        <v>13</v>
      </c>
      <c r="C20" s="23" t="s">
        <v>211</v>
      </c>
      <c r="D20" s="15" t="s">
        <v>118</v>
      </c>
      <c r="E20" s="15" t="s">
        <v>118</v>
      </c>
      <c r="F20" s="15" t="s">
        <v>118</v>
      </c>
      <c r="G20" s="15" t="s">
        <v>118</v>
      </c>
      <c r="H20" s="15" t="s">
        <v>118</v>
      </c>
      <c r="I20" s="15" t="s">
        <v>118</v>
      </c>
    </row>
    <row r="21" spans="1:10" ht="17" customHeight="1" x14ac:dyDescent="0.2">
      <c r="A21" s="24" t="s">
        <v>16</v>
      </c>
      <c r="B21" s="3" t="s">
        <v>16</v>
      </c>
      <c r="C21" s="25"/>
      <c r="D21" s="15" t="s">
        <v>118</v>
      </c>
      <c r="E21" s="15" t="s">
        <v>118</v>
      </c>
      <c r="F21" s="15" t="s">
        <v>118</v>
      </c>
      <c r="G21" s="15" t="s">
        <v>118</v>
      </c>
      <c r="H21" s="15" t="s">
        <v>118</v>
      </c>
      <c r="I21" s="15" t="s">
        <v>118</v>
      </c>
    </row>
    <row r="22" spans="1:10" ht="17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7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7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7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6">
    <mergeCell ref="A6"/>
    <mergeCell ref="A2:I2"/>
    <mergeCell ref="A14:I14"/>
    <mergeCell ref="A1:I1"/>
    <mergeCell ref="B3:I3"/>
    <mergeCell ref="B4:I4"/>
  </mergeCells>
  <conditionalFormatting sqref="D16:M200">
    <cfRule type="cellIs" dxfId="27" priority="1" stopIfTrue="1" operator="equal">
      <formula>"G"</formula>
    </cfRule>
    <cfRule type="cellIs" dxfId="26" priority="2" stopIfTrue="1" operator="equal">
      <formula>"AG"</formula>
    </cfRule>
    <cfRule type="cellIs" dxfId="25" priority="3" stopIfTrue="1" operator="equal">
      <formula>"A"</formula>
    </cfRule>
    <cfRule type="cellIs" dxfId="24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900-000000000000}">
      <formula1>"G,AG,A,R"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M26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213</v>
      </c>
      <c r="B1" s="76"/>
      <c r="C1" s="76"/>
      <c r="D1" s="76"/>
      <c r="E1" s="76"/>
      <c r="F1" s="76"/>
      <c r="G1" s="76"/>
      <c r="H1" s="76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0"/>
      <c r="G3" s="70"/>
      <c r="H3" s="71"/>
    </row>
    <row r="4" spans="1:13" ht="18" customHeight="1" x14ac:dyDescent="0.2">
      <c r="A4" s="17" t="s">
        <v>103</v>
      </c>
      <c r="B4" s="103">
        <v>5</v>
      </c>
      <c r="C4" s="70"/>
      <c r="D4" s="70"/>
      <c r="E4" s="70"/>
      <c r="F4" s="70"/>
      <c r="G4" s="70"/>
      <c r="H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11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2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1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1</v>
      </c>
      <c r="F7" s="18">
        <f>SUM(B7:E7)</f>
        <v>15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5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5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5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5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3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2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5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24</v>
      </c>
      <c r="C12" s="64">
        <f>SUM(C7:C11)</f>
        <v>4</v>
      </c>
      <c r="D12" s="65">
        <f>SUM(D7:D11)</f>
        <v>1</v>
      </c>
      <c r="E12" s="66">
        <f>SUM(E7:E11)</f>
        <v>1</v>
      </c>
      <c r="F12" s="20">
        <f>SUM(F7:F11)</f>
        <v>30</v>
      </c>
    </row>
    <row r="13" spans="1:13" ht="8" customHeight="1" x14ac:dyDescent="0.2"/>
    <row r="14" spans="1:13" ht="22" customHeight="1" x14ac:dyDescent="0.2">
      <c r="A14" s="101" t="s">
        <v>214</v>
      </c>
      <c r="B14" s="102"/>
      <c r="C14" s="102"/>
      <c r="D14" s="102"/>
      <c r="E14" s="102"/>
      <c r="F14" s="102"/>
      <c r="G14" s="102"/>
      <c r="H14" s="102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215</v>
      </c>
      <c r="E15" s="68" t="s">
        <v>216</v>
      </c>
      <c r="F15" s="68" t="s">
        <v>217</v>
      </c>
      <c r="G15" s="68" t="s">
        <v>218</v>
      </c>
      <c r="H15" s="68" t="s">
        <v>219</v>
      </c>
    </row>
    <row r="16" spans="1:13" ht="17" customHeight="1" x14ac:dyDescent="0.2">
      <c r="A16" s="21" t="s">
        <v>220</v>
      </c>
      <c r="B16" s="22" t="s">
        <v>13</v>
      </c>
      <c r="C16" s="23"/>
      <c r="D16" s="15" t="s">
        <v>118</v>
      </c>
      <c r="E16" s="15" t="s">
        <v>118</v>
      </c>
      <c r="F16" s="15" t="s">
        <v>118</v>
      </c>
      <c r="G16" s="15" t="s">
        <v>123</v>
      </c>
      <c r="H16" s="15" t="s">
        <v>118</v>
      </c>
    </row>
    <row r="17" spans="1:9" ht="17" customHeight="1" x14ac:dyDescent="0.2">
      <c r="A17" s="24" t="s">
        <v>221</v>
      </c>
      <c r="B17" s="3" t="s">
        <v>13</v>
      </c>
      <c r="C17" s="25"/>
      <c r="D17" s="15" t="s">
        <v>118</v>
      </c>
      <c r="E17" s="15" t="s">
        <v>123</v>
      </c>
      <c r="F17" s="15" t="s">
        <v>118</v>
      </c>
      <c r="G17" s="15" t="s">
        <v>118</v>
      </c>
      <c r="H17" s="15" t="s">
        <v>118</v>
      </c>
    </row>
    <row r="18" spans="1:9" ht="17" customHeight="1" x14ac:dyDescent="0.2">
      <c r="A18" s="21" t="s">
        <v>222</v>
      </c>
      <c r="B18" s="22" t="s">
        <v>13</v>
      </c>
      <c r="C18" s="23"/>
      <c r="D18" s="15" t="s">
        <v>118</v>
      </c>
      <c r="E18" s="15" t="s">
        <v>118</v>
      </c>
      <c r="F18" s="15" t="s">
        <v>140</v>
      </c>
      <c r="G18" s="15" t="s">
        <v>118</v>
      </c>
      <c r="H18" s="15" t="s">
        <v>139</v>
      </c>
    </row>
    <row r="19" spans="1:9" ht="17" customHeight="1" x14ac:dyDescent="0.2">
      <c r="A19" s="24" t="s">
        <v>223</v>
      </c>
      <c r="B19" s="3" t="s">
        <v>14</v>
      </c>
      <c r="C19" s="25"/>
      <c r="D19" s="15" t="s">
        <v>118</v>
      </c>
      <c r="E19" s="15" t="s">
        <v>118</v>
      </c>
      <c r="F19" s="15" t="s">
        <v>118</v>
      </c>
      <c r="G19" s="15" t="s">
        <v>118</v>
      </c>
      <c r="H19" s="15" t="s">
        <v>118</v>
      </c>
    </row>
    <row r="20" spans="1:9" ht="17" customHeight="1" x14ac:dyDescent="0.2">
      <c r="A20" s="21" t="s">
        <v>224</v>
      </c>
      <c r="B20" s="22" t="s">
        <v>15</v>
      </c>
      <c r="C20" s="23"/>
      <c r="D20" s="15" t="s">
        <v>118</v>
      </c>
      <c r="E20" s="15" t="s">
        <v>118</v>
      </c>
      <c r="F20" s="15" t="s">
        <v>118</v>
      </c>
      <c r="G20" s="15" t="s">
        <v>118</v>
      </c>
      <c r="H20" s="15" t="s">
        <v>118</v>
      </c>
    </row>
    <row r="21" spans="1:9" ht="17" customHeight="1" x14ac:dyDescent="0.2">
      <c r="A21" s="24" t="s">
        <v>16</v>
      </c>
      <c r="B21" s="3" t="s">
        <v>16</v>
      </c>
      <c r="C21" s="25"/>
      <c r="D21" s="15" t="s">
        <v>118</v>
      </c>
      <c r="E21" s="15" t="s">
        <v>123</v>
      </c>
      <c r="F21" s="15" t="s">
        <v>118</v>
      </c>
      <c r="G21" s="15" t="s">
        <v>123</v>
      </c>
      <c r="H21" s="15" t="s">
        <v>118</v>
      </c>
    </row>
    <row r="22" spans="1:9" ht="17" customHeight="1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ht="17" customHeight="1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ht="17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ht="17" customHeight="1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ht="17" customHeight="1" x14ac:dyDescent="0.2">
      <c r="A26" s="2"/>
      <c r="B26" s="2"/>
      <c r="C26" s="2"/>
      <c r="D26" s="2"/>
      <c r="E26" s="2"/>
      <c r="F26" s="2"/>
      <c r="G26" s="2"/>
      <c r="H26" s="2"/>
      <c r="I26" s="2"/>
    </row>
  </sheetData>
  <mergeCells count="6">
    <mergeCell ref="A6"/>
    <mergeCell ref="B4:H4"/>
    <mergeCell ref="A2:H2"/>
    <mergeCell ref="A14:H14"/>
    <mergeCell ref="A1:H1"/>
    <mergeCell ref="B3:H3"/>
  </mergeCells>
  <conditionalFormatting sqref="D16:M200">
    <cfRule type="cellIs" dxfId="23" priority="1" stopIfTrue="1" operator="equal">
      <formula>"G"</formula>
    </cfRule>
    <cfRule type="cellIs" dxfId="22" priority="2" stopIfTrue="1" operator="equal">
      <formula>"AG"</formula>
    </cfRule>
    <cfRule type="cellIs" dxfId="21" priority="3" stopIfTrue="1" operator="equal">
      <formula>"A"</formula>
    </cfRule>
    <cfRule type="cellIs" dxfId="20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A00-000000000000}">
      <formula1>"G,AG,A,R"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M26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225</v>
      </c>
      <c r="B1" s="76"/>
      <c r="C1" s="76"/>
      <c r="D1" s="76"/>
      <c r="E1" s="76"/>
      <c r="F1" s="76"/>
      <c r="G1" s="27"/>
      <c r="H1" s="27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1"/>
    </row>
    <row r="4" spans="1:13" ht="18" customHeight="1" x14ac:dyDescent="0.2">
      <c r="A4" s="17" t="s">
        <v>103</v>
      </c>
      <c r="B4" s="103">
        <v>3</v>
      </c>
      <c r="C4" s="70"/>
      <c r="D4" s="70"/>
      <c r="E4" s="70"/>
      <c r="F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7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1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1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9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2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1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3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3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3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3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3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15</v>
      </c>
      <c r="C12" s="64">
        <f>SUM(C7:C11)</f>
        <v>1</v>
      </c>
      <c r="D12" s="65">
        <f>SUM(D7:D11)</f>
        <v>2</v>
      </c>
      <c r="E12" s="66">
        <f>SUM(E7:E11)</f>
        <v>0</v>
      </c>
      <c r="F12" s="20">
        <f>SUM(F7:F11)</f>
        <v>18</v>
      </c>
    </row>
    <row r="13" spans="1:13" ht="8" customHeight="1" x14ac:dyDescent="0.2"/>
    <row r="14" spans="1:13" ht="22" customHeight="1" x14ac:dyDescent="0.2">
      <c r="A14" s="101" t="s">
        <v>226</v>
      </c>
      <c r="B14" s="102"/>
      <c r="C14" s="102"/>
      <c r="D14" s="102"/>
      <c r="E14" s="102"/>
      <c r="F14" s="102"/>
      <c r="G14" s="67"/>
      <c r="H14" s="67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227</v>
      </c>
      <c r="E15" s="68" t="s">
        <v>228</v>
      </c>
      <c r="F15" s="68" t="s">
        <v>229</v>
      </c>
    </row>
    <row r="16" spans="1:13" ht="17" customHeight="1" x14ac:dyDescent="0.2">
      <c r="A16" s="21" t="s">
        <v>220</v>
      </c>
      <c r="B16" s="22" t="s">
        <v>13</v>
      </c>
      <c r="C16" s="23"/>
      <c r="D16" s="15" t="s">
        <v>118</v>
      </c>
      <c r="E16" s="15" t="s">
        <v>118</v>
      </c>
      <c r="F16" s="15" t="s">
        <v>118</v>
      </c>
    </row>
    <row r="17" spans="1:7" ht="17" customHeight="1" x14ac:dyDescent="0.2">
      <c r="A17" s="24" t="s">
        <v>221</v>
      </c>
      <c r="B17" s="3" t="s">
        <v>13</v>
      </c>
      <c r="C17" s="25"/>
      <c r="D17" s="15" t="s">
        <v>118</v>
      </c>
      <c r="E17" s="15" t="s">
        <v>123</v>
      </c>
      <c r="F17" s="15" t="s">
        <v>118</v>
      </c>
    </row>
    <row r="18" spans="1:7" ht="17" customHeight="1" x14ac:dyDescent="0.2">
      <c r="A18" s="21" t="s">
        <v>222</v>
      </c>
      <c r="B18" s="22" t="s">
        <v>13</v>
      </c>
      <c r="C18" s="23"/>
      <c r="D18" s="15" t="s">
        <v>118</v>
      </c>
      <c r="E18" s="15" t="s">
        <v>118</v>
      </c>
      <c r="F18" s="15" t="s">
        <v>140</v>
      </c>
    </row>
    <row r="19" spans="1:7" ht="17" customHeight="1" x14ac:dyDescent="0.2">
      <c r="A19" s="24" t="s">
        <v>230</v>
      </c>
      <c r="B19" s="3" t="s">
        <v>14</v>
      </c>
      <c r="C19" s="25"/>
      <c r="D19" s="15" t="s">
        <v>118</v>
      </c>
      <c r="E19" s="15" t="s">
        <v>118</v>
      </c>
      <c r="F19" s="15" t="s">
        <v>140</v>
      </c>
    </row>
    <row r="20" spans="1:7" ht="17" customHeight="1" x14ac:dyDescent="0.2">
      <c r="A20" s="21" t="s">
        <v>224</v>
      </c>
      <c r="B20" s="22" t="s">
        <v>15</v>
      </c>
      <c r="C20" s="23"/>
      <c r="D20" s="15" t="s">
        <v>118</v>
      </c>
      <c r="E20" s="15" t="s">
        <v>118</v>
      </c>
      <c r="F20" s="15" t="s">
        <v>118</v>
      </c>
    </row>
    <row r="21" spans="1:7" ht="17" customHeight="1" x14ac:dyDescent="0.2">
      <c r="A21" s="24" t="s">
        <v>16</v>
      </c>
      <c r="B21" s="3" t="s">
        <v>16</v>
      </c>
      <c r="C21" s="25"/>
      <c r="D21" s="15" t="s">
        <v>118</v>
      </c>
      <c r="E21" s="15" t="s">
        <v>118</v>
      </c>
      <c r="F21" s="15" t="s">
        <v>118</v>
      </c>
    </row>
    <row r="22" spans="1:7" ht="17" customHeight="1" x14ac:dyDescent="0.2">
      <c r="A22" s="2"/>
      <c r="B22" s="2"/>
      <c r="C22" s="2"/>
      <c r="D22" s="2"/>
      <c r="E22" s="2"/>
      <c r="F22" s="2"/>
      <c r="G22" s="2"/>
    </row>
    <row r="23" spans="1:7" ht="17" customHeight="1" x14ac:dyDescent="0.2">
      <c r="A23" s="2"/>
      <c r="B23" s="2"/>
      <c r="C23" s="2"/>
      <c r="D23" s="2"/>
      <c r="E23" s="2"/>
      <c r="F23" s="2"/>
      <c r="G23" s="2"/>
    </row>
    <row r="24" spans="1:7" ht="17" customHeight="1" x14ac:dyDescent="0.2">
      <c r="A24" s="2"/>
      <c r="B24" s="2"/>
      <c r="C24" s="2"/>
      <c r="D24" s="2"/>
      <c r="E24" s="2"/>
      <c r="F24" s="2"/>
      <c r="G24" s="2"/>
    </row>
    <row r="25" spans="1:7" ht="17" customHeight="1" x14ac:dyDescent="0.2">
      <c r="A25" s="2"/>
      <c r="B25" s="2"/>
      <c r="C25" s="2"/>
      <c r="D25" s="2"/>
      <c r="E25" s="2"/>
      <c r="F25" s="2"/>
      <c r="G25" s="2"/>
    </row>
    <row r="26" spans="1:7" ht="17" customHeight="1" x14ac:dyDescent="0.2">
      <c r="A26" s="2"/>
      <c r="B26" s="2"/>
      <c r="C26" s="2"/>
      <c r="D26" s="2"/>
      <c r="E26" s="2"/>
      <c r="F26" s="2"/>
      <c r="G26" s="2"/>
    </row>
  </sheetData>
  <mergeCells count="6">
    <mergeCell ref="B4:F4"/>
    <mergeCell ref="A2:F2"/>
    <mergeCell ref="A6"/>
    <mergeCell ref="A14:F14"/>
    <mergeCell ref="A1:F1"/>
    <mergeCell ref="B3:F3"/>
  </mergeCells>
  <conditionalFormatting sqref="D16:M200">
    <cfRule type="cellIs" dxfId="19" priority="1" stopIfTrue="1" operator="equal">
      <formula>"G"</formula>
    </cfRule>
    <cfRule type="cellIs" dxfId="18" priority="2" stopIfTrue="1" operator="equal">
      <formula>"AG"</formula>
    </cfRule>
    <cfRule type="cellIs" dxfId="17" priority="3" stopIfTrue="1" operator="equal">
      <formula>"A"</formula>
    </cfRule>
    <cfRule type="cellIs" dxfId="16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B00-000000000000}">
      <formula1>"G,AG,A,R"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75B6"/>
  </sheetPr>
  <dimension ref="A1:M25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231</v>
      </c>
      <c r="B1" s="76"/>
      <c r="C1" s="76"/>
      <c r="D1" s="76"/>
      <c r="E1" s="76"/>
      <c r="F1" s="76"/>
      <c r="G1" s="27"/>
      <c r="H1" s="27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1"/>
    </row>
    <row r="4" spans="1:13" ht="18" customHeight="1" x14ac:dyDescent="0.2">
      <c r="A4" s="17" t="s">
        <v>103</v>
      </c>
      <c r="B4" s="103">
        <v>1</v>
      </c>
      <c r="C4" s="70"/>
      <c r="D4" s="70"/>
      <c r="E4" s="70"/>
      <c r="F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5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1</v>
      </c>
      <c r="F7" s="18">
        <f>SUM(B7:E7)</f>
        <v>6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0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0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2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2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2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2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9</v>
      </c>
      <c r="C12" s="64">
        <f>SUM(C7:C11)</f>
        <v>0</v>
      </c>
      <c r="D12" s="65">
        <f>SUM(D7:D11)</f>
        <v>0</v>
      </c>
      <c r="E12" s="66">
        <f>SUM(E7:E11)</f>
        <v>1</v>
      </c>
      <c r="F12" s="20">
        <f>SUM(F7:F11)</f>
        <v>10</v>
      </c>
    </row>
    <row r="13" spans="1:13" ht="8" customHeight="1" x14ac:dyDescent="0.2"/>
    <row r="14" spans="1:13" ht="22" customHeight="1" x14ac:dyDescent="0.2">
      <c r="A14" s="101" t="s">
        <v>149</v>
      </c>
      <c r="B14" s="102"/>
      <c r="C14" s="102"/>
      <c r="D14" s="102"/>
      <c r="E14" s="102"/>
      <c r="F14" s="67"/>
      <c r="G14" s="67"/>
      <c r="H14" s="67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232</v>
      </c>
      <c r="E15" s="68" t="s">
        <v>89</v>
      </c>
    </row>
    <row r="16" spans="1:13" ht="17" customHeight="1" x14ac:dyDescent="0.2">
      <c r="A16" s="21" t="s">
        <v>233</v>
      </c>
      <c r="B16" s="22" t="s">
        <v>13</v>
      </c>
      <c r="C16" s="23" t="s">
        <v>234</v>
      </c>
      <c r="D16" s="15" t="s">
        <v>139</v>
      </c>
      <c r="E16" s="15" t="s">
        <v>118</v>
      </c>
    </row>
    <row r="17" spans="1:6" ht="17" customHeight="1" x14ac:dyDescent="0.2">
      <c r="A17" s="24" t="s">
        <v>235</v>
      </c>
      <c r="B17" s="3" t="s">
        <v>13</v>
      </c>
      <c r="C17" s="25" t="s">
        <v>236</v>
      </c>
      <c r="D17" s="15" t="s">
        <v>118</v>
      </c>
      <c r="E17" s="15" t="s">
        <v>118</v>
      </c>
    </row>
    <row r="18" spans="1:6" ht="17" customHeight="1" x14ac:dyDescent="0.2">
      <c r="A18" s="21" t="s">
        <v>237</v>
      </c>
      <c r="B18" s="22" t="s">
        <v>13</v>
      </c>
      <c r="C18" s="23" t="s">
        <v>238</v>
      </c>
      <c r="D18" s="15" t="s">
        <v>118</v>
      </c>
      <c r="E18" s="15" t="s">
        <v>118</v>
      </c>
    </row>
    <row r="19" spans="1:6" ht="17" customHeight="1" x14ac:dyDescent="0.2">
      <c r="A19" s="24" t="s">
        <v>239</v>
      </c>
      <c r="B19" s="3" t="s">
        <v>15</v>
      </c>
      <c r="C19" s="25"/>
      <c r="D19" s="15" t="s">
        <v>118</v>
      </c>
      <c r="E19" s="15" t="s">
        <v>118</v>
      </c>
    </row>
    <row r="20" spans="1:6" ht="17" customHeight="1" x14ac:dyDescent="0.2">
      <c r="A20" s="21" t="s">
        <v>240</v>
      </c>
      <c r="B20" s="22" t="s">
        <v>16</v>
      </c>
      <c r="C20" s="23" t="s">
        <v>241</v>
      </c>
      <c r="D20" s="15" t="s">
        <v>118</v>
      </c>
      <c r="E20" s="15" t="s">
        <v>118</v>
      </c>
    </row>
    <row r="21" spans="1:6" ht="17" customHeight="1" x14ac:dyDescent="0.2">
      <c r="A21" s="2"/>
      <c r="B21" s="2"/>
      <c r="C21" s="2"/>
      <c r="D21" s="2"/>
      <c r="E21" s="2"/>
      <c r="F21" s="2"/>
    </row>
    <row r="22" spans="1:6" ht="17" customHeight="1" x14ac:dyDescent="0.2">
      <c r="A22" s="2"/>
      <c r="B22" s="2"/>
      <c r="C22" s="2"/>
      <c r="D22" s="2"/>
      <c r="E22" s="2"/>
      <c r="F22" s="2"/>
    </row>
    <row r="23" spans="1:6" ht="17" customHeight="1" x14ac:dyDescent="0.2">
      <c r="A23" s="2"/>
      <c r="B23" s="2"/>
      <c r="C23" s="2"/>
      <c r="D23" s="2"/>
      <c r="E23" s="2"/>
      <c r="F23" s="2"/>
    </row>
    <row r="24" spans="1:6" ht="17" customHeight="1" x14ac:dyDescent="0.2">
      <c r="A24" s="2"/>
      <c r="B24" s="2"/>
      <c r="C24" s="2"/>
      <c r="D24" s="2"/>
      <c r="E24" s="2"/>
      <c r="F24" s="2"/>
    </row>
    <row r="25" spans="1:6" ht="17" customHeight="1" x14ac:dyDescent="0.2">
      <c r="A25" s="2"/>
      <c r="B25" s="2"/>
      <c r="C25" s="2"/>
      <c r="D25" s="2"/>
      <c r="E25" s="2"/>
      <c r="F25" s="2"/>
    </row>
  </sheetData>
  <mergeCells count="6">
    <mergeCell ref="A14:E14"/>
    <mergeCell ref="B4:F4"/>
    <mergeCell ref="A2:F2"/>
    <mergeCell ref="A6"/>
    <mergeCell ref="A1:F1"/>
    <mergeCell ref="B3:F3"/>
  </mergeCells>
  <conditionalFormatting sqref="D16:M200">
    <cfRule type="cellIs" dxfId="15" priority="1" stopIfTrue="1" operator="equal">
      <formula>"G"</formula>
    </cfRule>
    <cfRule type="cellIs" dxfId="14" priority="2" stopIfTrue="1" operator="equal">
      <formula>"AG"</formula>
    </cfRule>
    <cfRule type="cellIs" dxfId="13" priority="3" stopIfTrue="1" operator="equal">
      <formula>"A"</formula>
    </cfRule>
    <cfRule type="cellIs" dxfId="12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C00-000000000000}">
      <formula1>"G,AG,A,R"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M24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242</v>
      </c>
      <c r="B1" s="76"/>
      <c r="C1" s="76"/>
      <c r="D1" s="76"/>
      <c r="E1" s="76"/>
      <c r="F1" s="76"/>
      <c r="G1" s="76"/>
      <c r="H1" s="76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0"/>
      <c r="G3" s="70"/>
      <c r="H3" s="71"/>
    </row>
    <row r="4" spans="1:13" ht="18" customHeight="1" x14ac:dyDescent="0.2">
      <c r="A4" s="17" t="s">
        <v>103</v>
      </c>
      <c r="B4" s="103">
        <v>5</v>
      </c>
      <c r="C4" s="70"/>
      <c r="D4" s="70"/>
      <c r="E4" s="70"/>
      <c r="F4" s="70"/>
      <c r="G4" s="70"/>
      <c r="H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9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1</v>
      </c>
      <c r="F7" s="18">
        <f>SUM(B7:E7)</f>
        <v>10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5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5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5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5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0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0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19</v>
      </c>
      <c r="C12" s="64">
        <f>SUM(C7:C11)</f>
        <v>0</v>
      </c>
      <c r="D12" s="65">
        <f>SUM(D7:D11)</f>
        <v>0</v>
      </c>
      <c r="E12" s="66">
        <f>SUM(E7:E11)</f>
        <v>1</v>
      </c>
      <c r="F12" s="20">
        <f>SUM(F7:F11)</f>
        <v>20</v>
      </c>
    </row>
    <row r="13" spans="1:13" ht="8" customHeight="1" x14ac:dyDescent="0.2"/>
    <row r="14" spans="1:13" ht="22" customHeight="1" x14ac:dyDescent="0.2">
      <c r="A14" s="101" t="s">
        <v>214</v>
      </c>
      <c r="B14" s="102"/>
      <c r="C14" s="102"/>
      <c r="D14" s="102"/>
      <c r="E14" s="102"/>
      <c r="F14" s="102"/>
      <c r="G14" s="102"/>
      <c r="H14" s="102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243</v>
      </c>
      <c r="E15" s="68" t="s">
        <v>244</v>
      </c>
      <c r="F15" s="68" t="s">
        <v>245</v>
      </c>
      <c r="G15" s="68" t="s">
        <v>246</v>
      </c>
      <c r="H15" s="68" t="s">
        <v>247</v>
      </c>
    </row>
    <row r="16" spans="1:13" ht="17" customHeight="1" x14ac:dyDescent="0.2">
      <c r="A16" s="21" t="s">
        <v>248</v>
      </c>
      <c r="B16" s="22" t="s">
        <v>13</v>
      </c>
      <c r="C16" s="23" t="s">
        <v>249</v>
      </c>
      <c r="D16" s="15" t="s">
        <v>118</v>
      </c>
      <c r="E16" s="15" t="s">
        <v>118</v>
      </c>
      <c r="F16" s="15" t="s">
        <v>118</v>
      </c>
      <c r="G16" s="15" t="s">
        <v>139</v>
      </c>
      <c r="H16" s="15" t="s">
        <v>118</v>
      </c>
    </row>
    <row r="17" spans="1:9" ht="17" customHeight="1" x14ac:dyDescent="0.2">
      <c r="A17" s="24" t="s">
        <v>250</v>
      </c>
      <c r="B17" s="3" t="s">
        <v>13</v>
      </c>
      <c r="C17" s="25" t="s">
        <v>251</v>
      </c>
      <c r="D17" s="15" t="s">
        <v>118</v>
      </c>
      <c r="E17" s="15" t="s">
        <v>118</v>
      </c>
      <c r="F17" s="15" t="s">
        <v>118</v>
      </c>
      <c r="G17" s="15" t="s">
        <v>118</v>
      </c>
      <c r="H17" s="15" t="s">
        <v>118</v>
      </c>
    </row>
    <row r="18" spans="1:9" ht="17" customHeight="1" x14ac:dyDescent="0.2">
      <c r="A18" s="21" t="s">
        <v>252</v>
      </c>
      <c r="B18" s="22" t="s">
        <v>14</v>
      </c>
      <c r="C18" s="23"/>
      <c r="D18" s="15" t="s">
        <v>118</v>
      </c>
      <c r="E18" s="15" t="s">
        <v>118</v>
      </c>
      <c r="F18" s="15" t="s">
        <v>118</v>
      </c>
      <c r="G18" s="15" t="s">
        <v>118</v>
      </c>
      <c r="H18" s="15" t="s">
        <v>118</v>
      </c>
    </row>
    <row r="19" spans="1:9" ht="17" customHeight="1" x14ac:dyDescent="0.2">
      <c r="A19" s="24" t="s">
        <v>224</v>
      </c>
      <c r="B19" s="3" t="s">
        <v>15</v>
      </c>
      <c r="C19" s="25"/>
      <c r="D19" s="15" t="s">
        <v>118</v>
      </c>
      <c r="E19" s="15" t="s">
        <v>118</v>
      </c>
      <c r="F19" s="15" t="s">
        <v>118</v>
      </c>
      <c r="G19" s="15" t="s">
        <v>118</v>
      </c>
      <c r="H19" s="15" t="s">
        <v>118</v>
      </c>
    </row>
    <row r="20" spans="1:9" ht="17" customHeight="1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ht="17" customHeight="1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ht="17" customHeight="1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ht="17" customHeight="1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ht="17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</sheetData>
  <mergeCells count="6">
    <mergeCell ref="A6"/>
    <mergeCell ref="B4:H4"/>
    <mergeCell ref="A2:H2"/>
    <mergeCell ref="A14:H14"/>
    <mergeCell ref="A1:H1"/>
    <mergeCell ref="B3:H3"/>
  </mergeCells>
  <conditionalFormatting sqref="D16:M200">
    <cfRule type="cellIs" dxfId="11" priority="1" stopIfTrue="1" operator="equal">
      <formula>"G"</formula>
    </cfRule>
    <cfRule type="cellIs" dxfId="10" priority="2" stopIfTrue="1" operator="equal">
      <formula>"AG"</formula>
    </cfRule>
    <cfRule type="cellIs" dxfId="9" priority="3" stopIfTrue="1" operator="equal">
      <formula>"A"</formula>
    </cfRule>
    <cfRule type="cellIs" dxfId="8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D00-000000000000}">
      <formula1>"G,AG,A,R"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M25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253</v>
      </c>
      <c r="B1" s="76"/>
      <c r="C1" s="76"/>
      <c r="D1" s="76"/>
      <c r="E1" s="76"/>
      <c r="F1" s="76"/>
      <c r="G1" s="76"/>
      <c r="H1" s="76"/>
      <c r="I1" s="76"/>
      <c r="J1" s="76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  <c r="G2" s="81"/>
      <c r="H2" s="81"/>
      <c r="I2" s="81"/>
      <c r="J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0"/>
      <c r="G3" s="70"/>
      <c r="H3" s="70"/>
      <c r="I3" s="70"/>
      <c r="J3" s="71"/>
    </row>
    <row r="4" spans="1:13" ht="18" customHeight="1" x14ac:dyDescent="0.2">
      <c r="A4" s="17" t="s">
        <v>103</v>
      </c>
      <c r="B4" s="103">
        <v>7</v>
      </c>
      <c r="C4" s="70"/>
      <c r="D4" s="70"/>
      <c r="E4" s="70"/>
      <c r="F4" s="70"/>
      <c r="G4" s="70"/>
      <c r="H4" s="70"/>
      <c r="I4" s="70"/>
      <c r="J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27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1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28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7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7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0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0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34</v>
      </c>
      <c r="C12" s="64">
        <f>SUM(C7:C11)</f>
        <v>1</v>
      </c>
      <c r="D12" s="65">
        <f>SUM(D7:D11)</f>
        <v>0</v>
      </c>
      <c r="E12" s="66">
        <f>SUM(E7:E11)</f>
        <v>0</v>
      </c>
      <c r="F12" s="20">
        <f>SUM(F7:F11)</f>
        <v>35</v>
      </c>
    </row>
    <row r="13" spans="1:13" ht="8" customHeight="1" x14ac:dyDescent="0.2"/>
    <row r="14" spans="1:13" ht="22" customHeight="1" x14ac:dyDescent="0.2">
      <c r="A14" s="101" t="s">
        <v>105</v>
      </c>
      <c r="B14" s="102"/>
      <c r="C14" s="102"/>
      <c r="D14" s="102"/>
      <c r="E14" s="102"/>
      <c r="F14" s="102"/>
      <c r="G14" s="102"/>
      <c r="H14" s="102"/>
      <c r="I14" s="102"/>
      <c r="J14" s="102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254</v>
      </c>
      <c r="E15" s="68" t="s">
        <v>255</v>
      </c>
      <c r="F15" s="68" t="s">
        <v>256</v>
      </c>
      <c r="G15" s="68" t="s">
        <v>257</v>
      </c>
      <c r="H15" s="68" t="s">
        <v>258</v>
      </c>
      <c r="I15" s="68" t="s">
        <v>259</v>
      </c>
      <c r="J15" s="68" t="s">
        <v>260</v>
      </c>
    </row>
    <row r="16" spans="1:13" ht="17" customHeight="1" x14ac:dyDescent="0.2">
      <c r="A16" s="21" t="s">
        <v>261</v>
      </c>
      <c r="B16" s="22" t="s">
        <v>13</v>
      </c>
      <c r="C16" s="23" t="s">
        <v>262</v>
      </c>
      <c r="D16" s="15" t="s">
        <v>118</v>
      </c>
      <c r="E16" s="15" t="s">
        <v>118</v>
      </c>
      <c r="F16" s="15" t="s">
        <v>118</v>
      </c>
      <c r="G16" s="15" t="s">
        <v>118</v>
      </c>
      <c r="H16" s="15" t="s">
        <v>118</v>
      </c>
      <c r="I16" s="15" t="s">
        <v>118</v>
      </c>
      <c r="J16" s="15" t="s">
        <v>118</v>
      </c>
    </row>
    <row r="17" spans="1:11" ht="17" customHeight="1" x14ac:dyDescent="0.2">
      <c r="A17" s="24" t="s">
        <v>263</v>
      </c>
      <c r="B17" s="3" t="s">
        <v>13</v>
      </c>
      <c r="C17" s="25" t="s">
        <v>262</v>
      </c>
      <c r="D17" s="15" t="s">
        <v>118</v>
      </c>
      <c r="E17" s="15" t="s">
        <v>118</v>
      </c>
      <c r="F17" s="15" t="s">
        <v>118</v>
      </c>
      <c r="G17" s="15" t="s">
        <v>118</v>
      </c>
      <c r="H17" s="15" t="s">
        <v>118</v>
      </c>
      <c r="I17" s="15" t="s">
        <v>118</v>
      </c>
      <c r="J17" s="15" t="s">
        <v>118</v>
      </c>
    </row>
    <row r="18" spans="1:11" ht="17" customHeight="1" x14ac:dyDescent="0.2">
      <c r="A18" s="21" t="s">
        <v>264</v>
      </c>
      <c r="B18" s="22" t="s">
        <v>13</v>
      </c>
      <c r="C18" s="23"/>
      <c r="D18" s="15" t="s">
        <v>118</v>
      </c>
      <c r="E18" s="15" t="s">
        <v>118</v>
      </c>
      <c r="F18" s="15" t="s">
        <v>118</v>
      </c>
      <c r="G18" s="15" t="s">
        <v>118</v>
      </c>
      <c r="H18" s="15" t="s">
        <v>118</v>
      </c>
      <c r="I18" s="15" t="s">
        <v>118</v>
      </c>
      <c r="J18" s="15" t="s">
        <v>118</v>
      </c>
    </row>
    <row r="19" spans="1:11" ht="17" customHeight="1" x14ac:dyDescent="0.2">
      <c r="A19" s="24" t="s">
        <v>265</v>
      </c>
      <c r="B19" s="3" t="s">
        <v>13</v>
      </c>
      <c r="C19" s="25" t="s">
        <v>165</v>
      </c>
      <c r="D19" s="15" t="s">
        <v>118</v>
      </c>
      <c r="E19" s="15" t="s">
        <v>118</v>
      </c>
      <c r="F19" s="15" t="s">
        <v>118</v>
      </c>
      <c r="G19" s="15" t="s">
        <v>123</v>
      </c>
      <c r="H19" s="15" t="s">
        <v>118</v>
      </c>
      <c r="I19" s="15" t="s">
        <v>118</v>
      </c>
      <c r="J19" s="15" t="s">
        <v>118</v>
      </c>
    </row>
    <row r="20" spans="1:11" ht="17" customHeight="1" x14ac:dyDescent="0.2">
      <c r="A20" s="21" t="s">
        <v>266</v>
      </c>
      <c r="B20" s="22" t="s">
        <v>14</v>
      </c>
      <c r="C20" s="23"/>
      <c r="D20" s="15" t="s">
        <v>118</v>
      </c>
      <c r="E20" s="15" t="s">
        <v>118</v>
      </c>
      <c r="F20" s="15" t="s">
        <v>118</v>
      </c>
      <c r="G20" s="15" t="s">
        <v>118</v>
      </c>
      <c r="H20" s="15" t="s">
        <v>118</v>
      </c>
      <c r="I20" s="15" t="s">
        <v>118</v>
      </c>
      <c r="J20" s="15" t="s">
        <v>118</v>
      </c>
    </row>
    <row r="21" spans="1:11" ht="17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7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7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7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7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6">
    <mergeCell ref="A1:J1"/>
    <mergeCell ref="A6"/>
    <mergeCell ref="B3:J3"/>
    <mergeCell ref="A14:J14"/>
    <mergeCell ref="B4:J4"/>
    <mergeCell ref="A2:J2"/>
  </mergeCells>
  <conditionalFormatting sqref="D16:M200">
    <cfRule type="cellIs" dxfId="7" priority="1" stopIfTrue="1" operator="equal">
      <formula>"G"</formula>
    </cfRule>
    <cfRule type="cellIs" dxfId="6" priority="2" stopIfTrue="1" operator="equal">
      <formula>"AG"</formula>
    </cfRule>
    <cfRule type="cellIs" dxfId="5" priority="3" stopIfTrue="1" operator="equal">
      <formula>"A"</formula>
    </cfRule>
    <cfRule type="cellIs" dxfId="4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E00-000000000000}">
      <formula1>"G,AG,A,R"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M23"/>
  <sheetViews>
    <sheetView showGridLines="0" workbookViewId="0">
      <pane ySplit="15" topLeftCell="A16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14" customWidth="1"/>
    <col min="4" max="13" width="11" customWidth="1"/>
  </cols>
  <sheetData>
    <row r="1" spans="1:13" ht="30" customHeight="1" x14ac:dyDescent="0.2">
      <c r="A1" s="98" t="s">
        <v>267</v>
      </c>
      <c r="B1" s="76"/>
      <c r="C1" s="76"/>
      <c r="D1" s="76"/>
      <c r="E1" s="76"/>
      <c r="F1" s="76"/>
      <c r="G1" s="27"/>
      <c r="H1" s="27"/>
      <c r="I1" s="27"/>
      <c r="J1" s="27"/>
      <c r="K1" s="27"/>
      <c r="L1" s="27"/>
      <c r="M1" s="27"/>
    </row>
    <row r="2" spans="1:13" ht="44" customHeight="1" x14ac:dyDescent="0.2">
      <c r="A2" s="104" t="s">
        <v>101</v>
      </c>
      <c r="B2" s="81"/>
      <c r="C2" s="81"/>
      <c r="D2" s="81"/>
      <c r="E2" s="81"/>
      <c r="F2" s="81"/>
    </row>
    <row r="3" spans="1:13" ht="18" customHeight="1" x14ac:dyDescent="0.2">
      <c r="A3" s="17" t="s">
        <v>102</v>
      </c>
      <c r="B3" s="100" t="s">
        <v>89</v>
      </c>
      <c r="C3" s="70"/>
      <c r="D3" s="70"/>
      <c r="E3" s="70"/>
      <c r="F3" s="71"/>
    </row>
    <row r="4" spans="1:13" ht="18" customHeight="1" x14ac:dyDescent="0.2">
      <c r="A4" s="17" t="s">
        <v>103</v>
      </c>
      <c r="B4" s="103">
        <v>1</v>
      </c>
      <c r="C4" s="70"/>
      <c r="D4" s="70"/>
      <c r="E4" s="70"/>
      <c r="F4" s="71"/>
    </row>
    <row r="5" spans="1:13" ht="6" customHeight="1" x14ac:dyDescent="0.2"/>
    <row r="6" spans="1:13" ht="20" customHeight="1" x14ac:dyDescent="0.2">
      <c r="A6" s="99" t="s">
        <v>104</v>
      </c>
      <c r="B6" s="55" t="s">
        <v>5</v>
      </c>
      <c r="C6" s="55" t="s">
        <v>6</v>
      </c>
      <c r="D6" s="55" t="s">
        <v>7</v>
      </c>
      <c r="E6" s="55" t="s">
        <v>8</v>
      </c>
      <c r="F6" s="55" t="s">
        <v>9</v>
      </c>
    </row>
    <row r="7" spans="1:13" ht="18" customHeight="1" x14ac:dyDescent="0.2">
      <c r="A7" s="56" t="s">
        <v>13</v>
      </c>
      <c r="B7" s="57">
        <f>SUMPRODUCT(($B$15:$B$200="Market Risk")*(($D$15:$D$200="G")+($E$15:$E$200="G")+($F$15:$F$200="G")+($G$15:$G$200="G")+($H$15:$H$200="G")+($I$15:$I$200="G")+($J$15:$J$200="G")+($K$15:$K$200="G")+($L$15:$L$200="G")+($M$15:$M$200="G")))</f>
        <v>2</v>
      </c>
      <c r="C7" s="58">
        <f>SUMPRODUCT(($B$15:$B$200="Market Risk")*(($D$15:$D$200="AG")+($E$15:$E$200="AG")+($F$15:$F$200="AG")+($G$15:$G$200="AG")+($H$15:$H$200="AG")+($I$15:$I$200="AG")+($J$15:$J$200="AG")+($K$15:$K$200="AG")+($L$15:$L$200="AG")+($M$15:$M$200="AG")))</f>
        <v>0</v>
      </c>
      <c r="D7" s="59">
        <f>SUMPRODUCT(($B$15:$B$200="Market Risk")*(($D$15:$D$200="A")+($E$15:$E$200="A")+($F$15:$F$200="A")+($G$15:$G$200="A")+($H$15:$H$200="A")+($I$15:$I$200="A")+($J$15:$J$200="A")+($K$15:$K$200="A")+($L$15:$L$200="A")+($M$15:$M$200="A")))</f>
        <v>0</v>
      </c>
      <c r="E7" s="60">
        <f>SUMPRODUCT(($B$15:$B$200="Market Risk")*(($D$15:$D$200="R")+($E$15:$E$200="R")+($F$15:$F$200="R")+($G$15:$G$200="R")+($H$15:$H$200="R")+($I$15:$I$200="R")+($J$15:$J$200="R")+($K$15:$K$200="R")+($L$15:$L$200="R")+($M$15:$M$200="R")))</f>
        <v>0</v>
      </c>
      <c r="F7" s="18">
        <f>SUM(B7:E7)</f>
        <v>2</v>
      </c>
    </row>
    <row r="8" spans="1:13" ht="18" customHeight="1" x14ac:dyDescent="0.2">
      <c r="A8" s="61" t="s">
        <v>14</v>
      </c>
      <c r="B8" s="57">
        <f>SUMPRODUCT(($B$15:$B$200="Liquidity Risk")*(($D$15:$D$200="G")+($E$15:$E$200="G")+($F$15:$F$200="G")+($G$15:$G$200="G")+($H$15:$H$200="G")+($I$15:$I$200="G")+($J$15:$J$200="G")+($K$15:$K$200="G")+($L$15:$L$200="G")+($M$15:$M$200="G")))</f>
        <v>0</v>
      </c>
      <c r="C8" s="58">
        <f>SUMPRODUCT(($B$15:$B$200="Liquidity Risk")*(($D$15:$D$200="AG")+($E$15:$E$200="AG")+($F$15:$F$200="AG")+($G$15:$G$200="AG")+($H$15:$H$200="AG")+($I$15:$I$200="AG")+($J$15:$J$200="AG")+($K$15:$K$200="AG")+($L$15:$L$200="AG")+($M$15:$M$200="AG")))</f>
        <v>0</v>
      </c>
      <c r="D8" s="59">
        <f>SUMPRODUCT(($B$15:$B$200="Liquidity Risk")*(($D$15:$D$200="A")+($E$15:$E$200="A")+($F$15:$F$200="A")+($G$15:$G$200="A")+($H$15:$H$200="A")+($I$15:$I$200="A")+($J$15:$J$200="A")+($K$15:$K$200="A")+($L$15:$L$200="A")+($M$15:$M$200="A")))</f>
        <v>0</v>
      </c>
      <c r="E8" s="60">
        <f>SUMPRODUCT(($B$15:$B$200="Liquidity Risk")*(($D$15:$D$200="R")+($E$15:$E$200="R")+($F$15:$F$200="R")+($G$15:$G$200="R")+($H$15:$H$200="R")+($I$15:$I$200="R")+($J$15:$J$200="R")+($K$15:$K$200="R")+($L$15:$L$200="R")+($M$15:$M$200="R")))</f>
        <v>0</v>
      </c>
      <c r="F8" s="19">
        <f>SUM(B8:E8)</f>
        <v>0</v>
      </c>
    </row>
    <row r="9" spans="1:13" ht="18" customHeight="1" x14ac:dyDescent="0.2">
      <c r="A9" s="56" t="s">
        <v>15</v>
      </c>
      <c r="B9" s="57">
        <f>SUMPRODUCT(($B$15:$B$200="Counterparty / CCR")*(($D$15:$D$200="G")+($E$15:$E$200="G")+($F$15:$F$200="G")+($G$15:$G$200="G")+($H$15:$H$200="G")+($I$15:$I$200="G")+($J$15:$J$200="G")+($K$15:$K$200="G")+($L$15:$L$200="G")+($M$15:$M$200="G")))</f>
        <v>0</v>
      </c>
      <c r="C9" s="58">
        <f>SUMPRODUCT(($B$15:$B$200="Counterparty / CCR")*(($D$15:$D$200="AG")+($E$15:$E$200="AG")+($F$15:$F$200="AG")+($G$15:$G$200="AG")+($H$15:$H$200="AG")+($I$15:$I$200="AG")+($J$15:$J$200="AG")+($K$15:$K$200="AG")+($L$15:$L$200="AG")+($M$15:$M$200="AG")))</f>
        <v>0</v>
      </c>
      <c r="D9" s="59">
        <f>SUMPRODUCT(($B$15:$B$200="Counterparty / CCR")*(($D$15:$D$200="A")+($E$15:$E$200="A")+($F$15:$F$200="A")+($G$15:$G$200="A")+($H$15:$H$200="A")+($I$15:$I$200="A")+($J$15:$J$200="A")+($K$15:$K$200="A")+($L$15:$L$200="A")+($M$15:$M$200="A")))</f>
        <v>0</v>
      </c>
      <c r="E9" s="60">
        <f>SUMPRODUCT(($B$15:$B$200="Counterparty / CCR")*(($D$15:$D$200="R")+($E$15:$E$200="R")+($F$15:$F$200="R")+($G$15:$G$200="R")+($H$15:$H$200="R")+($I$15:$I$200="R")+($J$15:$J$200="R")+($K$15:$K$200="R")+($L$15:$L$200="R")+($M$15:$M$200="R")))</f>
        <v>0</v>
      </c>
      <c r="F9" s="18">
        <f>SUM(B9:E9)</f>
        <v>0</v>
      </c>
    </row>
    <row r="10" spans="1:13" ht="18" customHeight="1" x14ac:dyDescent="0.2">
      <c r="A10" s="61" t="s">
        <v>16</v>
      </c>
      <c r="B10" s="57">
        <f>SUMPRODUCT(($B$15:$B$200="Sustainability")*(($D$15:$D$200="G")+($E$15:$E$200="G")+($F$15:$F$200="G")+($G$15:$G$200="G")+($H$15:$H$200="G")+($I$15:$I$200="G")+($J$15:$J$200="G")+($K$15:$K$200="G")+($L$15:$L$200="G")+($M$15:$M$200="G")))</f>
        <v>1</v>
      </c>
      <c r="C10" s="58">
        <f>SUMPRODUCT(($B$15:$B$200="Sustainability")*(($D$15:$D$200="AG")+($E$15:$E$200="AG")+($F$15:$F$200="AG")+($G$15:$G$200="AG")+($H$15:$H$200="AG")+($I$15:$I$200="AG")+($J$15:$J$200="AG")+($K$15:$K$200="AG")+($L$15:$L$200="AG")+($M$15:$M$200="AG")))</f>
        <v>0</v>
      </c>
      <c r="D10" s="59">
        <f>SUMPRODUCT(($B$15:$B$200="Sustainability")*(($D$15:$D$200="A")+($E$15:$E$200="A")+($F$15:$F$200="A")+($G$15:$G$200="A")+($H$15:$H$200="A")+($I$15:$I$200="A")+($J$15:$J$200="A")+($K$15:$K$200="A")+($L$15:$L$200="A")+($M$15:$M$200="A")))</f>
        <v>0</v>
      </c>
      <c r="E10" s="60">
        <f>SUMPRODUCT(($B$15:$B$200="Sustainability")*(($D$15:$D$200="R")+($E$15:$E$200="R")+($F$15:$F$200="R")+($G$15:$G$200="R")+($H$15:$H$200="R")+($I$15:$I$200="R")+($J$15:$J$200="R")+($K$15:$K$200="R")+($L$15:$L$200="R")+($M$15:$M$200="R")))</f>
        <v>0</v>
      </c>
      <c r="F10" s="19">
        <f>SUM(B10:E10)</f>
        <v>1</v>
      </c>
    </row>
    <row r="11" spans="1:13" ht="18" customHeight="1" x14ac:dyDescent="0.2">
      <c r="A11" s="56" t="s">
        <v>17</v>
      </c>
      <c r="B11" s="57">
        <f>SUMPRODUCT(($B$15:$B$200="Performance")*(($D$15:$D$200="G")+($E$15:$E$200="G")+($F$15:$F$200="G")+($G$15:$G$200="G")+($H$15:$H$200="G")+($I$15:$I$200="G")+($J$15:$J$200="G")+($K$15:$K$200="G")+($L$15:$L$200="G")+($M$15:$M$200="G")))</f>
        <v>0</v>
      </c>
      <c r="C11" s="58">
        <f>SUMPRODUCT(($B$15:$B$200="Performance")*(($D$15:$D$200="AG")+($E$15:$E$200="AG")+($F$15:$F$200="AG")+($G$15:$G$200="AG")+($H$15:$H$200="AG")+($I$15:$I$200="AG")+($J$15:$J$200="AG")+($K$15:$K$200="AG")+($L$15:$L$200="AG")+($M$15:$M$200="AG")))</f>
        <v>0</v>
      </c>
      <c r="D11" s="59">
        <f>SUMPRODUCT(($B$15:$B$200="Performance")*(($D$15:$D$200="A")+($E$15:$E$200="A")+($F$15:$F$200="A")+($G$15:$G$200="A")+($H$15:$H$200="A")+($I$15:$I$200="A")+($J$15:$J$200="A")+($K$15:$K$200="A")+($L$15:$L$200="A")+($M$15:$M$200="A")))</f>
        <v>0</v>
      </c>
      <c r="E11" s="60">
        <f>SUMPRODUCT(($B$15:$B$200="Performance")*(($D$15:$D$200="R")+($E$15:$E$200="R")+($F$15:$F$200="R")+($G$15:$G$200="R")+($H$15:$H$200="R")+($I$15:$I$200="R")+($J$15:$J$200="R")+($K$15:$K$200="R")+($L$15:$L$200="R")+($M$15:$M$200="R")))</f>
        <v>0</v>
      </c>
      <c r="F11" s="18">
        <f>SUM(B11:E11)</f>
        <v>0</v>
      </c>
    </row>
    <row r="12" spans="1:13" ht="20" customHeight="1" x14ac:dyDescent="0.2">
      <c r="A12" s="62" t="s">
        <v>55</v>
      </c>
      <c r="B12" s="63">
        <f>SUM(B7:B11)</f>
        <v>3</v>
      </c>
      <c r="C12" s="64">
        <f>SUM(C7:C11)</f>
        <v>0</v>
      </c>
      <c r="D12" s="65">
        <f>SUM(D7:D11)</f>
        <v>0</v>
      </c>
      <c r="E12" s="66">
        <f>SUM(E7:E11)</f>
        <v>0</v>
      </c>
      <c r="F12" s="20">
        <f>SUM(F7:F11)</f>
        <v>3</v>
      </c>
    </row>
    <row r="13" spans="1:13" ht="8" customHeight="1" x14ac:dyDescent="0.2"/>
    <row r="14" spans="1:13" ht="22" customHeight="1" x14ac:dyDescent="0.2">
      <c r="A14" s="101" t="s">
        <v>268</v>
      </c>
      <c r="B14" s="102"/>
      <c r="C14" s="102"/>
      <c r="D14" s="102"/>
      <c r="E14" s="67"/>
      <c r="F14" s="67"/>
      <c r="G14" s="67"/>
      <c r="H14" s="67"/>
      <c r="I14" s="67"/>
      <c r="J14" s="67"/>
      <c r="K14" s="67"/>
      <c r="L14" s="67"/>
      <c r="M14" s="67"/>
    </row>
    <row r="15" spans="1:13" ht="22" customHeight="1" x14ac:dyDescent="0.2">
      <c r="A15" s="68" t="s">
        <v>106</v>
      </c>
      <c r="B15" s="68" t="s">
        <v>107</v>
      </c>
      <c r="C15" s="68" t="s">
        <v>108</v>
      </c>
      <c r="D15" s="68" t="s">
        <v>269</v>
      </c>
    </row>
    <row r="16" spans="1:13" ht="17" customHeight="1" x14ac:dyDescent="0.2">
      <c r="A16" s="21" t="s">
        <v>270</v>
      </c>
      <c r="B16" s="22" t="s">
        <v>13</v>
      </c>
      <c r="C16" s="23" t="s">
        <v>271</v>
      </c>
      <c r="D16" s="15" t="s">
        <v>118</v>
      </c>
    </row>
    <row r="17" spans="1:5" ht="17" customHeight="1" x14ac:dyDescent="0.2">
      <c r="A17" s="24" t="s">
        <v>272</v>
      </c>
      <c r="B17" s="3" t="s">
        <v>13</v>
      </c>
      <c r="C17" s="25" t="s">
        <v>165</v>
      </c>
      <c r="D17" s="15" t="s">
        <v>118</v>
      </c>
    </row>
    <row r="18" spans="1:5" ht="17" customHeight="1" x14ac:dyDescent="0.2">
      <c r="A18" s="21" t="s">
        <v>16</v>
      </c>
      <c r="B18" s="22" t="s">
        <v>16</v>
      </c>
      <c r="C18" s="23"/>
      <c r="D18" s="15" t="s">
        <v>118</v>
      </c>
    </row>
    <row r="19" spans="1:5" ht="17" customHeight="1" x14ac:dyDescent="0.2">
      <c r="A19" s="2"/>
      <c r="B19" s="2"/>
      <c r="C19" s="2"/>
      <c r="D19" s="2"/>
      <c r="E19" s="2"/>
    </row>
    <row r="20" spans="1:5" ht="17" customHeight="1" x14ac:dyDescent="0.2">
      <c r="A20" s="2"/>
      <c r="B20" s="2"/>
      <c r="C20" s="2"/>
      <c r="D20" s="2"/>
      <c r="E20" s="2"/>
    </row>
    <row r="21" spans="1:5" ht="17" customHeight="1" x14ac:dyDescent="0.2">
      <c r="A21" s="2"/>
      <c r="B21" s="2"/>
      <c r="C21" s="2"/>
      <c r="D21" s="2"/>
      <c r="E21" s="2"/>
    </row>
    <row r="22" spans="1:5" ht="17" customHeight="1" x14ac:dyDescent="0.2">
      <c r="A22" s="2"/>
      <c r="B22" s="2"/>
      <c r="C22" s="2"/>
      <c r="D22" s="2"/>
      <c r="E22" s="2"/>
    </row>
    <row r="23" spans="1:5" ht="17" customHeight="1" x14ac:dyDescent="0.2">
      <c r="A23" s="2"/>
      <c r="B23" s="2"/>
      <c r="C23" s="2"/>
      <c r="D23" s="2"/>
      <c r="E23" s="2"/>
    </row>
  </sheetData>
  <mergeCells count="6">
    <mergeCell ref="A14:D14"/>
    <mergeCell ref="B4:F4"/>
    <mergeCell ref="A2:F2"/>
    <mergeCell ref="A6"/>
    <mergeCell ref="A1:F1"/>
    <mergeCell ref="B3:F3"/>
  </mergeCells>
  <conditionalFormatting sqref="D16:M200">
    <cfRule type="cellIs" dxfId="3" priority="1" stopIfTrue="1" operator="equal">
      <formula>"G"</formula>
    </cfRule>
    <cfRule type="cellIs" dxfId="2" priority="2" stopIfTrue="1" operator="equal">
      <formula>"AG"</formula>
    </cfRule>
    <cfRule type="cellIs" dxfId="1" priority="3" stopIfTrue="1" operator="equal">
      <formula>"A"</formula>
    </cfRule>
    <cfRule type="cellIs" dxfId="0" priority="4" stopIfTrue="1" operator="equal">
      <formula>"R"</formula>
    </cfRule>
  </conditionalFormatting>
  <dataValidations count="1">
    <dataValidation type="list" allowBlank="1" showInputMessage="1" showErrorMessage="1" errorTitle="Invalid RAG" error="Enter G, AG, A, or R only." promptTitle="RAG Rating" prompt="G=Green  AG=Amber-Green  A=Amber  R=Red" sqref="D16:M200" xr:uid="{00000000-0002-0000-0F00-000000000000}">
      <formula1>"G,AG,A,R"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CRO Charts</vt:lpstr>
      <vt:lpstr>Data Guide</vt:lpstr>
      <vt:lpstr>DL</vt:lpstr>
      <vt:lpstr>InfraDebt</vt:lpstr>
      <vt:lpstr>RCF</vt:lpstr>
      <vt:lpstr>NAV</vt:lpstr>
      <vt:lpstr>TWCS</vt:lpstr>
      <vt:lpstr>HAIL RE</vt:lpstr>
      <vt:lpstr>HTRE RE</vt:lpstr>
      <vt:lpstr>RE Asia</vt:lpstr>
      <vt:lpstr>REIM</vt:lpstr>
      <vt:lpstr>ETI</vt:lpstr>
      <vt:lpstr>HF</vt:lpstr>
      <vt:lpstr>PrivMkts</vt:lpstr>
      <vt:lpstr>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2026-06-16T12:46:06Z</dcterms:created>
  <dcterms:modified xsi:type="dcterms:W3CDTF">2026-06-16T13:27:45Z</dcterms:modified>
</cp:coreProperties>
</file>