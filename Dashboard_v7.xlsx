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oard Charts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DL" sheetId="5" state="visible" r:id="rId5"/>
    <sheet xmlns:r="http://schemas.openxmlformats.org/officeDocument/2006/relationships" name="InfraDebt" sheetId="6" state="visible" r:id="rId6"/>
    <sheet xmlns:r="http://schemas.openxmlformats.org/officeDocument/2006/relationships" name="RCF" sheetId="7" state="visible" r:id="rId7"/>
    <sheet xmlns:r="http://schemas.openxmlformats.org/officeDocument/2006/relationships" name="NAV" sheetId="8" state="visible" r:id="rId8"/>
    <sheet xmlns:r="http://schemas.openxmlformats.org/officeDocument/2006/relationships" name="TWCS" sheetId="9" state="visible" r:id="rId9"/>
    <sheet xmlns:r="http://schemas.openxmlformats.org/officeDocument/2006/relationships" name="HAIL RE" sheetId="10" state="visible" r:id="rId10"/>
    <sheet xmlns:r="http://schemas.openxmlformats.org/officeDocument/2006/relationships" name="HTRE RE" sheetId="11" state="visible" r:id="rId11"/>
    <sheet xmlns:r="http://schemas.openxmlformats.org/officeDocument/2006/relationships" name="RE Asia" sheetId="12" state="visible" r:id="rId12"/>
    <sheet xmlns:r="http://schemas.openxmlformats.org/officeDocument/2006/relationships" name="REIM" sheetId="13" state="visible" r:id="rId13"/>
    <sheet xmlns:r="http://schemas.openxmlformats.org/officeDocument/2006/relationships" name="ETI" sheetId="14" state="visible" r:id="rId14"/>
    <sheet xmlns:r="http://schemas.openxmlformats.org/officeDocument/2006/relationships" name="HF" sheetId="15" state="visible" r:id="rId15"/>
    <sheet xmlns:r="http://schemas.openxmlformats.org/officeDocument/2006/relationships" name="PrivMkts" sheetId="16" state="visible" r:id="rId16"/>
    <sheet xmlns:r="http://schemas.openxmlformats.org/officeDocument/2006/relationships" name="VC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8">
    <font>
      <name val="Calibri"/>
      <family val="2"/>
      <color theme="1"/>
      <sz val="11"/>
      <scheme val="minor"/>
    </font>
    <font>
      <name val="Aptos Narrow"/>
      <b val="1"/>
      <color rgb="FFFFFFFF"/>
      <sz val="14"/>
    </font>
    <font>
      <name val="Aptos Narrow"/>
      <b val="1"/>
      <color rgb="FFC00000"/>
      <sz val="11"/>
    </font>
    <font>
      <name val="Aptos Narrow"/>
      <color rgb="FF000000"/>
      <sz val="11"/>
    </font>
    <font>
      <name val="Aptos Narrow"/>
      <b val="1"/>
      <color rgb="FFFFFFFF"/>
      <sz val="10"/>
    </font>
    <font>
      <name val="Aptos Narrow"/>
      <b val="1"/>
      <color rgb="FF595959"/>
      <sz val="9"/>
    </font>
    <font>
      <name val="Aptos Narrow"/>
      <b val="1"/>
      <color rgb="FF1F3864"/>
      <sz val="22"/>
    </font>
    <font>
      <name val="Aptos Narrow"/>
      <b val="1"/>
      <color rgb="FF548235"/>
      <sz val="22"/>
    </font>
    <font>
      <name val="Aptos Narrow"/>
      <b val="1"/>
      <color rgb="FFED7D31"/>
      <sz val="22"/>
    </font>
    <font>
      <name val="Aptos Narrow"/>
      <b val="1"/>
      <color rgb="FFC00000"/>
      <sz val="22"/>
    </font>
    <font>
      <name val="Aptos Narrow"/>
      <b val="1"/>
      <color rgb="FFFFFFFF"/>
      <sz val="9"/>
    </font>
    <font>
      <name val="Aptos Narrow"/>
      <color rgb="FF000000"/>
      <sz val="10"/>
    </font>
    <font>
      <name val="Aptos Narrow"/>
      <b val="1"/>
      <color rgb="FF000000"/>
      <sz val="10"/>
    </font>
    <font>
      <name val="Aptos Narrow"/>
      <b val="1"/>
      <color rgb="FF1F3864"/>
      <sz val="10"/>
    </font>
    <font>
      <name val="Aptos Narrow"/>
      <i val="1"/>
      <color rgb="FF808080"/>
      <sz val="10"/>
    </font>
    <font>
      <name val="Aptos Narrow"/>
      <b val="1"/>
      <color rgb="FFFFFFFF"/>
      <sz val="12"/>
    </font>
    <font>
      <name val="Aptos Narrow"/>
      <b val="1"/>
      <color rgb="FFFFFFFF"/>
      <sz val="13"/>
    </font>
    <font>
      <name val="Aptos Narrow"/>
      <b val="1"/>
      <color rgb="FF1F3864"/>
      <sz val="11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2E5E8C"/>
      </patternFill>
    </fill>
    <fill>
      <patternFill patternType="solid">
        <fgColor rgb="FF3E7A5E"/>
      </patternFill>
    </fill>
    <fill>
      <patternFill patternType="solid">
        <fgColor rgb="FF6A4E8C"/>
      </patternFill>
    </fill>
    <fill>
      <patternFill patternType="solid">
        <fgColor rgb="FF548235"/>
      </patternFill>
    </fill>
    <fill>
      <patternFill patternType="solid">
        <fgColor rgb="FFFFD966"/>
      </patternFill>
    </fill>
    <fill>
      <patternFill patternType="solid">
        <fgColor rgb="FFED7D31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1" fontId="6" fillId="4" borderId="0" applyAlignment="1" pivotButton="0" quotePrefix="0" xfId="0">
      <alignment horizontal="center" vertical="center" wrapText="1"/>
    </xf>
    <xf numFmtId="9" fontId="7" fillId="4" borderId="0" applyAlignment="1" pivotButton="0" quotePrefix="0" xfId="0">
      <alignment horizontal="center" vertical="center" wrapText="1"/>
    </xf>
    <xf numFmtId="1" fontId="8" fillId="4" borderId="0" applyAlignment="1" pivotButton="0" quotePrefix="0" xfId="0">
      <alignment horizontal="center" vertical="center" wrapText="1"/>
    </xf>
    <xf numFmtId="1" fontId="9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9" fontId="11" fillId="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9" fontId="12" fillId="1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4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2" fontId="11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164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2" fontId="11" fillId="1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1" fontId="11" fillId="12" borderId="1" applyAlignment="1" pivotButton="0" quotePrefix="0" xfId="0">
      <alignment horizontal="center" vertical="center" wrapText="1"/>
    </xf>
    <xf numFmtId="1" fontId="11" fillId="14" borderId="1" applyAlignment="1" pivotButton="0" quotePrefix="0" xfId="0">
      <alignment horizontal="center" vertical="center" wrapText="1"/>
    </xf>
    <xf numFmtId="17" fontId="11" fillId="12" borderId="1" applyAlignment="1" pivotButton="0" quotePrefix="0" xfId="0">
      <alignment horizontal="center" vertical="center" wrapText="1"/>
    </xf>
    <xf numFmtId="3" fontId="11" fillId="12" borderId="1" applyAlignment="1" pivotButton="0" quotePrefix="0" xfId="0">
      <alignment horizontal="center" vertical="center" wrapText="1"/>
    </xf>
    <xf numFmtId="3" fontId="11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Aptos Narrow"/>
        <b val="1"/>
        <color rgb="FF000000"/>
        <sz val="10"/>
      </font>
      <fill>
        <patternFill patternType="solid">
          <fgColor rgb="FFFFD966"/>
        </patternFill>
      </fill>
    </dxf>
    <dxf>
      <font>
        <name val="Aptos Narrow"/>
        <b val="1"/>
        <color rgb="FF000000"/>
        <sz val="10"/>
      </font>
      <fill>
        <patternFill patternType="solid">
          <fgColor rgb="FFED7D31"/>
        </patternFill>
      </fill>
    </dxf>
    <dxf>
      <font>
        <name val="Aptos Narrow"/>
        <b val="1"/>
        <color rgb="FFFFFFFF"/>
        <sz val="10"/>
      </font>
      <fill>
        <patternFill patternType="solid">
          <fgColor rgb="FFC00000"/>
        </patternFill>
      </fill>
    </dxf>
    <dxf>
      <font>
        <name val="Aptos Narrow"/>
        <b val="1"/>
        <color rgb="FFFFFFFF"/>
        <sz val="10"/>
      </font>
      <fill>
        <patternFill patternType="solid">
          <fgColor rgb="FF54823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What needs attention — Red &amp; Amber MATs by strategy (worst first)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'Board Charts'!C3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'Board Charts'!$B$4:$B$16</f>
            </numRef>
          </cat>
          <val>
            <numRef>
              <f>'Board Charts'!$C$4:$C$16</f>
            </numRef>
          </val>
        </ser>
        <ser>
          <idx val="1"/>
          <order val="1"/>
          <tx>
            <strRef>
              <f>'Board Charts'!D3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'Board Charts'!$B$4:$B$16</f>
            </numRef>
          </cat>
          <val>
            <numRef>
              <f>'Board Charts'!$D$4:$D$16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the risk sits — non-green MATs by asset class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'Board Charts'!C21</f>
            </strRef>
          </tx>
          <spPr>
            <a:solidFill xmlns:a="http://schemas.openxmlformats.org/drawingml/2006/main">
              <a:srgbClr val="FFD966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'Board Charts'!$A$22:$A$24</f>
            </numRef>
          </cat>
          <val>
            <numRef>
              <f>'Board Charts'!$C$22:$C$24</f>
            </numRef>
          </val>
        </ser>
        <ser>
          <idx val="1"/>
          <order val="1"/>
          <tx>
            <strRef>
              <f>'Board Charts'!D21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'Board Charts'!$A$22:$A$24</f>
            </numRef>
          </cat>
          <val>
            <numRef>
              <f>'Board Charts'!$D$22:$D$24</f>
            </numRef>
          </val>
        </ser>
        <ser>
          <idx val="2"/>
          <order val="2"/>
          <tx>
            <strRef>
              <f>'Board Charts'!E21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'Board Charts'!$A$22:$A$24</f>
            </numRef>
          </cat>
          <val>
            <numRef>
              <f>'Board Charts'!$E$22:$E$24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Direction of travel — non-green MATs by quarter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'History'!C4</f>
            </strRef>
          </tx>
          <spPr>
            <a:solidFill xmlns:a="http://schemas.openxmlformats.org/drawingml/2006/main">
              <a:srgbClr val="FFD966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'History'!$A$5:$A$8</f>
            </numRef>
          </cat>
          <val>
            <numRef>
              <f>'History'!$C$5:$C$8</f>
            </numRef>
          </val>
        </ser>
        <ser>
          <idx val="1"/>
          <order val="1"/>
          <tx>
            <strRef>
              <f>'History'!D4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'History'!$A$5:$A$8</f>
            </numRef>
          </cat>
          <val>
            <numRef>
              <f>'History'!$D$5:$D$8</f>
            </numRef>
          </val>
        </ser>
        <ser>
          <idx val="2"/>
          <order val="2"/>
          <tx>
            <strRef>
              <f>'History'!E4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9525">
              <a:solidFill>
                <a:srgbClr val="FFFFFF"/>
              </a:solidFill>
              <a:prstDash val="solid"/>
            </a:ln>
          </spPr>
          <cat>
            <numRef>
              <f>'History'!$A$5:$A$8</f>
            </numRef>
          </cat>
          <val>
            <numRef>
              <f>'History'!$E$5:$E$8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34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26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A1" s="1" t="inlineStr">
        <is>
          <t>MAT MONITORING WORKBOOK — HOW TO USE</t>
        </is>
      </c>
      <c r="B1" s="2" t="n"/>
    </row>
    <row r="3" ht="8" customHeight="1">
      <c r="A3" s="3" t="inlineStr"/>
      <c r="B3" s="4" t="inlineStr"/>
    </row>
    <row r="4" ht="30" customHeight="1">
      <c r="A4" s="3" t="inlineStr">
        <is>
          <t>1.</t>
        </is>
      </c>
      <c r="B4" s="4" t="inlineStr">
        <is>
          <t>Go to the strategy tab (coloured by asset class: blue = Private Credit, green = Real Assets, purple = Priv Mkts &amp; HF).</t>
        </is>
      </c>
    </row>
    <row r="5" ht="30" customHeight="1">
      <c r="A5" s="3" t="inlineStr">
        <is>
          <t>2.</t>
        </is>
      </c>
      <c r="B5" s="4" t="inlineStr">
        <is>
          <t>Paste the ops team data block into the YELLOW grid (STEP 1 zone). Use Paste Special → Values so formatting is preserved. The rows and columns match the ops submission exactly — no re-keying.</t>
        </is>
      </c>
    </row>
    <row r="6" ht="30" customHeight="1">
      <c r="A6" s="3" t="inlineStr">
        <is>
          <t>3.</t>
        </is>
      </c>
      <c r="B6" s="4" t="inlineStr">
        <is>
          <t>That's it. The RAG layer, the strategy summary, the Dashboard and the Board Charts all populate instantly.</t>
        </is>
      </c>
    </row>
    <row r="7" ht="8" customHeight="1">
      <c r="A7" s="3" t="inlineStr"/>
      <c r="B7" s="4" t="inlineStr"/>
    </row>
    <row r="8" ht="30" customHeight="1">
      <c r="A8" s="3" t="inlineStr">
        <is>
          <t>•</t>
        </is>
      </c>
      <c r="B8" s="4" t="inlineStr">
        <is>
          <t>OVERRIDES — a risk manager can type G / AG / A / R directly over any auto-RAG cell (e.g. the 'any single Red asset' rule that a % can't capture). Overrides flow through to everything.</t>
        </is>
      </c>
    </row>
    <row r="9" ht="30" customHeight="1">
      <c r="A9" s="3" t="inlineStr">
        <is>
          <t>•</t>
        </is>
      </c>
      <c r="B9" s="4" t="inlineStr">
        <is>
          <t>THRESHOLDS — the pale-green cells (columns O–Q of the RAG zone) hold the trigger levels. Edit them there; formulas pick them up. Blank = level skipped.</t>
        </is>
      </c>
    </row>
    <row r="10" ht="30" customHeight="1">
      <c r="A10" s="3" t="inlineStr">
        <is>
          <t>•</t>
        </is>
      </c>
      <c r="B10" s="4" t="inlineStr">
        <is>
          <t>'n/a' in a paste cell = MAT not applicable; RAG stays blank and is excluded from all counts.</t>
        </is>
      </c>
    </row>
    <row r="11" ht="30" customHeight="1">
      <c r="A11" s="3" t="inlineStr">
        <is>
          <t>•</t>
        </is>
      </c>
      <c r="B11" s="4" t="inlineStr">
        <is>
          <t>Date MATs (maturities, exit dates) re-grade automatically as time passes (they compare to TODAY()).</t>
        </is>
      </c>
    </row>
    <row r="12" ht="8" customHeight="1">
      <c r="A12" s="3" t="inlineStr"/>
      <c r="B12" s="4" t="inlineStr"/>
    </row>
    <row r="13" ht="30" customHeight="1">
      <c r="A13" s="3" t="inlineStr"/>
      <c r="B13" s="4" t="inlineStr">
        <is>
          <t>RAG scale:  G = nothing triggered  |  AG = triggered, not material — monitor  |  A = material, plan on track  |  R = material, no plan / off track — escalate to CRO.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I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2" customWidth="1" min="8" max="8"/>
    <col width="52" customWidth="1" min="9" max="9"/>
  </cols>
  <sheetData>
    <row r="1" ht="28" customHeight="1">
      <c r="A1" s="1" t="inlineStr">
        <is>
          <t>HSBC ASSET MANAGEMENT  |  ALTERNATIVES — MATERIAL ACTION TRIGGERS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5" t="inlineStr">
        <is>
          <t>Board view — all figures update automatically from strategy tabs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4" ht="14" customHeight="1">
      <c r="A4" s="7" t="inlineStr">
        <is>
          <t>MATs ASSESSED</t>
        </is>
      </c>
      <c r="C4" s="7" t="inlineStr">
        <is>
          <t>% GREEN</t>
        </is>
      </c>
      <c r="E4" s="7" t="inlineStr">
        <is>
          <t>AMBER (A)</t>
        </is>
      </c>
      <c r="G4" s="7" t="inlineStr">
        <is>
          <t>RED (R)</t>
        </is>
      </c>
      <c r="H4" s="7" t="inlineStr">
        <is>
          <t>STRATEGIES FLAGGED</t>
        </is>
      </c>
    </row>
    <row r="5" ht="34" customHeight="1">
      <c r="A5" s="8">
        <f>SUM(C10:F22)</f>
        <v/>
      </c>
      <c r="C5" s="9">
        <f>SUM(C10:C22)/MAX(1,SUM(C10:F22))</f>
        <v/>
      </c>
      <c r="E5" s="10">
        <f>SUM(E10:E22)</f>
        <v/>
      </c>
      <c r="G5" s="11">
        <f>SUM(F10:F22)</f>
        <v/>
      </c>
      <c r="H5" s="11">
        <f>SUMPRODUCT(--((E10:E22+F10:F22)&gt;0))</f>
        <v/>
      </c>
    </row>
    <row r="9" ht="22" customHeight="1">
      <c r="A9" s="12" t="inlineStr">
        <is>
          <t>Asset class</t>
        </is>
      </c>
      <c r="B9" s="12" t="inlineStr">
        <is>
          <t>Strategy</t>
        </is>
      </c>
      <c r="C9" s="12" t="inlineStr">
        <is>
          <t>G</t>
        </is>
      </c>
      <c r="D9" s="12" t="inlineStr">
        <is>
          <t>AG</t>
        </is>
      </c>
      <c r="E9" s="12" t="inlineStr">
        <is>
          <t>A</t>
        </is>
      </c>
      <c r="F9" s="12" t="inlineStr">
        <is>
          <t>R</t>
        </is>
      </c>
      <c r="G9" s="12" t="inlineStr">
        <is>
          <t>Total</t>
        </is>
      </c>
      <c r="H9" s="12" t="inlineStr">
        <is>
          <t>Status</t>
        </is>
      </c>
      <c r="I9" s="12" t="inlineStr">
        <is>
          <t>Funds flagged (A or R)</t>
        </is>
      </c>
    </row>
    <row r="10" ht="16" customHeight="1">
      <c r="A10" s="13" t="inlineStr">
        <is>
          <t>Private Credit</t>
        </is>
      </c>
      <c r="B10" s="14" t="inlineStr">
        <is>
          <t>Direct Lending — UK &amp; EUR Funds</t>
        </is>
      </c>
      <c r="C10" s="15">
        <f>SUM('DL'!B32:B34)</f>
        <v/>
      </c>
      <c r="D10" s="15">
        <f>SUM('DL'!C32:C34)</f>
        <v/>
      </c>
      <c r="E10" s="15">
        <f>SUM('DL'!D32:D34)</f>
        <v/>
      </c>
      <c r="F10" s="15">
        <f>SUM('DL'!E32:E34)</f>
        <v/>
      </c>
      <c r="G10" s="16">
        <f>SUM(C10:F10)</f>
        <v/>
      </c>
      <c r="H10" s="16">
        <f>IF(F10&gt;0,"RED — escalate",IF(E10&gt;0,"AMBER — action plan",IF(D10&gt;0,"WATCH","GREEN")))</f>
        <v/>
      </c>
      <c r="I10" s="14">
        <f>TEXTJOIN(", ",TRUE,IF((('DL'!$D$20:$M$29="R")+('DL'!$D$20:$M$29="A"))&gt;0,'DL'!$D$19:$M$19,""))</f>
        <v/>
      </c>
    </row>
    <row r="11" ht="16" customHeight="1">
      <c r="A11" s="13" t="inlineStr">
        <is>
          <t>Private Credit</t>
        </is>
      </c>
      <c r="B11" s="14" t="inlineStr">
        <is>
          <t>Infrastructure Debt</t>
        </is>
      </c>
      <c r="C11" s="15">
        <f>SUM('InfraDebt'!B32:B34)</f>
        <v/>
      </c>
      <c r="D11" s="15">
        <f>SUM('InfraDebt'!C32:C34)</f>
        <v/>
      </c>
      <c r="E11" s="15">
        <f>SUM('InfraDebt'!D32:D34)</f>
        <v/>
      </c>
      <c r="F11" s="15">
        <f>SUM('InfraDebt'!E32:E34)</f>
        <v/>
      </c>
      <c r="G11" s="16">
        <f>SUM(C11:F11)</f>
        <v/>
      </c>
      <c r="H11" s="16">
        <f>IF(F11&gt;0,"RED — escalate",IF(E11&gt;0,"AMBER — action plan",IF(D11&gt;0,"WATCH","GREEN")))</f>
        <v/>
      </c>
      <c r="I11" s="14">
        <f>TEXTJOIN(", ",TRUE,IF((('InfraDebt'!$D$20:$M$29="R")+('InfraDebt'!$D$20:$M$29="A"))&gt;0,'InfraDebt'!$D$19:$M$19,""))</f>
        <v/>
      </c>
    </row>
    <row r="12" ht="16" customHeight="1">
      <c r="A12" s="13" t="inlineStr">
        <is>
          <t>Private Credit</t>
        </is>
      </c>
      <c r="B12" s="14" t="inlineStr">
        <is>
          <t>Revolving Credit Facilities</t>
        </is>
      </c>
      <c r="C12" s="15">
        <f>SUM('RCF'!B32:B34)</f>
        <v/>
      </c>
      <c r="D12" s="15">
        <f>SUM('RCF'!C32:C34)</f>
        <v/>
      </c>
      <c r="E12" s="15">
        <f>SUM('RCF'!D32:D34)</f>
        <v/>
      </c>
      <c r="F12" s="15">
        <f>SUM('RCF'!E32:E34)</f>
        <v/>
      </c>
      <c r="G12" s="16">
        <f>SUM(C12:F12)</f>
        <v/>
      </c>
      <c r="H12" s="16">
        <f>IF(F12&gt;0,"RED — escalate",IF(E12&gt;0,"AMBER — action plan",IF(D12&gt;0,"WATCH","GREEN")))</f>
        <v/>
      </c>
      <c r="I12" s="14">
        <f>TEXTJOIN(", ",TRUE,IF((('RCF'!$D$20:$M$29="R")+('RCF'!$D$20:$M$29="A"))&gt;0,'RCF'!$D$19:$M$19,""))</f>
        <v/>
      </c>
    </row>
    <row r="13" ht="16" customHeight="1">
      <c r="A13" s="13" t="inlineStr">
        <is>
          <t>Private Credit</t>
        </is>
      </c>
      <c r="B13" s="14" t="inlineStr">
        <is>
          <t>NAV Lending</t>
        </is>
      </c>
      <c r="C13" s="15">
        <f>SUM('NAV'!B32:B34)</f>
        <v/>
      </c>
      <c r="D13" s="15">
        <f>SUM('NAV'!C32:C34)</f>
        <v/>
      </c>
      <c r="E13" s="15">
        <f>SUM('NAV'!D32:D34)</f>
        <v/>
      </c>
      <c r="F13" s="15">
        <f>SUM('NAV'!E32:E34)</f>
        <v/>
      </c>
      <c r="G13" s="16">
        <f>SUM(C13:F13)</f>
        <v/>
      </c>
      <c r="H13" s="16">
        <f>IF(F13&gt;0,"RED — escalate",IF(E13&gt;0,"AMBER — action plan",IF(D13&gt;0,"WATCH","GREEN")))</f>
        <v/>
      </c>
      <c r="I13" s="14">
        <f>TEXTJOIN(", ",TRUE,IF((('NAV'!$D$20:$M$29="R")+('NAV'!$D$20:$M$29="A"))&gt;0,'NAV'!$D$19:$M$19,""))</f>
        <v/>
      </c>
    </row>
    <row r="14" ht="16" customHeight="1">
      <c r="A14" s="13" t="inlineStr">
        <is>
          <t>Private Credit</t>
        </is>
      </c>
      <c r="B14" s="14" t="inlineStr">
        <is>
          <t>Trade &amp; Working Capital Solutions</t>
        </is>
      </c>
      <c r="C14" s="15">
        <f>SUM('TWCS'!B32:B34)</f>
        <v/>
      </c>
      <c r="D14" s="15">
        <f>SUM('TWCS'!C32:C34)</f>
        <v/>
      </c>
      <c r="E14" s="15">
        <f>SUM('TWCS'!D32:D34)</f>
        <v/>
      </c>
      <c r="F14" s="15">
        <f>SUM('TWCS'!E32:E34)</f>
        <v/>
      </c>
      <c r="G14" s="16">
        <f>SUM(C14:F14)</f>
        <v/>
      </c>
      <c r="H14" s="16">
        <f>IF(F14&gt;0,"RED — escalate",IF(E14&gt;0,"AMBER — action plan",IF(D14&gt;0,"WATCH","GREEN")))</f>
        <v/>
      </c>
      <c r="I14" s="14">
        <f>TEXTJOIN(", ",TRUE,IF((('TWCS'!$D$20:$M$29="R")+('TWCS'!$D$20:$M$29="A"))&gt;0,'TWCS'!$D$19:$M$19,""))</f>
        <v/>
      </c>
    </row>
    <row r="15" ht="16" customHeight="1">
      <c r="A15" s="17" t="inlineStr">
        <is>
          <t>Real Assets</t>
        </is>
      </c>
      <c r="B15" s="14" t="inlineStr">
        <is>
          <t>HAIL Direct Real Estate</t>
        </is>
      </c>
      <c r="C15" s="15">
        <f>SUM('HAIL RE'!B32:B34)</f>
        <v/>
      </c>
      <c r="D15" s="15">
        <f>SUM('HAIL RE'!C32:C34)</f>
        <v/>
      </c>
      <c r="E15" s="15">
        <f>SUM('HAIL RE'!D32:D34)</f>
        <v/>
      </c>
      <c r="F15" s="15">
        <f>SUM('HAIL RE'!E32:E34)</f>
        <v/>
      </c>
      <c r="G15" s="16">
        <f>SUM(C15:F15)</f>
        <v/>
      </c>
      <c r="H15" s="16">
        <f>IF(F15&gt;0,"RED — escalate",IF(E15&gt;0,"AMBER — action plan",IF(D15&gt;0,"WATCH","GREEN")))</f>
        <v/>
      </c>
      <c r="I15" s="14">
        <f>TEXTJOIN(", ",TRUE,IF((('HAIL RE'!$D$20:$M$29="R")+('HAIL RE'!$D$20:$M$29="A"))&gt;0,'HAIL RE'!$D$19:$M$19,""))</f>
        <v/>
      </c>
    </row>
    <row r="16" ht="16" customHeight="1">
      <c r="A16" s="17" t="inlineStr">
        <is>
          <t>Real Assets</t>
        </is>
      </c>
      <c r="B16" s="14" t="inlineStr">
        <is>
          <t>HTRE Real Estate (European Fonds)</t>
        </is>
      </c>
      <c r="C16" s="15">
        <f>SUM('HTRE RE'!B32:B34)</f>
        <v/>
      </c>
      <c r="D16" s="15">
        <f>SUM('HTRE RE'!C32:C34)</f>
        <v/>
      </c>
      <c r="E16" s="15">
        <f>SUM('HTRE RE'!D32:D34)</f>
        <v/>
      </c>
      <c r="F16" s="15">
        <f>SUM('HTRE RE'!E32:E34)</f>
        <v/>
      </c>
      <c r="G16" s="16">
        <f>SUM(C16:F16)</f>
        <v/>
      </c>
      <c r="H16" s="16">
        <f>IF(F16&gt;0,"RED — escalate",IF(E16&gt;0,"AMBER — action plan",IF(D16&gt;0,"WATCH","GREEN")))</f>
        <v/>
      </c>
      <c r="I16" s="14">
        <f>TEXTJOIN(", ",TRUE,IF((('HTRE RE'!$D$20:$M$29="R")+('HTRE RE'!$D$20:$M$29="A"))&gt;0,'HTRE RE'!$D$19:$M$19,""))</f>
        <v/>
      </c>
    </row>
    <row r="17" ht="16" customHeight="1">
      <c r="A17" s="17" t="inlineStr">
        <is>
          <t>Real Assets</t>
        </is>
      </c>
      <c r="B17" s="14" t="inlineStr">
        <is>
          <t>Real Estate Asia</t>
        </is>
      </c>
      <c r="C17" s="15">
        <f>SUM('RE Asia'!B32:B34)</f>
        <v/>
      </c>
      <c r="D17" s="15">
        <f>SUM('RE Asia'!C32:C34)</f>
        <v/>
      </c>
      <c r="E17" s="15">
        <f>SUM('RE Asia'!D32:D34)</f>
        <v/>
      </c>
      <c r="F17" s="15">
        <f>SUM('RE Asia'!E32:E34)</f>
        <v/>
      </c>
      <c r="G17" s="16">
        <f>SUM(C17:F17)</f>
        <v/>
      </c>
      <c r="H17" s="16">
        <f>IF(F17&gt;0,"RED — escalate",IF(E17&gt;0,"AMBER — action plan",IF(D17&gt;0,"WATCH","GREEN")))</f>
        <v/>
      </c>
      <c r="I17" s="14">
        <f>TEXTJOIN(", ",TRUE,IF((('RE Asia'!$D$20:$M$29="R")+('RE Asia'!$D$20:$M$29="A"))&gt;0,'RE Asia'!$D$19:$M$19,""))</f>
        <v/>
      </c>
    </row>
    <row r="18" ht="16" customHeight="1">
      <c r="A18" s="17" t="inlineStr">
        <is>
          <t>Real Assets</t>
        </is>
      </c>
      <c r="B18" s="14" t="inlineStr">
        <is>
          <t>REIM (Real Estate Investment Mgmt)</t>
        </is>
      </c>
      <c r="C18" s="15">
        <f>SUM('REIM'!B32:B34)</f>
        <v/>
      </c>
      <c r="D18" s="15">
        <f>SUM('REIM'!C32:C34)</f>
        <v/>
      </c>
      <c r="E18" s="15">
        <f>SUM('REIM'!D32:D34)</f>
        <v/>
      </c>
      <c r="F18" s="15">
        <f>SUM('REIM'!E32:E34)</f>
        <v/>
      </c>
      <c r="G18" s="16">
        <f>SUM(C18:F18)</f>
        <v/>
      </c>
      <c r="H18" s="16">
        <f>IF(F18&gt;0,"RED — escalate",IF(E18&gt;0,"AMBER — action plan",IF(D18&gt;0,"WATCH","GREEN")))</f>
        <v/>
      </c>
      <c r="I18" s="14">
        <f>TEXTJOIN(", ",TRUE,IF((('REIM'!$D$20:$M$29="R")+('REIM'!$D$20:$M$29="A"))&gt;0,'REIM'!$D$19:$M$19,""))</f>
        <v/>
      </c>
    </row>
    <row r="19" ht="16" customHeight="1">
      <c r="A19" s="17" t="inlineStr">
        <is>
          <t>Real Assets</t>
        </is>
      </c>
      <c r="B19" s="14" t="inlineStr">
        <is>
          <t>Energy Transition Infrastructure</t>
        </is>
      </c>
      <c r="C19" s="15">
        <f>SUM('ETI'!B32:B34)</f>
        <v/>
      </c>
      <c r="D19" s="15">
        <f>SUM('ETI'!C32:C34)</f>
        <v/>
      </c>
      <c r="E19" s="15">
        <f>SUM('ETI'!D32:D34)</f>
        <v/>
      </c>
      <c r="F19" s="15">
        <f>SUM('ETI'!E32:E34)</f>
        <v/>
      </c>
      <c r="G19" s="16">
        <f>SUM(C19:F19)</f>
        <v/>
      </c>
      <c r="H19" s="16">
        <f>IF(F19&gt;0,"RED — escalate",IF(E19&gt;0,"AMBER — action plan",IF(D19&gt;0,"WATCH","GREEN")))</f>
        <v/>
      </c>
      <c r="I19" s="14">
        <f>TEXTJOIN(", ",TRUE,IF((('ETI'!$D$20:$M$29="R")+('ETI'!$D$20:$M$29="A"))&gt;0,'ETI'!$D$19:$M$19,""))</f>
        <v/>
      </c>
    </row>
    <row r="20" ht="16" customHeight="1">
      <c r="A20" s="18" t="inlineStr">
        <is>
          <t>Priv Mkts &amp; HF</t>
        </is>
      </c>
      <c r="B20" s="14" t="inlineStr">
        <is>
          <t>Hedge Funds</t>
        </is>
      </c>
      <c r="C20" s="15">
        <f>SUM('HF'!B32:B34)</f>
        <v/>
      </c>
      <c r="D20" s="15">
        <f>SUM('HF'!C32:C34)</f>
        <v/>
      </c>
      <c r="E20" s="15">
        <f>SUM('HF'!D32:D34)</f>
        <v/>
      </c>
      <c r="F20" s="15">
        <f>SUM('HF'!E32:E34)</f>
        <v/>
      </c>
      <c r="G20" s="16">
        <f>SUM(C20:F20)</f>
        <v/>
      </c>
      <c r="H20" s="16">
        <f>IF(F20&gt;0,"RED — escalate",IF(E20&gt;0,"AMBER — action plan",IF(D20&gt;0,"WATCH","GREEN")))</f>
        <v/>
      </c>
      <c r="I20" s="14">
        <f>TEXTJOIN(", ",TRUE,IF((('HF'!$D$20:$M$29="R")+('HF'!$D$20:$M$29="A"))&gt;0,'HF'!$D$19:$M$19,""))</f>
        <v/>
      </c>
    </row>
    <row r="21" ht="16" customHeight="1">
      <c r="A21" s="18" t="inlineStr">
        <is>
          <t>Priv Mkts &amp; HF</t>
        </is>
      </c>
      <c r="B21" s="14" t="inlineStr">
        <is>
          <t>Private Markets (Feeders &amp; Syndicates)</t>
        </is>
      </c>
      <c r="C21" s="15">
        <f>SUM('PrivMkts'!B32:B34)</f>
        <v/>
      </c>
      <c r="D21" s="15">
        <f>SUM('PrivMkts'!C32:C34)</f>
        <v/>
      </c>
      <c r="E21" s="15">
        <f>SUM('PrivMkts'!D32:D34)</f>
        <v/>
      </c>
      <c r="F21" s="15">
        <f>SUM('PrivMkts'!E32:E34)</f>
        <v/>
      </c>
      <c r="G21" s="16">
        <f>SUM(C21:F21)</f>
        <v/>
      </c>
      <c r="H21" s="16">
        <f>IF(F21&gt;0,"RED — escalate",IF(E21&gt;0,"AMBER — action plan",IF(D21&gt;0,"WATCH","GREEN")))</f>
        <v/>
      </c>
      <c r="I21" s="14">
        <f>TEXTJOIN(", ",TRUE,IF((('PrivMkts'!$D$20:$M$29="R")+('PrivMkts'!$D$20:$M$29="A"))&gt;0,'PrivMkts'!$D$19:$M$19,""))</f>
        <v/>
      </c>
    </row>
    <row r="22" ht="16" customHeight="1">
      <c r="A22" s="18" t="inlineStr">
        <is>
          <t>Priv Mkts &amp; HF</t>
        </is>
      </c>
      <c r="B22" s="14" t="inlineStr">
        <is>
          <t>Venture Capital</t>
        </is>
      </c>
      <c r="C22" s="15">
        <f>SUM('VC'!B32:B34)</f>
        <v/>
      </c>
      <c r="D22" s="15">
        <f>SUM('VC'!C32:C34)</f>
        <v/>
      </c>
      <c r="E22" s="15">
        <f>SUM('VC'!D32:D34)</f>
        <v/>
      </c>
      <c r="F22" s="15">
        <f>SUM('VC'!E32:E34)</f>
        <v/>
      </c>
      <c r="G22" s="16">
        <f>SUM(C22:F22)</f>
        <v/>
      </c>
      <c r="H22" s="16">
        <f>IF(F22&gt;0,"RED — escalate",IF(E22&gt;0,"AMBER — action plan",IF(D22&gt;0,"WATCH","GREEN")))</f>
        <v/>
      </c>
      <c r="I22" s="14">
        <f>TEXTJOIN(", ",TRUE,IF((('VC'!$D$20:$M$29="R")+('VC'!$D$20:$M$29="A"))&gt;0,'VC'!$D$19:$M$19,""))</f>
        <v/>
      </c>
    </row>
    <row r="23">
      <c r="A23" s="12" t="n"/>
      <c r="B23" s="19" t="inlineStr">
        <is>
          <t>TOTAL</t>
        </is>
      </c>
      <c r="C23" s="12">
        <f>SUM(C10:C22)</f>
        <v/>
      </c>
      <c r="D23" s="12">
        <f>SUM(D10:D22)</f>
        <v/>
      </c>
      <c r="E23" s="12">
        <f>SUM(E10:E22)</f>
        <v/>
      </c>
      <c r="F23" s="12">
        <f>SUM(F10:F22)</f>
        <v/>
      </c>
      <c r="G23" s="12">
        <f>SUM(G10:G22)</f>
        <v/>
      </c>
      <c r="H23" s="20" t="n"/>
      <c r="I23" s="20" t="n"/>
    </row>
    <row r="25">
      <c r="A25" s="21" t="inlineStr">
        <is>
          <t>RAG DEFINITIONS</t>
        </is>
      </c>
    </row>
    <row r="26">
      <c r="A26" s="22" t="inlineStr">
        <is>
          <t>G</t>
        </is>
      </c>
      <c r="B26" s="23" t="inlineStr">
        <is>
          <t>No MATs triggered — no action required</t>
        </is>
      </c>
    </row>
    <row r="27">
      <c r="A27" s="24" t="inlineStr">
        <is>
          <t>AG</t>
        </is>
      </c>
      <c r="B27" s="23" t="inlineStr">
        <is>
          <t>MATs triggered but not material — enhanced monitoring</t>
        </is>
      </c>
    </row>
    <row r="28">
      <c r="A28" s="25" t="inlineStr">
        <is>
          <t>A</t>
        </is>
      </c>
      <c r="B28" s="23" t="inlineStr">
        <is>
          <t>Triggered and material — action plan in place and on track</t>
        </is>
      </c>
    </row>
    <row r="29">
      <c r="A29" s="26" t="inlineStr">
        <is>
          <t>R</t>
        </is>
      </c>
      <c r="B29" s="23" t="inlineStr">
        <is>
          <t>Triggered and material — no action plan / not on track: escalate to CRO</t>
        </is>
      </c>
    </row>
    <row r="31">
      <c r="A31" s="27" t="inlineStr">
        <is>
          <t>Note: 'Funds flagged' lists a fund once per triggered MAT. Overrides typed on strategy tabs flow through automatically.</t>
        </is>
      </c>
    </row>
  </sheetData>
  <mergeCells count="4">
    <mergeCell ref="A1:I1"/>
    <mergeCell ref="H5:I5"/>
    <mergeCell ref="A2:I2"/>
    <mergeCell ref="H4:I4"/>
  </mergeCells>
  <conditionalFormatting sqref="D10:D22">
    <cfRule type="cellIs" priority="1" operator="greaterThan" dxfId="0">
      <formula>0</formula>
    </cfRule>
  </conditionalFormatting>
  <conditionalFormatting sqref="E10:E22">
    <cfRule type="cellIs" priority="2" operator="greaterThan" dxfId="1">
      <formula>0</formula>
    </cfRule>
  </conditionalFormatting>
  <conditionalFormatting sqref="F10:F22">
    <cfRule type="cellIs" priority="3" operator="greaterThan" dxfId="2">
      <formula>0</formula>
    </cfRule>
  </conditionalFormatting>
  <conditionalFormatting sqref="H10:H22">
    <cfRule type="expression" priority="4" dxfId="2" stopIfTrue="1">
      <formula>NOT(ISERROR(SEARCH("RED",H10)))</formula>
    </cfRule>
    <cfRule type="expression" priority="5" dxfId="1" stopIfTrue="1">
      <formula>NOT(ISERROR(SEARCH("AMBER",H10)))</formula>
    </cfRule>
    <cfRule type="expression" priority="6" dxfId="0" stopIfTrue="1">
      <formula>NOT(ISERROR(SEARCH("WATCH",H10)))</formula>
    </cfRule>
    <cfRule type="expression" priority="7" dxfId="3" stopIfTrue="1">
      <formula>NOT(ISERROR(SEARCH("GREEN",H10)))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10" customWidth="1" min="5" max="5"/>
    <col hidden="1" width="9" customWidth="1" min="14" max="14"/>
    <col hidden="1" width="9" customWidth="1" min="15" max="15"/>
    <col hidden="1" width="9" customWidth="1" min="16" max="16"/>
    <col hidden="1" width="9" customWidth="1" min="17" max="17"/>
    <col hidden="1" width="9" customWidth="1" min="18" max="18"/>
    <col hidden="1" width="9" customWidth="1" min="19" max="19"/>
  </cols>
  <sheetData>
    <row r="1" ht="26" customHeight="1">
      <c r="A1" s="28" t="inlineStr">
        <is>
          <t>BOARD RISK VIEW — ESCALATIONS, TREND, CONCENTRATION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>
      <c r="A3" s="12" t="inlineStr">
        <is>
          <t>#</t>
        </is>
      </c>
      <c r="B3" s="12" t="inlineStr">
        <is>
          <t>Strategy (worst first)</t>
        </is>
      </c>
      <c r="C3" s="26" t="inlineStr">
        <is>
          <t>Red</t>
        </is>
      </c>
      <c r="D3" s="25" t="inlineStr">
        <is>
          <t>Amber</t>
        </is>
      </c>
      <c r="E3" s="24" t="inlineStr">
        <is>
          <t>Watch</t>
        </is>
      </c>
      <c r="N3" s="29" t="inlineStr">
        <is>
          <t>AC</t>
        </is>
      </c>
      <c r="O3" s="29" t="inlineStr">
        <is>
          <t>Strategy</t>
        </is>
      </c>
      <c r="P3" s="29" t="inlineStr">
        <is>
          <t>AG</t>
        </is>
      </c>
      <c r="Q3" s="29" t="inlineStr">
        <is>
          <t>A</t>
        </is>
      </c>
      <c r="R3" s="29" t="inlineStr">
        <is>
          <t>R</t>
        </is>
      </c>
      <c r="S3" s="29" t="inlineStr">
        <is>
          <t>score</t>
        </is>
      </c>
    </row>
    <row r="4" ht="15" customHeight="1">
      <c r="A4" s="30" t="n">
        <v>1</v>
      </c>
      <c r="B4" s="14">
        <f>INDEX($O$4:$O$16,MATCH(LARGE($S$4:$S$16,1),$S$4:$S$16,0))</f>
        <v/>
      </c>
      <c r="C4" s="15">
        <f>INDEX($R$4:$R$16,MATCH(LARGE($S$4:$S$16,1),$S$4:$S$16,0))</f>
        <v/>
      </c>
      <c r="D4" s="15">
        <f>INDEX($Q$4:$Q$16,MATCH(LARGE($S$4:$S$16,1),$S$4:$S$16,0))</f>
        <v/>
      </c>
      <c r="E4" s="15">
        <f>INDEX($P$4:$P$16,MATCH(LARGE($S$4:$S$16,1),$S$4:$S$16,0))</f>
        <v/>
      </c>
      <c r="N4" s="27" t="inlineStr">
        <is>
          <t>Private Credit</t>
        </is>
      </c>
      <c r="O4" s="27" t="inlineStr">
        <is>
          <t>DL</t>
        </is>
      </c>
      <c r="P4" s="31">
        <f>SUM('DL'!C32:C34)</f>
        <v/>
      </c>
      <c r="Q4" s="31">
        <f>SUM('DL'!D32:D34)</f>
        <v/>
      </c>
      <c r="R4" s="31">
        <f>SUM('DL'!E32:E34)</f>
        <v/>
      </c>
      <c r="S4" s="31">
        <f>R4*10000+Q4*100+P4+ROW()/100000</f>
        <v/>
      </c>
    </row>
    <row r="5" ht="15" customHeight="1">
      <c r="A5" s="30" t="n">
        <v>2</v>
      </c>
      <c r="B5" s="14">
        <f>INDEX($O$4:$O$16,MATCH(LARGE($S$4:$S$16,2),$S$4:$S$16,0))</f>
        <v/>
      </c>
      <c r="C5" s="15">
        <f>INDEX($R$4:$R$16,MATCH(LARGE($S$4:$S$16,2),$S$4:$S$16,0))</f>
        <v/>
      </c>
      <c r="D5" s="15">
        <f>INDEX($Q$4:$Q$16,MATCH(LARGE($S$4:$S$16,2),$S$4:$S$16,0))</f>
        <v/>
      </c>
      <c r="E5" s="15">
        <f>INDEX($P$4:$P$16,MATCH(LARGE($S$4:$S$16,2),$S$4:$S$16,0))</f>
        <v/>
      </c>
      <c r="N5" s="27" t="inlineStr">
        <is>
          <t>Private Credit</t>
        </is>
      </c>
      <c r="O5" s="27" t="inlineStr">
        <is>
          <t>InfraDebt</t>
        </is>
      </c>
      <c r="P5" s="31">
        <f>SUM('InfraDebt'!C32:C34)</f>
        <v/>
      </c>
      <c r="Q5" s="31">
        <f>SUM('InfraDebt'!D32:D34)</f>
        <v/>
      </c>
      <c r="R5" s="31">
        <f>SUM('InfraDebt'!E32:E34)</f>
        <v/>
      </c>
      <c r="S5" s="31">
        <f>R5*10000+Q5*100+P5+ROW()/100000</f>
        <v/>
      </c>
    </row>
    <row r="6" ht="15" customHeight="1">
      <c r="A6" s="30" t="n">
        <v>3</v>
      </c>
      <c r="B6" s="14">
        <f>INDEX($O$4:$O$16,MATCH(LARGE($S$4:$S$16,3),$S$4:$S$16,0))</f>
        <v/>
      </c>
      <c r="C6" s="15">
        <f>INDEX($R$4:$R$16,MATCH(LARGE($S$4:$S$16,3),$S$4:$S$16,0))</f>
        <v/>
      </c>
      <c r="D6" s="15">
        <f>INDEX($Q$4:$Q$16,MATCH(LARGE($S$4:$S$16,3),$S$4:$S$16,0))</f>
        <v/>
      </c>
      <c r="E6" s="15">
        <f>INDEX($P$4:$P$16,MATCH(LARGE($S$4:$S$16,3),$S$4:$S$16,0))</f>
        <v/>
      </c>
      <c r="N6" s="27" t="inlineStr">
        <is>
          <t>Private Credit</t>
        </is>
      </c>
      <c r="O6" s="27" t="inlineStr">
        <is>
          <t>RCF</t>
        </is>
      </c>
      <c r="P6" s="31">
        <f>SUM('RCF'!C32:C34)</f>
        <v/>
      </c>
      <c r="Q6" s="31">
        <f>SUM('RCF'!D32:D34)</f>
        <v/>
      </c>
      <c r="R6" s="31">
        <f>SUM('RCF'!E32:E34)</f>
        <v/>
      </c>
      <c r="S6" s="31">
        <f>R6*10000+Q6*100+P6+ROW()/100000</f>
        <v/>
      </c>
    </row>
    <row r="7" ht="15" customHeight="1">
      <c r="A7" s="30" t="n">
        <v>4</v>
      </c>
      <c r="B7" s="14">
        <f>INDEX($O$4:$O$16,MATCH(LARGE($S$4:$S$16,4),$S$4:$S$16,0))</f>
        <v/>
      </c>
      <c r="C7" s="15">
        <f>INDEX($R$4:$R$16,MATCH(LARGE($S$4:$S$16,4),$S$4:$S$16,0))</f>
        <v/>
      </c>
      <c r="D7" s="15">
        <f>INDEX($Q$4:$Q$16,MATCH(LARGE($S$4:$S$16,4),$S$4:$S$16,0))</f>
        <v/>
      </c>
      <c r="E7" s="15">
        <f>INDEX($P$4:$P$16,MATCH(LARGE($S$4:$S$16,4),$S$4:$S$16,0))</f>
        <v/>
      </c>
      <c r="N7" s="27" t="inlineStr">
        <is>
          <t>Private Credit</t>
        </is>
      </c>
      <c r="O7" s="27" t="inlineStr">
        <is>
          <t>NAV</t>
        </is>
      </c>
      <c r="P7" s="31">
        <f>SUM('NAV'!C32:C34)</f>
        <v/>
      </c>
      <c r="Q7" s="31">
        <f>SUM('NAV'!D32:D34)</f>
        <v/>
      </c>
      <c r="R7" s="31">
        <f>SUM('NAV'!E32:E34)</f>
        <v/>
      </c>
      <c r="S7" s="31">
        <f>R7*10000+Q7*100+P7+ROW()/100000</f>
        <v/>
      </c>
    </row>
    <row r="8" ht="15" customHeight="1">
      <c r="A8" s="30" t="n">
        <v>5</v>
      </c>
      <c r="B8" s="14">
        <f>INDEX($O$4:$O$16,MATCH(LARGE($S$4:$S$16,5),$S$4:$S$16,0))</f>
        <v/>
      </c>
      <c r="C8" s="15">
        <f>INDEX($R$4:$R$16,MATCH(LARGE($S$4:$S$16,5),$S$4:$S$16,0))</f>
        <v/>
      </c>
      <c r="D8" s="15">
        <f>INDEX($Q$4:$Q$16,MATCH(LARGE($S$4:$S$16,5),$S$4:$S$16,0))</f>
        <v/>
      </c>
      <c r="E8" s="15">
        <f>INDEX($P$4:$P$16,MATCH(LARGE($S$4:$S$16,5),$S$4:$S$16,0))</f>
        <v/>
      </c>
      <c r="N8" s="27" t="inlineStr">
        <is>
          <t>Private Credit</t>
        </is>
      </c>
      <c r="O8" s="27" t="inlineStr">
        <is>
          <t>TWCS</t>
        </is>
      </c>
      <c r="P8" s="31">
        <f>SUM('TWCS'!C32:C34)</f>
        <v/>
      </c>
      <c r="Q8" s="31">
        <f>SUM('TWCS'!D32:D34)</f>
        <v/>
      </c>
      <c r="R8" s="31">
        <f>SUM('TWCS'!E32:E34)</f>
        <v/>
      </c>
      <c r="S8" s="31">
        <f>R8*10000+Q8*100+P8+ROW()/100000</f>
        <v/>
      </c>
    </row>
    <row r="9" ht="15" customHeight="1">
      <c r="A9" s="30" t="n">
        <v>6</v>
      </c>
      <c r="B9" s="14">
        <f>INDEX($O$4:$O$16,MATCH(LARGE($S$4:$S$16,6),$S$4:$S$16,0))</f>
        <v/>
      </c>
      <c r="C9" s="15">
        <f>INDEX($R$4:$R$16,MATCH(LARGE($S$4:$S$16,6),$S$4:$S$16,0))</f>
        <v/>
      </c>
      <c r="D9" s="15">
        <f>INDEX($Q$4:$Q$16,MATCH(LARGE($S$4:$S$16,6),$S$4:$S$16,0))</f>
        <v/>
      </c>
      <c r="E9" s="15">
        <f>INDEX($P$4:$P$16,MATCH(LARGE($S$4:$S$16,6),$S$4:$S$16,0))</f>
        <v/>
      </c>
      <c r="N9" s="27" t="inlineStr">
        <is>
          <t>Real Assets</t>
        </is>
      </c>
      <c r="O9" s="27" t="inlineStr">
        <is>
          <t>HAIL RE</t>
        </is>
      </c>
      <c r="P9" s="31">
        <f>SUM('HAIL RE'!C32:C34)</f>
        <v/>
      </c>
      <c r="Q9" s="31">
        <f>SUM('HAIL RE'!D32:D34)</f>
        <v/>
      </c>
      <c r="R9" s="31">
        <f>SUM('HAIL RE'!E32:E34)</f>
        <v/>
      </c>
      <c r="S9" s="31">
        <f>R9*10000+Q9*100+P9+ROW()/100000</f>
        <v/>
      </c>
    </row>
    <row r="10" ht="15" customHeight="1">
      <c r="A10" s="30" t="n">
        <v>7</v>
      </c>
      <c r="B10" s="14">
        <f>INDEX($O$4:$O$16,MATCH(LARGE($S$4:$S$16,7),$S$4:$S$16,0))</f>
        <v/>
      </c>
      <c r="C10" s="15">
        <f>INDEX($R$4:$R$16,MATCH(LARGE($S$4:$S$16,7),$S$4:$S$16,0))</f>
        <v/>
      </c>
      <c r="D10" s="15">
        <f>INDEX($Q$4:$Q$16,MATCH(LARGE($S$4:$S$16,7),$S$4:$S$16,0))</f>
        <v/>
      </c>
      <c r="E10" s="15">
        <f>INDEX($P$4:$P$16,MATCH(LARGE($S$4:$S$16,7),$S$4:$S$16,0))</f>
        <v/>
      </c>
      <c r="N10" s="27" t="inlineStr">
        <is>
          <t>Real Assets</t>
        </is>
      </c>
      <c r="O10" s="27" t="inlineStr">
        <is>
          <t>HTRE RE</t>
        </is>
      </c>
      <c r="P10" s="31">
        <f>SUM('HTRE RE'!C32:C34)</f>
        <v/>
      </c>
      <c r="Q10" s="31">
        <f>SUM('HTRE RE'!D32:D34)</f>
        <v/>
      </c>
      <c r="R10" s="31">
        <f>SUM('HTRE RE'!E32:E34)</f>
        <v/>
      </c>
      <c r="S10" s="31">
        <f>R10*10000+Q10*100+P10+ROW()/100000</f>
        <v/>
      </c>
    </row>
    <row r="11" ht="15" customHeight="1">
      <c r="A11" s="30" t="n">
        <v>8</v>
      </c>
      <c r="B11" s="14">
        <f>INDEX($O$4:$O$16,MATCH(LARGE($S$4:$S$16,8),$S$4:$S$16,0))</f>
        <v/>
      </c>
      <c r="C11" s="15">
        <f>INDEX($R$4:$R$16,MATCH(LARGE($S$4:$S$16,8),$S$4:$S$16,0))</f>
        <v/>
      </c>
      <c r="D11" s="15">
        <f>INDEX($Q$4:$Q$16,MATCH(LARGE($S$4:$S$16,8),$S$4:$S$16,0))</f>
        <v/>
      </c>
      <c r="E11" s="15">
        <f>INDEX($P$4:$P$16,MATCH(LARGE($S$4:$S$16,8),$S$4:$S$16,0))</f>
        <v/>
      </c>
      <c r="N11" s="27" t="inlineStr">
        <is>
          <t>Real Assets</t>
        </is>
      </c>
      <c r="O11" s="27" t="inlineStr">
        <is>
          <t>RE Asia</t>
        </is>
      </c>
      <c r="P11" s="31">
        <f>SUM('RE Asia'!C32:C34)</f>
        <v/>
      </c>
      <c r="Q11" s="31">
        <f>SUM('RE Asia'!D32:D34)</f>
        <v/>
      </c>
      <c r="R11" s="31">
        <f>SUM('RE Asia'!E32:E34)</f>
        <v/>
      </c>
      <c r="S11" s="31">
        <f>R11*10000+Q11*100+P11+ROW()/100000</f>
        <v/>
      </c>
    </row>
    <row r="12" ht="15" customHeight="1">
      <c r="A12" s="30" t="n">
        <v>9</v>
      </c>
      <c r="B12" s="14">
        <f>INDEX($O$4:$O$16,MATCH(LARGE($S$4:$S$16,9),$S$4:$S$16,0))</f>
        <v/>
      </c>
      <c r="C12" s="15">
        <f>INDEX($R$4:$R$16,MATCH(LARGE($S$4:$S$16,9),$S$4:$S$16,0))</f>
        <v/>
      </c>
      <c r="D12" s="15">
        <f>INDEX($Q$4:$Q$16,MATCH(LARGE($S$4:$S$16,9),$S$4:$S$16,0))</f>
        <v/>
      </c>
      <c r="E12" s="15">
        <f>INDEX($P$4:$P$16,MATCH(LARGE($S$4:$S$16,9),$S$4:$S$16,0))</f>
        <v/>
      </c>
      <c r="N12" s="27" t="inlineStr">
        <is>
          <t>Real Assets</t>
        </is>
      </c>
      <c r="O12" s="27" t="inlineStr">
        <is>
          <t>REIM</t>
        </is>
      </c>
      <c r="P12" s="31">
        <f>SUM('REIM'!C32:C34)</f>
        <v/>
      </c>
      <c r="Q12" s="31">
        <f>SUM('REIM'!D32:D34)</f>
        <v/>
      </c>
      <c r="R12" s="31">
        <f>SUM('REIM'!E32:E34)</f>
        <v/>
      </c>
      <c r="S12" s="31">
        <f>R12*10000+Q12*100+P12+ROW()/100000</f>
        <v/>
      </c>
    </row>
    <row r="13" ht="15" customHeight="1">
      <c r="A13" s="30" t="n">
        <v>10</v>
      </c>
      <c r="B13" s="14">
        <f>INDEX($O$4:$O$16,MATCH(LARGE($S$4:$S$16,10),$S$4:$S$16,0))</f>
        <v/>
      </c>
      <c r="C13" s="15">
        <f>INDEX($R$4:$R$16,MATCH(LARGE($S$4:$S$16,10),$S$4:$S$16,0))</f>
        <v/>
      </c>
      <c r="D13" s="15">
        <f>INDEX($Q$4:$Q$16,MATCH(LARGE($S$4:$S$16,10),$S$4:$S$16,0))</f>
        <v/>
      </c>
      <c r="E13" s="15">
        <f>INDEX($P$4:$P$16,MATCH(LARGE($S$4:$S$16,10),$S$4:$S$16,0))</f>
        <v/>
      </c>
      <c r="N13" s="27" t="inlineStr">
        <is>
          <t>Real Assets</t>
        </is>
      </c>
      <c r="O13" s="27" t="inlineStr">
        <is>
          <t>ETI</t>
        </is>
      </c>
      <c r="P13" s="31">
        <f>SUM('ETI'!C32:C34)</f>
        <v/>
      </c>
      <c r="Q13" s="31">
        <f>SUM('ETI'!D32:D34)</f>
        <v/>
      </c>
      <c r="R13" s="31">
        <f>SUM('ETI'!E32:E34)</f>
        <v/>
      </c>
      <c r="S13" s="31">
        <f>R13*10000+Q13*100+P13+ROW()/100000</f>
        <v/>
      </c>
    </row>
    <row r="14" ht="15" customHeight="1">
      <c r="A14" s="30" t="n">
        <v>11</v>
      </c>
      <c r="B14" s="14">
        <f>INDEX($O$4:$O$16,MATCH(LARGE($S$4:$S$16,11),$S$4:$S$16,0))</f>
        <v/>
      </c>
      <c r="C14" s="15">
        <f>INDEX($R$4:$R$16,MATCH(LARGE($S$4:$S$16,11),$S$4:$S$16,0))</f>
        <v/>
      </c>
      <c r="D14" s="15">
        <f>INDEX($Q$4:$Q$16,MATCH(LARGE($S$4:$S$16,11),$S$4:$S$16,0))</f>
        <v/>
      </c>
      <c r="E14" s="15">
        <f>INDEX($P$4:$P$16,MATCH(LARGE($S$4:$S$16,11),$S$4:$S$16,0))</f>
        <v/>
      </c>
      <c r="N14" s="27" t="inlineStr">
        <is>
          <t>Priv Mkts &amp; HF</t>
        </is>
      </c>
      <c r="O14" s="27" t="inlineStr">
        <is>
          <t>HF</t>
        </is>
      </c>
      <c r="P14" s="31">
        <f>SUM('HF'!C32:C34)</f>
        <v/>
      </c>
      <c r="Q14" s="31">
        <f>SUM('HF'!D32:D34)</f>
        <v/>
      </c>
      <c r="R14" s="31">
        <f>SUM('HF'!E32:E34)</f>
        <v/>
      </c>
      <c r="S14" s="31">
        <f>R14*10000+Q14*100+P14+ROW()/100000</f>
        <v/>
      </c>
    </row>
    <row r="15" ht="15" customHeight="1">
      <c r="A15" s="30" t="n">
        <v>12</v>
      </c>
      <c r="B15" s="14">
        <f>INDEX($O$4:$O$16,MATCH(LARGE($S$4:$S$16,12),$S$4:$S$16,0))</f>
        <v/>
      </c>
      <c r="C15" s="15">
        <f>INDEX($R$4:$R$16,MATCH(LARGE($S$4:$S$16,12),$S$4:$S$16,0))</f>
        <v/>
      </c>
      <c r="D15" s="15">
        <f>INDEX($Q$4:$Q$16,MATCH(LARGE($S$4:$S$16,12),$S$4:$S$16,0))</f>
        <v/>
      </c>
      <c r="E15" s="15">
        <f>INDEX($P$4:$P$16,MATCH(LARGE($S$4:$S$16,12),$S$4:$S$16,0))</f>
        <v/>
      </c>
      <c r="N15" s="27" t="inlineStr">
        <is>
          <t>Priv Mkts &amp; HF</t>
        </is>
      </c>
      <c r="O15" s="27" t="inlineStr">
        <is>
          <t>PrivMkts</t>
        </is>
      </c>
      <c r="P15" s="31">
        <f>SUM('PrivMkts'!C32:C34)</f>
        <v/>
      </c>
      <c r="Q15" s="31">
        <f>SUM('PrivMkts'!D32:D34)</f>
        <v/>
      </c>
      <c r="R15" s="31">
        <f>SUM('PrivMkts'!E32:E34)</f>
        <v/>
      </c>
      <c r="S15" s="31">
        <f>R15*10000+Q15*100+P15+ROW()/100000</f>
        <v/>
      </c>
    </row>
    <row r="16" ht="15" customHeight="1">
      <c r="A16" s="30" t="n">
        <v>13</v>
      </c>
      <c r="B16" s="14">
        <f>INDEX($O$4:$O$16,MATCH(LARGE($S$4:$S$16,13),$S$4:$S$16,0))</f>
        <v/>
      </c>
      <c r="C16" s="15">
        <f>INDEX($R$4:$R$16,MATCH(LARGE($S$4:$S$16,13),$S$4:$S$16,0))</f>
        <v/>
      </c>
      <c r="D16" s="15">
        <f>INDEX($Q$4:$Q$16,MATCH(LARGE($S$4:$S$16,13),$S$4:$S$16,0))</f>
        <v/>
      </c>
      <c r="E16" s="15">
        <f>INDEX($P$4:$P$16,MATCH(LARGE($S$4:$S$16,13),$S$4:$S$16,0))</f>
        <v/>
      </c>
      <c r="N16" s="27" t="inlineStr">
        <is>
          <t>Priv Mkts &amp; HF</t>
        </is>
      </c>
      <c r="O16" s="27" t="inlineStr">
        <is>
          <t>VC</t>
        </is>
      </c>
      <c r="P16" s="31">
        <f>SUM('VC'!C32:C34)</f>
        <v/>
      </c>
      <c r="Q16" s="31">
        <f>SUM('VC'!D32:D34)</f>
        <v/>
      </c>
      <c r="R16" s="31">
        <f>SUM('VC'!E32:E34)</f>
        <v/>
      </c>
      <c r="S16" s="31">
        <f>R16*10000+Q16*100+P16+ROW()/100000</f>
        <v/>
      </c>
    </row>
    <row r="18" ht="20" customHeight="1">
      <c r="A18" s="32">
        <f>IF(SUM(C4:C16)=0,"No Red MATs across the platform this period.","Focus: "&amp;B4&amp;" carries "&amp;C4&amp;" of "&amp;SUM(C4:C16)&amp;" Red MATs; "&amp;SUMPRODUCT(--((C4:C16+D4:D16)&gt;0))&amp;" of 13 strategies have open exceptions.")</f>
        <v/>
      </c>
    </row>
    <row r="20">
      <c r="A20" s="27" t="inlineStr">
        <is>
          <t>Everything on this tab is formula-driven — no refresh, no macros.</t>
        </is>
      </c>
    </row>
    <row r="21">
      <c r="A21" s="33" t="inlineStr">
        <is>
          <t>Non-green MATs by asset class</t>
        </is>
      </c>
      <c r="C21" s="24" t="inlineStr">
        <is>
          <t>Watch</t>
        </is>
      </c>
      <c r="D21" s="25" t="inlineStr">
        <is>
          <t>Amber</t>
        </is>
      </c>
      <c r="E21" s="26" t="inlineStr">
        <is>
          <t>Red</t>
        </is>
      </c>
    </row>
    <row r="22">
      <c r="A22" s="34" t="inlineStr">
        <is>
          <t>Private Credit</t>
        </is>
      </c>
      <c r="C22" s="15">
        <f>SUMIF($N$4:$N$16,$A22,$P$4:$P$16)</f>
        <v/>
      </c>
      <c r="D22" s="15">
        <f>SUMIF($N$4:$N$16,$A22,$Q$4:$Q$16)</f>
        <v/>
      </c>
      <c r="E22" s="15">
        <f>SUMIF($N$4:$N$16,$A22,$R$4:$R$16)</f>
        <v/>
      </c>
    </row>
    <row r="23">
      <c r="A23" s="35" t="inlineStr">
        <is>
          <t>Real Assets</t>
        </is>
      </c>
      <c r="C23" s="15">
        <f>SUMIF($N$4:$N$16,$A23,$P$4:$P$16)</f>
        <v/>
      </c>
      <c r="D23" s="15">
        <f>SUMIF($N$4:$N$16,$A23,$Q$4:$Q$16)</f>
        <v/>
      </c>
      <c r="E23" s="15">
        <f>SUMIF($N$4:$N$16,$A23,$R$4:$R$16)</f>
        <v/>
      </c>
    </row>
    <row r="24">
      <c r="A24" s="36" t="inlineStr">
        <is>
          <t>Priv Mkts &amp; HF</t>
        </is>
      </c>
      <c r="C24" s="15">
        <f>SUMIF($N$4:$N$16,$A24,$P$4:$P$16)</f>
        <v/>
      </c>
      <c r="D24" s="15">
        <f>SUMIF($N$4:$N$16,$A24,$Q$4:$Q$16)</f>
        <v/>
      </c>
      <c r="E24" s="15">
        <f>SUMIF($N$4:$N$16,$A24,$R$4:$R$16)</f>
        <v/>
      </c>
    </row>
  </sheetData>
  <mergeCells count="6">
    <mergeCell ref="A21:B21"/>
    <mergeCell ref="A24:B24"/>
    <mergeCell ref="A1:M1"/>
    <mergeCell ref="A18:M18"/>
    <mergeCell ref="A23:B23"/>
    <mergeCell ref="A22:B22"/>
  </mergeCells>
  <conditionalFormatting sqref="C4:C16">
    <cfRule type="cellIs" priority="1" operator="greaterThan" dxfId="2">
      <formula>0</formula>
    </cfRule>
  </conditionalFormatting>
  <conditionalFormatting sqref="D4:D16">
    <cfRule type="cellIs" priority="2" operator="greaterThan" dxfId="1">
      <formula>0</formula>
    </cfRule>
  </conditionalFormatting>
  <conditionalFormatting sqref="E4:E16">
    <cfRule type="cellIs" priority="3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 ht="24" customHeight="1">
      <c r="A1" s="37" t="inlineStr">
        <is>
          <t>QUARTERLY SNAPSHOT HISTORY — FEEDS THE TREND CHART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8" t="inlineStr">
        <is>
          <t>At quarter end: right-click the 'Current (live)' row number → Insert, then Copy the Current row and Paste-Special→Values into the new row; type the quarter label. The trend chart extends itself.</t>
        </is>
      </c>
      <c r="B2" s="39" t="n"/>
      <c r="C2" s="39" t="n"/>
      <c r="D2" s="39" t="n"/>
      <c r="E2" s="39" t="n"/>
      <c r="F2" s="39" t="n"/>
      <c r="G2" s="39" t="n"/>
    </row>
    <row r="4">
      <c r="A4" s="12" t="inlineStr">
        <is>
          <t>Quarter</t>
        </is>
      </c>
      <c r="B4" s="12" t="inlineStr">
        <is>
          <t>G</t>
        </is>
      </c>
      <c r="C4" s="12" t="inlineStr">
        <is>
          <t>AG</t>
        </is>
      </c>
      <c r="D4" s="12" t="inlineStr">
        <is>
          <t>A</t>
        </is>
      </c>
      <c r="E4" s="12" t="inlineStr">
        <is>
          <t>R</t>
        </is>
      </c>
      <c r="F4" s="12" t="inlineStr">
        <is>
          <t>% Green</t>
        </is>
      </c>
      <c r="G4" s="12" t="inlineStr">
        <is>
          <t>Notes</t>
        </is>
      </c>
    </row>
    <row r="5">
      <c r="A5" s="14" t="inlineStr">
        <is>
          <t>Q4 2024</t>
        </is>
      </c>
      <c r="B5" s="15" t="n">
        <v>180</v>
      </c>
      <c r="C5" s="15" t="n">
        <v>18</v>
      </c>
      <c r="D5" s="15" t="n">
        <v>4</v>
      </c>
      <c r="E5" s="15" t="n">
        <v>6</v>
      </c>
      <c r="F5" s="40">
        <f>B5/SUM(B5:E5)</f>
        <v/>
      </c>
      <c r="G5" s="27" t="inlineStr">
        <is>
          <t>example — overwrite with your actual history</t>
        </is>
      </c>
    </row>
    <row r="6">
      <c r="A6" s="14" t="inlineStr">
        <is>
          <t>Q1 2025</t>
        </is>
      </c>
      <c r="B6" s="15" t="n">
        <v>175</v>
      </c>
      <c r="C6" s="15" t="n">
        <v>22</v>
      </c>
      <c r="D6" s="15" t="n">
        <v>3</v>
      </c>
      <c r="E6" s="15" t="n">
        <v>9</v>
      </c>
      <c r="F6" s="40">
        <f>B6/SUM(B6:E6)</f>
        <v/>
      </c>
      <c r="G6" s="27" t="inlineStr">
        <is>
          <t>example — overwrite with your actual history</t>
        </is>
      </c>
    </row>
    <row r="7">
      <c r="A7" s="14" t="inlineStr">
        <is>
          <t>Q2 2025</t>
        </is>
      </c>
      <c r="B7" s="15" t="n">
        <v>178</v>
      </c>
      <c r="C7" s="15" t="n">
        <v>20</v>
      </c>
      <c r="D7" s="15" t="n">
        <v>2</v>
      </c>
      <c r="E7" s="15" t="n">
        <v>12</v>
      </c>
      <c r="F7" s="40">
        <f>B7/SUM(B7:E7)</f>
        <v/>
      </c>
      <c r="G7" s="27" t="inlineStr">
        <is>
          <t>example — overwrite with your actual history</t>
        </is>
      </c>
    </row>
    <row r="8">
      <c r="A8" s="41" t="inlineStr">
        <is>
          <t>Current (live)</t>
        </is>
      </c>
      <c r="B8" s="42">
        <f>SUM(Dashboard!C10:C22)</f>
        <v/>
      </c>
      <c r="C8" s="42">
        <f>SUM(Dashboard!D10:D22)</f>
        <v/>
      </c>
      <c r="D8" s="42">
        <f>SUM(Dashboard!E10:E22)</f>
        <v/>
      </c>
      <c r="E8" s="42">
        <f>SUM(Dashboard!F10:F22)</f>
        <v/>
      </c>
      <c r="F8" s="43">
        <f>B8/SUM(B8:E8)</f>
        <v/>
      </c>
      <c r="G8" s="27" t="inlineStr">
        <is>
          <t>auto — do not type here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5E8C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DIRECT LENDING — UK &amp; EUR FUNDS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Private Credit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SDLF I</t>
        </is>
      </c>
      <c r="E5" s="12" t="inlineStr">
        <is>
          <t>SDLF II</t>
        </is>
      </c>
      <c r="F5" s="12" t="inlineStr">
        <is>
          <t>ESDLF</t>
        </is>
      </c>
      <c r="G5" s="12" t="inlineStr">
        <is>
          <t>Anglo</t>
        </is>
      </c>
      <c r="H5" s="12" t="inlineStr">
        <is>
          <t>Hollywood</t>
        </is>
      </c>
      <c r="I5" s="12" t="inlineStr">
        <is>
          <t>INSP</t>
        </is>
      </c>
      <c r="J5" s="12" t="inlineStr">
        <is>
          <t>Orchid</t>
        </is>
      </c>
      <c r="K5" s="12" t="n"/>
      <c r="L5" s="12" t="n"/>
      <c r="M5" s="12" t="n"/>
    </row>
    <row r="6" ht="16" customHeight="1">
      <c r="A6" s="45" t="inlineStr">
        <is>
          <t>Watchlist (% Amber / any Red)</t>
        </is>
      </c>
      <c r="B6" s="15" t="inlineStr">
        <is>
          <t>%</t>
        </is>
      </c>
      <c r="C6" s="46" t="inlineStr">
        <is>
          <t>&gt;=20% R | any % AG | 0% G</t>
        </is>
      </c>
      <c r="D6" s="47" t="n">
        <v>0.026</v>
      </c>
      <c r="E6" s="47" t="n">
        <v>0</v>
      </c>
      <c r="F6" s="47" t="n">
        <v>0</v>
      </c>
      <c r="G6" s="47" t="n">
        <v>0</v>
      </c>
      <c r="H6" s="47" t="n">
        <v>0</v>
      </c>
      <c r="I6" s="47" t="n">
        <v>0</v>
      </c>
      <c r="J6" s="47" t="n">
        <v>0</v>
      </c>
      <c r="K6" s="48" t="n"/>
      <c r="L6" s="48" t="n"/>
      <c r="M6" s="48" t="n"/>
    </row>
    <row r="7" ht="16" customHeight="1">
      <c r="A7" s="45" t="inlineStr">
        <is>
          <t>Portfolio leverage at origination</t>
        </is>
      </c>
      <c r="B7" s="15" t="inlineStr">
        <is>
          <t>x</t>
        </is>
      </c>
      <c r="C7" s="46" t="inlineStr">
        <is>
          <t>&gt;=4.5x R</t>
        </is>
      </c>
      <c r="D7" s="49" t="n">
        <v>3.7</v>
      </c>
      <c r="E7" s="49" t="n">
        <v>3.5</v>
      </c>
      <c r="F7" s="49" t="n">
        <v>3.3</v>
      </c>
      <c r="G7" s="49" t="n">
        <v>3.7</v>
      </c>
      <c r="H7" s="49" t="n">
        <v>3.6</v>
      </c>
      <c r="I7" s="49" t="n">
        <v>3.5</v>
      </c>
      <c r="J7" s="49" t="n">
        <v>4.2</v>
      </c>
      <c r="K7" s="48" t="n"/>
      <c r="L7" s="48" t="n"/>
      <c r="M7" s="48" t="n"/>
    </row>
    <row r="8" ht="16" customHeight="1">
      <c r="A8" s="45" t="inlineStr">
        <is>
          <t>Portfolio leverage over time</t>
        </is>
      </c>
      <c r="B8" s="15" t="inlineStr">
        <is>
          <t>x</t>
        </is>
      </c>
      <c r="C8" s="46" t="inlineStr">
        <is>
          <t>&gt;=5.0x R</t>
        </is>
      </c>
      <c r="D8" s="49" t="n">
        <v>4</v>
      </c>
      <c r="E8" s="49" t="n">
        <v>3.3</v>
      </c>
      <c r="F8" s="49" t="n">
        <v>3.6</v>
      </c>
      <c r="G8" s="49" t="n">
        <v>5.3</v>
      </c>
      <c r="H8" s="49" t="n">
        <v>3.8</v>
      </c>
      <c r="I8" s="49" t="n">
        <v>2.5</v>
      </c>
      <c r="J8" s="49" t="n">
        <v>3.9</v>
      </c>
      <c r="K8" s="48" t="n"/>
      <c r="L8" s="48" t="n"/>
      <c r="M8" s="48" t="n"/>
    </row>
    <row r="9" ht="16" customHeight="1">
      <c r="A9" s="45" t="inlineStr">
        <is>
          <t>Industry concentration</t>
        </is>
      </c>
      <c r="B9" s="15" t="inlineStr">
        <is>
          <t>%</t>
        </is>
      </c>
      <c r="C9" s="46" t="inlineStr">
        <is>
          <t>&gt;30% R</t>
        </is>
      </c>
      <c r="D9" s="47" t="n">
        <v>0.203</v>
      </c>
      <c r="E9" s="47" t="n">
        <v>0.119</v>
      </c>
      <c r="F9" s="47" t="n">
        <v>0.096</v>
      </c>
      <c r="G9" s="47" t="n">
        <v>0.123</v>
      </c>
      <c r="H9" s="47" t="n">
        <v>0.08699999999999999</v>
      </c>
      <c r="I9" s="47" t="n">
        <v>0.096</v>
      </c>
      <c r="J9" s="47" t="n">
        <v>0.182</v>
      </c>
      <c r="K9" s="48" t="n"/>
      <c r="L9" s="48" t="n"/>
      <c r="M9" s="48" t="n"/>
    </row>
    <row r="10" ht="16" customHeight="1">
      <c r="A10" s="45" t="inlineStr">
        <is>
          <t>Breach of liquidity MATs</t>
        </is>
      </c>
      <c r="B10" s="15" t="inlineStr">
        <is>
          <t>Y/N</t>
        </is>
      </c>
      <c r="C10" s="46" t="inlineStr">
        <is>
          <t>Yes = R</t>
        </is>
      </c>
      <c r="D10" s="50" t="inlineStr">
        <is>
          <t>No</t>
        </is>
      </c>
      <c r="E10" s="50" t="inlineStr">
        <is>
          <t>No</t>
        </is>
      </c>
      <c r="F10" s="50" t="inlineStr">
        <is>
          <t>No</t>
        </is>
      </c>
      <c r="G10" s="50" t="inlineStr">
        <is>
          <t>No</t>
        </is>
      </c>
      <c r="H10" s="50" t="inlineStr">
        <is>
          <t>No</t>
        </is>
      </c>
      <c r="I10" s="50" t="inlineStr">
        <is>
          <t>No</t>
        </is>
      </c>
      <c r="J10" s="50" t="inlineStr">
        <is>
          <t>No</t>
        </is>
      </c>
      <c r="K10" s="48" t="n"/>
      <c r="L10" s="48" t="n"/>
      <c r="M10" s="48" t="n"/>
    </row>
    <row r="11" ht="16" customHeight="1">
      <c r="A11" s="45" t="inlineStr">
        <is>
          <t>Any asset downgraded to Weak</t>
        </is>
      </c>
      <c r="B11" s="15" t="inlineStr">
        <is>
          <t>Y/N</t>
        </is>
      </c>
      <c r="C11" s="46" t="inlineStr">
        <is>
          <t>Yes = R</t>
        </is>
      </c>
      <c r="D11" s="50" t="inlineStr">
        <is>
          <t>No</t>
        </is>
      </c>
      <c r="E11" s="50" t="inlineStr">
        <is>
          <t>No</t>
        </is>
      </c>
      <c r="F11" s="50" t="inlineStr">
        <is>
          <t>No</t>
        </is>
      </c>
      <c r="G11" s="50" t="inlineStr">
        <is>
          <t>No</t>
        </is>
      </c>
      <c r="H11" s="50" t="inlineStr">
        <is>
          <t>No</t>
        </is>
      </c>
      <c r="I11" s="50" t="inlineStr">
        <is>
          <t>No</t>
        </is>
      </c>
      <c r="J11" s="50" t="inlineStr">
        <is>
          <t>No</t>
        </is>
      </c>
      <c r="K11" s="48" t="n"/>
      <c r="L11" s="48" t="n"/>
      <c r="M11" s="48" t="n"/>
    </row>
    <row r="12" ht="16" customHeight="1">
      <c r="A12" s="45" t="inlineStr">
        <is>
          <t>ESG / sustainability breach</t>
        </is>
      </c>
      <c r="B12" s="15" t="inlineStr">
        <is>
          <t>Y/N</t>
        </is>
      </c>
      <c r="C12" s="46" t="inlineStr">
        <is>
          <t>Yes = R</t>
        </is>
      </c>
      <c r="D12" s="50" t="inlineStr">
        <is>
          <t>No</t>
        </is>
      </c>
      <c r="E12" s="50" t="inlineStr">
        <is>
          <t>No</t>
        </is>
      </c>
      <c r="F12" s="50" t="inlineStr">
        <is>
          <t>No</t>
        </is>
      </c>
      <c r="G12" s="50" t="inlineStr">
        <is>
          <t>No</t>
        </is>
      </c>
      <c r="H12" s="50" t="inlineStr">
        <is>
          <t>No</t>
        </is>
      </c>
      <c r="I12" s="50" t="inlineStr">
        <is>
          <t>No</t>
        </is>
      </c>
      <c r="J12" s="50" t="inlineStr">
        <is>
          <t>No</t>
        </is>
      </c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>
        <f>F5</f>
        <v/>
      </c>
      <c r="G19" s="12">
        <f>G5</f>
        <v/>
      </c>
      <c r="H19" s="12">
        <f>H5</f>
        <v/>
      </c>
      <c r="I19" s="12">
        <f>I5</f>
        <v/>
      </c>
      <c r="J19" s="12">
        <f>J5</f>
        <v/>
      </c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Watchlist (% Amber / any Red)</t>
        </is>
      </c>
      <c r="B20" s="16" t="inlineStr">
        <is>
          <t>Market</t>
        </is>
      </c>
      <c r="C20" s="46" t="inlineStr">
        <is>
          <t>&gt;=20% R | any % AG | 0% G</t>
        </is>
      </c>
      <c r="D20" s="15">
        <f>IF(OR(D6="",D6="n/a",D6="N/A"),"",IF(AND($Q20&lt;&gt;"",D6&gt;=$Q20),"R",IF(AND($P20&lt;&gt;"",D6&gt;=$P20),"A",IF(AND($O20&lt;&gt;"",D6&gt;=$O20),"AG","G"))))</f>
        <v/>
      </c>
      <c r="E20" s="15">
        <f>IF(OR(E6="",E6="n/a",E6="N/A"),"",IF(AND($Q20&lt;&gt;"",E6&gt;=$Q20),"R",IF(AND($P20&lt;&gt;"",E6&gt;=$P20),"A",IF(AND($O20&lt;&gt;"",E6&gt;=$O20),"AG","G"))))</f>
        <v/>
      </c>
      <c r="F20" s="15">
        <f>IF(OR(F6="",F6="n/a",F6="N/A"),"",IF(AND($Q20&lt;&gt;"",F6&gt;=$Q20),"R",IF(AND($P20&lt;&gt;"",F6&gt;=$P20),"A",IF(AND($O20&lt;&gt;"",F6&gt;=$O20),"AG","G"))))</f>
        <v/>
      </c>
      <c r="G20" s="15">
        <f>IF(OR(G6="",G6="n/a",G6="N/A"),"",IF(AND($Q20&lt;&gt;"",G6&gt;=$Q20),"R",IF(AND($P20&lt;&gt;"",G6&gt;=$P20),"A",IF(AND($O20&lt;&gt;"",G6&gt;=$O20),"AG","G"))))</f>
        <v/>
      </c>
      <c r="H20" s="15">
        <f>IF(OR(H6="",H6="n/a",H6="N/A"),"",IF(AND($Q20&lt;&gt;"",H6&gt;=$Q20),"R",IF(AND($P20&lt;&gt;"",H6&gt;=$P20),"A",IF(AND($O20&lt;&gt;"",H6&gt;=$O20),"AG","G"))))</f>
        <v/>
      </c>
      <c r="I20" s="15">
        <f>IF(OR(I6="",I6="n/a",I6="N/A"),"",IF(AND($Q20&lt;&gt;"",I6&gt;=$Q20),"R",IF(AND($P20&lt;&gt;"",I6&gt;=$P20),"A",IF(AND($O20&lt;&gt;"",I6&gt;=$O20),"AG","G"))))</f>
        <v/>
      </c>
      <c r="J20" s="15">
        <f>IF(OR(J6="",J6="n/a",J6="N/A"),"",IF(AND($Q20&lt;&gt;"",J6&gt;=$Q20),"R",IF(AND($P20&lt;&gt;"",J6&gt;=$P20),"A",IF(AND($O20&lt;&gt;"",J6&gt;=$O20),"AG","G"))))</f>
        <v/>
      </c>
      <c r="K20" s="48" t="n"/>
      <c r="L20" s="48" t="n"/>
      <c r="M20" s="48" t="n"/>
      <c r="O20" s="51" t="n">
        <v>0.01</v>
      </c>
      <c r="P20" s="52" t="n"/>
      <c r="Q20" s="51" t="n">
        <v>0.2</v>
      </c>
    </row>
    <row r="21" ht="16" customHeight="1">
      <c r="A21" s="14" t="inlineStr">
        <is>
          <t>Portfolio leverage at origination</t>
        </is>
      </c>
      <c r="B21" s="16" t="inlineStr">
        <is>
          <t>Market</t>
        </is>
      </c>
      <c r="C21" s="46" t="inlineStr">
        <is>
          <t>&gt;=4.5x R</t>
        </is>
      </c>
      <c r="D21" s="15">
        <f>IF(OR(D7="",D7="n/a",D7="N/A"),"",IF(AND($Q21&lt;&gt;"",D7&gt;=$Q21),"R",IF(AND($P21&lt;&gt;"",D7&gt;=$P21),"A",IF(AND($O21&lt;&gt;"",D7&gt;=$O21),"AG","G"))))</f>
        <v/>
      </c>
      <c r="E21" s="15">
        <f>IF(OR(E7="",E7="n/a",E7="N/A"),"",IF(AND($Q21&lt;&gt;"",E7&gt;=$Q21),"R",IF(AND($P21&lt;&gt;"",E7&gt;=$P21),"A",IF(AND($O21&lt;&gt;"",E7&gt;=$O21),"AG","G"))))</f>
        <v/>
      </c>
      <c r="F21" s="15">
        <f>IF(OR(F7="",F7="n/a",F7="N/A"),"",IF(AND($Q21&lt;&gt;"",F7&gt;=$Q21),"R",IF(AND($P21&lt;&gt;"",F7&gt;=$P21),"A",IF(AND($O21&lt;&gt;"",F7&gt;=$O21),"AG","G"))))</f>
        <v/>
      </c>
      <c r="G21" s="15">
        <f>IF(OR(G7="",G7="n/a",G7="N/A"),"",IF(AND($Q21&lt;&gt;"",G7&gt;=$Q21),"R",IF(AND($P21&lt;&gt;"",G7&gt;=$P21),"A",IF(AND($O21&lt;&gt;"",G7&gt;=$O21),"AG","G"))))</f>
        <v/>
      </c>
      <c r="H21" s="15">
        <f>IF(OR(H7="",H7="n/a",H7="N/A"),"",IF(AND($Q21&lt;&gt;"",H7&gt;=$Q21),"R",IF(AND($P21&lt;&gt;"",H7&gt;=$P21),"A",IF(AND($O21&lt;&gt;"",H7&gt;=$O21),"AG","G"))))</f>
        <v/>
      </c>
      <c r="I21" s="15">
        <f>IF(OR(I7="",I7="n/a",I7="N/A"),"",IF(AND($Q21&lt;&gt;"",I7&gt;=$Q21),"R",IF(AND($P21&lt;&gt;"",I7&gt;=$P21),"A",IF(AND($O21&lt;&gt;"",I7&gt;=$O21),"AG","G"))))</f>
        <v/>
      </c>
      <c r="J21" s="15">
        <f>IF(OR(J7="",J7="n/a",J7="N/A"),"",IF(AND($Q21&lt;&gt;"",J7&gt;=$Q21),"R",IF(AND($P21&lt;&gt;"",J7&gt;=$P21),"A",IF(AND($O21&lt;&gt;"",J7&gt;=$O21),"AG","G"))))</f>
        <v/>
      </c>
      <c r="K21" s="48" t="n"/>
      <c r="L21" s="48" t="n"/>
      <c r="M21" s="48" t="n"/>
      <c r="O21" s="53" t="n">
        <v>4</v>
      </c>
      <c r="P21" s="53" t="n">
        <v>4.25</v>
      </c>
      <c r="Q21" s="53" t="n">
        <v>4.5</v>
      </c>
    </row>
    <row r="22" ht="16" customHeight="1">
      <c r="A22" s="14" t="inlineStr">
        <is>
          <t>Portfolio leverage over time</t>
        </is>
      </c>
      <c r="B22" s="16" t="inlineStr">
        <is>
          <t>Market</t>
        </is>
      </c>
      <c r="C22" s="46" t="inlineStr">
        <is>
          <t>&gt;=5.0x R</t>
        </is>
      </c>
      <c r="D22" s="15">
        <f>IF(OR(D8="",D8="n/a",D8="N/A"),"",IF(AND($Q22&lt;&gt;"",D8&gt;=$Q22),"R",IF(AND($P22&lt;&gt;"",D8&gt;=$P22),"A",IF(AND($O22&lt;&gt;"",D8&gt;=$O22),"AG","G"))))</f>
        <v/>
      </c>
      <c r="E22" s="15">
        <f>IF(OR(E8="",E8="n/a",E8="N/A"),"",IF(AND($Q22&lt;&gt;"",E8&gt;=$Q22),"R",IF(AND($P22&lt;&gt;"",E8&gt;=$P22),"A",IF(AND($O22&lt;&gt;"",E8&gt;=$O22),"AG","G"))))</f>
        <v/>
      </c>
      <c r="F22" s="15">
        <f>IF(OR(F8="",F8="n/a",F8="N/A"),"",IF(AND($Q22&lt;&gt;"",F8&gt;=$Q22),"R",IF(AND($P22&lt;&gt;"",F8&gt;=$P22),"A",IF(AND($O22&lt;&gt;"",F8&gt;=$O22),"AG","G"))))</f>
        <v/>
      </c>
      <c r="G22" s="15">
        <f>IF(OR(G8="",G8="n/a",G8="N/A"),"",IF(AND($Q22&lt;&gt;"",G8&gt;=$Q22),"R",IF(AND($P22&lt;&gt;"",G8&gt;=$P22),"A",IF(AND($O22&lt;&gt;"",G8&gt;=$O22),"AG","G"))))</f>
        <v/>
      </c>
      <c r="H22" s="15">
        <f>IF(OR(H8="",H8="n/a",H8="N/A"),"",IF(AND($Q22&lt;&gt;"",H8&gt;=$Q22),"R",IF(AND($P22&lt;&gt;"",H8&gt;=$P22),"A",IF(AND($O22&lt;&gt;"",H8&gt;=$O22),"AG","G"))))</f>
        <v/>
      </c>
      <c r="I22" s="15">
        <f>IF(OR(I8="",I8="n/a",I8="N/A"),"",IF(AND($Q22&lt;&gt;"",I8&gt;=$Q22),"R",IF(AND($P22&lt;&gt;"",I8&gt;=$P22),"A",IF(AND($O22&lt;&gt;"",I8&gt;=$O22),"AG","G"))))</f>
        <v/>
      </c>
      <c r="J22" s="15">
        <f>IF(OR(J8="",J8="n/a",J8="N/A"),"",IF(AND($Q22&lt;&gt;"",J8&gt;=$Q22),"R",IF(AND($P22&lt;&gt;"",J8&gt;=$P22),"A",IF(AND($O22&lt;&gt;"",J8&gt;=$O22),"AG","G"))))</f>
        <v/>
      </c>
      <c r="K22" s="48" t="n"/>
      <c r="L22" s="48" t="n"/>
      <c r="M22" s="48" t="n"/>
      <c r="O22" s="53" t="n">
        <v>4.5</v>
      </c>
      <c r="P22" s="53" t="n">
        <v>4.75</v>
      </c>
      <c r="Q22" s="53" t="n">
        <v>5</v>
      </c>
    </row>
    <row r="23" ht="16" customHeight="1">
      <c r="A23" s="14" t="inlineStr">
        <is>
          <t>Industry concentration</t>
        </is>
      </c>
      <c r="B23" s="16" t="inlineStr">
        <is>
          <t>Market</t>
        </is>
      </c>
      <c r="C23" s="46" t="inlineStr">
        <is>
          <t>&gt;30% R</t>
        </is>
      </c>
      <c r="D23" s="15">
        <f>IF(OR(D9="",D9="n/a",D9="N/A"),"",IF(AND($Q23&lt;&gt;"",D9&gt;=$Q23),"R",IF(AND($P23&lt;&gt;"",D9&gt;=$P23),"A",IF(AND($O23&lt;&gt;"",D9&gt;=$O23),"AG","G"))))</f>
        <v/>
      </c>
      <c r="E23" s="15">
        <f>IF(OR(E9="",E9="n/a",E9="N/A"),"",IF(AND($Q23&lt;&gt;"",E9&gt;=$Q23),"R",IF(AND($P23&lt;&gt;"",E9&gt;=$P23),"A",IF(AND($O23&lt;&gt;"",E9&gt;=$O23),"AG","G"))))</f>
        <v/>
      </c>
      <c r="F23" s="15">
        <f>IF(OR(F9="",F9="n/a",F9="N/A"),"",IF(AND($Q23&lt;&gt;"",F9&gt;=$Q23),"R",IF(AND($P23&lt;&gt;"",F9&gt;=$P23),"A",IF(AND($O23&lt;&gt;"",F9&gt;=$O23),"AG","G"))))</f>
        <v/>
      </c>
      <c r="G23" s="15">
        <f>IF(OR(G9="",G9="n/a",G9="N/A"),"",IF(AND($Q23&lt;&gt;"",G9&gt;=$Q23),"R",IF(AND($P23&lt;&gt;"",G9&gt;=$P23),"A",IF(AND($O23&lt;&gt;"",G9&gt;=$O23),"AG","G"))))</f>
        <v/>
      </c>
      <c r="H23" s="15">
        <f>IF(OR(H9="",H9="n/a",H9="N/A"),"",IF(AND($Q23&lt;&gt;"",H9&gt;=$Q23),"R",IF(AND($P23&lt;&gt;"",H9&gt;=$P23),"A",IF(AND($O23&lt;&gt;"",H9&gt;=$O23),"AG","G"))))</f>
        <v/>
      </c>
      <c r="I23" s="15">
        <f>IF(OR(I9="",I9="n/a",I9="N/A"),"",IF(AND($Q23&lt;&gt;"",I9&gt;=$Q23),"R",IF(AND($P23&lt;&gt;"",I9&gt;=$P23),"A",IF(AND($O23&lt;&gt;"",I9&gt;=$O23),"AG","G"))))</f>
        <v/>
      </c>
      <c r="J23" s="15">
        <f>IF(OR(J9="",J9="n/a",J9="N/A"),"",IF(AND($Q23&lt;&gt;"",J9&gt;=$Q23),"R",IF(AND($P23&lt;&gt;"",J9&gt;=$P23),"A",IF(AND($O23&lt;&gt;"",J9&gt;=$O23),"AG","G"))))</f>
        <v/>
      </c>
      <c r="K23" s="48" t="n"/>
      <c r="L23" s="48" t="n"/>
      <c r="M23" s="48" t="n"/>
      <c r="O23" s="51" t="n">
        <v>0.2</v>
      </c>
      <c r="P23" s="51" t="n">
        <v>0.25</v>
      </c>
      <c r="Q23" s="51" t="n">
        <v>0.3</v>
      </c>
    </row>
    <row r="24" ht="16" customHeight="1">
      <c r="A24" s="14" t="inlineStr">
        <is>
          <t>Breach of liquidity MATs</t>
        </is>
      </c>
      <c r="B24" s="16" t="inlineStr">
        <is>
          <t>Liquidity</t>
        </is>
      </c>
      <c r="C24" s="46" t="inlineStr">
        <is>
          <t>Yes = R</t>
        </is>
      </c>
      <c r="D24" s="15">
        <f>IF(OR(D10="",D10="n/a",D10="N/A"),"",IF(D10=$Q24,"R","G"))</f>
        <v/>
      </c>
      <c r="E24" s="15">
        <f>IF(OR(E10="",E10="n/a",E10="N/A"),"",IF(E10=$Q24,"R","G"))</f>
        <v/>
      </c>
      <c r="F24" s="15">
        <f>IF(OR(F10="",F10="n/a",F10="N/A"),"",IF(F10=$Q24,"R","G"))</f>
        <v/>
      </c>
      <c r="G24" s="15">
        <f>IF(OR(G10="",G10="n/a",G10="N/A"),"",IF(G10=$Q24,"R","G"))</f>
        <v/>
      </c>
      <c r="H24" s="15">
        <f>IF(OR(H10="",H10="n/a",H10="N/A"),"",IF(H10=$Q24,"R","G"))</f>
        <v/>
      </c>
      <c r="I24" s="15">
        <f>IF(OR(I10="",I10="n/a",I10="N/A"),"",IF(I10=$Q24,"R","G"))</f>
        <v/>
      </c>
      <c r="J24" s="15">
        <f>IF(OR(J10="",J10="n/a",J10="N/A"),"",IF(J10=$Q24,"R","G"))</f>
        <v/>
      </c>
      <c r="K24" s="48" t="n"/>
      <c r="L24" s="48" t="n"/>
      <c r="M24" s="48" t="n"/>
      <c r="O24" s="52" t="n"/>
      <c r="P24" s="52" t="n"/>
      <c r="Q24" s="52" t="inlineStr">
        <is>
          <t>Yes</t>
        </is>
      </c>
    </row>
    <row r="25" ht="16" customHeight="1">
      <c r="A25" s="14" t="inlineStr">
        <is>
          <t>Any asset downgraded to Weak</t>
        </is>
      </c>
      <c r="B25" s="16" t="inlineStr">
        <is>
          <t>Liquidity</t>
        </is>
      </c>
      <c r="C25" s="46" t="inlineStr">
        <is>
          <t>Yes = R</t>
        </is>
      </c>
      <c r="D25" s="15">
        <f>IF(OR(D11="",D11="n/a",D11="N/A"),"",IF(D11=$Q25,"R","G"))</f>
        <v/>
      </c>
      <c r="E25" s="15">
        <f>IF(OR(E11="",E11="n/a",E11="N/A"),"",IF(E11=$Q25,"R","G"))</f>
        <v/>
      </c>
      <c r="F25" s="15">
        <f>IF(OR(F11="",F11="n/a",F11="N/A"),"",IF(F11=$Q25,"R","G"))</f>
        <v/>
      </c>
      <c r="G25" s="15">
        <f>IF(OR(G11="",G11="n/a",G11="N/A"),"",IF(G11=$Q25,"R","G"))</f>
        <v/>
      </c>
      <c r="H25" s="15">
        <f>IF(OR(H11="",H11="n/a",H11="N/A"),"",IF(H11=$Q25,"R","G"))</f>
        <v/>
      </c>
      <c r="I25" s="15">
        <f>IF(OR(I11="",I11="n/a",I11="N/A"),"",IF(I11=$Q25,"R","G"))</f>
        <v/>
      </c>
      <c r="J25" s="15">
        <f>IF(OR(J11="",J11="n/a",J11="N/A"),"",IF(J11=$Q25,"R","G"))</f>
        <v/>
      </c>
      <c r="K25" s="48" t="n"/>
      <c r="L25" s="48" t="n"/>
      <c r="M25" s="48" t="n"/>
      <c r="O25" s="52" t="n"/>
      <c r="P25" s="52" t="n"/>
      <c r="Q25" s="52" t="inlineStr">
        <is>
          <t>Yes</t>
        </is>
      </c>
    </row>
    <row r="26" ht="16" customHeight="1">
      <c r="A26" s="14" t="inlineStr">
        <is>
          <t>ESG / sustainability breach</t>
        </is>
      </c>
      <c r="B26" s="16" t="inlineStr">
        <is>
          <t>Sustainability</t>
        </is>
      </c>
      <c r="C26" s="46" t="inlineStr">
        <is>
          <t>Yes = R</t>
        </is>
      </c>
      <c r="D26" s="15">
        <f>IF(OR(D12="",D12="n/a",D12="N/A"),"",IF(D12=$Q26,"R","G"))</f>
        <v/>
      </c>
      <c r="E26" s="15">
        <f>IF(OR(E12="",E12="n/a",E12="N/A"),"",IF(E12=$Q26,"R","G"))</f>
        <v/>
      </c>
      <c r="F26" s="15">
        <f>IF(OR(F12="",F12="n/a",F12="N/A"),"",IF(F12=$Q26,"R","G"))</f>
        <v/>
      </c>
      <c r="G26" s="15">
        <f>IF(OR(G12="",G12="n/a",G12="N/A"),"",IF(G12=$Q26,"R","G"))</f>
        <v/>
      </c>
      <c r="H26" s="15">
        <f>IF(OR(H12="",H12="n/a",H12="N/A"),"",IF(H12=$Q26,"R","G"))</f>
        <v/>
      </c>
      <c r="I26" s="15">
        <f>IF(OR(I12="",I12="n/a",I12="N/A"),"",IF(I12=$Q26,"R","G"))</f>
        <v/>
      </c>
      <c r="J26" s="15">
        <f>IF(OR(J12="",J12="n/a",J12="N/A"),"",IF(J12=$Q26,"R","G"))</f>
        <v/>
      </c>
      <c r="K26" s="48" t="n"/>
      <c r="L26" s="48" t="n"/>
      <c r="M26" s="48" t="n"/>
      <c r="O26" s="52" t="n"/>
      <c r="P26" s="52" t="n"/>
      <c r="Q26" s="52" t="inlineStr">
        <is>
          <t>Yes</t>
        </is>
      </c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E5E8C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INFRASTRUCTURE DEBT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Private Credit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SGIDF</t>
        </is>
      </c>
      <c r="E5" s="12" t="inlineStr">
        <is>
          <t>GIDF</t>
        </is>
      </c>
      <c r="F5" s="12" t="inlineStr">
        <is>
          <t>GTIDF</t>
        </is>
      </c>
      <c r="G5" s="12" t="inlineStr">
        <is>
          <t>Red Hex</t>
        </is>
      </c>
      <c r="H5" s="12" t="inlineStr">
        <is>
          <t>INHK</t>
        </is>
      </c>
      <c r="I5" s="12" t="inlineStr">
        <is>
          <t>HSIC</t>
        </is>
      </c>
      <c r="J5" s="12" t="inlineStr">
        <is>
          <t>INSP</t>
        </is>
      </c>
      <c r="K5" s="12" t="inlineStr">
        <is>
          <t>AIA</t>
        </is>
      </c>
      <c r="L5" s="12" t="n"/>
      <c r="M5" s="12" t="n"/>
    </row>
    <row r="6" ht="16" customHeight="1">
      <c r="A6" s="45" t="inlineStr">
        <is>
          <t>Watchlist (% Amber / any Red)</t>
        </is>
      </c>
      <c r="B6" s="15" t="inlineStr">
        <is>
          <t>%</t>
        </is>
      </c>
      <c r="C6" s="46" t="inlineStr">
        <is>
          <t>&gt;=20% R | any % AG</t>
        </is>
      </c>
      <c r="D6" s="47" t="n">
        <v>0.17</v>
      </c>
      <c r="E6" s="47" t="n">
        <v>0.19</v>
      </c>
      <c r="F6" s="47" t="n">
        <v>0</v>
      </c>
      <c r="G6" s="47" t="n">
        <v>0.16</v>
      </c>
      <c r="H6" s="47" t="n">
        <v>0.02</v>
      </c>
      <c r="I6" s="47" t="n">
        <v>0.11</v>
      </c>
      <c r="J6" s="47" t="n">
        <v>0.07000000000000001</v>
      </c>
      <c r="K6" s="47" t="n">
        <v>0.33</v>
      </c>
      <c r="L6" s="48" t="n"/>
      <c r="M6" s="48" t="n"/>
    </row>
    <row r="7" ht="16" customHeight="1">
      <c r="A7" s="45" t="inlineStr">
        <is>
          <t>Guideline breaches (count)</t>
        </is>
      </c>
      <c r="B7" s="15" t="inlineStr">
        <is>
          <t>#</t>
        </is>
      </c>
      <c r="C7" s="46" t="inlineStr">
        <is>
          <t>&gt;0 = R</t>
        </is>
      </c>
      <c r="D7" s="55" t="n">
        <v>0</v>
      </c>
      <c r="E7" s="55" t="n">
        <v>0</v>
      </c>
      <c r="F7" s="55" t="n">
        <v>0</v>
      </c>
      <c r="G7" s="55" t="n">
        <v>0</v>
      </c>
      <c r="H7" s="55" t="n">
        <v>0</v>
      </c>
      <c r="I7" s="55" t="n">
        <v>0</v>
      </c>
      <c r="J7" s="55" t="n">
        <v>0</v>
      </c>
      <c r="K7" s="55" t="n">
        <v>0</v>
      </c>
      <c r="L7" s="48" t="n"/>
      <c r="M7" s="48" t="n"/>
    </row>
    <row r="8" ht="16" customHeight="1">
      <c r="A8" s="45" t="inlineStr">
        <is>
          <t>Credit facility &gt;80% for &gt;2wks</t>
        </is>
      </c>
      <c r="B8" s="15" t="inlineStr">
        <is>
          <t>Y/N</t>
        </is>
      </c>
      <c r="C8" s="46" t="inlineStr">
        <is>
          <t>Yes = R</t>
        </is>
      </c>
      <c r="D8" s="50" t="inlineStr">
        <is>
          <t>No</t>
        </is>
      </c>
      <c r="E8" s="50" t="inlineStr">
        <is>
          <t>No</t>
        </is>
      </c>
      <c r="F8" s="50" t="inlineStr">
        <is>
          <t>No</t>
        </is>
      </c>
      <c r="G8" s="50" t="inlineStr">
        <is>
          <t>No</t>
        </is>
      </c>
      <c r="H8" s="50" t="inlineStr">
        <is>
          <t>No</t>
        </is>
      </c>
      <c r="I8" s="50" t="inlineStr">
        <is>
          <t>No</t>
        </is>
      </c>
      <c r="J8" s="50" t="inlineStr">
        <is>
          <t>No</t>
        </is>
      </c>
      <c r="K8" s="50" t="inlineStr">
        <is>
          <t>No</t>
        </is>
      </c>
      <c r="L8" s="48" t="n"/>
      <c r="M8" s="48" t="n"/>
    </row>
    <row r="9" ht="16" customHeight="1">
      <c r="A9" s="45" t="inlineStr">
        <is>
          <t>FX hedge outside 98–102% &gt;2 days</t>
        </is>
      </c>
      <c r="B9" s="15" t="inlineStr">
        <is>
          <t>Y/N</t>
        </is>
      </c>
      <c r="C9" s="46" t="inlineStr">
        <is>
          <t>Yes = R</t>
        </is>
      </c>
      <c r="D9" s="50" t="inlineStr">
        <is>
          <t>No</t>
        </is>
      </c>
      <c r="E9" s="50" t="inlineStr">
        <is>
          <t>No</t>
        </is>
      </c>
      <c r="F9" s="50" t="inlineStr">
        <is>
          <t>No</t>
        </is>
      </c>
      <c r="G9" s="50" t="inlineStr">
        <is>
          <t>No</t>
        </is>
      </c>
      <c r="H9" s="50" t="inlineStr">
        <is>
          <t>No</t>
        </is>
      </c>
      <c r="I9" s="50" t="inlineStr">
        <is>
          <t>No</t>
        </is>
      </c>
      <c r="J9" s="50" t="inlineStr">
        <is>
          <t>No</t>
        </is>
      </c>
      <c r="K9" s="50" t="inlineStr">
        <is>
          <t>No</t>
        </is>
      </c>
      <c r="L9" s="48" t="n"/>
      <c r="M9" s="48" t="n"/>
    </row>
    <row r="10" ht="16" customHeight="1">
      <c r="A10" s="45" t="inlineStr">
        <is>
          <t>Liquidity test triggered</t>
        </is>
      </c>
      <c r="B10" s="15" t="inlineStr">
        <is>
          <t>Y/N</t>
        </is>
      </c>
      <c r="C10" s="46" t="inlineStr">
        <is>
          <t>Yes = R</t>
        </is>
      </c>
      <c r="D10" s="50" t="inlineStr">
        <is>
          <t>No</t>
        </is>
      </c>
      <c r="E10" s="50" t="inlineStr">
        <is>
          <t>No</t>
        </is>
      </c>
      <c r="F10" s="50" t="inlineStr">
        <is>
          <t>No</t>
        </is>
      </c>
      <c r="G10" s="50" t="inlineStr">
        <is>
          <t>No</t>
        </is>
      </c>
      <c r="H10" s="50" t="inlineStr">
        <is>
          <t>No</t>
        </is>
      </c>
      <c r="I10" s="50" t="inlineStr">
        <is>
          <t>No</t>
        </is>
      </c>
      <c r="J10" s="50" t="inlineStr">
        <is>
          <t>No</t>
        </is>
      </c>
      <c r="K10" s="50" t="inlineStr">
        <is>
          <t>No</t>
        </is>
      </c>
      <c r="L10" s="48" t="n"/>
      <c r="M10" s="48" t="n"/>
    </row>
    <row r="11" ht="16" customHeight="1">
      <c r="A11" s="45" t="inlineStr">
        <is>
          <t>Any asset downgraded to Weak</t>
        </is>
      </c>
      <c r="B11" s="15" t="inlineStr">
        <is>
          <t>Y/N</t>
        </is>
      </c>
      <c r="C11" s="46" t="inlineStr">
        <is>
          <t>Yes = R</t>
        </is>
      </c>
      <c r="D11" s="50" t="inlineStr">
        <is>
          <t>No</t>
        </is>
      </c>
      <c r="E11" s="50" t="inlineStr">
        <is>
          <t>No</t>
        </is>
      </c>
      <c r="F11" s="50" t="inlineStr">
        <is>
          <t>No</t>
        </is>
      </c>
      <c r="G11" s="50" t="inlineStr">
        <is>
          <t>No</t>
        </is>
      </c>
      <c r="H11" s="50" t="inlineStr">
        <is>
          <t>No</t>
        </is>
      </c>
      <c r="I11" s="50" t="inlineStr">
        <is>
          <t>No</t>
        </is>
      </c>
      <c r="J11" s="50" t="inlineStr">
        <is>
          <t>No</t>
        </is>
      </c>
      <c r="K11" s="50" t="inlineStr">
        <is>
          <t>No</t>
        </is>
      </c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>
        <f>F5</f>
        <v/>
      </c>
      <c r="G19" s="12">
        <f>G5</f>
        <v/>
      </c>
      <c r="H19" s="12">
        <f>H5</f>
        <v/>
      </c>
      <c r="I19" s="12">
        <f>I5</f>
        <v/>
      </c>
      <c r="J19" s="12">
        <f>J5</f>
        <v/>
      </c>
      <c r="K19" s="12">
        <f>K5</f>
        <v/>
      </c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Watchlist (% Amber / any Red)</t>
        </is>
      </c>
      <c r="B20" s="16" t="inlineStr">
        <is>
          <t>Market</t>
        </is>
      </c>
      <c r="C20" s="46" t="inlineStr">
        <is>
          <t>&gt;=20% R | any % AG</t>
        </is>
      </c>
      <c r="D20" s="15">
        <f>IF(OR(D6="",D6="n/a",D6="N/A"),"",IF(AND($Q20&lt;&gt;"",D6&gt;=$Q20),"R",IF(AND($P20&lt;&gt;"",D6&gt;=$P20),"A",IF(AND($O20&lt;&gt;"",D6&gt;=$O20),"AG","G"))))</f>
        <v/>
      </c>
      <c r="E20" s="15">
        <f>IF(OR(E6="",E6="n/a",E6="N/A"),"",IF(AND($Q20&lt;&gt;"",E6&gt;=$Q20),"R",IF(AND($P20&lt;&gt;"",E6&gt;=$P20),"A",IF(AND($O20&lt;&gt;"",E6&gt;=$O20),"AG","G"))))</f>
        <v/>
      </c>
      <c r="F20" s="15">
        <f>IF(OR(F6="",F6="n/a",F6="N/A"),"",IF(AND($Q20&lt;&gt;"",F6&gt;=$Q20),"R",IF(AND($P20&lt;&gt;"",F6&gt;=$P20),"A",IF(AND($O20&lt;&gt;"",F6&gt;=$O20),"AG","G"))))</f>
        <v/>
      </c>
      <c r="G20" s="15">
        <f>IF(OR(G6="",G6="n/a",G6="N/A"),"",IF(AND($Q20&lt;&gt;"",G6&gt;=$Q20),"R",IF(AND($P20&lt;&gt;"",G6&gt;=$P20),"A",IF(AND($O20&lt;&gt;"",G6&gt;=$O20),"AG","G"))))</f>
        <v/>
      </c>
      <c r="H20" s="15">
        <f>IF(OR(H6="",H6="n/a",H6="N/A"),"",IF(AND($Q20&lt;&gt;"",H6&gt;=$Q20),"R",IF(AND($P20&lt;&gt;"",H6&gt;=$P20),"A",IF(AND($O20&lt;&gt;"",H6&gt;=$O20),"AG","G"))))</f>
        <v/>
      </c>
      <c r="I20" s="15">
        <f>IF(OR(I6="",I6="n/a",I6="N/A"),"",IF(AND($Q20&lt;&gt;"",I6&gt;=$Q20),"R",IF(AND($P20&lt;&gt;"",I6&gt;=$P20),"A",IF(AND($O20&lt;&gt;"",I6&gt;=$O20),"AG","G"))))</f>
        <v/>
      </c>
      <c r="J20" s="15">
        <f>IF(OR(J6="",J6="n/a",J6="N/A"),"",IF(AND($Q20&lt;&gt;"",J6&gt;=$Q20),"R",IF(AND($P20&lt;&gt;"",J6&gt;=$P20),"A",IF(AND($O20&lt;&gt;"",J6&gt;=$O20),"AG","G"))))</f>
        <v/>
      </c>
      <c r="K20" s="15">
        <f>IF(OR(K6="",K6="n/a",K6="N/A"),"",IF(AND($Q20&lt;&gt;"",K6&gt;=$Q20),"R",IF(AND($P20&lt;&gt;"",K6&gt;=$P20),"A",IF(AND($O20&lt;&gt;"",K6&gt;=$O20),"AG","G"))))</f>
        <v/>
      </c>
      <c r="L20" s="48" t="n"/>
      <c r="M20" s="48" t="n"/>
      <c r="O20" s="51" t="n">
        <v>0.01</v>
      </c>
      <c r="P20" s="52" t="n"/>
      <c r="Q20" s="51" t="n">
        <v>0.2</v>
      </c>
    </row>
    <row r="21" ht="16" customHeight="1">
      <c r="A21" s="14" t="inlineStr">
        <is>
          <t>Guideline breaches (count)</t>
        </is>
      </c>
      <c r="B21" s="16" t="inlineStr">
        <is>
          <t>Market</t>
        </is>
      </c>
      <c r="C21" s="46" t="inlineStr">
        <is>
          <t>&gt;0 = R</t>
        </is>
      </c>
      <c r="D21" s="15">
        <f>IF(OR(D7="",D7="n/a",D7="N/A"),"",IF(AND($Q21&lt;&gt;"",D7&gt;=$Q21),"R",IF(AND($P21&lt;&gt;"",D7&gt;=$P21),"A",IF(AND($O21&lt;&gt;"",D7&gt;=$O21),"AG","G"))))</f>
        <v/>
      </c>
      <c r="E21" s="15">
        <f>IF(OR(E7="",E7="n/a",E7="N/A"),"",IF(AND($Q21&lt;&gt;"",E7&gt;=$Q21),"R",IF(AND($P21&lt;&gt;"",E7&gt;=$P21),"A",IF(AND($O21&lt;&gt;"",E7&gt;=$O21),"AG","G"))))</f>
        <v/>
      </c>
      <c r="F21" s="15">
        <f>IF(OR(F7="",F7="n/a",F7="N/A"),"",IF(AND($Q21&lt;&gt;"",F7&gt;=$Q21),"R",IF(AND($P21&lt;&gt;"",F7&gt;=$P21),"A",IF(AND($O21&lt;&gt;"",F7&gt;=$O21),"AG","G"))))</f>
        <v/>
      </c>
      <c r="G21" s="15">
        <f>IF(OR(G7="",G7="n/a",G7="N/A"),"",IF(AND($Q21&lt;&gt;"",G7&gt;=$Q21),"R",IF(AND($P21&lt;&gt;"",G7&gt;=$P21),"A",IF(AND($O21&lt;&gt;"",G7&gt;=$O21),"AG","G"))))</f>
        <v/>
      </c>
      <c r="H21" s="15">
        <f>IF(OR(H7="",H7="n/a",H7="N/A"),"",IF(AND($Q21&lt;&gt;"",H7&gt;=$Q21),"R",IF(AND($P21&lt;&gt;"",H7&gt;=$P21),"A",IF(AND($O21&lt;&gt;"",H7&gt;=$O21),"AG","G"))))</f>
        <v/>
      </c>
      <c r="I21" s="15">
        <f>IF(OR(I7="",I7="n/a",I7="N/A"),"",IF(AND($Q21&lt;&gt;"",I7&gt;=$Q21),"R",IF(AND($P21&lt;&gt;"",I7&gt;=$P21),"A",IF(AND($O21&lt;&gt;"",I7&gt;=$O21),"AG","G"))))</f>
        <v/>
      </c>
      <c r="J21" s="15">
        <f>IF(OR(J7="",J7="n/a",J7="N/A"),"",IF(AND($Q21&lt;&gt;"",J7&gt;=$Q21),"R",IF(AND($P21&lt;&gt;"",J7&gt;=$P21),"A",IF(AND($O21&lt;&gt;"",J7&gt;=$O21),"AG","G"))))</f>
        <v/>
      </c>
      <c r="K21" s="15">
        <f>IF(OR(K7="",K7="n/a",K7="N/A"),"",IF(AND($Q21&lt;&gt;"",K7&gt;=$Q21),"R",IF(AND($P21&lt;&gt;"",K7&gt;=$P21),"A",IF(AND($O21&lt;&gt;"",K7&gt;=$O21),"AG","G"))))</f>
        <v/>
      </c>
      <c r="L21" s="48" t="n"/>
      <c r="M21" s="48" t="n"/>
      <c r="O21" s="52" t="n"/>
      <c r="P21" s="52" t="n"/>
      <c r="Q21" s="56" t="n">
        <v>1</v>
      </c>
    </row>
    <row r="22" ht="16" customHeight="1">
      <c r="A22" s="14" t="inlineStr">
        <is>
          <t>Credit facility &gt;80% for &gt;2wks</t>
        </is>
      </c>
      <c r="B22" s="16" t="inlineStr">
        <is>
          <t>Market</t>
        </is>
      </c>
      <c r="C22" s="46" t="inlineStr">
        <is>
          <t>Yes = R</t>
        </is>
      </c>
      <c r="D22" s="15">
        <f>IF(OR(D8="",D8="n/a",D8="N/A"),"",IF(D8=$Q22,"R","G"))</f>
        <v/>
      </c>
      <c r="E22" s="15">
        <f>IF(OR(E8="",E8="n/a",E8="N/A"),"",IF(E8=$Q22,"R","G"))</f>
        <v/>
      </c>
      <c r="F22" s="15">
        <f>IF(OR(F8="",F8="n/a",F8="N/A"),"",IF(F8=$Q22,"R","G"))</f>
        <v/>
      </c>
      <c r="G22" s="15">
        <f>IF(OR(G8="",G8="n/a",G8="N/A"),"",IF(G8=$Q22,"R","G"))</f>
        <v/>
      </c>
      <c r="H22" s="15">
        <f>IF(OR(H8="",H8="n/a",H8="N/A"),"",IF(H8=$Q22,"R","G"))</f>
        <v/>
      </c>
      <c r="I22" s="15">
        <f>IF(OR(I8="",I8="n/a",I8="N/A"),"",IF(I8=$Q22,"R","G"))</f>
        <v/>
      </c>
      <c r="J22" s="15">
        <f>IF(OR(J8="",J8="n/a",J8="N/A"),"",IF(J8=$Q22,"R","G"))</f>
        <v/>
      </c>
      <c r="K22" s="15">
        <f>IF(OR(K8="",K8="n/a",K8="N/A"),"",IF(K8=$Q22,"R","G"))</f>
        <v/>
      </c>
      <c r="L22" s="48" t="n"/>
      <c r="M22" s="48" t="n"/>
      <c r="O22" s="52" t="n"/>
      <c r="P22" s="52" t="n"/>
      <c r="Q22" s="52" t="inlineStr">
        <is>
          <t>Yes</t>
        </is>
      </c>
    </row>
    <row r="23" ht="16" customHeight="1">
      <c r="A23" s="14" t="inlineStr">
        <is>
          <t>FX hedge outside 98–102% &gt;2 days</t>
        </is>
      </c>
      <c r="B23" s="16" t="inlineStr">
        <is>
          <t>Market</t>
        </is>
      </c>
      <c r="C23" s="46" t="inlineStr">
        <is>
          <t>Yes = R</t>
        </is>
      </c>
      <c r="D23" s="15">
        <f>IF(OR(D9="",D9="n/a",D9="N/A"),"",IF(D9=$Q23,"R","G"))</f>
        <v/>
      </c>
      <c r="E23" s="15">
        <f>IF(OR(E9="",E9="n/a",E9="N/A"),"",IF(E9=$Q23,"R","G"))</f>
        <v/>
      </c>
      <c r="F23" s="15">
        <f>IF(OR(F9="",F9="n/a",F9="N/A"),"",IF(F9=$Q23,"R","G"))</f>
        <v/>
      </c>
      <c r="G23" s="15">
        <f>IF(OR(G9="",G9="n/a",G9="N/A"),"",IF(G9=$Q23,"R","G"))</f>
        <v/>
      </c>
      <c r="H23" s="15">
        <f>IF(OR(H9="",H9="n/a",H9="N/A"),"",IF(H9=$Q23,"R","G"))</f>
        <v/>
      </c>
      <c r="I23" s="15">
        <f>IF(OR(I9="",I9="n/a",I9="N/A"),"",IF(I9=$Q23,"R","G"))</f>
        <v/>
      </c>
      <c r="J23" s="15">
        <f>IF(OR(J9="",J9="n/a",J9="N/A"),"",IF(J9=$Q23,"R","G"))</f>
        <v/>
      </c>
      <c r="K23" s="15">
        <f>IF(OR(K9="",K9="n/a",K9="N/A"),"",IF(K9=$Q23,"R","G"))</f>
        <v/>
      </c>
      <c r="L23" s="48" t="n"/>
      <c r="M23" s="48" t="n"/>
      <c r="O23" s="52" t="n"/>
      <c r="P23" s="52" t="n"/>
      <c r="Q23" s="52" t="inlineStr">
        <is>
          <t>Yes</t>
        </is>
      </c>
    </row>
    <row r="24" ht="16" customHeight="1">
      <c r="A24" s="14" t="inlineStr">
        <is>
          <t>Liquidity test triggered</t>
        </is>
      </c>
      <c r="B24" s="16" t="inlineStr">
        <is>
          <t>Liquidity</t>
        </is>
      </c>
      <c r="C24" s="46" t="inlineStr">
        <is>
          <t>Yes = R</t>
        </is>
      </c>
      <c r="D24" s="15">
        <f>IF(OR(D10="",D10="n/a",D10="N/A"),"",IF(D10=$Q24,"R","G"))</f>
        <v/>
      </c>
      <c r="E24" s="15">
        <f>IF(OR(E10="",E10="n/a",E10="N/A"),"",IF(E10=$Q24,"R","G"))</f>
        <v/>
      </c>
      <c r="F24" s="15">
        <f>IF(OR(F10="",F10="n/a",F10="N/A"),"",IF(F10=$Q24,"R","G"))</f>
        <v/>
      </c>
      <c r="G24" s="15">
        <f>IF(OR(G10="",G10="n/a",G10="N/A"),"",IF(G10=$Q24,"R","G"))</f>
        <v/>
      </c>
      <c r="H24" s="15">
        <f>IF(OR(H10="",H10="n/a",H10="N/A"),"",IF(H10=$Q24,"R","G"))</f>
        <v/>
      </c>
      <c r="I24" s="15">
        <f>IF(OR(I10="",I10="n/a",I10="N/A"),"",IF(I10=$Q24,"R","G"))</f>
        <v/>
      </c>
      <c r="J24" s="15">
        <f>IF(OR(J10="",J10="n/a",J10="N/A"),"",IF(J10=$Q24,"R","G"))</f>
        <v/>
      </c>
      <c r="K24" s="15">
        <f>IF(OR(K10="",K10="n/a",K10="N/A"),"",IF(K10=$Q24,"R","G"))</f>
        <v/>
      </c>
      <c r="L24" s="48" t="n"/>
      <c r="M24" s="48" t="n"/>
      <c r="O24" s="52" t="n"/>
      <c r="P24" s="52" t="n"/>
      <c r="Q24" s="52" t="inlineStr">
        <is>
          <t>Yes</t>
        </is>
      </c>
    </row>
    <row r="25" ht="16" customHeight="1">
      <c r="A25" s="14" t="inlineStr">
        <is>
          <t>Any asset downgraded to Weak</t>
        </is>
      </c>
      <c r="B25" s="16" t="inlineStr">
        <is>
          <t>Sustainability</t>
        </is>
      </c>
      <c r="C25" s="46" t="inlineStr">
        <is>
          <t>Yes = R</t>
        </is>
      </c>
      <c r="D25" s="15">
        <f>IF(OR(D11="",D11="n/a",D11="N/A"),"",IF(D11=$Q25,"R","G"))</f>
        <v/>
      </c>
      <c r="E25" s="15">
        <f>IF(OR(E11="",E11="n/a",E11="N/A"),"",IF(E11=$Q25,"R","G"))</f>
        <v/>
      </c>
      <c r="F25" s="15">
        <f>IF(OR(F11="",F11="n/a",F11="N/A"),"",IF(F11=$Q25,"R","G"))</f>
        <v/>
      </c>
      <c r="G25" s="15">
        <f>IF(OR(G11="",G11="n/a",G11="N/A"),"",IF(G11=$Q25,"R","G"))</f>
        <v/>
      </c>
      <c r="H25" s="15">
        <f>IF(OR(H11="",H11="n/a",H11="N/A"),"",IF(H11=$Q25,"R","G"))</f>
        <v/>
      </c>
      <c r="I25" s="15">
        <f>IF(OR(I11="",I11="n/a",I11="N/A"),"",IF(I11=$Q25,"R","G"))</f>
        <v/>
      </c>
      <c r="J25" s="15">
        <f>IF(OR(J11="",J11="n/a",J11="N/A"),"",IF(J11=$Q25,"R","G"))</f>
        <v/>
      </c>
      <c r="K25" s="15">
        <f>IF(OR(K11="",K11="n/a",K11="N/A"),"",IF(K11=$Q25,"R","G"))</f>
        <v/>
      </c>
      <c r="L25" s="48" t="n"/>
      <c r="M25" s="48" t="n"/>
      <c r="O25" s="52" t="n"/>
      <c r="P25" s="52" t="n"/>
      <c r="Q25" s="52" t="inlineStr">
        <is>
          <t>Yes</t>
        </is>
      </c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5E8C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REVOLVING CREDIT FACILITIES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Private Credit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RCF</t>
        </is>
      </c>
      <c r="E5" s="12" t="inlineStr">
        <is>
          <t>OMERS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6" customHeight="1">
      <c r="A6" s="45" t="inlineStr">
        <is>
          <t>Watchlist (% Amber / any Red)</t>
        </is>
      </c>
      <c r="B6" s="15" t="inlineStr">
        <is>
          <t>%</t>
        </is>
      </c>
      <c r="C6" s="46" t="inlineStr">
        <is>
          <t>&gt;=20% R | any % AG</t>
        </is>
      </c>
      <c r="D6" s="47" t="n">
        <v>0</v>
      </c>
      <c r="E6" s="47" t="n">
        <v>0</v>
      </c>
      <c r="F6" s="48" t="n"/>
      <c r="G6" s="48" t="n"/>
      <c r="H6" s="48" t="n"/>
      <c r="I6" s="48" t="n"/>
      <c r="J6" s="48" t="n"/>
      <c r="K6" s="48" t="n"/>
      <c r="L6" s="48" t="n"/>
      <c r="M6" s="48" t="n"/>
    </row>
    <row r="7" ht="16" customHeight="1">
      <c r="A7" s="45" t="inlineStr">
        <is>
          <t>Fund borrowings &gt;50% of lines</t>
        </is>
      </c>
      <c r="B7" s="15" t="inlineStr">
        <is>
          <t>Y/N</t>
        </is>
      </c>
      <c r="C7" s="46" t="inlineStr">
        <is>
          <t>Yes = R</t>
        </is>
      </c>
      <c r="D7" s="50" t="inlineStr">
        <is>
          <t>No</t>
        </is>
      </c>
      <c r="E7" s="50" t="inlineStr">
        <is>
          <t>No</t>
        </is>
      </c>
      <c r="F7" s="48" t="n"/>
      <c r="G7" s="48" t="n"/>
      <c r="H7" s="48" t="n"/>
      <c r="I7" s="48" t="n"/>
      <c r="J7" s="48" t="n"/>
      <c r="K7" s="48" t="n"/>
      <c r="L7" s="48" t="n"/>
      <c r="M7" s="48" t="n"/>
    </row>
    <row r="8" ht="16" customHeight="1">
      <c r="A8" s="45" t="inlineStr">
        <is>
          <t>RCF drawings +10% in 1 week</t>
        </is>
      </c>
      <c r="B8" s="15" t="inlineStr">
        <is>
          <t>Y/N</t>
        </is>
      </c>
      <c r="C8" s="46" t="inlineStr">
        <is>
          <t>Yes = R</t>
        </is>
      </c>
      <c r="D8" s="50" t="inlineStr">
        <is>
          <t>No</t>
        </is>
      </c>
      <c r="E8" s="50" t="inlineStr">
        <is>
          <t>No</t>
        </is>
      </c>
      <c r="F8" s="48" t="n"/>
      <c r="G8" s="48" t="n"/>
      <c r="H8" s="48" t="n"/>
      <c r="I8" s="48" t="n"/>
      <c r="J8" s="48" t="n"/>
      <c r="K8" s="48" t="n"/>
      <c r="L8" s="48" t="n"/>
      <c r="M8" s="48" t="n"/>
    </row>
    <row r="9" ht="16" customHeight="1">
      <c r="A9" s="45" t="inlineStr">
        <is>
          <t>RCF drawings +35% in 1 month</t>
        </is>
      </c>
      <c r="B9" s="15" t="inlineStr">
        <is>
          <t>Y/N</t>
        </is>
      </c>
      <c r="C9" s="46" t="inlineStr">
        <is>
          <t>Yes = R</t>
        </is>
      </c>
      <c r="D9" s="50" t="inlineStr">
        <is>
          <t>No</t>
        </is>
      </c>
      <c r="E9" s="50" t="inlineStr">
        <is>
          <t>No</t>
        </is>
      </c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5" t="inlineStr">
        <is>
          <t>SLF outstanding maturity</t>
        </is>
      </c>
      <c r="B10" s="15" t="inlineStr">
        <is>
          <t>date</t>
        </is>
      </c>
      <c r="C10" s="46" t="inlineStr">
        <is>
          <t>&lt;=6 mths R</t>
        </is>
      </c>
      <c r="D10" s="57" t="n">
        <v>46023</v>
      </c>
      <c r="E10" s="57" t="n">
        <v>46296</v>
      </c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5" t="inlineStr">
        <is>
          <t>Unhedged non-EUR exposure &gt;40%</t>
        </is>
      </c>
      <c r="B11" s="15" t="inlineStr">
        <is>
          <t>Y/N</t>
        </is>
      </c>
      <c r="C11" s="46" t="inlineStr">
        <is>
          <t>Yes = R</t>
        </is>
      </c>
      <c r="D11" s="50" t="inlineStr">
        <is>
          <t>No</t>
        </is>
      </c>
      <c r="E11" s="50" t="inlineStr">
        <is>
          <t>No</t>
        </is>
      </c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5" t="inlineStr">
        <is>
          <t>Any asset downgraded to Weak</t>
        </is>
      </c>
      <c r="B12" s="15" t="inlineStr">
        <is>
          <t>Y/N</t>
        </is>
      </c>
      <c r="C12" s="46" t="inlineStr">
        <is>
          <t>Yes = R</t>
        </is>
      </c>
      <c r="D12" s="50" t="inlineStr">
        <is>
          <t>No</t>
        </is>
      </c>
      <c r="E12" s="50" t="inlineStr">
        <is>
          <t>No</t>
        </is>
      </c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Watchlist (% Amber / any Red)</t>
        </is>
      </c>
      <c r="B20" s="16" t="inlineStr">
        <is>
          <t>Market</t>
        </is>
      </c>
      <c r="C20" s="46" t="inlineStr">
        <is>
          <t>&gt;=20% R | any % AG</t>
        </is>
      </c>
      <c r="D20" s="15">
        <f>IF(OR(D6="",D6="n/a",D6="N/A"),"",IF(AND($Q20&lt;&gt;"",D6&gt;=$Q20),"R",IF(AND($P20&lt;&gt;"",D6&gt;=$P20),"A",IF(AND($O20&lt;&gt;"",D6&gt;=$O20),"AG","G"))))</f>
        <v/>
      </c>
      <c r="E20" s="15">
        <f>IF(OR(E6="",E6="n/a",E6="N/A"),"",IF(AND($Q20&lt;&gt;"",E6&gt;=$Q20),"R",IF(AND($P20&lt;&gt;"",E6&gt;=$P20),"A",IF(AND($O20&lt;&gt;"",E6&gt;=$O20),"AG","G"))))</f>
        <v/>
      </c>
      <c r="F20" s="48" t="n"/>
      <c r="G20" s="48" t="n"/>
      <c r="H20" s="48" t="n"/>
      <c r="I20" s="48" t="n"/>
      <c r="J20" s="48" t="n"/>
      <c r="K20" s="48" t="n"/>
      <c r="L20" s="48" t="n"/>
      <c r="M20" s="48" t="n"/>
      <c r="O20" s="51" t="n">
        <v>0.01</v>
      </c>
      <c r="P20" s="52" t="n"/>
      <c r="Q20" s="51" t="n">
        <v>0.2</v>
      </c>
    </row>
    <row r="21" ht="16" customHeight="1">
      <c r="A21" s="14" t="inlineStr">
        <is>
          <t>Fund borrowings &gt;50% of lines</t>
        </is>
      </c>
      <c r="B21" s="16" t="inlineStr">
        <is>
          <t>Liquidity</t>
        </is>
      </c>
      <c r="C21" s="46" t="inlineStr">
        <is>
          <t>Yes = R</t>
        </is>
      </c>
      <c r="D21" s="15">
        <f>IF(OR(D7="",D7="n/a",D7="N/A"),"",IF(D7=$Q21,"R","G"))</f>
        <v/>
      </c>
      <c r="E21" s="15">
        <f>IF(OR(E7="",E7="n/a",E7="N/A"),"",IF(E7=$Q21,"R","G"))</f>
        <v/>
      </c>
      <c r="F21" s="48" t="n"/>
      <c r="G21" s="48" t="n"/>
      <c r="H21" s="48" t="n"/>
      <c r="I21" s="48" t="n"/>
      <c r="J21" s="48" t="n"/>
      <c r="K21" s="48" t="n"/>
      <c r="L21" s="48" t="n"/>
      <c r="M21" s="48" t="n"/>
      <c r="O21" s="52" t="n"/>
      <c r="P21" s="52" t="n"/>
      <c r="Q21" s="52" t="inlineStr">
        <is>
          <t>Yes</t>
        </is>
      </c>
    </row>
    <row r="22" ht="16" customHeight="1">
      <c r="A22" s="14" t="inlineStr">
        <is>
          <t>RCF drawings +10% in 1 week</t>
        </is>
      </c>
      <c r="B22" s="16" t="inlineStr">
        <is>
          <t>Liquidity</t>
        </is>
      </c>
      <c r="C22" s="46" t="inlineStr">
        <is>
          <t>Yes = R</t>
        </is>
      </c>
      <c r="D22" s="15">
        <f>IF(OR(D8="",D8="n/a",D8="N/A"),"",IF(D8=$Q22,"R","G"))</f>
        <v/>
      </c>
      <c r="E22" s="15">
        <f>IF(OR(E8="",E8="n/a",E8="N/A"),"",IF(E8=$Q22,"R","G"))</f>
        <v/>
      </c>
      <c r="F22" s="48" t="n"/>
      <c r="G22" s="48" t="n"/>
      <c r="H22" s="48" t="n"/>
      <c r="I22" s="48" t="n"/>
      <c r="J22" s="48" t="n"/>
      <c r="K22" s="48" t="n"/>
      <c r="L22" s="48" t="n"/>
      <c r="M22" s="48" t="n"/>
      <c r="O22" s="52" t="n"/>
      <c r="P22" s="52" t="n"/>
      <c r="Q22" s="52" t="inlineStr">
        <is>
          <t>Yes</t>
        </is>
      </c>
    </row>
    <row r="23" ht="16" customHeight="1">
      <c r="A23" s="14" t="inlineStr">
        <is>
          <t>RCF drawings +35% in 1 month</t>
        </is>
      </c>
      <c r="B23" s="16" t="inlineStr">
        <is>
          <t>Liquidity</t>
        </is>
      </c>
      <c r="C23" s="46" t="inlineStr">
        <is>
          <t>Yes = R</t>
        </is>
      </c>
      <c r="D23" s="15">
        <f>IF(OR(D9="",D9="n/a",D9="N/A"),"",IF(D9=$Q23,"R","G"))</f>
        <v/>
      </c>
      <c r="E23" s="15">
        <f>IF(OR(E9="",E9="n/a",E9="N/A"),"",IF(E9=$Q23,"R","G"))</f>
        <v/>
      </c>
      <c r="F23" s="48" t="n"/>
      <c r="G23" s="48" t="n"/>
      <c r="H23" s="48" t="n"/>
      <c r="I23" s="48" t="n"/>
      <c r="J23" s="48" t="n"/>
      <c r="K23" s="48" t="n"/>
      <c r="L23" s="48" t="n"/>
      <c r="M23" s="48" t="n"/>
      <c r="O23" s="52" t="n"/>
      <c r="P23" s="52" t="n"/>
      <c r="Q23" s="52" t="inlineStr">
        <is>
          <t>Yes</t>
        </is>
      </c>
    </row>
    <row r="24" ht="16" customHeight="1">
      <c r="A24" s="14" t="inlineStr">
        <is>
          <t>SLF outstanding maturity</t>
        </is>
      </c>
      <c r="B24" s="16" t="inlineStr">
        <is>
          <t>Liquidity</t>
        </is>
      </c>
      <c r="C24" s="46" t="inlineStr">
        <is>
          <t>&lt;=6 mths R</t>
        </is>
      </c>
      <c r="D24" s="15">
        <f>IF(OR(D10="",D10="n/a",D10="N/A"),"",IF(D10&lt;=EDATE(TODAY(),$Q24),"R",IF(D10&lt;=EDATE(TODAY(),$P24),"A",IF(D10&lt;=EDATE(TODAY(),$O24),"AG","G"))))</f>
        <v/>
      </c>
      <c r="E24" s="15">
        <f>IF(OR(E10="",E10="n/a",E10="N/A"),"",IF(E10&lt;=EDATE(TODAY(),$Q24),"R",IF(E10&lt;=EDATE(TODAY(),$P24),"A",IF(E10&lt;=EDATE(TODAY(),$O24),"AG","G"))))</f>
        <v/>
      </c>
      <c r="F24" s="48" t="n"/>
      <c r="G24" s="48" t="n"/>
      <c r="H24" s="48" t="n"/>
      <c r="I24" s="48" t="n"/>
      <c r="J24" s="48" t="n"/>
      <c r="K24" s="48" t="n"/>
      <c r="L24" s="48" t="n"/>
      <c r="M24" s="48" t="n"/>
      <c r="O24" s="52" t="n">
        <v>12</v>
      </c>
      <c r="P24" s="52" t="n">
        <v>9</v>
      </c>
      <c r="Q24" s="52" t="n">
        <v>6</v>
      </c>
    </row>
    <row r="25" ht="16" customHeight="1">
      <c r="A25" s="14" t="inlineStr">
        <is>
          <t>Unhedged non-EUR exposure &gt;40%</t>
        </is>
      </c>
      <c r="B25" s="16" t="inlineStr">
        <is>
          <t>Market</t>
        </is>
      </c>
      <c r="C25" s="46" t="inlineStr">
        <is>
          <t>Yes = R</t>
        </is>
      </c>
      <c r="D25" s="15">
        <f>IF(OR(D11="",D11="n/a",D11="N/A"),"",IF(D11=$Q25,"R","G"))</f>
        <v/>
      </c>
      <c r="E25" s="15">
        <f>IF(OR(E11="",E11="n/a",E11="N/A"),"",IF(E11=$Q25,"R","G"))</f>
        <v/>
      </c>
      <c r="F25" s="48" t="n"/>
      <c r="G25" s="48" t="n"/>
      <c r="H25" s="48" t="n"/>
      <c r="I25" s="48" t="n"/>
      <c r="J25" s="48" t="n"/>
      <c r="K25" s="48" t="n"/>
      <c r="L25" s="48" t="n"/>
      <c r="M25" s="48" t="n"/>
      <c r="O25" s="52" t="n"/>
      <c r="P25" s="52" t="n"/>
      <c r="Q25" s="52" t="inlineStr">
        <is>
          <t>Yes</t>
        </is>
      </c>
    </row>
    <row r="26" ht="16" customHeight="1">
      <c r="A26" s="14" t="inlineStr">
        <is>
          <t>Any asset downgraded to Weak</t>
        </is>
      </c>
      <c r="B26" s="16" t="inlineStr">
        <is>
          <t>Sustainability</t>
        </is>
      </c>
      <c r="C26" s="46" t="inlineStr">
        <is>
          <t>Yes = R</t>
        </is>
      </c>
      <c r="D26" s="15">
        <f>IF(OR(D12="",D12="n/a",D12="N/A"),"",IF(D12=$Q26,"R","G"))</f>
        <v/>
      </c>
      <c r="E26" s="15">
        <f>IF(OR(E12="",E12="n/a",E12="N/A"),"",IF(E12=$Q26,"R","G"))</f>
        <v/>
      </c>
      <c r="F26" s="48" t="n"/>
      <c r="G26" s="48" t="n"/>
      <c r="H26" s="48" t="n"/>
      <c r="I26" s="48" t="n"/>
      <c r="J26" s="48" t="n"/>
      <c r="K26" s="48" t="n"/>
      <c r="L26" s="48" t="n"/>
      <c r="M26" s="48" t="n"/>
      <c r="O26" s="52" t="n"/>
      <c r="P26" s="52" t="n"/>
      <c r="Q26" s="52" t="inlineStr">
        <is>
          <t>Yes</t>
        </is>
      </c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E5E8C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NAV LENDING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Q4 2025</t>
        </is>
      </c>
      <c r="D2" s="27" t="inlineStr">
        <is>
          <t>Asset class: Private Credit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NAV Fund</t>
        </is>
      </c>
      <c r="E5" s="12" t="inlineStr">
        <is>
          <t>AXA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6" customHeight="1">
      <c r="A6" s="45" t="inlineStr">
        <is>
          <t>Watchlist (% Amber / any Red)</t>
        </is>
      </c>
      <c r="B6" s="15" t="inlineStr">
        <is>
          <t>%</t>
        </is>
      </c>
      <c r="C6" s="46" t="inlineStr">
        <is>
          <t>&gt;=20% R | any % AG</t>
        </is>
      </c>
      <c r="D6" s="47" t="n">
        <v>0</v>
      </c>
      <c r="E6" s="47" t="inlineStr">
        <is>
          <t>n/a</t>
        </is>
      </c>
      <c r="F6" s="48" t="n"/>
      <c r="G6" s="48" t="n"/>
      <c r="H6" s="48" t="n"/>
      <c r="I6" s="48" t="n"/>
      <c r="J6" s="48" t="n"/>
      <c r="K6" s="48" t="n"/>
      <c r="L6" s="48" t="n"/>
      <c r="M6" s="48" t="n"/>
    </row>
    <row r="7" ht="16" customHeight="1">
      <c r="A7" s="45" t="inlineStr">
        <is>
          <t>SLF outstanding maturity</t>
        </is>
      </c>
      <c r="B7" s="15" t="inlineStr">
        <is>
          <t>date</t>
        </is>
      </c>
      <c r="C7" s="46" t="inlineStr">
        <is>
          <t>&lt;=12 mths R</t>
        </is>
      </c>
      <c r="D7" s="57" t="n">
        <v>46753</v>
      </c>
      <c r="E7" s="57" t="inlineStr">
        <is>
          <t>n/a</t>
        </is>
      </c>
      <c r="F7" s="48" t="n"/>
      <c r="G7" s="48" t="n"/>
      <c r="H7" s="48" t="n"/>
      <c r="I7" s="48" t="n"/>
      <c r="J7" s="48" t="n"/>
      <c r="K7" s="48" t="n"/>
      <c r="L7" s="48" t="n"/>
      <c r="M7" s="48" t="n"/>
    </row>
    <row r="8" ht="16" customHeight="1">
      <c r="A8" s="45" t="inlineStr">
        <is>
          <t>Unhedged non-EUR exposure &gt;20%</t>
        </is>
      </c>
      <c r="B8" s="15" t="inlineStr">
        <is>
          <t>Y/N</t>
        </is>
      </c>
      <c r="C8" s="46" t="inlineStr">
        <is>
          <t>Yes = R</t>
        </is>
      </c>
      <c r="D8" s="50" t="inlineStr">
        <is>
          <t>No</t>
        </is>
      </c>
      <c r="E8" s="50" t="inlineStr">
        <is>
          <t>n/a</t>
        </is>
      </c>
      <c r="F8" s="48" t="n"/>
      <c r="G8" s="48" t="n"/>
      <c r="H8" s="48" t="n"/>
      <c r="I8" s="48" t="n"/>
      <c r="J8" s="48" t="n"/>
      <c r="K8" s="48" t="n"/>
      <c r="L8" s="48" t="n"/>
      <c r="M8" s="48" t="n"/>
    </row>
    <row r="9" ht="16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Watchlist (% Amber / any Red)</t>
        </is>
      </c>
      <c r="B20" s="16" t="inlineStr">
        <is>
          <t>Market</t>
        </is>
      </c>
      <c r="C20" s="46" t="inlineStr">
        <is>
          <t>&gt;=20% R | any % AG</t>
        </is>
      </c>
      <c r="D20" s="15">
        <f>IF(OR(D6="",D6="n/a",D6="N/A"),"",IF(AND($Q20&lt;&gt;"",D6&gt;=$Q20),"R",IF(AND($P20&lt;&gt;"",D6&gt;=$P20),"A",IF(AND($O20&lt;&gt;"",D6&gt;=$O20),"AG","G"))))</f>
        <v/>
      </c>
      <c r="E20" s="15">
        <f>IF(OR(E6="",E6="n/a",E6="N/A"),"",IF(AND($Q20&lt;&gt;"",E6&gt;=$Q20),"R",IF(AND($P20&lt;&gt;"",E6&gt;=$P20),"A",IF(AND($O20&lt;&gt;"",E6&gt;=$O20),"AG","G"))))</f>
        <v/>
      </c>
      <c r="F20" s="48" t="n"/>
      <c r="G20" s="48" t="n"/>
      <c r="H20" s="48" t="n"/>
      <c r="I20" s="48" t="n"/>
      <c r="J20" s="48" t="n"/>
      <c r="K20" s="48" t="n"/>
      <c r="L20" s="48" t="n"/>
      <c r="M20" s="48" t="n"/>
      <c r="O20" s="51" t="n">
        <v>0.01</v>
      </c>
      <c r="P20" s="52" t="n"/>
      <c r="Q20" s="51" t="n">
        <v>0.2</v>
      </c>
    </row>
    <row r="21" ht="16" customHeight="1">
      <c r="A21" s="14" t="inlineStr">
        <is>
          <t>SLF outstanding maturity</t>
        </is>
      </c>
      <c r="B21" s="16" t="inlineStr">
        <is>
          <t>Market</t>
        </is>
      </c>
      <c r="C21" s="46" t="inlineStr">
        <is>
          <t>&lt;=12 mths R</t>
        </is>
      </c>
      <c r="D21" s="15">
        <f>IF(OR(D7="",D7="n/a",D7="N/A"),"",IF(D7&lt;=EDATE(TODAY(),$Q21),"R",IF(D7&lt;=EDATE(TODAY(),$P21),"A",IF(D7&lt;=EDATE(TODAY(),$O21),"AG","G"))))</f>
        <v/>
      </c>
      <c r="E21" s="15">
        <f>IF(OR(E7="",E7="n/a",E7="N/A"),"",IF(E7&lt;=EDATE(TODAY(),$Q21),"R",IF(E7&lt;=EDATE(TODAY(),$P21),"A",IF(E7&lt;=EDATE(TODAY(),$O21),"AG","G"))))</f>
        <v/>
      </c>
      <c r="F21" s="48" t="n"/>
      <c r="G21" s="48" t="n"/>
      <c r="H21" s="48" t="n"/>
      <c r="I21" s="48" t="n"/>
      <c r="J21" s="48" t="n"/>
      <c r="K21" s="48" t="n"/>
      <c r="L21" s="48" t="n"/>
      <c r="M21" s="48" t="n"/>
      <c r="O21" s="52" t="n">
        <v>18</v>
      </c>
      <c r="P21" s="52" t="n">
        <v>15</v>
      </c>
      <c r="Q21" s="52" t="n">
        <v>12</v>
      </c>
    </row>
    <row r="22" ht="16" customHeight="1">
      <c r="A22" s="14" t="inlineStr">
        <is>
          <t>Unhedged non-EUR exposure &gt;20%</t>
        </is>
      </c>
      <c r="B22" s="16" t="inlineStr">
        <is>
          <t>Market</t>
        </is>
      </c>
      <c r="C22" s="46" t="inlineStr">
        <is>
          <t>Yes = R</t>
        </is>
      </c>
      <c r="D22" s="15">
        <f>IF(OR(D8="",D8="n/a",D8="N/A"),"",IF(D8=$Q22,"R","G"))</f>
        <v/>
      </c>
      <c r="E22" s="15">
        <f>IF(OR(E8="",E8="n/a",E8="N/A"),"",IF(E8=$Q22,"R","G"))</f>
        <v/>
      </c>
      <c r="F22" s="48" t="n"/>
      <c r="G22" s="48" t="n"/>
      <c r="H22" s="48" t="n"/>
      <c r="I22" s="48" t="n"/>
      <c r="J22" s="48" t="n"/>
      <c r="K22" s="48" t="n"/>
      <c r="L22" s="48" t="n"/>
      <c r="M22" s="48" t="n"/>
      <c r="O22" s="52" t="n"/>
      <c r="P22" s="52" t="n"/>
      <c r="Q22" s="52" t="inlineStr">
        <is>
          <t>Yes</t>
        </is>
      </c>
    </row>
    <row r="23" ht="16" customHeight="1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O23" s="48" t="n"/>
      <c r="P23" s="48" t="n"/>
      <c r="Q23" s="48" t="n"/>
    </row>
    <row r="24" ht="16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O24" s="48" t="n"/>
      <c r="P24" s="48" t="n"/>
      <c r="Q24" s="48" t="n"/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E5E8C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TRADE &amp; WORKING CAPITAL SOLUTIONS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Q4 2025</t>
        </is>
      </c>
      <c r="D2" s="27" t="inlineStr">
        <is>
          <t>Asset class: Private Credit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Note Programme</t>
        </is>
      </c>
      <c r="E5" s="12" t="inlineStr">
        <is>
          <t>Feeder Fund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6" customHeight="1">
      <c r="A6" s="45" t="inlineStr">
        <is>
          <t>Leverage</t>
        </is>
      </c>
      <c r="B6" s="15" t="inlineStr">
        <is>
          <t>x</t>
        </is>
      </c>
      <c r="C6" s="46" t="inlineStr">
        <is>
          <t>&gt;5.0x R</t>
        </is>
      </c>
      <c r="D6" s="49" t="n">
        <v>2.5</v>
      </c>
      <c r="E6" s="49" t="inlineStr">
        <is>
          <t>n/a</t>
        </is>
      </c>
      <c r="F6" s="48" t="n"/>
      <c r="G6" s="48" t="n"/>
      <c r="H6" s="48" t="n"/>
      <c r="I6" s="48" t="n"/>
      <c r="J6" s="48" t="n"/>
      <c r="K6" s="48" t="n"/>
      <c r="L6" s="48" t="n"/>
      <c r="M6" s="48" t="n"/>
    </row>
    <row r="7" ht="16" customHeight="1">
      <c r="A7" s="45" t="inlineStr">
        <is>
          <t>Programme utilisation</t>
        </is>
      </c>
      <c r="B7" s="15" t="inlineStr">
        <is>
          <t>%</t>
        </is>
      </c>
      <c r="C7" s="46" t="inlineStr">
        <is>
          <t>&lt;50% R</t>
        </is>
      </c>
      <c r="D7" s="47" t="n">
        <v>0.64</v>
      </c>
      <c r="E7" s="47" t="inlineStr">
        <is>
          <t>n/a</t>
        </is>
      </c>
      <c r="F7" s="48" t="n"/>
      <c r="G7" s="48" t="n"/>
      <c r="H7" s="48" t="n"/>
      <c r="I7" s="48" t="n"/>
      <c r="J7" s="48" t="n"/>
      <c r="K7" s="48" t="n"/>
      <c r="L7" s="48" t="n"/>
      <c r="M7" s="48" t="n"/>
    </row>
    <row r="8" ht="16" customHeight="1">
      <c r="A8" s="45" t="inlineStr">
        <is>
          <t>Late payment rate</t>
        </is>
      </c>
      <c r="B8" s="15" t="inlineStr">
        <is>
          <t>%</t>
        </is>
      </c>
      <c r="C8" s="46" t="inlineStr">
        <is>
          <t>&gt;2% R</t>
        </is>
      </c>
      <c r="D8" s="47" t="n">
        <v>0</v>
      </c>
      <c r="E8" s="47" t="inlineStr">
        <is>
          <t>n/a</t>
        </is>
      </c>
      <c r="F8" s="48" t="n"/>
      <c r="G8" s="48" t="n"/>
      <c r="H8" s="48" t="n"/>
      <c r="I8" s="48" t="n"/>
      <c r="J8" s="48" t="n"/>
      <c r="K8" s="48" t="n"/>
      <c r="L8" s="48" t="n"/>
      <c r="M8" s="48" t="n"/>
    </row>
    <row r="9" ht="16" customHeight="1">
      <c r="A9" s="45" t="inlineStr">
        <is>
          <t>Avg invoice maturity +2wks</t>
        </is>
      </c>
      <c r="B9" s="15" t="inlineStr">
        <is>
          <t>Y/N</t>
        </is>
      </c>
      <c r="C9" s="46" t="inlineStr">
        <is>
          <t>Yes = R</t>
        </is>
      </c>
      <c r="D9" s="50" t="inlineStr">
        <is>
          <t>No</t>
        </is>
      </c>
      <c r="E9" s="50" t="inlineStr">
        <is>
          <t>n/a</t>
        </is>
      </c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5" t="inlineStr">
        <is>
          <t>Single-name concentration</t>
        </is>
      </c>
      <c r="B10" s="15" t="inlineStr">
        <is>
          <t>£m</t>
        </is>
      </c>
      <c r="C10" s="46" t="inlineStr">
        <is>
          <t>&gt;£40m R</t>
        </is>
      </c>
      <c r="D10" s="58" t="n">
        <v>38</v>
      </c>
      <c r="E10" s="58" t="inlineStr">
        <is>
          <t>n/a</t>
        </is>
      </c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Leverage</t>
        </is>
      </c>
      <c r="B20" s="16" t="inlineStr">
        <is>
          <t>Market</t>
        </is>
      </c>
      <c r="C20" s="46" t="inlineStr">
        <is>
          <t>&gt;5.0x R</t>
        </is>
      </c>
      <c r="D20" s="15">
        <f>IF(OR(D6="",D6="n/a",D6="N/A"),"",IF(AND($Q20&lt;&gt;"",D6&gt;=$Q20),"R",IF(AND($P20&lt;&gt;"",D6&gt;=$P20),"A",IF(AND($O20&lt;&gt;"",D6&gt;=$O20),"AG","G"))))</f>
        <v/>
      </c>
      <c r="E20" s="15">
        <f>IF(OR(E6="",E6="n/a",E6="N/A"),"",IF(AND($Q20&lt;&gt;"",E6&gt;=$Q20),"R",IF(AND($P20&lt;&gt;"",E6&gt;=$P20),"A",IF(AND($O20&lt;&gt;"",E6&gt;=$O20),"AG","G"))))</f>
        <v/>
      </c>
      <c r="F20" s="48" t="n"/>
      <c r="G20" s="48" t="n"/>
      <c r="H20" s="48" t="n"/>
      <c r="I20" s="48" t="n"/>
      <c r="J20" s="48" t="n"/>
      <c r="K20" s="48" t="n"/>
      <c r="L20" s="48" t="n"/>
      <c r="M20" s="48" t="n"/>
      <c r="O20" s="53" t="n">
        <v>4</v>
      </c>
      <c r="P20" s="53" t="n">
        <v>4.5</v>
      </c>
      <c r="Q20" s="53" t="n">
        <v>5</v>
      </c>
    </row>
    <row r="21" ht="16" customHeight="1">
      <c r="A21" s="14" t="inlineStr">
        <is>
          <t>Programme utilisation</t>
        </is>
      </c>
      <c r="B21" s="16" t="inlineStr">
        <is>
          <t>Market</t>
        </is>
      </c>
      <c r="C21" s="46" t="inlineStr">
        <is>
          <t>&lt;50% R</t>
        </is>
      </c>
      <c r="D21" s="15">
        <f>IF(OR(D7="",D7="n/a",D7="N/A"),"",IF(AND($Q21&lt;&gt;"",D7&lt;=$Q21),"R",IF(AND($P21&lt;&gt;"",D7&lt;=$P21),"A",IF(AND($O21&lt;&gt;"",D7&lt;=$O21),"AG","G"))))</f>
        <v/>
      </c>
      <c r="E21" s="15">
        <f>IF(OR(E7="",E7="n/a",E7="N/A"),"",IF(AND($Q21&lt;&gt;"",E7&lt;=$Q21),"R",IF(AND($P21&lt;&gt;"",E7&lt;=$P21),"A",IF(AND($O21&lt;&gt;"",E7&lt;=$O21),"AG","G"))))</f>
        <v/>
      </c>
      <c r="F21" s="48" t="n"/>
      <c r="G21" s="48" t="n"/>
      <c r="H21" s="48" t="n"/>
      <c r="I21" s="48" t="n"/>
      <c r="J21" s="48" t="n"/>
      <c r="K21" s="48" t="n"/>
      <c r="L21" s="48" t="n"/>
      <c r="M21" s="48" t="n"/>
      <c r="O21" s="52" t="n"/>
      <c r="P21" s="52" t="n"/>
      <c r="Q21" s="51" t="n">
        <v>0.5</v>
      </c>
    </row>
    <row r="22" ht="16" customHeight="1">
      <c r="A22" s="14" t="inlineStr">
        <is>
          <t>Late payment rate</t>
        </is>
      </c>
      <c r="B22" s="16" t="inlineStr">
        <is>
          <t>Market</t>
        </is>
      </c>
      <c r="C22" s="46" t="inlineStr">
        <is>
          <t>&gt;2% R</t>
        </is>
      </c>
      <c r="D22" s="15">
        <f>IF(OR(D8="",D8="n/a",D8="N/A"),"",IF(AND($Q22&lt;&gt;"",D8&gt;=$Q22),"R",IF(AND($P22&lt;&gt;"",D8&gt;=$P22),"A",IF(AND($O22&lt;&gt;"",D8&gt;=$O22),"AG","G"))))</f>
        <v/>
      </c>
      <c r="E22" s="15">
        <f>IF(OR(E8="",E8="n/a",E8="N/A"),"",IF(AND($Q22&lt;&gt;"",E8&gt;=$Q22),"R",IF(AND($P22&lt;&gt;"",E8&gt;=$P22),"A",IF(AND($O22&lt;&gt;"",E8&gt;=$O22),"AG","G"))))</f>
        <v/>
      </c>
      <c r="F22" s="48" t="n"/>
      <c r="G22" s="48" t="n"/>
      <c r="H22" s="48" t="n"/>
      <c r="I22" s="48" t="n"/>
      <c r="J22" s="48" t="n"/>
      <c r="K22" s="48" t="n"/>
      <c r="L22" s="48" t="n"/>
      <c r="M22" s="48" t="n"/>
      <c r="O22" s="51" t="n">
        <v>0.01</v>
      </c>
      <c r="P22" s="51" t="n">
        <v>0.015</v>
      </c>
      <c r="Q22" s="51" t="n">
        <v>0.02</v>
      </c>
    </row>
    <row r="23" ht="16" customHeight="1">
      <c r="A23" s="14" t="inlineStr">
        <is>
          <t>Avg invoice maturity +2wks</t>
        </is>
      </c>
      <c r="B23" s="16" t="inlineStr">
        <is>
          <t>Market</t>
        </is>
      </c>
      <c r="C23" s="46" t="inlineStr">
        <is>
          <t>Yes = R</t>
        </is>
      </c>
      <c r="D23" s="15">
        <f>IF(OR(D9="",D9="n/a",D9="N/A"),"",IF(D9=$Q23,"R","G"))</f>
        <v/>
      </c>
      <c r="E23" s="15">
        <f>IF(OR(E9="",E9="n/a",E9="N/A"),"",IF(E9=$Q23,"R","G"))</f>
        <v/>
      </c>
      <c r="F23" s="48" t="n"/>
      <c r="G23" s="48" t="n"/>
      <c r="H23" s="48" t="n"/>
      <c r="I23" s="48" t="n"/>
      <c r="J23" s="48" t="n"/>
      <c r="K23" s="48" t="n"/>
      <c r="L23" s="48" t="n"/>
      <c r="M23" s="48" t="n"/>
      <c r="O23" s="52" t="n"/>
      <c r="P23" s="52" t="n"/>
      <c r="Q23" s="52" t="inlineStr">
        <is>
          <t>Yes</t>
        </is>
      </c>
    </row>
    <row r="24" ht="16" customHeight="1">
      <c r="A24" s="14" t="inlineStr">
        <is>
          <t>Single-name concentration</t>
        </is>
      </c>
      <c r="B24" s="16" t="inlineStr">
        <is>
          <t>Market</t>
        </is>
      </c>
      <c r="C24" s="46" t="inlineStr">
        <is>
          <t>&gt;£40m R</t>
        </is>
      </c>
      <c r="D24" s="15">
        <f>IF(OR(D10="",D10="n/a",D10="N/A"),"",IF(AND($Q24&lt;&gt;"",D10&gt;=$Q24),"R",IF(AND($P24&lt;&gt;"",D10&gt;=$P24),"A",IF(AND($O24&lt;&gt;"",D10&gt;=$O24),"AG","G"))))</f>
        <v/>
      </c>
      <c r="E24" s="15">
        <f>IF(OR(E10="",E10="n/a",E10="N/A"),"",IF(AND($Q24&lt;&gt;"",E10&gt;=$Q24),"R",IF(AND($P24&lt;&gt;"",E10&gt;=$P24),"A",IF(AND($O24&lt;&gt;"",E10&gt;=$O24),"AG","G"))))</f>
        <v/>
      </c>
      <c r="F24" s="48" t="n"/>
      <c r="G24" s="48" t="n"/>
      <c r="H24" s="48" t="n"/>
      <c r="I24" s="48" t="n"/>
      <c r="J24" s="48" t="n"/>
      <c r="K24" s="48" t="n"/>
      <c r="L24" s="48" t="n"/>
      <c r="M24" s="48" t="n"/>
      <c r="O24" s="52" t="n"/>
      <c r="P24" s="52" t="n"/>
      <c r="Q24" s="59" t="n">
        <v>40</v>
      </c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3E7A5E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HAIL DIRECT REAL ESTATE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Q4 2025</t>
        </is>
      </c>
      <c r="D2" s="27" t="inlineStr">
        <is>
          <t>Asset class: Real Assets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Downing</t>
        </is>
      </c>
      <c r="E5" s="12" t="inlineStr">
        <is>
          <t>Port H</t>
        </is>
      </c>
      <c r="F5" s="12" t="inlineStr">
        <is>
          <t>Stand LH</t>
        </is>
      </c>
      <c r="G5" s="12" t="inlineStr">
        <is>
          <t>Exch Pl</t>
        </is>
      </c>
      <c r="H5" s="12" t="inlineStr">
        <is>
          <t>Geneva</t>
        </is>
      </c>
      <c r="I5" s="12" t="inlineStr">
        <is>
          <t>Vienna</t>
        </is>
      </c>
      <c r="J5" s="12" t="inlineStr">
        <is>
          <t>Brussels</t>
        </is>
      </c>
      <c r="K5" s="12" t="n"/>
      <c r="L5" s="12" t="n"/>
      <c r="M5" s="12" t="n"/>
    </row>
    <row r="6" ht="16" customHeight="1">
      <c r="A6" s="45" t="inlineStr">
        <is>
          <t>Target exit date</t>
        </is>
      </c>
      <c r="B6" s="15" t="inlineStr">
        <is>
          <t>date</t>
        </is>
      </c>
      <c r="C6" s="46" t="inlineStr">
        <is>
          <t>&lt;1 yr R</t>
        </is>
      </c>
      <c r="D6" s="57" t="n">
        <v>45931</v>
      </c>
      <c r="E6" s="57" t="n">
        <v>45627</v>
      </c>
      <c r="F6" s="57" t="n">
        <v>45992</v>
      </c>
      <c r="G6" s="57" t="n">
        <v>45992</v>
      </c>
      <c r="H6" s="57" t="inlineStr">
        <is>
          <t>n/a</t>
        </is>
      </c>
      <c r="I6" s="57" t="inlineStr">
        <is>
          <t>n/a</t>
        </is>
      </c>
      <c r="J6" s="57" t="inlineStr">
        <is>
          <t>n/a</t>
        </is>
      </c>
      <c r="K6" s="48" t="n"/>
      <c r="L6" s="48" t="n"/>
      <c r="M6" s="48" t="n"/>
    </row>
    <row r="7" ht="16" customHeight="1">
      <c r="A7" s="45" t="inlineStr">
        <is>
          <t>Debt maturity</t>
        </is>
      </c>
      <c r="B7" s="15" t="inlineStr">
        <is>
          <t>date</t>
        </is>
      </c>
      <c r="C7" s="46" t="inlineStr">
        <is>
          <t>&lt;1 yr R</t>
        </is>
      </c>
      <c r="D7" s="57" t="n">
        <v>46569</v>
      </c>
      <c r="E7" s="57" t="inlineStr">
        <is>
          <t>n/a</t>
        </is>
      </c>
      <c r="F7" s="57" t="inlineStr">
        <is>
          <t>n/a</t>
        </is>
      </c>
      <c r="G7" s="57" t="n">
        <v>46539</v>
      </c>
      <c r="H7" s="57" t="n">
        <v>46753</v>
      </c>
      <c r="I7" s="57" t="n">
        <v>46388</v>
      </c>
      <c r="J7" s="57" t="inlineStr">
        <is>
          <t>n/a</t>
        </is>
      </c>
      <c r="K7" s="48" t="n"/>
      <c r="L7" s="48" t="n"/>
      <c r="M7" s="48" t="n"/>
    </row>
    <row r="8" ht="16" customHeight="1">
      <c r="A8" s="45" t="inlineStr">
        <is>
          <t>Occupancy</t>
        </is>
      </c>
      <c r="B8" s="15" t="inlineStr">
        <is>
          <t>%</t>
        </is>
      </c>
      <c r="C8" s="46" t="inlineStr">
        <is>
          <t>&lt;=85% R</t>
        </is>
      </c>
      <c r="D8" s="47" t="n">
        <v>0.975</v>
      </c>
      <c r="E8" s="47" t="n">
        <v>0</v>
      </c>
      <c r="F8" s="47" t="n">
        <v>1</v>
      </c>
      <c r="G8" s="47" t="n">
        <v>0.54</v>
      </c>
      <c r="H8" s="47" t="n">
        <v>1</v>
      </c>
      <c r="I8" s="47" t="n">
        <v>1</v>
      </c>
      <c r="J8" s="47" t="n">
        <v>0.67</v>
      </c>
      <c r="K8" s="48" t="n"/>
      <c r="L8" s="48" t="n"/>
      <c r="M8" s="48" t="n"/>
    </row>
    <row r="9" ht="16" customHeight="1">
      <c r="A9" s="45" t="inlineStr">
        <is>
          <t>LTV headroom vs covenant</t>
        </is>
      </c>
      <c r="B9" s="15" t="inlineStr">
        <is>
          <t>%</t>
        </is>
      </c>
      <c r="C9" s="46" t="inlineStr">
        <is>
          <t>&lt;10% R</t>
        </is>
      </c>
      <c r="D9" s="47" t="n">
        <v>0.4</v>
      </c>
      <c r="E9" s="47" t="inlineStr">
        <is>
          <t>n/a</t>
        </is>
      </c>
      <c r="F9" s="47" t="n">
        <v>0.65</v>
      </c>
      <c r="G9" s="47" t="n">
        <v>0.53</v>
      </c>
      <c r="H9" s="47" t="n">
        <v>0.63</v>
      </c>
      <c r="I9" s="47" t="inlineStr">
        <is>
          <t>n/a</t>
        </is>
      </c>
      <c r="J9" s="47" t="inlineStr">
        <is>
          <t>n/a</t>
        </is>
      </c>
      <c r="K9" s="48" t="n"/>
      <c r="L9" s="48" t="n"/>
      <c r="M9" s="48" t="n"/>
    </row>
    <row r="10" ht="16" customHeight="1">
      <c r="A10" s="45" t="inlineStr">
        <is>
          <t>ICR headroom vs covenant</t>
        </is>
      </c>
      <c r="B10" s="15" t="inlineStr">
        <is>
          <t>%</t>
        </is>
      </c>
      <c r="C10" s="46" t="inlineStr">
        <is>
          <t>&lt;25% R</t>
        </is>
      </c>
      <c r="D10" s="47" t="n">
        <v>2.02</v>
      </c>
      <c r="E10" s="47" t="inlineStr">
        <is>
          <t>n/a</t>
        </is>
      </c>
      <c r="F10" s="47" t="n">
        <v>2.27</v>
      </c>
      <c r="G10" s="47" t="n">
        <v>1.57</v>
      </c>
      <c r="H10" s="47" t="inlineStr">
        <is>
          <t>n/a</t>
        </is>
      </c>
      <c r="I10" s="47" t="inlineStr">
        <is>
          <t>n/a</t>
        </is>
      </c>
      <c r="J10" s="47" t="inlineStr">
        <is>
          <t>n/a</t>
        </is>
      </c>
      <c r="K10" s="48" t="n"/>
      <c r="L10" s="48" t="n"/>
      <c r="M10" s="48" t="n"/>
    </row>
    <row r="11" ht="16" customHeight="1">
      <c r="A11" s="45" t="inlineStr">
        <is>
          <t>Equity multiple</t>
        </is>
      </c>
      <c r="B11" s="15" t="inlineStr">
        <is>
          <t>x</t>
        </is>
      </c>
      <c r="C11" s="46" t="inlineStr">
        <is>
          <t>&lt;=0.6x R | &lt;=1.0x AG</t>
        </is>
      </c>
      <c r="D11" s="49" t="n">
        <v>1.33</v>
      </c>
      <c r="E11" s="49" t="n">
        <v>0.88</v>
      </c>
      <c r="F11" s="49" t="n">
        <v>0.35</v>
      </c>
      <c r="G11" s="49" t="n">
        <v>0.45</v>
      </c>
      <c r="H11" s="49" t="inlineStr">
        <is>
          <t>n/a</t>
        </is>
      </c>
      <c r="I11" s="49" t="inlineStr">
        <is>
          <t>n/a</t>
        </is>
      </c>
      <c r="J11" s="49" t="inlineStr">
        <is>
          <t>n/a</t>
        </is>
      </c>
      <c r="K11" s="48" t="n"/>
      <c r="L11" s="48" t="n"/>
      <c r="M11" s="48" t="n"/>
    </row>
    <row r="12" ht="16" customHeight="1">
      <c r="A12" s="45" t="inlineStr">
        <is>
          <t>Total multiple</t>
        </is>
      </c>
      <c r="B12" s="15" t="inlineStr">
        <is>
          <t>x</t>
        </is>
      </c>
      <c r="C12" s="46" t="inlineStr">
        <is>
          <t>&lt;=0.6x R | &lt;=1.0x AG</t>
        </is>
      </c>
      <c r="D12" s="49" t="n">
        <v>1.63</v>
      </c>
      <c r="E12" s="49" t="n">
        <v>1.39</v>
      </c>
      <c r="F12" s="49" t="n">
        <v>0.97</v>
      </c>
      <c r="G12" s="49" t="n">
        <v>0.78</v>
      </c>
      <c r="H12" s="49" t="inlineStr">
        <is>
          <t>n/a</t>
        </is>
      </c>
      <c r="I12" s="49" t="inlineStr">
        <is>
          <t>n/a</t>
        </is>
      </c>
      <c r="J12" s="49" t="inlineStr">
        <is>
          <t>n/a</t>
        </is>
      </c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>
        <f>F5</f>
        <v/>
      </c>
      <c r="G19" s="12">
        <f>G5</f>
        <v/>
      </c>
      <c r="H19" s="12">
        <f>H5</f>
        <v/>
      </c>
      <c r="I19" s="12">
        <f>I5</f>
        <v/>
      </c>
      <c r="J19" s="12">
        <f>J5</f>
        <v/>
      </c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Target exit date</t>
        </is>
      </c>
      <c r="B20" s="16" t="inlineStr">
        <is>
          <t>Market</t>
        </is>
      </c>
      <c r="C20" s="46" t="inlineStr">
        <is>
          <t>&lt;1 yr R</t>
        </is>
      </c>
      <c r="D20" s="15">
        <f>IF(OR(D6="",D6="n/a",D6="N/A"),"",IF(D6&lt;=EDATE(TODAY(),$Q20),"R",IF(D6&lt;=EDATE(TODAY(),$P20),"A",IF(D6&lt;=EDATE(TODAY(),$O20),"AG","G"))))</f>
        <v/>
      </c>
      <c r="E20" s="15">
        <f>IF(OR(E6="",E6="n/a",E6="N/A"),"",IF(E6&lt;=EDATE(TODAY(),$Q20),"R",IF(E6&lt;=EDATE(TODAY(),$P20),"A",IF(E6&lt;=EDATE(TODAY(),$O20),"AG","G"))))</f>
        <v/>
      </c>
      <c r="F20" s="15">
        <f>IF(OR(F6="",F6="n/a",F6="N/A"),"",IF(F6&lt;=EDATE(TODAY(),$Q20),"R",IF(F6&lt;=EDATE(TODAY(),$P20),"A",IF(F6&lt;=EDATE(TODAY(),$O20),"AG","G"))))</f>
        <v/>
      </c>
      <c r="G20" s="15">
        <f>IF(OR(G6="",G6="n/a",G6="N/A"),"",IF(G6&lt;=EDATE(TODAY(),$Q20),"R",IF(G6&lt;=EDATE(TODAY(),$P20),"A",IF(G6&lt;=EDATE(TODAY(),$O20),"AG","G"))))</f>
        <v/>
      </c>
      <c r="H20" s="15">
        <f>IF(OR(H6="",H6="n/a",H6="N/A"),"",IF(H6&lt;=EDATE(TODAY(),$Q20),"R",IF(H6&lt;=EDATE(TODAY(),$P20),"A",IF(H6&lt;=EDATE(TODAY(),$O20),"AG","G"))))</f>
        <v/>
      </c>
      <c r="I20" s="15">
        <f>IF(OR(I6="",I6="n/a",I6="N/A"),"",IF(I6&lt;=EDATE(TODAY(),$Q20),"R",IF(I6&lt;=EDATE(TODAY(),$P20),"A",IF(I6&lt;=EDATE(TODAY(),$O20),"AG","G"))))</f>
        <v/>
      </c>
      <c r="J20" s="15">
        <f>IF(OR(J6="",J6="n/a",J6="N/A"),"",IF(J6&lt;=EDATE(TODAY(),$Q20),"R",IF(J6&lt;=EDATE(TODAY(),$P20),"A",IF(J6&lt;=EDATE(TODAY(),$O20),"AG","G"))))</f>
        <v/>
      </c>
      <c r="K20" s="48" t="n"/>
      <c r="L20" s="48" t="n"/>
      <c r="M20" s="48" t="n"/>
      <c r="O20" s="52" t="n">
        <v>12</v>
      </c>
      <c r="P20" s="52" t="n">
        <v>9</v>
      </c>
      <c r="Q20" s="52" t="n">
        <v>6</v>
      </c>
    </row>
    <row r="21" ht="16" customHeight="1">
      <c r="A21" s="14" t="inlineStr">
        <is>
          <t>Debt maturity</t>
        </is>
      </c>
      <c r="B21" s="16" t="inlineStr">
        <is>
          <t>Market</t>
        </is>
      </c>
      <c r="C21" s="46" t="inlineStr">
        <is>
          <t>&lt;1 yr R</t>
        </is>
      </c>
      <c r="D21" s="15">
        <f>IF(OR(D7="",D7="n/a",D7="N/A"),"",IF(D7&lt;=EDATE(TODAY(),$Q21),"R",IF(D7&lt;=EDATE(TODAY(),$P21),"A",IF(D7&lt;=EDATE(TODAY(),$O21),"AG","G"))))</f>
        <v/>
      </c>
      <c r="E21" s="15">
        <f>IF(OR(E7="",E7="n/a",E7="N/A"),"",IF(E7&lt;=EDATE(TODAY(),$Q21),"R",IF(E7&lt;=EDATE(TODAY(),$P21),"A",IF(E7&lt;=EDATE(TODAY(),$O21),"AG","G"))))</f>
        <v/>
      </c>
      <c r="F21" s="15">
        <f>IF(OR(F7="",F7="n/a",F7="N/A"),"",IF(F7&lt;=EDATE(TODAY(),$Q21),"R",IF(F7&lt;=EDATE(TODAY(),$P21),"A",IF(F7&lt;=EDATE(TODAY(),$O21),"AG","G"))))</f>
        <v/>
      </c>
      <c r="G21" s="15">
        <f>IF(OR(G7="",G7="n/a",G7="N/A"),"",IF(G7&lt;=EDATE(TODAY(),$Q21),"R",IF(G7&lt;=EDATE(TODAY(),$P21),"A",IF(G7&lt;=EDATE(TODAY(),$O21),"AG","G"))))</f>
        <v/>
      </c>
      <c r="H21" s="15">
        <f>IF(OR(H7="",H7="n/a",H7="N/A"),"",IF(H7&lt;=EDATE(TODAY(),$Q21),"R",IF(H7&lt;=EDATE(TODAY(),$P21),"A",IF(H7&lt;=EDATE(TODAY(),$O21),"AG","G"))))</f>
        <v/>
      </c>
      <c r="I21" s="15">
        <f>IF(OR(I7="",I7="n/a",I7="N/A"),"",IF(I7&lt;=EDATE(TODAY(),$Q21),"R",IF(I7&lt;=EDATE(TODAY(),$P21),"A",IF(I7&lt;=EDATE(TODAY(),$O21),"AG","G"))))</f>
        <v/>
      </c>
      <c r="J21" s="15">
        <f>IF(OR(J7="",J7="n/a",J7="N/A"),"",IF(J7&lt;=EDATE(TODAY(),$Q21),"R",IF(J7&lt;=EDATE(TODAY(),$P21),"A",IF(J7&lt;=EDATE(TODAY(),$O21),"AG","G"))))</f>
        <v/>
      </c>
      <c r="K21" s="48" t="n"/>
      <c r="L21" s="48" t="n"/>
      <c r="M21" s="48" t="n"/>
      <c r="O21" s="52" t="n">
        <v>12</v>
      </c>
      <c r="P21" s="52" t="n">
        <v>9</v>
      </c>
      <c r="Q21" s="52" t="n">
        <v>6</v>
      </c>
    </row>
    <row r="22" ht="16" customHeight="1">
      <c r="A22" s="14" t="inlineStr">
        <is>
          <t>Occupancy</t>
        </is>
      </c>
      <c r="B22" s="16" t="inlineStr">
        <is>
          <t>Market</t>
        </is>
      </c>
      <c r="C22" s="46" t="inlineStr">
        <is>
          <t>&lt;=85% R</t>
        </is>
      </c>
      <c r="D22" s="15">
        <f>IF(OR(D8="",D8="n/a",D8="N/A"),"",IF(AND($Q22&lt;&gt;"",D8&lt;=$Q22),"R",IF(AND($P22&lt;&gt;"",D8&lt;=$P22),"A",IF(AND($O22&lt;&gt;"",D8&lt;=$O22),"AG","G"))))</f>
        <v/>
      </c>
      <c r="E22" s="15">
        <f>IF(OR(E8="",E8="n/a",E8="N/A"),"",IF(AND($Q22&lt;&gt;"",E8&lt;=$Q22),"R",IF(AND($P22&lt;&gt;"",E8&lt;=$P22),"A",IF(AND($O22&lt;&gt;"",E8&lt;=$O22),"AG","G"))))</f>
        <v/>
      </c>
      <c r="F22" s="15">
        <f>IF(OR(F8="",F8="n/a",F8="N/A"),"",IF(AND($Q22&lt;&gt;"",F8&lt;=$Q22),"R",IF(AND($P22&lt;&gt;"",F8&lt;=$P22),"A",IF(AND($O22&lt;&gt;"",F8&lt;=$O22),"AG","G"))))</f>
        <v/>
      </c>
      <c r="G22" s="15">
        <f>IF(OR(G8="",G8="n/a",G8="N/A"),"",IF(AND($Q22&lt;&gt;"",G8&lt;=$Q22),"R",IF(AND($P22&lt;&gt;"",G8&lt;=$P22),"A",IF(AND($O22&lt;&gt;"",G8&lt;=$O22),"AG","G"))))</f>
        <v/>
      </c>
      <c r="H22" s="15">
        <f>IF(OR(H8="",H8="n/a",H8="N/A"),"",IF(AND($Q22&lt;&gt;"",H8&lt;=$Q22),"R",IF(AND($P22&lt;&gt;"",H8&lt;=$P22),"A",IF(AND($O22&lt;&gt;"",H8&lt;=$O22),"AG","G"))))</f>
        <v/>
      </c>
      <c r="I22" s="15">
        <f>IF(OR(I8="",I8="n/a",I8="N/A"),"",IF(AND($Q22&lt;&gt;"",I8&lt;=$Q22),"R",IF(AND($P22&lt;&gt;"",I8&lt;=$P22),"A",IF(AND($O22&lt;&gt;"",I8&lt;=$O22),"AG","G"))))</f>
        <v/>
      </c>
      <c r="J22" s="15">
        <f>IF(OR(J8="",J8="n/a",J8="N/A"),"",IF(AND($Q22&lt;&gt;"",J8&lt;=$Q22),"R",IF(AND($P22&lt;&gt;"",J8&lt;=$P22),"A",IF(AND($O22&lt;&gt;"",J8&lt;=$O22),"AG","G"))))</f>
        <v/>
      </c>
      <c r="K22" s="48" t="n"/>
      <c r="L22" s="48" t="n"/>
      <c r="M22" s="48" t="n"/>
      <c r="O22" s="51" t="n">
        <v>0.95</v>
      </c>
      <c r="P22" s="51" t="n">
        <v>0.9</v>
      </c>
      <c r="Q22" s="51" t="n">
        <v>0.85</v>
      </c>
    </row>
    <row r="23" ht="16" customHeight="1">
      <c r="A23" s="14" t="inlineStr">
        <is>
          <t>LTV headroom vs covenant</t>
        </is>
      </c>
      <c r="B23" s="16" t="inlineStr">
        <is>
          <t>Market</t>
        </is>
      </c>
      <c r="C23" s="46" t="inlineStr">
        <is>
          <t>&lt;10% R</t>
        </is>
      </c>
      <c r="D23" s="15">
        <f>IF(OR(D9="",D9="n/a",D9="N/A"),"",IF(AND($Q23&lt;&gt;"",D9&lt;=$Q23),"R",IF(AND($P23&lt;&gt;"",D9&lt;=$P23),"A",IF(AND($O23&lt;&gt;"",D9&lt;=$O23),"AG","G"))))</f>
        <v/>
      </c>
      <c r="E23" s="15">
        <f>IF(OR(E9="",E9="n/a",E9="N/A"),"",IF(AND($Q23&lt;&gt;"",E9&lt;=$Q23),"R",IF(AND($P23&lt;&gt;"",E9&lt;=$P23),"A",IF(AND($O23&lt;&gt;"",E9&lt;=$O23),"AG","G"))))</f>
        <v/>
      </c>
      <c r="F23" s="15">
        <f>IF(OR(F9="",F9="n/a",F9="N/A"),"",IF(AND($Q23&lt;&gt;"",F9&lt;=$Q23),"R",IF(AND($P23&lt;&gt;"",F9&lt;=$P23),"A",IF(AND($O23&lt;&gt;"",F9&lt;=$O23),"AG","G"))))</f>
        <v/>
      </c>
      <c r="G23" s="15">
        <f>IF(OR(G9="",G9="n/a",G9="N/A"),"",IF(AND($Q23&lt;&gt;"",G9&lt;=$Q23),"R",IF(AND($P23&lt;&gt;"",G9&lt;=$P23),"A",IF(AND($O23&lt;&gt;"",G9&lt;=$O23),"AG","G"))))</f>
        <v/>
      </c>
      <c r="H23" s="15">
        <f>IF(OR(H9="",H9="n/a",H9="N/A"),"",IF(AND($Q23&lt;&gt;"",H9&lt;=$Q23),"R",IF(AND($P23&lt;&gt;"",H9&lt;=$P23),"A",IF(AND($O23&lt;&gt;"",H9&lt;=$O23),"AG","G"))))</f>
        <v/>
      </c>
      <c r="I23" s="15">
        <f>IF(OR(I9="",I9="n/a",I9="N/A"),"",IF(AND($Q23&lt;&gt;"",I9&lt;=$Q23),"R",IF(AND($P23&lt;&gt;"",I9&lt;=$P23),"A",IF(AND($O23&lt;&gt;"",I9&lt;=$O23),"AG","G"))))</f>
        <v/>
      </c>
      <c r="J23" s="15">
        <f>IF(OR(J9="",J9="n/a",J9="N/A"),"",IF(AND($Q23&lt;&gt;"",J9&lt;=$Q23),"R",IF(AND($P23&lt;&gt;"",J9&lt;=$P23),"A",IF(AND($O23&lt;&gt;"",J9&lt;=$O23),"AG","G"))))</f>
        <v/>
      </c>
      <c r="K23" s="48" t="n"/>
      <c r="L23" s="48" t="n"/>
      <c r="M23" s="48" t="n"/>
      <c r="O23" s="51" t="n">
        <v>0.2</v>
      </c>
      <c r="P23" s="52" t="n"/>
      <c r="Q23" s="51" t="n">
        <v>0.1</v>
      </c>
    </row>
    <row r="24" ht="16" customHeight="1">
      <c r="A24" s="14" t="inlineStr">
        <is>
          <t>ICR headroom vs covenant</t>
        </is>
      </c>
      <c r="B24" s="16" t="inlineStr">
        <is>
          <t>Market</t>
        </is>
      </c>
      <c r="C24" s="46" t="inlineStr">
        <is>
          <t>&lt;25% R</t>
        </is>
      </c>
      <c r="D24" s="15">
        <f>IF(OR(D10="",D10="n/a",D10="N/A"),"",IF(AND($Q24&lt;&gt;"",D10&lt;=$Q24),"R",IF(AND($P24&lt;&gt;"",D10&lt;=$P24),"A",IF(AND($O24&lt;&gt;"",D10&lt;=$O24),"AG","G"))))</f>
        <v/>
      </c>
      <c r="E24" s="15">
        <f>IF(OR(E10="",E10="n/a",E10="N/A"),"",IF(AND($Q24&lt;&gt;"",E10&lt;=$Q24),"R",IF(AND($P24&lt;&gt;"",E10&lt;=$P24),"A",IF(AND($O24&lt;&gt;"",E10&lt;=$O24),"AG","G"))))</f>
        <v/>
      </c>
      <c r="F24" s="15">
        <f>IF(OR(F10="",F10="n/a",F10="N/A"),"",IF(AND($Q24&lt;&gt;"",F10&lt;=$Q24),"R",IF(AND($P24&lt;&gt;"",F10&lt;=$P24),"A",IF(AND($O24&lt;&gt;"",F10&lt;=$O24),"AG","G"))))</f>
        <v/>
      </c>
      <c r="G24" s="15">
        <f>IF(OR(G10="",G10="n/a",G10="N/A"),"",IF(AND($Q24&lt;&gt;"",G10&lt;=$Q24),"R",IF(AND($P24&lt;&gt;"",G10&lt;=$P24),"A",IF(AND($O24&lt;&gt;"",G10&lt;=$O24),"AG","G"))))</f>
        <v/>
      </c>
      <c r="H24" s="15">
        <f>IF(OR(H10="",H10="n/a",H10="N/A"),"",IF(AND($Q24&lt;&gt;"",H10&lt;=$Q24),"R",IF(AND($P24&lt;&gt;"",H10&lt;=$P24),"A",IF(AND($O24&lt;&gt;"",H10&lt;=$O24),"AG","G"))))</f>
        <v/>
      </c>
      <c r="I24" s="15">
        <f>IF(OR(I10="",I10="n/a",I10="N/A"),"",IF(AND($Q24&lt;&gt;"",I10&lt;=$Q24),"R",IF(AND($P24&lt;&gt;"",I10&lt;=$P24),"A",IF(AND($O24&lt;&gt;"",I10&lt;=$O24),"AG","G"))))</f>
        <v/>
      </c>
      <c r="J24" s="15">
        <f>IF(OR(J10="",J10="n/a",J10="N/A"),"",IF(AND($Q24&lt;&gt;"",J10&lt;=$Q24),"R",IF(AND($P24&lt;&gt;"",J10&lt;=$P24),"A",IF(AND($O24&lt;&gt;"",J10&lt;=$O24),"AG","G"))))</f>
        <v/>
      </c>
      <c r="K24" s="48" t="n"/>
      <c r="L24" s="48" t="n"/>
      <c r="M24" s="48" t="n"/>
      <c r="O24" s="51" t="n">
        <v>0.35</v>
      </c>
      <c r="P24" s="52" t="n"/>
      <c r="Q24" s="51" t="n">
        <v>0.25</v>
      </c>
    </row>
    <row r="25" ht="16" customHeight="1">
      <c r="A25" s="14" t="inlineStr">
        <is>
          <t>Equity multiple</t>
        </is>
      </c>
      <c r="B25" s="16" t="inlineStr">
        <is>
          <t>Market</t>
        </is>
      </c>
      <c r="C25" s="46" t="inlineStr">
        <is>
          <t>&lt;=0.6x R | &lt;=1.0x AG</t>
        </is>
      </c>
      <c r="D25" s="15">
        <f>IF(OR(D11="",D11="n/a",D11="N/A"),"",IF(AND($Q25&lt;&gt;"",D11&lt;=$Q25),"R",IF(AND($P25&lt;&gt;"",D11&lt;=$P25),"A",IF(AND($O25&lt;&gt;"",D11&lt;=$O25),"AG","G"))))</f>
        <v/>
      </c>
      <c r="E25" s="15">
        <f>IF(OR(E11="",E11="n/a",E11="N/A"),"",IF(AND($Q25&lt;&gt;"",E11&lt;=$Q25),"R",IF(AND($P25&lt;&gt;"",E11&lt;=$P25),"A",IF(AND($O25&lt;&gt;"",E11&lt;=$O25),"AG","G"))))</f>
        <v/>
      </c>
      <c r="F25" s="15">
        <f>IF(OR(F11="",F11="n/a",F11="N/A"),"",IF(AND($Q25&lt;&gt;"",F11&lt;=$Q25),"R",IF(AND($P25&lt;&gt;"",F11&lt;=$P25),"A",IF(AND($O25&lt;&gt;"",F11&lt;=$O25),"AG","G"))))</f>
        <v/>
      </c>
      <c r="G25" s="15">
        <f>IF(OR(G11="",G11="n/a",G11="N/A"),"",IF(AND($Q25&lt;&gt;"",G11&lt;=$Q25),"R",IF(AND($P25&lt;&gt;"",G11&lt;=$P25),"A",IF(AND($O25&lt;&gt;"",G11&lt;=$O25),"AG","G"))))</f>
        <v/>
      </c>
      <c r="H25" s="15">
        <f>IF(OR(H11="",H11="n/a",H11="N/A"),"",IF(AND($Q25&lt;&gt;"",H11&lt;=$Q25),"R",IF(AND($P25&lt;&gt;"",H11&lt;=$P25),"A",IF(AND($O25&lt;&gt;"",H11&lt;=$O25),"AG","G"))))</f>
        <v/>
      </c>
      <c r="I25" s="15">
        <f>IF(OR(I11="",I11="n/a",I11="N/A"),"",IF(AND($Q25&lt;&gt;"",I11&lt;=$Q25),"R",IF(AND($P25&lt;&gt;"",I11&lt;=$P25),"A",IF(AND($O25&lt;&gt;"",I11&lt;=$O25),"AG","G"))))</f>
        <v/>
      </c>
      <c r="J25" s="15">
        <f>IF(OR(J11="",J11="n/a",J11="N/A"),"",IF(AND($Q25&lt;&gt;"",J11&lt;=$Q25),"R",IF(AND($P25&lt;&gt;"",J11&lt;=$P25),"A",IF(AND($O25&lt;&gt;"",J11&lt;=$O25),"AG","G"))))</f>
        <v/>
      </c>
      <c r="K25" s="48" t="n"/>
      <c r="L25" s="48" t="n"/>
      <c r="M25" s="48" t="n"/>
      <c r="O25" s="53" t="n">
        <v>1</v>
      </c>
      <c r="P25" s="52" t="n"/>
      <c r="Q25" s="53" t="n">
        <v>0.6</v>
      </c>
    </row>
    <row r="26" ht="16" customHeight="1">
      <c r="A26" s="14" t="inlineStr">
        <is>
          <t>Total multiple</t>
        </is>
      </c>
      <c r="B26" s="16" t="inlineStr">
        <is>
          <t>Market</t>
        </is>
      </c>
      <c r="C26" s="46" t="inlineStr">
        <is>
          <t>&lt;=0.6x R | &lt;=1.0x AG</t>
        </is>
      </c>
      <c r="D26" s="15">
        <f>IF(OR(D12="",D12="n/a",D12="N/A"),"",IF(AND($Q26&lt;&gt;"",D12&lt;=$Q26),"R",IF(AND($P26&lt;&gt;"",D12&lt;=$P26),"A",IF(AND($O26&lt;&gt;"",D12&lt;=$O26),"AG","G"))))</f>
        <v/>
      </c>
      <c r="E26" s="15">
        <f>IF(OR(E12="",E12="n/a",E12="N/A"),"",IF(AND($Q26&lt;&gt;"",E12&lt;=$Q26),"R",IF(AND($P26&lt;&gt;"",E12&lt;=$P26),"A",IF(AND($O26&lt;&gt;"",E12&lt;=$O26),"AG","G"))))</f>
        <v/>
      </c>
      <c r="F26" s="15">
        <f>IF(OR(F12="",F12="n/a",F12="N/A"),"",IF(AND($Q26&lt;&gt;"",F12&lt;=$Q26),"R",IF(AND($P26&lt;&gt;"",F12&lt;=$P26),"A",IF(AND($O26&lt;&gt;"",F12&lt;=$O26),"AG","G"))))</f>
        <v/>
      </c>
      <c r="G26" s="15">
        <f>IF(OR(G12="",G12="n/a",G12="N/A"),"",IF(AND($Q26&lt;&gt;"",G12&lt;=$Q26),"R",IF(AND($P26&lt;&gt;"",G12&lt;=$P26),"A",IF(AND($O26&lt;&gt;"",G12&lt;=$O26),"AG","G"))))</f>
        <v/>
      </c>
      <c r="H26" s="15">
        <f>IF(OR(H12="",H12="n/a",H12="N/A"),"",IF(AND($Q26&lt;&gt;"",H12&lt;=$Q26),"R",IF(AND($P26&lt;&gt;"",H12&lt;=$P26),"A",IF(AND($O26&lt;&gt;"",H12&lt;=$O26),"AG","G"))))</f>
        <v/>
      </c>
      <c r="I26" s="15">
        <f>IF(OR(I12="",I12="n/a",I12="N/A"),"",IF(AND($Q26&lt;&gt;"",I12&lt;=$Q26),"R",IF(AND($P26&lt;&gt;"",I12&lt;=$P26),"A",IF(AND($O26&lt;&gt;"",I12&lt;=$O26),"AG","G"))))</f>
        <v/>
      </c>
      <c r="J26" s="15">
        <f>IF(OR(J12="",J12="n/a",J12="N/A"),"",IF(AND($Q26&lt;&gt;"",J12&lt;=$Q26),"R",IF(AND($P26&lt;&gt;"",J12&lt;=$P26),"A",IF(AND($O26&lt;&gt;"",J12&lt;=$O26),"AG","G"))))</f>
        <v/>
      </c>
      <c r="K26" s="48" t="n"/>
      <c r="L26" s="48" t="n"/>
      <c r="M26" s="48" t="n"/>
      <c r="O26" s="53" t="n">
        <v>1</v>
      </c>
      <c r="P26" s="52" t="n"/>
      <c r="Q26" s="53" t="n">
        <v>0.6</v>
      </c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3E7A5E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HTRE REAL ESTATE (EUROPEAN FONDS)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Real Assets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Fonds 3</t>
        </is>
      </c>
      <c r="E5" s="12" t="inlineStr">
        <is>
          <t>Fonds 6</t>
        </is>
      </c>
      <c r="F5" s="12" t="inlineStr">
        <is>
          <t>Fonds 7</t>
        </is>
      </c>
      <c r="G5" s="12" t="inlineStr">
        <is>
          <t>Fonds 8</t>
        </is>
      </c>
      <c r="H5" s="12" t="inlineStr">
        <is>
          <t>Fonds 11</t>
        </is>
      </c>
      <c r="I5" s="12" t="inlineStr">
        <is>
          <t>Fonds 12</t>
        </is>
      </c>
      <c r="J5" s="12" t="n"/>
      <c r="K5" s="12" t="n"/>
      <c r="L5" s="12" t="n"/>
      <c r="M5" s="12" t="n"/>
    </row>
    <row r="6" ht="16" customHeight="1">
      <c r="A6" s="45" t="inlineStr">
        <is>
          <t>Occupancy</t>
        </is>
      </c>
      <c r="B6" s="15" t="inlineStr">
        <is>
          <t>%</t>
        </is>
      </c>
      <c r="C6" s="46" t="inlineStr">
        <is>
          <t>&lt;90% R</t>
        </is>
      </c>
      <c r="D6" s="47" t="n">
        <v>1</v>
      </c>
      <c r="E6" s="47" t="n">
        <v>0.99</v>
      </c>
      <c r="F6" s="47" t="n">
        <v>0.99</v>
      </c>
      <c r="G6" s="47" t="n">
        <v>0.98</v>
      </c>
      <c r="H6" s="47" t="n">
        <v>1</v>
      </c>
      <c r="I6" s="47" t="n">
        <v>1</v>
      </c>
      <c r="J6" s="48" t="n"/>
      <c r="K6" s="48" t="n"/>
      <c r="L6" s="48" t="n"/>
      <c r="M6" s="48" t="n"/>
    </row>
    <row r="7" ht="16" customHeight="1">
      <c r="A7" s="45" t="inlineStr">
        <is>
          <t>Distribution yield</t>
        </is>
      </c>
      <c r="B7" s="15" t="inlineStr">
        <is>
          <t>%</t>
        </is>
      </c>
      <c r="C7" s="46" t="inlineStr">
        <is>
          <t>&lt;2.9% R</t>
        </is>
      </c>
      <c r="D7" s="47" t="n">
        <v>0.042</v>
      </c>
      <c r="E7" s="47" t="n">
        <v>0.047</v>
      </c>
      <c r="F7" s="47" t="n">
        <v>0.014</v>
      </c>
      <c r="G7" s="47" t="n">
        <v>0.054</v>
      </c>
      <c r="H7" s="47" t="n">
        <v>0.058</v>
      </c>
      <c r="I7" s="47" t="n">
        <v>0.044</v>
      </c>
      <c r="J7" s="48" t="n"/>
      <c r="K7" s="48" t="n"/>
      <c r="L7" s="48" t="n"/>
      <c r="M7" s="48" t="n"/>
    </row>
    <row r="8" ht="16" customHeight="1">
      <c r="A8" s="45" t="inlineStr">
        <is>
          <t>LTV</t>
        </is>
      </c>
      <c r="B8" s="15" t="inlineStr">
        <is>
          <t>%</t>
        </is>
      </c>
      <c r="C8" s="46" t="inlineStr">
        <is>
          <t>&gt;=50% AG | &gt;=75% R</t>
        </is>
      </c>
      <c r="D8" s="47" t="n">
        <v>0.04</v>
      </c>
      <c r="E8" s="47" t="n">
        <v>0.4</v>
      </c>
      <c r="F8" s="47" t="n">
        <v>0.72</v>
      </c>
      <c r="G8" s="47" t="n">
        <v>0.5</v>
      </c>
      <c r="H8" s="47" t="n">
        <v>0.49</v>
      </c>
      <c r="I8" s="47" t="n">
        <v>0.37</v>
      </c>
      <c r="J8" s="48" t="n"/>
      <c r="K8" s="48" t="n"/>
      <c r="L8" s="48" t="n"/>
      <c r="M8" s="48" t="n"/>
    </row>
    <row r="9" ht="16" customHeight="1">
      <c r="A9" s="45" t="inlineStr">
        <is>
          <t>Selling option available</t>
        </is>
      </c>
      <c r="B9" s="15" t="inlineStr">
        <is>
          <t>Y/N</t>
        </is>
      </c>
      <c r="C9" s="46" t="inlineStr">
        <is>
          <t>No = R</t>
        </is>
      </c>
      <c r="D9" s="50" t="inlineStr">
        <is>
          <t>Yes</t>
        </is>
      </c>
      <c r="E9" s="50" t="inlineStr">
        <is>
          <t>Yes</t>
        </is>
      </c>
      <c r="F9" s="50" t="inlineStr">
        <is>
          <t>Yes</t>
        </is>
      </c>
      <c r="G9" s="50" t="inlineStr">
        <is>
          <t>Yes</t>
        </is>
      </c>
      <c r="H9" s="50" t="inlineStr">
        <is>
          <t>Yes</t>
        </is>
      </c>
      <c r="I9" s="50" t="inlineStr">
        <is>
          <t>Yes</t>
        </is>
      </c>
      <c r="J9" s="48" t="n"/>
      <c r="K9" s="48" t="n"/>
      <c r="L9" s="48" t="n"/>
      <c r="M9" s="48" t="n"/>
    </row>
    <row r="10" ht="16" customHeight="1">
      <c r="A10" s="45" t="inlineStr">
        <is>
          <t>Audit clean (no reservation)</t>
        </is>
      </c>
      <c r="B10" s="15" t="inlineStr">
        <is>
          <t>Y/N</t>
        </is>
      </c>
      <c r="C10" s="46" t="inlineStr">
        <is>
          <t>No = R</t>
        </is>
      </c>
      <c r="D10" s="50" t="inlineStr">
        <is>
          <t>Yes</t>
        </is>
      </c>
      <c r="E10" s="50" t="inlineStr">
        <is>
          <t>Yes</t>
        </is>
      </c>
      <c r="F10" s="50" t="inlineStr">
        <is>
          <t>Yes</t>
        </is>
      </c>
      <c r="G10" s="50" t="inlineStr">
        <is>
          <t>Yes</t>
        </is>
      </c>
      <c r="H10" s="50" t="inlineStr">
        <is>
          <t>Yes</t>
        </is>
      </c>
      <c r="I10" s="50" t="inlineStr">
        <is>
          <t>Yes</t>
        </is>
      </c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>
        <f>F5</f>
        <v/>
      </c>
      <c r="G19" s="12">
        <f>G5</f>
        <v/>
      </c>
      <c r="H19" s="12">
        <f>H5</f>
        <v/>
      </c>
      <c r="I19" s="12">
        <f>I5</f>
        <v/>
      </c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Occupancy</t>
        </is>
      </c>
      <c r="B20" s="16" t="inlineStr">
        <is>
          <t>Market</t>
        </is>
      </c>
      <c r="C20" s="46" t="inlineStr">
        <is>
          <t>&lt;90% R</t>
        </is>
      </c>
      <c r="D20" s="15">
        <f>IF(OR(D6="",D6="n/a",D6="N/A"),"",IF(AND($Q20&lt;&gt;"",D6&lt;=$Q20),"R",IF(AND($P20&lt;&gt;"",D6&lt;=$P20),"A",IF(AND($O20&lt;&gt;"",D6&lt;=$O20),"AG","G"))))</f>
        <v/>
      </c>
      <c r="E20" s="15">
        <f>IF(OR(E6="",E6="n/a",E6="N/A"),"",IF(AND($Q20&lt;&gt;"",E6&lt;=$Q20),"R",IF(AND($P20&lt;&gt;"",E6&lt;=$P20),"A",IF(AND($O20&lt;&gt;"",E6&lt;=$O20),"AG","G"))))</f>
        <v/>
      </c>
      <c r="F20" s="15">
        <f>IF(OR(F6="",F6="n/a",F6="N/A"),"",IF(AND($Q20&lt;&gt;"",F6&lt;=$Q20),"R",IF(AND($P20&lt;&gt;"",F6&lt;=$P20),"A",IF(AND($O20&lt;&gt;"",F6&lt;=$O20),"AG","G"))))</f>
        <v/>
      </c>
      <c r="G20" s="15">
        <f>IF(OR(G6="",G6="n/a",G6="N/A"),"",IF(AND($Q20&lt;&gt;"",G6&lt;=$Q20),"R",IF(AND($P20&lt;&gt;"",G6&lt;=$P20),"A",IF(AND($O20&lt;&gt;"",G6&lt;=$O20),"AG","G"))))</f>
        <v/>
      </c>
      <c r="H20" s="15">
        <f>IF(OR(H6="",H6="n/a",H6="N/A"),"",IF(AND($Q20&lt;&gt;"",H6&lt;=$Q20),"R",IF(AND($P20&lt;&gt;"",H6&lt;=$P20),"A",IF(AND($O20&lt;&gt;"",H6&lt;=$O20),"AG","G"))))</f>
        <v/>
      </c>
      <c r="I20" s="15">
        <f>IF(OR(I6="",I6="n/a",I6="N/A"),"",IF(AND($Q20&lt;&gt;"",I6&lt;=$Q20),"R",IF(AND($P20&lt;&gt;"",I6&lt;=$P20),"A",IF(AND($O20&lt;&gt;"",I6&lt;=$O20),"AG","G"))))</f>
        <v/>
      </c>
      <c r="J20" s="48" t="n"/>
      <c r="K20" s="48" t="n"/>
      <c r="L20" s="48" t="n"/>
      <c r="M20" s="48" t="n"/>
      <c r="O20" s="51" t="n">
        <v>0.96</v>
      </c>
      <c r="P20" s="51" t="n">
        <v>0.93</v>
      </c>
      <c r="Q20" s="51" t="n">
        <v>0.9</v>
      </c>
    </row>
    <row r="21" ht="16" customHeight="1">
      <c r="A21" s="14" t="inlineStr">
        <is>
          <t>Distribution yield</t>
        </is>
      </c>
      <c r="B21" s="16" t="inlineStr">
        <is>
          <t>Market</t>
        </is>
      </c>
      <c r="C21" s="46" t="inlineStr">
        <is>
          <t>&lt;2.9% R</t>
        </is>
      </c>
      <c r="D21" s="15">
        <f>IF(OR(D7="",D7="n/a",D7="N/A"),"",IF(AND($Q21&lt;&gt;"",D7&lt;=$Q21),"R",IF(AND($P21&lt;&gt;"",D7&lt;=$P21),"A",IF(AND($O21&lt;&gt;"",D7&lt;=$O21),"AG","G"))))</f>
        <v/>
      </c>
      <c r="E21" s="15">
        <f>IF(OR(E7="",E7="n/a",E7="N/A"),"",IF(AND($Q21&lt;&gt;"",E7&lt;=$Q21),"R",IF(AND($P21&lt;&gt;"",E7&lt;=$P21),"A",IF(AND($O21&lt;&gt;"",E7&lt;=$O21),"AG","G"))))</f>
        <v/>
      </c>
      <c r="F21" s="15">
        <f>IF(OR(F7="",F7="n/a",F7="N/A"),"",IF(AND($Q21&lt;&gt;"",F7&lt;=$Q21),"R",IF(AND($P21&lt;&gt;"",F7&lt;=$P21),"A",IF(AND($O21&lt;&gt;"",F7&lt;=$O21),"AG","G"))))</f>
        <v/>
      </c>
      <c r="G21" s="15">
        <f>IF(OR(G7="",G7="n/a",G7="N/A"),"",IF(AND($Q21&lt;&gt;"",G7&lt;=$Q21),"R",IF(AND($P21&lt;&gt;"",G7&lt;=$P21),"A",IF(AND($O21&lt;&gt;"",G7&lt;=$O21),"AG","G"))))</f>
        <v/>
      </c>
      <c r="H21" s="15">
        <f>IF(OR(H7="",H7="n/a",H7="N/A"),"",IF(AND($Q21&lt;&gt;"",H7&lt;=$Q21),"R",IF(AND($P21&lt;&gt;"",H7&lt;=$P21),"A",IF(AND($O21&lt;&gt;"",H7&lt;=$O21),"AG","G"))))</f>
        <v/>
      </c>
      <c r="I21" s="15">
        <f>IF(OR(I7="",I7="n/a",I7="N/A"),"",IF(AND($Q21&lt;&gt;"",I7&lt;=$Q21),"R",IF(AND($P21&lt;&gt;"",I7&lt;=$P21),"A",IF(AND($O21&lt;&gt;"",I7&lt;=$O21),"AG","G"))))</f>
        <v/>
      </c>
      <c r="J21" s="48" t="n"/>
      <c r="K21" s="48" t="n"/>
      <c r="L21" s="48" t="n"/>
      <c r="M21" s="48" t="n"/>
      <c r="O21" s="51" t="n">
        <v>0.04</v>
      </c>
      <c r="P21" s="51" t="n">
        <v>0.035</v>
      </c>
      <c r="Q21" s="51" t="n">
        <v>0.029</v>
      </c>
    </row>
    <row r="22" ht="16" customHeight="1">
      <c r="A22" s="14" t="inlineStr">
        <is>
          <t>LTV</t>
        </is>
      </c>
      <c r="B22" s="16" t="inlineStr">
        <is>
          <t>Market</t>
        </is>
      </c>
      <c r="C22" s="46" t="inlineStr">
        <is>
          <t>&gt;=50% AG | &gt;=75% R</t>
        </is>
      </c>
      <c r="D22" s="15">
        <f>IF(OR(D8="",D8="n/a",D8="N/A"),"",IF(AND($Q22&lt;&gt;"",D8&gt;=$Q22),"R",IF(AND($P22&lt;&gt;"",D8&gt;=$P22),"A",IF(AND($O22&lt;&gt;"",D8&gt;=$O22),"AG","G"))))</f>
        <v/>
      </c>
      <c r="E22" s="15">
        <f>IF(OR(E8="",E8="n/a",E8="N/A"),"",IF(AND($Q22&lt;&gt;"",E8&gt;=$Q22),"R",IF(AND($P22&lt;&gt;"",E8&gt;=$P22),"A",IF(AND($O22&lt;&gt;"",E8&gt;=$O22),"AG","G"))))</f>
        <v/>
      </c>
      <c r="F22" s="15">
        <f>IF(OR(F8="",F8="n/a",F8="N/A"),"",IF(AND($Q22&lt;&gt;"",F8&gt;=$Q22),"R",IF(AND($P22&lt;&gt;"",F8&gt;=$P22),"A",IF(AND($O22&lt;&gt;"",F8&gt;=$O22),"AG","G"))))</f>
        <v/>
      </c>
      <c r="G22" s="15">
        <f>IF(OR(G8="",G8="n/a",G8="N/A"),"",IF(AND($Q22&lt;&gt;"",G8&gt;=$Q22),"R",IF(AND($P22&lt;&gt;"",G8&gt;=$P22),"A",IF(AND($O22&lt;&gt;"",G8&gt;=$O22),"AG","G"))))</f>
        <v/>
      </c>
      <c r="H22" s="15">
        <f>IF(OR(H8="",H8="n/a",H8="N/A"),"",IF(AND($Q22&lt;&gt;"",H8&gt;=$Q22),"R",IF(AND($P22&lt;&gt;"",H8&gt;=$P22),"A",IF(AND($O22&lt;&gt;"",H8&gt;=$O22),"AG","G"))))</f>
        <v/>
      </c>
      <c r="I22" s="15">
        <f>IF(OR(I8="",I8="n/a",I8="N/A"),"",IF(AND($Q22&lt;&gt;"",I8&gt;=$Q22),"R",IF(AND($P22&lt;&gt;"",I8&gt;=$P22),"A",IF(AND($O22&lt;&gt;"",I8&gt;=$O22),"AG","G"))))</f>
        <v/>
      </c>
      <c r="J22" s="48" t="n"/>
      <c r="K22" s="48" t="n"/>
      <c r="L22" s="48" t="n"/>
      <c r="M22" s="48" t="n"/>
      <c r="O22" s="51" t="n">
        <v>0.5</v>
      </c>
      <c r="P22" s="52" t="n"/>
      <c r="Q22" s="51" t="n">
        <v>0.75</v>
      </c>
    </row>
    <row r="23" ht="16" customHeight="1">
      <c r="A23" s="14" t="inlineStr">
        <is>
          <t>Selling option available</t>
        </is>
      </c>
      <c r="B23" s="16" t="inlineStr">
        <is>
          <t>Market</t>
        </is>
      </c>
      <c r="C23" s="46" t="inlineStr">
        <is>
          <t>No = R</t>
        </is>
      </c>
      <c r="D23" s="15">
        <f>IF(OR(D9="",D9="n/a",D9="N/A"),"",IF(D9=$Q23,"R","G"))</f>
        <v/>
      </c>
      <c r="E23" s="15">
        <f>IF(OR(E9="",E9="n/a",E9="N/A"),"",IF(E9=$Q23,"R","G"))</f>
        <v/>
      </c>
      <c r="F23" s="15">
        <f>IF(OR(F9="",F9="n/a",F9="N/A"),"",IF(F9=$Q23,"R","G"))</f>
        <v/>
      </c>
      <c r="G23" s="15">
        <f>IF(OR(G9="",G9="n/a",G9="N/A"),"",IF(G9=$Q23,"R","G"))</f>
        <v/>
      </c>
      <c r="H23" s="15">
        <f>IF(OR(H9="",H9="n/a",H9="N/A"),"",IF(H9=$Q23,"R","G"))</f>
        <v/>
      </c>
      <c r="I23" s="15">
        <f>IF(OR(I9="",I9="n/a",I9="N/A"),"",IF(I9=$Q23,"R","G"))</f>
        <v/>
      </c>
      <c r="J23" s="48" t="n"/>
      <c r="K23" s="48" t="n"/>
      <c r="L23" s="48" t="n"/>
      <c r="M23" s="48" t="n"/>
      <c r="O23" s="52" t="n"/>
      <c r="P23" s="52" t="n"/>
      <c r="Q23" s="52" t="inlineStr">
        <is>
          <t>No</t>
        </is>
      </c>
    </row>
    <row r="24" ht="16" customHeight="1">
      <c r="A24" s="14" t="inlineStr">
        <is>
          <t>Audit clean (no reservation)</t>
        </is>
      </c>
      <c r="B24" s="16" t="inlineStr">
        <is>
          <t>Market</t>
        </is>
      </c>
      <c r="C24" s="46" t="inlineStr">
        <is>
          <t>No = R</t>
        </is>
      </c>
      <c r="D24" s="15">
        <f>IF(OR(D10="",D10="n/a",D10="N/A"),"",IF(D10=$Q24,"R","G"))</f>
        <v/>
      </c>
      <c r="E24" s="15">
        <f>IF(OR(E10="",E10="n/a",E10="N/A"),"",IF(E10=$Q24,"R","G"))</f>
        <v/>
      </c>
      <c r="F24" s="15">
        <f>IF(OR(F10="",F10="n/a",F10="N/A"),"",IF(F10=$Q24,"R","G"))</f>
        <v/>
      </c>
      <c r="G24" s="15">
        <f>IF(OR(G10="",G10="n/a",G10="N/A"),"",IF(G10=$Q24,"R","G"))</f>
        <v/>
      </c>
      <c r="H24" s="15">
        <f>IF(OR(H10="",H10="n/a",H10="N/A"),"",IF(H10=$Q24,"R","G"))</f>
        <v/>
      </c>
      <c r="I24" s="15">
        <f>IF(OR(I10="",I10="n/a",I10="N/A"),"",IF(I10=$Q24,"R","G"))</f>
        <v/>
      </c>
      <c r="J24" s="48" t="n"/>
      <c r="K24" s="48" t="n"/>
      <c r="L24" s="48" t="n"/>
      <c r="M24" s="48" t="n"/>
      <c r="O24" s="52" t="n"/>
      <c r="P24" s="52" t="n"/>
      <c r="Q24" s="52" t="inlineStr">
        <is>
          <t>No</t>
        </is>
      </c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3E7A5E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REAL ESTATE ASIA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Real Assets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Asia Portfolio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6" customHeight="1">
      <c r="A6" s="45" t="inlineStr">
        <is>
          <t>Occupancy</t>
        </is>
      </c>
      <c r="B6" s="15" t="inlineStr">
        <is>
          <t>%</t>
        </is>
      </c>
      <c r="C6" s="46" t="inlineStr">
        <is>
          <t>&lt;=85% R</t>
        </is>
      </c>
      <c r="D6" s="47" t="n">
        <v>0.92</v>
      </c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</row>
    <row r="7" ht="16" customHeight="1">
      <c r="A7" s="45" t="inlineStr">
        <is>
          <t>LTV</t>
        </is>
      </c>
      <c r="B7" s="15" t="inlineStr">
        <is>
          <t>%</t>
        </is>
      </c>
      <c r="C7" s="46" t="inlineStr">
        <is>
          <t>&gt;=50% R</t>
        </is>
      </c>
      <c r="D7" s="47" t="n">
        <v>0.45</v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</row>
    <row r="8" ht="16" customHeight="1">
      <c r="A8" s="45" t="inlineStr">
        <is>
          <t>Counterparty breach</t>
        </is>
      </c>
      <c r="B8" s="15" t="inlineStr">
        <is>
          <t>Y/N</t>
        </is>
      </c>
      <c r="C8" s="46" t="inlineStr">
        <is>
          <t>Yes = R</t>
        </is>
      </c>
      <c r="D8" s="50" t="inlineStr">
        <is>
          <t>No</t>
        </is>
      </c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</row>
    <row r="9" ht="16" customHeight="1">
      <c r="A9" s="45" t="inlineStr">
        <is>
          <t>Sustainability breach</t>
        </is>
      </c>
      <c r="B9" s="15" t="inlineStr">
        <is>
          <t>Y/N</t>
        </is>
      </c>
      <c r="C9" s="46" t="inlineStr">
        <is>
          <t>Yes = R</t>
        </is>
      </c>
      <c r="D9" s="50" t="inlineStr">
        <is>
          <t>No</t>
        </is>
      </c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Occupancy</t>
        </is>
      </c>
      <c r="B20" s="16" t="inlineStr">
        <is>
          <t>Market</t>
        </is>
      </c>
      <c r="C20" s="46" t="inlineStr">
        <is>
          <t>&lt;=85% R</t>
        </is>
      </c>
      <c r="D20" s="15">
        <f>IF(OR(D6="",D6="n/a",D6="N/A"),"",IF(AND($Q20&lt;&gt;"",D6&lt;=$Q20),"R",IF(AND($P20&lt;&gt;"",D6&lt;=$P20),"A",IF(AND($O20&lt;&gt;"",D6&lt;=$O20),"AG","G"))))</f>
        <v/>
      </c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O20" s="51" t="n">
        <v>0.95</v>
      </c>
      <c r="P20" s="51" t="n">
        <v>0.9</v>
      </c>
      <c r="Q20" s="51" t="n">
        <v>0.85</v>
      </c>
    </row>
    <row r="21" ht="16" customHeight="1">
      <c r="A21" s="14" t="inlineStr">
        <is>
          <t>LTV</t>
        </is>
      </c>
      <c r="B21" s="16" t="inlineStr">
        <is>
          <t>Market</t>
        </is>
      </c>
      <c r="C21" s="46" t="inlineStr">
        <is>
          <t>&gt;=50% R</t>
        </is>
      </c>
      <c r="D21" s="15">
        <f>IF(OR(D7="",D7="n/a",D7="N/A"),"",IF(AND($Q21&lt;&gt;"",D7&gt;=$Q21),"R",IF(AND($P21&lt;&gt;"",D7&gt;=$P21),"A",IF(AND($O21&lt;&gt;"",D7&gt;=$O21),"AG","G"))))</f>
        <v/>
      </c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O21" s="51" t="n">
        <v>0.4</v>
      </c>
      <c r="P21" s="51" t="n">
        <v>0.45</v>
      </c>
      <c r="Q21" s="51" t="n">
        <v>0.5</v>
      </c>
    </row>
    <row r="22" ht="16" customHeight="1">
      <c r="A22" s="14" t="inlineStr">
        <is>
          <t>Counterparty breach</t>
        </is>
      </c>
      <c r="B22" s="16" t="inlineStr">
        <is>
          <t>Market</t>
        </is>
      </c>
      <c r="C22" s="46" t="inlineStr">
        <is>
          <t>Yes = R</t>
        </is>
      </c>
      <c r="D22" s="15">
        <f>IF(OR(D8="",D8="n/a",D8="N/A"),"",IF(D8=$Q22,"R","G"))</f>
        <v/>
      </c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O22" s="52" t="n"/>
      <c r="P22" s="52" t="n"/>
      <c r="Q22" s="52" t="inlineStr">
        <is>
          <t>Yes</t>
        </is>
      </c>
    </row>
    <row r="23" ht="16" customHeight="1">
      <c r="A23" s="14" t="inlineStr">
        <is>
          <t>Sustainability breach</t>
        </is>
      </c>
      <c r="B23" s="16" t="inlineStr">
        <is>
          <t>Sustainability</t>
        </is>
      </c>
      <c r="C23" s="46" t="inlineStr">
        <is>
          <t>Yes = R</t>
        </is>
      </c>
      <c r="D23" s="15">
        <f>IF(OR(D9="",D9="n/a",D9="N/A"),"",IF(D9=$Q23,"R","G"))</f>
        <v/>
      </c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O23" s="52" t="n"/>
      <c r="P23" s="52" t="n"/>
      <c r="Q23" s="52" t="inlineStr">
        <is>
          <t>Yes</t>
        </is>
      </c>
    </row>
    <row r="24" ht="16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O24" s="48" t="n"/>
      <c r="P24" s="48" t="n"/>
      <c r="Q24" s="48" t="n"/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3E7A5E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REIM (REAL ESTATE INVESTMENT MGMT)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Real Assets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Open End</t>
        </is>
      </c>
      <c r="E5" s="12" t="inlineStr">
        <is>
          <t>Closed End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6" customHeight="1">
      <c r="A6" s="45" t="inlineStr">
        <is>
          <t>Market risk MAT triggered</t>
        </is>
      </c>
      <c r="B6" s="15" t="inlineStr">
        <is>
          <t>Y/N</t>
        </is>
      </c>
      <c r="C6" s="46" t="inlineStr">
        <is>
          <t>Yes = R</t>
        </is>
      </c>
      <c r="D6" s="50" t="inlineStr">
        <is>
          <t>No</t>
        </is>
      </c>
      <c r="E6" s="50" t="inlineStr">
        <is>
          <t>No</t>
        </is>
      </c>
      <c r="F6" s="48" t="n"/>
      <c r="G6" s="48" t="n"/>
      <c r="H6" s="48" t="n"/>
      <c r="I6" s="48" t="n"/>
      <c r="J6" s="48" t="n"/>
      <c r="K6" s="48" t="n"/>
      <c r="L6" s="48" t="n"/>
      <c r="M6" s="48" t="n"/>
    </row>
    <row r="7" ht="16" customHeight="1">
      <c r="A7" s="45" t="inlineStr">
        <is>
          <t>Liquidity MAT triggered (open end)</t>
        </is>
      </c>
      <c r="B7" s="15" t="inlineStr">
        <is>
          <t>Y/N</t>
        </is>
      </c>
      <c r="C7" s="46" t="inlineStr">
        <is>
          <t>Yes = R</t>
        </is>
      </c>
      <c r="D7" s="50" t="inlineStr">
        <is>
          <t>No</t>
        </is>
      </c>
      <c r="E7" s="50" t="inlineStr">
        <is>
          <t>No</t>
        </is>
      </c>
      <c r="F7" s="48" t="n"/>
      <c r="G7" s="48" t="n"/>
      <c r="H7" s="48" t="n"/>
      <c r="I7" s="48" t="n"/>
      <c r="J7" s="48" t="n"/>
      <c r="K7" s="48" t="n"/>
      <c r="L7" s="48" t="n"/>
      <c r="M7" s="48" t="n"/>
    </row>
    <row r="8" ht="16" customHeight="1">
      <c r="A8" s="45" t="inlineStr">
        <is>
          <t>Sustainability breach</t>
        </is>
      </c>
      <c r="B8" s="15" t="inlineStr">
        <is>
          <t>Y/N</t>
        </is>
      </c>
      <c r="C8" s="46" t="inlineStr">
        <is>
          <t>Yes = R</t>
        </is>
      </c>
      <c r="D8" s="50" t="inlineStr">
        <is>
          <t>No</t>
        </is>
      </c>
      <c r="E8" s="50" t="inlineStr">
        <is>
          <t>No</t>
        </is>
      </c>
      <c r="F8" s="48" t="n"/>
      <c r="G8" s="48" t="n"/>
      <c r="H8" s="48" t="n"/>
      <c r="I8" s="48" t="n"/>
      <c r="J8" s="48" t="n"/>
      <c r="K8" s="48" t="n"/>
      <c r="L8" s="48" t="n"/>
      <c r="M8" s="48" t="n"/>
    </row>
    <row r="9" ht="16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Market risk MAT triggered</t>
        </is>
      </c>
      <c r="B20" s="16" t="inlineStr">
        <is>
          <t>Market</t>
        </is>
      </c>
      <c r="C20" s="46" t="inlineStr">
        <is>
          <t>Yes = R</t>
        </is>
      </c>
      <c r="D20" s="15">
        <f>IF(OR(D6="",D6="n/a",D6="N/A"),"",IF(D6=$Q20,"R","G"))</f>
        <v/>
      </c>
      <c r="E20" s="15">
        <f>IF(OR(E6="",E6="n/a",E6="N/A"),"",IF(E6=$Q20,"R","G"))</f>
        <v/>
      </c>
      <c r="F20" s="48" t="n"/>
      <c r="G20" s="48" t="n"/>
      <c r="H20" s="48" t="n"/>
      <c r="I20" s="48" t="n"/>
      <c r="J20" s="48" t="n"/>
      <c r="K20" s="48" t="n"/>
      <c r="L20" s="48" t="n"/>
      <c r="M20" s="48" t="n"/>
      <c r="O20" s="52" t="n"/>
      <c r="P20" s="52" t="n"/>
      <c r="Q20" s="52" t="inlineStr">
        <is>
          <t>Yes</t>
        </is>
      </c>
    </row>
    <row r="21" ht="16" customHeight="1">
      <c r="A21" s="14" t="inlineStr">
        <is>
          <t>Liquidity MAT triggered (open end)</t>
        </is>
      </c>
      <c r="B21" s="16" t="inlineStr">
        <is>
          <t>Liquidity</t>
        </is>
      </c>
      <c r="C21" s="46" t="inlineStr">
        <is>
          <t>Yes = R</t>
        </is>
      </c>
      <c r="D21" s="15">
        <f>IF(OR(D7="",D7="n/a",D7="N/A"),"",IF(D7=$Q21,"R","G"))</f>
        <v/>
      </c>
      <c r="E21" s="15">
        <f>IF(OR(E7="",E7="n/a",E7="N/A"),"",IF(E7=$Q21,"R","G"))</f>
        <v/>
      </c>
      <c r="F21" s="48" t="n"/>
      <c r="G21" s="48" t="n"/>
      <c r="H21" s="48" t="n"/>
      <c r="I21" s="48" t="n"/>
      <c r="J21" s="48" t="n"/>
      <c r="K21" s="48" t="n"/>
      <c r="L21" s="48" t="n"/>
      <c r="M21" s="48" t="n"/>
      <c r="O21" s="52" t="n"/>
      <c r="P21" s="52" t="n"/>
      <c r="Q21" s="52" t="inlineStr">
        <is>
          <t>Yes</t>
        </is>
      </c>
    </row>
    <row r="22" ht="16" customHeight="1">
      <c r="A22" s="14" t="inlineStr">
        <is>
          <t>Sustainability breach</t>
        </is>
      </c>
      <c r="B22" s="16" t="inlineStr">
        <is>
          <t>Sustainability</t>
        </is>
      </c>
      <c r="C22" s="46" t="inlineStr">
        <is>
          <t>Yes = R</t>
        </is>
      </c>
      <c r="D22" s="15">
        <f>IF(OR(D8="",D8="n/a",D8="N/A"),"",IF(D8=$Q22,"R","G"))</f>
        <v/>
      </c>
      <c r="E22" s="15">
        <f>IF(OR(E8="",E8="n/a",E8="N/A"),"",IF(E8=$Q22,"R","G"))</f>
        <v/>
      </c>
      <c r="F22" s="48" t="n"/>
      <c r="G22" s="48" t="n"/>
      <c r="H22" s="48" t="n"/>
      <c r="I22" s="48" t="n"/>
      <c r="J22" s="48" t="n"/>
      <c r="K22" s="48" t="n"/>
      <c r="L22" s="48" t="n"/>
      <c r="M22" s="48" t="n"/>
      <c r="O22" s="52" t="n"/>
      <c r="P22" s="52" t="n"/>
      <c r="Q22" s="52" t="inlineStr">
        <is>
          <t>Yes</t>
        </is>
      </c>
    </row>
    <row r="23" ht="16" customHeight="1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O23" s="48" t="n"/>
      <c r="P23" s="48" t="n"/>
      <c r="Q23" s="48" t="n"/>
    </row>
    <row r="24" ht="16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O24" s="48" t="n"/>
      <c r="P24" s="48" t="n"/>
      <c r="Q24" s="48" t="n"/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3E7A5E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ENERGY TRANSITION INFRASTRUCTURE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Real Assets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ETI Fund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6" customHeight="1">
      <c r="A6" s="45" t="inlineStr">
        <is>
          <t>Fund performance</t>
        </is>
      </c>
      <c r="B6" s="15" t="inlineStr">
        <is>
          <t>%</t>
        </is>
      </c>
      <c r="C6" s="46" t="inlineStr">
        <is>
          <t>&lt;5% R</t>
        </is>
      </c>
      <c r="D6" s="47" t="n">
        <v>0.193</v>
      </c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</row>
    <row r="7" ht="16" customHeight="1">
      <c r="A7" s="45" t="inlineStr">
        <is>
          <t>Credit facility usage</t>
        </is>
      </c>
      <c r="B7" s="15" t="inlineStr">
        <is>
          <t>%</t>
        </is>
      </c>
      <c r="C7" s="46" t="inlineStr">
        <is>
          <t>&gt;20% R</t>
        </is>
      </c>
      <c r="D7" s="47" t="n">
        <v>0</v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</row>
    <row r="8" ht="16" customHeight="1">
      <c r="A8" s="45" t="inlineStr">
        <is>
          <t>Capital deployment</t>
        </is>
      </c>
      <c r="B8" s="15" t="inlineStr">
        <is>
          <t>%</t>
        </is>
      </c>
      <c r="C8" s="46" t="inlineStr">
        <is>
          <t>&lt;50% R</t>
        </is>
      </c>
      <c r="D8" s="47" t="n">
        <v>0.747</v>
      </c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</row>
    <row r="9" ht="16" customHeight="1">
      <c r="A9" s="45" t="inlineStr">
        <is>
          <t>ESG / SIFfA exception</t>
        </is>
      </c>
      <c r="B9" s="15" t="inlineStr">
        <is>
          <t>Y/N</t>
        </is>
      </c>
      <c r="C9" s="46" t="inlineStr">
        <is>
          <t>Yes = R</t>
        </is>
      </c>
      <c r="D9" s="50" t="inlineStr">
        <is>
          <t>No</t>
        </is>
      </c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Fund performance</t>
        </is>
      </c>
      <c r="B20" s="16" t="inlineStr">
        <is>
          <t>Market</t>
        </is>
      </c>
      <c r="C20" s="46" t="inlineStr">
        <is>
          <t>&lt;5% R</t>
        </is>
      </c>
      <c r="D20" s="15">
        <f>IF(OR(D6="",D6="n/a",D6="N/A"),"",IF(AND($Q20&lt;&gt;"",D6&lt;=$Q20),"R",IF(AND($P20&lt;&gt;"",D6&lt;=$P20),"A",IF(AND($O20&lt;&gt;"",D6&lt;=$O20),"AG","G"))))</f>
        <v/>
      </c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O20" s="51" t="n">
        <v>0.1</v>
      </c>
      <c r="P20" s="51" t="n">
        <v>0.07000000000000001</v>
      </c>
      <c r="Q20" s="51" t="n">
        <v>0.05</v>
      </c>
    </row>
    <row r="21" ht="16" customHeight="1">
      <c r="A21" s="14" t="inlineStr">
        <is>
          <t>Credit facility usage</t>
        </is>
      </c>
      <c r="B21" s="16" t="inlineStr">
        <is>
          <t>Market</t>
        </is>
      </c>
      <c r="C21" s="46" t="inlineStr">
        <is>
          <t>&gt;20% R</t>
        </is>
      </c>
      <c r="D21" s="15">
        <f>IF(OR(D7="",D7="n/a",D7="N/A"),"",IF(AND($Q21&lt;&gt;"",D7&gt;=$Q21),"R",IF(AND($P21&lt;&gt;"",D7&gt;=$P21),"A",IF(AND($O21&lt;&gt;"",D7&gt;=$O21),"AG","G"))))</f>
        <v/>
      </c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O21" s="51" t="n">
        <v>0.1</v>
      </c>
      <c r="P21" s="51" t="n">
        <v>0.15</v>
      </c>
      <c r="Q21" s="51" t="n">
        <v>0.2</v>
      </c>
    </row>
    <row r="22" ht="16" customHeight="1">
      <c r="A22" s="14" t="inlineStr">
        <is>
          <t>Capital deployment</t>
        </is>
      </c>
      <c r="B22" s="16" t="inlineStr">
        <is>
          <t>Market</t>
        </is>
      </c>
      <c r="C22" s="46" t="inlineStr">
        <is>
          <t>&lt;50% R</t>
        </is>
      </c>
      <c r="D22" s="15">
        <f>IF(OR(D8="",D8="n/a",D8="N/A"),"",IF(AND($Q22&lt;&gt;"",D8&lt;=$Q22),"R",IF(AND($P22&lt;&gt;"",D8&lt;=$P22),"A",IF(AND($O22&lt;&gt;"",D8&lt;=$O22),"AG","G"))))</f>
        <v/>
      </c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O22" s="51" t="n">
        <v>0.7</v>
      </c>
      <c r="P22" s="51" t="n">
        <v>0.6</v>
      </c>
      <c r="Q22" s="51" t="n">
        <v>0.5</v>
      </c>
    </row>
    <row r="23" ht="16" customHeight="1">
      <c r="A23" s="14" t="inlineStr">
        <is>
          <t>ESG / SIFfA exception</t>
        </is>
      </c>
      <c r="B23" s="16" t="inlineStr">
        <is>
          <t>Sustainability</t>
        </is>
      </c>
      <c r="C23" s="46" t="inlineStr">
        <is>
          <t>Yes = R</t>
        </is>
      </c>
      <c r="D23" s="15">
        <f>IF(OR(D9="",D9="n/a",D9="N/A"),"",IF(D9=$Q23,"R","G"))</f>
        <v/>
      </c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O23" s="52" t="n"/>
      <c r="P23" s="52" t="n"/>
      <c r="Q23" s="52" t="inlineStr">
        <is>
          <t>Yes</t>
        </is>
      </c>
    </row>
    <row r="24" ht="16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O24" s="48" t="n"/>
      <c r="P24" s="48" t="n"/>
      <c r="Q24" s="48" t="n"/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6A4E8C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HEDGE FUNDS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Priv Mkts &amp; HF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GH</t>
        </is>
      </c>
      <c r="E5" s="12" t="inlineStr">
        <is>
          <t>Alpha Core</t>
        </is>
      </c>
      <c r="F5" s="12" t="inlineStr">
        <is>
          <t>Orbit</t>
        </is>
      </c>
      <c r="G5" s="12" t="inlineStr">
        <is>
          <t>UCITS ADV</t>
        </is>
      </c>
      <c r="H5" s="12" t="inlineStr">
        <is>
          <t>GH Lux</t>
        </is>
      </c>
      <c r="I5" s="12" t="n"/>
      <c r="J5" s="12" t="n"/>
      <c r="K5" s="12" t="n"/>
      <c r="L5" s="12" t="n"/>
      <c r="M5" s="12" t="n"/>
    </row>
    <row r="6" ht="16" customHeight="1">
      <c r="A6" s="45" t="inlineStr">
        <is>
          <t>Volatility — actual</t>
        </is>
      </c>
      <c r="B6" s="15" t="inlineStr">
        <is>
          <t>%</t>
        </is>
      </c>
      <c r="C6" s="46" t="inlineStr">
        <is>
          <t>outside [min,max]: &gt; max R, &lt; min AG</t>
        </is>
      </c>
      <c r="D6" s="47" t="n">
        <v>0.0237</v>
      </c>
      <c r="E6" s="47" t="n">
        <v>0.0409</v>
      </c>
      <c r="F6" s="47" t="n">
        <v>0.0151</v>
      </c>
      <c r="G6" s="47" t="n">
        <v>0.0288</v>
      </c>
      <c r="H6" s="47" t="n">
        <v>0.0236</v>
      </c>
      <c r="I6" s="48" t="n"/>
      <c r="J6" s="48" t="n"/>
      <c r="K6" s="48" t="n"/>
      <c r="L6" s="48" t="n"/>
      <c r="M6" s="48" t="n"/>
    </row>
    <row r="7" ht="16" customHeight="1">
      <c r="A7" s="45" t="inlineStr">
        <is>
          <t>Volatility — min bound</t>
        </is>
      </c>
      <c r="B7" s="15" t="inlineStr">
        <is>
          <t>%</t>
        </is>
      </c>
      <c r="C7" s="46" t="inlineStr">
        <is>
          <t>(bound — edit as mandated)</t>
        </is>
      </c>
      <c r="D7" s="47" t="n">
        <v>0.02</v>
      </c>
      <c r="E7" s="47" t="n">
        <v>0.03</v>
      </c>
      <c r="F7" s="47" t="n">
        <v>0.015</v>
      </c>
      <c r="G7" s="47" t="n">
        <v>0.03</v>
      </c>
      <c r="H7" s="47" t="n">
        <v>0.02</v>
      </c>
      <c r="I7" s="48" t="n"/>
      <c r="J7" s="48" t="n"/>
      <c r="K7" s="48" t="n"/>
      <c r="L7" s="48" t="n"/>
      <c r="M7" s="48" t="n"/>
    </row>
    <row r="8" ht="16" customHeight="1">
      <c r="A8" s="45" t="inlineStr">
        <is>
          <t>Volatility — max bound</t>
        </is>
      </c>
      <c r="B8" s="15" t="inlineStr">
        <is>
          <t>%</t>
        </is>
      </c>
      <c r="C8" s="46" t="inlineStr">
        <is>
          <t>(bound — edit as mandated)</t>
        </is>
      </c>
      <c r="D8" s="47" t="n">
        <v>0.05</v>
      </c>
      <c r="E8" s="47" t="n">
        <v>0.07000000000000001</v>
      </c>
      <c r="F8" s="47" t="n">
        <v>0.06</v>
      </c>
      <c r="G8" s="47" t="n">
        <v>0.06</v>
      </c>
      <c r="H8" s="47" t="n">
        <v>0.05</v>
      </c>
      <c r="I8" s="48" t="n"/>
      <c r="J8" s="48" t="n"/>
      <c r="K8" s="48" t="n"/>
      <c r="L8" s="48" t="n"/>
      <c r="M8" s="48" t="n"/>
    </row>
    <row r="9" ht="16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>
        <f>F5</f>
        <v/>
      </c>
      <c r="G19" s="12">
        <f>G5</f>
        <v/>
      </c>
      <c r="H19" s="12">
        <f>H5</f>
        <v/>
      </c>
      <c r="I19" s="12" t="n"/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Volatility — actual</t>
        </is>
      </c>
      <c r="B20" s="16" t="inlineStr">
        <is>
          <t>Market</t>
        </is>
      </c>
      <c r="C20" s="46" t="inlineStr">
        <is>
          <t>outside [min,max]: &gt; max R, &lt; min AG</t>
        </is>
      </c>
      <c r="D20" s="15">
        <f>IF(OR(D6="",D6="n/a"),"",IF(D6&gt;D8,"R",IF(D6&lt;D7,"AG","G")))</f>
        <v/>
      </c>
      <c r="E20" s="15">
        <f>IF(OR(E6="",E6="n/a"),"",IF(E6&gt;E8,"R",IF(E6&lt;E7,"AG","G")))</f>
        <v/>
      </c>
      <c r="F20" s="15">
        <f>IF(OR(F6="",F6="n/a"),"",IF(F6&gt;F8,"R",IF(F6&lt;F7,"AG","G")))</f>
        <v/>
      </c>
      <c r="G20" s="15">
        <f>IF(OR(G6="",G6="n/a"),"",IF(G6&gt;G8,"R",IF(G6&lt;G7,"AG","G")))</f>
        <v/>
      </c>
      <c r="H20" s="15">
        <f>IF(OR(H6="",H6="n/a"),"",IF(H6&gt;H8,"R",IF(H6&lt;H7,"AG","G")))</f>
        <v/>
      </c>
      <c r="I20" s="48" t="n"/>
      <c r="J20" s="48" t="n"/>
      <c r="K20" s="48" t="n"/>
      <c r="L20" s="48" t="n"/>
      <c r="M20" s="48" t="n"/>
      <c r="O20" s="48" t="n"/>
      <c r="P20" s="48" t="n"/>
      <c r="Q20" s="48" t="n"/>
    </row>
    <row r="21" ht="16" customHeight="1">
      <c r="A21" s="14" t="inlineStr">
        <is>
          <t>Volatility — min bound</t>
        </is>
      </c>
      <c r="B21" s="48" t="n"/>
      <c r="C21" s="46" t="inlineStr">
        <is>
          <t>(bound — edit as mandated)</t>
        </is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O21" s="48" t="n"/>
      <c r="P21" s="48" t="n"/>
      <c r="Q21" s="48" t="n"/>
    </row>
    <row r="22" ht="16" customHeight="1">
      <c r="A22" s="14" t="inlineStr">
        <is>
          <t>Volatility — max bound</t>
        </is>
      </c>
      <c r="B22" s="48" t="n"/>
      <c r="C22" s="46" t="inlineStr">
        <is>
          <t>(bound — edit as mandated)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O22" s="48" t="n"/>
      <c r="P22" s="48" t="n"/>
      <c r="Q22" s="48" t="n"/>
    </row>
    <row r="23" ht="16" customHeight="1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O23" s="48" t="n"/>
      <c r="P23" s="48" t="n"/>
      <c r="Q23" s="48" t="n"/>
    </row>
    <row r="24" ht="16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O24" s="48" t="n"/>
      <c r="P24" s="48" t="n"/>
      <c r="Q24" s="48" t="n"/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6A4E8C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PRIVATE MARKETS (FEEDERS &amp; SYNDICATES)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Priv Mkts &amp; HF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PB PE pre-20</t>
        </is>
      </c>
      <c r="E5" s="12" t="inlineStr">
        <is>
          <t>PB PC pre-20</t>
        </is>
      </c>
      <c r="F5" s="12" t="inlineStr">
        <is>
          <t>PB post-19</t>
        </is>
      </c>
      <c r="G5" s="12" t="inlineStr">
        <is>
          <t>Lux post-19</t>
        </is>
      </c>
      <c r="H5" s="12" t="inlineStr">
        <is>
          <t>RE Synd</t>
        </is>
      </c>
      <c r="I5" s="12" t="inlineStr">
        <is>
          <t>Legacy PE</t>
        </is>
      </c>
      <c r="J5" s="12" t="inlineStr">
        <is>
          <t>Legacy FoF</t>
        </is>
      </c>
      <c r="K5" s="12" t="n"/>
      <c r="L5" s="12" t="n"/>
      <c r="M5" s="12" t="n"/>
    </row>
    <row r="6" ht="16" customHeight="1">
      <c r="A6" s="45" t="inlineStr">
        <is>
          <t>% of target invested</t>
        </is>
      </c>
      <c r="B6" s="15" t="inlineStr">
        <is>
          <t>%</t>
        </is>
      </c>
      <c r="C6" s="46" t="inlineStr">
        <is>
          <t>&lt;=25% R | &lt;=75% AG</t>
        </is>
      </c>
      <c r="D6" s="47" t="n">
        <v>0.5</v>
      </c>
      <c r="E6" s="47" t="n">
        <v>0.75</v>
      </c>
      <c r="F6" s="47" t="n">
        <v>0.76</v>
      </c>
      <c r="G6" s="47" t="n">
        <v>0.5</v>
      </c>
      <c r="H6" s="47" t="n">
        <v>0.67</v>
      </c>
      <c r="I6" s="47" t="n">
        <v>1</v>
      </c>
      <c r="J6" s="47" t="n">
        <v>1</v>
      </c>
      <c r="K6" s="48" t="n"/>
      <c r="L6" s="48" t="n"/>
      <c r="M6" s="48" t="n"/>
    </row>
    <row r="7" ht="16" customHeight="1">
      <c r="A7" s="45" t="inlineStr">
        <is>
          <t>Funds below target (count)</t>
        </is>
      </c>
      <c r="B7" s="15" t="inlineStr">
        <is>
          <t>#</t>
        </is>
      </c>
      <c r="C7" s="46" t="inlineStr">
        <is>
          <t>&gt;=20 R | &gt;=5 AG</t>
        </is>
      </c>
      <c r="D7" s="55" t="n">
        <v>4</v>
      </c>
      <c r="E7" s="55" t="n">
        <v>3</v>
      </c>
      <c r="F7" s="55" t="n">
        <v>13</v>
      </c>
      <c r="G7" s="55" t="n">
        <v>4</v>
      </c>
      <c r="H7" s="55" t="n">
        <v>4</v>
      </c>
      <c r="I7" s="55" t="n">
        <v>2</v>
      </c>
      <c r="J7" s="55" t="n">
        <v>2</v>
      </c>
      <c r="K7" s="48" t="n"/>
      <c r="L7" s="48" t="n"/>
      <c r="M7" s="48" t="n"/>
    </row>
    <row r="8" ht="16" customHeight="1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</row>
    <row r="9" ht="16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>
        <f>E5</f>
        <v/>
      </c>
      <c r="F19" s="12">
        <f>F5</f>
        <v/>
      </c>
      <c r="G19" s="12">
        <f>G5</f>
        <v/>
      </c>
      <c r="H19" s="12">
        <f>H5</f>
        <v/>
      </c>
      <c r="I19" s="12">
        <f>I5</f>
        <v/>
      </c>
      <c r="J19" s="12">
        <f>J5</f>
        <v/>
      </c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% of target invested</t>
        </is>
      </c>
      <c r="B20" s="16" t="inlineStr">
        <is>
          <t>Market</t>
        </is>
      </c>
      <c r="C20" s="46" t="inlineStr">
        <is>
          <t>&lt;=25% R | &lt;=75% AG</t>
        </is>
      </c>
      <c r="D20" s="15">
        <f>IF(OR(D6="",D6="n/a",D6="N/A"),"",IF(AND($Q20&lt;&gt;"",D6&lt;=$Q20),"R",IF(AND($P20&lt;&gt;"",D6&lt;=$P20),"A",IF(AND($O20&lt;&gt;"",D6&lt;=$O20),"AG","G"))))</f>
        <v/>
      </c>
      <c r="E20" s="15">
        <f>IF(OR(E6="",E6="n/a",E6="N/A"),"",IF(AND($Q20&lt;&gt;"",E6&lt;=$Q20),"R",IF(AND($P20&lt;&gt;"",E6&lt;=$P20),"A",IF(AND($O20&lt;&gt;"",E6&lt;=$O20),"AG","G"))))</f>
        <v/>
      </c>
      <c r="F20" s="15">
        <f>IF(OR(F6="",F6="n/a",F6="N/A"),"",IF(AND($Q20&lt;&gt;"",F6&lt;=$Q20),"R",IF(AND($P20&lt;&gt;"",F6&lt;=$P20),"A",IF(AND($O20&lt;&gt;"",F6&lt;=$O20),"AG","G"))))</f>
        <v/>
      </c>
      <c r="G20" s="15">
        <f>IF(OR(G6="",G6="n/a",G6="N/A"),"",IF(AND($Q20&lt;&gt;"",G6&lt;=$Q20),"R",IF(AND($P20&lt;&gt;"",G6&lt;=$P20),"A",IF(AND($O20&lt;&gt;"",G6&lt;=$O20),"AG","G"))))</f>
        <v/>
      </c>
      <c r="H20" s="15">
        <f>IF(OR(H6="",H6="n/a",H6="N/A"),"",IF(AND($Q20&lt;&gt;"",H6&lt;=$Q20),"R",IF(AND($P20&lt;&gt;"",H6&lt;=$P20),"A",IF(AND($O20&lt;&gt;"",H6&lt;=$O20),"AG","G"))))</f>
        <v/>
      </c>
      <c r="I20" s="15">
        <f>IF(OR(I6="",I6="n/a",I6="N/A"),"",IF(AND($Q20&lt;&gt;"",I6&lt;=$Q20),"R",IF(AND($P20&lt;&gt;"",I6&lt;=$P20),"A",IF(AND($O20&lt;&gt;"",I6&lt;=$O20),"AG","G"))))</f>
        <v/>
      </c>
      <c r="J20" s="15">
        <f>IF(OR(J6="",J6="n/a",J6="N/A"),"",IF(AND($Q20&lt;&gt;"",J6&lt;=$Q20),"R",IF(AND($P20&lt;&gt;"",J6&lt;=$P20),"A",IF(AND($O20&lt;&gt;"",J6&lt;=$O20),"AG","G"))))</f>
        <v/>
      </c>
      <c r="K20" s="48" t="n"/>
      <c r="L20" s="48" t="n"/>
      <c r="M20" s="48" t="n"/>
      <c r="O20" s="51" t="n">
        <v>0.75</v>
      </c>
      <c r="P20" s="52" t="n"/>
      <c r="Q20" s="51" t="n">
        <v>0.25</v>
      </c>
    </row>
    <row r="21" ht="16" customHeight="1">
      <c r="A21" s="14" t="inlineStr">
        <is>
          <t>Funds below target (count)</t>
        </is>
      </c>
      <c r="B21" s="16" t="inlineStr">
        <is>
          <t>Market</t>
        </is>
      </c>
      <c r="C21" s="46" t="inlineStr">
        <is>
          <t>&gt;=20 R | &gt;=5 AG</t>
        </is>
      </c>
      <c r="D21" s="15">
        <f>IF(OR(D7="",D7="n/a",D7="N/A"),"",IF(AND($Q21&lt;&gt;"",D7&gt;=$Q21),"R",IF(AND($P21&lt;&gt;"",D7&gt;=$P21),"A",IF(AND($O21&lt;&gt;"",D7&gt;=$O21),"AG","G"))))</f>
        <v/>
      </c>
      <c r="E21" s="15">
        <f>IF(OR(E7="",E7="n/a",E7="N/A"),"",IF(AND($Q21&lt;&gt;"",E7&gt;=$Q21),"R",IF(AND($P21&lt;&gt;"",E7&gt;=$P21),"A",IF(AND($O21&lt;&gt;"",E7&gt;=$O21),"AG","G"))))</f>
        <v/>
      </c>
      <c r="F21" s="15">
        <f>IF(OR(F7="",F7="n/a",F7="N/A"),"",IF(AND($Q21&lt;&gt;"",F7&gt;=$Q21),"R",IF(AND($P21&lt;&gt;"",F7&gt;=$P21),"A",IF(AND($O21&lt;&gt;"",F7&gt;=$O21),"AG","G"))))</f>
        <v/>
      </c>
      <c r="G21" s="15">
        <f>IF(OR(G7="",G7="n/a",G7="N/A"),"",IF(AND($Q21&lt;&gt;"",G7&gt;=$Q21),"R",IF(AND($P21&lt;&gt;"",G7&gt;=$P21),"A",IF(AND($O21&lt;&gt;"",G7&gt;=$O21),"AG","G"))))</f>
        <v/>
      </c>
      <c r="H21" s="15">
        <f>IF(OR(H7="",H7="n/a",H7="N/A"),"",IF(AND($Q21&lt;&gt;"",H7&gt;=$Q21),"R",IF(AND($P21&lt;&gt;"",H7&gt;=$P21),"A",IF(AND($O21&lt;&gt;"",H7&gt;=$O21),"AG","G"))))</f>
        <v/>
      </c>
      <c r="I21" s="15">
        <f>IF(OR(I7="",I7="n/a",I7="N/A"),"",IF(AND($Q21&lt;&gt;"",I7&gt;=$Q21),"R",IF(AND($P21&lt;&gt;"",I7&gt;=$P21),"A",IF(AND($O21&lt;&gt;"",I7&gt;=$O21),"AG","G"))))</f>
        <v/>
      </c>
      <c r="J21" s="15">
        <f>IF(OR(J7="",J7="n/a",J7="N/A"),"",IF(AND($Q21&lt;&gt;"",J7&gt;=$Q21),"R",IF(AND($P21&lt;&gt;"",J7&gt;=$P21),"A",IF(AND($O21&lt;&gt;"",J7&gt;=$O21),"AG","G"))))</f>
        <v/>
      </c>
      <c r="K21" s="48" t="n"/>
      <c r="L21" s="48" t="n"/>
      <c r="M21" s="48" t="n"/>
      <c r="O21" s="56" t="n">
        <v>5</v>
      </c>
      <c r="P21" s="52" t="n"/>
      <c r="Q21" s="56" t="n">
        <v>20</v>
      </c>
    </row>
    <row r="22" ht="16" customHeight="1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O22" s="48" t="n"/>
      <c r="P22" s="48" t="n"/>
      <c r="Q22" s="48" t="n"/>
    </row>
    <row r="23" ht="16" customHeight="1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O23" s="48" t="n"/>
      <c r="P23" s="48" t="n"/>
      <c r="Q23" s="48" t="n"/>
    </row>
    <row r="24" ht="16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O24" s="48" t="n"/>
      <c r="P24" s="48" t="n"/>
      <c r="Q24" s="48" t="n"/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6A4E8C"/>
    <outlinePr summaryBelow="1" summaryRight="1"/>
    <pageSetUpPr/>
  </sheetPr>
  <dimension ref="A1:Q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" customWidth="1" min="14" max="14"/>
    <col width="9" customWidth="1" min="15" max="15"/>
    <col width="9" customWidth="1" min="16" max="16"/>
    <col width="9" customWidth="1" min="17" max="17"/>
  </cols>
  <sheetData>
    <row r="1" ht="24" customHeight="1">
      <c r="A1" s="37" t="inlineStr">
        <is>
          <t>HSBC AM ALTERNATIVES  |  VENTURE CAPITAL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4" t="inlineStr">
        <is>
          <t>As at:</t>
        </is>
      </c>
      <c r="B2" s="42" t="inlineStr">
        <is>
          <t>Q3 2025</t>
        </is>
      </c>
      <c r="D2" s="27" t="inlineStr">
        <is>
          <t>Asset class: Priv Mkts &amp; HF</t>
        </is>
      </c>
    </row>
    <row r="3" ht="18" customHeight="1">
      <c r="A3" s="38" t="inlineStr">
        <is>
          <t>STEP 1  —  Paste the ops team block into the YELLOW grid below (Paste Special → Values). Do not edit columns A–C.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5" ht="26" customHeight="1">
      <c r="A5" s="12" t="inlineStr">
        <is>
          <t>MAT / Covenant</t>
        </is>
      </c>
      <c r="B5" s="12" t="inlineStr">
        <is>
          <t>Unit</t>
        </is>
      </c>
      <c r="C5" s="12" t="inlineStr">
        <is>
          <t>Trigger rule</t>
        </is>
      </c>
      <c r="D5" s="12" t="inlineStr">
        <is>
          <t>FinTech Fund</t>
        </is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6" customHeight="1">
      <c r="A6" s="45" t="inlineStr">
        <is>
          <t>Gross IRR (post-invest period)</t>
        </is>
      </c>
      <c r="B6" s="15" t="inlineStr">
        <is>
          <t>%</t>
        </is>
      </c>
      <c r="C6" s="46" t="inlineStr">
        <is>
          <t>&lt;15% R</t>
        </is>
      </c>
      <c r="D6" s="47" t="inlineStr">
        <is>
          <t>n/a</t>
        </is>
      </c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</row>
    <row r="7" ht="16" customHeight="1">
      <c r="A7" s="45" t="inlineStr">
        <is>
          <t>Investment concentration</t>
        </is>
      </c>
      <c r="B7" s="15" t="inlineStr">
        <is>
          <t>%</t>
        </is>
      </c>
      <c r="C7" s="46" t="inlineStr">
        <is>
          <t>&gt;20% R</t>
        </is>
      </c>
      <c r="D7" s="47" t="inlineStr">
        <is>
          <t>n/a</t>
        </is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</row>
    <row r="8" ht="16" customHeight="1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</row>
    <row r="9" ht="16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</row>
    <row r="10" ht="16" customHeight="1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</row>
    <row r="11" ht="16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</row>
    <row r="12" ht="16" customHeight="1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</row>
    <row r="13" ht="16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6" customHeight="1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</row>
    <row r="15" ht="16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</row>
    <row r="17" ht="18" customHeight="1">
      <c r="A17" s="38" t="inlineStr">
        <is>
          <t>STEP 2  —  Nothing to do. RAG below updates instantly. To override a single cell (e.g. 'any Red asset' rule), type G / AG / A / R over the formula. Thresholds are editable in the green cells (O–Q).</t>
        </is>
      </c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9" ht="26" customHeight="1">
      <c r="A19" s="12" t="inlineStr">
        <is>
          <t>MAT / Covenant</t>
        </is>
      </c>
      <c r="B19" s="12" t="inlineStr">
        <is>
          <t>Risk type</t>
        </is>
      </c>
      <c r="C19" s="12" t="inlineStr">
        <is>
          <t>Rule</t>
        </is>
      </c>
      <c r="D19" s="12">
        <f>D5</f>
        <v/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O19" s="12" t="inlineStr">
        <is>
          <t>Thr AG</t>
        </is>
      </c>
      <c r="P19" s="12" t="inlineStr">
        <is>
          <t>Thr A</t>
        </is>
      </c>
      <c r="Q19" s="12" t="inlineStr">
        <is>
          <t>Thr R</t>
        </is>
      </c>
    </row>
    <row r="20" ht="16" customHeight="1">
      <c r="A20" s="14" t="inlineStr">
        <is>
          <t>Gross IRR (post-invest period)</t>
        </is>
      </c>
      <c r="B20" s="16" t="inlineStr">
        <is>
          <t>Market</t>
        </is>
      </c>
      <c r="C20" s="46" t="inlineStr">
        <is>
          <t>&lt;15% R</t>
        </is>
      </c>
      <c r="D20" s="15">
        <f>IF(OR(D6="",D6="n/a",D6="N/A"),"",IF(AND($Q20&lt;&gt;"",D6&lt;=$Q20),"R",IF(AND($P20&lt;&gt;"",D6&lt;=$P20),"A",IF(AND($O20&lt;&gt;"",D6&lt;=$O20),"AG","G"))))</f>
        <v/>
      </c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O20" s="51" t="n">
        <v>0.2</v>
      </c>
      <c r="P20" s="51" t="n">
        <v>0.18</v>
      </c>
      <c r="Q20" s="51" t="n">
        <v>0.15</v>
      </c>
    </row>
    <row r="21" ht="16" customHeight="1">
      <c r="A21" s="14" t="inlineStr">
        <is>
          <t>Investment concentration</t>
        </is>
      </c>
      <c r="B21" s="16" t="inlineStr">
        <is>
          <t>Market</t>
        </is>
      </c>
      <c r="C21" s="46" t="inlineStr">
        <is>
          <t>&gt;20% R</t>
        </is>
      </c>
      <c r="D21" s="15">
        <f>IF(OR(D7="",D7="n/a",D7="N/A"),"",IF(AND($Q21&lt;&gt;"",D7&gt;=$Q21),"R",IF(AND($P21&lt;&gt;"",D7&gt;=$P21),"A",IF(AND($O21&lt;&gt;"",D7&gt;=$O21),"AG","G"))))</f>
        <v/>
      </c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O21" s="51" t="n">
        <v>0.15</v>
      </c>
      <c r="P21" s="51" t="n">
        <v>0.17</v>
      </c>
      <c r="Q21" s="51" t="n">
        <v>0.2</v>
      </c>
    </row>
    <row r="22" ht="16" customHeight="1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O22" s="48" t="n"/>
      <c r="P22" s="48" t="n"/>
      <c r="Q22" s="48" t="n"/>
    </row>
    <row r="23" ht="16" customHeight="1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O23" s="48" t="n"/>
      <c r="P23" s="48" t="n"/>
      <c r="Q23" s="48" t="n"/>
    </row>
    <row r="24" ht="16" customHeight="1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O24" s="48" t="n"/>
      <c r="P24" s="48" t="n"/>
      <c r="Q24" s="48" t="n"/>
    </row>
    <row r="25" ht="16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O25" s="48" t="n"/>
      <c r="P25" s="48" t="n"/>
      <c r="Q25" s="48" t="n"/>
    </row>
    <row r="26" ht="16" customHeight="1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O26" s="48" t="n"/>
      <c r="P26" s="48" t="n"/>
      <c r="Q26" s="48" t="n"/>
    </row>
    <row r="27" ht="16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O27" s="48" t="n"/>
      <c r="P27" s="48" t="n"/>
      <c r="Q27" s="48" t="n"/>
    </row>
    <row r="28" ht="16" customHeight="1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O28" s="48" t="n"/>
      <c r="P28" s="48" t="n"/>
      <c r="Q28" s="48" t="n"/>
    </row>
    <row r="29" ht="1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O29" s="48" t="n"/>
      <c r="P29" s="48" t="n"/>
      <c r="Q29" s="48" t="n"/>
    </row>
    <row r="31">
      <c r="A31" s="33" t="inlineStr">
        <is>
          <t>RAG SUMMARY (auto — feeds Dashboard)</t>
        </is>
      </c>
      <c r="B31" s="12" t="inlineStr">
        <is>
          <t>G</t>
        </is>
      </c>
      <c r="C31" s="12" t="inlineStr">
        <is>
          <t>AG</t>
        </is>
      </c>
      <c r="D31" s="12" t="inlineStr">
        <is>
          <t>A</t>
        </is>
      </c>
      <c r="E31" s="12" t="inlineStr">
        <is>
          <t>R</t>
        </is>
      </c>
    </row>
    <row r="32" ht="15" customHeight="1">
      <c r="A32" s="54" t="inlineStr">
        <is>
          <t>Market</t>
        </is>
      </c>
      <c r="B32" s="22">
        <f>SUMPRODUCT(($B$20:$B$29="Market")*($D$20:$M$29="G"))</f>
        <v/>
      </c>
      <c r="C32" s="24">
        <f>SUMPRODUCT(($B$20:$B$29="Market")*($D$20:$M$29="AG"))</f>
        <v/>
      </c>
      <c r="D32" s="25">
        <f>SUMPRODUCT(($B$20:$B$29="Market")*($D$20:$M$29="A"))</f>
        <v/>
      </c>
      <c r="E32" s="26">
        <f>SUMPRODUCT(($B$20:$B$29="Market")*($D$20:$M$29="R"))</f>
        <v/>
      </c>
    </row>
    <row r="33" ht="15" customHeight="1">
      <c r="A33" s="54" t="inlineStr">
        <is>
          <t>Liquidity</t>
        </is>
      </c>
      <c r="B33" s="22">
        <f>SUMPRODUCT(($B$20:$B$29="Liquidity")*($D$20:$M$29="G"))</f>
        <v/>
      </c>
      <c r="C33" s="24">
        <f>SUMPRODUCT(($B$20:$B$29="Liquidity")*($D$20:$M$29="AG"))</f>
        <v/>
      </c>
      <c r="D33" s="25">
        <f>SUMPRODUCT(($B$20:$B$29="Liquidity")*($D$20:$M$29="A"))</f>
        <v/>
      </c>
      <c r="E33" s="26">
        <f>SUMPRODUCT(($B$20:$B$29="Liquidity")*($D$20:$M$29="R"))</f>
        <v/>
      </c>
    </row>
    <row r="34" ht="15" customHeight="1">
      <c r="A34" s="54" t="inlineStr">
        <is>
          <t>Sustainability</t>
        </is>
      </c>
      <c r="B34" s="22">
        <f>SUMPRODUCT(($B$20:$B$29="Sustainability")*($D$20:$M$29="G"))</f>
        <v/>
      </c>
      <c r="C34" s="24">
        <f>SUMPRODUCT(($B$20:$B$29="Sustainability")*($D$20:$M$29="AG"))</f>
        <v/>
      </c>
      <c r="D34" s="25">
        <f>SUMPRODUCT(($B$20:$B$29="Sustainability")*($D$20:$M$29="A"))</f>
        <v/>
      </c>
      <c r="E34" s="26">
        <f>SUMPRODUCT(($B$20:$B$29="Sustainability")*($D$20:$M$29="R"))</f>
        <v/>
      </c>
    </row>
  </sheetData>
  <mergeCells count="3">
    <mergeCell ref="A3:M3"/>
    <mergeCell ref="A1:M1"/>
    <mergeCell ref="A17:M17"/>
  </mergeCells>
  <conditionalFormatting sqref="D20:M29">
    <cfRule type="cellIs" priority="1" operator="equal" dxfId="3" stopIfTrue="1">
      <formula>"G"</formula>
    </cfRule>
    <cfRule type="cellIs" priority="2" operator="equal" dxfId="0" stopIfTrue="1">
      <formula>"AG"</formula>
    </cfRule>
    <cfRule type="cellIs" priority="3" operator="equal" dxfId="1" stopIfTrue="1">
      <formula>"A"</formula>
    </cfRule>
    <cfRule type="cellIs" priority="4" operator="equal" dxfId="2" stopIfTrue="1">
      <formula>"R"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2026-07-03T02:56:28Z</dcterms:created>
  <dcterms:modified xmlns:dcterms="http://purl.org/dc/terms/" xmlns:xsi="http://www.w3.org/2001/XMLSchema-instance" xsi:type="dcterms:W3CDTF">2026-07-03T02:56:28Z</dcterms:modified>
</cp:coreProperties>
</file>