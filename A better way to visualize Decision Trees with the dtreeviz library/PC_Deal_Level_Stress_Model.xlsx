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GICS_Shock_Input" sheetId="2" state="visible" r:id="rId2"/>
    <sheet xmlns:r="http://schemas.openxmlformats.org/officeDocument/2006/relationships" name="2_Deal_Tape" sheetId="3" state="visible" r:id="rId3"/>
    <sheet xmlns:r="http://schemas.openxmlformats.org/officeDocument/2006/relationships" name="3_Scenario_Engine" sheetId="4" state="visible" r:id="rId4"/>
    <sheet xmlns:r="http://schemas.openxmlformats.org/officeDocument/2006/relationships" name="4_Portfolio_Summary" sheetId="5" state="visible" r:id="rId5"/>
    <sheet xmlns:r="http://schemas.openxmlformats.org/officeDocument/2006/relationships" name="5_CreditBridge_ReadMe" sheetId="6" state="visible" r:id="rId6"/>
    <sheet xmlns:r="http://schemas.openxmlformats.org/officeDocument/2006/relationships" name="6_Credit_Bridge_Assumptions" sheetId="7" state="visible" r:id="rId7"/>
    <sheet xmlns:r="http://schemas.openxmlformats.org/officeDocument/2006/relationships" name="7_UK_Beta_Input" sheetId="8" state="visible" r:id="rId8"/>
    <sheet xmlns:r="http://schemas.openxmlformats.org/officeDocument/2006/relationships" name="8_UK_Spread_Input" sheetId="9" state="visible" r:id="rId9"/>
    <sheet xmlns:r="http://schemas.openxmlformats.org/officeDocument/2006/relationships" name="9_UK_Vol_Input" sheetId="10" state="visible" r:id="rId10"/>
    <sheet xmlns:r="http://schemas.openxmlformats.org/officeDocument/2006/relationships" name="10_GICS_Asset_Vol" sheetId="11" state="visible" r:id="rId11"/>
    <sheet xmlns:r="http://schemas.openxmlformats.org/officeDocument/2006/relationships" name="11_Credit_Risk_Engine" sheetId="12" state="visible" r:id="rId12"/>
    <sheet xmlns:r="http://schemas.openxmlformats.org/officeDocument/2006/relationships" name="12_TopDown_Spread_Engine" sheetId="13" state="visible" r:id="rId13"/>
    <sheet xmlns:r="http://schemas.openxmlformats.org/officeDocument/2006/relationships" name="13_Reconcili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0&quot;x&quot;"/>
    <numFmt numFmtId="167" formatCode="0.0"/>
    <numFmt numFmtId="168" formatCode="0.0&quot;x&quot;"/>
  </numFmts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1"/>
    </font>
    <font>
      <sz val="10"/>
    </font>
    <font>
      <b val="1"/>
      <color rgb="001F4E79"/>
      <sz val="11"/>
    </font>
    <font>
      <b val="1"/>
      <color rgb="00FFFFFF"/>
    </font>
    <font>
      <b val="1"/>
      <color rgb="001F4E79"/>
    </font>
    <font>
      <b val="1"/>
    </font>
    <font>
      <b val="1"/>
      <color rgb="00C00000"/>
    </font>
    <font>
      <b val="1"/>
      <color rgb="001F4E79"/>
      <sz val="10.5"/>
    </font>
    <font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1" fontId="0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10" fontId="0" fillId="4" borderId="1" pivotButton="0" quotePrefix="0" xfId="0"/>
    <xf numFmtId="1" fontId="0" fillId="4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165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166" fontId="0" fillId="4" borderId="1" pivotButton="0" quotePrefix="0" xfId="0"/>
    <xf numFmtId="164" fontId="0" fillId="4" borderId="1" pivotButton="0" quotePrefix="0" xfId="0"/>
    <xf numFmtId="0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1" fontId="0" fillId="5" borderId="1" pivotButton="0" quotePrefix="0" xfId="0"/>
    <xf numFmtId="165" fontId="0" fillId="5" borderId="1" pivotButton="0" quotePrefix="0" xfId="0"/>
    <xf numFmtId="166" fontId="0" fillId="5" borderId="1" pivotButton="0" quotePrefix="0" xfId="0"/>
    <xf numFmtId="167" fontId="0" fillId="5" borderId="1" pivotButton="0" quotePrefix="0" xfId="0"/>
    <xf numFmtId="10" fontId="0" fillId="5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7" fillId="0" borderId="1" pivotButton="0" quotePrefix="0" xfId="0"/>
    <xf numFmtId="0" fontId="10" fillId="0" borderId="0" pivotButton="0" quotePrefix="0" xfId="0"/>
    <xf numFmtId="0" fontId="10" fillId="0" borderId="1" pivotButton="0" quotePrefix="0" xfId="0"/>
    <xf numFmtId="9" fontId="0" fillId="4" borderId="1" pivotButton="0" quotePrefix="0" xfId="0"/>
    <xf numFmtId="168" fontId="0" fillId="4" borderId="1" pivotButton="0" quotePrefix="0" xfId="0"/>
    <xf numFmtId="10" fontId="0" fillId="6" borderId="1" pivotButton="0" quotePrefix="0" xfId="0"/>
    <xf numFmtId="2" fontId="0" fillId="7" borderId="1" pivotButton="0" quotePrefix="0" xfId="0"/>
    <xf numFmtId="1" fontId="0" fillId="7" borderId="1" pivotButton="0" quotePrefix="0" xfId="0"/>
    <xf numFmtId="164" fontId="0" fillId="7" borderId="1" pivotButton="0" quotePrefix="0" xfId="0"/>
    <xf numFmtId="164" fontId="0" fillId="6" borderId="1" pivotButton="0" quotePrefix="0" xfId="0"/>
    <xf numFmtId="2" fontId="0" fillId="6" borderId="1" pivotButton="0" quotePrefix="0" xfId="0"/>
    <xf numFmtId="2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showGridLines="0" workbookViewId="0">
      <selection activeCell="A1" sqref="A1"/>
    </sheetView>
  </sheetViews>
  <sheetFormatPr baseColWidth="8" defaultRowHeight="15" outlineLevelCol="0"/>
  <cols>
    <col width="112" customWidth="1" min="1" max="1"/>
  </cols>
  <sheetData>
    <row r="1">
      <c r="A1" s="1" t="inlineStr">
        <is>
          <t>PC STRESS FRAMEWORK — BOTTOM-UP DEAL-LEVEL SCENARIO MODEL</t>
        </is>
      </c>
    </row>
    <row r="2">
      <c r="A2" s="2" t="inlineStr">
        <is>
          <t>30 fictional sponsor-backed direct-lending deals, GICS-tagged, run through Engine B (bottom-up fundamental) of PC_Stress_Framework.html</t>
        </is>
      </c>
    </row>
    <row r="4">
      <c r="A4" s="3" t="inlineStr"/>
    </row>
    <row r="5">
      <c r="A5" s="4" t="inlineStr">
        <is>
          <t>SCOPE</t>
        </is>
      </c>
    </row>
    <row r="6">
      <c r="A6" s="3" t="inlineStr">
        <is>
          <t>This is the bottom-up, deal-level half of the internal PC Stress Framework only (Engine B: revenue -&gt; EBITDA -&gt;</t>
        </is>
      </c>
    </row>
    <row r="7">
      <c r="A7" s="3" t="inlineStr">
        <is>
          <t>coverage -&gt; LTV, Section 5 of PC_Stress_Framework.html). It does not include Engine A (market/APT marks), Engine C</t>
        </is>
      </c>
    </row>
    <row r="8">
      <c r="A8" s="3" t="inlineStr">
        <is>
          <t>(Vasicek/Monte Carlo loss distribution) or Lens D (fund-level liquidity) -- those operate at portfolio level and are</t>
        </is>
      </c>
    </row>
    <row r="9">
      <c r="A9" s="3" t="inlineStr">
        <is>
          <t>out of scope for a deal-by-deal build. All company names, sponsors and financials are fictional but internally</t>
        </is>
      </c>
    </row>
    <row r="10">
      <c r="A10" s="3" t="inlineStr">
        <is>
          <t>consistent (see 2_Deal_Tape for the construction).</t>
        </is>
      </c>
    </row>
    <row r="11">
      <c r="A11" s="3" t="inlineStr"/>
    </row>
    <row r="12">
      <c r="A12" s="4" t="inlineStr">
        <is>
          <t>THE FORMULA CHAIN (identical to the Northwind worked example, PC_Stress_Framework.html Section 5)</t>
        </is>
      </c>
    </row>
    <row r="13">
      <c r="A13" s="3" t="inlineStr">
        <is>
          <t>[B1] EBITDA after operating leverage:      E_s = E0 x (1 + Rev_shock% x OperatingLeverage)</t>
        </is>
      </c>
    </row>
    <row r="14">
      <c r="A14" s="3" t="inlineStr">
        <is>
          <t>[B3] Cash interest, on gross drawn debt:   Int_s = NetDebt x (StressedRefRate% + CouponMargin%)</t>
        </is>
      </c>
    </row>
    <row r="15">
      <c r="A15" s="3" t="inlineStr">
        <is>
          <t>[B4] Leverage test:                        Lev_s = NetDebt / E_s                      vs Leverage Covenant</t>
        </is>
      </c>
    </row>
    <row r="16">
      <c r="A16" s="3" t="inlineStr">
        <is>
          <t>[B4] Fixed charge cover ("Cashflow Cover"): FCCR_s = (E_s - Capex - CashTax) / (Int_s + ScheduledAmort)  vs FCCR Covenant</t>
        </is>
      </c>
    </row>
    <row r="17">
      <c r="A17" s="3" t="inlineStr">
        <is>
          <t>[B5] Enterprise value and moneyness:       EV_s = E_s x (CurrentMult x (1 + Mult_shock%));  LTV_s = NetDebt / EV_s</t>
        </is>
      </c>
    </row>
    <row r="18">
      <c r="A18" s="3" t="inlineStr"/>
    </row>
    <row r="19">
      <c r="A19" s="4" t="inlineStr">
        <is>
          <t>"FLATLINE" — WHAT IT MEANS HERE (the framework's Section 8 / C5 "distance-to-covenant" concept)</t>
        </is>
      </c>
    </row>
    <row r="20">
      <c r="A20" s="3" t="inlineStr">
        <is>
          <t>Flatline answers: starting from the STRESSED (post-scenario) EBITDA, holding debt, rate and multiple exactly where</t>
        </is>
      </c>
    </row>
    <row r="21">
      <c r="A21" s="3" t="inlineStr">
        <is>
          <t>the scenario leaves them, how much FURTHER could EBITDA fall -- flatline from here, no further growth assumed --</t>
        </is>
      </c>
    </row>
    <row r="22">
      <c r="A22" s="3" t="inlineStr">
        <is>
          <t>before this specific covenant is breached? It is solved directly from each covenant's own algebra:</t>
        </is>
      </c>
    </row>
    <row r="23">
      <c r="A23" s="3" t="inlineStr">
        <is>
          <t xml:space="preserve">  Leverage E* (breakeven EBITDA) = NetDebt / LeverageCovenant.   Leverage Flatline = (E_s - E*) / E_s</t>
        </is>
      </c>
    </row>
    <row r="24">
      <c r="A24" s="3" t="inlineStr">
        <is>
          <t xml:space="preserve">  FCCR E* (breakeven EBITDA) = FCCRCovenant x (Int_s + Amort) + Capex_s + CashTax_s.   FCCR Flatline = (E_s - E*) / E_s</t>
        </is>
      </c>
    </row>
    <row r="25">
      <c r="A25" s="3" t="inlineStr">
        <is>
          <t xml:space="preserve">  Both Flatline figures are read as: this fraction of the STRESSED EBITDA could still be lost before that specific</t>
        </is>
      </c>
    </row>
    <row r="26">
      <c r="A26" s="3" t="inlineStr">
        <is>
          <t xml:space="preserve">  covenant breaches. Capex_s and CashTax_s are held fixed in dollars at their stressed-scenario level while solving.</t>
        </is>
      </c>
    </row>
    <row r="27">
      <c r="A27" s="3" t="inlineStr">
        <is>
          <t>A negative Flatline means the covenant is ALREADY breached at the stressed level -- the number shows by how much.</t>
        </is>
      </c>
    </row>
    <row r="28">
      <c r="A28" s="3" t="inlineStr"/>
    </row>
    <row r="29">
      <c r="A29" s="4" t="inlineStr">
        <is>
          <t>FRAMEWORK-REQUIRED ASSUMPTIONS NOT ON YOUR ORIGINAL FIELD LIST</t>
        </is>
      </c>
    </row>
    <row r="30">
      <c r="A30" s="3" t="inlineStr">
        <is>
          <t>The B1-B5 chain needs a few more inputs than the field list specified. Added, clearly flagged blue on 2_Deal_Tape,</t>
        </is>
      </c>
    </row>
    <row r="31">
      <c r="A31" s="3" t="inlineStr">
        <is>
          <t>with illustrative defaults you should override: Operating Leverage (B1), Leverage Covenant and FCCR Covenant</t>
        </is>
      </c>
    </row>
    <row r="32">
      <c r="A32" s="3" t="inlineStr">
        <is>
          <t>thresholds, Capex % of revenue and Cash Tax % of EBITDA, and Scheduled Amortisation % of debt.</t>
        </is>
      </c>
    </row>
    <row r="33">
      <c r="A33" s="3" t="inlineStr"/>
    </row>
    <row r="34">
      <c r="A34" s="4" t="inlineStr">
        <is>
          <t>SHEET GUIDE</t>
        </is>
      </c>
    </row>
    <row r="35">
      <c r="A35" s="3" t="inlineStr">
        <is>
          <t>1_GICS_Shock_Input       163 GICS sub-industries, 4 shock columns, 2 global rate assumptions. Values only.</t>
        </is>
      </c>
    </row>
    <row r="36">
      <c r="A36" s="3" t="inlineStr">
        <is>
          <t>2_Deal_Tape              30 deals: your requested fields + framework-required assumptions. Values only.</t>
        </is>
      </c>
    </row>
    <row r="37">
      <c r="A37" s="3" t="inlineStr">
        <is>
          <t>3_Scenario_Engine        30 rows x ~35 output columns: GICS shock lookup through to covenant headroom/Flatline.</t>
        </is>
      </c>
    </row>
    <row r="38">
      <c r="A38" s="3" t="inlineStr">
        <is>
          <t>4_Portfolio_Summary      Roll-up: weighted leverage/LTV, breach counts, total invested vs total stressed MTM.</t>
        </is>
      </c>
    </row>
    <row r="39">
      <c r="A39" s="3" t="inlineStr">
        <is>
          <t>5_CreditBridge_ReadMe    Methodology for the Credit Risk Bridge (sheets 6-12) — Merton PD/LGD/EL, spread bridge.</t>
        </is>
      </c>
    </row>
    <row r="40">
      <c r="A40" s="3" t="inlineStr">
        <is>
          <t>6_Credit_Bridge_Assumptions   Merton/LGD/rating-grid/risk-premium/UK-market-vol parameters. Values only.</t>
        </is>
      </c>
    </row>
    <row r="41">
      <c r="A41" s="3" t="inlineStr">
        <is>
          <t>7_UK_Beta_Input          PASTE ZONE: dummy unlevered beta, all 4 GICS levels — replace with real UK data.</t>
        </is>
      </c>
    </row>
    <row r="42">
      <c r="A42" s="3" t="inlineStr">
        <is>
          <t>8_UK_Spread_Input        PASTE ZONE: dummy issuer default-risk spread (bps), all 4 GICS levels — replace.</t>
        </is>
      </c>
    </row>
    <row r="43">
      <c r="A43" s="3" t="inlineStr">
        <is>
          <t>9_GICS_Asset_Vol         Asset Vol = sub-industry's own beta (with fallback) x UK market vol. Live formulas.</t>
        </is>
      </c>
    </row>
    <row r="44">
      <c r="A44" s="3" t="inlineStr">
        <is>
          <t>10_Credit_Risk_Engine    30 deals: bottom-up Merton DD/PD, LGD, EL (baseline &amp; stressed).</t>
        </is>
      </c>
    </row>
    <row r="45">
      <c r="A45" s="3" t="inlineStr">
        <is>
          <t>11_TopDown_Spread_Engine 30 deals: EL-implied spread, exogenous spread, AND spread-cascade-adjusted spread.</t>
        </is>
      </c>
    </row>
    <row r="46">
      <c r="A46" s="3" t="inlineStr">
        <is>
          <t>12_Reconciliation        Portfolio roll-up: 4 methods side by side, sensitivity, rating cross-check.</t>
        </is>
      </c>
    </row>
    <row r="47">
      <c r="A47" s="3" t="inlineStr"/>
    </row>
    <row r="48">
      <c r="A48" s="4" t="inlineStr">
        <is>
          <t>SOURCES</t>
        </is>
      </c>
    </row>
    <row r="49">
      <c r="A49" s="3" t="inlineStr">
        <is>
          <t>Formula chain: PC_Stress_Framework.html / .pdf, Section 5 (Northwind Business Services worked example) and</t>
        </is>
      </c>
    </row>
    <row r="50">
      <c r="A50" s="3" t="inlineStr">
        <is>
          <t>Section 8 (distance-to-covenant). GICS structure: MSCI/S&amp;P Global Industry Classification Standard, 163 sub-</t>
        </is>
      </c>
    </row>
    <row r="51">
      <c r="A51" s="3" t="inlineStr">
        <is>
          <t>industries. All deal financials, sponsors and descriptions are fictional and internally consistent, not real names.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34" customWidth="1" min="2" max="2"/>
    <col width="26" customWidth="1" min="3" max="3"/>
    <col width="16" customWidth="1" min="4" max="4"/>
    <col width="15" customWidth="1" min="5" max="5"/>
    <col width="18" customWidth="1" min="6" max="6"/>
    <col width="16" customWidth="1" min="7" max="7"/>
    <col width="20" customWidth="1" min="8" max="8"/>
  </cols>
  <sheetData>
    <row r="1" ht="52" customHeight="1">
      <c r="A1" t="inlineStr">
        <is>
          <t>PASTE ZONE / VALUES ONLY. GICS Sub-Industry level, all 163 official categories. Revenue Shock and EV/EBITDA Multiple Shock are the systematic scenario; Emerging Risk Revenue Overlay is an ADDITIVE second revenue shock for a thematic/idiosyncratic risk (e.g. AI displacement) layered on top, per PC_Stress_Framework.html Section 14. Spread Widening feeds the mark-to-market column via each deal's own spread duration. The 30 rows the deals actually use are pre-filled with an illustrative moderate-recession scenario — overwrite freely; the other 133 default to 0%.</t>
        </is>
      </c>
    </row>
    <row r="3" ht="30" customHeight="1">
      <c r="A3" s="5" t="inlineStr">
        <is>
          <t>Sub-Ind Code</t>
        </is>
      </c>
      <c r="B3" s="5" t="inlineStr">
        <is>
          <t>Sub-Industry</t>
        </is>
      </c>
      <c r="C3" s="5" t="inlineStr">
        <is>
          <t>Industry</t>
        </is>
      </c>
      <c r="D3" s="5" t="inlineStr">
        <is>
          <t>Sector</t>
        </is>
      </c>
      <c r="E3" s="5" t="inlineStr">
        <is>
          <t>Revenue
Shock %</t>
        </is>
      </c>
      <c r="F3" s="5" t="inlineStr">
        <is>
          <t>EV/EBITDA Multiple
Shock %</t>
        </is>
      </c>
      <c r="G3" s="5" t="inlineStr">
        <is>
          <t>Spread Widening
(bps)</t>
        </is>
      </c>
      <c r="H3" s="5" t="inlineStr">
        <is>
          <t>Emerging Risk Revenue
Overlay %</t>
        </is>
      </c>
    </row>
    <row r="4">
      <c r="A4" s="6" t="n">
        <v>10101010</v>
      </c>
      <c r="B4" s="6" t="inlineStr">
        <is>
          <t>Oil &amp; Gas Drilling</t>
        </is>
      </c>
      <c r="C4" s="6" t="inlineStr">
        <is>
          <t>Energy Equipment &amp; Services</t>
        </is>
      </c>
      <c r="D4" s="6" t="inlineStr">
        <is>
          <t>Energy</t>
        </is>
      </c>
      <c r="E4" s="7" t="n">
        <v>0</v>
      </c>
      <c r="F4" s="7" t="n">
        <v>0</v>
      </c>
      <c r="G4" s="8" t="n">
        <v>0</v>
      </c>
      <c r="H4" s="7" t="n">
        <v>0</v>
      </c>
    </row>
    <row r="5">
      <c r="A5" s="6" t="n">
        <v>10101020</v>
      </c>
      <c r="B5" s="6" t="inlineStr">
        <is>
          <t>Oil &amp; Gas Equipment &amp; Services</t>
        </is>
      </c>
      <c r="C5" s="6" t="inlineStr">
        <is>
          <t>Energy Equipment &amp; Services</t>
        </is>
      </c>
      <c r="D5" s="6" t="inlineStr">
        <is>
          <t>Energy</t>
        </is>
      </c>
      <c r="E5" s="7" t="n">
        <v>0</v>
      </c>
      <c r="F5" s="7" t="n">
        <v>0</v>
      </c>
      <c r="G5" s="8" t="n">
        <v>0</v>
      </c>
      <c r="H5" s="7" t="n">
        <v>0</v>
      </c>
    </row>
    <row r="6">
      <c r="A6" s="6" t="n">
        <v>10102010</v>
      </c>
      <c r="B6" s="6" t="inlineStr">
        <is>
          <t>Integrated Oil &amp; Gas</t>
        </is>
      </c>
      <c r="C6" s="6" t="inlineStr">
        <is>
          <t>Oil, Gas &amp; Consumable Fuels</t>
        </is>
      </c>
      <c r="D6" s="6" t="inlineStr">
        <is>
          <t>Energy</t>
        </is>
      </c>
      <c r="E6" s="7" t="n">
        <v>0</v>
      </c>
      <c r="F6" s="7" t="n">
        <v>0</v>
      </c>
      <c r="G6" s="8" t="n">
        <v>0</v>
      </c>
      <c r="H6" s="7" t="n">
        <v>0</v>
      </c>
    </row>
    <row r="7">
      <c r="A7" s="6" t="n">
        <v>10102020</v>
      </c>
      <c r="B7" s="6" t="inlineStr">
        <is>
          <t>Oil &amp; Gas Exploration &amp; Production</t>
        </is>
      </c>
      <c r="C7" s="6" t="inlineStr">
        <is>
          <t>Oil, Gas &amp; Consumable Fuels</t>
        </is>
      </c>
      <c r="D7" s="6" t="inlineStr">
        <is>
          <t>Energy</t>
        </is>
      </c>
      <c r="E7" s="7" t="n">
        <v>0</v>
      </c>
      <c r="F7" s="7" t="n">
        <v>0</v>
      </c>
      <c r="G7" s="8" t="n">
        <v>0</v>
      </c>
      <c r="H7" s="7" t="n">
        <v>0</v>
      </c>
    </row>
    <row r="8">
      <c r="A8" s="6" t="n">
        <v>10102030</v>
      </c>
      <c r="B8" s="6" t="inlineStr">
        <is>
          <t>Oil &amp; Gas Refining &amp; Marketing</t>
        </is>
      </c>
      <c r="C8" s="6" t="inlineStr">
        <is>
          <t>Oil, Gas &amp; Consumable Fuels</t>
        </is>
      </c>
      <c r="D8" s="6" t="inlineStr">
        <is>
          <t>Energy</t>
        </is>
      </c>
      <c r="E8" s="7" t="n">
        <v>0</v>
      </c>
      <c r="F8" s="7" t="n">
        <v>0</v>
      </c>
      <c r="G8" s="8" t="n">
        <v>0</v>
      </c>
      <c r="H8" s="7" t="n">
        <v>0</v>
      </c>
    </row>
    <row r="9">
      <c r="A9" s="6" t="n">
        <v>10102040</v>
      </c>
      <c r="B9" s="6" t="inlineStr">
        <is>
          <t>Oil &amp; Gas Storage &amp; Transportation</t>
        </is>
      </c>
      <c r="C9" s="6" t="inlineStr">
        <is>
          <t>Oil, Gas &amp; Consumable Fuels</t>
        </is>
      </c>
      <c r="D9" s="6" t="inlineStr">
        <is>
          <t>Energy</t>
        </is>
      </c>
      <c r="E9" s="7" t="n">
        <v>0</v>
      </c>
      <c r="F9" s="7" t="n">
        <v>0</v>
      </c>
      <c r="G9" s="8" t="n">
        <v>0</v>
      </c>
      <c r="H9" s="7" t="n">
        <v>0</v>
      </c>
    </row>
    <row r="10">
      <c r="A10" s="6" t="n">
        <v>10102050</v>
      </c>
      <c r="B10" s="6" t="inlineStr">
        <is>
          <t>Coal &amp; Consumable Fuels</t>
        </is>
      </c>
      <c r="C10" s="6" t="inlineStr">
        <is>
          <t>Oil, Gas &amp; Consumable Fuels</t>
        </is>
      </c>
      <c r="D10" s="6" t="inlineStr">
        <is>
          <t>Energy</t>
        </is>
      </c>
      <c r="E10" s="7" t="n">
        <v>0</v>
      </c>
      <c r="F10" s="7" t="n">
        <v>0</v>
      </c>
      <c r="G10" s="8" t="n">
        <v>0</v>
      </c>
      <c r="H10" s="7" t="n">
        <v>0</v>
      </c>
    </row>
    <row r="11">
      <c r="A11" s="6" t="n">
        <v>15101010</v>
      </c>
      <c r="B11" s="6" t="inlineStr">
        <is>
          <t>Commodity Chemicals</t>
        </is>
      </c>
      <c r="C11" s="6" t="inlineStr">
        <is>
          <t>Chemicals</t>
        </is>
      </c>
      <c r="D11" s="6" t="inlineStr">
        <is>
          <t>Materials</t>
        </is>
      </c>
      <c r="E11" s="7" t="n">
        <v>0</v>
      </c>
      <c r="F11" s="7" t="n">
        <v>0</v>
      </c>
      <c r="G11" s="8" t="n">
        <v>0</v>
      </c>
      <c r="H11" s="7" t="n">
        <v>0</v>
      </c>
    </row>
    <row r="12">
      <c r="A12" s="6" t="n">
        <v>15101020</v>
      </c>
      <c r="B12" s="6" t="inlineStr">
        <is>
          <t>Diversified Chemicals</t>
        </is>
      </c>
      <c r="C12" s="6" t="inlineStr">
        <is>
          <t>Chemicals</t>
        </is>
      </c>
      <c r="D12" s="6" t="inlineStr">
        <is>
          <t>Materials</t>
        </is>
      </c>
      <c r="E12" s="7" t="n">
        <v>0</v>
      </c>
      <c r="F12" s="7" t="n">
        <v>0</v>
      </c>
      <c r="G12" s="8" t="n">
        <v>0</v>
      </c>
      <c r="H12" s="7" t="n">
        <v>0</v>
      </c>
    </row>
    <row r="13">
      <c r="A13" s="6" t="n">
        <v>15101030</v>
      </c>
      <c r="B13" s="6" t="inlineStr">
        <is>
          <t>Fertilizers &amp; Agricultural Chemicals</t>
        </is>
      </c>
      <c r="C13" s="6" t="inlineStr">
        <is>
          <t>Chemicals</t>
        </is>
      </c>
      <c r="D13" s="6" t="inlineStr">
        <is>
          <t>Materials</t>
        </is>
      </c>
      <c r="E13" s="7" t="n">
        <v>0</v>
      </c>
      <c r="F13" s="7" t="n">
        <v>0</v>
      </c>
      <c r="G13" s="8" t="n">
        <v>0</v>
      </c>
      <c r="H13" s="7" t="n">
        <v>0</v>
      </c>
    </row>
    <row r="14">
      <c r="A14" s="6" t="n">
        <v>15101040</v>
      </c>
      <c r="B14" s="6" t="inlineStr">
        <is>
          <t>Industrial Gases</t>
        </is>
      </c>
      <c r="C14" s="6" t="inlineStr">
        <is>
          <t>Chemicals</t>
        </is>
      </c>
      <c r="D14" s="6" t="inlineStr">
        <is>
          <t>Materials</t>
        </is>
      </c>
      <c r="E14" s="7" t="n">
        <v>0</v>
      </c>
      <c r="F14" s="7" t="n">
        <v>0</v>
      </c>
      <c r="G14" s="8" t="n">
        <v>0</v>
      </c>
      <c r="H14" s="7" t="n">
        <v>0</v>
      </c>
    </row>
    <row r="15">
      <c r="A15" s="6" t="n">
        <v>15101050</v>
      </c>
      <c r="B15" s="6" t="inlineStr">
        <is>
          <t>Specialty Chemicals</t>
        </is>
      </c>
      <c r="C15" s="6" t="inlineStr">
        <is>
          <t>Chemicals</t>
        </is>
      </c>
      <c r="D15" s="6" t="inlineStr">
        <is>
          <t>Materials</t>
        </is>
      </c>
      <c r="E15" s="7" t="n">
        <v>-0.07000000000000001</v>
      </c>
      <c r="F15" s="7" t="n">
        <v>-0.16</v>
      </c>
      <c r="G15" s="8" t="n">
        <v>160</v>
      </c>
      <c r="H15" s="7" t="n">
        <v>0</v>
      </c>
    </row>
    <row r="16">
      <c r="A16" s="6" t="n">
        <v>15102010</v>
      </c>
      <c r="B16" s="6" t="inlineStr">
        <is>
          <t>Construction Materials</t>
        </is>
      </c>
      <c r="C16" s="6" t="inlineStr">
        <is>
          <t>Construction Materials</t>
        </is>
      </c>
      <c r="D16" s="6" t="inlineStr">
        <is>
          <t>Materials</t>
        </is>
      </c>
      <c r="E16" s="7" t="n">
        <v>0</v>
      </c>
      <c r="F16" s="7" t="n">
        <v>0</v>
      </c>
      <c r="G16" s="8" t="n">
        <v>0</v>
      </c>
      <c r="H16" s="7" t="n">
        <v>0</v>
      </c>
    </row>
    <row r="17">
      <c r="A17" s="6" t="n">
        <v>15103010</v>
      </c>
      <c r="B17" s="6" t="inlineStr">
        <is>
          <t>Metal, Glass &amp; Plastic Containers</t>
        </is>
      </c>
      <c r="C17" s="6" t="inlineStr">
        <is>
          <t>Containers &amp; Packaging</t>
        </is>
      </c>
      <c r="D17" s="6" t="inlineStr">
        <is>
          <t>Materials</t>
        </is>
      </c>
      <c r="E17" s="7" t="n">
        <v>0</v>
      </c>
      <c r="F17" s="7" t="n">
        <v>0</v>
      </c>
      <c r="G17" s="8" t="n">
        <v>0</v>
      </c>
      <c r="H17" s="7" t="n">
        <v>0</v>
      </c>
    </row>
    <row r="18">
      <c r="A18" s="6" t="n">
        <v>15103020</v>
      </c>
      <c r="B18" s="6" t="inlineStr">
        <is>
          <t>Paper &amp; Plastic Packaging Products &amp; Materials</t>
        </is>
      </c>
      <c r="C18" s="6" t="inlineStr">
        <is>
          <t>Containers &amp; Packaging</t>
        </is>
      </c>
      <c r="D18" s="6" t="inlineStr">
        <is>
          <t>Materials</t>
        </is>
      </c>
      <c r="E18" s="7" t="n">
        <v>0</v>
      </c>
      <c r="F18" s="7" t="n">
        <v>0</v>
      </c>
      <c r="G18" s="8" t="n">
        <v>0</v>
      </c>
      <c r="H18" s="7" t="n">
        <v>0</v>
      </c>
    </row>
    <row r="19">
      <c r="A19" s="6" t="n">
        <v>15104010</v>
      </c>
      <c r="B19" s="6" t="inlineStr">
        <is>
          <t>Aluminum</t>
        </is>
      </c>
      <c r="C19" s="6" t="inlineStr">
        <is>
          <t>Metals &amp; Mining</t>
        </is>
      </c>
      <c r="D19" s="6" t="inlineStr">
        <is>
          <t>Materials</t>
        </is>
      </c>
      <c r="E19" s="7" t="n">
        <v>0</v>
      </c>
      <c r="F19" s="7" t="n">
        <v>0</v>
      </c>
      <c r="G19" s="8" t="n">
        <v>0</v>
      </c>
      <c r="H19" s="7" t="n">
        <v>0</v>
      </c>
    </row>
    <row r="20">
      <c r="A20" s="6" t="n">
        <v>15104020</v>
      </c>
      <c r="B20" s="6" t="inlineStr">
        <is>
          <t>Diversified Metals &amp; Mining</t>
        </is>
      </c>
      <c r="C20" s="6" t="inlineStr">
        <is>
          <t>Metals &amp; Mining</t>
        </is>
      </c>
      <c r="D20" s="6" t="inlineStr">
        <is>
          <t>Materials</t>
        </is>
      </c>
      <c r="E20" s="7" t="n">
        <v>0</v>
      </c>
      <c r="F20" s="7" t="n">
        <v>0</v>
      </c>
      <c r="G20" s="8" t="n">
        <v>0</v>
      </c>
      <c r="H20" s="7" t="n">
        <v>0</v>
      </c>
    </row>
    <row r="21">
      <c r="A21" s="6" t="n">
        <v>15104025</v>
      </c>
      <c r="B21" s="6" t="inlineStr">
        <is>
          <t>Copper</t>
        </is>
      </c>
      <c r="C21" s="6" t="inlineStr">
        <is>
          <t>Metals &amp; Mining</t>
        </is>
      </c>
      <c r="D21" s="6" t="inlineStr">
        <is>
          <t>Materials</t>
        </is>
      </c>
      <c r="E21" s="7" t="n">
        <v>0</v>
      </c>
      <c r="F21" s="7" t="n">
        <v>0</v>
      </c>
      <c r="G21" s="8" t="n">
        <v>0</v>
      </c>
      <c r="H21" s="7" t="n">
        <v>0</v>
      </c>
    </row>
    <row r="22">
      <c r="A22" s="6" t="n">
        <v>15104030</v>
      </c>
      <c r="B22" s="6" t="inlineStr">
        <is>
          <t>Gold</t>
        </is>
      </c>
      <c r="C22" s="6" t="inlineStr">
        <is>
          <t>Metals &amp; Mining</t>
        </is>
      </c>
      <c r="D22" s="6" t="inlineStr">
        <is>
          <t>Materials</t>
        </is>
      </c>
      <c r="E22" s="7" t="n">
        <v>0</v>
      </c>
      <c r="F22" s="7" t="n">
        <v>0</v>
      </c>
      <c r="G22" s="8" t="n">
        <v>0</v>
      </c>
      <c r="H22" s="7" t="n">
        <v>0</v>
      </c>
    </row>
    <row r="23">
      <c r="A23" s="6" t="n">
        <v>15104040</v>
      </c>
      <c r="B23" s="6" t="inlineStr">
        <is>
          <t>Precious Metals &amp; Minerals</t>
        </is>
      </c>
      <c r="C23" s="6" t="inlineStr">
        <is>
          <t>Metals &amp; Mining</t>
        </is>
      </c>
      <c r="D23" s="6" t="inlineStr">
        <is>
          <t>Materials</t>
        </is>
      </c>
      <c r="E23" s="7" t="n">
        <v>0</v>
      </c>
      <c r="F23" s="7" t="n">
        <v>0</v>
      </c>
      <c r="G23" s="8" t="n">
        <v>0</v>
      </c>
      <c r="H23" s="7" t="n">
        <v>0</v>
      </c>
    </row>
    <row r="24">
      <c r="A24" s="6" t="n">
        <v>15104045</v>
      </c>
      <c r="B24" s="6" t="inlineStr">
        <is>
          <t>Silver</t>
        </is>
      </c>
      <c r="C24" s="6" t="inlineStr">
        <is>
          <t>Metals &amp; Mining</t>
        </is>
      </c>
      <c r="D24" s="6" t="inlineStr">
        <is>
          <t>Materials</t>
        </is>
      </c>
      <c r="E24" s="7" t="n">
        <v>0</v>
      </c>
      <c r="F24" s="7" t="n">
        <v>0</v>
      </c>
      <c r="G24" s="8" t="n">
        <v>0</v>
      </c>
      <c r="H24" s="7" t="n">
        <v>0</v>
      </c>
    </row>
    <row r="25">
      <c r="A25" s="6" t="n">
        <v>15104050</v>
      </c>
      <c r="B25" s="6" t="inlineStr">
        <is>
          <t>Steel</t>
        </is>
      </c>
      <c r="C25" s="6" t="inlineStr">
        <is>
          <t>Metals &amp; Mining</t>
        </is>
      </c>
      <c r="D25" s="6" t="inlineStr">
        <is>
          <t>Materials</t>
        </is>
      </c>
      <c r="E25" s="7" t="n">
        <v>0</v>
      </c>
      <c r="F25" s="7" t="n">
        <v>0</v>
      </c>
      <c r="G25" s="8" t="n">
        <v>0</v>
      </c>
      <c r="H25" s="7" t="n">
        <v>0</v>
      </c>
    </row>
    <row r="26">
      <c r="A26" s="6" t="n">
        <v>15105010</v>
      </c>
      <c r="B26" s="6" t="inlineStr">
        <is>
          <t>Forest Products</t>
        </is>
      </c>
      <c r="C26" s="6" t="inlineStr">
        <is>
          <t>Paper &amp; Forest Products</t>
        </is>
      </c>
      <c r="D26" s="6" t="inlineStr">
        <is>
          <t>Materials</t>
        </is>
      </c>
      <c r="E26" s="7" t="n">
        <v>0</v>
      </c>
      <c r="F26" s="7" t="n">
        <v>0</v>
      </c>
      <c r="G26" s="8" t="n">
        <v>0</v>
      </c>
      <c r="H26" s="7" t="n">
        <v>0</v>
      </c>
    </row>
    <row r="27">
      <c r="A27" s="6" t="n">
        <v>15105020</v>
      </c>
      <c r="B27" s="6" t="inlineStr">
        <is>
          <t>Paper Products</t>
        </is>
      </c>
      <c r="C27" s="6" t="inlineStr">
        <is>
          <t>Paper &amp; Forest Products</t>
        </is>
      </c>
      <c r="D27" s="6" t="inlineStr">
        <is>
          <t>Materials</t>
        </is>
      </c>
      <c r="E27" s="7" t="n">
        <v>0</v>
      </c>
      <c r="F27" s="7" t="n">
        <v>0</v>
      </c>
      <c r="G27" s="8" t="n">
        <v>0</v>
      </c>
      <c r="H27" s="7" t="n">
        <v>0</v>
      </c>
    </row>
    <row r="28">
      <c r="A28" s="6" t="n">
        <v>20101010</v>
      </c>
      <c r="B28" s="6" t="inlineStr">
        <is>
          <t>Aerospace &amp; Defense</t>
        </is>
      </c>
      <c r="C28" s="6" t="inlineStr">
        <is>
          <t>Aerospace &amp; Defense</t>
        </is>
      </c>
      <c r="D28" s="6" t="inlineStr">
        <is>
          <t>Industrials</t>
        </is>
      </c>
      <c r="E28" s="7" t="n">
        <v>0</v>
      </c>
      <c r="F28" s="7" t="n">
        <v>0</v>
      </c>
      <c r="G28" s="8" t="n">
        <v>0</v>
      </c>
      <c r="H28" s="7" t="n">
        <v>0</v>
      </c>
    </row>
    <row r="29">
      <c r="A29" s="6" t="n">
        <v>20102010</v>
      </c>
      <c r="B29" s="6" t="inlineStr">
        <is>
          <t>Building Products</t>
        </is>
      </c>
      <c r="C29" s="6" t="inlineStr">
        <is>
          <t>Building Products</t>
        </is>
      </c>
      <c r="D29" s="6" t="inlineStr">
        <is>
          <t>Industrials</t>
        </is>
      </c>
      <c r="E29" s="7" t="n">
        <v>-0.14</v>
      </c>
      <c r="F29" s="7" t="n">
        <v>-0.24</v>
      </c>
      <c r="G29" s="8" t="n">
        <v>230</v>
      </c>
      <c r="H29" s="7" t="n">
        <v>0</v>
      </c>
    </row>
    <row r="30">
      <c r="A30" s="6" t="n">
        <v>20103010</v>
      </c>
      <c r="B30" s="6" t="inlineStr">
        <is>
          <t>Construction &amp; Engineering</t>
        </is>
      </c>
      <c r="C30" s="6" t="inlineStr">
        <is>
          <t>Construction &amp; Engineering</t>
        </is>
      </c>
      <c r="D30" s="6" t="inlineStr">
        <is>
          <t>Industrials</t>
        </is>
      </c>
      <c r="E30" s="7" t="n">
        <v>0</v>
      </c>
      <c r="F30" s="7" t="n">
        <v>0</v>
      </c>
      <c r="G30" s="8" t="n">
        <v>0</v>
      </c>
      <c r="H30" s="7" t="n">
        <v>0</v>
      </c>
    </row>
    <row r="31">
      <c r="A31" s="6" t="n">
        <v>20104010</v>
      </c>
      <c r="B31" s="6" t="inlineStr">
        <is>
          <t>Electrical Components &amp; Equipment</t>
        </is>
      </c>
      <c r="C31" s="6" t="inlineStr">
        <is>
          <t>Electrical Equipment</t>
        </is>
      </c>
      <c r="D31" s="6" t="inlineStr">
        <is>
          <t>Industrials</t>
        </is>
      </c>
      <c r="E31" s="7" t="n">
        <v>0</v>
      </c>
      <c r="F31" s="7" t="n">
        <v>0</v>
      </c>
      <c r="G31" s="8" t="n">
        <v>0</v>
      </c>
      <c r="H31" s="7" t="n">
        <v>0</v>
      </c>
    </row>
    <row r="32">
      <c r="A32" s="6" t="n">
        <v>20104020</v>
      </c>
      <c r="B32" s="6" t="inlineStr">
        <is>
          <t>Heavy Electrical Equipment</t>
        </is>
      </c>
      <c r="C32" s="6" t="inlineStr">
        <is>
          <t>Electrical Equipment</t>
        </is>
      </c>
      <c r="D32" s="6" t="inlineStr">
        <is>
          <t>Industrials</t>
        </is>
      </c>
      <c r="E32" s="7" t="n">
        <v>0</v>
      </c>
      <c r="F32" s="7" t="n">
        <v>0</v>
      </c>
      <c r="G32" s="8" t="n">
        <v>0</v>
      </c>
      <c r="H32" s="7" t="n">
        <v>0</v>
      </c>
    </row>
    <row r="33">
      <c r="A33" s="6" t="n">
        <v>20105010</v>
      </c>
      <c r="B33" s="6" t="inlineStr">
        <is>
          <t>Industrial Conglomerates</t>
        </is>
      </c>
      <c r="C33" s="6" t="inlineStr">
        <is>
          <t>Industrial Conglomerates</t>
        </is>
      </c>
      <c r="D33" s="6" t="inlineStr">
        <is>
          <t>Industrials</t>
        </is>
      </c>
      <c r="E33" s="7" t="n">
        <v>0</v>
      </c>
      <c r="F33" s="7" t="n">
        <v>0</v>
      </c>
      <c r="G33" s="8" t="n">
        <v>0</v>
      </c>
      <c r="H33" s="7" t="n">
        <v>0</v>
      </c>
    </row>
    <row r="34">
      <c r="A34" s="6" t="n">
        <v>20106010</v>
      </c>
      <c r="B34" s="6" t="inlineStr">
        <is>
          <t>Construction Machinery &amp; Heavy Transportation Equipment</t>
        </is>
      </c>
      <c r="C34" s="6" t="inlineStr">
        <is>
          <t>Machinery</t>
        </is>
      </c>
      <c r="D34" s="6" t="inlineStr">
        <is>
          <t>Industrials</t>
        </is>
      </c>
      <c r="E34" s="7" t="n">
        <v>0</v>
      </c>
      <c r="F34" s="7" t="n">
        <v>0</v>
      </c>
      <c r="G34" s="8" t="n">
        <v>0</v>
      </c>
      <c r="H34" s="7" t="n">
        <v>0</v>
      </c>
    </row>
    <row r="35">
      <c r="A35" s="6" t="n">
        <v>20106015</v>
      </c>
      <c r="B35" s="6" t="inlineStr">
        <is>
          <t>Agricultural &amp; Farm Machinery</t>
        </is>
      </c>
      <c r="C35" s="6" t="inlineStr">
        <is>
          <t>Machinery</t>
        </is>
      </c>
      <c r="D35" s="6" t="inlineStr">
        <is>
          <t>Industrials</t>
        </is>
      </c>
      <c r="E35" s="7" t="n">
        <v>0</v>
      </c>
      <c r="F35" s="7" t="n">
        <v>0</v>
      </c>
      <c r="G35" s="8" t="n">
        <v>0</v>
      </c>
      <c r="H35" s="7" t="n">
        <v>0</v>
      </c>
    </row>
    <row r="36">
      <c r="A36" s="6" t="n">
        <v>20106020</v>
      </c>
      <c r="B36" s="6" t="inlineStr">
        <is>
          <t>Industrial Machinery &amp; Supplies &amp; Components</t>
        </is>
      </c>
      <c r="C36" s="6" t="inlineStr">
        <is>
          <t>Machinery</t>
        </is>
      </c>
      <c r="D36" s="6" t="inlineStr">
        <is>
          <t>Industrials</t>
        </is>
      </c>
      <c r="E36" s="7" t="n">
        <v>-0.09</v>
      </c>
      <c r="F36" s="7" t="n">
        <v>-0.2</v>
      </c>
      <c r="G36" s="8" t="n">
        <v>190</v>
      </c>
      <c r="H36" s="7" t="n">
        <v>0</v>
      </c>
    </row>
    <row r="37">
      <c r="A37" s="6" t="n">
        <v>20107010</v>
      </c>
      <c r="B37" s="6" t="inlineStr">
        <is>
          <t>Trading Companies &amp; Distributors</t>
        </is>
      </c>
      <c r="C37" s="6" t="inlineStr">
        <is>
          <t>Trading Companies &amp; Distributors</t>
        </is>
      </c>
      <c r="D37" s="6" t="inlineStr">
        <is>
          <t>Industrials</t>
        </is>
      </c>
      <c r="E37" s="7" t="n">
        <v>-0.06</v>
      </c>
      <c r="F37" s="7" t="n">
        <v>-0.16</v>
      </c>
      <c r="G37" s="8" t="n">
        <v>170</v>
      </c>
      <c r="H37" s="7" t="n">
        <v>0</v>
      </c>
    </row>
    <row r="38">
      <c r="A38" s="6" t="n">
        <v>20201010</v>
      </c>
      <c r="B38" s="6" t="inlineStr">
        <is>
          <t>Commercial Printing</t>
        </is>
      </c>
      <c r="C38" s="6" t="inlineStr">
        <is>
          <t>Commercial Services &amp; Supplies</t>
        </is>
      </c>
      <c r="D38" s="6" t="inlineStr">
        <is>
          <t>Industrials</t>
        </is>
      </c>
      <c r="E38" s="7" t="n">
        <v>0</v>
      </c>
      <c r="F38" s="7" t="n">
        <v>0</v>
      </c>
      <c r="G38" s="8" t="n">
        <v>0</v>
      </c>
      <c r="H38" s="7" t="n">
        <v>0</v>
      </c>
    </row>
    <row r="39">
      <c r="A39" s="6" t="n">
        <v>20201050</v>
      </c>
      <c r="B39" s="6" t="inlineStr">
        <is>
          <t>Environmental &amp; Facilities Services</t>
        </is>
      </c>
      <c r="C39" s="6" t="inlineStr">
        <is>
          <t>Commercial Services &amp; Supplies</t>
        </is>
      </c>
      <c r="D39" s="6" t="inlineStr">
        <is>
          <t>Industrials</t>
        </is>
      </c>
      <c r="E39" s="7" t="n">
        <v>-0.03</v>
      </c>
      <c r="F39" s="7" t="n">
        <v>-0.12</v>
      </c>
      <c r="G39" s="8" t="n">
        <v>130</v>
      </c>
      <c r="H39" s="7" t="n">
        <v>0</v>
      </c>
    </row>
    <row r="40">
      <c r="A40" s="6" t="n">
        <v>20201060</v>
      </c>
      <c r="B40" s="6" t="inlineStr">
        <is>
          <t>Office Services &amp; Supplies</t>
        </is>
      </c>
      <c r="C40" s="6" t="inlineStr">
        <is>
          <t>Commercial Services &amp; Supplies</t>
        </is>
      </c>
      <c r="D40" s="6" t="inlineStr">
        <is>
          <t>Industrials</t>
        </is>
      </c>
      <c r="E40" s="7" t="n">
        <v>0</v>
      </c>
      <c r="F40" s="7" t="n">
        <v>0</v>
      </c>
      <c r="G40" s="8" t="n">
        <v>0</v>
      </c>
      <c r="H40" s="7" t="n">
        <v>0</v>
      </c>
    </row>
    <row r="41">
      <c r="A41" s="6" t="n">
        <v>20201070</v>
      </c>
      <c r="B41" s="6" t="inlineStr">
        <is>
          <t>Diversified Support Services</t>
        </is>
      </c>
      <c r="C41" s="6" t="inlineStr">
        <is>
          <t>Commercial Services &amp; Supplies</t>
        </is>
      </c>
      <c r="D41" s="6" t="inlineStr">
        <is>
          <t>Industrials</t>
        </is>
      </c>
      <c r="E41" s="7" t="n">
        <v>-0.05</v>
      </c>
      <c r="F41" s="7" t="n">
        <v>-0.14</v>
      </c>
      <c r="G41" s="8" t="n">
        <v>150</v>
      </c>
      <c r="H41" s="7" t="n">
        <v>0</v>
      </c>
    </row>
    <row r="42">
      <c r="A42" s="6" t="n">
        <v>20201080</v>
      </c>
      <c r="B42" s="6" t="inlineStr">
        <is>
          <t>Security &amp; Alarm Services</t>
        </is>
      </c>
      <c r="C42" s="6" t="inlineStr">
        <is>
          <t>Commercial Services &amp; Supplies</t>
        </is>
      </c>
      <c r="D42" s="6" t="inlineStr">
        <is>
          <t>Industrials</t>
        </is>
      </c>
      <c r="E42" s="7" t="n">
        <v>-0.02</v>
      </c>
      <c r="F42" s="7" t="n">
        <v>-0.1</v>
      </c>
      <c r="G42" s="8" t="n">
        <v>110</v>
      </c>
      <c r="H42" s="7" t="n">
        <v>0</v>
      </c>
    </row>
    <row r="43">
      <c r="A43" s="6" t="n">
        <v>20202010</v>
      </c>
      <c r="B43" s="6" t="inlineStr">
        <is>
          <t>Human Resource &amp; Employment Services</t>
        </is>
      </c>
      <c r="C43" s="6" t="inlineStr">
        <is>
          <t>Professional Services</t>
        </is>
      </c>
      <c r="D43" s="6" t="inlineStr">
        <is>
          <t>Industrials</t>
        </is>
      </c>
      <c r="E43" s="7" t="n">
        <v>-0.15</v>
      </c>
      <c r="F43" s="7" t="n">
        <v>-0.22</v>
      </c>
      <c r="G43" s="8" t="n">
        <v>240</v>
      </c>
      <c r="H43" s="7" t="n">
        <v>-0.04</v>
      </c>
    </row>
    <row r="44">
      <c r="A44" s="6" t="n">
        <v>20202020</v>
      </c>
      <c r="B44" s="6" t="inlineStr">
        <is>
          <t>Research &amp; Consulting Services</t>
        </is>
      </c>
      <c r="C44" s="6" t="inlineStr">
        <is>
          <t>Professional Services</t>
        </is>
      </c>
      <c r="D44" s="6" t="inlineStr">
        <is>
          <t>Industrials</t>
        </is>
      </c>
      <c r="E44" s="7" t="n">
        <v>-0.08</v>
      </c>
      <c r="F44" s="7" t="n">
        <v>-0.16</v>
      </c>
      <c r="G44" s="8" t="n">
        <v>170</v>
      </c>
      <c r="H44" s="7" t="n">
        <v>0</v>
      </c>
    </row>
    <row r="45">
      <c r="A45" s="6" t="n">
        <v>20202030</v>
      </c>
      <c r="B45" s="6" t="inlineStr">
        <is>
          <t>Data Processing &amp; Outsourced Services</t>
        </is>
      </c>
      <c r="C45" s="6" t="inlineStr">
        <is>
          <t>Professional Services</t>
        </is>
      </c>
      <c r="D45" s="6" t="inlineStr">
        <is>
          <t>Industrials</t>
        </is>
      </c>
      <c r="E45" s="7" t="n">
        <v>-0.04</v>
      </c>
      <c r="F45" s="7" t="n">
        <v>-0.12</v>
      </c>
      <c r="G45" s="8" t="n">
        <v>130</v>
      </c>
      <c r="H45" s="7" t="n">
        <v>-0.03</v>
      </c>
    </row>
    <row r="46">
      <c r="A46" s="6" t="n">
        <v>20301010</v>
      </c>
      <c r="B46" s="6" t="inlineStr">
        <is>
          <t>Air Freight &amp; Logistics</t>
        </is>
      </c>
      <c r="C46" s="6" t="inlineStr">
        <is>
          <t>Air Freight &amp; Logistics</t>
        </is>
      </c>
      <c r="D46" s="6" t="inlineStr">
        <is>
          <t>Industrials</t>
        </is>
      </c>
      <c r="E46" s="7" t="n">
        <v>0</v>
      </c>
      <c r="F46" s="7" t="n">
        <v>0</v>
      </c>
      <c r="G46" s="8" t="n">
        <v>0</v>
      </c>
      <c r="H46" s="7" t="n">
        <v>0</v>
      </c>
    </row>
    <row r="47">
      <c r="A47" s="6" t="n">
        <v>20302010</v>
      </c>
      <c r="B47" s="6" t="inlineStr">
        <is>
          <t>Passenger Airlines</t>
        </is>
      </c>
      <c r="C47" s="6" t="inlineStr">
        <is>
          <t>Passenger Airlines</t>
        </is>
      </c>
      <c r="D47" s="6" t="inlineStr">
        <is>
          <t>Industrials</t>
        </is>
      </c>
      <c r="E47" s="7" t="n">
        <v>0</v>
      </c>
      <c r="F47" s="7" t="n">
        <v>0</v>
      </c>
      <c r="G47" s="8" t="n">
        <v>0</v>
      </c>
      <c r="H47" s="7" t="n">
        <v>0</v>
      </c>
    </row>
    <row r="48">
      <c r="A48" s="6" t="n">
        <v>20303010</v>
      </c>
      <c r="B48" s="6" t="inlineStr">
        <is>
          <t>Marine Transportation</t>
        </is>
      </c>
      <c r="C48" s="6" t="inlineStr">
        <is>
          <t>Marine Transportation</t>
        </is>
      </c>
      <c r="D48" s="6" t="inlineStr">
        <is>
          <t>Industrials</t>
        </is>
      </c>
      <c r="E48" s="7" t="n">
        <v>0</v>
      </c>
      <c r="F48" s="7" t="n">
        <v>0</v>
      </c>
      <c r="G48" s="8" t="n">
        <v>0</v>
      </c>
      <c r="H48" s="7" t="n">
        <v>0</v>
      </c>
    </row>
    <row r="49">
      <c r="A49" s="6" t="n">
        <v>20304010</v>
      </c>
      <c r="B49" s="6" t="inlineStr">
        <is>
          <t>Rail Transportation</t>
        </is>
      </c>
      <c r="C49" s="6" t="inlineStr">
        <is>
          <t>Ground Transportation</t>
        </is>
      </c>
      <c r="D49" s="6" t="inlineStr">
        <is>
          <t>Industrials</t>
        </is>
      </c>
      <c r="E49" s="7" t="n">
        <v>0</v>
      </c>
      <c r="F49" s="7" t="n">
        <v>0</v>
      </c>
      <c r="G49" s="8" t="n">
        <v>0</v>
      </c>
      <c r="H49" s="7" t="n">
        <v>0</v>
      </c>
    </row>
    <row r="50">
      <c r="A50" s="6" t="n">
        <v>20304030</v>
      </c>
      <c r="B50" s="6" t="inlineStr">
        <is>
          <t>Cargo Ground Transportation</t>
        </is>
      </c>
      <c r="C50" s="6" t="inlineStr">
        <is>
          <t>Ground Transportation</t>
        </is>
      </c>
      <c r="D50" s="6" t="inlineStr">
        <is>
          <t>Industrials</t>
        </is>
      </c>
      <c r="E50" s="7" t="n">
        <v>0</v>
      </c>
      <c r="F50" s="7" t="n">
        <v>0</v>
      </c>
      <c r="G50" s="8" t="n">
        <v>0</v>
      </c>
      <c r="H50" s="7" t="n">
        <v>0</v>
      </c>
    </row>
    <row r="51">
      <c r="A51" s="6" t="n">
        <v>20304040</v>
      </c>
      <c r="B51" s="6" t="inlineStr">
        <is>
          <t>Passenger Ground Transportation</t>
        </is>
      </c>
      <c r="C51" s="6" t="inlineStr">
        <is>
          <t>Ground Transportation</t>
        </is>
      </c>
      <c r="D51" s="6" t="inlineStr">
        <is>
          <t>Industrials</t>
        </is>
      </c>
      <c r="E51" s="7" t="n">
        <v>0</v>
      </c>
      <c r="F51" s="7" t="n">
        <v>0</v>
      </c>
      <c r="G51" s="8" t="n">
        <v>0</v>
      </c>
      <c r="H51" s="7" t="n">
        <v>0</v>
      </c>
    </row>
    <row r="52">
      <c r="A52" s="6" t="n">
        <v>20305010</v>
      </c>
      <c r="B52" s="6" t="inlineStr">
        <is>
          <t>Airport Services</t>
        </is>
      </c>
      <c r="C52" s="6" t="inlineStr">
        <is>
          <t>Transportation Infrastructure</t>
        </is>
      </c>
      <c r="D52" s="6" t="inlineStr">
        <is>
          <t>Industrials</t>
        </is>
      </c>
      <c r="E52" s="7" t="n">
        <v>0</v>
      </c>
      <c r="F52" s="7" t="n">
        <v>0</v>
      </c>
      <c r="G52" s="8" t="n">
        <v>0</v>
      </c>
      <c r="H52" s="7" t="n">
        <v>0</v>
      </c>
    </row>
    <row r="53">
      <c r="A53" s="6" t="n">
        <v>20305020</v>
      </c>
      <c r="B53" s="6" t="inlineStr">
        <is>
          <t>Highways &amp; Railtracks</t>
        </is>
      </c>
      <c r="C53" s="6" t="inlineStr">
        <is>
          <t>Transportation Infrastructure</t>
        </is>
      </c>
      <c r="D53" s="6" t="inlineStr">
        <is>
          <t>Industrials</t>
        </is>
      </c>
      <c r="E53" s="7" t="n">
        <v>0</v>
      </c>
      <c r="F53" s="7" t="n">
        <v>0</v>
      </c>
      <c r="G53" s="8" t="n">
        <v>0</v>
      </c>
      <c r="H53" s="7" t="n">
        <v>0</v>
      </c>
    </row>
    <row r="54">
      <c r="A54" s="6" t="n">
        <v>20305030</v>
      </c>
      <c r="B54" s="6" t="inlineStr">
        <is>
          <t>Marine Ports &amp; Services</t>
        </is>
      </c>
      <c r="C54" s="6" t="inlineStr">
        <is>
          <t>Transportation Infrastructure</t>
        </is>
      </c>
      <c r="D54" s="6" t="inlineStr">
        <is>
          <t>Industrials</t>
        </is>
      </c>
      <c r="E54" s="7" t="n">
        <v>0</v>
      </c>
      <c r="F54" s="7" t="n">
        <v>0</v>
      </c>
      <c r="G54" s="8" t="n">
        <v>0</v>
      </c>
      <c r="H54" s="7" t="n">
        <v>0</v>
      </c>
    </row>
    <row r="55">
      <c r="A55" s="6" t="n">
        <v>25101010</v>
      </c>
      <c r="B55" s="6" t="inlineStr">
        <is>
          <t>Automotive Parts &amp; Equipment</t>
        </is>
      </c>
      <c r="C55" s="6" t="inlineStr">
        <is>
          <t>Automobile Components</t>
        </is>
      </c>
      <c r="D55" s="6" t="inlineStr">
        <is>
          <t>Consumer Discretionary</t>
        </is>
      </c>
      <c r="E55" s="7" t="n">
        <v>-0.13</v>
      </c>
      <c r="F55" s="7" t="n">
        <v>-0.26</v>
      </c>
      <c r="G55" s="8" t="n">
        <v>260</v>
      </c>
      <c r="H55" s="7" t="n">
        <v>0</v>
      </c>
    </row>
    <row r="56">
      <c r="A56" s="6" t="n">
        <v>25101020</v>
      </c>
      <c r="B56" s="6" t="inlineStr">
        <is>
          <t>Tires &amp; Rubber</t>
        </is>
      </c>
      <c r="C56" s="6" t="inlineStr">
        <is>
          <t>Automobile Components</t>
        </is>
      </c>
      <c r="D56" s="6" t="inlineStr">
        <is>
          <t>Consumer Discretionary</t>
        </is>
      </c>
      <c r="E56" s="7" t="n">
        <v>0</v>
      </c>
      <c r="F56" s="7" t="n">
        <v>0</v>
      </c>
      <c r="G56" s="8" t="n">
        <v>0</v>
      </c>
      <c r="H56" s="7" t="n">
        <v>0</v>
      </c>
    </row>
    <row r="57">
      <c r="A57" s="6" t="n">
        <v>25102010</v>
      </c>
      <c r="B57" s="6" t="inlineStr">
        <is>
          <t>Automobile Manufacturers</t>
        </is>
      </c>
      <c r="C57" s="6" t="inlineStr">
        <is>
          <t>Automobiles</t>
        </is>
      </c>
      <c r="D57" s="6" t="inlineStr">
        <is>
          <t>Consumer Discretionary</t>
        </is>
      </c>
      <c r="E57" s="7" t="n">
        <v>0</v>
      </c>
      <c r="F57" s="7" t="n">
        <v>0</v>
      </c>
      <c r="G57" s="8" t="n">
        <v>0</v>
      </c>
      <c r="H57" s="7" t="n">
        <v>0</v>
      </c>
    </row>
    <row r="58">
      <c r="A58" s="6" t="n">
        <v>25102020</v>
      </c>
      <c r="B58" s="6" t="inlineStr">
        <is>
          <t>Motorcycle Manufacturers</t>
        </is>
      </c>
      <c r="C58" s="6" t="inlineStr">
        <is>
          <t>Automobiles</t>
        </is>
      </c>
      <c r="D58" s="6" t="inlineStr">
        <is>
          <t>Consumer Discretionary</t>
        </is>
      </c>
      <c r="E58" s="7" t="n">
        <v>0</v>
      </c>
      <c r="F58" s="7" t="n">
        <v>0</v>
      </c>
      <c r="G58" s="8" t="n">
        <v>0</v>
      </c>
      <c r="H58" s="7" t="n">
        <v>0</v>
      </c>
    </row>
    <row r="59">
      <c r="A59" s="6" t="n">
        <v>25201010</v>
      </c>
      <c r="B59" s="6" t="inlineStr">
        <is>
          <t>Consumer Electronics</t>
        </is>
      </c>
      <c r="C59" s="6" t="inlineStr">
        <is>
          <t>Household Durables</t>
        </is>
      </c>
      <c r="D59" s="6" t="inlineStr">
        <is>
          <t>Consumer Discretionary</t>
        </is>
      </c>
      <c r="E59" s="7" t="n">
        <v>0</v>
      </c>
      <c r="F59" s="7" t="n">
        <v>0</v>
      </c>
      <c r="G59" s="8" t="n">
        <v>0</v>
      </c>
      <c r="H59" s="7" t="n">
        <v>0</v>
      </c>
    </row>
    <row r="60">
      <c r="A60" s="6" t="n">
        <v>25201020</v>
      </c>
      <c r="B60" s="6" t="inlineStr">
        <is>
          <t>Home Furnishings</t>
        </is>
      </c>
      <c r="C60" s="6" t="inlineStr">
        <is>
          <t>Household Durables</t>
        </is>
      </c>
      <c r="D60" s="6" t="inlineStr">
        <is>
          <t>Consumer Discretionary</t>
        </is>
      </c>
      <c r="E60" s="7" t="n">
        <v>0</v>
      </c>
      <c r="F60" s="7" t="n">
        <v>0</v>
      </c>
      <c r="G60" s="8" t="n">
        <v>0</v>
      </c>
      <c r="H60" s="7" t="n">
        <v>0</v>
      </c>
    </row>
    <row r="61">
      <c r="A61" s="6" t="n">
        <v>25201030</v>
      </c>
      <c r="B61" s="6" t="inlineStr">
        <is>
          <t>Homebuilding</t>
        </is>
      </c>
      <c r="C61" s="6" t="inlineStr">
        <is>
          <t>Household Durables</t>
        </is>
      </c>
      <c r="D61" s="6" t="inlineStr">
        <is>
          <t>Consumer Discretionary</t>
        </is>
      </c>
      <c r="E61" s="7" t="n">
        <v>-0.18</v>
      </c>
      <c r="F61" s="7" t="n">
        <v>-0.32</v>
      </c>
      <c r="G61" s="8" t="n">
        <v>300</v>
      </c>
      <c r="H61" s="7" t="n">
        <v>0</v>
      </c>
    </row>
    <row r="62">
      <c r="A62" s="6" t="n">
        <v>25201040</v>
      </c>
      <c r="B62" s="6" t="inlineStr">
        <is>
          <t>Household Appliances</t>
        </is>
      </c>
      <c r="C62" s="6" t="inlineStr">
        <is>
          <t>Household Durables</t>
        </is>
      </c>
      <c r="D62" s="6" t="inlineStr">
        <is>
          <t>Consumer Discretionary</t>
        </is>
      </c>
      <c r="E62" s="7" t="n">
        <v>0</v>
      </c>
      <c r="F62" s="7" t="n">
        <v>0</v>
      </c>
      <c r="G62" s="8" t="n">
        <v>0</v>
      </c>
      <c r="H62" s="7" t="n">
        <v>0</v>
      </c>
    </row>
    <row r="63">
      <c r="A63" s="6" t="n">
        <v>25201050</v>
      </c>
      <c r="B63" s="6" t="inlineStr">
        <is>
          <t>Housewares &amp; Specialties</t>
        </is>
      </c>
      <c r="C63" s="6" t="inlineStr">
        <is>
          <t>Household Durables</t>
        </is>
      </c>
      <c r="D63" s="6" t="inlineStr">
        <is>
          <t>Consumer Discretionary</t>
        </is>
      </c>
      <c r="E63" s="7" t="n">
        <v>0</v>
      </c>
      <c r="F63" s="7" t="n">
        <v>0</v>
      </c>
      <c r="G63" s="8" t="n">
        <v>0</v>
      </c>
      <c r="H63" s="7" t="n">
        <v>0</v>
      </c>
    </row>
    <row r="64">
      <c r="A64" s="6" t="n">
        <v>25202010</v>
      </c>
      <c r="B64" s="6" t="inlineStr">
        <is>
          <t>Leisure Products</t>
        </is>
      </c>
      <c r="C64" s="6" t="inlineStr">
        <is>
          <t>Leisure Products</t>
        </is>
      </c>
      <c r="D64" s="6" t="inlineStr">
        <is>
          <t>Consumer Discretionary</t>
        </is>
      </c>
      <c r="E64" s="7" t="n">
        <v>0</v>
      </c>
      <c r="F64" s="7" t="n">
        <v>0</v>
      </c>
      <c r="G64" s="8" t="n">
        <v>0</v>
      </c>
      <c r="H64" s="7" t="n">
        <v>0</v>
      </c>
    </row>
    <row r="65">
      <c r="A65" s="6" t="n">
        <v>25203010</v>
      </c>
      <c r="B65" s="6" t="inlineStr">
        <is>
          <t>Apparel, Accessories &amp; Luxury Goods</t>
        </is>
      </c>
      <c r="C65" s="6" t="inlineStr">
        <is>
          <t>Textiles, Apparel &amp; Luxury Goods</t>
        </is>
      </c>
      <c r="D65" s="6" t="inlineStr">
        <is>
          <t>Consumer Discretionary</t>
        </is>
      </c>
      <c r="E65" s="7" t="n">
        <v>0</v>
      </c>
      <c r="F65" s="7" t="n">
        <v>0</v>
      </c>
      <c r="G65" s="8" t="n">
        <v>0</v>
      </c>
      <c r="H65" s="7" t="n">
        <v>0</v>
      </c>
    </row>
    <row r="66">
      <c r="A66" s="6" t="n">
        <v>25203020</v>
      </c>
      <c r="B66" s="6" t="inlineStr">
        <is>
          <t>Footwear</t>
        </is>
      </c>
      <c r="C66" s="6" t="inlineStr">
        <is>
          <t>Textiles, Apparel &amp; Luxury Goods</t>
        </is>
      </c>
      <c r="D66" s="6" t="inlineStr">
        <is>
          <t>Consumer Discretionary</t>
        </is>
      </c>
      <c r="E66" s="7" t="n">
        <v>0</v>
      </c>
      <c r="F66" s="7" t="n">
        <v>0</v>
      </c>
      <c r="G66" s="8" t="n">
        <v>0</v>
      </c>
      <c r="H66" s="7" t="n">
        <v>0</v>
      </c>
    </row>
    <row r="67">
      <c r="A67" s="6" t="n">
        <v>25203030</v>
      </c>
      <c r="B67" s="6" t="inlineStr">
        <is>
          <t>Textiles</t>
        </is>
      </c>
      <c r="C67" s="6" t="inlineStr">
        <is>
          <t>Textiles, Apparel &amp; Luxury Goods</t>
        </is>
      </c>
      <c r="D67" s="6" t="inlineStr">
        <is>
          <t>Consumer Discretionary</t>
        </is>
      </c>
      <c r="E67" s="7" t="n">
        <v>0</v>
      </c>
      <c r="F67" s="7" t="n">
        <v>0</v>
      </c>
      <c r="G67" s="8" t="n">
        <v>0</v>
      </c>
      <c r="H67" s="7" t="n">
        <v>0</v>
      </c>
    </row>
    <row r="68">
      <c r="A68" s="6" t="n">
        <v>25301010</v>
      </c>
      <c r="B68" s="6" t="inlineStr">
        <is>
          <t>Casinos &amp; Gaming</t>
        </is>
      </c>
      <c r="C68" s="6" t="inlineStr">
        <is>
          <t>Hotels, Restaurants &amp; Leisure</t>
        </is>
      </c>
      <c r="D68" s="6" t="inlineStr">
        <is>
          <t>Consumer Discretionary</t>
        </is>
      </c>
      <c r="E68" s="7" t="n">
        <v>0</v>
      </c>
      <c r="F68" s="7" t="n">
        <v>0</v>
      </c>
      <c r="G68" s="8" t="n">
        <v>0</v>
      </c>
      <c r="H68" s="7" t="n">
        <v>0</v>
      </c>
    </row>
    <row r="69">
      <c r="A69" s="6" t="n">
        <v>25301020</v>
      </c>
      <c r="B69" s="6" t="inlineStr">
        <is>
          <t>Hotels, Resorts &amp; Cruise Lines</t>
        </is>
      </c>
      <c r="C69" s="6" t="inlineStr">
        <is>
          <t>Hotels, Restaurants &amp; Leisure</t>
        </is>
      </c>
      <c r="D69" s="6" t="inlineStr">
        <is>
          <t>Consumer Discretionary</t>
        </is>
      </c>
      <c r="E69" s="7" t="n">
        <v>0</v>
      </c>
      <c r="F69" s="7" t="n">
        <v>0</v>
      </c>
      <c r="G69" s="8" t="n">
        <v>0</v>
      </c>
      <c r="H69" s="7" t="n">
        <v>0</v>
      </c>
    </row>
    <row r="70">
      <c r="A70" s="6" t="n">
        <v>25301030</v>
      </c>
      <c r="B70" s="6" t="inlineStr">
        <is>
          <t>Leisure Facilities</t>
        </is>
      </c>
      <c r="C70" s="6" t="inlineStr">
        <is>
          <t>Hotels, Restaurants &amp; Leisure</t>
        </is>
      </c>
      <c r="D70" s="6" t="inlineStr">
        <is>
          <t>Consumer Discretionary</t>
        </is>
      </c>
      <c r="E70" s="7" t="n">
        <v>-0.1</v>
      </c>
      <c r="F70" s="7" t="n">
        <v>-0.2</v>
      </c>
      <c r="G70" s="8" t="n">
        <v>200</v>
      </c>
      <c r="H70" s="7" t="n">
        <v>0</v>
      </c>
    </row>
    <row r="71">
      <c r="A71" s="6" t="n">
        <v>25301040</v>
      </c>
      <c r="B71" s="6" t="inlineStr">
        <is>
          <t>Restaurants</t>
        </is>
      </c>
      <c r="C71" s="6" t="inlineStr">
        <is>
          <t>Hotels, Restaurants &amp; Leisure</t>
        </is>
      </c>
      <c r="D71" s="6" t="inlineStr">
        <is>
          <t>Consumer Discretionary</t>
        </is>
      </c>
      <c r="E71" s="7" t="n">
        <v>-0.11</v>
      </c>
      <c r="F71" s="7" t="n">
        <v>-0.22</v>
      </c>
      <c r="G71" s="8" t="n">
        <v>220</v>
      </c>
      <c r="H71" s="7" t="n">
        <v>0</v>
      </c>
    </row>
    <row r="72">
      <c r="A72" s="6" t="n">
        <v>25302010</v>
      </c>
      <c r="B72" s="6" t="inlineStr">
        <is>
          <t>Education Services</t>
        </is>
      </c>
      <c r="C72" s="6" t="inlineStr">
        <is>
          <t>Diversified Consumer Services</t>
        </is>
      </c>
      <c r="D72" s="6" t="inlineStr">
        <is>
          <t>Consumer Discretionary</t>
        </is>
      </c>
      <c r="E72" s="7" t="n">
        <v>-0.03</v>
      </c>
      <c r="F72" s="7" t="n">
        <v>-0.1</v>
      </c>
      <c r="G72" s="8" t="n">
        <v>110</v>
      </c>
      <c r="H72" s="7" t="n">
        <v>0</v>
      </c>
    </row>
    <row r="73">
      <c r="A73" s="6" t="n">
        <v>25302020</v>
      </c>
      <c r="B73" s="6" t="inlineStr">
        <is>
          <t>Specialized Consumer Services</t>
        </is>
      </c>
      <c r="C73" s="6" t="inlineStr">
        <is>
          <t>Diversified Consumer Services</t>
        </is>
      </c>
      <c r="D73" s="6" t="inlineStr">
        <is>
          <t>Consumer Discretionary</t>
        </is>
      </c>
      <c r="E73" s="7" t="n">
        <v>-0.12</v>
      </c>
      <c r="F73" s="7" t="n">
        <v>-0.22</v>
      </c>
      <c r="G73" s="8" t="n">
        <v>230</v>
      </c>
      <c r="H73" s="7" t="n">
        <v>0</v>
      </c>
    </row>
    <row r="74">
      <c r="A74" s="6" t="n">
        <v>25501010</v>
      </c>
      <c r="B74" s="6" t="inlineStr">
        <is>
          <t>Distributors</t>
        </is>
      </c>
      <c r="C74" s="6" t="inlineStr">
        <is>
          <t>Distributors</t>
        </is>
      </c>
      <c r="D74" s="6" t="inlineStr">
        <is>
          <t>Consumer Discretionary</t>
        </is>
      </c>
      <c r="E74" s="7" t="n">
        <v>-0.1</v>
      </c>
      <c r="F74" s="7" t="n">
        <v>-0.18</v>
      </c>
      <c r="G74" s="8" t="n">
        <v>190</v>
      </c>
      <c r="H74" s="7" t="n">
        <v>0</v>
      </c>
    </row>
    <row r="75">
      <c r="A75" s="6" t="n">
        <v>25503030</v>
      </c>
      <c r="B75" s="6" t="inlineStr">
        <is>
          <t>Broadline Retail</t>
        </is>
      </c>
      <c r="C75" s="6" t="inlineStr">
        <is>
          <t>Broadline Retail</t>
        </is>
      </c>
      <c r="D75" s="6" t="inlineStr">
        <is>
          <t>Consumer Discretionary</t>
        </is>
      </c>
      <c r="E75" s="7" t="n">
        <v>0</v>
      </c>
      <c r="F75" s="7" t="n">
        <v>0</v>
      </c>
      <c r="G75" s="8" t="n">
        <v>0</v>
      </c>
      <c r="H75" s="7" t="n">
        <v>0</v>
      </c>
    </row>
    <row r="76">
      <c r="A76" s="6" t="n">
        <v>25504010</v>
      </c>
      <c r="B76" s="6" t="inlineStr">
        <is>
          <t>Apparel Retail</t>
        </is>
      </c>
      <c r="C76" s="6" t="inlineStr">
        <is>
          <t>Specialty Retail</t>
        </is>
      </c>
      <c r="D76" s="6" t="inlineStr">
        <is>
          <t>Consumer Discretionary</t>
        </is>
      </c>
      <c r="E76" s="7" t="n">
        <v>-0.03</v>
      </c>
      <c r="F76" s="7" t="n">
        <v>-0.15</v>
      </c>
      <c r="G76" s="8" t="n">
        <v>180</v>
      </c>
      <c r="H76" s="7" t="n">
        <v>0</v>
      </c>
    </row>
    <row r="77">
      <c r="A77" s="6" t="n">
        <v>25504020</v>
      </c>
      <c r="B77" s="6" t="inlineStr">
        <is>
          <t>Computer &amp; Electronics Retail</t>
        </is>
      </c>
      <c r="C77" s="6" t="inlineStr">
        <is>
          <t>Specialty Retail</t>
        </is>
      </c>
      <c r="D77" s="6" t="inlineStr">
        <is>
          <t>Consumer Discretionary</t>
        </is>
      </c>
      <c r="E77" s="7" t="n">
        <v>0</v>
      </c>
      <c r="F77" s="7" t="n">
        <v>0</v>
      </c>
      <c r="G77" s="8" t="n">
        <v>0</v>
      </c>
      <c r="H77" s="7" t="n">
        <v>0</v>
      </c>
    </row>
    <row r="78">
      <c r="A78" s="6" t="n">
        <v>25504030</v>
      </c>
      <c r="B78" s="6" t="inlineStr">
        <is>
          <t>Home Improvement Retail</t>
        </is>
      </c>
      <c r="C78" s="6" t="inlineStr">
        <is>
          <t>Specialty Retail</t>
        </is>
      </c>
      <c r="D78" s="6" t="inlineStr">
        <is>
          <t>Consumer Discretionary</t>
        </is>
      </c>
      <c r="E78" s="7" t="n">
        <v>0</v>
      </c>
      <c r="F78" s="7" t="n">
        <v>0</v>
      </c>
      <c r="G78" s="8" t="n">
        <v>0</v>
      </c>
      <c r="H78" s="7" t="n">
        <v>0</v>
      </c>
    </row>
    <row r="79">
      <c r="A79" s="6" t="n">
        <v>25504040</v>
      </c>
      <c r="B79" s="6" t="inlineStr">
        <is>
          <t>Other Specialty Retail</t>
        </is>
      </c>
      <c r="C79" s="6" t="inlineStr">
        <is>
          <t>Specialty Retail</t>
        </is>
      </c>
      <c r="D79" s="6" t="inlineStr">
        <is>
          <t>Consumer Discretionary</t>
        </is>
      </c>
      <c r="E79" s="7" t="n">
        <v>0</v>
      </c>
      <c r="F79" s="7" t="n">
        <v>0</v>
      </c>
      <c r="G79" s="8" t="n">
        <v>0</v>
      </c>
      <c r="H79" s="7" t="n">
        <v>0</v>
      </c>
    </row>
    <row r="80">
      <c r="A80" s="6" t="n">
        <v>25504050</v>
      </c>
      <c r="B80" s="6" t="inlineStr">
        <is>
          <t>Automotive Retail</t>
        </is>
      </c>
      <c r="C80" s="6" t="inlineStr">
        <is>
          <t>Specialty Retail</t>
        </is>
      </c>
      <c r="D80" s="6" t="inlineStr">
        <is>
          <t>Consumer Discretionary</t>
        </is>
      </c>
      <c r="E80" s="7" t="n">
        <v>0</v>
      </c>
      <c r="F80" s="7" t="n">
        <v>0</v>
      </c>
      <c r="G80" s="8" t="n">
        <v>0</v>
      </c>
      <c r="H80" s="7" t="n">
        <v>0</v>
      </c>
    </row>
    <row r="81">
      <c r="A81" s="6" t="n">
        <v>25504060</v>
      </c>
      <c r="B81" s="6" t="inlineStr">
        <is>
          <t>Homefurnishing Retail</t>
        </is>
      </c>
      <c r="C81" s="6" t="inlineStr">
        <is>
          <t>Specialty Retail</t>
        </is>
      </c>
      <c r="D81" s="6" t="inlineStr">
        <is>
          <t>Consumer Discretionary</t>
        </is>
      </c>
      <c r="E81" s="7" t="n">
        <v>0</v>
      </c>
      <c r="F81" s="7" t="n">
        <v>0</v>
      </c>
      <c r="G81" s="8" t="n">
        <v>0</v>
      </c>
      <c r="H81" s="7" t="n">
        <v>0</v>
      </c>
    </row>
    <row r="82">
      <c r="A82" s="6" t="n">
        <v>30101010</v>
      </c>
      <c r="B82" s="6" t="inlineStr">
        <is>
          <t>Drug Retail</t>
        </is>
      </c>
      <c r="C82" s="6" t="inlineStr">
        <is>
          <t>Consumer Staples Distribution &amp; Retail</t>
        </is>
      </c>
      <c r="D82" s="6" t="inlineStr">
        <is>
          <t>Consumer Staples</t>
        </is>
      </c>
      <c r="E82" s="7" t="n">
        <v>0</v>
      </c>
      <c r="F82" s="7" t="n">
        <v>0</v>
      </c>
      <c r="G82" s="8" t="n">
        <v>0</v>
      </c>
      <c r="H82" s="7" t="n">
        <v>0</v>
      </c>
    </row>
    <row r="83">
      <c r="A83" s="6" t="n">
        <v>30101020</v>
      </c>
      <c r="B83" s="6" t="inlineStr">
        <is>
          <t>Food Distributors</t>
        </is>
      </c>
      <c r="C83" s="6" t="inlineStr">
        <is>
          <t>Consumer Staples Distribution &amp; Retail</t>
        </is>
      </c>
      <c r="D83" s="6" t="inlineStr">
        <is>
          <t>Consumer Staples</t>
        </is>
      </c>
      <c r="E83" s="7" t="n">
        <v>0</v>
      </c>
      <c r="F83" s="7" t="n">
        <v>0</v>
      </c>
      <c r="G83" s="8" t="n">
        <v>0</v>
      </c>
      <c r="H83" s="7" t="n">
        <v>0</v>
      </c>
    </row>
    <row r="84">
      <c r="A84" s="6" t="n">
        <v>30101030</v>
      </c>
      <c r="B84" s="6" t="inlineStr">
        <is>
          <t>Food Retail</t>
        </is>
      </c>
      <c r="C84" s="6" t="inlineStr">
        <is>
          <t>Consumer Staples Distribution &amp; Retail</t>
        </is>
      </c>
      <c r="D84" s="6" t="inlineStr">
        <is>
          <t>Consumer Staples</t>
        </is>
      </c>
      <c r="E84" s="7" t="n">
        <v>0</v>
      </c>
      <c r="F84" s="7" t="n">
        <v>0</v>
      </c>
      <c r="G84" s="8" t="n">
        <v>0</v>
      </c>
      <c r="H84" s="7" t="n">
        <v>0</v>
      </c>
    </row>
    <row r="85">
      <c r="A85" s="6" t="n">
        <v>30101040</v>
      </c>
      <c r="B85" s="6" t="inlineStr">
        <is>
          <t>Consumer Staples Merchandise Retail</t>
        </is>
      </c>
      <c r="C85" s="6" t="inlineStr">
        <is>
          <t>Consumer Staples Distribution &amp; Retail</t>
        </is>
      </c>
      <c r="D85" s="6" t="inlineStr">
        <is>
          <t>Consumer Staples</t>
        </is>
      </c>
      <c r="E85" s="7" t="n">
        <v>0</v>
      </c>
      <c r="F85" s="7" t="n">
        <v>0</v>
      </c>
      <c r="G85" s="8" t="n">
        <v>0</v>
      </c>
      <c r="H85" s="7" t="n">
        <v>0</v>
      </c>
    </row>
    <row r="86">
      <c r="A86" s="6" t="n">
        <v>30201010</v>
      </c>
      <c r="B86" s="6" t="inlineStr">
        <is>
          <t>Brewers</t>
        </is>
      </c>
      <c r="C86" s="6" t="inlineStr">
        <is>
          <t>Beverages</t>
        </is>
      </c>
      <c r="D86" s="6" t="inlineStr">
        <is>
          <t>Consumer Staples</t>
        </is>
      </c>
      <c r="E86" s="7" t="n">
        <v>0</v>
      </c>
      <c r="F86" s="7" t="n">
        <v>0</v>
      </c>
      <c r="G86" s="8" t="n">
        <v>0</v>
      </c>
      <c r="H86" s="7" t="n">
        <v>0</v>
      </c>
    </row>
    <row r="87">
      <c r="A87" s="6" t="n">
        <v>30201020</v>
      </c>
      <c r="B87" s="6" t="inlineStr">
        <is>
          <t>Distillers &amp; Vintners</t>
        </is>
      </c>
      <c r="C87" s="6" t="inlineStr">
        <is>
          <t>Beverages</t>
        </is>
      </c>
      <c r="D87" s="6" t="inlineStr">
        <is>
          <t>Consumer Staples</t>
        </is>
      </c>
      <c r="E87" s="7" t="n">
        <v>0</v>
      </c>
      <c r="F87" s="7" t="n">
        <v>0</v>
      </c>
      <c r="G87" s="8" t="n">
        <v>0</v>
      </c>
      <c r="H87" s="7" t="n">
        <v>0</v>
      </c>
    </row>
    <row r="88">
      <c r="A88" s="6" t="n">
        <v>30201030</v>
      </c>
      <c r="B88" s="6" t="inlineStr">
        <is>
          <t>Soft Drinks &amp; Non-alcoholic Beverages</t>
        </is>
      </c>
      <c r="C88" s="6" t="inlineStr">
        <is>
          <t>Beverages</t>
        </is>
      </c>
      <c r="D88" s="6" t="inlineStr">
        <is>
          <t>Consumer Staples</t>
        </is>
      </c>
      <c r="E88" s="7" t="n">
        <v>0</v>
      </c>
      <c r="F88" s="7" t="n">
        <v>0</v>
      </c>
      <c r="G88" s="8" t="n">
        <v>0</v>
      </c>
      <c r="H88" s="7" t="n">
        <v>0</v>
      </c>
    </row>
    <row r="89">
      <c r="A89" s="6" t="n">
        <v>30202010</v>
      </c>
      <c r="B89" s="6" t="inlineStr">
        <is>
          <t>Agricultural Products &amp; Services</t>
        </is>
      </c>
      <c r="C89" s="6" t="inlineStr">
        <is>
          <t>Food Products</t>
        </is>
      </c>
      <c r="D89" s="6" t="inlineStr">
        <is>
          <t>Consumer Staples</t>
        </is>
      </c>
      <c r="E89" s="7" t="n">
        <v>0</v>
      </c>
      <c r="F89" s="7" t="n">
        <v>0</v>
      </c>
      <c r="G89" s="8" t="n">
        <v>0</v>
      </c>
      <c r="H89" s="7" t="n">
        <v>0</v>
      </c>
    </row>
    <row r="90">
      <c r="A90" s="6" t="n">
        <v>30202030</v>
      </c>
      <c r="B90" s="6" t="inlineStr">
        <is>
          <t>Packaged Foods &amp; Meats</t>
        </is>
      </c>
      <c r="C90" s="6" t="inlineStr">
        <is>
          <t>Food Products</t>
        </is>
      </c>
      <c r="D90" s="6" t="inlineStr">
        <is>
          <t>Consumer Staples</t>
        </is>
      </c>
      <c r="E90" s="7" t="n">
        <v>-0.01</v>
      </c>
      <c r="F90" s="7" t="n">
        <v>-0.06</v>
      </c>
      <c r="G90" s="8" t="n">
        <v>60</v>
      </c>
      <c r="H90" s="7" t="n">
        <v>0</v>
      </c>
    </row>
    <row r="91">
      <c r="A91" s="6" t="n">
        <v>30203010</v>
      </c>
      <c r="B91" s="6" t="inlineStr">
        <is>
          <t>Tobacco</t>
        </is>
      </c>
      <c r="C91" s="6" t="inlineStr">
        <is>
          <t>Tobacco</t>
        </is>
      </c>
      <c r="D91" s="6" t="inlineStr">
        <is>
          <t>Consumer Staples</t>
        </is>
      </c>
      <c r="E91" s="7" t="n">
        <v>0</v>
      </c>
      <c r="F91" s="7" t="n">
        <v>0</v>
      </c>
      <c r="G91" s="8" t="n">
        <v>0</v>
      </c>
      <c r="H91" s="7" t="n">
        <v>0</v>
      </c>
    </row>
    <row r="92">
      <c r="A92" s="6" t="n">
        <v>30301010</v>
      </c>
      <c r="B92" s="6" t="inlineStr">
        <is>
          <t>Household Products</t>
        </is>
      </c>
      <c r="C92" s="6" t="inlineStr">
        <is>
          <t>Household Products</t>
        </is>
      </c>
      <c r="D92" s="6" t="inlineStr">
        <is>
          <t>Consumer Staples</t>
        </is>
      </c>
      <c r="E92" s="7" t="n">
        <v>0</v>
      </c>
      <c r="F92" s="7" t="n">
        <v>0</v>
      </c>
      <c r="G92" s="8" t="n">
        <v>0</v>
      </c>
      <c r="H92" s="7" t="n">
        <v>0</v>
      </c>
    </row>
    <row r="93">
      <c r="A93" s="6" t="n">
        <v>30302010</v>
      </c>
      <c r="B93" s="6" t="inlineStr">
        <is>
          <t>Personal Care Products</t>
        </is>
      </c>
      <c r="C93" s="6" t="inlineStr">
        <is>
          <t>Personal Care Products</t>
        </is>
      </c>
      <c r="D93" s="6" t="inlineStr">
        <is>
          <t>Consumer Staples</t>
        </is>
      </c>
      <c r="E93" s="7" t="n">
        <v>-0.02</v>
      </c>
      <c r="F93" s="7" t="n">
        <v>-0.07000000000000001</v>
      </c>
      <c r="G93" s="8" t="n">
        <v>70</v>
      </c>
      <c r="H93" s="7" t="n">
        <v>0</v>
      </c>
    </row>
    <row r="94">
      <c r="A94" s="6" t="n">
        <v>35101010</v>
      </c>
      <c r="B94" s="6" t="inlineStr">
        <is>
          <t>Health Care Equipment</t>
        </is>
      </c>
      <c r="C94" s="6" t="inlineStr">
        <is>
          <t>Health Care Equipment &amp; Supplies</t>
        </is>
      </c>
      <c r="D94" s="6" t="inlineStr">
        <is>
          <t>Health Care</t>
        </is>
      </c>
      <c r="E94" s="7" t="n">
        <v>0</v>
      </c>
      <c r="F94" s="7" t="n">
        <v>0</v>
      </c>
      <c r="G94" s="8" t="n">
        <v>0</v>
      </c>
      <c r="H94" s="7" t="n">
        <v>0</v>
      </c>
    </row>
    <row r="95">
      <c r="A95" s="6" t="n">
        <v>35101020</v>
      </c>
      <c r="B95" s="6" t="inlineStr">
        <is>
          <t>Health Care Supplies</t>
        </is>
      </c>
      <c r="C95" s="6" t="inlineStr">
        <is>
          <t>Health Care Equipment &amp; Supplies</t>
        </is>
      </c>
      <c r="D95" s="6" t="inlineStr">
        <is>
          <t>Health Care</t>
        </is>
      </c>
      <c r="E95" s="7" t="n">
        <v>-0.02</v>
      </c>
      <c r="F95" s="7" t="n">
        <v>-0.08</v>
      </c>
      <c r="G95" s="8" t="n">
        <v>80</v>
      </c>
      <c r="H95" s="7" t="n">
        <v>0</v>
      </c>
    </row>
    <row r="96">
      <c r="A96" s="6" t="n">
        <v>35102010</v>
      </c>
      <c r="B96" s="6" t="inlineStr">
        <is>
          <t>Health Care Distributors</t>
        </is>
      </c>
      <c r="C96" s="6" t="inlineStr">
        <is>
          <t>Health Care Providers &amp; Services</t>
        </is>
      </c>
      <c r="D96" s="6" t="inlineStr">
        <is>
          <t>Health Care</t>
        </is>
      </c>
      <c r="E96" s="7" t="n">
        <v>0</v>
      </c>
      <c r="F96" s="7" t="n">
        <v>0</v>
      </c>
      <c r="G96" s="8" t="n">
        <v>0</v>
      </c>
      <c r="H96" s="7" t="n">
        <v>0</v>
      </c>
    </row>
    <row r="97">
      <c r="A97" s="6" t="n">
        <v>35102015</v>
      </c>
      <c r="B97" s="6" t="inlineStr">
        <is>
          <t>Health Care Services</t>
        </is>
      </c>
      <c r="C97" s="6" t="inlineStr">
        <is>
          <t>Health Care Providers &amp; Services</t>
        </is>
      </c>
      <c r="D97" s="6" t="inlineStr">
        <is>
          <t>Health Care</t>
        </is>
      </c>
      <c r="E97" s="7" t="n">
        <v>-0.03</v>
      </c>
      <c r="F97" s="7" t="n">
        <v>-0.09</v>
      </c>
      <c r="G97" s="8" t="n">
        <v>90</v>
      </c>
      <c r="H97" s="7" t="n">
        <v>0</v>
      </c>
    </row>
    <row r="98">
      <c r="A98" s="6" t="n">
        <v>35102020</v>
      </c>
      <c r="B98" s="6" t="inlineStr">
        <is>
          <t>Health Care Facilities</t>
        </is>
      </c>
      <c r="C98" s="6" t="inlineStr">
        <is>
          <t>Health Care Providers &amp; Services</t>
        </is>
      </c>
      <c r="D98" s="6" t="inlineStr">
        <is>
          <t>Health Care</t>
        </is>
      </c>
      <c r="E98" s="7" t="n">
        <v>-0.02</v>
      </c>
      <c r="F98" s="7" t="n">
        <v>-0.08</v>
      </c>
      <c r="G98" s="8" t="n">
        <v>85</v>
      </c>
      <c r="H98" s="7" t="n">
        <v>0</v>
      </c>
    </row>
    <row r="99">
      <c r="A99" s="6" t="n">
        <v>35102030</v>
      </c>
      <c r="B99" s="6" t="inlineStr">
        <is>
          <t>Managed Health Care</t>
        </is>
      </c>
      <c r="C99" s="6" t="inlineStr">
        <is>
          <t>Health Care Providers &amp; Services</t>
        </is>
      </c>
      <c r="D99" s="6" t="inlineStr">
        <is>
          <t>Health Care</t>
        </is>
      </c>
      <c r="E99" s="7" t="n">
        <v>0</v>
      </c>
      <c r="F99" s="7" t="n">
        <v>0</v>
      </c>
      <c r="G99" s="8" t="n">
        <v>0</v>
      </c>
      <c r="H99" s="7" t="n">
        <v>0</v>
      </c>
    </row>
    <row r="100">
      <c r="A100" s="6" t="n">
        <v>35103010</v>
      </c>
      <c r="B100" s="6" t="inlineStr">
        <is>
          <t>Health Care Technology</t>
        </is>
      </c>
      <c r="C100" s="6" t="inlineStr">
        <is>
          <t>Health Care Technology</t>
        </is>
      </c>
      <c r="D100" s="6" t="inlineStr">
        <is>
          <t>Health Care</t>
        </is>
      </c>
      <c r="E100" s="7" t="n">
        <v>0</v>
      </c>
      <c r="F100" s="7" t="n">
        <v>0</v>
      </c>
      <c r="G100" s="8" t="n">
        <v>0</v>
      </c>
      <c r="H100" s="7" t="n">
        <v>0</v>
      </c>
    </row>
    <row r="101">
      <c r="A101" s="6" t="n">
        <v>35201010</v>
      </c>
      <c r="B101" s="6" t="inlineStr">
        <is>
          <t>Biotechnology</t>
        </is>
      </c>
      <c r="C101" s="6" t="inlineStr">
        <is>
          <t>Biotechnology</t>
        </is>
      </c>
      <c r="D101" s="6" t="inlineStr">
        <is>
          <t>Health Care</t>
        </is>
      </c>
      <c r="E101" s="7" t="n">
        <v>0</v>
      </c>
      <c r="F101" s="7" t="n">
        <v>0</v>
      </c>
      <c r="G101" s="8" t="n">
        <v>0</v>
      </c>
      <c r="H101" s="7" t="n">
        <v>0</v>
      </c>
    </row>
    <row r="102">
      <c r="A102" s="6" t="n">
        <v>35202010</v>
      </c>
      <c r="B102" s="6" t="inlineStr">
        <is>
          <t>Pharmaceuticals</t>
        </is>
      </c>
      <c r="C102" s="6" t="inlineStr">
        <is>
          <t>Pharmaceuticals</t>
        </is>
      </c>
      <c r="D102" s="6" t="inlineStr">
        <is>
          <t>Health Care</t>
        </is>
      </c>
      <c r="E102" s="7" t="n">
        <v>0</v>
      </c>
      <c r="F102" s="7" t="n">
        <v>0</v>
      </c>
      <c r="G102" s="8" t="n">
        <v>0</v>
      </c>
      <c r="H102" s="7" t="n">
        <v>0</v>
      </c>
    </row>
    <row r="103">
      <c r="A103" s="6" t="n">
        <v>35203010</v>
      </c>
      <c r="B103" s="6" t="inlineStr">
        <is>
          <t>Life Sciences Tools &amp; Services</t>
        </is>
      </c>
      <c r="C103" s="6" t="inlineStr">
        <is>
          <t>Life Sciences Tools &amp; Services</t>
        </is>
      </c>
      <c r="D103" s="6" t="inlineStr">
        <is>
          <t>Health Care</t>
        </is>
      </c>
      <c r="E103" s="7" t="n">
        <v>0</v>
      </c>
      <c r="F103" s="7" t="n">
        <v>0</v>
      </c>
      <c r="G103" s="8" t="n">
        <v>0</v>
      </c>
      <c r="H103" s="7" t="n">
        <v>0</v>
      </c>
    </row>
    <row r="104">
      <c r="A104" s="6" t="n">
        <v>40101010</v>
      </c>
      <c r="B104" s="6" t="inlineStr">
        <is>
          <t>Diversified Banks</t>
        </is>
      </c>
      <c r="C104" s="6" t="inlineStr">
        <is>
          <t>Banks</t>
        </is>
      </c>
      <c r="D104" s="6" t="inlineStr">
        <is>
          <t>Financials</t>
        </is>
      </c>
      <c r="E104" s="7" t="n">
        <v>0</v>
      </c>
      <c r="F104" s="7" t="n">
        <v>0</v>
      </c>
      <c r="G104" s="8" t="n">
        <v>0</v>
      </c>
      <c r="H104" s="7" t="n">
        <v>0</v>
      </c>
    </row>
    <row r="105">
      <c r="A105" s="6" t="n">
        <v>40101015</v>
      </c>
      <c r="B105" s="6" t="inlineStr">
        <is>
          <t>Regional Banks</t>
        </is>
      </c>
      <c r="C105" s="6" t="inlineStr">
        <is>
          <t>Banks</t>
        </is>
      </c>
      <c r="D105" s="6" t="inlineStr">
        <is>
          <t>Financials</t>
        </is>
      </c>
      <c r="E105" s="7" t="n">
        <v>0</v>
      </c>
      <c r="F105" s="7" t="n">
        <v>0</v>
      </c>
      <c r="G105" s="8" t="n">
        <v>0</v>
      </c>
      <c r="H105" s="7" t="n">
        <v>0</v>
      </c>
    </row>
    <row r="106">
      <c r="A106" s="6" t="n">
        <v>40201020</v>
      </c>
      <c r="B106" s="6" t="inlineStr">
        <is>
          <t>Diversified Financial Services</t>
        </is>
      </c>
      <c r="C106" s="6" t="inlineStr">
        <is>
          <t>Financial Services</t>
        </is>
      </c>
      <c r="D106" s="6" t="inlineStr">
        <is>
          <t>Financials</t>
        </is>
      </c>
      <c r="E106" s="7" t="n">
        <v>-0.1</v>
      </c>
      <c r="F106" s="7" t="n">
        <v>-0.18</v>
      </c>
      <c r="G106" s="8" t="n">
        <v>180</v>
      </c>
      <c r="H106" s="7" t="n">
        <v>0</v>
      </c>
    </row>
    <row r="107">
      <c r="A107" s="6" t="n">
        <v>40201030</v>
      </c>
      <c r="B107" s="6" t="inlineStr">
        <is>
          <t>Multi-Sector Holdings</t>
        </is>
      </c>
      <c r="C107" s="6" t="inlineStr">
        <is>
          <t>Financial Services</t>
        </is>
      </c>
      <c r="D107" s="6" t="inlineStr">
        <is>
          <t>Financials</t>
        </is>
      </c>
      <c r="E107" s="7" t="n">
        <v>0</v>
      </c>
      <c r="F107" s="7" t="n">
        <v>0</v>
      </c>
      <c r="G107" s="8" t="n">
        <v>0</v>
      </c>
      <c r="H107" s="7" t="n">
        <v>0</v>
      </c>
    </row>
    <row r="108">
      <c r="A108" s="6" t="n">
        <v>40201040</v>
      </c>
      <c r="B108" s="6" t="inlineStr">
        <is>
          <t>Specialized Finance</t>
        </is>
      </c>
      <c r="C108" s="6" t="inlineStr">
        <is>
          <t>Financial Services</t>
        </is>
      </c>
      <c r="D108" s="6" t="inlineStr">
        <is>
          <t>Financials</t>
        </is>
      </c>
      <c r="E108" s="7" t="n">
        <v>0</v>
      </c>
      <c r="F108" s="7" t="n">
        <v>0</v>
      </c>
      <c r="G108" s="8" t="n">
        <v>0</v>
      </c>
      <c r="H108" s="7" t="n">
        <v>0</v>
      </c>
    </row>
    <row r="109">
      <c r="A109" s="6" t="n">
        <v>40201050</v>
      </c>
      <c r="B109" s="6" t="inlineStr">
        <is>
          <t>Commercial &amp; Residential Mortgage Finance</t>
        </is>
      </c>
      <c r="C109" s="6" t="inlineStr">
        <is>
          <t>Financial Services</t>
        </is>
      </c>
      <c r="D109" s="6" t="inlineStr">
        <is>
          <t>Financials</t>
        </is>
      </c>
      <c r="E109" s="7" t="n">
        <v>0</v>
      </c>
      <c r="F109" s="7" t="n">
        <v>0</v>
      </c>
      <c r="G109" s="8" t="n">
        <v>0</v>
      </c>
      <c r="H109" s="7" t="n">
        <v>0</v>
      </c>
    </row>
    <row r="110">
      <c r="A110" s="6" t="n">
        <v>40201060</v>
      </c>
      <c r="B110" s="6" t="inlineStr">
        <is>
          <t>Transaction &amp; Payment Processing Services</t>
        </is>
      </c>
      <c r="C110" s="6" t="inlineStr">
        <is>
          <t>Financial Services</t>
        </is>
      </c>
      <c r="D110" s="6" t="inlineStr">
        <is>
          <t>Financials</t>
        </is>
      </c>
      <c r="E110" s="7" t="n">
        <v>0</v>
      </c>
      <c r="F110" s="7" t="n">
        <v>0</v>
      </c>
      <c r="G110" s="8" t="n">
        <v>0</v>
      </c>
      <c r="H110" s="7" t="n">
        <v>0</v>
      </c>
    </row>
    <row r="111">
      <c r="A111" s="6" t="n">
        <v>40202010</v>
      </c>
      <c r="B111" s="6" t="inlineStr">
        <is>
          <t>Consumer Finance</t>
        </is>
      </c>
      <c r="C111" s="6" t="inlineStr">
        <is>
          <t>Consumer Finance</t>
        </is>
      </c>
      <c r="D111" s="6" t="inlineStr">
        <is>
          <t>Financials</t>
        </is>
      </c>
      <c r="E111" s="7" t="n">
        <v>-0.14</v>
      </c>
      <c r="F111" s="7" t="n">
        <v>-0.25</v>
      </c>
      <c r="G111" s="8" t="n">
        <v>260</v>
      </c>
      <c r="H111" s="7" t="n">
        <v>0</v>
      </c>
    </row>
    <row r="112">
      <c r="A112" s="6" t="n">
        <v>40203010</v>
      </c>
      <c r="B112" s="6" t="inlineStr">
        <is>
          <t>Asset Management &amp; Custody Banks</t>
        </is>
      </c>
      <c r="C112" s="6" t="inlineStr">
        <is>
          <t>Capital Markets</t>
        </is>
      </c>
      <c r="D112" s="6" t="inlineStr">
        <is>
          <t>Financials</t>
        </is>
      </c>
      <c r="E112" s="7" t="n">
        <v>0</v>
      </c>
      <c r="F112" s="7" t="n">
        <v>0</v>
      </c>
      <c r="G112" s="8" t="n">
        <v>0</v>
      </c>
      <c r="H112" s="7" t="n">
        <v>0</v>
      </c>
    </row>
    <row r="113">
      <c r="A113" s="6" t="n">
        <v>40203020</v>
      </c>
      <c r="B113" s="6" t="inlineStr">
        <is>
          <t>Investment Banking &amp; Brokerage</t>
        </is>
      </c>
      <c r="C113" s="6" t="inlineStr">
        <is>
          <t>Capital Markets</t>
        </is>
      </c>
      <c r="D113" s="6" t="inlineStr">
        <is>
          <t>Financials</t>
        </is>
      </c>
      <c r="E113" s="7" t="n">
        <v>0</v>
      </c>
      <c r="F113" s="7" t="n">
        <v>0</v>
      </c>
      <c r="G113" s="8" t="n">
        <v>0</v>
      </c>
      <c r="H113" s="7" t="n">
        <v>0</v>
      </c>
    </row>
    <row r="114">
      <c r="A114" s="6" t="n">
        <v>40203030</v>
      </c>
      <c r="B114" s="6" t="inlineStr">
        <is>
          <t>Diversified Capital Markets</t>
        </is>
      </c>
      <c r="C114" s="6" t="inlineStr">
        <is>
          <t>Capital Markets</t>
        </is>
      </c>
      <c r="D114" s="6" t="inlineStr">
        <is>
          <t>Financials</t>
        </is>
      </c>
      <c r="E114" s="7" t="n">
        <v>0</v>
      </c>
      <c r="F114" s="7" t="n">
        <v>0</v>
      </c>
      <c r="G114" s="8" t="n">
        <v>0</v>
      </c>
      <c r="H114" s="7" t="n">
        <v>0</v>
      </c>
    </row>
    <row r="115">
      <c r="A115" s="6" t="n">
        <v>40203040</v>
      </c>
      <c r="B115" s="6" t="inlineStr">
        <is>
          <t>Financial Exchanges &amp; Data</t>
        </is>
      </c>
      <c r="C115" s="6" t="inlineStr">
        <is>
          <t>Capital Markets</t>
        </is>
      </c>
      <c r="D115" s="6" t="inlineStr">
        <is>
          <t>Financials</t>
        </is>
      </c>
      <c r="E115" s="7" t="n">
        <v>0</v>
      </c>
      <c r="F115" s="7" t="n">
        <v>0</v>
      </c>
      <c r="G115" s="8" t="n">
        <v>0</v>
      </c>
      <c r="H115" s="7" t="n">
        <v>0</v>
      </c>
    </row>
    <row r="116">
      <c r="A116" s="6" t="n">
        <v>40204010</v>
      </c>
      <c r="B116" s="6" t="inlineStr">
        <is>
          <t>Mortgage REITs*</t>
        </is>
      </c>
      <c r="C116" s="6" t="inlineStr">
        <is>
          <t>Mortgage Real Estate Investment Trusts (REITs)</t>
        </is>
      </c>
      <c r="D116" s="6" t="inlineStr">
        <is>
          <t>Financials</t>
        </is>
      </c>
      <c r="E116" s="7" t="n">
        <v>0</v>
      </c>
      <c r="F116" s="7" t="n">
        <v>0</v>
      </c>
      <c r="G116" s="8" t="n">
        <v>0</v>
      </c>
      <c r="H116" s="7" t="n">
        <v>0</v>
      </c>
    </row>
    <row r="117">
      <c r="A117" s="6" t="n">
        <v>40301010</v>
      </c>
      <c r="B117" s="6" t="inlineStr">
        <is>
          <t>Insurance Brokers</t>
        </is>
      </c>
      <c r="C117" s="6" t="inlineStr">
        <is>
          <t>Insurance</t>
        </is>
      </c>
      <c r="D117" s="6" t="inlineStr">
        <is>
          <t>Financials</t>
        </is>
      </c>
      <c r="E117" s="7" t="n">
        <v>-0.03</v>
      </c>
      <c r="F117" s="7" t="n">
        <v>-0.1</v>
      </c>
      <c r="G117" s="8" t="n">
        <v>100</v>
      </c>
      <c r="H117" s="7" t="n">
        <v>0</v>
      </c>
    </row>
    <row r="118">
      <c r="A118" s="6" t="n">
        <v>40301020</v>
      </c>
      <c r="B118" s="6" t="inlineStr">
        <is>
          <t>Life &amp; Health Insurance</t>
        </is>
      </c>
      <c r="C118" s="6" t="inlineStr">
        <is>
          <t>Insurance</t>
        </is>
      </c>
      <c r="D118" s="6" t="inlineStr">
        <is>
          <t>Financials</t>
        </is>
      </c>
      <c r="E118" s="7" t="n">
        <v>0</v>
      </c>
      <c r="F118" s="7" t="n">
        <v>0</v>
      </c>
      <c r="G118" s="8" t="n">
        <v>0</v>
      </c>
      <c r="H118" s="7" t="n">
        <v>0</v>
      </c>
    </row>
    <row r="119">
      <c r="A119" s="6" t="n">
        <v>40301030</v>
      </c>
      <c r="B119" s="6" t="inlineStr">
        <is>
          <t>Multi-line Insurance</t>
        </is>
      </c>
      <c r="C119" s="6" t="inlineStr">
        <is>
          <t>Insurance</t>
        </is>
      </c>
      <c r="D119" s="6" t="inlineStr">
        <is>
          <t>Financials</t>
        </is>
      </c>
      <c r="E119" s="7" t="n">
        <v>0</v>
      </c>
      <c r="F119" s="7" t="n">
        <v>0</v>
      </c>
      <c r="G119" s="8" t="n">
        <v>0</v>
      </c>
      <c r="H119" s="7" t="n">
        <v>0</v>
      </c>
    </row>
    <row r="120">
      <c r="A120" s="6" t="n">
        <v>40301040</v>
      </c>
      <c r="B120" s="6" t="inlineStr">
        <is>
          <t>Property &amp; Casualty Insurance</t>
        </is>
      </c>
      <c r="C120" s="6" t="inlineStr">
        <is>
          <t>Insurance</t>
        </is>
      </c>
      <c r="D120" s="6" t="inlineStr">
        <is>
          <t>Financials</t>
        </is>
      </c>
      <c r="E120" s="7" t="n">
        <v>0</v>
      </c>
      <c r="F120" s="7" t="n">
        <v>0</v>
      </c>
      <c r="G120" s="8" t="n">
        <v>0</v>
      </c>
      <c r="H120" s="7" t="n">
        <v>0</v>
      </c>
    </row>
    <row r="121">
      <c r="A121" s="6" t="n">
        <v>40301050</v>
      </c>
      <c r="B121" s="6" t="inlineStr">
        <is>
          <t>Reinsurance</t>
        </is>
      </c>
      <c r="C121" s="6" t="inlineStr">
        <is>
          <t>Insurance</t>
        </is>
      </c>
      <c r="D121" s="6" t="inlineStr">
        <is>
          <t>Financials</t>
        </is>
      </c>
      <c r="E121" s="7" t="n">
        <v>0</v>
      </c>
      <c r="F121" s="7" t="n">
        <v>0</v>
      </c>
      <c r="G121" s="8" t="n">
        <v>0</v>
      </c>
      <c r="H121" s="7" t="n">
        <v>0</v>
      </c>
    </row>
    <row r="122">
      <c r="A122" s="6" t="n">
        <v>45102010</v>
      </c>
      <c r="B122" s="6" t="inlineStr">
        <is>
          <t>IT Consulting &amp; Other Services</t>
        </is>
      </c>
      <c r="C122" s="6" t="inlineStr">
        <is>
          <t>IT Services</t>
        </is>
      </c>
      <c r="D122" s="6" t="inlineStr">
        <is>
          <t>Information Technology</t>
        </is>
      </c>
      <c r="E122" s="7" t="n">
        <v>-0.06</v>
      </c>
      <c r="F122" s="7" t="n">
        <v>-0.15</v>
      </c>
      <c r="G122" s="8" t="n">
        <v>150</v>
      </c>
      <c r="H122" s="7" t="n">
        <v>-0.03</v>
      </c>
    </row>
    <row r="123">
      <c r="A123" s="6" t="n">
        <v>45102030</v>
      </c>
      <c r="B123" s="6" t="inlineStr">
        <is>
          <t>Internet Services &amp; Infrastructure</t>
        </is>
      </c>
      <c r="C123" s="6" t="inlineStr">
        <is>
          <t>IT Services</t>
        </is>
      </c>
      <c r="D123" s="6" t="inlineStr">
        <is>
          <t>Information Technology</t>
        </is>
      </c>
      <c r="E123" s="7" t="n">
        <v>0</v>
      </c>
      <c r="F123" s="7" t="n">
        <v>0</v>
      </c>
      <c r="G123" s="8" t="n">
        <v>0</v>
      </c>
      <c r="H123" s="7" t="n">
        <v>0</v>
      </c>
    </row>
    <row r="124">
      <c r="A124" s="6" t="n">
        <v>45103010</v>
      </c>
      <c r="B124" s="6" t="inlineStr">
        <is>
          <t>Application Software</t>
        </is>
      </c>
      <c r="C124" s="6" t="inlineStr">
        <is>
          <t>Software</t>
        </is>
      </c>
      <c r="D124" s="6" t="inlineStr">
        <is>
          <t>Information Technology</t>
        </is>
      </c>
      <c r="E124" s="7" t="n">
        <v>-0.04</v>
      </c>
      <c r="F124" s="7" t="n">
        <v>-0.18</v>
      </c>
      <c r="G124" s="8" t="n">
        <v>140</v>
      </c>
      <c r="H124" s="7" t="n">
        <v>0</v>
      </c>
    </row>
    <row r="125">
      <c r="A125" s="6" t="n">
        <v>45103020</v>
      </c>
      <c r="B125" s="6" t="inlineStr">
        <is>
          <t>Systems Software</t>
        </is>
      </c>
      <c r="C125" s="6" t="inlineStr">
        <is>
          <t>Software</t>
        </is>
      </c>
      <c r="D125" s="6" t="inlineStr">
        <is>
          <t>Information Technology</t>
        </is>
      </c>
      <c r="E125" s="7" t="n">
        <v>0</v>
      </c>
      <c r="F125" s="7" t="n">
        <v>0</v>
      </c>
      <c r="G125" s="8" t="n">
        <v>0</v>
      </c>
      <c r="H125" s="7" t="n">
        <v>0</v>
      </c>
    </row>
    <row r="126">
      <c r="A126" s="6" t="n">
        <v>45201020</v>
      </c>
      <c r="B126" s="6" t="inlineStr">
        <is>
          <t>Communications Equipment</t>
        </is>
      </c>
      <c r="C126" s="6" t="inlineStr">
        <is>
          <t>Communications Equipment</t>
        </is>
      </c>
      <c r="D126" s="6" t="inlineStr">
        <is>
          <t>Information Technology</t>
        </is>
      </c>
      <c r="E126" s="7" t="n">
        <v>0</v>
      </c>
      <c r="F126" s="7" t="n">
        <v>0</v>
      </c>
      <c r="G126" s="8" t="n">
        <v>0</v>
      </c>
      <c r="H126" s="7" t="n">
        <v>0</v>
      </c>
    </row>
    <row r="127">
      <c r="A127" s="6" t="n">
        <v>45202030</v>
      </c>
      <c r="B127" s="6" t="inlineStr">
        <is>
          <t>Technology Hardware, Storage &amp; Peripherals</t>
        </is>
      </c>
      <c r="C127" s="6" t="inlineStr">
        <is>
          <t>Technology Hardware, Storage &amp; Peripherals</t>
        </is>
      </c>
      <c r="D127" s="6" t="inlineStr">
        <is>
          <t>Information Technology</t>
        </is>
      </c>
      <c r="E127" s="7" t="n">
        <v>0</v>
      </c>
      <c r="F127" s="7" t="n">
        <v>0</v>
      </c>
      <c r="G127" s="8" t="n">
        <v>0</v>
      </c>
      <c r="H127" s="7" t="n">
        <v>0</v>
      </c>
    </row>
    <row r="128">
      <c r="A128" s="6" t="n">
        <v>45203010</v>
      </c>
      <c r="B128" s="6" t="inlineStr">
        <is>
          <t>Electronic Equipment &amp; Instruments</t>
        </is>
      </c>
      <c r="C128" s="6" t="inlineStr">
        <is>
          <t>Electronic Equipment, Instruments &amp; Components</t>
        </is>
      </c>
      <c r="D128" s="6" t="inlineStr">
        <is>
          <t>Information Technology</t>
        </is>
      </c>
      <c r="E128" s="7" t="n">
        <v>0</v>
      </c>
      <c r="F128" s="7" t="n">
        <v>0</v>
      </c>
      <c r="G128" s="8" t="n">
        <v>0</v>
      </c>
      <c r="H128" s="7" t="n">
        <v>0</v>
      </c>
    </row>
    <row r="129">
      <c r="A129" s="6" t="n">
        <v>45203015</v>
      </c>
      <c r="B129" s="6" t="inlineStr">
        <is>
          <t>Electronic Components</t>
        </is>
      </c>
      <c r="C129" s="6" t="inlineStr">
        <is>
          <t>Electronic Equipment, Instruments &amp; Components</t>
        </is>
      </c>
      <c r="D129" s="6" t="inlineStr">
        <is>
          <t>Information Technology</t>
        </is>
      </c>
      <c r="E129" s="7" t="n">
        <v>0</v>
      </c>
      <c r="F129" s="7" t="n">
        <v>0</v>
      </c>
      <c r="G129" s="8" t="n">
        <v>0</v>
      </c>
      <c r="H129" s="7" t="n">
        <v>0</v>
      </c>
    </row>
    <row r="130">
      <c r="A130" s="6" t="n">
        <v>45203020</v>
      </c>
      <c r="B130" s="6" t="inlineStr">
        <is>
          <t>Electronic Manufacturing Services</t>
        </is>
      </c>
      <c r="C130" s="6" t="inlineStr">
        <is>
          <t>Electronic Equipment, Instruments &amp; Components</t>
        </is>
      </c>
      <c r="D130" s="6" t="inlineStr">
        <is>
          <t>Information Technology</t>
        </is>
      </c>
      <c r="E130" s="7" t="n">
        <v>0</v>
      </c>
      <c r="F130" s="7" t="n">
        <v>0</v>
      </c>
      <c r="G130" s="8" t="n">
        <v>0</v>
      </c>
      <c r="H130" s="7" t="n">
        <v>0</v>
      </c>
    </row>
    <row r="131">
      <c r="A131" s="6" t="n">
        <v>45203030</v>
      </c>
      <c r="B131" s="6" t="inlineStr">
        <is>
          <t>Technology Distributors</t>
        </is>
      </c>
      <c r="C131" s="6" t="inlineStr">
        <is>
          <t>Electronic Equipment, Instruments &amp; Components</t>
        </is>
      </c>
      <c r="D131" s="6" t="inlineStr">
        <is>
          <t>Information Technology</t>
        </is>
      </c>
      <c r="E131" s="7" t="n">
        <v>0</v>
      </c>
      <c r="F131" s="7" t="n">
        <v>0</v>
      </c>
      <c r="G131" s="8" t="n">
        <v>0</v>
      </c>
      <c r="H131" s="7" t="n">
        <v>0</v>
      </c>
    </row>
    <row r="132">
      <c r="A132" s="6" t="n">
        <v>45301010</v>
      </c>
      <c r="B132" s="6" t="inlineStr">
        <is>
          <t>Semiconductor Materials &amp; Equipment</t>
        </is>
      </c>
      <c r="C132" s="6" t="inlineStr">
        <is>
          <t>Semiconductors &amp; Semiconductor Equipment</t>
        </is>
      </c>
      <c r="D132" s="6" t="inlineStr">
        <is>
          <t>Information Technology</t>
        </is>
      </c>
      <c r="E132" s="7" t="n">
        <v>0</v>
      </c>
      <c r="F132" s="7" t="n">
        <v>0</v>
      </c>
      <c r="G132" s="8" t="n">
        <v>0</v>
      </c>
      <c r="H132" s="7" t="n">
        <v>0</v>
      </c>
    </row>
    <row r="133">
      <c r="A133" s="6" t="n">
        <v>45301020</v>
      </c>
      <c r="B133" s="6" t="inlineStr">
        <is>
          <t>Semiconductors</t>
        </is>
      </c>
      <c r="C133" s="6" t="inlineStr">
        <is>
          <t>Semiconductors &amp; Semiconductor Equipment</t>
        </is>
      </c>
      <c r="D133" s="6" t="inlineStr">
        <is>
          <t>Information Technology</t>
        </is>
      </c>
      <c r="E133" s="7" t="n">
        <v>0</v>
      </c>
      <c r="F133" s="7" t="n">
        <v>0</v>
      </c>
      <c r="G133" s="8" t="n">
        <v>0</v>
      </c>
      <c r="H133" s="7" t="n">
        <v>0</v>
      </c>
    </row>
    <row r="134">
      <c r="A134" s="6" t="n">
        <v>50101010</v>
      </c>
      <c r="B134" s="6" t="inlineStr">
        <is>
          <t>Alternative Carriers</t>
        </is>
      </c>
      <c r="C134" s="6" t="inlineStr">
        <is>
          <t>Diversified Telecommunication Services</t>
        </is>
      </c>
      <c r="D134" s="6" t="inlineStr">
        <is>
          <t>Communication Services</t>
        </is>
      </c>
      <c r="E134" s="7" t="n">
        <v>0</v>
      </c>
      <c r="F134" s="7" t="n">
        <v>0</v>
      </c>
      <c r="G134" s="8" t="n">
        <v>0</v>
      </c>
      <c r="H134" s="7" t="n">
        <v>0</v>
      </c>
    </row>
    <row r="135">
      <c r="A135" s="6" t="n">
        <v>50101020</v>
      </c>
      <c r="B135" s="6" t="inlineStr">
        <is>
          <t>Integrated Telecommunication Services</t>
        </is>
      </c>
      <c r="C135" s="6" t="inlineStr">
        <is>
          <t>Diversified Telecommunication Services</t>
        </is>
      </c>
      <c r="D135" s="6" t="inlineStr">
        <is>
          <t>Communication Services</t>
        </is>
      </c>
      <c r="E135" s="7" t="n">
        <v>0</v>
      </c>
      <c r="F135" s="7" t="n">
        <v>0</v>
      </c>
      <c r="G135" s="8" t="n">
        <v>0</v>
      </c>
      <c r="H135" s="7" t="n">
        <v>0</v>
      </c>
    </row>
    <row r="136">
      <c r="A136" s="6" t="n">
        <v>50102010</v>
      </c>
      <c r="B136" s="6" t="inlineStr">
        <is>
          <t>Wireless Telecommunication Services</t>
        </is>
      </c>
      <c r="C136" s="6" t="inlineStr">
        <is>
          <t>Wireless Telecommunication Services</t>
        </is>
      </c>
      <c r="D136" s="6" t="inlineStr">
        <is>
          <t>Communication Services</t>
        </is>
      </c>
      <c r="E136" s="7" t="n">
        <v>0</v>
      </c>
      <c r="F136" s="7" t="n">
        <v>0</v>
      </c>
      <c r="G136" s="8" t="n">
        <v>0</v>
      </c>
      <c r="H136" s="7" t="n">
        <v>0</v>
      </c>
    </row>
    <row r="137">
      <c r="A137" s="6" t="n">
        <v>50201010</v>
      </c>
      <c r="B137" s="6" t="inlineStr">
        <is>
          <t>Advertising</t>
        </is>
      </c>
      <c r="C137" s="6" t="inlineStr">
        <is>
          <t>Media</t>
        </is>
      </c>
      <c r="D137" s="6" t="inlineStr">
        <is>
          <t>Communication Services</t>
        </is>
      </c>
      <c r="E137" s="7" t="n">
        <v>-0.16</v>
      </c>
      <c r="F137" s="7" t="n">
        <v>-0.28</v>
      </c>
      <c r="G137" s="8" t="n">
        <v>280</v>
      </c>
      <c r="H137" s="7" t="n">
        <v>-0.02</v>
      </c>
    </row>
    <row r="138">
      <c r="A138" s="6" t="n">
        <v>50201020</v>
      </c>
      <c r="B138" s="6" t="inlineStr">
        <is>
          <t>Broadcasting</t>
        </is>
      </c>
      <c r="C138" s="6" t="inlineStr">
        <is>
          <t>Media</t>
        </is>
      </c>
      <c r="D138" s="6" t="inlineStr">
        <is>
          <t>Communication Services</t>
        </is>
      </c>
      <c r="E138" s="7" t="n">
        <v>0</v>
      </c>
      <c r="F138" s="7" t="n">
        <v>0</v>
      </c>
      <c r="G138" s="8" t="n">
        <v>0</v>
      </c>
      <c r="H138" s="7" t="n">
        <v>0</v>
      </c>
    </row>
    <row r="139">
      <c r="A139" s="6" t="n">
        <v>50201030</v>
      </c>
      <c r="B139" s="6" t="inlineStr">
        <is>
          <t>Cable &amp; Satellite</t>
        </is>
      </c>
      <c r="C139" s="6" t="inlineStr">
        <is>
          <t>Media</t>
        </is>
      </c>
      <c r="D139" s="6" t="inlineStr">
        <is>
          <t>Communication Services</t>
        </is>
      </c>
      <c r="E139" s="7" t="n">
        <v>0</v>
      </c>
      <c r="F139" s="7" t="n">
        <v>0</v>
      </c>
      <c r="G139" s="8" t="n">
        <v>0</v>
      </c>
      <c r="H139" s="7" t="n">
        <v>0</v>
      </c>
    </row>
    <row r="140">
      <c r="A140" s="6" t="n">
        <v>50201040</v>
      </c>
      <c r="B140" s="6" t="inlineStr">
        <is>
          <t>Publishing</t>
        </is>
      </c>
      <c r="C140" s="6" t="inlineStr">
        <is>
          <t>Media</t>
        </is>
      </c>
      <c r="D140" s="6" t="inlineStr">
        <is>
          <t>Communication Services</t>
        </is>
      </c>
      <c r="E140" s="7" t="n">
        <v>0</v>
      </c>
      <c r="F140" s="7" t="n">
        <v>0</v>
      </c>
      <c r="G140" s="8" t="n">
        <v>0</v>
      </c>
      <c r="H140" s="7" t="n">
        <v>0</v>
      </c>
    </row>
    <row r="141">
      <c r="A141" s="6" t="n">
        <v>50202010</v>
      </c>
      <c r="B141" s="6" t="inlineStr">
        <is>
          <t>Movies &amp; Entertainment</t>
        </is>
      </c>
      <c r="C141" s="6" t="inlineStr">
        <is>
          <t>Entertainment</t>
        </is>
      </c>
      <c r="D141" s="6" t="inlineStr">
        <is>
          <t>Communication Services</t>
        </is>
      </c>
      <c r="E141" s="7" t="n">
        <v>0</v>
      </c>
      <c r="F141" s="7" t="n">
        <v>0</v>
      </c>
      <c r="G141" s="8" t="n">
        <v>0</v>
      </c>
      <c r="H141" s="7" t="n">
        <v>0</v>
      </c>
    </row>
    <row r="142">
      <c r="A142" s="6" t="n">
        <v>50202020</v>
      </c>
      <c r="B142" s="6" t="inlineStr">
        <is>
          <t>Interactive Home Entertainment</t>
        </is>
      </c>
      <c r="C142" s="6" t="inlineStr">
        <is>
          <t>Entertainment</t>
        </is>
      </c>
      <c r="D142" s="6" t="inlineStr">
        <is>
          <t>Communication Services</t>
        </is>
      </c>
      <c r="E142" s="7" t="n">
        <v>0</v>
      </c>
      <c r="F142" s="7" t="n">
        <v>0</v>
      </c>
      <c r="G142" s="8" t="n">
        <v>0</v>
      </c>
      <c r="H142" s="7" t="n">
        <v>0</v>
      </c>
    </row>
    <row r="143">
      <c r="A143" s="6" t="n">
        <v>50203010</v>
      </c>
      <c r="B143" s="6" t="inlineStr">
        <is>
          <t>Interactive Media &amp; Services</t>
        </is>
      </c>
      <c r="C143" s="6" t="inlineStr">
        <is>
          <t>Interactive Media &amp; Services</t>
        </is>
      </c>
      <c r="D143" s="6" t="inlineStr">
        <is>
          <t>Communication Services</t>
        </is>
      </c>
      <c r="E143" s="7" t="n">
        <v>-0.13</v>
      </c>
      <c r="F143" s="7" t="n">
        <v>-0.24</v>
      </c>
      <c r="G143" s="8" t="n">
        <v>240</v>
      </c>
      <c r="H143" s="7" t="n">
        <v>0</v>
      </c>
    </row>
    <row r="144">
      <c r="A144" s="6" t="n">
        <v>55101010</v>
      </c>
      <c r="B144" s="6" t="inlineStr">
        <is>
          <t>Electric Utilities</t>
        </is>
      </c>
      <c r="C144" s="6" t="inlineStr">
        <is>
          <t>Electric Utilities</t>
        </is>
      </c>
      <c r="D144" s="6" t="inlineStr">
        <is>
          <t>Utilities</t>
        </is>
      </c>
      <c r="E144" s="7" t="n">
        <v>0</v>
      </c>
      <c r="F144" s="7" t="n">
        <v>0</v>
      </c>
      <c r="G144" s="8" t="n">
        <v>0</v>
      </c>
      <c r="H144" s="7" t="n">
        <v>0</v>
      </c>
    </row>
    <row r="145">
      <c r="A145" s="6" t="n">
        <v>55102010</v>
      </c>
      <c r="B145" s="6" t="inlineStr">
        <is>
          <t>Gas Utilities</t>
        </is>
      </c>
      <c r="C145" s="6" t="inlineStr">
        <is>
          <t>Gas Utilities</t>
        </is>
      </c>
      <c r="D145" s="6" t="inlineStr">
        <is>
          <t>Utilities</t>
        </is>
      </c>
      <c r="E145" s="7" t="n">
        <v>0</v>
      </c>
      <c r="F145" s="7" t="n">
        <v>0</v>
      </c>
      <c r="G145" s="8" t="n">
        <v>0</v>
      </c>
      <c r="H145" s="7" t="n">
        <v>0</v>
      </c>
    </row>
    <row r="146">
      <c r="A146" s="6" t="n">
        <v>55103010</v>
      </c>
      <c r="B146" s="6" t="inlineStr">
        <is>
          <t>Multi-Utilities</t>
        </is>
      </c>
      <c r="C146" s="6" t="inlineStr">
        <is>
          <t>Multi-Utilities</t>
        </is>
      </c>
      <c r="D146" s="6" t="inlineStr">
        <is>
          <t>Utilities</t>
        </is>
      </c>
      <c r="E146" s="7" t="n">
        <v>0</v>
      </c>
      <c r="F146" s="7" t="n">
        <v>0</v>
      </c>
      <c r="G146" s="8" t="n">
        <v>0</v>
      </c>
      <c r="H146" s="7" t="n">
        <v>0</v>
      </c>
    </row>
    <row r="147">
      <c r="A147" s="6" t="n">
        <v>55104010</v>
      </c>
      <c r="B147" s="6" t="inlineStr">
        <is>
          <t>Water Utilities</t>
        </is>
      </c>
      <c r="C147" s="6" t="inlineStr">
        <is>
          <t>Water Utilities</t>
        </is>
      </c>
      <c r="D147" s="6" t="inlineStr">
        <is>
          <t>Utilities</t>
        </is>
      </c>
      <c r="E147" s="7" t="n">
        <v>0</v>
      </c>
      <c r="F147" s="7" t="n">
        <v>0</v>
      </c>
      <c r="G147" s="8" t="n">
        <v>0</v>
      </c>
      <c r="H147" s="7" t="n">
        <v>0</v>
      </c>
    </row>
    <row r="148">
      <c r="A148" s="6" t="n">
        <v>55105010</v>
      </c>
      <c r="B148" s="6" t="inlineStr">
        <is>
          <t>Independent Power Producers &amp; Energy Traders</t>
        </is>
      </c>
      <c r="C148" s="6" t="inlineStr">
        <is>
          <t>Independent Power and Renewable Electricity Producers</t>
        </is>
      </c>
      <c r="D148" s="6" t="inlineStr">
        <is>
          <t>Utilities</t>
        </is>
      </c>
      <c r="E148" s="7" t="n">
        <v>0</v>
      </c>
      <c r="F148" s="7" t="n">
        <v>0</v>
      </c>
      <c r="G148" s="8" t="n">
        <v>0</v>
      </c>
      <c r="H148" s="7" t="n">
        <v>0</v>
      </c>
    </row>
    <row r="149">
      <c r="A149" s="6" t="n">
        <v>55105020</v>
      </c>
      <c r="B149" s="6" t="inlineStr">
        <is>
          <t>Renewable Electricity</t>
        </is>
      </c>
      <c r="C149" s="6" t="inlineStr">
        <is>
          <t>Independent Power and Renewable Electricity Producers</t>
        </is>
      </c>
      <c r="D149" s="6" t="inlineStr">
        <is>
          <t>Utilities</t>
        </is>
      </c>
      <c r="E149" s="7" t="n">
        <v>0</v>
      </c>
      <c r="F149" s="7" t="n">
        <v>0</v>
      </c>
      <c r="G149" s="8" t="n">
        <v>0</v>
      </c>
      <c r="H149" s="7" t="n">
        <v>0</v>
      </c>
    </row>
    <row r="150">
      <c r="A150" s="6" t="n">
        <v>60101010</v>
      </c>
      <c r="B150" s="6" t="inlineStr">
        <is>
          <t>Diversified REITs*</t>
        </is>
      </c>
      <c r="C150" s="6" t="inlineStr">
        <is>
          <t>Diversified REITs</t>
        </is>
      </c>
      <c r="D150" s="6" t="inlineStr">
        <is>
          <t>Real Estate</t>
        </is>
      </c>
      <c r="E150" s="7" t="n">
        <v>0</v>
      </c>
      <c r="F150" s="7" t="n">
        <v>0</v>
      </c>
      <c r="G150" s="8" t="n">
        <v>0</v>
      </c>
      <c r="H150" s="7" t="n">
        <v>0</v>
      </c>
    </row>
    <row r="151">
      <c r="A151" s="6" t="n">
        <v>60102510</v>
      </c>
      <c r="B151" s="6" t="inlineStr">
        <is>
          <t>Industrial REITs*</t>
        </is>
      </c>
      <c r="C151" s="6" t="inlineStr">
        <is>
          <t>Industrial REITs</t>
        </is>
      </c>
      <c r="D151" s="6" t="inlineStr">
        <is>
          <t>Real Estate</t>
        </is>
      </c>
      <c r="E151" s="7" t="n">
        <v>0</v>
      </c>
      <c r="F151" s="7" t="n">
        <v>0</v>
      </c>
      <c r="G151" s="8" t="n">
        <v>0</v>
      </c>
      <c r="H151" s="7" t="n">
        <v>0</v>
      </c>
    </row>
    <row r="152">
      <c r="A152" s="6" t="n">
        <v>60103010</v>
      </c>
      <c r="B152" s="6" t="inlineStr">
        <is>
          <t>Hotel &amp; Resort REITs*</t>
        </is>
      </c>
      <c r="C152" s="6" t="inlineStr">
        <is>
          <t>Hotel &amp; Resort REITs</t>
        </is>
      </c>
      <c r="D152" s="6" t="inlineStr">
        <is>
          <t>Real Estate</t>
        </is>
      </c>
      <c r="E152" s="7" t="n">
        <v>0</v>
      </c>
      <c r="F152" s="7" t="n">
        <v>0</v>
      </c>
      <c r="G152" s="8" t="n">
        <v>0</v>
      </c>
      <c r="H152" s="7" t="n">
        <v>0</v>
      </c>
    </row>
    <row r="153">
      <c r="A153" s="6" t="n">
        <v>60104010</v>
      </c>
      <c r="B153" s="6" t="inlineStr">
        <is>
          <t>Office REITs*</t>
        </is>
      </c>
      <c r="C153" s="6" t="inlineStr">
        <is>
          <t>Office REITs</t>
        </is>
      </c>
      <c r="D153" s="6" t="inlineStr">
        <is>
          <t>Real Estate</t>
        </is>
      </c>
      <c r="E153" s="7" t="n">
        <v>0</v>
      </c>
      <c r="F153" s="7" t="n">
        <v>0</v>
      </c>
      <c r="G153" s="8" t="n">
        <v>0</v>
      </c>
      <c r="H153" s="7" t="n">
        <v>0</v>
      </c>
    </row>
    <row r="154">
      <c r="A154" s="6" t="n">
        <v>60105010</v>
      </c>
      <c r="B154" s="6" t="inlineStr">
        <is>
          <t>Health Care REITs*</t>
        </is>
      </c>
      <c r="C154" s="6" t="inlineStr">
        <is>
          <t>Health Care REITs</t>
        </is>
      </c>
      <c r="D154" s="6" t="inlineStr">
        <is>
          <t>Real Estate</t>
        </is>
      </c>
      <c r="E154" s="7" t="n">
        <v>0</v>
      </c>
      <c r="F154" s="7" t="n">
        <v>0</v>
      </c>
      <c r="G154" s="8" t="n">
        <v>0</v>
      </c>
      <c r="H154" s="7" t="n">
        <v>0</v>
      </c>
    </row>
    <row r="155">
      <c r="A155" s="6" t="n">
        <v>60106010</v>
      </c>
      <c r="B155" s="6" t="inlineStr">
        <is>
          <t>Multi-Family Residential REITs*</t>
        </is>
      </c>
      <c r="C155" s="6" t="inlineStr">
        <is>
          <t>Residential REITs</t>
        </is>
      </c>
      <c r="D155" s="6" t="inlineStr">
        <is>
          <t>Real Estate</t>
        </is>
      </c>
      <c r="E155" s="7" t="n">
        <v>0</v>
      </c>
      <c r="F155" s="7" t="n">
        <v>0</v>
      </c>
      <c r="G155" s="8" t="n">
        <v>0</v>
      </c>
      <c r="H155" s="7" t="n">
        <v>0</v>
      </c>
    </row>
    <row r="156">
      <c r="A156" s="6" t="n">
        <v>60106020</v>
      </c>
      <c r="B156" s="6" t="inlineStr">
        <is>
          <t>Single-Family Residential REITs*</t>
        </is>
      </c>
      <c r="C156" s="6" t="inlineStr">
        <is>
          <t>Residential REITs</t>
        </is>
      </c>
      <c r="D156" s="6" t="inlineStr">
        <is>
          <t>Real Estate</t>
        </is>
      </c>
      <c r="E156" s="7" t="n">
        <v>0</v>
      </c>
      <c r="F156" s="7" t="n">
        <v>0</v>
      </c>
      <c r="G156" s="8" t="n">
        <v>0</v>
      </c>
      <c r="H156" s="7" t="n">
        <v>0</v>
      </c>
    </row>
    <row r="157">
      <c r="A157" s="6" t="n">
        <v>60107010</v>
      </c>
      <c r="B157" s="6" t="inlineStr">
        <is>
          <t>Retail REITs*</t>
        </is>
      </c>
      <c r="C157" s="6" t="inlineStr">
        <is>
          <t>Retail REITs</t>
        </is>
      </c>
      <c r="D157" s="6" t="inlineStr">
        <is>
          <t>Real Estate</t>
        </is>
      </c>
      <c r="E157" s="7" t="n">
        <v>0</v>
      </c>
      <c r="F157" s="7" t="n">
        <v>0</v>
      </c>
      <c r="G157" s="8" t="n">
        <v>0</v>
      </c>
      <c r="H157" s="7" t="n">
        <v>0</v>
      </c>
    </row>
    <row r="158">
      <c r="A158" s="6" t="n">
        <v>60108010</v>
      </c>
      <c r="B158" s="6" t="inlineStr">
        <is>
          <t>Other Specialized REITs*</t>
        </is>
      </c>
      <c r="C158" s="6" t="inlineStr">
        <is>
          <t>Specialized REITs</t>
        </is>
      </c>
      <c r="D158" s="6" t="inlineStr">
        <is>
          <t>Real Estate</t>
        </is>
      </c>
      <c r="E158" s="7" t="n">
        <v>0</v>
      </c>
      <c r="F158" s="7" t="n">
        <v>0</v>
      </c>
      <c r="G158" s="8" t="n">
        <v>0</v>
      </c>
      <c r="H158" s="7" t="n">
        <v>0</v>
      </c>
    </row>
    <row r="159">
      <c r="A159" s="6" t="n">
        <v>60108020</v>
      </c>
      <c r="B159" s="6" t="inlineStr">
        <is>
          <t>Self-Storage REITs*</t>
        </is>
      </c>
      <c r="C159" s="6" t="inlineStr">
        <is>
          <t>Specialized REITs</t>
        </is>
      </c>
      <c r="D159" s="6" t="inlineStr">
        <is>
          <t>Real Estate</t>
        </is>
      </c>
      <c r="E159" s="7" t="n">
        <v>0</v>
      </c>
      <c r="F159" s="7" t="n">
        <v>0</v>
      </c>
      <c r="G159" s="8" t="n">
        <v>0</v>
      </c>
      <c r="H159" s="7" t="n">
        <v>0</v>
      </c>
    </row>
    <row r="160">
      <c r="A160" s="6" t="n">
        <v>60108030</v>
      </c>
      <c r="B160" s="6" t="inlineStr">
        <is>
          <t>Telecom Tower REITs*</t>
        </is>
      </c>
      <c r="C160" s="6" t="inlineStr">
        <is>
          <t>Specialized REITs</t>
        </is>
      </c>
      <c r="D160" s="6" t="inlineStr">
        <is>
          <t>Real Estate</t>
        </is>
      </c>
      <c r="E160" s="7" t="n">
        <v>0</v>
      </c>
      <c r="F160" s="7" t="n">
        <v>0</v>
      </c>
      <c r="G160" s="8" t="n">
        <v>0</v>
      </c>
      <c r="H160" s="7" t="n">
        <v>0</v>
      </c>
    </row>
    <row r="161">
      <c r="A161" s="6" t="n">
        <v>60108040</v>
      </c>
      <c r="B161" s="6" t="inlineStr">
        <is>
          <t>Timber REITs*</t>
        </is>
      </c>
      <c r="C161" s="6" t="inlineStr">
        <is>
          <t>Specialized REITs</t>
        </is>
      </c>
      <c r="D161" s="6" t="inlineStr">
        <is>
          <t>Real Estate</t>
        </is>
      </c>
      <c r="E161" s="7" t="n">
        <v>0</v>
      </c>
      <c r="F161" s="7" t="n">
        <v>0</v>
      </c>
      <c r="G161" s="8" t="n">
        <v>0</v>
      </c>
      <c r="H161" s="7" t="n">
        <v>0</v>
      </c>
    </row>
    <row r="162">
      <c r="A162" s="6" t="n">
        <v>60108050</v>
      </c>
      <c r="B162" s="6" t="inlineStr">
        <is>
          <t>Data Center REITs*</t>
        </is>
      </c>
      <c r="C162" s="6" t="inlineStr">
        <is>
          <t>Specialized REITs</t>
        </is>
      </c>
      <c r="D162" s="6" t="inlineStr">
        <is>
          <t>Real Estate</t>
        </is>
      </c>
      <c r="E162" s="7" t="n">
        <v>0</v>
      </c>
      <c r="F162" s="7" t="n">
        <v>0</v>
      </c>
      <c r="G162" s="8" t="n">
        <v>0</v>
      </c>
      <c r="H162" s="7" t="n">
        <v>0</v>
      </c>
    </row>
    <row r="163">
      <c r="A163" s="6" t="n">
        <v>60201010</v>
      </c>
      <c r="B163" s="6" t="inlineStr">
        <is>
          <t>Diversified Real Estate Activities</t>
        </is>
      </c>
      <c r="C163" s="6" t="inlineStr">
        <is>
          <t>Real Estate Management &amp; Development</t>
        </is>
      </c>
      <c r="D163" s="6" t="inlineStr">
        <is>
          <t>Real Estate</t>
        </is>
      </c>
      <c r="E163" s="7" t="n">
        <v>0</v>
      </c>
      <c r="F163" s="7" t="n">
        <v>0</v>
      </c>
      <c r="G163" s="8" t="n">
        <v>0</v>
      </c>
      <c r="H163" s="7" t="n">
        <v>0</v>
      </c>
    </row>
    <row r="164">
      <c r="A164" s="6" t="n">
        <v>60201020</v>
      </c>
      <c r="B164" s="6" t="inlineStr">
        <is>
          <t>Real Estate Operating Companies</t>
        </is>
      </c>
      <c r="C164" s="6" t="inlineStr">
        <is>
          <t>Real Estate Management &amp; Development</t>
        </is>
      </c>
      <c r="D164" s="6" t="inlineStr">
        <is>
          <t>Real Estate</t>
        </is>
      </c>
      <c r="E164" s="7" t="n">
        <v>0</v>
      </c>
      <c r="F164" s="7" t="n">
        <v>0</v>
      </c>
      <c r="G164" s="8" t="n">
        <v>0</v>
      </c>
      <c r="H164" s="7" t="n">
        <v>0</v>
      </c>
    </row>
    <row r="165">
      <c r="A165" s="6" t="n">
        <v>60201030</v>
      </c>
      <c r="B165" s="6" t="inlineStr">
        <is>
          <t>Real Estate Development</t>
        </is>
      </c>
      <c r="C165" s="6" t="inlineStr">
        <is>
          <t>Real Estate Management &amp; Development</t>
        </is>
      </c>
      <c r="D165" s="6" t="inlineStr">
        <is>
          <t>Real Estate</t>
        </is>
      </c>
      <c r="E165" s="7" t="n">
        <v>0</v>
      </c>
      <c r="F165" s="7" t="n">
        <v>0</v>
      </c>
      <c r="G165" s="8" t="n">
        <v>0</v>
      </c>
      <c r="H165" s="7" t="n">
        <v>0</v>
      </c>
    </row>
    <row r="166">
      <c r="A166" s="6" t="n">
        <v>60201040</v>
      </c>
      <c r="B166" s="6" t="inlineStr">
        <is>
          <t>Real Estate Services</t>
        </is>
      </c>
      <c r="C166" s="6" t="inlineStr">
        <is>
          <t>Real Estate Management &amp; Development</t>
        </is>
      </c>
      <c r="D166" s="6" t="inlineStr">
        <is>
          <t>Real Estate</t>
        </is>
      </c>
      <c r="E166" s="7" t="n">
        <v>0</v>
      </c>
      <c r="F166" s="7" t="n">
        <v>0</v>
      </c>
      <c r="G166" s="8" t="n">
        <v>0</v>
      </c>
      <c r="H166" s="7" t="n">
        <v>0</v>
      </c>
    </row>
    <row r="168">
      <c r="A168" s="9" t="inlineStr">
        <is>
          <t>GLOBAL ASSUMPTIONS (portfolio-wide, not GICS-specific — a rate shock is macro, matching the Northwind worked example)</t>
        </is>
      </c>
    </row>
    <row r="169">
      <c r="A169" s="10" t="inlineStr">
        <is>
          <t>Current Reference Rate %</t>
        </is>
      </c>
      <c r="B169" s="11" t="n">
        <v>0.0525</v>
      </c>
    </row>
    <row r="170">
      <c r="A170" s="10" t="inlineStr">
        <is>
          <t>Reference Rate Shock (bps)</t>
        </is>
      </c>
      <c r="B170" s="12" t="n">
        <v>200</v>
      </c>
    </row>
  </sheetData>
  <mergeCells count="2">
    <mergeCell ref="A168:D16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6" customWidth="1" min="1" max="1"/>
    <col width="20" customWidth="1" min="2" max="2"/>
    <col width="12" customWidth="1" min="3" max="3"/>
    <col width="28" customWidth="1" min="4" max="4"/>
    <col width="26" customWidth="1" min="5" max="5"/>
    <col width="20" customWidth="1" min="6" max="6"/>
    <col width="50" customWidth="1" min="7" max="7"/>
    <col width="5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3" customWidth="1" min="30" max="30"/>
    <col width="13" customWidth="1" min="31" max="31"/>
    <col width="12" customWidth="1" min="32" max="32"/>
    <col width="11" customWidth="1" min="33" max="33"/>
    <col width="11" customWidth="1" min="34" max="34"/>
    <col width="13" customWidth="1" min="35" max="35"/>
  </cols>
  <sheetData>
    <row r="1" ht="40" customHeight="1">
      <c r="A1" t="inlineStr">
        <is>
          <t>VALUES ONLY. Columns A-Y are your requested fields. Columns Z-AE (blue) are framework-required assumptions the B1-B5 formula chain needs but weren't on the original list — illustrative sector-based defaults, override per name as real data becomes available. All deals fictional; sponsor, LTM revenue, structuring/current EBITDA, opening/current leverage, opening/current LTV are internally consistent (Net Debt held constant from close to today; Current Leverage = Net Debt / Current EBITDA, derived).</t>
        </is>
      </c>
    </row>
    <row r="3" ht="34" customHeight="1">
      <c r="A3" s="5" t="inlineStr">
        <is>
          <t>Deal Name</t>
        </is>
      </c>
      <c r="B3" s="5" t="inlineStr">
        <is>
          <t>Sponsor</t>
        </is>
      </c>
      <c r="C3" s="5" t="inlineStr">
        <is>
          <t>GICS Sub-Ind Code</t>
        </is>
      </c>
      <c r="D3" s="5" t="inlineStr">
        <is>
          <t>GICS Sub-Industry</t>
        </is>
      </c>
      <c r="E3" s="5" t="inlineStr">
        <is>
          <t>GICS Industry</t>
        </is>
      </c>
      <c r="F3" s="5" t="inlineStr">
        <is>
          <t>GICS Sector</t>
        </is>
      </c>
      <c r="G3" s="5" t="inlineStr">
        <is>
          <t>Company Description</t>
        </is>
      </c>
      <c r="H3" s="5" t="inlineStr">
        <is>
          <t>Investment Thesis</t>
        </is>
      </c>
      <c r="I3" s="5" t="inlineStr">
        <is>
          <t>LTM Revenue
($m)</t>
        </is>
      </c>
      <c r="J3" s="5" t="inlineStr">
        <is>
          <t>EBITDA
Margin %</t>
        </is>
      </c>
      <c r="K3" s="5" t="inlineStr">
        <is>
          <t>Structuring
EBITDA ($m)</t>
        </is>
      </c>
      <c r="L3" s="5" t="inlineStr">
        <is>
          <t>Current
EBITDA ($m)</t>
        </is>
      </c>
      <c r="M3" s="5" t="inlineStr">
        <is>
          <t>Net Debt
($m)</t>
        </is>
      </c>
      <c r="N3" s="5" t="inlineStr">
        <is>
          <t>Opening Leverage
(net, x)</t>
        </is>
      </c>
      <c r="O3" s="5" t="inlineStr">
        <is>
          <t>Current Leverage
(net, x)</t>
        </is>
      </c>
      <c r="P3" s="5" t="inlineStr">
        <is>
          <t>Entry EV/EBITDA
Multiple (x)</t>
        </is>
      </c>
      <c r="Q3" s="5" t="inlineStr">
        <is>
          <t>Current EV/EBITDA
Multiple (x)</t>
        </is>
      </c>
      <c r="R3" s="5" t="inlineStr">
        <is>
          <t>Opening EV
($m)</t>
        </is>
      </c>
      <c r="S3" s="5" t="inlineStr">
        <is>
          <t>Current EV
($m)</t>
        </is>
      </c>
      <c r="T3" s="5" t="inlineStr">
        <is>
          <t>Opening
LTV %</t>
        </is>
      </c>
      <c r="U3" s="5" t="inlineStr">
        <is>
          <t>Current
LTV %</t>
        </is>
      </c>
      <c r="V3" s="5" t="inlineStr">
        <is>
          <t>Invested Amount
at Cost ($m)</t>
        </is>
      </c>
      <c r="W3" s="5" t="inlineStr">
        <is>
          <t>Margin over Floating
(coupon, bps)</t>
        </is>
      </c>
      <c r="X3" s="5" t="inlineStr">
        <is>
          <t>Spread Duration
(yrs)</t>
        </is>
      </c>
      <c r="Y3" s="5" t="inlineStr">
        <is>
          <t>Current
Z-spread (bps)</t>
        </is>
      </c>
      <c r="Z3" s="5" t="inlineStr">
        <is>
          <t>Operating
Leverage (x)</t>
        </is>
      </c>
      <c r="AA3" s="5" t="inlineStr">
        <is>
          <t>Leverage
Covenant (x)</t>
        </is>
      </c>
      <c r="AB3" s="5" t="inlineStr">
        <is>
          <t>FCCR
Covenant (x)</t>
        </is>
      </c>
      <c r="AC3" s="5" t="inlineStr">
        <is>
          <t>Capex
(% of revenue)</t>
        </is>
      </c>
      <c r="AD3" s="5" t="inlineStr">
        <is>
          <t>Cash Tax
(% of EBITDA)</t>
        </is>
      </c>
      <c r="AE3" s="5" t="inlineStr">
        <is>
          <t>Scheduled Amort.
(% debt p.a.)</t>
        </is>
      </c>
    </row>
    <row r="4" ht="45" customHeight="1">
      <c r="A4" s="13" t="inlineStr">
        <is>
          <t>Meridian Clinical Partners</t>
        </is>
      </c>
      <c r="B4" s="13" t="inlineStr">
        <is>
          <t>Northbridge Capital</t>
        </is>
      </c>
      <c r="C4" s="13" t="n">
        <v>35102015</v>
      </c>
      <c r="D4" s="13" t="inlineStr">
        <is>
          <t>Health Care Services</t>
        </is>
      </c>
      <c r="E4" s="13" t="inlineStr">
        <is>
          <t>Health Care Providers &amp; Services</t>
        </is>
      </c>
      <c r="F4" s="13" t="inlineStr">
        <is>
          <t>Health Care</t>
        </is>
      </c>
      <c r="G4" s="14" t="inlineStr">
        <is>
          <t>Multi-site outpatient physical therapy and rehabilitation platform across the US Southeast, 44 clinics.</t>
        </is>
      </c>
      <c r="H4" s="14" t="inlineStr">
        <is>
          <t>Roll-up of fragmented single-site PT practices; consolidate billing/scheduling, cross-sell into ortho referral networks.</t>
        </is>
      </c>
      <c r="I4" s="15" t="n">
        <v>118</v>
      </c>
      <c r="J4" s="7" t="n">
        <v>0.19</v>
      </c>
      <c r="K4" s="15" t="n">
        <v>21.5</v>
      </c>
      <c r="L4" s="15" t="n">
        <v>22.79</v>
      </c>
      <c r="M4" s="15" t="n">
        <v>112.875</v>
      </c>
      <c r="N4" s="16" t="n">
        <v>5.25</v>
      </c>
      <c r="O4" s="16" t="n">
        <v>4.953</v>
      </c>
      <c r="P4" s="16" t="n">
        <v>9.5</v>
      </c>
      <c r="Q4" s="16" t="n">
        <v>9</v>
      </c>
      <c r="R4" s="15" t="n">
        <v>204.25</v>
      </c>
      <c r="S4" s="15" t="n">
        <v>205.11</v>
      </c>
      <c r="T4" s="7" t="n">
        <v>0.5526315789473685</v>
      </c>
      <c r="U4" s="7" t="n">
        <v>0.550314465408805</v>
      </c>
      <c r="V4" s="15" t="n">
        <v>107.23125</v>
      </c>
      <c r="W4" s="15" t="n">
        <v>550</v>
      </c>
      <c r="X4" s="17" t="n">
        <v>3.2</v>
      </c>
      <c r="Y4" s="15" t="n">
        <v>520</v>
      </c>
      <c r="Z4" s="18" t="n">
        <v>1.5</v>
      </c>
      <c r="AA4" s="18" t="n">
        <v>6.6</v>
      </c>
      <c r="AB4" s="19" t="n">
        <v>1</v>
      </c>
      <c r="AC4" s="19" t="n">
        <v>0.02</v>
      </c>
      <c r="AD4" s="19" t="n">
        <v>0.1</v>
      </c>
      <c r="AE4" s="20" t="n">
        <v>0.01</v>
      </c>
    </row>
    <row r="5" ht="45" customHeight="1">
      <c r="A5" s="13" t="inlineStr">
        <is>
          <t>Alderwood Behavioral Health</t>
        </is>
      </c>
      <c r="B5" s="13" t="inlineStr">
        <is>
          <t>Northbridge Capital</t>
        </is>
      </c>
      <c r="C5" s="13" t="n">
        <v>35102020</v>
      </c>
      <c r="D5" s="13" t="inlineStr">
        <is>
          <t>Health Care Facilities</t>
        </is>
      </c>
      <c r="E5" s="13" t="inlineStr">
        <is>
          <t>Health Care Providers &amp; Services</t>
        </is>
      </c>
      <c r="F5" s="13" t="inlineStr">
        <is>
          <t>Health Care</t>
        </is>
      </c>
      <c r="G5" s="14" t="inlineStr">
        <is>
          <t>Inpatient and outpatient behavioral health facilities operator, 12 facilities across three states.</t>
        </is>
      </c>
      <c r="H5" s="14" t="inlineStr">
        <is>
          <t>Demand-inelastic acute behavioral health capacity in undersupplied markets; payor mix skewed commercial.</t>
        </is>
      </c>
      <c r="I5" s="15" t="n">
        <v>96</v>
      </c>
      <c r="J5" s="7" t="n">
        <v>0.22</v>
      </c>
      <c r="K5" s="15" t="n">
        <v>19.8</v>
      </c>
      <c r="L5" s="15" t="n">
        <v>19.008</v>
      </c>
      <c r="M5" s="15" t="n">
        <v>113.85</v>
      </c>
      <c r="N5" s="16" t="n">
        <v>5.75</v>
      </c>
      <c r="O5" s="16" t="n">
        <v>5.99</v>
      </c>
      <c r="P5" s="16" t="n">
        <v>10</v>
      </c>
      <c r="Q5" s="16" t="n">
        <v>9.199999999999999</v>
      </c>
      <c r="R5" s="15" t="n">
        <v>198</v>
      </c>
      <c r="S5" s="15" t="n">
        <v>174.8736</v>
      </c>
      <c r="T5" s="7" t="n">
        <v>0.5750000000000001</v>
      </c>
      <c r="U5" s="7" t="n">
        <v>0.6510416666666667</v>
      </c>
      <c r="V5" s="15" t="n">
        <v>113.85</v>
      </c>
      <c r="W5" s="15" t="n">
        <v>575</v>
      </c>
      <c r="X5" s="17" t="n">
        <v>3.4</v>
      </c>
      <c r="Y5" s="15" t="n">
        <v>560</v>
      </c>
      <c r="Z5" s="18" t="n">
        <v>1.5</v>
      </c>
      <c r="AA5" s="18" t="n">
        <v>7.1</v>
      </c>
      <c r="AB5" s="19" t="n">
        <v>1</v>
      </c>
      <c r="AC5" s="19" t="n">
        <v>0.02</v>
      </c>
      <c r="AD5" s="19" t="n">
        <v>0.1</v>
      </c>
      <c r="AE5" s="20" t="n">
        <v>0.01</v>
      </c>
    </row>
    <row r="6" ht="45" customHeight="1">
      <c r="A6" s="13" t="inlineStr">
        <is>
          <t>Cascade MedSupply</t>
        </is>
      </c>
      <c r="B6" s="13" t="inlineStr">
        <is>
          <t>Ferrow Street Partners</t>
        </is>
      </c>
      <c r="C6" s="13" t="n">
        <v>35101020</v>
      </c>
      <c r="D6" s="13" t="inlineStr">
        <is>
          <t>Health Care Supplies</t>
        </is>
      </c>
      <c r="E6" s="13" t="inlineStr">
        <is>
          <t>Health Care Equipment &amp; Supplies</t>
        </is>
      </c>
      <c r="F6" s="13" t="inlineStr">
        <is>
          <t>Health Care</t>
        </is>
      </c>
      <c r="G6" s="14" t="inlineStr">
        <is>
          <t>Distributor of disposable medical supplies to ambulatory surgical centers and physician offices.</t>
        </is>
      </c>
      <c r="H6" s="14" t="inlineStr">
        <is>
          <t>Sticky vendor-of-record relationships; consolidate a fragmented distributor base via bolt-ons.</t>
        </is>
      </c>
      <c r="I6" s="15" t="n">
        <v>142</v>
      </c>
      <c r="J6" s="7" t="n">
        <v>0.14</v>
      </c>
      <c r="K6" s="15" t="n">
        <v>17.9</v>
      </c>
      <c r="L6" s="15" t="n">
        <v>19.69</v>
      </c>
      <c r="M6" s="15" t="n">
        <v>85.02499999999999</v>
      </c>
      <c r="N6" s="16" t="n">
        <v>4.75</v>
      </c>
      <c r="O6" s="16" t="n">
        <v>4.318</v>
      </c>
      <c r="P6" s="16" t="n">
        <v>8.5</v>
      </c>
      <c r="Q6" s="16" t="n">
        <v>8.5</v>
      </c>
      <c r="R6" s="15" t="n">
        <v>152.15</v>
      </c>
      <c r="S6" s="15" t="n">
        <v>167.365</v>
      </c>
      <c r="T6" s="7" t="n">
        <v>0.5588235294117647</v>
      </c>
      <c r="U6" s="7" t="n">
        <v>0.5080213903743315</v>
      </c>
      <c r="V6" s="15" t="n">
        <v>76.52249999999999</v>
      </c>
      <c r="W6" s="15" t="n">
        <v>525</v>
      </c>
      <c r="X6" s="17" t="n">
        <v>3</v>
      </c>
      <c r="Y6" s="15" t="n">
        <v>490</v>
      </c>
      <c r="Z6" s="18" t="n">
        <v>1.5</v>
      </c>
      <c r="AA6" s="18" t="n">
        <v>6.1</v>
      </c>
      <c r="AB6" s="19" t="n">
        <v>1</v>
      </c>
      <c r="AC6" s="19" t="n">
        <v>0.02</v>
      </c>
      <c r="AD6" s="19" t="n">
        <v>0.1</v>
      </c>
      <c r="AE6" s="20" t="n">
        <v>0.01</v>
      </c>
    </row>
    <row r="7" ht="45" customHeight="1">
      <c r="A7" s="13" t="inlineStr">
        <is>
          <t>Vantage Field Services</t>
        </is>
      </c>
      <c r="B7" s="13" t="inlineStr">
        <is>
          <t>Ridgeline Partners</t>
        </is>
      </c>
      <c r="C7" s="13" t="n">
        <v>20201050</v>
      </c>
      <c r="D7" s="13" t="inlineStr">
        <is>
          <t>Environmental &amp; Facilities Services</t>
        </is>
      </c>
      <c r="E7" s="13" t="inlineStr">
        <is>
          <t>Commercial Services &amp; Supplies</t>
        </is>
      </c>
      <c r="F7" s="13" t="inlineStr">
        <is>
          <t>Industrials</t>
        </is>
      </c>
      <c r="G7" s="14" t="inlineStr">
        <is>
          <t>Environmental remediation and industrial facilities services provider to energy and manufacturing clients.</t>
        </is>
      </c>
      <c r="H7" s="14" t="inlineStr">
        <is>
          <t>Regulatory tailwind (remediation mandates); recurring maintenance contracts underpin revenue visibility.</t>
        </is>
      </c>
      <c r="I7" s="15" t="n">
        <v>87</v>
      </c>
      <c r="J7" s="7" t="n">
        <v>0.16</v>
      </c>
      <c r="K7" s="15" t="n">
        <v>13.6</v>
      </c>
      <c r="L7" s="15" t="n">
        <v>13.328</v>
      </c>
      <c r="M7" s="15" t="n">
        <v>68</v>
      </c>
      <c r="N7" s="16" t="n">
        <v>5</v>
      </c>
      <c r="O7" s="16" t="n">
        <v>5.102</v>
      </c>
      <c r="P7" s="16" t="n">
        <v>8</v>
      </c>
      <c r="Q7" s="16" t="n">
        <v>7.5</v>
      </c>
      <c r="R7" s="15" t="n">
        <v>108.8</v>
      </c>
      <c r="S7" s="15" t="n">
        <v>99.95999999999999</v>
      </c>
      <c r="T7" s="7" t="n">
        <v>0.625</v>
      </c>
      <c r="U7" s="7" t="n">
        <v>0.6802721088435375</v>
      </c>
      <c r="V7" s="15" t="n">
        <v>68</v>
      </c>
      <c r="W7" s="15" t="n">
        <v>600</v>
      </c>
      <c r="X7" s="17" t="n">
        <v>3.3</v>
      </c>
      <c r="Y7" s="15" t="n">
        <v>610</v>
      </c>
      <c r="Z7" s="18" t="n">
        <v>2</v>
      </c>
      <c r="AA7" s="18" t="n">
        <v>6.35</v>
      </c>
      <c r="AB7" s="19" t="n">
        <v>1</v>
      </c>
      <c r="AC7" s="19" t="n">
        <v>0.03</v>
      </c>
      <c r="AD7" s="19" t="n">
        <v>0.09</v>
      </c>
      <c r="AE7" s="20" t="n">
        <v>0.01</v>
      </c>
    </row>
    <row r="8" ht="45" customHeight="1">
      <c r="A8" s="13" t="inlineStr">
        <is>
          <t>Coldharbour Security Group</t>
        </is>
      </c>
      <c r="B8" s="13" t="inlineStr">
        <is>
          <t>Ferrow Street Partners</t>
        </is>
      </c>
      <c r="C8" s="13" t="n">
        <v>20201080</v>
      </c>
      <c r="D8" s="13" t="inlineStr">
        <is>
          <t>Security &amp; Alarm Services</t>
        </is>
      </c>
      <c r="E8" s="13" t="inlineStr">
        <is>
          <t>Commercial Services &amp; Supplies</t>
        </is>
      </c>
      <c r="F8" s="13" t="inlineStr">
        <is>
          <t>Industrials</t>
        </is>
      </c>
      <c r="G8" s="14" t="inlineStr">
        <is>
          <t>Commercial monitored security and access-control installer/servicer across the UK South East.</t>
        </is>
      </c>
      <c r="H8" s="14" t="inlineStr">
        <is>
          <t>Contracted recurring monitoring revenue (~70% of total); consolidation platform in a fragmented market.</t>
        </is>
      </c>
      <c r="I8" s="15" t="n">
        <v>64</v>
      </c>
      <c r="J8" s="7" t="n">
        <v>0.21</v>
      </c>
      <c r="K8" s="15" t="n">
        <v>13.1</v>
      </c>
      <c r="L8" s="15" t="n">
        <v>13.493</v>
      </c>
      <c r="M8" s="15" t="n">
        <v>72.05</v>
      </c>
      <c r="N8" s="16" t="n">
        <v>5.5</v>
      </c>
      <c r="O8" s="16" t="n">
        <v>5.34</v>
      </c>
      <c r="P8" s="16" t="n">
        <v>9</v>
      </c>
      <c r="Q8" s="16" t="n">
        <v>8.699999999999999</v>
      </c>
      <c r="R8" s="15" t="n">
        <v>117.9</v>
      </c>
      <c r="S8" s="15" t="n">
        <v>117.3891</v>
      </c>
      <c r="T8" s="7" t="n">
        <v>0.6111111111111112</v>
      </c>
      <c r="U8" s="7" t="n">
        <v>0.6137707845106573</v>
      </c>
      <c r="V8" s="15" t="n">
        <v>72.05</v>
      </c>
      <c r="W8" s="15" t="n">
        <v>575</v>
      </c>
      <c r="X8" s="17" t="n">
        <v>3.1</v>
      </c>
      <c r="Y8" s="15" t="n">
        <v>545</v>
      </c>
      <c r="Z8" s="18" t="n">
        <v>2</v>
      </c>
      <c r="AA8" s="18" t="n">
        <v>6.85</v>
      </c>
      <c r="AB8" s="19" t="n">
        <v>1</v>
      </c>
      <c r="AC8" s="19" t="n">
        <v>0.03</v>
      </c>
      <c r="AD8" s="19" t="n">
        <v>0.09</v>
      </c>
      <c r="AE8" s="20" t="n">
        <v>0.01</v>
      </c>
    </row>
    <row r="9" ht="45" customHeight="1">
      <c r="A9" s="13" t="inlineStr">
        <is>
          <t>Bramwell Specialty Chemicals</t>
        </is>
      </c>
      <c r="B9" s="13" t="inlineStr">
        <is>
          <t>Iron Gate Capital</t>
        </is>
      </c>
      <c r="C9" s="13" t="n">
        <v>15101050</v>
      </c>
      <c r="D9" s="13" t="inlineStr">
        <is>
          <t>Specialty Chemicals</t>
        </is>
      </c>
      <c r="E9" s="13" t="inlineStr">
        <is>
          <t>Chemicals</t>
        </is>
      </c>
      <c r="F9" s="13" t="inlineStr">
        <is>
          <t>Materials</t>
        </is>
      </c>
      <c r="G9" s="14" t="inlineStr">
        <is>
          <t>Formulator of specialty coatings and adhesives for industrial and construction end-markets.</t>
        </is>
      </c>
      <c r="H9" s="14" t="inlineStr">
        <is>
          <t>Niche formulation IP with high customer switching costs; margin resilience through raw-material cycles.</t>
        </is>
      </c>
      <c r="I9" s="15" t="n">
        <v>176</v>
      </c>
      <c r="J9" s="7" t="n">
        <v>0.17</v>
      </c>
      <c r="K9" s="15" t="n">
        <v>28.9</v>
      </c>
      <c r="L9" s="15" t="n">
        <v>26.299</v>
      </c>
      <c r="M9" s="15" t="n">
        <v>144.5</v>
      </c>
      <c r="N9" s="16" t="n">
        <v>5</v>
      </c>
      <c r="O9" s="16" t="n">
        <v>5.495</v>
      </c>
      <c r="P9" s="16" t="n">
        <v>8</v>
      </c>
      <c r="Q9" s="16" t="n">
        <v>7.2</v>
      </c>
      <c r="R9" s="15" t="n">
        <v>231.2</v>
      </c>
      <c r="S9" s="15" t="n">
        <v>189.3528</v>
      </c>
      <c r="T9" s="7" t="n">
        <v>0.625</v>
      </c>
      <c r="U9" s="7" t="n">
        <v>0.7631257631257631</v>
      </c>
      <c r="V9" s="15" t="n">
        <v>122.825</v>
      </c>
      <c r="W9" s="15" t="n">
        <v>550</v>
      </c>
      <c r="X9" s="17" t="n">
        <v>3.5</v>
      </c>
      <c r="Y9" s="15" t="n">
        <v>575</v>
      </c>
      <c r="Z9" s="18" t="n">
        <v>2.2</v>
      </c>
      <c r="AA9" s="18" t="n">
        <v>6.35</v>
      </c>
      <c r="AB9" s="19" t="n">
        <v>1</v>
      </c>
      <c r="AC9" s="19" t="n">
        <v>0.045</v>
      </c>
      <c r="AD9" s="19" t="n">
        <v>0.1</v>
      </c>
      <c r="AE9" s="20" t="n">
        <v>0.01</v>
      </c>
    </row>
    <row r="10" ht="45" customHeight="1">
      <c r="A10" s="13" t="inlineStr">
        <is>
          <t>Portobello Machine Works</t>
        </is>
      </c>
      <c r="B10" s="13" t="inlineStr">
        <is>
          <t>Ridgeline Partners</t>
        </is>
      </c>
      <c r="C10" s="13" t="n">
        <v>20106020</v>
      </c>
      <c r="D10" s="13" t="inlineStr">
        <is>
          <t>Industrial Machinery &amp; Supplies &amp; Components</t>
        </is>
      </c>
      <c r="E10" s="13" t="inlineStr">
        <is>
          <t>Machinery</t>
        </is>
      </c>
      <c r="F10" s="13" t="inlineStr">
        <is>
          <t>Industrials</t>
        </is>
      </c>
      <c r="G10" s="14" t="inlineStr">
        <is>
          <t>Precision-machined components manufacturer for aerospace and industrial equipment OEMs.</t>
        </is>
      </c>
      <c r="H10" s="14" t="inlineStr">
        <is>
          <t>Long-term sole-source qualifications with OEMs create multi-year revenue visibility and pricing power.</t>
        </is>
      </c>
      <c r="I10" s="15" t="n">
        <v>103</v>
      </c>
      <c r="J10" s="7" t="n">
        <v>0.2</v>
      </c>
      <c r="K10" s="15" t="n">
        <v>20.1</v>
      </c>
      <c r="L10" s="15" t="n">
        <v>20.502</v>
      </c>
      <c r="M10" s="15" t="n">
        <v>90.45</v>
      </c>
      <c r="N10" s="16" t="n">
        <v>4.5</v>
      </c>
      <c r="O10" s="16" t="n">
        <v>4.412</v>
      </c>
      <c r="P10" s="16" t="n">
        <v>8.5</v>
      </c>
      <c r="Q10" s="16" t="n">
        <v>8</v>
      </c>
      <c r="R10" s="15" t="n">
        <v>170.85</v>
      </c>
      <c r="S10" s="15" t="n">
        <v>164.016</v>
      </c>
      <c r="T10" s="7" t="n">
        <v>0.5294117647058822</v>
      </c>
      <c r="U10" s="7" t="n">
        <v>0.551470588235294</v>
      </c>
      <c r="V10" s="15" t="n">
        <v>90.45</v>
      </c>
      <c r="W10" s="15" t="n">
        <v>525</v>
      </c>
      <c r="X10" s="17" t="n">
        <v>3.4</v>
      </c>
      <c r="Y10" s="15" t="n">
        <v>505</v>
      </c>
      <c r="Z10" s="18" t="n">
        <v>2</v>
      </c>
      <c r="AA10" s="18" t="n">
        <v>5.85</v>
      </c>
      <c r="AB10" s="19" t="n">
        <v>1</v>
      </c>
      <c r="AC10" s="19" t="n">
        <v>0.03</v>
      </c>
      <c r="AD10" s="19" t="n">
        <v>0.09</v>
      </c>
      <c r="AE10" s="20" t="n">
        <v>0.01</v>
      </c>
    </row>
    <row r="11" ht="45" customHeight="1">
      <c r="A11" s="13" t="inlineStr">
        <is>
          <t>Thistledown Building Products</t>
        </is>
      </c>
      <c r="B11" s="13" t="inlineStr">
        <is>
          <t>Iron Gate Capital</t>
        </is>
      </c>
      <c r="C11" s="13" t="n">
        <v>20102010</v>
      </c>
      <c r="D11" s="13" t="inlineStr">
        <is>
          <t>Building Products</t>
        </is>
      </c>
      <c r="E11" s="13" t="inlineStr">
        <is>
          <t>Building Products</t>
        </is>
      </c>
      <c r="F11" s="13" t="inlineStr">
        <is>
          <t>Industrials</t>
        </is>
      </c>
      <c r="G11" s="14" t="inlineStr">
        <is>
          <t>Manufacturer of engineered building envelope products (windows, doors) for the RMI and new-build market.</t>
        </is>
      </c>
      <c r="H11" s="14" t="inlineStr">
        <is>
          <t>RMI demand is less cyclical than new-build; product mix shift toward higher-margin engineered lines.</t>
        </is>
      </c>
      <c r="I11" s="15" t="n">
        <v>134</v>
      </c>
      <c r="J11" s="7" t="n">
        <v>0.15</v>
      </c>
      <c r="K11" s="15" t="n">
        <v>19.6</v>
      </c>
      <c r="L11" s="15" t="n">
        <v>17.248</v>
      </c>
      <c r="M11" s="15" t="n">
        <v>102.9</v>
      </c>
      <c r="N11" s="16" t="n">
        <v>5.25</v>
      </c>
      <c r="O11" s="16" t="n">
        <v>5.966</v>
      </c>
      <c r="P11" s="16" t="n">
        <v>7.5</v>
      </c>
      <c r="Q11" s="16" t="n">
        <v>6.8</v>
      </c>
      <c r="R11" s="15" t="n">
        <v>147</v>
      </c>
      <c r="S11" s="15" t="n">
        <v>117.2864</v>
      </c>
      <c r="T11" s="7" t="n">
        <v>0.7000000000000001</v>
      </c>
      <c r="U11" s="7" t="n">
        <v>0.8773395721925135</v>
      </c>
      <c r="V11" s="15" t="n">
        <v>92.61000000000001</v>
      </c>
      <c r="W11" s="15" t="n">
        <v>575</v>
      </c>
      <c r="X11" s="17" t="n">
        <v>3.2</v>
      </c>
      <c r="Y11" s="15" t="n">
        <v>595</v>
      </c>
      <c r="Z11" s="18" t="n">
        <v>2</v>
      </c>
      <c r="AA11" s="18" t="n">
        <v>6.6</v>
      </c>
      <c r="AB11" s="19" t="n">
        <v>1</v>
      </c>
      <c r="AC11" s="19" t="n">
        <v>0.03</v>
      </c>
      <c r="AD11" s="19" t="n">
        <v>0.09</v>
      </c>
      <c r="AE11" s="20" t="n">
        <v>0.01</v>
      </c>
    </row>
    <row r="12" ht="45" customHeight="1">
      <c r="A12" s="13" t="inlineStr">
        <is>
          <t>Northgate Trading Co.</t>
        </is>
      </c>
      <c r="B12" s="13" t="inlineStr">
        <is>
          <t>Ferrow Street Partners</t>
        </is>
      </c>
      <c r="C12" s="13" t="n">
        <v>20107010</v>
      </c>
      <c r="D12" s="13" t="inlineStr">
        <is>
          <t>Trading Companies &amp; Distributors</t>
        </is>
      </c>
      <c r="E12" s="13" t="inlineStr">
        <is>
          <t>Trading Companies &amp; Distributors</t>
        </is>
      </c>
      <c r="F12" s="13" t="inlineStr">
        <is>
          <t>Industrials</t>
        </is>
      </c>
      <c r="G12" s="14" t="inlineStr">
        <is>
          <t>Value-added distributor of MRO (maintenance, repair, operations) products to industrial end-users.</t>
        </is>
      </c>
      <c r="H12" s="14" t="inlineStr">
        <is>
          <t>Sticky, high-frequency reorder relationships; scale advantages in a highly fragmented distribution channel.</t>
        </is>
      </c>
      <c r="I12" s="15" t="n">
        <v>211</v>
      </c>
      <c r="J12" s="7" t="n">
        <v>0.1</v>
      </c>
      <c r="K12" s="15" t="n">
        <v>20.4</v>
      </c>
      <c r="L12" s="15" t="n">
        <v>21.216</v>
      </c>
      <c r="M12" s="15" t="n">
        <v>96.89999999999999</v>
      </c>
      <c r="N12" s="16" t="n">
        <v>4.75</v>
      </c>
      <c r="O12" s="16" t="n">
        <v>4.567</v>
      </c>
      <c r="P12" s="16" t="n">
        <v>8</v>
      </c>
      <c r="Q12" s="16" t="n">
        <v>7.8</v>
      </c>
      <c r="R12" s="15" t="n">
        <v>163.2</v>
      </c>
      <c r="S12" s="15" t="n">
        <v>165.4848</v>
      </c>
      <c r="T12" s="7" t="n">
        <v>0.59375</v>
      </c>
      <c r="U12" s="7" t="n">
        <v>0.585552268244576</v>
      </c>
      <c r="V12" s="15" t="n">
        <v>96.89999999999999</v>
      </c>
      <c r="W12" s="15" t="n">
        <v>500</v>
      </c>
      <c r="X12" s="17" t="n">
        <v>2.9</v>
      </c>
      <c r="Y12" s="15" t="n">
        <v>470</v>
      </c>
      <c r="Z12" s="18" t="n">
        <v>2</v>
      </c>
      <c r="AA12" s="18" t="n">
        <v>6.1</v>
      </c>
      <c r="AB12" s="19" t="n">
        <v>1</v>
      </c>
      <c r="AC12" s="19" t="n">
        <v>0.03</v>
      </c>
      <c r="AD12" s="19" t="n">
        <v>0.09</v>
      </c>
      <c r="AE12" s="20" t="n">
        <v>0.01</v>
      </c>
    </row>
    <row r="13" ht="45" customHeight="1">
      <c r="A13" s="13" t="inlineStr">
        <is>
          <t>Wrenfield Foods</t>
        </is>
      </c>
      <c r="B13" s="13" t="inlineStr">
        <is>
          <t>Northbridge Capital</t>
        </is>
      </c>
      <c r="C13" s="13" t="n">
        <v>30202030</v>
      </c>
      <c r="D13" s="13" t="inlineStr">
        <is>
          <t>Packaged Foods &amp; Meats</t>
        </is>
      </c>
      <c r="E13" s="13" t="inlineStr">
        <is>
          <t>Food Products</t>
        </is>
      </c>
      <c r="F13" s="13" t="inlineStr">
        <is>
          <t>Consumer Staples</t>
        </is>
      </c>
      <c r="G13" s="14" t="inlineStr">
        <is>
          <t>Branded and private-label packaged snack foods manufacturer serving grocery and convenience channels.</t>
        </is>
      </c>
      <c r="H13" s="14" t="inlineStr">
        <is>
          <t>Private-label penetration into a growing category; capacity investment supports volume growth ahead of peers.</t>
        </is>
      </c>
      <c r="I13" s="15" t="n">
        <v>189</v>
      </c>
      <c r="J13" s="7" t="n">
        <v>0.13</v>
      </c>
      <c r="K13" s="15" t="n">
        <v>23.6</v>
      </c>
      <c r="L13" s="15" t="n">
        <v>23.836</v>
      </c>
      <c r="M13" s="15" t="n">
        <v>118</v>
      </c>
      <c r="N13" s="16" t="n">
        <v>5</v>
      </c>
      <c r="O13" s="16" t="n">
        <v>4.95</v>
      </c>
      <c r="P13" s="16" t="n">
        <v>9</v>
      </c>
      <c r="Q13" s="16" t="n">
        <v>8.800000000000001</v>
      </c>
      <c r="R13" s="15" t="n">
        <v>212.4</v>
      </c>
      <c r="S13" s="15" t="n">
        <v>209.7568</v>
      </c>
      <c r="T13" s="7" t="n">
        <v>0.5555555555555556</v>
      </c>
      <c r="U13" s="7" t="n">
        <v>0.5625562556255624</v>
      </c>
      <c r="V13" s="15" t="n">
        <v>112.1</v>
      </c>
      <c r="W13" s="15" t="n">
        <v>500</v>
      </c>
      <c r="X13" s="17" t="n">
        <v>3.1</v>
      </c>
      <c r="Y13" s="15" t="n">
        <v>460</v>
      </c>
      <c r="Z13" s="18" t="n">
        <v>1.5</v>
      </c>
      <c r="AA13" s="18" t="n">
        <v>6.35</v>
      </c>
      <c r="AB13" s="19" t="n">
        <v>1</v>
      </c>
      <c r="AC13" s="19" t="n">
        <v>0.02</v>
      </c>
      <c r="AD13" s="19" t="n">
        <v>0.11</v>
      </c>
      <c r="AE13" s="20" t="n">
        <v>0.01</v>
      </c>
    </row>
    <row r="14" ht="45" customHeight="1">
      <c r="A14" s="13" t="inlineStr">
        <is>
          <t>Stavros Hospitality Group</t>
        </is>
      </c>
      <c r="B14" s="13" t="inlineStr">
        <is>
          <t>Iron Gate Capital</t>
        </is>
      </c>
      <c r="C14" s="13" t="n">
        <v>25301040</v>
      </c>
      <c r="D14" s="13" t="inlineStr">
        <is>
          <t>Restaurants</t>
        </is>
      </c>
      <c r="E14" s="13" t="inlineStr">
        <is>
          <t>Hotels, Restaurants &amp; Leisure</t>
        </is>
      </c>
      <c r="F14" s="13" t="inlineStr">
        <is>
          <t>Consumer Discretionary</t>
        </is>
      </c>
      <c r="G14" s="14" t="inlineStr">
        <is>
          <t>Regional casual-dining restaurant operator, 68 company-owned locations across the Midwest.</t>
        </is>
      </c>
      <c r="H14" s="14" t="inlineStr">
        <is>
          <t>Menu simplification and labor-scheduling technology drive margin recovery from pandemic-era trough.</t>
        </is>
      </c>
      <c r="I14" s="15" t="n">
        <v>156</v>
      </c>
      <c r="J14" s="7" t="n">
        <v>0.11</v>
      </c>
      <c r="K14" s="15" t="n">
        <v>15.9</v>
      </c>
      <c r="L14" s="15" t="n">
        <v>13.515</v>
      </c>
      <c r="M14" s="15" t="n">
        <v>87.45</v>
      </c>
      <c r="N14" s="16" t="n">
        <v>5.5</v>
      </c>
      <c r="O14" s="16" t="n">
        <v>6.471</v>
      </c>
      <c r="P14" s="16" t="n">
        <v>7</v>
      </c>
      <c r="Q14" s="16" t="n">
        <v>6.2</v>
      </c>
      <c r="R14" s="15" t="n">
        <v>111.3</v>
      </c>
      <c r="S14" s="15" t="n">
        <v>83.79300000000001</v>
      </c>
      <c r="T14" s="7" t="n">
        <v>0.7857142857142858</v>
      </c>
      <c r="U14" s="7" t="n">
        <v>1.043643263757116</v>
      </c>
      <c r="V14" s="15" t="n">
        <v>87.45</v>
      </c>
      <c r="W14" s="15" t="n">
        <v>650</v>
      </c>
      <c r="X14" s="17" t="n">
        <v>2.8</v>
      </c>
      <c r="Y14" s="15" t="n">
        <v>690</v>
      </c>
      <c r="Z14" s="18" t="n">
        <v>2.4</v>
      </c>
      <c r="AA14" s="18" t="n">
        <v>6.85</v>
      </c>
      <c r="AB14" s="19" t="n">
        <v>1</v>
      </c>
      <c r="AC14" s="19" t="n">
        <v>0.025</v>
      </c>
      <c r="AD14" s="19" t="n">
        <v>0.08</v>
      </c>
      <c r="AE14" s="20" t="n">
        <v>0.01</v>
      </c>
    </row>
    <row r="15" ht="45" customHeight="1">
      <c r="A15" s="13" t="inlineStr">
        <is>
          <t>Aldergate Learning Partners</t>
        </is>
      </c>
      <c r="B15" s="13" t="inlineStr">
        <is>
          <t>Northbridge Capital</t>
        </is>
      </c>
      <c r="C15" s="13" t="n">
        <v>25302010</v>
      </c>
      <c r="D15" s="13" t="inlineStr">
        <is>
          <t>Education Services</t>
        </is>
      </c>
      <c r="E15" s="13" t="inlineStr">
        <is>
          <t>Diversified Consumer Services</t>
        </is>
      </c>
      <c r="F15" s="13" t="inlineStr">
        <is>
          <t>Consumer Discretionary</t>
        </is>
      </c>
      <c r="G15" s="14" t="inlineStr">
        <is>
          <t>Operator of accredited vocational and professional certification schools across allied-health disciplines.</t>
        </is>
      </c>
      <c r="H15" s="14" t="inlineStr">
        <is>
          <t>Title IV-eligible programs feed placement-driven enrollment; low capex, high incremental margin on new campuses.</t>
        </is>
      </c>
      <c r="I15" s="15" t="n">
        <v>79</v>
      </c>
      <c r="J15" s="7" t="n">
        <v>0.23</v>
      </c>
      <c r="K15" s="15" t="n">
        <v>16.8</v>
      </c>
      <c r="L15" s="15" t="n">
        <v>18.144</v>
      </c>
      <c r="M15" s="15" t="n">
        <v>75.60000000000001</v>
      </c>
      <c r="N15" s="16" t="n">
        <v>4.5</v>
      </c>
      <c r="O15" s="16" t="n">
        <v>4.167</v>
      </c>
      <c r="P15" s="16" t="n">
        <v>8.5</v>
      </c>
      <c r="Q15" s="16" t="n">
        <v>8.300000000000001</v>
      </c>
      <c r="R15" s="15" t="n">
        <v>142.8</v>
      </c>
      <c r="S15" s="15" t="n">
        <v>150.5952</v>
      </c>
      <c r="T15" s="7" t="n">
        <v>0.5294117647058824</v>
      </c>
      <c r="U15" s="7" t="n">
        <v>0.502008032128514</v>
      </c>
      <c r="V15" s="15" t="n">
        <v>75.60000000000001</v>
      </c>
      <c r="W15" s="15" t="n">
        <v>550</v>
      </c>
      <c r="X15" s="17" t="n">
        <v>3.3</v>
      </c>
      <c r="Y15" s="15" t="n">
        <v>530</v>
      </c>
      <c r="Z15" s="18" t="n">
        <v>2.4</v>
      </c>
      <c r="AA15" s="18" t="n">
        <v>5.85</v>
      </c>
      <c r="AB15" s="19" t="n">
        <v>1</v>
      </c>
      <c r="AC15" s="19" t="n">
        <v>0.025</v>
      </c>
      <c r="AD15" s="19" t="n">
        <v>0.08</v>
      </c>
      <c r="AE15" s="20" t="n">
        <v>0.01</v>
      </c>
    </row>
    <row r="16" ht="45" customHeight="1">
      <c r="A16" s="13" t="inlineStr">
        <is>
          <t>Hollowbrook Concierge Services</t>
        </is>
      </c>
      <c r="B16" s="13" t="inlineStr">
        <is>
          <t>Ferrow Street Partners</t>
        </is>
      </c>
      <c r="C16" s="13" t="n">
        <v>25302020</v>
      </c>
      <c r="D16" s="13" t="inlineStr">
        <is>
          <t>Specialized Consumer Services</t>
        </is>
      </c>
      <c r="E16" s="13" t="inlineStr">
        <is>
          <t>Diversified Consumer Services</t>
        </is>
      </c>
      <c r="F16" s="13" t="inlineStr">
        <is>
          <t>Consumer Discretionary</t>
        </is>
      </c>
      <c r="G16" s="14" t="inlineStr">
        <is>
          <t>Subscription-based home-services concierge platform (repair, cleaning, maintenance) for suburban households.</t>
        </is>
      </c>
      <c r="H16" s="14" t="inlineStr">
        <is>
          <t>Recurring subscription revenue with expanding attach-rate of ancillary services per household.</t>
        </is>
      </c>
      <c r="I16" s="15" t="n">
        <v>58</v>
      </c>
      <c r="J16" s="7" t="n">
        <v>0.14</v>
      </c>
      <c r="K16" s="15" t="n">
        <v>8.1</v>
      </c>
      <c r="L16" s="15" t="n">
        <v>7.29</v>
      </c>
      <c r="M16" s="15" t="n">
        <v>46.575</v>
      </c>
      <c r="N16" s="16" t="n">
        <v>5.75</v>
      </c>
      <c r="O16" s="16" t="n">
        <v>6.389</v>
      </c>
      <c r="P16" s="16" t="n">
        <v>8</v>
      </c>
      <c r="Q16" s="16" t="n">
        <v>7</v>
      </c>
      <c r="R16" s="15" t="n">
        <v>64.8</v>
      </c>
      <c r="S16" s="15" t="n">
        <v>51.03</v>
      </c>
      <c r="T16" s="7" t="n">
        <v>0.71875</v>
      </c>
      <c r="U16" s="7" t="n">
        <v>0.9126984126984126</v>
      </c>
      <c r="V16" s="15" t="n">
        <v>41.9175</v>
      </c>
      <c r="W16" s="15" t="n">
        <v>625</v>
      </c>
      <c r="X16" s="17" t="n">
        <v>3</v>
      </c>
      <c r="Y16" s="15" t="n">
        <v>650</v>
      </c>
      <c r="Z16" s="18" t="n">
        <v>2.4</v>
      </c>
      <c r="AA16" s="18" t="n">
        <v>7.1</v>
      </c>
      <c r="AB16" s="19" t="n">
        <v>1</v>
      </c>
      <c r="AC16" s="19" t="n">
        <v>0.025</v>
      </c>
      <c r="AD16" s="19" t="n">
        <v>0.08</v>
      </c>
      <c r="AE16" s="20" t="n">
        <v>0.01</v>
      </c>
    </row>
    <row r="17" ht="45" customHeight="1">
      <c r="A17" s="13" t="inlineStr">
        <is>
          <t>Farrow &amp; Kent Insurance Partners</t>
        </is>
      </c>
      <c r="B17" s="13" t="inlineStr">
        <is>
          <t>Ridgeline Partners</t>
        </is>
      </c>
      <c r="C17" s="13" t="n">
        <v>40301010</v>
      </c>
      <c r="D17" s="13" t="inlineStr">
        <is>
          <t>Insurance Brokers</t>
        </is>
      </c>
      <c r="E17" s="13" t="inlineStr">
        <is>
          <t>Insurance</t>
        </is>
      </c>
      <c r="F17" s="13" t="inlineStr">
        <is>
          <t>Financials</t>
        </is>
      </c>
      <c r="G17" s="14" t="inlineStr">
        <is>
          <t>Specialty commercial insurance brokerage focused on construction and manufacturing risk placements.</t>
        </is>
      </c>
      <c r="H17" s="14" t="inlineStr">
        <is>
          <t>Asset-light, high-margin fee/commission model; consolidation platform with strong producer retention.</t>
        </is>
      </c>
      <c r="I17" s="15" t="n">
        <v>71</v>
      </c>
      <c r="J17" s="7" t="n">
        <v>0.32</v>
      </c>
      <c r="K17" s="15" t="n">
        <v>22.7</v>
      </c>
      <c r="L17" s="15" t="n">
        <v>25.424</v>
      </c>
      <c r="M17" s="15" t="n">
        <v>102.15</v>
      </c>
      <c r="N17" s="16" t="n">
        <v>4.5</v>
      </c>
      <c r="O17" s="16" t="n">
        <v>4.018</v>
      </c>
      <c r="P17" s="16" t="n">
        <v>11</v>
      </c>
      <c r="Q17" s="16" t="n">
        <v>10.8</v>
      </c>
      <c r="R17" s="15" t="n">
        <v>249.7</v>
      </c>
      <c r="S17" s="15" t="n">
        <v>274.5792000000001</v>
      </c>
      <c r="T17" s="7" t="n">
        <v>0.4090909090909091</v>
      </c>
      <c r="U17" s="7" t="n">
        <v>0.3720238095238094</v>
      </c>
      <c r="V17" s="15" t="n">
        <v>97.04249999999999</v>
      </c>
      <c r="W17" s="15" t="n">
        <v>475</v>
      </c>
      <c r="X17" s="17" t="n">
        <v>3.6</v>
      </c>
      <c r="Y17" s="15" t="n">
        <v>430</v>
      </c>
      <c r="Z17" s="18" t="n">
        <v>1.4</v>
      </c>
      <c r="AA17" s="18" t="n">
        <v>5.85</v>
      </c>
      <c r="AB17" s="19" t="n">
        <v>1</v>
      </c>
      <c r="AC17" s="19" t="n">
        <v>0.01</v>
      </c>
      <c r="AD17" s="19" t="n">
        <v>0.13</v>
      </c>
      <c r="AE17" s="20" t="n">
        <v>0.01</v>
      </c>
    </row>
    <row r="18" ht="45" customHeight="1">
      <c r="A18" s="13" t="inlineStr">
        <is>
          <t>Silverlake Capital Advisory</t>
        </is>
      </c>
      <c r="B18" s="13" t="inlineStr">
        <is>
          <t>Iron Gate Capital</t>
        </is>
      </c>
      <c r="C18" s="13" t="n">
        <v>40201020</v>
      </c>
      <c r="D18" s="13" t="inlineStr">
        <is>
          <t>Diversified Financial Services</t>
        </is>
      </c>
      <c r="E18" s="13" t="inlineStr">
        <is>
          <t>Financial Services</t>
        </is>
      </c>
      <c r="F18" s="13" t="inlineStr">
        <is>
          <t>Financials</t>
        </is>
      </c>
      <c r="G18" s="14" t="inlineStr">
        <is>
          <t>Fee-based wealth and retirement plan advisory platform serving small and mid-sized business owners.</t>
        </is>
      </c>
      <c r="H18" s="14" t="inlineStr">
        <is>
          <t>Recurring AUM-based fees; roll-up of independent RIAs with succession-driven deal flow.</t>
        </is>
      </c>
      <c r="I18" s="15" t="n">
        <v>54</v>
      </c>
      <c r="J18" s="7" t="n">
        <v>0.29</v>
      </c>
      <c r="K18" s="15" t="n">
        <v>15.7</v>
      </c>
      <c r="L18" s="15" t="n">
        <v>15.229</v>
      </c>
      <c r="M18" s="15" t="n">
        <v>66.72499999999999</v>
      </c>
      <c r="N18" s="16" t="n">
        <v>4.25</v>
      </c>
      <c r="O18" s="16" t="n">
        <v>4.381</v>
      </c>
      <c r="P18" s="16" t="n">
        <v>10.5</v>
      </c>
      <c r="Q18" s="16" t="n">
        <v>9.9</v>
      </c>
      <c r="R18" s="15" t="n">
        <v>164.85</v>
      </c>
      <c r="S18" s="15" t="n">
        <v>150.7671</v>
      </c>
      <c r="T18" s="7" t="n">
        <v>0.4047619047619048</v>
      </c>
      <c r="U18" s="7" t="n">
        <v>0.4425700301988961</v>
      </c>
      <c r="V18" s="15" t="n">
        <v>66.72499999999999</v>
      </c>
      <c r="W18" s="15" t="n">
        <v>500</v>
      </c>
      <c r="X18" s="17" t="n">
        <v>3.5</v>
      </c>
      <c r="Y18" s="15" t="n">
        <v>475</v>
      </c>
      <c r="Z18" s="18" t="n">
        <v>1.4</v>
      </c>
      <c r="AA18" s="18" t="n">
        <v>5.6</v>
      </c>
      <c r="AB18" s="19" t="n">
        <v>1</v>
      </c>
      <c r="AC18" s="19" t="n">
        <v>0.01</v>
      </c>
      <c r="AD18" s="19" t="n">
        <v>0.13</v>
      </c>
      <c r="AE18" s="20" t="n">
        <v>0.01</v>
      </c>
    </row>
    <row r="19" ht="45" customHeight="1">
      <c r="A19" s="13" t="inlineStr">
        <is>
          <t>Brookline Consumer Credit</t>
        </is>
      </c>
      <c r="B19" s="13" t="inlineStr">
        <is>
          <t>Ferrow Street Partners</t>
        </is>
      </c>
      <c r="C19" s="13" t="n">
        <v>40202010</v>
      </c>
      <c r="D19" s="13" t="inlineStr">
        <is>
          <t>Consumer Finance</t>
        </is>
      </c>
      <c r="E19" s="13" t="inlineStr">
        <is>
          <t>Consumer Finance</t>
        </is>
      </c>
      <c r="F19" s="13" t="inlineStr">
        <is>
          <t>Financials</t>
        </is>
      </c>
      <c r="G19" s="14" t="inlineStr">
        <is>
          <t>Point-of-sale consumer finance provider for elective medical and home-improvement purchases.</t>
        </is>
      </c>
      <c r="H19" s="14" t="inlineStr">
        <is>
          <t>Diversified merchant base and underwriting discipline through a prior credit cycle; fee income supplements NIM.</t>
        </is>
      </c>
      <c r="I19" s="15" t="n">
        <v>88</v>
      </c>
      <c r="J19" s="7" t="n">
        <v>0.24</v>
      </c>
      <c r="K19" s="15" t="n">
        <v>21.1</v>
      </c>
      <c r="L19" s="15" t="n">
        <v>18.146</v>
      </c>
      <c r="M19" s="15" t="n">
        <v>100.225</v>
      </c>
      <c r="N19" s="16" t="n">
        <v>4.75</v>
      </c>
      <c r="O19" s="16" t="n">
        <v>5.523</v>
      </c>
      <c r="P19" s="16" t="n">
        <v>7.5</v>
      </c>
      <c r="Q19" s="16" t="n">
        <v>6.7</v>
      </c>
      <c r="R19" s="15" t="n">
        <v>158.25</v>
      </c>
      <c r="S19" s="15" t="n">
        <v>121.5782</v>
      </c>
      <c r="T19" s="7" t="n">
        <v>0.6333333333333334</v>
      </c>
      <c r="U19" s="7" t="n">
        <v>0.8243665393960431</v>
      </c>
      <c r="V19" s="15" t="n">
        <v>85.19125000000001</v>
      </c>
      <c r="W19" s="15" t="n">
        <v>600</v>
      </c>
      <c r="X19" s="17" t="n">
        <v>2.7</v>
      </c>
      <c r="Y19" s="15" t="n">
        <v>630</v>
      </c>
      <c r="Z19" s="18" t="n">
        <v>1.4</v>
      </c>
      <c r="AA19" s="18" t="n">
        <v>6.1</v>
      </c>
      <c r="AB19" s="19" t="n">
        <v>1</v>
      </c>
      <c r="AC19" s="19" t="n">
        <v>0.01</v>
      </c>
      <c r="AD19" s="19" t="n">
        <v>0.13</v>
      </c>
      <c r="AE19" s="20" t="n">
        <v>0.01</v>
      </c>
    </row>
    <row r="20" ht="45" customHeight="1">
      <c r="A20" s="13" t="inlineStr">
        <is>
          <t>Quorra Interactive</t>
        </is>
      </c>
      <c r="B20" s="13" t="inlineStr">
        <is>
          <t>Northbridge Capital</t>
        </is>
      </c>
      <c r="C20" s="13" t="n">
        <v>50203010</v>
      </c>
      <c r="D20" s="13" t="inlineStr">
        <is>
          <t>Interactive Media &amp; Services</t>
        </is>
      </c>
      <c r="E20" s="13" t="inlineStr">
        <is>
          <t>Interactive Media &amp; Services</t>
        </is>
      </c>
      <c r="F20" s="13" t="inlineStr">
        <is>
          <t>Communication Services</t>
        </is>
      </c>
      <c r="G20" s="14" t="inlineStr">
        <is>
          <t>Niche vertical-search and lead-generation platform serving the home-services and legal verticals.</t>
        </is>
      </c>
      <c r="H20" s="14" t="inlineStr">
        <is>
          <t>High-margin, capital-light digital marketplace; monetization upside from expanding advertiser base.</t>
        </is>
      </c>
      <c r="I20" s="15" t="n">
        <v>46</v>
      </c>
      <c r="J20" s="7" t="n">
        <v>0.31</v>
      </c>
      <c r="K20" s="15" t="n">
        <v>14.3</v>
      </c>
      <c r="L20" s="15" t="n">
        <v>15.015</v>
      </c>
      <c r="M20" s="15" t="n">
        <v>64.35000000000001</v>
      </c>
      <c r="N20" s="16" t="n">
        <v>4.5</v>
      </c>
      <c r="O20" s="16" t="n">
        <v>4.286</v>
      </c>
      <c r="P20" s="16" t="n">
        <v>10</v>
      </c>
      <c r="Q20" s="16" t="n">
        <v>9.6</v>
      </c>
      <c r="R20" s="15" t="n">
        <v>143</v>
      </c>
      <c r="S20" s="15" t="n">
        <v>144.144</v>
      </c>
      <c r="T20" s="7" t="n">
        <v>0.4500000000000001</v>
      </c>
      <c r="U20" s="7" t="n">
        <v>0.4464285714285715</v>
      </c>
      <c r="V20" s="15" t="n">
        <v>64.35000000000001</v>
      </c>
      <c r="W20" s="15" t="n">
        <v>525</v>
      </c>
      <c r="X20" s="17" t="n">
        <v>3.4</v>
      </c>
      <c r="Y20" s="15" t="n">
        <v>500</v>
      </c>
      <c r="Z20" s="18" t="n">
        <v>1.8</v>
      </c>
      <c r="AA20" s="18" t="n">
        <v>5.85</v>
      </c>
      <c r="AB20" s="19" t="n">
        <v>1</v>
      </c>
      <c r="AC20" s="19" t="n">
        <v>0.02</v>
      </c>
      <c r="AD20" s="19" t="n">
        <v>0.08</v>
      </c>
      <c r="AE20" s="20" t="n">
        <v>0.01</v>
      </c>
    </row>
    <row r="21" ht="45" customHeight="1">
      <c r="A21" s="13" t="inlineStr">
        <is>
          <t>Farley Brand Media</t>
        </is>
      </c>
      <c r="B21" s="13" t="inlineStr">
        <is>
          <t>Ridgeline Partners</t>
        </is>
      </c>
      <c r="C21" s="13" t="n">
        <v>50201010</v>
      </c>
      <c r="D21" s="13" t="inlineStr">
        <is>
          <t>Advertising</t>
        </is>
      </c>
      <c r="E21" s="13" t="inlineStr">
        <is>
          <t>Media</t>
        </is>
      </c>
      <c r="F21" s="13" t="inlineStr">
        <is>
          <t>Communication Services</t>
        </is>
      </c>
      <c r="G21" s="14" t="inlineStr">
        <is>
          <t>Independent out-of-home and digital advertising sales house serving regional retail and auto advertisers.</t>
        </is>
      </c>
      <c r="H21" s="14" t="inlineStr">
        <is>
          <t>Contracted ad-inventory sales with multi-year renewals; digital mix shift improving yield per panel.</t>
        </is>
      </c>
      <c r="I21" s="15" t="n">
        <v>61</v>
      </c>
      <c r="J21" s="7" t="n">
        <v>0.18</v>
      </c>
      <c r="K21" s="15" t="n">
        <v>11</v>
      </c>
      <c r="L21" s="15" t="n">
        <v>9.790000000000001</v>
      </c>
      <c r="M21" s="15" t="n">
        <v>57.75</v>
      </c>
      <c r="N21" s="16" t="n">
        <v>5.25</v>
      </c>
      <c r="O21" s="16" t="n">
        <v>5.899</v>
      </c>
      <c r="P21" s="16" t="n">
        <v>8</v>
      </c>
      <c r="Q21" s="16" t="n">
        <v>7.1</v>
      </c>
      <c r="R21" s="15" t="n">
        <v>88</v>
      </c>
      <c r="S21" s="15" t="n">
        <v>69.509</v>
      </c>
      <c r="T21" s="7" t="n">
        <v>0.65625</v>
      </c>
      <c r="U21" s="7" t="n">
        <v>0.8308276626048425</v>
      </c>
      <c r="V21" s="15" t="n">
        <v>57.75</v>
      </c>
      <c r="W21" s="15" t="n">
        <v>600</v>
      </c>
      <c r="X21" s="17" t="n">
        <v>3</v>
      </c>
      <c r="Y21" s="15" t="n">
        <v>615</v>
      </c>
      <c r="Z21" s="18" t="n">
        <v>1.8</v>
      </c>
      <c r="AA21" s="18" t="n">
        <v>6.6</v>
      </c>
      <c r="AB21" s="19" t="n">
        <v>1</v>
      </c>
      <c r="AC21" s="19" t="n">
        <v>0.02</v>
      </c>
      <c r="AD21" s="19" t="n">
        <v>0.08</v>
      </c>
      <c r="AE21" s="20" t="n">
        <v>0.01</v>
      </c>
    </row>
    <row r="22" ht="45" customHeight="1">
      <c r="A22" s="13" t="inlineStr">
        <is>
          <t>Castlemere Data Solutions</t>
        </is>
      </c>
      <c r="B22" s="13" t="inlineStr">
        <is>
          <t>Iron Gate Capital</t>
        </is>
      </c>
      <c r="C22" s="13" t="n">
        <v>20202030</v>
      </c>
      <c r="D22" s="13" t="inlineStr">
        <is>
          <t>Data Processing &amp; Outsourced Services</t>
        </is>
      </c>
      <c r="E22" s="13" t="inlineStr">
        <is>
          <t>Professional Services</t>
        </is>
      </c>
      <c r="F22" s="13" t="inlineStr">
        <is>
          <t>Industrials</t>
        </is>
      </c>
      <c r="G22" s="14" t="inlineStr">
        <is>
          <t>Outsourced data-processing and back-office operations provider to regional banks and credit unions.</t>
        </is>
      </c>
      <c r="H22" s="14" t="inlineStr">
        <is>
          <t>Multi-year outsourcing contracts with high switching costs; margin expansion through offshore delivery mix.</t>
        </is>
      </c>
      <c r="I22" s="15" t="n">
        <v>69</v>
      </c>
      <c r="J22" s="7" t="n">
        <v>0.2</v>
      </c>
      <c r="K22" s="15" t="n">
        <v>13.8</v>
      </c>
      <c r="L22" s="15" t="n">
        <v>14.766</v>
      </c>
      <c r="M22" s="15" t="n">
        <v>65.55</v>
      </c>
      <c r="N22" s="16" t="n">
        <v>4.75</v>
      </c>
      <c r="O22" s="16" t="n">
        <v>4.439</v>
      </c>
      <c r="P22" s="16" t="n">
        <v>8.5</v>
      </c>
      <c r="Q22" s="16" t="n">
        <v>8.4</v>
      </c>
      <c r="R22" s="15" t="n">
        <v>117.3</v>
      </c>
      <c r="S22" s="15" t="n">
        <v>124.0344</v>
      </c>
      <c r="T22" s="7" t="n">
        <v>0.5588235294117646</v>
      </c>
      <c r="U22" s="7" t="n">
        <v>0.5284824210057854</v>
      </c>
      <c r="V22" s="15" t="n">
        <v>62.27249999999999</v>
      </c>
      <c r="W22" s="15" t="n">
        <v>525</v>
      </c>
      <c r="X22" s="17" t="n">
        <v>3.2</v>
      </c>
      <c r="Y22" s="15" t="n">
        <v>495</v>
      </c>
      <c r="Z22" s="18" t="n">
        <v>2</v>
      </c>
      <c r="AA22" s="18" t="n">
        <v>6.1</v>
      </c>
      <c r="AB22" s="19" t="n">
        <v>1</v>
      </c>
      <c r="AC22" s="19" t="n">
        <v>0.03</v>
      </c>
      <c r="AD22" s="19" t="n">
        <v>0.09</v>
      </c>
      <c r="AE22" s="20" t="n">
        <v>0.01</v>
      </c>
    </row>
    <row r="23" ht="45" customHeight="1">
      <c r="A23" s="13" t="inlineStr">
        <is>
          <t>Oakhurst Homes</t>
        </is>
      </c>
      <c r="B23" s="13" t="inlineStr">
        <is>
          <t>Ferrow Street Partners</t>
        </is>
      </c>
      <c r="C23" s="13" t="n">
        <v>25201030</v>
      </c>
      <c r="D23" s="13" t="inlineStr">
        <is>
          <t>Homebuilding</t>
        </is>
      </c>
      <c r="E23" s="13" t="inlineStr">
        <is>
          <t>Household Durables</t>
        </is>
      </c>
      <c r="F23" s="13" t="inlineStr">
        <is>
          <t>Consumer Discretionary</t>
        </is>
      </c>
      <c r="G23" s="14" t="inlineStr">
        <is>
          <t>Regional entry-level homebuilder operating across secondary markets in the Sun Belt.</t>
        </is>
      </c>
      <c r="H23" s="14" t="inlineStr">
        <is>
          <t>Land-light option-based lot pipeline reduces balance-sheet risk; demographic tailwind in target markets.</t>
        </is>
      </c>
      <c r="I23" s="15" t="n">
        <v>224</v>
      </c>
      <c r="J23" s="7" t="n">
        <v>0.12</v>
      </c>
      <c r="K23" s="15" t="n">
        <v>26.9</v>
      </c>
      <c r="L23" s="15" t="n">
        <v>22.058</v>
      </c>
      <c r="M23" s="15" t="n">
        <v>121.05</v>
      </c>
      <c r="N23" s="16" t="n">
        <v>4.5</v>
      </c>
      <c r="O23" s="16" t="n">
        <v>5.488</v>
      </c>
      <c r="P23" s="16" t="n">
        <v>6.5</v>
      </c>
      <c r="Q23" s="16" t="n">
        <v>5.6</v>
      </c>
      <c r="R23" s="15" t="n">
        <v>174.85</v>
      </c>
      <c r="S23" s="15" t="n">
        <v>123.5248</v>
      </c>
      <c r="T23" s="7" t="n">
        <v>0.6923076923076923</v>
      </c>
      <c r="U23" s="7" t="n">
        <v>0.9799651567944252</v>
      </c>
      <c r="V23" s="15" t="n">
        <v>108.945</v>
      </c>
      <c r="W23" s="15" t="n">
        <v>625</v>
      </c>
      <c r="X23" s="17" t="n">
        <v>2.6</v>
      </c>
      <c r="Y23" s="15" t="n">
        <v>660</v>
      </c>
      <c r="Z23" s="18" t="n">
        <v>2.4</v>
      </c>
      <c r="AA23" s="18" t="n">
        <v>5.85</v>
      </c>
      <c r="AB23" s="19" t="n">
        <v>1</v>
      </c>
      <c r="AC23" s="19" t="n">
        <v>0.025</v>
      </c>
      <c r="AD23" s="19" t="n">
        <v>0.08</v>
      </c>
      <c r="AE23" s="20" t="n">
        <v>0.01</v>
      </c>
    </row>
    <row r="24" ht="45" customHeight="1">
      <c r="A24" s="13" t="inlineStr">
        <is>
          <t>Redmoor Auto Components</t>
        </is>
      </c>
      <c r="B24" s="13" t="inlineStr">
        <is>
          <t>Ridgeline Partners</t>
        </is>
      </c>
      <c r="C24" s="13" t="n">
        <v>25101010</v>
      </c>
      <c r="D24" s="13" t="inlineStr">
        <is>
          <t>Automotive Parts &amp; Equipment</t>
        </is>
      </c>
      <c r="E24" s="13" t="inlineStr">
        <is>
          <t>Automobile Components</t>
        </is>
      </c>
      <c r="F24" s="13" t="inlineStr">
        <is>
          <t>Consumer Discretionary</t>
        </is>
      </c>
      <c r="G24" s="14" t="inlineStr">
        <is>
          <t>Tier-2 supplier of precision-stamped metal components to automotive OEMs and Tier-1s.</t>
        </is>
      </c>
      <c r="H24" s="14" t="inlineStr">
        <is>
          <t>Diversifying customer base away from ICE platforms toward EV structural components; long qualification lead times protect share.</t>
        </is>
      </c>
      <c r="I24" s="15" t="n">
        <v>148</v>
      </c>
      <c r="J24" s="7" t="n">
        <v>0.14</v>
      </c>
      <c r="K24" s="15" t="n">
        <v>20.7</v>
      </c>
      <c r="L24" s="15" t="n">
        <v>17.388</v>
      </c>
      <c r="M24" s="15" t="n">
        <v>103.5</v>
      </c>
      <c r="N24" s="16" t="n">
        <v>5</v>
      </c>
      <c r="O24" s="16" t="n">
        <v>5.952</v>
      </c>
      <c r="P24" s="16" t="n">
        <v>6.5</v>
      </c>
      <c r="Q24" s="16" t="n">
        <v>5.8</v>
      </c>
      <c r="R24" s="15" t="n">
        <v>134.55</v>
      </c>
      <c r="S24" s="15" t="n">
        <v>100.8504</v>
      </c>
      <c r="T24" s="7" t="n">
        <v>0.7692307692307693</v>
      </c>
      <c r="U24" s="7" t="n">
        <v>1.026272577996716</v>
      </c>
      <c r="V24" s="15" t="n">
        <v>103.5</v>
      </c>
      <c r="W24" s="15" t="n">
        <v>650</v>
      </c>
      <c r="X24" s="17" t="n">
        <v>2.9</v>
      </c>
      <c r="Y24" s="15" t="n">
        <v>675</v>
      </c>
      <c r="Z24" s="18" t="n">
        <v>2.4</v>
      </c>
      <c r="AA24" s="18" t="n">
        <v>6.35</v>
      </c>
      <c r="AB24" s="19" t="n">
        <v>1</v>
      </c>
      <c r="AC24" s="19" t="n">
        <v>0.025</v>
      </c>
      <c r="AD24" s="19" t="n">
        <v>0.08</v>
      </c>
      <c r="AE24" s="20" t="n">
        <v>0.01</v>
      </c>
    </row>
    <row r="25" ht="45" customHeight="1">
      <c r="A25" s="13" t="inlineStr">
        <is>
          <t>Pemberton Leisure Clubs</t>
        </is>
      </c>
      <c r="B25" s="13" t="inlineStr">
        <is>
          <t>Northbridge Capital</t>
        </is>
      </c>
      <c r="C25" s="13" t="n">
        <v>25301030</v>
      </c>
      <c r="D25" s="13" t="inlineStr">
        <is>
          <t>Leisure Facilities</t>
        </is>
      </c>
      <c r="E25" s="13" t="inlineStr">
        <is>
          <t>Hotels, Restaurants &amp; Leisure</t>
        </is>
      </c>
      <c r="F25" s="13" t="inlineStr">
        <is>
          <t>Consumer Discretionary</t>
        </is>
      </c>
      <c r="G25" s="14" t="inlineStr">
        <is>
          <t>Operator of premium racquet and fitness clubs across affluent suburban markets.</t>
        </is>
      </c>
      <c r="H25" s="14" t="inlineStr">
        <is>
          <t>Membership-fee model with high renewal rates; ancillary F&amp;B and coaching revenue expanding per-member spend.</t>
        </is>
      </c>
      <c r="I25" s="15" t="n">
        <v>52</v>
      </c>
      <c r="J25" s="7" t="n">
        <v>0.22</v>
      </c>
      <c r="K25" s="15" t="n">
        <v>11.4</v>
      </c>
      <c r="L25" s="15" t="n">
        <v>11.856</v>
      </c>
      <c r="M25" s="15" t="n">
        <v>54.15</v>
      </c>
      <c r="N25" s="16" t="n">
        <v>4.75</v>
      </c>
      <c r="O25" s="16" t="n">
        <v>4.567</v>
      </c>
      <c r="P25" s="16" t="n">
        <v>8.5</v>
      </c>
      <c r="Q25" s="16" t="n">
        <v>8.199999999999999</v>
      </c>
      <c r="R25" s="15" t="n">
        <v>96.90000000000001</v>
      </c>
      <c r="S25" s="15" t="n">
        <v>97.2192</v>
      </c>
      <c r="T25" s="7" t="n">
        <v>0.5588235294117646</v>
      </c>
      <c r="U25" s="7" t="n">
        <v>0.5569887429643527</v>
      </c>
      <c r="V25" s="15" t="n">
        <v>54.15</v>
      </c>
      <c r="W25" s="15" t="n">
        <v>550</v>
      </c>
      <c r="X25" s="17" t="n">
        <v>3.1</v>
      </c>
      <c r="Y25" s="15" t="n">
        <v>520</v>
      </c>
      <c r="Z25" s="18" t="n">
        <v>2.4</v>
      </c>
      <c r="AA25" s="18" t="n">
        <v>6.1</v>
      </c>
      <c r="AB25" s="19" t="n">
        <v>1</v>
      </c>
      <c r="AC25" s="19" t="n">
        <v>0.025</v>
      </c>
      <c r="AD25" s="19" t="n">
        <v>0.08</v>
      </c>
      <c r="AE25" s="20" t="n">
        <v>0.01</v>
      </c>
    </row>
    <row r="26" ht="45" customHeight="1">
      <c r="A26" s="13" t="inlineStr">
        <is>
          <t>Linden &amp; Vale Personal Care</t>
        </is>
      </c>
      <c r="B26" s="13" t="inlineStr">
        <is>
          <t>Iron Gate Capital</t>
        </is>
      </c>
      <c r="C26" s="13" t="n">
        <v>30302010</v>
      </c>
      <c r="D26" s="13" t="inlineStr">
        <is>
          <t>Personal Care Products</t>
        </is>
      </c>
      <c r="E26" s="13" t="inlineStr">
        <is>
          <t>Personal Care Products</t>
        </is>
      </c>
      <c r="F26" s="13" t="inlineStr">
        <is>
          <t>Consumer Staples</t>
        </is>
      </c>
      <c r="G26" s="14" t="inlineStr">
        <is>
          <t>Manufacturer of premium personal care and grooming products sold through specialty and mass retail.</t>
        </is>
      </c>
      <c r="H26" s="14" t="inlineStr">
        <is>
          <t>Brand equity in a defensive category; private-equity buy-and-build via bolt-on brand acquisitions.</t>
        </is>
      </c>
      <c r="I26" s="15" t="n">
        <v>97</v>
      </c>
      <c r="J26" s="7" t="n">
        <v>0.19</v>
      </c>
      <c r="K26" s="15" t="n">
        <v>18.4</v>
      </c>
      <c r="L26" s="15" t="n">
        <v>18.584</v>
      </c>
      <c r="M26" s="15" t="n">
        <v>82.8</v>
      </c>
      <c r="N26" s="16" t="n">
        <v>4.5</v>
      </c>
      <c r="O26" s="16" t="n">
        <v>4.455</v>
      </c>
      <c r="P26" s="16" t="n">
        <v>9.5</v>
      </c>
      <c r="Q26" s="16" t="n">
        <v>9.300000000000001</v>
      </c>
      <c r="R26" s="15" t="n">
        <v>174.8</v>
      </c>
      <c r="S26" s="15" t="n">
        <v>172.8312</v>
      </c>
      <c r="T26" s="7" t="n">
        <v>0.4736842105263158</v>
      </c>
      <c r="U26" s="7" t="n">
        <v>0.4790801660811241</v>
      </c>
      <c r="V26" s="15" t="n">
        <v>78.66</v>
      </c>
      <c r="W26" s="15" t="n">
        <v>500</v>
      </c>
      <c r="X26" s="17" t="n">
        <v>3.3</v>
      </c>
      <c r="Y26" s="15" t="n">
        <v>470</v>
      </c>
      <c r="Z26" s="18" t="n">
        <v>1.5</v>
      </c>
      <c r="AA26" s="18" t="n">
        <v>5.85</v>
      </c>
      <c r="AB26" s="19" t="n">
        <v>1</v>
      </c>
      <c r="AC26" s="19" t="n">
        <v>0.02</v>
      </c>
      <c r="AD26" s="19" t="n">
        <v>0.11</v>
      </c>
      <c r="AE26" s="20" t="n">
        <v>0.01</v>
      </c>
    </row>
    <row r="27" ht="45" customHeight="1">
      <c r="A27" s="13" t="inlineStr">
        <is>
          <t>Harrowgate Distribution</t>
        </is>
      </c>
      <c r="B27" s="13" t="inlineStr">
        <is>
          <t>Ferrow Street Partners</t>
        </is>
      </c>
      <c r="C27" s="13" t="n">
        <v>25501010</v>
      </c>
      <c r="D27" s="13" t="inlineStr">
        <is>
          <t>Distributors</t>
        </is>
      </c>
      <c r="E27" s="13" t="inlineStr">
        <is>
          <t>Distributors</t>
        </is>
      </c>
      <c r="F27" s="13" t="inlineStr">
        <is>
          <t>Consumer Discretionary</t>
        </is>
      </c>
      <c r="G27" s="14" t="inlineStr">
        <is>
          <t>Wholesale distributor of building materials and hardware to independent contractors.</t>
        </is>
      </c>
      <c r="H27" s="14" t="inlineStr">
        <is>
          <t>Route-density economics and vendor-financing terms create structural cost advantage over new entrants.</t>
        </is>
      </c>
      <c r="I27" s="15" t="n">
        <v>167</v>
      </c>
      <c r="J27" s="7" t="n">
        <v>0.09</v>
      </c>
      <c r="K27" s="15" t="n">
        <v>15</v>
      </c>
      <c r="L27" s="15" t="n">
        <v>13.05</v>
      </c>
      <c r="M27" s="15" t="n">
        <v>78.75</v>
      </c>
      <c r="N27" s="16" t="n">
        <v>5.25</v>
      </c>
      <c r="O27" s="16" t="n">
        <v>6.034</v>
      </c>
      <c r="P27" s="16" t="n">
        <v>7.5</v>
      </c>
      <c r="Q27" s="16" t="n">
        <v>6.9</v>
      </c>
      <c r="R27" s="15" t="n">
        <v>112.5</v>
      </c>
      <c r="S27" s="15" t="n">
        <v>90.04500000000002</v>
      </c>
      <c r="T27" s="7" t="n">
        <v>0.7</v>
      </c>
      <c r="U27" s="7" t="n">
        <v>0.8745627186406795</v>
      </c>
      <c r="V27" s="15" t="n">
        <v>78.75</v>
      </c>
      <c r="W27" s="15" t="n">
        <v>575</v>
      </c>
      <c r="X27" s="17" t="n">
        <v>2.9</v>
      </c>
      <c r="Y27" s="15" t="n">
        <v>590</v>
      </c>
      <c r="Z27" s="18" t="n">
        <v>2.4</v>
      </c>
      <c r="AA27" s="18" t="n">
        <v>6.6</v>
      </c>
      <c r="AB27" s="19" t="n">
        <v>1</v>
      </c>
      <c r="AC27" s="19" t="n">
        <v>0.025</v>
      </c>
      <c r="AD27" s="19" t="n">
        <v>0.08</v>
      </c>
      <c r="AE27" s="20" t="n">
        <v>0.01</v>
      </c>
    </row>
    <row r="28" ht="45" customHeight="1">
      <c r="A28" s="13" t="inlineStr">
        <is>
          <t>Milverton Apparel Retail</t>
        </is>
      </c>
      <c r="B28" s="13" t="inlineStr">
        <is>
          <t>Ridgeline Partners</t>
        </is>
      </c>
      <c r="C28" s="13" t="n">
        <v>25504010</v>
      </c>
      <c r="D28" s="13" t="inlineStr">
        <is>
          <t>Apparel Retail</t>
        </is>
      </c>
      <c r="E28" s="13" t="inlineStr">
        <is>
          <t>Specialty Retail</t>
        </is>
      </c>
      <c r="F28" s="13" t="inlineStr">
        <is>
          <t>Consumer Discretionary</t>
        </is>
      </c>
      <c r="G28" s="14" t="inlineStr">
        <is>
          <t>Off-price specialty apparel retailer operating 210 stores across secondary and tertiary markets.</t>
        </is>
      </c>
      <c r="H28" s="14" t="inlineStr">
        <is>
          <t>Off-price value proposition is counter-cyclical; store-level unit economics support disciplined new-store growth.</t>
        </is>
      </c>
      <c r="I28" s="15" t="n">
        <v>312</v>
      </c>
      <c r="J28" s="7" t="n">
        <v>0.08</v>
      </c>
      <c r="K28" s="15" t="n">
        <v>25</v>
      </c>
      <c r="L28" s="15" t="n">
        <v>20.25</v>
      </c>
      <c r="M28" s="15" t="n">
        <v>137.5</v>
      </c>
      <c r="N28" s="16" t="n">
        <v>5.5</v>
      </c>
      <c r="O28" s="16" t="n">
        <v>6.79</v>
      </c>
      <c r="P28" s="16" t="n">
        <v>6</v>
      </c>
      <c r="Q28" s="16" t="n">
        <v>5.1</v>
      </c>
      <c r="R28" s="15" t="n">
        <v>150</v>
      </c>
      <c r="S28" s="15" t="n">
        <v>103.275</v>
      </c>
      <c r="T28" s="7" t="n">
        <v>0.9166666666666666</v>
      </c>
      <c r="U28" s="7" t="n">
        <v>1.331396756233358</v>
      </c>
      <c r="V28" s="15" t="n">
        <v>116.875</v>
      </c>
      <c r="W28" s="15" t="n">
        <v>675</v>
      </c>
      <c r="X28" s="17" t="n">
        <v>2.7</v>
      </c>
      <c r="Y28" s="15" t="n">
        <v>710</v>
      </c>
      <c r="Z28" s="18" t="n">
        <v>2.4</v>
      </c>
      <c r="AA28" s="18" t="n">
        <v>6.85</v>
      </c>
      <c r="AB28" s="19" t="n">
        <v>1</v>
      </c>
      <c r="AC28" s="19" t="n">
        <v>0.025</v>
      </c>
      <c r="AD28" s="19" t="n">
        <v>0.08</v>
      </c>
      <c r="AE28" s="20" t="n">
        <v>0.01</v>
      </c>
    </row>
    <row r="29" ht="45" customHeight="1">
      <c r="A29" s="13" t="inlineStr">
        <is>
          <t>Fenwick Application Software</t>
        </is>
      </c>
      <c r="B29" s="13" t="inlineStr">
        <is>
          <t>Northbridge Capital</t>
        </is>
      </c>
      <c r="C29" s="13" t="n">
        <v>45103010</v>
      </c>
      <c r="D29" s="13" t="inlineStr">
        <is>
          <t>Application Software</t>
        </is>
      </c>
      <c r="E29" s="13" t="inlineStr">
        <is>
          <t>Software</t>
        </is>
      </c>
      <c r="F29" s="13" t="inlineStr">
        <is>
          <t>Information Technology</t>
        </is>
      </c>
      <c r="G29" s="14" t="inlineStr">
        <is>
          <t>Vertical-market SaaS provider of scheduling and compliance software for the skilled-trades industry.</t>
        </is>
      </c>
      <c r="H29" s="14" t="inlineStr">
        <is>
          <t>High net-revenue-retention subscription base; land-and-expand motion into adjacent trades verticals.</t>
        </is>
      </c>
      <c r="I29" s="15" t="n">
        <v>41</v>
      </c>
      <c r="J29" s="7" t="n">
        <v>0.27</v>
      </c>
      <c r="K29" s="15" t="n">
        <v>11.1</v>
      </c>
      <c r="L29" s="15" t="n">
        <v>12.765</v>
      </c>
      <c r="M29" s="15" t="n">
        <v>44.4</v>
      </c>
      <c r="N29" s="16" t="n">
        <v>4</v>
      </c>
      <c r="O29" s="16" t="n">
        <v>3.478</v>
      </c>
      <c r="P29" s="16" t="n">
        <v>12</v>
      </c>
      <c r="Q29" s="16" t="n">
        <v>11.5</v>
      </c>
      <c r="R29" s="15" t="n">
        <v>133.2</v>
      </c>
      <c r="S29" s="15" t="n">
        <v>146.7975</v>
      </c>
      <c r="T29" s="7" t="n">
        <v>0.3333333333333334</v>
      </c>
      <c r="U29" s="7" t="n">
        <v>0.3024574669187146</v>
      </c>
      <c r="V29" s="15" t="n">
        <v>44.4</v>
      </c>
      <c r="W29" s="15" t="n">
        <v>475</v>
      </c>
      <c r="X29" s="17" t="n">
        <v>3.7</v>
      </c>
      <c r="Y29" s="15" t="n">
        <v>420</v>
      </c>
      <c r="Z29" s="18" t="n">
        <v>1.4</v>
      </c>
      <c r="AA29" s="18" t="n">
        <v>5.35</v>
      </c>
      <c r="AB29" s="19" t="n">
        <v>1</v>
      </c>
      <c r="AC29" s="19" t="n">
        <v>0.015</v>
      </c>
      <c r="AD29" s="19" t="n">
        <v>0.07000000000000001</v>
      </c>
      <c r="AE29" s="20" t="n">
        <v>0.01</v>
      </c>
    </row>
    <row r="30" ht="45" customHeight="1">
      <c r="A30" s="13" t="inlineStr">
        <is>
          <t>Calloway IT Consulting</t>
        </is>
      </c>
      <c r="B30" s="13" t="inlineStr">
        <is>
          <t>Iron Gate Capital</t>
        </is>
      </c>
      <c r="C30" s="13" t="n">
        <v>45102010</v>
      </c>
      <c r="D30" s="13" t="inlineStr">
        <is>
          <t>IT Consulting &amp; Other Services</t>
        </is>
      </c>
      <c r="E30" s="13" t="inlineStr">
        <is>
          <t>IT Services</t>
        </is>
      </c>
      <c r="F30" s="13" t="inlineStr">
        <is>
          <t>Information Technology</t>
        </is>
      </c>
      <c r="G30" s="14" t="inlineStr">
        <is>
          <t>Mid-market ERP implementation and managed-IT services consultancy serving manufacturing clients.</t>
        </is>
      </c>
      <c r="H30" s="14" t="inlineStr">
        <is>
          <t>Multi-year managed-services contracts provide recurring base beneath project-based implementation revenue.</t>
        </is>
      </c>
      <c r="I30" s="15" t="n">
        <v>73</v>
      </c>
      <c r="J30" s="7" t="n">
        <v>0.16</v>
      </c>
      <c r="K30" s="15" t="n">
        <v>11.7</v>
      </c>
      <c r="L30" s="15" t="n">
        <v>10.998</v>
      </c>
      <c r="M30" s="15" t="n">
        <v>55.575</v>
      </c>
      <c r="N30" s="16" t="n">
        <v>4.75</v>
      </c>
      <c r="O30" s="16" t="n">
        <v>5.053</v>
      </c>
      <c r="P30" s="16" t="n">
        <v>8</v>
      </c>
      <c r="Q30" s="16" t="n">
        <v>7.4</v>
      </c>
      <c r="R30" s="15" t="n">
        <v>93.59999999999999</v>
      </c>
      <c r="S30" s="15" t="n">
        <v>81.3852</v>
      </c>
      <c r="T30" s="7" t="n">
        <v>0.59375</v>
      </c>
      <c r="U30" s="7" t="n">
        <v>0.6828637147786084</v>
      </c>
      <c r="V30" s="15" t="n">
        <v>50.0175</v>
      </c>
      <c r="W30" s="15" t="n">
        <v>550</v>
      </c>
      <c r="X30" s="17" t="n">
        <v>3.2</v>
      </c>
      <c r="Y30" s="15" t="n">
        <v>545</v>
      </c>
      <c r="Z30" s="18" t="n">
        <v>1.4</v>
      </c>
      <c r="AA30" s="18" t="n">
        <v>6.1</v>
      </c>
      <c r="AB30" s="19" t="n">
        <v>1</v>
      </c>
      <c r="AC30" s="19" t="n">
        <v>0.015</v>
      </c>
      <c r="AD30" s="19" t="n">
        <v>0.07000000000000001</v>
      </c>
      <c r="AE30" s="20" t="n">
        <v>0.01</v>
      </c>
    </row>
    <row r="31" ht="45" customHeight="1">
      <c r="A31" s="13" t="inlineStr">
        <is>
          <t>Ashgrove Professional Staffing</t>
        </is>
      </c>
      <c r="B31" s="13" t="inlineStr">
        <is>
          <t>Ferrow Street Partners</t>
        </is>
      </c>
      <c r="C31" s="13" t="n">
        <v>20202010</v>
      </c>
      <c r="D31" s="13" t="inlineStr">
        <is>
          <t>Human Resource &amp; Employment Services</t>
        </is>
      </c>
      <c r="E31" s="13" t="inlineStr">
        <is>
          <t>Professional Services</t>
        </is>
      </c>
      <c r="F31" s="13" t="inlineStr">
        <is>
          <t>Industrials</t>
        </is>
      </c>
      <c r="G31" s="14" t="inlineStr">
        <is>
          <t>Specialized staffing provider for healthcare and light-industrial temporary placements.</t>
        </is>
      </c>
      <c r="H31" s="14" t="inlineStr">
        <is>
          <t>Diversified end-market mix cushions cyclicality; technology-enabled sourcing lowers cost-to-fill.</t>
        </is>
      </c>
      <c r="I31" s="15" t="n">
        <v>112</v>
      </c>
      <c r="J31" s="7" t="n">
        <v>0.09</v>
      </c>
      <c r="K31" s="15" t="n">
        <v>10.1</v>
      </c>
      <c r="L31" s="15" t="n">
        <v>9.09</v>
      </c>
      <c r="M31" s="15" t="n">
        <v>50.5</v>
      </c>
      <c r="N31" s="16" t="n">
        <v>5</v>
      </c>
      <c r="O31" s="16" t="n">
        <v>5.556</v>
      </c>
      <c r="P31" s="16" t="n">
        <v>7</v>
      </c>
      <c r="Q31" s="16" t="n">
        <v>6.3</v>
      </c>
      <c r="R31" s="15" t="n">
        <v>70.7</v>
      </c>
      <c r="S31" s="15" t="n">
        <v>57.267</v>
      </c>
      <c r="T31" s="7" t="n">
        <v>0.7142857142857143</v>
      </c>
      <c r="U31" s="7" t="n">
        <v>0.8818342151675486</v>
      </c>
      <c r="V31" s="15" t="n">
        <v>50.5</v>
      </c>
      <c r="W31" s="15" t="n">
        <v>625</v>
      </c>
      <c r="X31" s="17" t="n">
        <v>2.8</v>
      </c>
      <c r="Y31" s="15" t="n">
        <v>645</v>
      </c>
      <c r="Z31" s="18" t="n">
        <v>2</v>
      </c>
      <c r="AA31" s="18" t="n">
        <v>6.35</v>
      </c>
      <c r="AB31" s="19" t="n">
        <v>1</v>
      </c>
      <c r="AC31" s="19" t="n">
        <v>0.03</v>
      </c>
      <c r="AD31" s="19" t="n">
        <v>0.09</v>
      </c>
      <c r="AE31" s="20" t="n">
        <v>0.01</v>
      </c>
    </row>
    <row r="32" ht="45" customHeight="1">
      <c r="A32" s="13" t="inlineStr">
        <is>
          <t>Rowanmede Consulting Group</t>
        </is>
      </c>
      <c r="B32" s="13" t="inlineStr">
        <is>
          <t>Ridgeline Partners</t>
        </is>
      </c>
      <c r="C32" s="13" t="n">
        <v>20202020</v>
      </c>
      <c r="D32" s="13" t="inlineStr">
        <is>
          <t>Research &amp; Consulting Services</t>
        </is>
      </c>
      <c r="E32" s="13" t="inlineStr">
        <is>
          <t>Professional Services</t>
        </is>
      </c>
      <c r="F32" s="13" t="inlineStr">
        <is>
          <t>Industrials</t>
        </is>
      </c>
      <c r="G32" s="14" t="inlineStr">
        <is>
          <t>Boutique management consultancy specializing in supply-chain and operations advisory for industrials.</t>
        </is>
      </c>
      <c r="H32" s="14" t="inlineStr">
        <is>
          <t>High-touch advisory relationships with Fortune 1000 clients; low capital intensity, strong cash conversion.</t>
        </is>
      </c>
      <c r="I32" s="15" t="n">
        <v>64</v>
      </c>
      <c r="J32" s="7" t="n">
        <v>0.24</v>
      </c>
      <c r="K32" s="15" t="n">
        <v>15.4</v>
      </c>
      <c r="L32" s="15" t="n">
        <v>16.786</v>
      </c>
      <c r="M32" s="15" t="n">
        <v>65.45</v>
      </c>
      <c r="N32" s="16" t="n">
        <v>4.25</v>
      </c>
      <c r="O32" s="16" t="n">
        <v>3.899</v>
      </c>
      <c r="P32" s="16" t="n">
        <v>9</v>
      </c>
      <c r="Q32" s="16" t="n">
        <v>8.800000000000001</v>
      </c>
      <c r="R32" s="15" t="n">
        <v>138.6</v>
      </c>
      <c r="S32" s="15" t="n">
        <v>147.7168</v>
      </c>
      <c r="T32" s="7" t="n">
        <v>0.4722222222222223</v>
      </c>
      <c r="U32" s="7" t="n">
        <v>0.4430775646371976</v>
      </c>
      <c r="V32" s="15" t="n">
        <v>65.45</v>
      </c>
      <c r="W32" s="15" t="n">
        <v>500</v>
      </c>
      <c r="X32" s="17" t="n">
        <v>3.4</v>
      </c>
      <c r="Y32" s="15" t="n">
        <v>475</v>
      </c>
      <c r="Z32" s="18" t="n">
        <v>2</v>
      </c>
      <c r="AA32" s="18" t="n">
        <v>5.6</v>
      </c>
      <c r="AB32" s="19" t="n">
        <v>1</v>
      </c>
      <c r="AC32" s="19" t="n">
        <v>0.03</v>
      </c>
      <c r="AD32" s="19" t="n">
        <v>0.09</v>
      </c>
      <c r="AE32" s="20" t="n">
        <v>0.01</v>
      </c>
    </row>
    <row r="33" ht="45" customHeight="1">
      <c r="A33" s="13" t="inlineStr">
        <is>
          <t>Tanglewood Support Services</t>
        </is>
      </c>
      <c r="B33" s="13" t="inlineStr">
        <is>
          <t>Northbridge Capital</t>
        </is>
      </c>
      <c r="C33" s="13" t="n">
        <v>20201070</v>
      </c>
      <c r="D33" s="13" t="inlineStr">
        <is>
          <t>Diversified Support Services</t>
        </is>
      </c>
      <c r="E33" s="13" t="inlineStr">
        <is>
          <t>Commercial Services &amp; Supplies</t>
        </is>
      </c>
      <c r="F33" s="13" t="inlineStr">
        <is>
          <t>Industrials</t>
        </is>
      </c>
      <c r="G33" s="14" t="inlineStr">
        <is>
          <t>Outsourced facilities and support-services provider to healthcare and education campuses.</t>
        </is>
      </c>
      <c r="H33" s="14" t="inlineStr">
        <is>
          <t>Multi-year contracted revenue with inflation-linked escalators; consolidation of a fragmented regional base.</t>
        </is>
      </c>
      <c r="I33" s="15" t="n">
        <v>91</v>
      </c>
      <c r="J33" s="7" t="n">
        <v>0.11</v>
      </c>
      <c r="K33" s="15" t="n">
        <v>10</v>
      </c>
      <c r="L33" s="15" t="n">
        <v>9.5</v>
      </c>
      <c r="M33" s="15" t="n">
        <v>50</v>
      </c>
      <c r="N33" s="16" t="n">
        <v>5</v>
      </c>
      <c r="O33" s="16" t="n">
        <v>5.263</v>
      </c>
      <c r="P33" s="16" t="n">
        <v>7.5</v>
      </c>
      <c r="Q33" s="16" t="n">
        <v>7</v>
      </c>
      <c r="R33" s="15" t="n">
        <v>75</v>
      </c>
      <c r="S33" s="15" t="n">
        <v>66.5</v>
      </c>
      <c r="T33" s="7" t="n">
        <v>0.6666666666666666</v>
      </c>
      <c r="U33" s="7" t="n">
        <v>0.7518796992481203</v>
      </c>
      <c r="V33" s="15" t="n">
        <v>47.5</v>
      </c>
      <c r="W33" s="15" t="n">
        <v>575</v>
      </c>
      <c r="X33" s="17" t="n">
        <v>3</v>
      </c>
      <c r="Y33" s="15" t="n">
        <v>580</v>
      </c>
      <c r="Z33" s="18" t="n">
        <v>2</v>
      </c>
      <c r="AA33" s="18" t="n">
        <v>6.35</v>
      </c>
      <c r="AB33" s="19" t="n">
        <v>1</v>
      </c>
      <c r="AC33" s="19" t="n">
        <v>0.03</v>
      </c>
      <c r="AD33" s="19" t="n">
        <v>0.09</v>
      </c>
      <c r="AE33" s="20" t="n">
        <v>0.01</v>
      </c>
    </row>
  </sheetData>
  <mergeCells count="1">
    <mergeCell ref="A1:A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12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 ht="40" customHeight="1">
      <c r="A1" t="inlineStr">
        <is>
          <t>STEP 3 — the B1/B3/B4/B5 formula chain (PC_Stress_Framework.html Section 5) run on all 30 deals. Columns D-G: GICS shock, looked up by each deal's own Sub-Industry code against 1_GICS_Shock_Input. Columns H-U: deal statics pulled from 2_Deal_Tape. Columns V onward: the live cascade — stressed EBITDA, interest, leverage, FCCR, EV, LTV, covenant headroom, Flatline (distance-to-covenant), and spread-duration MTM impact.</t>
        </is>
      </c>
    </row>
    <row r="2" ht="34" customHeight="1">
      <c r="A2" s="5" t="inlineStr">
        <is>
          <t>Deal Name</t>
        </is>
      </c>
      <c r="B2" s="5" t="inlineStr">
        <is>
          <t>Sub-Ind
Code</t>
        </is>
      </c>
      <c r="C2" s="5" t="inlineStr">
        <is>
          <t>Sector</t>
        </is>
      </c>
      <c r="D2" s="5" t="inlineStr">
        <is>
          <t>Revenue
Shock %</t>
        </is>
      </c>
      <c r="E2" s="5" t="inlineStr">
        <is>
          <t>EV/EBITDA Mult
Shock %</t>
        </is>
      </c>
      <c r="F2" s="5" t="inlineStr">
        <is>
          <t>Spread Widening
(bps)</t>
        </is>
      </c>
      <c r="G2" s="5" t="inlineStr">
        <is>
          <t>Emerging Risk
Overlay %</t>
        </is>
      </c>
      <c r="H2" s="5" t="inlineStr">
        <is>
          <t>Structuring
EBITDA</t>
        </is>
      </c>
      <c r="I2" s="5" t="inlineStr">
        <is>
          <t>Current
EBITDA</t>
        </is>
      </c>
      <c r="J2" s="5" t="inlineStr">
        <is>
          <t>Net Debt</t>
        </is>
      </c>
      <c r="K2" s="5" t="inlineStr">
        <is>
          <t>Current
Multiple</t>
        </is>
      </c>
      <c r="L2" s="5" t="inlineStr">
        <is>
          <t>Operating
Leverage</t>
        </is>
      </c>
      <c r="M2" s="5" t="inlineStr">
        <is>
          <t>Leverage
Covenant</t>
        </is>
      </c>
      <c r="N2" s="5" t="inlineStr">
        <is>
          <t>FCCR
Covenant</t>
        </is>
      </c>
      <c r="O2" s="5" t="inlineStr">
        <is>
          <t>Capex
% Rev</t>
        </is>
      </c>
      <c r="P2" s="5" t="inlineStr">
        <is>
          <t>Cash Tax
% EBITDA</t>
        </is>
      </c>
      <c r="Q2" s="5" t="inlineStr">
        <is>
          <t>Sched Amort
% Debt</t>
        </is>
      </c>
      <c r="R2" s="5" t="inlineStr">
        <is>
          <t>LTM
Revenue</t>
        </is>
      </c>
      <c r="S2" s="5" t="inlineStr">
        <is>
          <t>Coupon
(bps)</t>
        </is>
      </c>
      <c r="T2" s="5" t="inlineStr">
        <is>
          <t>Spread
Duration</t>
        </is>
      </c>
      <c r="U2" s="5" t="inlineStr">
        <is>
          <t>Invested
Amount</t>
        </is>
      </c>
      <c r="V2" s="5" t="inlineStr">
        <is>
          <t>Total Revenue
Shock % [B1]</t>
        </is>
      </c>
      <c r="W2" s="5" t="inlineStr">
        <is>
          <t>Stressed
EBITDA [B1]</t>
        </is>
      </c>
      <c r="X2" s="5" t="inlineStr">
        <is>
          <t>Stressed Ref
Rate % [B3]</t>
        </is>
      </c>
      <c r="Y2" s="5" t="inlineStr">
        <is>
          <t>Stressed Cash
Interest [B3]</t>
        </is>
      </c>
      <c r="Z2" s="5" t="inlineStr">
        <is>
          <t>Stressed
Leverage [B4]</t>
        </is>
      </c>
      <c r="AA2" s="5" t="inlineStr">
        <is>
          <t>Stressed
Capex $</t>
        </is>
      </c>
      <c r="AB2" s="5" t="inlineStr">
        <is>
          <t>Stressed
Cash Tax $</t>
        </is>
      </c>
      <c r="AC2" s="5" t="inlineStr">
        <is>
          <t>Sched
Amort $</t>
        </is>
      </c>
      <c r="AD2" s="5" t="inlineStr">
        <is>
          <t>Stressed
FCCR [B4]</t>
        </is>
      </c>
      <c r="AE2" s="5" t="inlineStr">
        <is>
          <t>Stressed
Multiple [B5]</t>
        </is>
      </c>
      <c r="AF2" s="5" t="inlineStr">
        <is>
          <t>Stressed
EV [B5]</t>
        </is>
      </c>
      <c r="AG2" s="5" t="inlineStr">
        <is>
          <t>Stressed
LTV [B5]</t>
        </is>
      </c>
      <c r="AH2" s="5" t="inlineStr">
        <is>
          <t>Leverage
Headroom (x)</t>
        </is>
      </c>
      <c r="AI2" s="5" t="inlineStr">
        <is>
          <t>Leverage
Breach?</t>
        </is>
      </c>
      <c r="AJ2" s="5" t="inlineStr">
        <is>
          <t>FCCR
Headroom (x)</t>
        </is>
      </c>
      <c r="AK2" s="5" t="inlineStr">
        <is>
          <t>FCCR
Breach?</t>
        </is>
      </c>
      <c r="AL2" s="5" t="inlineStr">
        <is>
          <t>Leverage E*
(breakeven EBITDA)</t>
        </is>
      </c>
      <c r="AM2" s="5" t="inlineStr">
        <is>
          <t>Leverage
Flatline %</t>
        </is>
      </c>
      <c r="AN2" s="5" t="inlineStr">
        <is>
          <t>FCCR E*
(breakeven EBITDA)</t>
        </is>
      </c>
      <c r="AO2" s="5" t="inlineStr">
        <is>
          <t>FCCR
Flatline %</t>
        </is>
      </c>
      <c r="AP2" s="5" t="inlineStr">
        <is>
          <t>Price Impact %
[Engine A]</t>
        </is>
      </c>
      <c r="AQ2" s="5" t="inlineStr">
        <is>
          <t>MTM $
Impact</t>
        </is>
      </c>
    </row>
    <row r="3">
      <c r="A3" s="21">
        <f>'2_Deal_Tape'!A4</f>
        <v/>
      </c>
      <c r="B3" s="21">
        <f>'2_Deal_Tape'!C4</f>
        <v/>
      </c>
      <c r="C3" s="21">
        <f>'2_Deal_Tape'!F4</f>
        <v/>
      </c>
      <c r="D3" s="22">
        <f>INDEX('1_GICS_Shock_Input'!$E$4:$E$166,MATCH($B3,'1_GICS_Shock_Input'!$A$4:$A$166,0))</f>
        <v/>
      </c>
      <c r="E3" s="22">
        <f>INDEX('1_GICS_Shock_Input'!$F$4:$F$166,MATCH($B3,'1_GICS_Shock_Input'!$A$4:$A$166,0))</f>
        <v/>
      </c>
      <c r="F3" s="23">
        <f>INDEX('1_GICS_Shock_Input'!$G$4:$G$166,MATCH($B3,'1_GICS_Shock_Input'!$A$4:$A$166,0))</f>
        <v/>
      </c>
      <c r="G3" s="22">
        <f>INDEX('1_GICS_Shock_Input'!$H$4:$H$166,MATCH($B3,'1_GICS_Shock_Input'!$A$4:$A$166,0))</f>
        <v/>
      </c>
      <c r="H3" s="24">
        <f>'2_Deal_Tape'!K4</f>
        <v/>
      </c>
      <c r="I3" s="25">
        <f>'2_Deal_Tape'!L4</f>
        <v/>
      </c>
      <c r="J3" s="24">
        <f>'2_Deal_Tape'!M4</f>
        <v/>
      </c>
      <c r="K3" s="22">
        <f>'2_Deal_Tape'!Q4</f>
        <v/>
      </c>
      <c r="L3" s="25">
        <f>'2_Deal_Tape'!Z4</f>
        <v/>
      </c>
      <c r="M3" s="25">
        <f>'2_Deal_Tape'!AA4</f>
        <v/>
      </c>
      <c r="N3" s="24">
        <f>'2_Deal_Tape'!AB4</f>
        <v/>
      </c>
      <c r="O3" s="22">
        <f>'2_Deal_Tape'!AC4</f>
        <v/>
      </c>
      <c r="P3" s="22">
        <f>'2_Deal_Tape'!AD4</f>
        <v/>
      </c>
      <c r="Q3" s="22">
        <f>'2_Deal_Tape'!AE4</f>
        <v/>
      </c>
      <c r="R3" s="24">
        <f>'2_Deal_Tape'!I4</f>
        <v/>
      </c>
      <c r="S3" s="24">
        <f>'2_Deal_Tape'!W4</f>
        <v/>
      </c>
      <c r="T3" s="26">
        <f>'2_Deal_Tape'!X4</f>
        <v/>
      </c>
      <c r="U3" s="24">
        <f>'2_Deal_Tape'!V4</f>
        <v/>
      </c>
      <c r="V3" s="22">
        <f>D3+G3</f>
        <v/>
      </c>
      <c r="W3" s="24">
        <f>I3*(1+V3*L3)</f>
        <v/>
      </c>
      <c r="X3" s="27">
        <f>'1_GICS_Shock_Input'!$B$169+'1_GICS_Shock_Input'!$B$170/10000</f>
        <v/>
      </c>
      <c r="Y3" s="24">
        <f>J3*(X3+S3/10000)</f>
        <v/>
      </c>
      <c r="Z3" s="25">
        <f>J3/W3</f>
        <v/>
      </c>
      <c r="AA3" s="24">
        <f>O3*R3</f>
        <v/>
      </c>
      <c r="AB3" s="24">
        <f>P3*W3</f>
        <v/>
      </c>
      <c r="AC3" s="24">
        <f>Q3*J3</f>
        <v/>
      </c>
      <c r="AD3" s="25">
        <f>(W3-AA3-AB3)/(Y3+AC3)</f>
        <v/>
      </c>
      <c r="AE3" s="25">
        <f>K3*(1+E3)</f>
        <v/>
      </c>
      <c r="AF3" s="24">
        <f>W3*AE3</f>
        <v/>
      </c>
      <c r="AG3" s="22">
        <f>J3/AF3</f>
        <v/>
      </c>
      <c r="AH3" s="25">
        <f>M3-Z3</f>
        <v/>
      </c>
      <c r="AI3" s="28">
        <f>IF(Z3&gt;M3,"BREACH","")</f>
        <v/>
      </c>
      <c r="AJ3" s="25">
        <f>AD3-N3</f>
        <v/>
      </c>
      <c r="AK3" s="28">
        <f>IF(AD3&lt;N3,"BREACH","")</f>
        <v/>
      </c>
      <c r="AL3" s="24">
        <f>J3/M3</f>
        <v/>
      </c>
      <c r="AM3" s="22">
        <f>(W3-AL3)/W3</f>
        <v/>
      </c>
      <c r="AN3" s="24">
        <f>N3*(Y3+AC3)+AA3+AB3</f>
        <v/>
      </c>
      <c r="AO3" s="22">
        <f>(W3-AN3)/W3</f>
        <v/>
      </c>
      <c r="AP3" s="27">
        <f>-T3*(F3/10000)</f>
        <v/>
      </c>
      <c r="AQ3" s="24">
        <f>U3*AP3</f>
        <v/>
      </c>
    </row>
    <row r="4">
      <c r="A4" s="21">
        <f>'2_Deal_Tape'!A5</f>
        <v/>
      </c>
      <c r="B4" s="21">
        <f>'2_Deal_Tape'!C5</f>
        <v/>
      </c>
      <c r="C4" s="21">
        <f>'2_Deal_Tape'!F5</f>
        <v/>
      </c>
      <c r="D4" s="22">
        <f>INDEX('1_GICS_Shock_Input'!$E$4:$E$166,MATCH($B4,'1_GICS_Shock_Input'!$A$4:$A$166,0))</f>
        <v/>
      </c>
      <c r="E4" s="22">
        <f>INDEX('1_GICS_Shock_Input'!$F$4:$F$166,MATCH($B4,'1_GICS_Shock_Input'!$A$4:$A$166,0))</f>
        <v/>
      </c>
      <c r="F4" s="23">
        <f>INDEX('1_GICS_Shock_Input'!$G$4:$G$166,MATCH($B4,'1_GICS_Shock_Input'!$A$4:$A$166,0))</f>
        <v/>
      </c>
      <c r="G4" s="22">
        <f>INDEX('1_GICS_Shock_Input'!$H$4:$H$166,MATCH($B4,'1_GICS_Shock_Input'!$A$4:$A$166,0))</f>
        <v/>
      </c>
      <c r="H4" s="24">
        <f>'2_Deal_Tape'!K5</f>
        <v/>
      </c>
      <c r="I4" s="25">
        <f>'2_Deal_Tape'!L5</f>
        <v/>
      </c>
      <c r="J4" s="24">
        <f>'2_Deal_Tape'!M5</f>
        <v/>
      </c>
      <c r="K4" s="22">
        <f>'2_Deal_Tape'!Q5</f>
        <v/>
      </c>
      <c r="L4" s="25">
        <f>'2_Deal_Tape'!Z5</f>
        <v/>
      </c>
      <c r="M4" s="25">
        <f>'2_Deal_Tape'!AA5</f>
        <v/>
      </c>
      <c r="N4" s="24">
        <f>'2_Deal_Tape'!AB5</f>
        <v/>
      </c>
      <c r="O4" s="22">
        <f>'2_Deal_Tape'!AC5</f>
        <v/>
      </c>
      <c r="P4" s="22">
        <f>'2_Deal_Tape'!AD5</f>
        <v/>
      </c>
      <c r="Q4" s="22">
        <f>'2_Deal_Tape'!AE5</f>
        <v/>
      </c>
      <c r="R4" s="24">
        <f>'2_Deal_Tape'!I5</f>
        <v/>
      </c>
      <c r="S4" s="24">
        <f>'2_Deal_Tape'!W5</f>
        <v/>
      </c>
      <c r="T4" s="26">
        <f>'2_Deal_Tape'!X5</f>
        <v/>
      </c>
      <c r="U4" s="24">
        <f>'2_Deal_Tape'!V5</f>
        <v/>
      </c>
      <c r="V4" s="22">
        <f>D4+G4</f>
        <v/>
      </c>
      <c r="W4" s="24">
        <f>I4*(1+V4*L4)</f>
        <v/>
      </c>
      <c r="X4" s="27">
        <f>'1_GICS_Shock_Input'!$B$169+'1_GICS_Shock_Input'!$B$170/10000</f>
        <v/>
      </c>
      <c r="Y4" s="24">
        <f>J4*(X4+S4/10000)</f>
        <v/>
      </c>
      <c r="Z4" s="25">
        <f>J4/W4</f>
        <v/>
      </c>
      <c r="AA4" s="24">
        <f>O4*R4</f>
        <v/>
      </c>
      <c r="AB4" s="24">
        <f>P4*W4</f>
        <v/>
      </c>
      <c r="AC4" s="24">
        <f>Q4*J4</f>
        <v/>
      </c>
      <c r="AD4" s="25">
        <f>(W4-AA4-AB4)/(Y4+AC4)</f>
        <v/>
      </c>
      <c r="AE4" s="25">
        <f>K4*(1+E4)</f>
        <v/>
      </c>
      <c r="AF4" s="24">
        <f>W4*AE4</f>
        <v/>
      </c>
      <c r="AG4" s="22">
        <f>J4/AF4</f>
        <v/>
      </c>
      <c r="AH4" s="25">
        <f>M4-Z4</f>
        <v/>
      </c>
      <c r="AI4" s="28">
        <f>IF(Z4&gt;M4,"BREACH","")</f>
        <v/>
      </c>
      <c r="AJ4" s="25">
        <f>AD4-N4</f>
        <v/>
      </c>
      <c r="AK4" s="28">
        <f>IF(AD4&lt;N4,"BREACH","")</f>
        <v/>
      </c>
      <c r="AL4" s="24">
        <f>J4/M4</f>
        <v/>
      </c>
      <c r="AM4" s="22">
        <f>(W4-AL4)/W4</f>
        <v/>
      </c>
      <c r="AN4" s="24">
        <f>N4*(Y4+AC4)+AA4+AB4</f>
        <v/>
      </c>
      <c r="AO4" s="22">
        <f>(W4-AN4)/W4</f>
        <v/>
      </c>
      <c r="AP4" s="27">
        <f>-T4*(F4/10000)</f>
        <v/>
      </c>
      <c r="AQ4" s="24">
        <f>U4*AP4</f>
        <v/>
      </c>
    </row>
    <row r="5">
      <c r="A5" s="21">
        <f>'2_Deal_Tape'!A6</f>
        <v/>
      </c>
      <c r="B5" s="21">
        <f>'2_Deal_Tape'!C6</f>
        <v/>
      </c>
      <c r="C5" s="21">
        <f>'2_Deal_Tape'!F6</f>
        <v/>
      </c>
      <c r="D5" s="22">
        <f>INDEX('1_GICS_Shock_Input'!$E$4:$E$166,MATCH($B5,'1_GICS_Shock_Input'!$A$4:$A$166,0))</f>
        <v/>
      </c>
      <c r="E5" s="22">
        <f>INDEX('1_GICS_Shock_Input'!$F$4:$F$166,MATCH($B5,'1_GICS_Shock_Input'!$A$4:$A$166,0))</f>
        <v/>
      </c>
      <c r="F5" s="23">
        <f>INDEX('1_GICS_Shock_Input'!$G$4:$G$166,MATCH($B5,'1_GICS_Shock_Input'!$A$4:$A$166,0))</f>
        <v/>
      </c>
      <c r="G5" s="22">
        <f>INDEX('1_GICS_Shock_Input'!$H$4:$H$166,MATCH($B5,'1_GICS_Shock_Input'!$A$4:$A$166,0))</f>
        <v/>
      </c>
      <c r="H5" s="24">
        <f>'2_Deal_Tape'!K6</f>
        <v/>
      </c>
      <c r="I5" s="25">
        <f>'2_Deal_Tape'!L6</f>
        <v/>
      </c>
      <c r="J5" s="24">
        <f>'2_Deal_Tape'!M6</f>
        <v/>
      </c>
      <c r="K5" s="22">
        <f>'2_Deal_Tape'!Q6</f>
        <v/>
      </c>
      <c r="L5" s="25">
        <f>'2_Deal_Tape'!Z6</f>
        <v/>
      </c>
      <c r="M5" s="25">
        <f>'2_Deal_Tape'!AA6</f>
        <v/>
      </c>
      <c r="N5" s="24">
        <f>'2_Deal_Tape'!AB6</f>
        <v/>
      </c>
      <c r="O5" s="22">
        <f>'2_Deal_Tape'!AC6</f>
        <v/>
      </c>
      <c r="P5" s="22">
        <f>'2_Deal_Tape'!AD6</f>
        <v/>
      </c>
      <c r="Q5" s="22">
        <f>'2_Deal_Tape'!AE6</f>
        <v/>
      </c>
      <c r="R5" s="24">
        <f>'2_Deal_Tape'!I6</f>
        <v/>
      </c>
      <c r="S5" s="24">
        <f>'2_Deal_Tape'!W6</f>
        <v/>
      </c>
      <c r="T5" s="26">
        <f>'2_Deal_Tape'!X6</f>
        <v/>
      </c>
      <c r="U5" s="24">
        <f>'2_Deal_Tape'!V6</f>
        <v/>
      </c>
      <c r="V5" s="22">
        <f>D5+G5</f>
        <v/>
      </c>
      <c r="W5" s="24">
        <f>I5*(1+V5*L5)</f>
        <v/>
      </c>
      <c r="X5" s="27">
        <f>'1_GICS_Shock_Input'!$B$169+'1_GICS_Shock_Input'!$B$170/10000</f>
        <v/>
      </c>
      <c r="Y5" s="24">
        <f>J5*(X5+S5/10000)</f>
        <v/>
      </c>
      <c r="Z5" s="25">
        <f>J5/W5</f>
        <v/>
      </c>
      <c r="AA5" s="24">
        <f>O5*R5</f>
        <v/>
      </c>
      <c r="AB5" s="24">
        <f>P5*W5</f>
        <v/>
      </c>
      <c r="AC5" s="24">
        <f>Q5*J5</f>
        <v/>
      </c>
      <c r="AD5" s="25">
        <f>(W5-AA5-AB5)/(Y5+AC5)</f>
        <v/>
      </c>
      <c r="AE5" s="25">
        <f>K5*(1+E5)</f>
        <v/>
      </c>
      <c r="AF5" s="24">
        <f>W5*AE5</f>
        <v/>
      </c>
      <c r="AG5" s="22">
        <f>J5/AF5</f>
        <v/>
      </c>
      <c r="AH5" s="25">
        <f>M5-Z5</f>
        <v/>
      </c>
      <c r="AI5" s="28">
        <f>IF(Z5&gt;M5,"BREACH","")</f>
        <v/>
      </c>
      <c r="AJ5" s="25">
        <f>AD5-N5</f>
        <v/>
      </c>
      <c r="AK5" s="28">
        <f>IF(AD5&lt;N5,"BREACH","")</f>
        <v/>
      </c>
      <c r="AL5" s="24">
        <f>J5/M5</f>
        <v/>
      </c>
      <c r="AM5" s="22">
        <f>(W5-AL5)/W5</f>
        <v/>
      </c>
      <c r="AN5" s="24">
        <f>N5*(Y5+AC5)+AA5+AB5</f>
        <v/>
      </c>
      <c r="AO5" s="22">
        <f>(W5-AN5)/W5</f>
        <v/>
      </c>
      <c r="AP5" s="27">
        <f>-T5*(F5/10000)</f>
        <v/>
      </c>
      <c r="AQ5" s="24">
        <f>U5*AP5</f>
        <v/>
      </c>
    </row>
    <row r="6">
      <c r="A6" s="21">
        <f>'2_Deal_Tape'!A7</f>
        <v/>
      </c>
      <c r="B6" s="21">
        <f>'2_Deal_Tape'!C7</f>
        <v/>
      </c>
      <c r="C6" s="21">
        <f>'2_Deal_Tape'!F7</f>
        <v/>
      </c>
      <c r="D6" s="22">
        <f>INDEX('1_GICS_Shock_Input'!$E$4:$E$166,MATCH($B6,'1_GICS_Shock_Input'!$A$4:$A$166,0))</f>
        <v/>
      </c>
      <c r="E6" s="22">
        <f>INDEX('1_GICS_Shock_Input'!$F$4:$F$166,MATCH($B6,'1_GICS_Shock_Input'!$A$4:$A$166,0))</f>
        <v/>
      </c>
      <c r="F6" s="23">
        <f>INDEX('1_GICS_Shock_Input'!$G$4:$G$166,MATCH($B6,'1_GICS_Shock_Input'!$A$4:$A$166,0))</f>
        <v/>
      </c>
      <c r="G6" s="22">
        <f>INDEX('1_GICS_Shock_Input'!$H$4:$H$166,MATCH($B6,'1_GICS_Shock_Input'!$A$4:$A$166,0))</f>
        <v/>
      </c>
      <c r="H6" s="24">
        <f>'2_Deal_Tape'!K7</f>
        <v/>
      </c>
      <c r="I6" s="25">
        <f>'2_Deal_Tape'!L7</f>
        <v/>
      </c>
      <c r="J6" s="24">
        <f>'2_Deal_Tape'!M7</f>
        <v/>
      </c>
      <c r="K6" s="22">
        <f>'2_Deal_Tape'!Q7</f>
        <v/>
      </c>
      <c r="L6" s="25">
        <f>'2_Deal_Tape'!Z7</f>
        <v/>
      </c>
      <c r="M6" s="25">
        <f>'2_Deal_Tape'!AA7</f>
        <v/>
      </c>
      <c r="N6" s="24">
        <f>'2_Deal_Tape'!AB7</f>
        <v/>
      </c>
      <c r="O6" s="22">
        <f>'2_Deal_Tape'!AC7</f>
        <v/>
      </c>
      <c r="P6" s="22">
        <f>'2_Deal_Tape'!AD7</f>
        <v/>
      </c>
      <c r="Q6" s="22">
        <f>'2_Deal_Tape'!AE7</f>
        <v/>
      </c>
      <c r="R6" s="24">
        <f>'2_Deal_Tape'!I7</f>
        <v/>
      </c>
      <c r="S6" s="24">
        <f>'2_Deal_Tape'!W7</f>
        <v/>
      </c>
      <c r="T6" s="26">
        <f>'2_Deal_Tape'!X7</f>
        <v/>
      </c>
      <c r="U6" s="24">
        <f>'2_Deal_Tape'!V7</f>
        <v/>
      </c>
      <c r="V6" s="22">
        <f>D6+G6</f>
        <v/>
      </c>
      <c r="W6" s="24">
        <f>I6*(1+V6*L6)</f>
        <v/>
      </c>
      <c r="X6" s="27">
        <f>'1_GICS_Shock_Input'!$B$169+'1_GICS_Shock_Input'!$B$170/10000</f>
        <v/>
      </c>
      <c r="Y6" s="24">
        <f>J6*(X6+S6/10000)</f>
        <v/>
      </c>
      <c r="Z6" s="25">
        <f>J6/W6</f>
        <v/>
      </c>
      <c r="AA6" s="24">
        <f>O6*R6</f>
        <v/>
      </c>
      <c r="AB6" s="24">
        <f>P6*W6</f>
        <v/>
      </c>
      <c r="AC6" s="24">
        <f>Q6*J6</f>
        <v/>
      </c>
      <c r="AD6" s="25">
        <f>(W6-AA6-AB6)/(Y6+AC6)</f>
        <v/>
      </c>
      <c r="AE6" s="25">
        <f>K6*(1+E6)</f>
        <v/>
      </c>
      <c r="AF6" s="24">
        <f>W6*AE6</f>
        <v/>
      </c>
      <c r="AG6" s="22">
        <f>J6/AF6</f>
        <v/>
      </c>
      <c r="AH6" s="25">
        <f>M6-Z6</f>
        <v/>
      </c>
      <c r="AI6" s="28">
        <f>IF(Z6&gt;M6,"BREACH","")</f>
        <v/>
      </c>
      <c r="AJ6" s="25">
        <f>AD6-N6</f>
        <v/>
      </c>
      <c r="AK6" s="28">
        <f>IF(AD6&lt;N6,"BREACH","")</f>
        <v/>
      </c>
      <c r="AL6" s="24">
        <f>J6/M6</f>
        <v/>
      </c>
      <c r="AM6" s="22">
        <f>(W6-AL6)/W6</f>
        <v/>
      </c>
      <c r="AN6" s="24">
        <f>N6*(Y6+AC6)+AA6+AB6</f>
        <v/>
      </c>
      <c r="AO6" s="22">
        <f>(W6-AN6)/W6</f>
        <v/>
      </c>
      <c r="AP6" s="27">
        <f>-T6*(F6/10000)</f>
        <v/>
      </c>
      <c r="AQ6" s="24">
        <f>U6*AP6</f>
        <v/>
      </c>
    </row>
    <row r="7">
      <c r="A7" s="21">
        <f>'2_Deal_Tape'!A8</f>
        <v/>
      </c>
      <c r="B7" s="21">
        <f>'2_Deal_Tape'!C8</f>
        <v/>
      </c>
      <c r="C7" s="21">
        <f>'2_Deal_Tape'!F8</f>
        <v/>
      </c>
      <c r="D7" s="22">
        <f>INDEX('1_GICS_Shock_Input'!$E$4:$E$166,MATCH($B7,'1_GICS_Shock_Input'!$A$4:$A$166,0))</f>
        <v/>
      </c>
      <c r="E7" s="22">
        <f>INDEX('1_GICS_Shock_Input'!$F$4:$F$166,MATCH($B7,'1_GICS_Shock_Input'!$A$4:$A$166,0))</f>
        <v/>
      </c>
      <c r="F7" s="23">
        <f>INDEX('1_GICS_Shock_Input'!$G$4:$G$166,MATCH($B7,'1_GICS_Shock_Input'!$A$4:$A$166,0))</f>
        <v/>
      </c>
      <c r="G7" s="22">
        <f>INDEX('1_GICS_Shock_Input'!$H$4:$H$166,MATCH($B7,'1_GICS_Shock_Input'!$A$4:$A$166,0))</f>
        <v/>
      </c>
      <c r="H7" s="24">
        <f>'2_Deal_Tape'!K8</f>
        <v/>
      </c>
      <c r="I7" s="25">
        <f>'2_Deal_Tape'!L8</f>
        <v/>
      </c>
      <c r="J7" s="24">
        <f>'2_Deal_Tape'!M8</f>
        <v/>
      </c>
      <c r="K7" s="22">
        <f>'2_Deal_Tape'!Q8</f>
        <v/>
      </c>
      <c r="L7" s="25">
        <f>'2_Deal_Tape'!Z8</f>
        <v/>
      </c>
      <c r="M7" s="25">
        <f>'2_Deal_Tape'!AA8</f>
        <v/>
      </c>
      <c r="N7" s="24">
        <f>'2_Deal_Tape'!AB8</f>
        <v/>
      </c>
      <c r="O7" s="22">
        <f>'2_Deal_Tape'!AC8</f>
        <v/>
      </c>
      <c r="P7" s="22">
        <f>'2_Deal_Tape'!AD8</f>
        <v/>
      </c>
      <c r="Q7" s="22">
        <f>'2_Deal_Tape'!AE8</f>
        <v/>
      </c>
      <c r="R7" s="24">
        <f>'2_Deal_Tape'!I8</f>
        <v/>
      </c>
      <c r="S7" s="24">
        <f>'2_Deal_Tape'!W8</f>
        <v/>
      </c>
      <c r="T7" s="26">
        <f>'2_Deal_Tape'!X8</f>
        <v/>
      </c>
      <c r="U7" s="24">
        <f>'2_Deal_Tape'!V8</f>
        <v/>
      </c>
      <c r="V7" s="22">
        <f>D7+G7</f>
        <v/>
      </c>
      <c r="W7" s="24">
        <f>I7*(1+V7*L7)</f>
        <v/>
      </c>
      <c r="X7" s="27">
        <f>'1_GICS_Shock_Input'!$B$169+'1_GICS_Shock_Input'!$B$170/10000</f>
        <v/>
      </c>
      <c r="Y7" s="24">
        <f>J7*(X7+S7/10000)</f>
        <v/>
      </c>
      <c r="Z7" s="25">
        <f>J7/W7</f>
        <v/>
      </c>
      <c r="AA7" s="24">
        <f>O7*R7</f>
        <v/>
      </c>
      <c r="AB7" s="24">
        <f>P7*W7</f>
        <v/>
      </c>
      <c r="AC7" s="24">
        <f>Q7*J7</f>
        <v/>
      </c>
      <c r="AD7" s="25">
        <f>(W7-AA7-AB7)/(Y7+AC7)</f>
        <v/>
      </c>
      <c r="AE7" s="25">
        <f>K7*(1+E7)</f>
        <v/>
      </c>
      <c r="AF7" s="24">
        <f>W7*AE7</f>
        <v/>
      </c>
      <c r="AG7" s="22">
        <f>J7/AF7</f>
        <v/>
      </c>
      <c r="AH7" s="25">
        <f>M7-Z7</f>
        <v/>
      </c>
      <c r="AI7" s="28">
        <f>IF(Z7&gt;M7,"BREACH","")</f>
        <v/>
      </c>
      <c r="AJ7" s="25">
        <f>AD7-N7</f>
        <v/>
      </c>
      <c r="AK7" s="28">
        <f>IF(AD7&lt;N7,"BREACH","")</f>
        <v/>
      </c>
      <c r="AL7" s="24">
        <f>J7/M7</f>
        <v/>
      </c>
      <c r="AM7" s="22">
        <f>(W7-AL7)/W7</f>
        <v/>
      </c>
      <c r="AN7" s="24">
        <f>N7*(Y7+AC7)+AA7+AB7</f>
        <v/>
      </c>
      <c r="AO7" s="22">
        <f>(W7-AN7)/W7</f>
        <v/>
      </c>
      <c r="AP7" s="27">
        <f>-T7*(F7/10000)</f>
        <v/>
      </c>
      <c r="AQ7" s="24">
        <f>U7*AP7</f>
        <v/>
      </c>
    </row>
    <row r="8">
      <c r="A8" s="21">
        <f>'2_Deal_Tape'!A9</f>
        <v/>
      </c>
      <c r="B8" s="21">
        <f>'2_Deal_Tape'!C9</f>
        <v/>
      </c>
      <c r="C8" s="21">
        <f>'2_Deal_Tape'!F9</f>
        <v/>
      </c>
      <c r="D8" s="22">
        <f>INDEX('1_GICS_Shock_Input'!$E$4:$E$166,MATCH($B8,'1_GICS_Shock_Input'!$A$4:$A$166,0))</f>
        <v/>
      </c>
      <c r="E8" s="22">
        <f>INDEX('1_GICS_Shock_Input'!$F$4:$F$166,MATCH($B8,'1_GICS_Shock_Input'!$A$4:$A$166,0))</f>
        <v/>
      </c>
      <c r="F8" s="23">
        <f>INDEX('1_GICS_Shock_Input'!$G$4:$G$166,MATCH($B8,'1_GICS_Shock_Input'!$A$4:$A$166,0))</f>
        <v/>
      </c>
      <c r="G8" s="22">
        <f>INDEX('1_GICS_Shock_Input'!$H$4:$H$166,MATCH($B8,'1_GICS_Shock_Input'!$A$4:$A$166,0))</f>
        <v/>
      </c>
      <c r="H8" s="24">
        <f>'2_Deal_Tape'!K9</f>
        <v/>
      </c>
      <c r="I8" s="25">
        <f>'2_Deal_Tape'!L9</f>
        <v/>
      </c>
      <c r="J8" s="24">
        <f>'2_Deal_Tape'!M9</f>
        <v/>
      </c>
      <c r="K8" s="22">
        <f>'2_Deal_Tape'!Q9</f>
        <v/>
      </c>
      <c r="L8" s="25">
        <f>'2_Deal_Tape'!Z9</f>
        <v/>
      </c>
      <c r="M8" s="25">
        <f>'2_Deal_Tape'!AA9</f>
        <v/>
      </c>
      <c r="N8" s="24">
        <f>'2_Deal_Tape'!AB9</f>
        <v/>
      </c>
      <c r="O8" s="22">
        <f>'2_Deal_Tape'!AC9</f>
        <v/>
      </c>
      <c r="P8" s="22">
        <f>'2_Deal_Tape'!AD9</f>
        <v/>
      </c>
      <c r="Q8" s="22">
        <f>'2_Deal_Tape'!AE9</f>
        <v/>
      </c>
      <c r="R8" s="24">
        <f>'2_Deal_Tape'!I9</f>
        <v/>
      </c>
      <c r="S8" s="24">
        <f>'2_Deal_Tape'!W9</f>
        <v/>
      </c>
      <c r="T8" s="26">
        <f>'2_Deal_Tape'!X9</f>
        <v/>
      </c>
      <c r="U8" s="24">
        <f>'2_Deal_Tape'!V9</f>
        <v/>
      </c>
      <c r="V8" s="22">
        <f>D8+G8</f>
        <v/>
      </c>
      <c r="W8" s="24">
        <f>I8*(1+V8*L8)</f>
        <v/>
      </c>
      <c r="X8" s="27">
        <f>'1_GICS_Shock_Input'!$B$169+'1_GICS_Shock_Input'!$B$170/10000</f>
        <v/>
      </c>
      <c r="Y8" s="24">
        <f>J8*(X8+S8/10000)</f>
        <v/>
      </c>
      <c r="Z8" s="25">
        <f>J8/W8</f>
        <v/>
      </c>
      <c r="AA8" s="24">
        <f>O8*R8</f>
        <v/>
      </c>
      <c r="AB8" s="24">
        <f>P8*W8</f>
        <v/>
      </c>
      <c r="AC8" s="24">
        <f>Q8*J8</f>
        <v/>
      </c>
      <c r="AD8" s="25">
        <f>(W8-AA8-AB8)/(Y8+AC8)</f>
        <v/>
      </c>
      <c r="AE8" s="25">
        <f>K8*(1+E8)</f>
        <v/>
      </c>
      <c r="AF8" s="24">
        <f>W8*AE8</f>
        <v/>
      </c>
      <c r="AG8" s="22">
        <f>J8/AF8</f>
        <v/>
      </c>
      <c r="AH8" s="25">
        <f>M8-Z8</f>
        <v/>
      </c>
      <c r="AI8" s="28">
        <f>IF(Z8&gt;M8,"BREACH","")</f>
        <v/>
      </c>
      <c r="AJ8" s="25">
        <f>AD8-N8</f>
        <v/>
      </c>
      <c r="AK8" s="28">
        <f>IF(AD8&lt;N8,"BREACH","")</f>
        <v/>
      </c>
      <c r="AL8" s="24">
        <f>J8/M8</f>
        <v/>
      </c>
      <c r="AM8" s="22">
        <f>(W8-AL8)/W8</f>
        <v/>
      </c>
      <c r="AN8" s="24">
        <f>N8*(Y8+AC8)+AA8+AB8</f>
        <v/>
      </c>
      <c r="AO8" s="22">
        <f>(W8-AN8)/W8</f>
        <v/>
      </c>
      <c r="AP8" s="27">
        <f>-T8*(F8/10000)</f>
        <v/>
      </c>
      <c r="AQ8" s="24">
        <f>U8*AP8</f>
        <v/>
      </c>
    </row>
    <row r="9">
      <c r="A9" s="21">
        <f>'2_Deal_Tape'!A10</f>
        <v/>
      </c>
      <c r="B9" s="21">
        <f>'2_Deal_Tape'!C10</f>
        <v/>
      </c>
      <c r="C9" s="21">
        <f>'2_Deal_Tape'!F10</f>
        <v/>
      </c>
      <c r="D9" s="22">
        <f>INDEX('1_GICS_Shock_Input'!$E$4:$E$166,MATCH($B9,'1_GICS_Shock_Input'!$A$4:$A$166,0))</f>
        <v/>
      </c>
      <c r="E9" s="22">
        <f>INDEX('1_GICS_Shock_Input'!$F$4:$F$166,MATCH($B9,'1_GICS_Shock_Input'!$A$4:$A$166,0))</f>
        <v/>
      </c>
      <c r="F9" s="23">
        <f>INDEX('1_GICS_Shock_Input'!$G$4:$G$166,MATCH($B9,'1_GICS_Shock_Input'!$A$4:$A$166,0))</f>
        <v/>
      </c>
      <c r="G9" s="22">
        <f>INDEX('1_GICS_Shock_Input'!$H$4:$H$166,MATCH($B9,'1_GICS_Shock_Input'!$A$4:$A$166,0))</f>
        <v/>
      </c>
      <c r="H9" s="24">
        <f>'2_Deal_Tape'!K10</f>
        <v/>
      </c>
      <c r="I9" s="25">
        <f>'2_Deal_Tape'!L10</f>
        <v/>
      </c>
      <c r="J9" s="24">
        <f>'2_Deal_Tape'!M10</f>
        <v/>
      </c>
      <c r="K9" s="22">
        <f>'2_Deal_Tape'!Q10</f>
        <v/>
      </c>
      <c r="L9" s="25">
        <f>'2_Deal_Tape'!Z10</f>
        <v/>
      </c>
      <c r="M9" s="25">
        <f>'2_Deal_Tape'!AA10</f>
        <v/>
      </c>
      <c r="N9" s="24">
        <f>'2_Deal_Tape'!AB10</f>
        <v/>
      </c>
      <c r="O9" s="22">
        <f>'2_Deal_Tape'!AC10</f>
        <v/>
      </c>
      <c r="P9" s="22">
        <f>'2_Deal_Tape'!AD10</f>
        <v/>
      </c>
      <c r="Q9" s="22">
        <f>'2_Deal_Tape'!AE10</f>
        <v/>
      </c>
      <c r="R9" s="24">
        <f>'2_Deal_Tape'!I10</f>
        <v/>
      </c>
      <c r="S9" s="24">
        <f>'2_Deal_Tape'!W10</f>
        <v/>
      </c>
      <c r="T9" s="26">
        <f>'2_Deal_Tape'!X10</f>
        <v/>
      </c>
      <c r="U9" s="24">
        <f>'2_Deal_Tape'!V10</f>
        <v/>
      </c>
      <c r="V9" s="22">
        <f>D9+G9</f>
        <v/>
      </c>
      <c r="W9" s="24">
        <f>I9*(1+V9*L9)</f>
        <v/>
      </c>
      <c r="X9" s="27">
        <f>'1_GICS_Shock_Input'!$B$169+'1_GICS_Shock_Input'!$B$170/10000</f>
        <v/>
      </c>
      <c r="Y9" s="24">
        <f>J9*(X9+S9/10000)</f>
        <v/>
      </c>
      <c r="Z9" s="25">
        <f>J9/W9</f>
        <v/>
      </c>
      <c r="AA9" s="24">
        <f>O9*R9</f>
        <v/>
      </c>
      <c r="AB9" s="24">
        <f>P9*W9</f>
        <v/>
      </c>
      <c r="AC9" s="24">
        <f>Q9*J9</f>
        <v/>
      </c>
      <c r="AD9" s="25">
        <f>(W9-AA9-AB9)/(Y9+AC9)</f>
        <v/>
      </c>
      <c r="AE9" s="25">
        <f>K9*(1+E9)</f>
        <v/>
      </c>
      <c r="AF9" s="24">
        <f>W9*AE9</f>
        <v/>
      </c>
      <c r="AG9" s="22">
        <f>J9/AF9</f>
        <v/>
      </c>
      <c r="AH9" s="25">
        <f>M9-Z9</f>
        <v/>
      </c>
      <c r="AI9" s="28">
        <f>IF(Z9&gt;M9,"BREACH","")</f>
        <v/>
      </c>
      <c r="AJ9" s="25">
        <f>AD9-N9</f>
        <v/>
      </c>
      <c r="AK9" s="28">
        <f>IF(AD9&lt;N9,"BREACH","")</f>
        <v/>
      </c>
      <c r="AL9" s="24">
        <f>J9/M9</f>
        <v/>
      </c>
      <c r="AM9" s="22">
        <f>(W9-AL9)/W9</f>
        <v/>
      </c>
      <c r="AN9" s="24">
        <f>N9*(Y9+AC9)+AA9+AB9</f>
        <v/>
      </c>
      <c r="AO9" s="22">
        <f>(W9-AN9)/W9</f>
        <v/>
      </c>
      <c r="AP9" s="27">
        <f>-T9*(F9/10000)</f>
        <v/>
      </c>
      <c r="AQ9" s="24">
        <f>U9*AP9</f>
        <v/>
      </c>
    </row>
    <row r="10">
      <c r="A10" s="21">
        <f>'2_Deal_Tape'!A11</f>
        <v/>
      </c>
      <c r="B10" s="21">
        <f>'2_Deal_Tape'!C11</f>
        <v/>
      </c>
      <c r="C10" s="21">
        <f>'2_Deal_Tape'!F11</f>
        <v/>
      </c>
      <c r="D10" s="22">
        <f>INDEX('1_GICS_Shock_Input'!$E$4:$E$166,MATCH($B10,'1_GICS_Shock_Input'!$A$4:$A$166,0))</f>
        <v/>
      </c>
      <c r="E10" s="22">
        <f>INDEX('1_GICS_Shock_Input'!$F$4:$F$166,MATCH($B10,'1_GICS_Shock_Input'!$A$4:$A$166,0))</f>
        <v/>
      </c>
      <c r="F10" s="23">
        <f>INDEX('1_GICS_Shock_Input'!$G$4:$G$166,MATCH($B10,'1_GICS_Shock_Input'!$A$4:$A$166,0))</f>
        <v/>
      </c>
      <c r="G10" s="22">
        <f>INDEX('1_GICS_Shock_Input'!$H$4:$H$166,MATCH($B10,'1_GICS_Shock_Input'!$A$4:$A$166,0))</f>
        <v/>
      </c>
      <c r="H10" s="24">
        <f>'2_Deal_Tape'!K11</f>
        <v/>
      </c>
      <c r="I10" s="25">
        <f>'2_Deal_Tape'!L11</f>
        <v/>
      </c>
      <c r="J10" s="24">
        <f>'2_Deal_Tape'!M11</f>
        <v/>
      </c>
      <c r="K10" s="22">
        <f>'2_Deal_Tape'!Q11</f>
        <v/>
      </c>
      <c r="L10" s="25">
        <f>'2_Deal_Tape'!Z11</f>
        <v/>
      </c>
      <c r="M10" s="25">
        <f>'2_Deal_Tape'!AA11</f>
        <v/>
      </c>
      <c r="N10" s="24">
        <f>'2_Deal_Tape'!AB11</f>
        <v/>
      </c>
      <c r="O10" s="22">
        <f>'2_Deal_Tape'!AC11</f>
        <v/>
      </c>
      <c r="P10" s="22">
        <f>'2_Deal_Tape'!AD11</f>
        <v/>
      </c>
      <c r="Q10" s="22">
        <f>'2_Deal_Tape'!AE11</f>
        <v/>
      </c>
      <c r="R10" s="24">
        <f>'2_Deal_Tape'!I11</f>
        <v/>
      </c>
      <c r="S10" s="24">
        <f>'2_Deal_Tape'!W11</f>
        <v/>
      </c>
      <c r="T10" s="26">
        <f>'2_Deal_Tape'!X11</f>
        <v/>
      </c>
      <c r="U10" s="24">
        <f>'2_Deal_Tape'!V11</f>
        <v/>
      </c>
      <c r="V10" s="22">
        <f>D10+G10</f>
        <v/>
      </c>
      <c r="W10" s="24">
        <f>I10*(1+V10*L10)</f>
        <v/>
      </c>
      <c r="X10" s="27">
        <f>'1_GICS_Shock_Input'!$B$169+'1_GICS_Shock_Input'!$B$170/10000</f>
        <v/>
      </c>
      <c r="Y10" s="24">
        <f>J10*(X10+S10/10000)</f>
        <v/>
      </c>
      <c r="Z10" s="25">
        <f>J10/W10</f>
        <v/>
      </c>
      <c r="AA10" s="24">
        <f>O10*R10</f>
        <v/>
      </c>
      <c r="AB10" s="24">
        <f>P10*W10</f>
        <v/>
      </c>
      <c r="AC10" s="24">
        <f>Q10*J10</f>
        <v/>
      </c>
      <c r="AD10" s="25">
        <f>(W10-AA10-AB10)/(Y10+AC10)</f>
        <v/>
      </c>
      <c r="AE10" s="25">
        <f>K10*(1+E10)</f>
        <v/>
      </c>
      <c r="AF10" s="24">
        <f>W10*AE10</f>
        <v/>
      </c>
      <c r="AG10" s="22">
        <f>J10/AF10</f>
        <v/>
      </c>
      <c r="AH10" s="25">
        <f>M10-Z10</f>
        <v/>
      </c>
      <c r="AI10" s="28">
        <f>IF(Z10&gt;M10,"BREACH","")</f>
        <v/>
      </c>
      <c r="AJ10" s="25">
        <f>AD10-N10</f>
        <v/>
      </c>
      <c r="AK10" s="28">
        <f>IF(AD10&lt;N10,"BREACH","")</f>
        <v/>
      </c>
      <c r="AL10" s="24">
        <f>J10/M10</f>
        <v/>
      </c>
      <c r="AM10" s="22">
        <f>(W10-AL10)/W10</f>
        <v/>
      </c>
      <c r="AN10" s="24">
        <f>N10*(Y10+AC10)+AA10+AB10</f>
        <v/>
      </c>
      <c r="AO10" s="22">
        <f>(W10-AN10)/W10</f>
        <v/>
      </c>
      <c r="AP10" s="27">
        <f>-T10*(F10/10000)</f>
        <v/>
      </c>
      <c r="AQ10" s="24">
        <f>U10*AP10</f>
        <v/>
      </c>
    </row>
    <row r="11">
      <c r="A11" s="21">
        <f>'2_Deal_Tape'!A12</f>
        <v/>
      </c>
      <c r="B11" s="21">
        <f>'2_Deal_Tape'!C12</f>
        <v/>
      </c>
      <c r="C11" s="21">
        <f>'2_Deal_Tape'!F12</f>
        <v/>
      </c>
      <c r="D11" s="22">
        <f>INDEX('1_GICS_Shock_Input'!$E$4:$E$166,MATCH($B11,'1_GICS_Shock_Input'!$A$4:$A$166,0))</f>
        <v/>
      </c>
      <c r="E11" s="22">
        <f>INDEX('1_GICS_Shock_Input'!$F$4:$F$166,MATCH($B11,'1_GICS_Shock_Input'!$A$4:$A$166,0))</f>
        <v/>
      </c>
      <c r="F11" s="23">
        <f>INDEX('1_GICS_Shock_Input'!$G$4:$G$166,MATCH($B11,'1_GICS_Shock_Input'!$A$4:$A$166,0))</f>
        <v/>
      </c>
      <c r="G11" s="22">
        <f>INDEX('1_GICS_Shock_Input'!$H$4:$H$166,MATCH($B11,'1_GICS_Shock_Input'!$A$4:$A$166,0))</f>
        <v/>
      </c>
      <c r="H11" s="24">
        <f>'2_Deal_Tape'!K12</f>
        <v/>
      </c>
      <c r="I11" s="25">
        <f>'2_Deal_Tape'!L12</f>
        <v/>
      </c>
      <c r="J11" s="24">
        <f>'2_Deal_Tape'!M12</f>
        <v/>
      </c>
      <c r="K11" s="22">
        <f>'2_Deal_Tape'!Q12</f>
        <v/>
      </c>
      <c r="L11" s="25">
        <f>'2_Deal_Tape'!Z12</f>
        <v/>
      </c>
      <c r="M11" s="25">
        <f>'2_Deal_Tape'!AA12</f>
        <v/>
      </c>
      <c r="N11" s="24">
        <f>'2_Deal_Tape'!AB12</f>
        <v/>
      </c>
      <c r="O11" s="22">
        <f>'2_Deal_Tape'!AC12</f>
        <v/>
      </c>
      <c r="P11" s="22">
        <f>'2_Deal_Tape'!AD12</f>
        <v/>
      </c>
      <c r="Q11" s="22">
        <f>'2_Deal_Tape'!AE12</f>
        <v/>
      </c>
      <c r="R11" s="24">
        <f>'2_Deal_Tape'!I12</f>
        <v/>
      </c>
      <c r="S11" s="24">
        <f>'2_Deal_Tape'!W12</f>
        <v/>
      </c>
      <c r="T11" s="26">
        <f>'2_Deal_Tape'!X12</f>
        <v/>
      </c>
      <c r="U11" s="24">
        <f>'2_Deal_Tape'!V12</f>
        <v/>
      </c>
      <c r="V11" s="22">
        <f>D11+G11</f>
        <v/>
      </c>
      <c r="W11" s="24">
        <f>I11*(1+V11*L11)</f>
        <v/>
      </c>
      <c r="X11" s="27">
        <f>'1_GICS_Shock_Input'!$B$169+'1_GICS_Shock_Input'!$B$170/10000</f>
        <v/>
      </c>
      <c r="Y11" s="24">
        <f>J11*(X11+S11/10000)</f>
        <v/>
      </c>
      <c r="Z11" s="25">
        <f>J11/W11</f>
        <v/>
      </c>
      <c r="AA11" s="24">
        <f>O11*R11</f>
        <v/>
      </c>
      <c r="AB11" s="24">
        <f>P11*W11</f>
        <v/>
      </c>
      <c r="AC11" s="24">
        <f>Q11*J11</f>
        <v/>
      </c>
      <c r="AD11" s="25">
        <f>(W11-AA11-AB11)/(Y11+AC11)</f>
        <v/>
      </c>
      <c r="AE11" s="25">
        <f>K11*(1+E11)</f>
        <v/>
      </c>
      <c r="AF11" s="24">
        <f>W11*AE11</f>
        <v/>
      </c>
      <c r="AG11" s="22">
        <f>J11/AF11</f>
        <v/>
      </c>
      <c r="AH11" s="25">
        <f>M11-Z11</f>
        <v/>
      </c>
      <c r="AI11" s="28">
        <f>IF(Z11&gt;M11,"BREACH","")</f>
        <v/>
      </c>
      <c r="AJ11" s="25">
        <f>AD11-N11</f>
        <v/>
      </c>
      <c r="AK11" s="28">
        <f>IF(AD11&lt;N11,"BREACH","")</f>
        <v/>
      </c>
      <c r="AL11" s="24">
        <f>J11/M11</f>
        <v/>
      </c>
      <c r="AM11" s="22">
        <f>(W11-AL11)/W11</f>
        <v/>
      </c>
      <c r="AN11" s="24">
        <f>N11*(Y11+AC11)+AA11+AB11</f>
        <v/>
      </c>
      <c r="AO11" s="22">
        <f>(W11-AN11)/W11</f>
        <v/>
      </c>
      <c r="AP11" s="27">
        <f>-T11*(F11/10000)</f>
        <v/>
      </c>
      <c r="AQ11" s="24">
        <f>U11*AP11</f>
        <v/>
      </c>
    </row>
    <row r="12">
      <c r="A12" s="21">
        <f>'2_Deal_Tape'!A13</f>
        <v/>
      </c>
      <c r="B12" s="21">
        <f>'2_Deal_Tape'!C13</f>
        <v/>
      </c>
      <c r="C12" s="21">
        <f>'2_Deal_Tape'!F13</f>
        <v/>
      </c>
      <c r="D12" s="22">
        <f>INDEX('1_GICS_Shock_Input'!$E$4:$E$166,MATCH($B12,'1_GICS_Shock_Input'!$A$4:$A$166,0))</f>
        <v/>
      </c>
      <c r="E12" s="22">
        <f>INDEX('1_GICS_Shock_Input'!$F$4:$F$166,MATCH($B12,'1_GICS_Shock_Input'!$A$4:$A$166,0))</f>
        <v/>
      </c>
      <c r="F12" s="23">
        <f>INDEX('1_GICS_Shock_Input'!$G$4:$G$166,MATCH($B12,'1_GICS_Shock_Input'!$A$4:$A$166,0))</f>
        <v/>
      </c>
      <c r="G12" s="22">
        <f>INDEX('1_GICS_Shock_Input'!$H$4:$H$166,MATCH($B12,'1_GICS_Shock_Input'!$A$4:$A$166,0))</f>
        <v/>
      </c>
      <c r="H12" s="24">
        <f>'2_Deal_Tape'!K13</f>
        <v/>
      </c>
      <c r="I12" s="25">
        <f>'2_Deal_Tape'!L13</f>
        <v/>
      </c>
      <c r="J12" s="24">
        <f>'2_Deal_Tape'!M13</f>
        <v/>
      </c>
      <c r="K12" s="22">
        <f>'2_Deal_Tape'!Q13</f>
        <v/>
      </c>
      <c r="L12" s="25">
        <f>'2_Deal_Tape'!Z13</f>
        <v/>
      </c>
      <c r="M12" s="25">
        <f>'2_Deal_Tape'!AA13</f>
        <v/>
      </c>
      <c r="N12" s="24">
        <f>'2_Deal_Tape'!AB13</f>
        <v/>
      </c>
      <c r="O12" s="22">
        <f>'2_Deal_Tape'!AC13</f>
        <v/>
      </c>
      <c r="P12" s="22">
        <f>'2_Deal_Tape'!AD13</f>
        <v/>
      </c>
      <c r="Q12" s="22">
        <f>'2_Deal_Tape'!AE13</f>
        <v/>
      </c>
      <c r="R12" s="24">
        <f>'2_Deal_Tape'!I13</f>
        <v/>
      </c>
      <c r="S12" s="24">
        <f>'2_Deal_Tape'!W13</f>
        <v/>
      </c>
      <c r="T12" s="26">
        <f>'2_Deal_Tape'!X13</f>
        <v/>
      </c>
      <c r="U12" s="24">
        <f>'2_Deal_Tape'!V13</f>
        <v/>
      </c>
      <c r="V12" s="22">
        <f>D12+G12</f>
        <v/>
      </c>
      <c r="W12" s="24">
        <f>I12*(1+V12*L12)</f>
        <v/>
      </c>
      <c r="X12" s="27">
        <f>'1_GICS_Shock_Input'!$B$169+'1_GICS_Shock_Input'!$B$170/10000</f>
        <v/>
      </c>
      <c r="Y12" s="24">
        <f>J12*(X12+S12/10000)</f>
        <v/>
      </c>
      <c r="Z12" s="25">
        <f>J12/W12</f>
        <v/>
      </c>
      <c r="AA12" s="24">
        <f>O12*R12</f>
        <v/>
      </c>
      <c r="AB12" s="24">
        <f>P12*W12</f>
        <v/>
      </c>
      <c r="AC12" s="24">
        <f>Q12*J12</f>
        <v/>
      </c>
      <c r="AD12" s="25">
        <f>(W12-AA12-AB12)/(Y12+AC12)</f>
        <v/>
      </c>
      <c r="AE12" s="25">
        <f>K12*(1+E12)</f>
        <v/>
      </c>
      <c r="AF12" s="24">
        <f>W12*AE12</f>
        <v/>
      </c>
      <c r="AG12" s="22">
        <f>J12/AF12</f>
        <v/>
      </c>
      <c r="AH12" s="25">
        <f>M12-Z12</f>
        <v/>
      </c>
      <c r="AI12" s="28">
        <f>IF(Z12&gt;M12,"BREACH","")</f>
        <v/>
      </c>
      <c r="AJ12" s="25">
        <f>AD12-N12</f>
        <v/>
      </c>
      <c r="AK12" s="28">
        <f>IF(AD12&lt;N12,"BREACH","")</f>
        <v/>
      </c>
      <c r="AL12" s="24">
        <f>J12/M12</f>
        <v/>
      </c>
      <c r="AM12" s="22">
        <f>(W12-AL12)/W12</f>
        <v/>
      </c>
      <c r="AN12" s="24">
        <f>N12*(Y12+AC12)+AA12+AB12</f>
        <v/>
      </c>
      <c r="AO12" s="22">
        <f>(W12-AN12)/W12</f>
        <v/>
      </c>
      <c r="AP12" s="27">
        <f>-T12*(F12/10000)</f>
        <v/>
      </c>
      <c r="AQ12" s="24">
        <f>U12*AP12</f>
        <v/>
      </c>
    </row>
    <row r="13">
      <c r="A13" s="21">
        <f>'2_Deal_Tape'!A14</f>
        <v/>
      </c>
      <c r="B13" s="21">
        <f>'2_Deal_Tape'!C14</f>
        <v/>
      </c>
      <c r="C13" s="21">
        <f>'2_Deal_Tape'!F14</f>
        <v/>
      </c>
      <c r="D13" s="22">
        <f>INDEX('1_GICS_Shock_Input'!$E$4:$E$166,MATCH($B13,'1_GICS_Shock_Input'!$A$4:$A$166,0))</f>
        <v/>
      </c>
      <c r="E13" s="22">
        <f>INDEX('1_GICS_Shock_Input'!$F$4:$F$166,MATCH($B13,'1_GICS_Shock_Input'!$A$4:$A$166,0))</f>
        <v/>
      </c>
      <c r="F13" s="23">
        <f>INDEX('1_GICS_Shock_Input'!$G$4:$G$166,MATCH($B13,'1_GICS_Shock_Input'!$A$4:$A$166,0))</f>
        <v/>
      </c>
      <c r="G13" s="22">
        <f>INDEX('1_GICS_Shock_Input'!$H$4:$H$166,MATCH($B13,'1_GICS_Shock_Input'!$A$4:$A$166,0))</f>
        <v/>
      </c>
      <c r="H13" s="24">
        <f>'2_Deal_Tape'!K14</f>
        <v/>
      </c>
      <c r="I13" s="25">
        <f>'2_Deal_Tape'!L14</f>
        <v/>
      </c>
      <c r="J13" s="24">
        <f>'2_Deal_Tape'!M14</f>
        <v/>
      </c>
      <c r="K13" s="22">
        <f>'2_Deal_Tape'!Q14</f>
        <v/>
      </c>
      <c r="L13" s="25">
        <f>'2_Deal_Tape'!Z14</f>
        <v/>
      </c>
      <c r="M13" s="25">
        <f>'2_Deal_Tape'!AA14</f>
        <v/>
      </c>
      <c r="N13" s="24">
        <f>'2_Deal_Tape'!AB14</f>
        <v/>
      </c>
      <c r="O13" s="22">
        <f>'2_Deal_Tape'!AC14</f>
        <v/>
      </c>
      <c r="P13" s="22">
        <f>'2_Deal_Tape'!AD14</f>
        <v/>
      </c>
      <c r="Q13" s="22">
        <f>'2_Deal_Tape'!AE14</f>
        <v/>
      </c>
      <c r="R13" s="24">
        <f>'2_Deal_Tape'!I14</f>
        <v/>
      </c>
      <c r="S13" s="24">
        <f>'2_Deal_Tape'!W14</f>
        <v/>
      </c>
      <c r="T13" s="26">
        <f>'2_Deal_Tape'!X14</f>
        <v/>
      </c>
      <c r="U13" s="24">
        <f>'2_Deal_Tape'!V14</f>
        <v/>
      </c>
      <c r="V13" s="22">
        <f>D13+G13</f>
        <v/>
      </c>
      <c r="W13" s="24">
        <f>I13*(1+V13*L13)</f>
        <v/>
      </c>
      <c r="X13" s="27">
        <f>'1_GICS_Shock_Input'!$B$169+'1_GICS_Shock_Input'!$B$170/10000</f>
        <v/>
      </c>
      <c r="Y13" s="24">
        <f>J13*(X13+S13/10000)</f>
        <v/>
      </c>
      <c r="Z13" s="25">
        <f>J13/W13</f>
        <v/>
      </c>
      <c r="AA13" s="24">
        <f>O13*R13</f>
        <v/>
      </c>
      <c r="AB13" s="24">
        <f>P13*W13</f>
        <v/>
      </c>
      <c r="AC13" s="24">
        <f>Q13*J13</f>
        <v/>
      </c>
      <c r="AD13" s="25">
        <f>(W13-AA13-AB13)/(Y13+AC13)</f>
        <v/>
      </c>
      <c r="AE13" s="25">
        <f>K13*(1+E13)</f>
        <v/>
      </c>
      <c r="AF13" s="24">
        <f>W13*AE13</f>
        <v/>
      </c>
      <c r="AG13" s="22">
        <f>J13/AF13</f>
        <v/>
      </c>
      <c r="AH13" s="25">
        <f>M13-Z13</f>
        <v/>
      </c>
      <c r="AI13" s="28">
        <f>IF(Z13&gt;M13,"BREACH","")</f>
        <v/>
      </c>
      <c r="AJ13" s="25">
        <f>AD13-N13</f>
        <v/>
      </c>
      <c r="AK13" s="28">
        <f>IF(AD13&lt;N13,"BREACH","")</f>
        <v/>
      </c>
      <c r="AL13" s="24">
        <f>J13/M13</f>
        <v/>
      </c>
      <c r="AM13" s="22">
        <f>(W13-AL13)/W13</f>
        <v/>
      </c>
      <c r="AN13" s="24">
        <f>N13*(Y13+AC13)+AA13+AB13</f>
        <v/>
      </c>
      <c r="AO13" s="22">
        <f>(W13-AN13)/W13</f>
        <v/>
      </c>
      <c r="AP13" s="27">
        <f>-T13*(F13/10000)</f>
        <v/>
      </c>
      <c r="AQ13" s="24">
        <f>U13*AP13</f>
        <v/>
      </c>
    </row>
    <row r="14">
      <c r="A14" s="21">
        <f>'2_Deal_Tape'!A15</f>
        <v/>
      </c>
      <c r="B14" s="21">
        <f>'2_Deal_Tape'!C15</f>
        <v/>
      </c>
      <c r="C14" s="21">
        <f>'2_Deal_Tape'!F15</f>
        <v/>
      </c>
      <c r="D14" s="22">
        <f>INDEX('1_GICS_Shock_Input'!$E$4:$E$166,MATCH($B14,'1_GICS_Shock_Input'!$A$4:$A$166,0))</f>
        <v/>
      </c>
      <c r="E14" s="22">
        <f>INDEX('1_GICS_Shock_Input'!$F$4:$F$166,MATCH($B14,'1_GICS_Shock_Input'!$A$4:$A$166,0))</f>
        <v/>
      </c>
      <c r="F14" s="23">
        <f>INDEX('1_GICS_Shock_Input'!$G$4:$G$166,MATCH($B14,'1_GICS_Shock_Input'!$A$4:$A$166,0))</f>
        <v/>
      </c>
      <c r="G14" s="22">
        <f>INDEX('1_GICS_Shock_Input'!$H$4:$H$166,MATCH($B14,'1_GICS_Shock_Input'!$A$4:$A$166,0))</f>
        <v/>
      </c>
      <c r="H14" s="24">
        <f>'2_Deal_Tape'!K15</f>
        <v/>
      </c>
      <c r="I14" s="25">
        <f>'2_Deal_Tape'!L15</f>
        <v/>
      </c>
      <c r="J14" s="24">
        <f>'2_Deal_Tape'!M15</f>
        <v/>
      </c>
      <c r="K14" s="22">
        <f>'2_Deal_Tape'!Q15</f>
        <v/>
      </c>
      <c r="L14" s="25">
        <f>'2_Deal_Tape'!Z15</f>
        <v/>
      </c>
      <c r="M14" s="25">
        <f>'2_Deal_Tape'!AA15</f>
        <v/>
      </c>
      <c r="N14" s="24">
        <f>'2_Deal_Tape'!AB15</f>
        <v/>
      </c>
      <c r="O14" s="22">
        <f>'2_Deal_Tape'!AC15</f>
        <v/>
      </c>
      <c r="P14" s="22">
        <f>'2_Deal_Tape'!AD15</f>
        <v/>
      </c>
      <c r="Q14" s="22">
        <f>'2_Deal_Tape'!AE15</f>
        <v/>
      </c>
      <c r="R14" s="24">
        <f>'2_Deal_Tape'!I15</f>
        <v/>
      </c>
      <c r="S14" s="24">
        <f>'2_Deal_Tape'!W15</f>
        <v/>
      </c>
      <c r="T14" s="26">
        <f>'2_Deal_Tape'!X15</f>
        <v/>
      </c>
      <c r="U14" s="24">
        <f>'2_Deal_Tape'!V15</f>
        <v/>
      </c>
      <c r="V14" s="22">
        <f>D14+G14</f>
        <v/>
      </c>
      <c r="W14" s="24">
        <f>I14*(1+V14*L14)</f>
        <v/>
      </c>
      <c r="X14" s="27">
        <f>'1_GICS_Shock_Input'!$B$169+'1_GICS_Shock_Input'!$B$170/10000</f>
        <v/>
      </c>
      <c r="Y14" s="24">
        <f>J14*(X14+S14/10000)</f>
        <v/>
      </c>
      <c r="Z14" s="25">
        <f>J14/W14</f>
        <v/>
      </c>
      <c r="AA14" s="24">
        <f>O14*R14</f>
        <v/>
      </c>
      <c r="AB14" s="24">
        <f>P14*W14</f>
        <v/>
      </c>
      <c r="AC14" s="24">
        <f>Q14*J14</f>
        <v/>
      </c>
      <c r="AD14" s="25">
        <f>(W14-AA14-AB14)/(Y14+AC14)</f>
        <v/>
      </c>
      <c r="AE14" s="25">
        <f>K14*(1+E14)</f>
        <v/>
      </c>
      <c r="AF14" s="24">
        <f>W14*AE14</f>
        <v/>
      </c>
      <c r="AG14" s="22">
        <f>J14/AF14</f>
        <v/>
      </c>
      <c r="AH14" s="25">
        <f>M14-Z14</f>
        <v/>
      </c>
      <c r="AI14" s="28">
        <f>IF(Z14&gt;M14,"BREACH","")</f>
        <v/>
      </c>
      <c r="AJ14" s="25">
        <f>AD14-N14</f>
        <v/>
      </c>
      <c r="AK14" s="28">
        <f>IF(AD14&lt;N14,"BREACH","")</f>
        <v/>
      </c>
      <c r="AL14" s="24">
        <f>J14/M14</f>
        <v/>
      </c>
      <c r="AM14" s="22">
        <f>(W14-AL14)/W14</f>
        <v/>
      </c>
      <c r="AN14" s="24">
        <f>N14*(Y14+AC14)+AA14+AB14</f>
        <v/>
      </c>
      <c r="AO14" s="22">
        <f>(W14-AN14)/W14</f>
        <v/>
      </c>
      <c r="AP14" s="27">
        <f>-T14*(F14/10000)</f>
        <v/>
      </c>
      <c r="AQ14" s="24">
        <f>U14*AP14</f>
        <v/>
      </c>
    </row>
    <row r="15">
      <c r="A15" s="21">
        <f>'2_Deal_Tape'!A16</f>
        <v/>
      </c>
      <c r="B15" s="21">
        <f>'2_Deal_Tape'!C16</f>
        <v/>
      </c>
      <c r="C15" s="21">
        <f>'2_Deal_Tape'!F16</f>
        <v/>
      </c>
      <c r="D15" s="22">
        <f>INDEX('1_GICS_Shock_Input'!$E$4:$E$166,MATCH($B15,'1_GICS_Shock_Input'!$A$4:$A$166,0))</f>
        <v/>
      </c>
      <c r="E15" s="22">
        <f>INDEX('1_GICS_Shock_Input'!$F$4:$F$166,MATCH($B15,'1_GICS_Shock_Input'!$A$4:$A$166,0))</f>
        <v/>
      </c>
      <c r="F15" s="23">
        <f>INDEX('1_GICS_Shock_Input'!$G$4:$G$166,MATCH($B15,'1_GICS_Shock_Input'!$A$4:$A$166,0))</f>
        <v/>
      </c>
      <c r="G15" s="22">
        <f>INDEX('1_GICS_Shock_Input'!$H$4:$H$166,MATCH($B15,'1_GICS_Shock_Input'!$A$4:$A$166,0))</f>
        <v/>
      </c>
      <c r="H15" s="24">
        <f>'2_Deal_Tape'!K16</f>
        <v/>
      </c>
      <c r="I15" s="25">
        <f>'2_Deal_Tape'!L16</f>
        <v/>
      </c>
      <c r="J15" s="24">
        <f>'2_Deal_Tape'!M16</f>
        <v/>
      </c>
      <c r="K15" s="22">
        <f>'2_Deal_Tape'!Q16</f>
        <v/>
      </c>
      <c r="L15" s="25">
        <f>'2_Deal_Tape'!Z16</f>
        <v/>
      </c>
      <c r="M15" s="25">
        <f>'2_Deal_Tape'!AA16</f>
        <v/>
      </c>
      <c r="N15" s="24">
        <f>'2_Deal_Tape'!AB16</f>
        <v/>
      </c>
      <c r="O15" s="22">
        <f>'2_Deal_Tape'!AC16</f>
        <v/>
      </c>
      <c r="P15" s="22">
        <f>'2_Deal_Tape'!AD16</f>
        <v/>
      </c>
      <c r="Q15" s="22">
        <f>'2_Deal_Tape'!AE16</f>
        <v/>
      </c>
      <c r="R15" s="24">
        <f>'2_Deal_Tape'!I16</f>
        <v/>
      </c>
      <c r="S15" s="24">
        <f>'2_Deal_Tape'!W16</f>
        <v/>
      </c>
      <c r="T15" s="26">
        <f>'2_Deal_Tape'!X16</f>
        <v/>
      </c>
      <c r="U15" s="24">
        <f>'2_Deal_Tape'!V16</f>
        <v/>
      </c>
      <c r="V15" s="22">
        <f>D15+G15</f>
        <v/>
      </c>
      <c r="W15" s="24">
        <f>I15*(1+V15*L15)</f>
        <v/>
      </c>
      <c r="X15" s="27">
        <f>'1_GICS_Shock_Input'!$B$169+'1_GICS_Shock_Input'!$B$170/10000</f>
        <v/>
      </c>
      <c r="Y15" s="24">
        <f>J15*(X15+S15/10000)</f>
        <v/>
      </c>
      <c r="Z15" s="25">
        <f>J15/W15</f>
        <v/>
      </c>
      <c r="AA15" s="24">
        <f>O15*R15</f>
        <v/>
      </c>
      <c r="AB15" s="24">
        <f>P15*W15</f>
        <v/>
      </c>
      <c r="AC15" s="24">
        <f>Q15*J15</f>
        <v/>
      </c>
      <c r="AD15" s="25">
        <f>(W15-AA15-AB15)/(Y15+AC15)</f>
        <v/>
      </c>
      <c r="AE15" s="25">
        <f>K15*(1+E15)</f>
        <v/>
      </c>
      <c r="AF15" s="24">
        <f>W15*AE15</f>
        <v/>
      </c>
      <c r="AG15" s="22">
        <f>J15/AF15</f>
        <v/>
      </c>
      <c r="AH15" s="25">
        <f>M15-Z15</f>
        <v/>
      </c>
      <c r="AI15" s="28">
        <f>IF(Z15&gt;M15,"BREACH","")</f>
        <v/>
      </c>
      <c r="AJ15" s="25">
        <f>AD15-N15</f>
        <v/>
      </c>
      <c r="AK15" s="28">
        <f>IF(AD15&lt;N15,"BREACH","")</f>
        <v/>
      </c>
      <c r="AL15" s="24">
        <f>J15/M15</f>
        <v/>
      </c>
      <c r="AM15" s="22">
        <f>(W15-AL15)/W15</f>
        <v/>
      </c>
      <c r="AN15" s="24">
        <f>N15*(Y15+AC15)+AA15+AB15</f>
        <v/>
      </c>
      <c r="AO15" s="22">
        <f>(W15-AN15)/W15</f>
        <v/>
      </c>
      <c r="AP15" s="27">
        <f>-T15*(F15/10000)</f>
        <v/>
      </c>
      <c r="AQ15" s="24">
        <f>U15*AP15</f>
        <v/>
      </c>
    </row>
    <row r="16">
      <c r="A16" s="21">
        <f>'2_Deal_Tape'!A17</f>
        <v/>
      </c>
      <c r="B16" s="21">
        <f>'2_Deal_Tape'!C17</f>
        <v/>
      </c>
      <c r="C16" s="21">
        <f>'2_Deal_Tape'!F17</f>
        <v/>
      </c>
      <c r="D16" s="22">
        <f>INDEX('1_GICS_Shock_Input'!$E$4:$E$166,MATCH($B16,'1_GICS_Shock_Input'!$A$4:$A$166,0))</f>
        <v/>
      </c>
      <c r="E16" s="22">
        <f>INDEX('1_GICS_Shock_Input'!$F$4:$F$166,MATCH($B16,'1_GICS_Shock_Input'!$A$4:$A$166,0))</f>
        <v/>
      </c>
      <c r="F16" s="23">
        <f>INDEX('1_GICS_Shock_Input'!$G$4:$G$166,MATCH($B16,'1_GICS_Shock_Input'!$A$4:$A$166,0))</f>
        <v/>
      </c>
      <c r="G16" s="22">
        <f>INDEX('1_GICS_Shock_Input'!$H$4:$H$166,MATCH($B16,'1_GICS_Shock_Input'!$A$4:$A$166,0))</f>
        <v/>
      </c>
      <c r="H16" s="24">
        <f>'2_Deal_Tape'!K17</f>
        <v/>
      </c>
      <c r="I16" s="25">
        <f>'2_Deal_Tape'!L17</f>
        <v/>
      </c>
      <c r="J16" s="24">
        <f>'2_Deal_Tape'!M17</f>
        <v/>
      </c>
      <c r="K16" s="22">
        <f>'2_Deal_Tape'!Q17</f>
        <v/>
      </c>
      <c r="L16" s="25">
        <f>'2_Deal_Tape'!Z17</f>
        <v/>
      </c>
      <c r="M16" s="25">
        <f>'2_Deal_Tape'!AA17</f>
        <v/>
      </c>
      <c r="N16" s="24">
        <f>'2_Deal_Tape'!AB17</f>
        <v/>
      </c>
      <c r="O16" s="22">
        <f>'2_Deal_Tape'!AC17</f>
        <v/>
      </c>
      <c r="P16" s="22">
        <f>'2_Deal_Tape'!AD17</f>
        <v/>
      </c>
      <c r="Q16" s="22">
        <f>'2_Deal_Tape'!AE17</f>
        <v/>
      </c>
      <c r="R16" s="24">
        <f>'2_Deal_Tape'!I17</f>
        <v/>
      </c>
      <c r="S16" s="24">
        <f>'2_Deal_Tape'!W17</f>
        <v/>
      </c>
      <c r="T16" s="26">
        <f>'2_Deal_Tape'!X17</f>
        <v/>
      </c>
      <c r="U16" s="24">
        <f>'2_Deal_Tape'!V17</f>
        <v/>
      </c>
      <c r="V16" s="22">
        <f>D16+G16</f>
        <v/>
      </c>
      <c r="W16" s="24">
        <f>I16*(1+V16*L16)</f>
        <v/>
      </c>
      <c r="X16" s="27">
        <f>'1_GICS_Shock_Input'!$B$169+'1_GICS_Shock_Input'!$B$170/10000</f>
        <v/>
      </c>
      <c r="Y16" s="24">
        <f>J16*(X16+S16/10000)</f>
        <v/>
      </c>
      <c r="Z16" s="25">
        <f>J16/W16</f>
        <v/>
      </c>
      <c r="AA16" s="24">
        <f>O16*R16</f>
        <v/>
      </c>
      <c r="AB16" s="24">
        <f>P16*W16</f>
        <v/>
      </c>
      <c r="AC16" s="24">
        <f>Q16*J16</f>
        <v/>
      </c>
      <c r="AD16" s="25">
        <f>(W16-AA16-AB16)/(Y16+AC16)</f>
        <v/>
      </c>
      <c r="AE16" s="25">
        <f>K16*(1+E16)</f>
        <v/>
      </c>
      <c r="AF16" s="24">
        <f>W16*AE16</f>
        <v/>
      </c>
      <c r="AG16" s="22">
        <f>J16/AF16</f>
        <v/>
      </c>
      <c r="AH16" s="25">
        <f>M16-Z16</f>
        <v/>
      </c>
      <c r="AI16" s="28">
        <f>IF(Z16&gt;M16,"BREACH","")</f>
        <v/>
      </c>
      <c r="AJ16" s="25">
        <f>AD16-N16</f>
        <v/>
      </c>
      <c r="AK16" s="28">
        <f>IF(AD16&lt;N16,"BREACH","")</f>
        <v/>
      </c>
      <c r="AL16" s="24">
        <f>J16/M16</f>
        <v/>
      </c>
      <c r="AM16" s="22">
        <f>(W16-AL16)/W16</f>
        <v/>
      </c>
      <c r="AN16" s="24">
        <f>N16*(Y16+AC16)+AA16+AB16</f>
        <v/>
      </c>
      <c r="AO16" s="22">
        <f>(W16-AN16)/W16</f>
        <v/>
      </c>
      <c r="AP16" s="27">
        <f>-T16*(F16/10000)</f>
        <v/>
      </c>
      <c r="AQ16" s="24">
        <f>U16*AP16</f>
        <v/>
      </c>
    </row>
    <row r="17">
      <c r="A17" s="21">
        <f>'2_Deal_Tape'!A18</f>
        <v/>
      </c>
      <c r="B17" s="21">
        <f>'2_Deal_Tape'!C18</f>
        <v/>
      </c>
      <c r="C17" s="21">
        <f>'2_Deal_Tape'!F18</f>
        <v/>
      </c>
      <c r="D17" s="22">
        <f>INDEX('1_GICS_Shock_Input'!$E$4:$E$166,MATCH($B17,'1_GICS_Shock_Input'!$A$4:$A$166,0))</f>
        <v/>
      </c>
      <c r="E17" s="22">
        <f>INDEX('1_GICS_Shock_Input'!$F$4:$F$166,MATCH($B17,'1_GICS_Shock_Input'!$A$4:$A$166,0))</f>
        <v/>
      </c>
      <c r="F17" s="23">
        <f>INDEX('1_GICS_Shock_Input'!$G$4:$G$166,MATCH($B17,'1_GICS_Shock_Input'!$A$4:$A$166,0))</f>
        <v/>
      </c>
      <c r="G17" s="22">
        <f>INDEX('1_GICS_Shock_Input'!$H$4:$H$166,MATCH($B17,'1_GICS_Shock_Input'!$A$4:$A$166,0))</f>
        <v/>
      </c>
      <c r="H17" s="24">
        <f>'2_Deal_Tape'!K18</f>
        <v/>
      </c>
      <c r="I17" s="25">
        <f>'2_Deal_Tape'!L18</f>
        <v/>
      </c>
      <c r="J17" s="24">
        <f>'2_Deal_Tape'!M18</f>
        <v/>
      </c>
      <c r="K17" s="22">
        <f>'2_Deal_Tape'!Q18</f>
        <v/>
      </c>
      <c r="L17" s="25">
        <f>'2_Deal_Tape'!Z18</f>
        <v/>
      </c>
      <c r="M17" s="25">
        <f>'2_Deal_Tape'!AA18</f>
        <v/>
      </c>
      <c r="N17" s="24">
        <f>'2_Deal_Tape'!AB18</f>
        <v/>
      </c>
      <c r="O17" s="22">
        <f>'2_Deal_Tape'!AC18</f>
        <v/>
      </c>
      <c r="P17" s="22">
        <f>'2_Deal_Tape'!AD18</f>
        <v/>
      </c>
      <c r="Q17" s="22">
        <f>'2_Deal_Tape'!AE18</f>
        <v/>
      </c>
      <c r="R17" s="24">
        <f>'2_Deal_Tape'!I18</f>
        <v/>
      </c>
      <c r="S17" s="24">
        <f>'2_Deal_Tape'!W18</f>
        <v/>
      </c>
      <c r="T17" s="26">
        <f>'2_Deal_Tape'!X18</f>
        <v/>
      </c>
      <c r="U17" s="24">
        <f>'2_Deal_Tape'!V18</f>
        <v/>
      </c>
      <c r="V17" s="22">
        <f>D17+G17</f>
        <v/>
      </c>
      <c r="W17" s="24">
        <f>I17*(1+V17*L17)</f>
        <v/>
      </c>
      <c r="X17" s="27">
        <f>'1_GICS_Shock_Input'!$B$169+'1_GICS_Shock_Input'!$B$170/10000</f>
        <v/>
      </c>
      <c r="Y17" s="24">
        <f>J17*(X17+S17/10000)</f>
        <v/>
      </c>
      <c r="Z17" s="25">
        <f>J17/W17</f>
        <v/>
      </c>
      <c r="AA17" s="24">
        <f>O17*R17</f>
        <v/>
      </c>
      <c r="AB17" s="24">
        <f>P17*W17</f>
        <v/>
      </c>
      <c r="AC17" s="24">
        <f>Q17*J17</f>
        <v/>
      </c>
      <c r="AD17" s="25">
        <f>(W17-AA17-AB17)/(Y17+AC17)</f>
        <v/>
      </c>
      <c r="AE17" s="25">
        <f>K17*(1+E17)</f>
        <v/>
      </c>
      <c r="AF17" s="24">
        <f>W17*AE17</f>
        <v/>
      </c>
      <c r="AG17" s="22">
        <f>J17/AF17</f>
        <v/>
      </c>
      <c r="AH17" s="25">
        <f>M17-Z17</f>
        <v/>
      </c>
      <c r="AI17" s="28">
        <f>IF(Z17&gt;M17,"BREACH","")</f>
        <v/>
      </c>
      <c r="AJ17" s="25">
        <f>AD17-N17</f>
        <v/>
      </c>
      <c r="AK17" s="28">
        <f>IF(AD17&lt;N17,"BREACH","")</f>
        <v/>
      </c>
      <c r="AL17" s="24">
        <f>J17/M17</f>
        <v/>
      </c>
      <c r="AM17" s="22">
        <f>(W17-AL17)/W17</f>
        <v/>
      </c>
      <c r="AN17" s="24">
        <f>N17*(Y17+AC17)+AA17+AB17</f>
        <v/>
      </c>
      <c r="AO17" s="22">
        <f>(W17-AN17)/W17</f>
        <v/>
      </c>
      <c r="AP17" s="27">
        <f>-T17*(F17/10000)</f>
        <v/>
      </c>
      <c r="AQ17" s="24">
        <f>U17*AP17</f>
        <v/>
      </c>
    </row>
    <row r="18">
      <c r="A18" s="21">
        <f>'2_Deal_Tape'!A19</f>
        <v/>
      </c>
      <c r="B18" s="21">
        <f>'2_Deal_Tape'!C19</f>
        <v/>
      </c>
      <c r="C18" s="21">
        <f>'2_Deal_Tape'!F19</f>
        <v/>
      </c>
      <c r="D18" s="22">
        <f>INDEX('1_GICS_Shock_Input'!$E$4:$E$166,MATCH($B18,'1_GICS_Shock_Input'!$A$4:$A$166,0))</f>
        <v/>
      </c>
      <c r="E18" s="22">
        <f>INDEX('1_GICS_Shock_Input'!$F$4:$F$166,MATCH($B18,'1_GICS_Shock_Input'!$A$4:$A$166,0))</f>
        <v/>
      </c>
      <c r="F18" s="23">
        <f>INDEX('1_GICS_Shock_Input'!$G$4:$G$166,MATCH($B18,'1_GICS_Shock_Input'!$A$4:$A$166,0))</f>
        <v/>
      </c>
      <c r="G18" s="22">
        <f>INDEX('1_GICS_Shock_Input'!$H$4:$H$166,MATCH($B18,'1_GICS_Shock_Input'!$A$4:$A$166,0))</f>
        <v/>
      </c>
      <c r="H18" s="24">
        <f>'2_Deal_Tape'!K19</f>
        <v/>
      </c>
      <c r="I18" s="25">
        <f>'2_Deal_Tape'!L19</f>
        <v/>
      </c>
      <c r="J18" s="24">
        <f>'2_Deal_Tape'!M19</f>
        <v/>
      </c>
      <c r="K18" s="22">
        <f>'2_Deal_Tape'!Q19</f>
        <v/>
      </c>
      <c r="L18" s="25">
        <f>'2_Deal_Tape'!Z19</f>
        <v/>
      </c>
      <c r="M18" s="25">
        <f>'2_Deal_Tape'!AA19</f>
        <v/>
      </c>
      <c r="N18" s="24">
        <f>'2_Deal_Tape'!AB19</f>
        <v/>
      </c>
      <c r="O18" s="22">
        <f>'2_Deal_Tape'!AC19</f>
        <v/>
      </c>
      <c r="P18" s="22">
        <f>'2_Deal_Tape'!AD19</f>
        <v/>
      </c>
      <c r="Q18" s="22">
        <f>'2_Deal_Tape'!AE19</f>
        <v/>
      </c>
      <c r="R18" s="24">
        <f>'2_Deal_Tape'!I19</f>
        <v/>
      </c>
      <c r="S18" s="24">
        <f>'2_Deal_Tape'!W19</f>
        <v/>
      </c>
      <c r="T18" s="26">
        <f>'2_Deal_Tape'!X19</f>
        <v/>
      </c>
      <c r="U18" s="24">
        <f>'2_Deal_Tape'!V19</f>
        <v/>
      </c>
      <c r="V18" s="22">
        <f>D18+G18</f>
        <v/>
      </c>
      <c r="W18" s="24">
        <f>I18*(1+V18*L18)</f>
        <v/>
      </c>
      <c r="X18" s="27">
        <f>'1_GICS_Shock_Input'!$B$169+'1_GICS_Shock_Input'!$B$170/10000</f>
        <v/>
      </c>
      <c r="Y18" s="24">
        <f>J18*(X18+S18/10000)</f>
        <v/>
      </c>
      <c r="Z18" s="25">
        <f>J18/W18</f>
        <v/>
      </c>
      <c r="AA18" s="24">
        <f>O18*R18</f>
        <v/>
      </c>
      <c r="AB18" s="24">
        <f>P18*W18</f>
        <v/>
      </c>
      <c r="AC18" s="24">
        <f>Q18*J18</f>
        <v/>
      </c>
      <c r="AD18" s="25">
        <f>(W18-AA18-AB18)/(Y18+AC18)</f>
        <v/>
      </c>
      <c r="AE18" s="25">
        <f>K18*(1+E18)</f>
        <v/>
      </c>
      <c r="AF18" s="24">
        <f>W18*AE18</f>
        <v/>
      </c>
      <c r="AG18" s="22">
        <f>J18/AF18</f>
        <v/>
      </c>
      <c r="AH18" s="25">
        <f>M18-Z18</f>
        <v/>
      </c>
      <c r="AI18" s="28">
        <f>IF(Z18&gt;M18,"BREACH","")</f>
        <v/>
      </c>
      <c r="AJ18" s="25">
        <f>AD18-N18</f>
        <v/>
      </c>
      <c r="AK18" s="28">
        <f>IF(AD18&lt;N18,"BREACH","")</f>
        <v/>
      </c>
      <c r="AL18" s="24">
        <f>J18/M18</f>
        <v/>
      </c>
      <c r="AM18" s="22">
        <f>(W18-AL18)/W18</f>
        <v/>
      </c>
      <c r="AN18" s="24">
        <f>N18*(Y18+AC18)+AA18+AB18</f>
        <v/>
      </c>
      <c r="AO18" s="22">
        <f>(W18-AN18)/W18</f>
        <v/>
      </c>
      <c r="AP18" s="27">
        <f>-T18*(F18/10000)</f>
        <v/>
      </c>
      <c r="AQ18" s="24">
        <f>U18*AP18</f>
        <v/>
      </c>
    </row>
    <row r="19">
      <c r="A19" s="21">
        <f>'2_Deal_Tape'!A20</f>
        <v/>
      </c>
      <c r="B19" s="21">
        <f>'2_Deal_Tape'!C20</f>
        <v/>
      </c>
      <c r="C19" s="21">
        <f>'2_Deal_Tape'!F20</f>
        <v/>
      </c>
      <c r="D19" s="22">
        <f>INDEX('1_GICS_Shock_Input'!$E$4:$E$166,MATCH($B19,'1_GICS_Shock_Input'!$A$4:$A$166,0))</f>
        <v/>
      </c>
      <c r="E19" s="22">
        <f>INDEX('1_GICS_Shock_Input'!$F$4:$F$166,MATCH($B19,'1_GICS_Shock_Input'!$A$4:$A$166,0))</f>
        <v/>
      </c>
      <c r="F19" s="23">
        <f>INDEX('1_GICS_Shock_Input'!$G$4:$G$166,MATCH($B19,'1_GICS_Shock_Input'!$A$4:$A$166,0))</f>
        <v/>
      </c>
      <c r="G19" s="22">
        <f>INDEX('1_GICS_Shock_Input'!$H$4:$H$166,MATCH($B19,'1_GICS_Shock_Input'!$A$4:$A$166,0))</f>
        <v/>
      </c>
      <c r="H19" s="24">
        <f>'2_Deal_Tape'!K20</f>
        <v/>
      </c>
      <c r="I19" s="25">
        <f>'2_Deal_Tape'!L20</f>
        <v/>
      </c>
      <c r="J19" s="24">
        <f>'2_Deal_Tape'!M20</f>
        <v/>
      </c>
      <c r="K19" s="22">
        <f>'2_Deal_Tape'!Q20</f>
        <v/>
      </c>
      <c r="L19" s="25">
        <f>'2_Deal_Tape'!Z20</f>
        <v/>
      </c>
      <c r="M19" s="25">
        <f>'2_Deal_Tape'!AA20</f>
        <v/>
      </c>
      <c r="N19" s="24">
        <f>'2_Deal_Tape'!AB20</f>
        <v/>
      </c>
      <c r="O19" s="22">
        <f>'2_Deal_Tape'!AC20</f>
        <v/>
      </c>
      <c r="P19" s="22">
        <f>'2_Deal_Tape'!AD20</f>
        <v/>
      </c>
      <c r="Q19" s="22">
        <f>'2_Deal_Tape'!AE20</f>
        <v/>
      </c>
      <c r="R19" s="24">
        <f>'2_Deal_Tape'!I20</f>
        <v/>
      </c>
      <c r="S19" s="24">
        <f>'2_Deal_Tape'!W20</f>
        <v/>
      </c>
      <c r="T19" s="26">
        <f>'2_Deal_Tape'!X20</f>
        <v/>
      </c>
      <c r="U19" s="24">
        <f>'2_Deal_Tape'!V20</f>
        <v/>
      </c>
      <c r="V19" s="22">
        <f>D19+G19</f>
        <v/>
      </c>
      <c r="W19" s="24">
        <f>I19*(1+V19*L19)</f>
        <v/>
      </c>
      <c r="X19" s="27">
        <f>'1_GICS_Shock_Input'!$B$169+'1_GICS_Shock_Input'!$B$170/10000</f>
        <v/>
      </c>
      <c r="Y19" s="24">
        <f>J19*(X19+S19/10000)</f>
        <v/>
      </c>
      <c r="Z19" s="25">
        <f>J19/W19</f>
        <v/>
      </c>
      <c r="AA19" s="24">
        <f>O19*R19</f>
        <v/>
      </c>
      <c r="AB19" s="24">
        <f>P19*W19</f>
        <v/>
      </c>
      <c r="AC19" s="24">
        <f>Q19*J19</f>
        <v/>
      </c>
      <c r="AD19" s="25">
        <f>(W19-AA19-AB19)/(Y19+AC19)</f>
        <v/>
      </c>
      <c r="AE19" s="25">
        <f>K19*(1+E19)</f>
        <v/>
      </c>
      <c r="AF19" s="24">
        <f>W19*AE19</f>
        <v/>
      </c>
      <c r="AG19" s="22">
        <f>J19/AF19</f>
        <v/>
      </c>
      <c r="AH19" s="25">
        <f>M19-Z19</f>
        <v/>
      </c>
      <c r="AI19" s="28">
        <f>IF(Z19&gt;M19,"BREACH","")</f>
        <v/>
      </c>
      <c r="AJ19" s="25">
        <f>AD19-N19</f>
        <v/>
      </c>
      <c r="AK19" s="28">
        <f>IF(AD19&lt;N19,"BREACH","")</f>
        <v/>
      </c>
      <c r="AL19" s="24">
        <f>J19/M19</f>
        <v/>
      </c>
      <c r="AM19" s="22">
        <f>(W19-AL19)/W19</f>
        <v/>
      </c>
      <c r="AN19" s="24">
        <f>N19*(Y19+AC19)+AA19+AB19</f>
        <v/>
      </c>
      <c r="AO19" s="22">
        <f>(W19-AN19)/W19</f>
        <v/>
      </c>
      <c r="AP19" s="27">
        <f>-T19*(F19/10000)</f>
        <v/>
      </c>
      <c r="AQ19" s="24">
        <f>U19*AP19</f>
        <v/>
      </c>
    </row>
    <row r="20">
      <c r="A20" s="21">
        <f>'2_Deal_Tape'!A21</f>
        <v/>
      </c>
      <c r="B20" s="21">
        <f>'2_Deal_Tape'!C21</f>
        <v/>
      </c>
      <c r="C20" s="21">
        <f>'2_Deal_Tape'!F21</f>
        <v/>
      </c>
      <c r="D20" s="22">
        <f>INDEX('1_GICS_Shock_Input'!$E$4:$E$166,MATCH($B20,'1_GICS_Shock_Input'!$A$4:$A$166,0))</f>
        <v/>
      </c>
      <c r="E20" s="22">
        <f>INDEX('1_GICS_Shock_Input'!$F$4:$F$166,MATCH($B20,'1_GICS_Shock_Input'!$A$4:$A$166,0))</f>
        <v/>
      </c>
      <c r="F20" s="23">
        <f>INDEX('1_GICS_Shock_Input'!$G$4:$G$166,MATCH($B20,'1_GICS_Shock_Input'!$A$4:$A$166,0))</f>
        <v/>
      </c>
      <c r="G20" s="22">
        <f>INDEX('1_GICS_Shock_Input'!$H$4:$H$166,MATCH($B20,'1_GICS_Shock_Input'!$A$4:$A$166,0))</f>
        <v/>
      </c>
      <c r="H20" s="24">
        <f>'2_Deal_Tape'!K21</f>
        <v/>
      </c>
      <c r="I20" s="25">
        <f>'2_Deal_Tape'!L21</f>
        <v/>
      </c>
      <c r="J20" s="24">
        <f>'2_Deal_Tape'!M21</f>
        <v/>
      </c>
      <c r="K20" s="22">
        <f>'2_Deal_Tape'!Q21</f>
        <v/>
      </c>
      <c r="L20" s="25">
        <f>'2_Deal_Tape'!Z21</f>
        <v/>
      </c>
      <c r="M20" s="25">
        <f>'2_Deal_Tape'!AA21</f>
        <v/>
      </c>
      <c r="N20" s="24">
        <f>'2_Deal_Tape'!AB21</f>
        <v/>
      </c>
      <c r="O20" s="22">
        <f>'2_Deal_Tape'!AC21</f>
        <v/>
      </c>
      <c r="P20" s="22">
        <f>'2_Deal_Tape'!AD21</f>
        <v/>
      </c>
      <c r="Q20" s="22">
        <f>'2_Deal_Tape'!AE21</f>
        <v/>
      </c>
      <c r="R20" s="24">
        <f>'2_Deal_Tape'!I21</f>
        <v/>
      </c>
      <c r="S20" s="24">
        <f>'2_Deal_Tape'!W21</f>
        <v/>
      </c>
      <c r="T20" s="26">
        <f>'2_Deal_Tape'!X21</f>
        <v/>
      </c>
      <c r="U20" s="24">
        <f>'2_Deal_Tape'!V21</f>
        <v/>
      </c>
      <c r="V20" s="22">
        <f>D20+G20</f>
        <v/>
      </c>
      <c r="W20" s="24">
        <f>I20*(1+V20*L20)</f>
        <v/>
      </c>
      <c r="X20" s="27">
        <f>'1_GICS_Shock_Input'!$B$169+'1_GICS_Shock_Input'!$B$170/10000</f>
        <v/>
      </c>
      <c r="Y20" s="24">
        <f>J20*(X20+S20/10000)</f>
        <v/>
      </c>
      <c r="Z20" s="25">
        <f>J20/W20</f>
        <v/>
      </c>
      <c r="AA20" s="24">
        <f>O20*R20</f>
        <v/>
      </c>
      <c r="AB20" s="24">
        <f>P20*W20</f>
        <v/>
      </c>
      <c r="AC20" s="24">
        <f>Q20*J20</f>
        <v/>
      </c>
      <c r="AD20" s="25">
        <f>(W20-AA20-AB20)/(Y20+AC20)</f>
        <v/>
      </c>
      <c r="AE20" s="25">
        <f>K20*(1+E20)</f>
        <v/>
      </c>
      <c r="AF20" s="24">
        <f>W20*AE20</f>
        <v/>
      </c>
      <c r="AG20" s="22">
        <f>J20/AF20</f>
        <v/>
      </c>
      <c r="AH20" s="25">
        <f>M20-Z20</f>
        <v/>
      </c>
      <c r="AI20" s="28">
        <f>IF(Z20&gt;M20,"BREACH","")</f>
        <v/>
      </c>
      <c r="AJ20" s="25">
        <f>AD20-N20</f>
        <v/>
      </c>
      <c r="AK20" s="28">
        <f>IF(AD20&lt;N20,"BREACH","")</f>
        <v/>
      </c>
      <c r="AL20" s="24">
        <f>J20/M20</f>
        <v/>
      </c>
      <c r="AM20" s="22">
        <f>(W20-AL20)/W20</f>
        <v/>
      </c>
      <c r="AN20" s="24">
        <f>N20*(Y20+AC20)+AA20+AB20</f>
        <v/>
      </c>
      <c r="AO20" s="22">
        <f>(W20-AN20)/W20</f>
        <v/>
      </c>
      <c r="AP20" s="27">
        <f>-T20*(F20/10000)</f>
        <v/>
      </c>
      <c r="AQ20" s="24">
        <f>U20*AP20</f>
        <v/>
      </c>
    </row>
    <row r="21">
      <c r="A21" s="21">
        <f>'2_Deal_Tape'!A22</f>
        <v/>
      </c>
      <c r="B21" s="21">
        <f>'2_Deal_Tape'!C22</f>
        <v/>
      </c>
      <c r="C21" s="21">
        <f>'2_Deal_Tape'!F22</f>
        <v/>
      </c>
      <c r="D21" s="22">
        <f>INDEX('1_GICS_Shock_Input'!$E$4:$E$166,MATCH($B21,'1_GICS_Shock_Input'!$A$4:$A$166,0))</f>
        <v/>
      </c>
      <c r="E21" s="22">
        <f>INDEX('1_GICS_Shock_Input'!$F$4:$F$166,MATCH($B21,'1_GICS_Shock_Input'!$A$4:$A$166,0))</f>
        <v/>
      </c>
      <c r="F21" s="23">
        <f>INDEX('1_GICS_Shock_Input'!$G$4:$G$166,MATCH($B21,'1_GICS_Shock_Input'!$A$4:$A$166,0))</f>
        <v/>
      </c>
      <c r="G21" s="22">
        <f>INDEX('1_GICS_Shock_Input'!$H$4:$H$166,MATCH($B21,'1_GICS_Shock_Input'!$A$4:$A$166,0))</f>
        <v/>
      </c>
      <c r="H21" s="24">
        <f>'2_Deal_Tape'!K22</f>
        <v/>
      </c>
      <c r="I21" s="25">
        <f>'2_Deal_Tape'!L22</f>
        <v/>
      </c>
      <c r="J21" s="24">
        <f>'2_Deal_Tape'!M22</f>
        <v/>
      </c>
      <c r="K21" s="22">
        <f>'2_Deal_Tape'!Q22</f>
        <v/>
      </c>
      <c r="L21" s="25">
        <f>'2_Deal_Tape'!Z22</f>
        <v/>
      </c>
      <c r="M21" s="25">
        <f>'2_Deal_Tape'!AA22</f>
        <v/>
      </c>
      <c r="N21" s="24">
        <f>'2_Deal_Tape'!AB22</f>
        <v/>
      </c>
      <c r="O21" s="22">
        <f>'2_Deal_Tape'!AC22</f>
        <v/>
      </c>
      <c r="P21" s="22">
        <f>'2_Deal_Tape'!AD22</f>
        <v/>
      </c>
      <c r="Q21" s="22">
        <f>'2_Deal_Tape'!AE22</f>
        <v/>
      </c>
      <c r="R21" s="24">
        <f>'2_Deal_Tape'!I22</f>
        <v/>
      </c>
      <c r="S21" s="24">
        <f>'2_Deal_Tape'!W22</f>
        <v/>
      </c>
      <c r="T21" s="26">
        <f>'2_Deal_Tape'!X22</f>
        <v/>
      </c>
      <c r="U21" s="24">
        <f>'2_Deal_Tape'!V22</f>
        <v/>
      </c>
      <c r="V21" s="22">
        <f>D21+G21</f>
        <v/>
      </c>
      <c r="W21" s="24">
        <f>I21*(1+V21*L21)</f>
        <v/>
      </c>
      <c r="X21" s="27">
        <f>'1_GICS_Shock_Input'!$B$169+'1_GICS_Shock_Input'!$B$170/10000</f>
        <v/>
      </c>
      <c r="Y21" s="24">
        <f>J21*(X21+S21/10000)</f>
        <v/>
      </c>
      <c r="Z21" s="25">
        <f>J21/W21</f>
        <v/>
      </c>
      <c r="AA21" s="24">
        <f>O21*R21</f>
        <v/>
      </c>
      <c r="AB21" s="24">
        <f>P21*W21</f>
        <v/>
      </c>
      <c r="AC21" s="24">
        <f>Q21*J21</f>
        <v/>
      </c>
      <c r="AD21" s="25">
        <f>(W21-AA21-AB21)/(Y21+AC21)</f>
        <v/>
      </c>
      <c r="AE21" s="25">
        <f>K21*(1+E21)</f>
        <v/>
      </c>
      <c r="AF21" s="24">
        <f>W21*AE21</f>
        <v/>
      </c>
      <c r="AG21" s="22">
        <f>J21/AF21</f>
        <v/>
      </c>
      <c r="AH21" s="25">
        <f>M21-Z21</f>
        <v/>
      </c>
      <c r="AI21" s="28">
        <f>IF(Z21&gt;M21,"BREACH","")</f>
        <v/>
      </c>
      <c r="AJ21" s="25">
        <f>AD21-N21</f>
        <v/>
      </c>
      <c r="AK21" s="28">
        <f>IF(AD21&lt;N21,"BREACH","")</f>
        <v/>
      </c>
      <c r="AL21" s="24">
        <f>J21/M21</f>
        <v/>
      </c>
      <c r="AM21" s="22">
        <f>(W21-AL21)/W21</f>
        <v/>
      </c>
      <c r="AN21" s="24">
        <f>N21*(Y21+AC21)+AA21+AB21</f>
        <v/>
      </c>
      <c r="AO21" s="22">
        <f>(W21-AN21)/W21</f>
        <v/>
      </c>
      <c r="AP21" s="27">
        <f>-T21*(F21/10000)</f>
        <v/>
      </c>
      <c r="AQ21" s="24">
        <f>U21*AP21</f>
        <v/>
      </c>
    </row>
    <row r="22">
      <c r="A22" s="21">
        <f>'2_Deal_Tape'!A23</f>
        <v/>
      </c>
      <c r="B22" s="21">
        <f>'2_Deal_Tape'!C23</f>
        <v/>
      </c>
      <c r="C22" s="21">
        <f>'2_Deal_Tape'!F23</f>
        <v/>
      </c>
      <c r="D22" s="22">
        <f>INDEX('1_GICS_Shock_Input'!$E$4:$E$166,MATCH($B22,'1_GICS_Shock_Input'!$A$4:$A$166,0))</f>
        <v/>
      </c>
      <c r="E22" s="22">
        <f>INDEX('1_GICS_Shock_Input'!$F$4:$F$166,MATCH($B22,'1_GICS_Shock_Input'!$A$4:$A$166,0))</f>
        <v/>
      </c>
      <c r="F22" s="23">
        <f>INDEX('1_GICS_Shock_Input'!$G$4:$G$166,MATCH($B22,'1_GICS_Shock_Input'!$A$4:$A$166,0))</f>
        <v/>
      </c>
      <c r="G22" s="22">
        <f>INDEX('1_GICS_Shock_Input'!$H$4:$H$166,MATCH($B22,'1_GICS_Shock_Input'!$A$4:$A$166,0))</f>
        <v/>
      </c>
      <c r="H22" s="24">
        <f>'2_Deal_Tape'!K23</f>
        <v/>
      </c>
      <c r="I22" s="25">
        <f>'2_Deal_Tape'!L23</f>
        <v/>
      </c>
      <c r="J22" s="24">
        <f>'2_Deal_Tape'!M23</f>
        <v/>
      </c>
      <c r="K22" s="22">
        <f>'2_Deal_Tape'!Q23</f>
        <v/>
      </c>
      <c r="L22" s="25">
        <f>'2_Deal_Tape'!Z23</f>
        <v/>
      </c>
      <c r="M22" s="25">
        <f>'2_Deal_Tape'!AA23</f>
        <v/>
      </c>
      <c r="N22" s="24">
        <f>'2_Deal_Tape'!AB23</f>
        <v/>
      </c>
      <c r="O22" s="22">
        <f>'2_Deal_Tape'!AC23</f>
        <v/>
      </c>
      <c r="P22" s="22">
        <f>'2_Deal_Tape'!AD23</f>
        <v/>
      </c>
      <c r="Q22" s="22">
        <f>'2_Deal_Tape'!AE23</f>
        <v/>
      </c>
      <c r="R22" s="24">
        <f>'2_Deal_Tape'!I23</f>
        <v/>
      </c>
      <c r="S22" s="24">
        <f>'2_Deal_Tape'!W23</f>
        <v/>
      </c>
      <c r="T22" s="26">
        <f>'2_Deal_Tape'!X23</f>
        <v/>
      </c>
      <c r="U22" s="24">
        <f>'2_Deal_Tape'!V23</f>
        <v/>
      </c>
      <c r="V22" s="22">
        <f>D22+G22</f>
        <v/>
      </c>
      <c r="W22" s="24">
        <f>I22*(1+V22*L22)</f>
        <v/>
      </c>
      <c r="X22" s="27">
        <f>'1_GICS_Shock_Input'!$B$169+'1_GICS_Shock_Input'!$B$170/10000</f>
        <v/>
      </c>
      <c r="Y22" s="24">
        <f>J22*(X22+S22/10000)</f>
        <v/>
      </c>
      <c r="Z22" s="25">
        <f>J22/W22</f>
        <v/>
      </c>
      <c r="AA22" s="24">
        <f>O22*R22</f>
        <v/>
      </c>
      <c r="AB22" s="24">
        <f>P22*W22</f>
        <v/>
      </c>
      <c r="AC22" s="24">
        <f>Q22*J22</f>
        <v/>
      </c>
      <c r="AD22" s="25">
        <f>(W22-AA22-AB22)/(Y22+AC22)</f>
        <v/>
      </c>
      <c r="AE22" s="25">
        <f>K22*(1+E22)</f>
        <v/>
      </c>
      <c r="AF22" s="24">
        <f>W22*AE22</f>
        <v/>
      </c>
      <c r="AG22" s="22">
        <f>J22/AF22</f>
        <v/>
      </c>
      <c r="AH22" s="25">
        <f>M22-Z22</f>
        <v/>
      </c>
      <c r="AI22" s="28">
        <f>IF(Z22&gt;M22,"BREACH","")</f>
        <v/>
      </c>
      <c r="AJ22" s="25">
        <f>AD22-N22</f>
        <v/>
      </c>
      <c r="AK22" s="28">
        <f>IF(AD22&lt;N22,"BREACH","")</f>
        <v/>
      </c>
      <c r="AL22" s="24">
        <f>J22/M22</f>
        <v/>
      </c>
      <c r="AM22" s="22">
        <f>(W22-AL22)/W22</f>
        <v/>
      </c>
      <c r="AN22" s="24">
        <f>N22*(Y22+AC22)+AA22+AB22</f>
        <v/>
      </c>
      <c r="AO22" s="22">
        <f>(W22-AN22)/W22</f>
        <v/>
      </c>
      <c r="AP22" s="27">
        <f>-T22*(F22/10000)</f>
        <v/>
      </c>
      <c r="AQ22" s="24">
        <f>U22*AP22</f>
        <v/>
      </c>
    </row>
    <row r="23">
      <c r="A23" s="21">
        <f>'2_Deal_Tape'!A24</f>
        <v/>
      </c>
      <c r="B23" s="21">
        <f>'2_Deal_Tape'!C24</f>
        <v/>
      </c>
      <c r="C23" s="21">
        <f>'2_Deal_Tape'!F24</f>
        <v/>
      </c>
      <c r="D23" s="22">
        <f>INDEX('1_GICS_Shock_Input'!$E$4:$E$166,MATCH($B23,'1_GICS_Shock_Input'!$A$4:$A$166,0))</f>
        <v/>
      </c>
      <c r="E23" s="22">
        <f>INDEX('1_GICS_Shock_Input'!$F$4:$F$166,MATCH($B23,'1_GICS_Shock_Input'!$A$4:$A$166,0))</f>
        <v/>
      </c>
      <c r="F23" s="23">
        <f>INDEX('1_GICS_Shock_Input'!$G$4:$G$166,MATCH($B23,'1_GICS_Shock_Input'!$A$4:$A$166,0))</f>
        <v/>
      </c>
      <c r="G23" s="22">
        <f>INDEX('1_GICS_Shock_Input'!$H$4:$H$166,MATCH($B23,'1_GICS_Shock_Input'!$A$4:$A$166,0))</f>
        <v/>
      </c>
      <c r="H23" s="24">
        <f>'2_Deal_Tape'!K24</f>
        <v/>
      </c>
      <c r="I23" s="25">
        <f>'2_Deal_Tape'!L24</f>
        <v/>
      </c>
      <c r="J23" s="24">
        <f>'2_Deal_Tape'!M24</f>
        <v/>
      </c>
      <c r="K23" s="22">
        <f>'2_Deal_Tape'!Q24</f>
        <v/>
      </c>
      <c r="L23" s="25">
        <f>'2_Deal_Tape'!Z24</f>
        <v/>
      </c>
      <c r="M23" s="25">
        <f>'2_Deal_Tape'!AA24</f>
        <v/>
      </c>
      <c r="N23" s="24">
        <f>'2_Deal_Tape'!AB24</f>
        <v/>
      </c>
      <c r="O23" s="22">
        <f>'2_Deal_Tape'!AC24</f>
        <v/>
      </c>
      <c r="P23" s="22">
        <f>'2_Deal_Tape'!AD24</f>
        <v/>
      </c>
      <c r="Q23" s="22">
        <f>'2_Deal_Tape'!AE24</f>
        <v/>
      </c>
      <c r="R23" s="24">
        <f>'2_Deal_Tape'!I24</f>
        <v/>
      </c>
      <c r="S23" s="24">
        <f>'2_Deal_Tape'!W24</f>
        <v/>
      </c>
      <c r="T23" s="26">
        <f>'2_Deal_Tape'!X24</f>
        <v/>
      </c>
      <c r="U23" s="24">
        <f>'2_Deal_Tape'!V24</f>
        <v/>
      </c>
      <c r="V23" s="22">
        <f>D23+G23</f>
        <v/>
      </c>
      <c r="W23" s="24">
        <f>I23*(1+V23*L23)</f>
        <v/>
      </c>
      <c r="X23" s="27">
        <f>'1_GICS_Shock_Input'!$B$169+'1_GICS_Shock_Input'!$B$170/10000</f>
        <v/>
      </c>
      <c r="Y23" s="24">
        <f>J23*(X23+S23/10000)</f>
        <v/>
      </c>
      <c r="Z23" s="25">
        <f>J23/W23</f>
        <v/>
      </c>
      <c r="AA23" s="24">
        <f>O23*R23</f>
        <v/>
      </c>
      <c r="AB23" s="24">
        <f>P23*W23</f>
        <v/>
      </c>
      <c r="AC23" s="24">
        <f>Q23*J23</f>
        <v/>
      </c>
      <c r="AD23" s="25">
        <f>(W23-AA23-AB23)/(Y23+AC23)</f>
        <v/>
      </c>
      <c r="AE23" s="25">
        <f>K23*(1+E23)</f>
        <v/>
      </c>
      <c r="AF23" s="24">
        <f>W23*AE23</f>
        <v/>
      </c>
      <c r="AG23" s="22">
        <f>J23/AF23</f>
        <v/>
      </c>
      <c r="AH23" s="25">
        <f>M23-Z23</f>
        <v/>
      </c>
      <c r="AI23" s="28">
        <f>IF(Z23&gt;M23,"BREACH","")</f>
        <v/>
      </c>
      <c r="AJ23" s="25">
        <f>AD23-N23</f>
        <v/>
      </c>
      <c r="AK23" s="28">
        <f>IF(AD23&lt;N23,"BREACH","")</f>
        <v/>
      </c>
      <c r="AL23" s="24">
        <f>J23/M23</f>
        <v/>
      </c>
      <c r="AM23" s="22">
        <f>(W23-AL23)/W23</f>
        <v/>
      </c>
      <c r="AN23" s="24">
        <f>N23*(Y23+AC23)+AA23+AB23</f>
        <v/>
      </c>
      <c r="AO23" s="22">
        <f>(W23-AN23)/W23</f>
        <v/>
      </c>
      <c r="AP23" s="27">
        <f>-T23*(F23/10000)</f>
        <v/>
      </c>
      <c r="AQ23" s="24">
        <f>U23*AP23</f>
        <v/>
      </c>
    </row>
    <row r="24">
      <c r="A24" s="21">
        <f>'2_Deal_Tape'!A25</f>
        <v/>
      </c>
      <c r="B24" s="21">
        <f>'2_Deal_Tape'!C25</f>
        <v/>
      </c>
      <c r="C24" s="21">
        <f>'2_Deal_Tape'!F25</f>
        <v/>
      </c>
      <c r="D24" s="22">
        <f>INDEX('1_GICS_Shock_Input'!$E$4:$E$166,MATCH($B24,'1_GICS_Shock_Input'!$A$4:$A$166,0))</f>
        <v/>
      </c>
      <c r="E24" s="22">
        <f>INDEX('1_GICS_Shock_Input'!$F$4:$F$166,MATCH($B24,'1_GICS_Shock_Input'!$A$4:$A$166,0))</f>
        <v/>
      </c>
      <c r="F24" s="23">
        <f>INDEX('1_GICS_Shock_Input'!$G$4:$G$166,MATCH($B24,'1_GICS_Shock_Input'!$A$4:$A$166,0))</f>
        <v/>
      </c>
      <c r="G24" s="22">
        <f>INDEX('1_GICS_Shock_Input'!$H$4:$H$166,MATCH($B24,'1_GICS_Shock_Input'!$A$4:$A$166,0))</f>
        <v/>
      </c>
      <c r="H24" s="24">
        <f>'2_Deal_Tape'!K25</f>
        <v/>
      </c>
      <c r="I24" s="25">
        <f>'2_Deal_Tape'!L25</f>
        <v/>
      </c>
      <c r="J24" s="24">
        <f>'2_Deal_Tape'!M25</f>
        <v/>
      </c>
      <c r="K24" s="22">
        <f>'2_Deal_Tape'!Q25</f>
        <v/>
      </c>
      <c r="L24" s="25">
        <f>'2_Deal_Tape'!Z25</f>
        <v/>
      </c>
      <c r="M24" s="25">
        <f>'2_Deal_Tape'!AA25</f>
        <v/>
      </c>
      <c r="N24" s="24">
        <f>'2_Deal_Tape'!AB25</f>
        <v/>
      </c>
      <c r="O24" s="22">
        <f>'2_Deal_Tape'!AC25</f>
        <v/>
      </c>
      <c r="P24" s="22">
        <f>'2_Deal_Tape'!AD25</f>
        <v/>
      </c>
      <c r="Q24" s="22">
        <f>'2_Deal_Tape'!AE25</f>
        <v/>
      </c>
      <c r="R24" s="24">
        <f>'2_Deal_Tape'!I25</f>
        <v/>
      </c>
      <c r="S24" s="24">
        <f>'2_Deal_Tape'!W25</f>
        <v/>
      </c>
      <c r="T24" s="26">
        <f>'2_Deal_Tape'!X25</f>
        <v/>
      </c>
      <c r="U24" s="24">
        <f>'2_Deal_Tape'!V25</f>
        <v/>
      </c>
      <c r="V24" s="22">
        <f>D24+G24</f>
        <v/>
      </c>
      <c r="W24" s="24">
        <f>I24*(1+V24*L24)</f>
        <v/>
      </c>
      <c r="X24" s="27">
        <f>'1_GICS_Shock_Input'!$B$169+'1_GICS_Shock_Input'!$B$170/10000</f>
        <v/>
      </c>
      <c r="Y24" s="24">
        <f>J24*(X24+S24/10000)</f>
        <v/>
      </c>
      <c r="Z24" s="25">
        <f>J24/W24</f>
        <v/>
      </c>
      <c r="AA24" s="24">
        <f>O24*R24</f>
        <v/>
      </c>
      <c r="AB24" s="24">
        <f>P24*W24</f>
        <v/>
      </c>
      <c r="AC24" s="24">
        <f>Q24*J24</f>
        <v/>
      </c>
      <c r="AD24" s="25">
        <f>(W24-AA24-AB24)/(Y24+AC24)</f>
        <v/>
      </c>
      <c r="AE24" s="25">
        <f>K24*(1+E24)</f>
        <v/>
      </c>
      <c r="AF24" s="24">
        <f>W24*AE24</f>
        <v/>
      </c>
      <c r="AG24" s="22">
        <f>J24/AF24</f>
        <v/>
      </c>
      <c r="AH24" s="25">
        <f>M24-Z24</f>
        <v/>
      </c>
      <c r="AI24" s="28">
        <f>IF(Z24&gt;M24,"BREACH","")</f>
        <v/>
      </c>
      <c r="AJ24" s="25">
        <f>AD24-N24</f>
        <v/>
      </c>
      <c r="AK24" s="28">
        <f>IF(AD24&lt;N24,"BREACH","")</f>
        <v/>
      </c>
      <c r="AL24" s="24">
        <f>J24/M24</f>
        <v/>
      </c>
      <c r="AM24" s="22">
        <f>(W24-AL24)/W24</f>
        <v/>
      </c>
      <c r="AN24" s="24">
        <f>N24*(Y24+AC24)+AA24+AB24</f>
        <v/>
      </c>
      <c r="AO24" s="22">
        <f>(W24-AN24)/W24</f>
        <v/>
      </c>
      <c r="AP24" s="27">
        <f>-T24*(F24/10000)</f>
        <v/>
      </c>
      <c r="AQ24" s="24">
        <f>U24*AP24</f>
        <v/>
      </c>
    </row>
    <row r="25">
      <c r="A25" s="21">
        <f>'2_Deal_Tape'!A26</f>
        <v/>
      </c>
      <c r="B25" s="21">
        <f>'2_Deal_Tape'!C26</f>
        <v/>
      </c>
      <c r="C25" s="21">
        <f>'2_Deal_Tape'!F26</f>
        <v/>
      </c>
      <c r="D25" s="22">
        <f>INDEX('1_GICS_Shock_Input'!$E$4:$E$166,MATCH($B25,'1_GICS_Shock_Input'!$A$4:$A$166,0))</f>
        <v/>
      </c>
      <c r="E25" s="22">
        <f>INDEX('1_GICS_Shock_Input'!$F$4:$F$166,MATCH($B25,'1_GICS_Shock_Input'!$A$4:$A$166,0))</f>
        <v/>
      </c>
      <c r="F25" s="23">
        <f>INDEX('1_GICS_Shock_Input'!$G$4:$G$166,MATCH($B25,'1_GICS_Shock_Input'!$A$4:$A$166,0))</f>
        <v/>
      </c>
      <c r="G25" s="22">
        <f>INDEX('1_GICS_Shock_Input'!$H$4:$H$166,MATCH($B25,'1_GICS_Shock_Input'!$A$4:$A$166,0))</f>
        <v/>
      </c>
      <c r="H25" s="24">
        <f>'2_Deal_Tape'!K26</f>
        <v/>
      </c>
      <c r="I25" s="25">
        <f>'2_Deal_Tape'!L26</f>
        <v/>
      </c>
      <c r="J25" s="24">
        <f>'2_Deal_Tape'!M26</f>
        <v/>
      </c>
      <c r="K25" s="22">
        <f>'2_Deal_Tape'!Q26</f>
        <v/>
      </c>
      <c r="L25" s="25">
        <f>'2_Deal_Tape'!Z26</f>
        <v/>
      </c>
      <c r="M25" s="25">
        <f>'2_Deal_Tape'!AA26</f>
        <v/>
      </c>
      <c r="N25" s="24">
        <f>'2_Deal_Tape'!AB26</f>
        <v/>
      </c>
      <c r="O25" s="22">
        <f>'2_Deal_Tape'!AC26</f>
        <v/>
      </c>
      <c r="P25" s="22">
        <f>'2_Deal_Tape'!AD26</f>
        <v/>
      </c>
      <c r="Q25" s="22">
        <f>'2_Deal_Tape'!AE26</f>
        <v/>
      </c>
      <c r="R25" s="24">
        <f>'2_Deal_Tape'!I26</f>
        <v/>
      </c>
      <c r="S25" s="24">
        <f>'2_Deal_Tape'!W26</f>
        <v/>
      </c>
      <c r="T25" s="26">
        <f>'2_Deal_Tape'!X26</f>
        <v/>
      </c>
      <c r="U25" s="24">
        <f>'2_Deal_Tape'!V26</f>
        <v/>
      </c>
      <c r="V25" s="22">
        <f>D25+G25</f>
        <v/>
      </c>
      <c r="W25" s="24">
        <f>I25*(1+V25*L25)</f>
        <v/>
      </c>
      <c r="X25" s="27">
        <f>'1_GICS_Shock_Input'!$B$169+'1_GICS_Shock_Input'!$B$170/10000</f>
        <v/>
      </c>
      <c r="Y25" s="24">
        <f>J25*(X25+S25/10000)</f>
        <v/>
      </c>
      <c r="Z25" s="25">
        <f>J25/W25</f>
        <v/>
      </c>
      <c r="AA25" s="24">
        <f>O25*R25</f>
        <v/>
      </c>
      <c r="AB25" s="24">
        <f>P25*W25</f>
        <v/>
      </c>
      <c r="AC25" s="24">
        <f>Q25*J25</f>
        <v/>
      </c>
      <c r="AD25" s="25">
        <f>(W25-AA25-AB25)/(Y25+AC25)</f>
        <v/>
      </c>
      <c r="AE25" s="25">
        <f>K25*(1+E25)</f>
        <v/>
      </c>
      <c r="AF25" s="24">
        <f>W25*AE25</f>
        <v/>
      </c>
      <c r="AG25" s="22">
        <f>J25/AF25</f>
        <v/>
      </c>
      <c r="AH25" s="25">
        <f>M25-Z25</f>
        <v/>
      </c>
      <c r="AI25" s="28">
        <f>IF(Z25&gt;M25,"BREACH","")</f>
        <v/>
      </c>
      <c r="AJ25" s="25">
        <f>AD25-N25</f>
        <v/>
      </c>
      <c r="AK25" s="28">
        <f>IF(AD25&lt;N25,"BREACH","")</f>
        <v/>
      </c>
      <c r="AL25" s="24">
        <f>J25/M25</f>
        <v/>
      </c>
      <c r="AM25" s="22">
        <f>(W25-AL25)/W25</f>
        <v/>
      </c>
      <c r="AN25" s="24">
        <f>N25*(Y25+AC25)+AA25+AB25</f>
        <v/>
      </c>
      <c r="AO25" s="22">
        <f>(W25-AN25)/W25</f>
        <v/>
      </c>
      <c r="AP25" s="27">
        <f>-T25*(F25/10000)</f>
        <v/>
      </c>
      <c r="AQ25" s="24">
        <f>U25*AP25</f>
        <v/>
      </c>
    </row>
    <row r="26">
      <c r="A26" s="21">
        <f>'2_Deal_Tape'!A27</f>
        <v/>
      </c>
      <c r="B26" s="21">
        <f>'2_Deal_Tape'!C27</f>
        <v/>
      </c>
      <c r="C26" s="21">
        <f>'2_Deal_Tape'!F27</f>
        <v/>
      </c>
      <c r="D26" s="22">
        <f>INDEX('1_GICS_Shock_Input'!$E$4:$E$166,MATCH($B26,'1_GICS_Shock_Input'!$A$4:$A$166,0))</f>
        <v/>
      </c>
      <c r="E26" s="22">
        <f>INDEX('1_GICS_Shock_Input'!$F$4:$F$166,MATCH($B26,'1_GICS_Shock_Input'!$A$4:$A$166,0))</f>
        <v/>
      </c>
      <c r="F26" s="23">
        <f>INDEX('1_GICS_Shock_Input'!$G$4:$G$166,MATCH($B26,'1_GICS_Shock_Input'!$A$4:$A$166,0))</f>
        <v/>
      </c>
      <c r="G26" s="22">
        <f>INDEX('1_GICS_Shock_Input'!$H$4:$H$166,MATCH($B26,'1_GICS_Shock_Input'!$A$4:$A$166,0))</f>
        <v/>
      </c>
      <c r="H26" s="24">
        <f>'2_Deal_Tape'!K27</f>
        <v/>
      </c>
      <c r="I26" s="25">
        <f>'2_Deal_Tape'!L27</f>
        <v/>
      </c>
      <c r="J26" s="24">
        <f>'2_Deal_Tape'!M27</f>
        <v/>
      </c>
      <c r="K26" s="22">
        <f>'2_Deal_Tape'!Q27</f>
        <v/>
      </c>
      <c r="L26" s="25">
        <f>'2_Deal_Tape'!Z27</f>
        <v/>
      </c>
      <c r="M26" s="25">
        <f>'2_Deal_Tape'!AA27</f>
        <v/>
      </c>
      <c r="N26" s="24">
        <f>'2_Deal_Tape'!AB27</f>
        <v/>
      </c>
      <c r="O26" s="22">
        <f>'2_Deal_Tape'!AC27</f>
        <v/>
      </c>
      <c r="P26" s="22">
        <f>'2_Deal_Tape'!AD27</f>
        <v/>
      </c>
      <c r="Q26" s="22">
        <f>'2_Deal_Tape'!AE27</f>
        <v/>
      </c>
      <c r="R26" s="24">
        <f>'2_Deal_Tape'!I27</f>
        <v/>
      </c>
      <c r="S26" s="24">
        <f>'2_Deal_Tape'!W27</f>
        <v/>
      </c>
      <c r="T26" s="26">
        <f>'2_Deal_Tape'!X27</f>
        <v/>
      </c>
      <c r="U26" s="24">
        <f>'2_Deal_Tape'!V27</f>
        <v/>
      </c>
      <c r="V26" s="22">
        <f>D26+G26</f>
        <v/>
      </c>
      <c r="W26" s="24">
        <f>I26*(1+V26*L26)</f>
        <v/>
      </c>
      <c r="X26" s="27">
        <f>'1_GICS_Shock_Input'!$B$169+'1_GICS_Shock_Input'!$B$170/10000</f>
        <v/>
      </c>
      <c r="Y26" s="24">
        <f>J26*(X26+S26/10000)</f>
        <v/>
      </c>
      <c r="Z26" s="25">
        <f>J26/W26</f>
        <v/>
      </c>
      <c r="AA26" s="24">
        <f>O26*R26</f>
        <v/>
      </c>
      <c r="AB26" s="24">
        <f>P26*W26</f>
        <v/>
      </c>
      <c r="AC26" s="24">
        <f>Q26*J26</f>
        <v/>
      </c>
      <c r="AD26" s="25">
        <f>(W26-AA26-AB26)/(Y26+AC26)</f>
        <v/>
      </c>
      <c r="AE26" s="25">
        <f>K26*(1+E26)</f>
        <v/>
      </c>
      <c r="AF26" s="24">
        <f>W26*AE26</f>
        <v/>
      </c>
      <c r="AG26" s="22">
        <f>J26/AF26</f>
        <v/>
      </c>
      <c r="AH26" s="25">
        <f>M26-Z26</f>
        <v/>
      </c>
      <c r="AI26" s="28">
        <f>IF(Z26&gt;M26,"BREACH","")</f>
        <v/>
      </c>
      <c r="AJ26" s="25">
        <f>AD26-N26</f>
        <v/>
      </c>
      <c r="AK26" s="28">
        <f>IF(AD26&lt;N26,"BREACH","")</f>
        <v/>
      </c>
      <c r="AL26" s="24">
        <f>J26/M26</f>
        <v/>
      </c>
      <c r="AM26" s="22">
        <f>(W26-AL26)/W26</f>
        <v/>
      </c>
      <c r="AN26" s="24">
        <f>N26*(Y26+AC26)+AA26+AB26</f>
        <v/>
      </c>
      <c r="AO26" s="22">
        <f>(W26-AN26)/W26</f>
        <v/>
      </c>
      <c r="AP26" s="27">
        <f>-T26*(F26/10000)</f>
        <v/>
      </c>
      <c r="AQ26" s="24">
        <f>U26*AP26</f>
        <v/>
      </c>
    </row>
    <row r="27">
      <c r="A27" s="21">
        <f>'2_Deal_Tape'!A28</f>
        <v/>
      </c>
      <c r="B27" s="21">
        <f>'2_Deal_Tape'!C28</f>
        <v/>
      </c>
      <c r="C27" s="21">
        <f>'2_Deal_Tape'!F28</f>
        <v/>
      </c>
      <c r="D27" s="22">
        <f>INDEX('1_GICS_Shock_Input'!$E$4:$E$166,MATCH($B27,'1_GICS_Shock_Input'!$A$4:$A$166,0))</f>
        <v/>
      </c>
      <c r="E27" s="22">
        <f>INDEX('1_GICS_Shock_Input'!$F$4:$F$166,MATCH($B27,'1_GICS_Shock_Input'!$A$4:$A$166,0))</f>
        <v/>
      </c>
      <c r="F27" s="23">
        <f>INDEX('1_GICS_Shock_Input'!$G$4:$G$166,MATCH($B27,'1_GICS_Shock_Input'!$A$4:$A$166,0))</f>
        <v/>
      </c>
      <c r="G27" s="22">
        <f>INDEX('1_GICS_Shock_Input'!$H$4:$H$166,MATCH($B27,'1_GICS_Shock_Input'!$A$4:$A$166,0))</f>
        <v/>
      </c>
      <c r="H27" s="24">
        <f>'2_Deal_Tape'!K28</f>
        <v/>
      </c>
      <c r="I27" s="25">
        <f>'2_Deal_Tape'!L28</f>
        <v/>
      </c>
      <c r="J27" s="24">
        <f>'2_Deal_Tape'!M28</f>
        <v/>
      </c>
      <c r="K27" s="22">
        <f>'2_Deal_Tape'!Q28</f>
        <v/>
      </c>
      <c r="L27" s="25">
        <f>'2_Deal_Tape'!Z28</f>
        <v/>
      </c>
      <c r="M27" s="25">
        <f>'2_Deal_Tape'!AA28</f>
        <v/>
      </c>
      <c r="N27" s="24">
        <f>'2_Deal_Tape'!AB28</f>
        <v/>
      </c>
      <c r="O27" s="22">
        <f>'2_Deal_Tape'!AC28</f>
        <v/>
      </c>
      <c r="P27" s="22">
        <f>'2_Deal_Tape'!AD28</f>
        <v/>
      </c>
      <c r="Q27" s="22">
        <f>'2_Deal_Tape'!AE28</f>
        <v/>
      </c>
      <c r="R27" s="24">
        <f>'2_Deal_Tape'!I28</f>
        <v/>
      </c>
      <c r="S27" s="24">
        <f>'2_Deal_Tape'!W28</f>
        <v/>
      </c>
      <c r="T27" s="26">
        <f>'2_Deal_Tape'!X28</f>
        <v/>
      </c>
      <c r="U27" s="24">
        <f>'2_Deal_Tape'!V28</f>
        <v/>
      </c>
      <c r="V27" s="22">
        <f>D27+G27</f>
        <v/>
      </c>
      <c r="W27" s="24">
        <f>I27*(1+V27*L27)</f>
        <v/>
      </c>
      <c r="X27" s="27">
        <f>'1_GICS_Shock_Input'!$B$169+'1_GICS_Shock_Input'!$B$170/10000</f>
        <v/>
      </c>
      <c r="Y27" s="24">
        <f>J27*(X27+S27/10000)</f>
        <v/>
      </c>
      <c r="Z27" s="25">
        <f>J27/W27</f>
        <v/>
      </c>
      <c r="AA27" s="24">
        <f>O27*R27</f>
        <v/>
      </c>
      <c r="AB27" s="24">
        <f>P27*W27</f>
        <v/>
      </c>
      <c r="AC27" s="24">
        <f>Q27*J27</f>
        <v/>
      </c>
      <c r="AD27" s="25">
        <f>(W27-AA27-AB27)/(Y27+AC27)</f>
        <v/>
      </c>
      <c r="AE27" s="25">
        <f>K27*(1+E27)</f>
        <v/>
      </c>
      <c r="AF27" s="24">
        <f>W27*AE27</f>
        <v/>
      </c>
      <c r="AG27" s="22">
        <f>J27/AF27</f>
        <v/>
      </c>
      <c r="AH27" s="25">
        <f>M27-Z27</f>
        <v/>
      </c>
      <c r="AI27" s="28">
        <f>IF(Z27&gt;M27,"BREACH","")</f>
        <v/>
      </c>
      <c r="AJ27" s="25">
        <f>AD27-N27</f>
        <v/>
      </c>
      <c r="AK27" s="28">
        <f>IF(AD27&lt;N27,"BREACH","")</f>
        <v/>
      </c>
      <c r="AL27" s="24">
        <f>J27/M27</f>
        <v/>
      </c>
      <c r="AM27" s="22">
        <f>(W27-AL27)/W27</f>
        <v/>
      </c>
      <c r="AN27" s="24">
        <f>N27*(Y27+AC27)+AA27+AB27</f>
        <v/>
      </c>
      <c r="AO27" s="22">
        <f>(W27-AN27)/W27</f>
        <v/>
      </c>
      <c r="AP27" s="27">
        <f>-T27*(F27/10000)</f>
        <v/>
      </c>
      <c r="AQ27" s="24">
        <f>U27*AP27</f>
        <v/>
      </c>
    </row>
    <row r="28">
      <c r="A28" s="21">
        <f>'2_Deal_Tape'!A29</f>
        <v/>
      </c>
      <c r="B28" s="21">
        <f>'2_Deal_Tape'!C29</f>
        <v/>
      </c>
      <c r="C28" s="21">
        <f>'2_Deal_Tape'!F29</f>
        <v/>
      </c>
      <c r="D28" s="22">
        <f>INDEX('1_GICS_Shock_Input'!$E$4:$E$166,MATCH($B28,'1_GICS_Shock_Input'!$A$4:$A$166,0))</f>
        <v/>
      </c>
      <c r="E28" s="22">
        <f>INDEX('1_GICS_Shock_Input'!$F$4:$F$166,MATCH($B28,'1_GICS_Shock_Input'!$A$4:$A$166,0))</f>
        <v/>
      </c>
      <c r="F28" s="23">
        <f>INDEX('1_GICS_Shock_Input'!$G$4:$G$166,MATCH($B28,'1_GICS_Shock_Input'!$A$4:$A$166,0))</f>
        <v/>
      </c>
      <c r="G28" s="22">
        <f>INDEX('1_GICS_Shock_Input'!$H$4:$H$166,MATCH($B28,'1_GICS_Shock_Input'!$A$4:$A$166,0))</f>
        <v/>
      </c>
      <c r="H28" s="24">
        <f>'2_Deal_Tape'!K29</f>
        <v/>
      </c>
      <c r="I28" s="25">
        <f>'2_Deal_Tape'!L29</f>
        <v/>
      </c>
      <c r="J28" s="24">
        <f>'2_Deal_Tape'!M29</f>
        <v/>
      </c>
      <c r="K28" s="22">
        <f>'2_Deal_Tape'!Q29</f>
        <v/>
      </c>
      <c r="L28" s="25">
        <f>'2_Deal_Tape'!Z29</f>
        <v/>
      </c>
      <c r="M28" s="25">
        <f>'2_Deal_Tape'!AA29</f>
        <v/>
      </c>
      <c r="N28" s="24">
        <f>'2_Deal_Tape'!AB29</f>
        <v/>
      </c>
      <c r="O28" s="22">
        <f>'2_Deal_Tape'!AC29</f>
        <v/>
      </c>
      <c r="P28" s="22">
        <f>'2_Deal_Tape'!AD29</f>
        <v/>
      </c>
      <c r="Q28" s="22">
        <f>'2_Deal_Tape'!AE29</f>
        <v/>
      </c>
      <c r="R28" s="24">
        <f>'2_Deal_Tape'!I29</f>
        <v/>
      </c>
      <c r="S28" s="24">
        <f>'2_Deal_Tape'!W29</f>
        <v/>
      </c>
      <c r="T28" s="26">
        <f>'2_Deal_Tape'!X29</f>
        <v/>
      </c>
      <c r="U28" s="24">
        <f>'2_Deal_Tape'!V29</f>
        <v/>
      </c>
      <c r="V28" s="22">
        <f>D28+G28</f>
        <v/>
      </c>
      <c r="W28" s="24">
        <f>I28*(1+V28*L28)</f>
        <v/>
      </c>
      <c r="X28" s="27">
        <f>'1_GICS_Shock_Input'!$B$169+'1_GICS_Shock_Input'!$B$170/10000</f>
        <v/>
      </c>
      <c r="Y28" s="24">
        <f>J28*(X28+S28/10000)</f>
        <v/>
      </c>
      <c r="Z28" s="25">
        <f>J28/W28</f>
        <v/>
      </c>
      <c r="AA28" s="24">
        <f>O28*R28</f>
        <v/>
      </c>
      <c r="AB28" s="24">
        <f>P28*W28</f>
        <v/>
      </c>
      <c r="AC28" s="24">
        <f>Q28*J28</f>
        <v/>
      </c>
      <c r="AD28" s="25">
        <f>(W28-AA28-AB28)/(Y28+AC28)</f>
        <v/>
      </c>
      <c r="AE28" s="25">
        <f>K28*(1+E28)</f>
        <v/>
      </c>
      <c r="AF28" s="24">
        <f>W28*AE28</f>
        <v/>
      </c>
      <c r="AG28" s="22">
        <f>J28/AF28</f>
        <v/>
      </c>
      <c r="AH28" s="25">
        <f>M28-Z28</f>
        <v/>
      </c>
      <c r="AI28" s="28">
        <f>IF(Z28&gt;M28,"BREACH","")</f>
        <v/>
      </c>
      <c r="AJ28" s="25">
        <f>AD28-N28</f>
        <v/>
      </c>
      <c r="AK28" s="28">
        <f>IF(AD28&lt;N28,"BREACH","")</f>
        <v/>
      </c>
      <c r="AL28" s="24">
        <f>J28/M28</f>
        <v/>
      </c>
      <c r="AM28" s="22">
        <f>(W28-AL28)/W28</f>
        <v/>
      </c>
      <c r="AN28" s="24">
        <f>N28*(Y28+AC28)+AA28+AB28</f>
        <v/>
      </c>
      <c r="AO28" s="22">
        <f>(W28-AN28)/W28</f>
        <v/>
      </c>
      <c r="AP28" s="27">
        <f>-T28*(F28/10000)</f>
        <v/>
      </c>
      <c r="AQ28" s="24">
        <f>U28*AP28</f>
        <v/>
      </c>
    </row>
    <row r="29">
      <c r="A29" s="21">
        <f>'2_Deal_Tape'!A30</f>
        <v/>
      </c>
      <c r="B29" s="21">
        <f>'2_Deal_Tape'!C30</f>
        <v/>
      </c>
      <c r="C29" s="21">
        <f>'2_Deal_Tape'!F30</f>
        <v/>
      </c>
      <c r="D29" s="22">
        <f>INDEX('1_GICS_Shock_Input'!$E$4:$E$166,MATCH($B29,'1_GICS_Shock_Input'!$A$4:$A$166,0))</f>
        <v/>
      </c>
      <c r="E29" s="22">
        <f>INDEX('1_GICS_Shock_Input'!$F$4:$F$166,MATCH($B29,'1_GICS_Shock_Input'!$A$4:$A$166,0))</f>
        <v/>
      </c>
      <c r="F29" s="23">
        <f>INDEX('1_GICS_Shock_Input'!$G$4:$G$166,MATCH($B29,'1_GICS_Shock_Input'!$A$4:$A$166,0))</f>
        <v/>
      </c>
      <c r="G29" s="22">
        <f>INDEX('1_GICS_Shock_Input'!$H$4:$H$166,MATCH($B29,'1_GICS_Shock_Input'!$A$4:$A$166,0))</f>
        <v/>
      </c>
      <c r="H29" s="24">
        <f>'2_Deal_Tape'!K30</f>
        <v/>
      </c>
      <c r="I29" s="25">
        <f>'2_Deal_Tape'!L30</f>
        <v/>
      </c>
      <c r="J29" s="24">
        <f>'2_Deal_Tape'!M30</f>
        <v/>
      </c>
      <c r="K29" s="22">
        <f>'2_Deal_Tape'!Q30</f>
        <v/>
      </c>
      <c r="L29" s="25">
        <f>'2_Deal_Tape'!Z30</f>
        <v/>
      </c>
      <c r="M29" s="25">
        <f>'2_Deal_Tape'!AA30</f>
        <v/>
      </c>
      <c r="N29" s="24">
        <f>'2_Deal_Tape'!AB30</f>
        <v/>
      </c>
      <c r="O29" s="22">
        <f>'2_Deal_Tape'!AC30</f>
        <v/>
      </c>
      <c r="P29" s="22">
        <f>'2_Deal_Tape'!AD30</f>
        <v/>
      </c>
      <c r="Q29" s="22">
        <f>'2_Deal_Tape'!AE30</f>
        <v/>
      </c>
      <c r="R29" s="24">
        <f>'2_Deal_Tape'!I30</f>
        <v/>
      </c>
      <c r="S29" s="24">
        <f>'2_Deal_Tape'!W30</f>
        <v/>
      </c>
      <c r="T29" s="26">
        <f>'2_Deal_Tape'!X30</f>
        <v/>
      </c>
      <c r="U29" s="24">
        <f>'2_Deal_Tape'!V30</f>
        <v/>
      </c>
      <c r="V29" s="22">
        <f>D29+G29</f>
        <v/>
      </c>
      <c r="W29" s="24">
        <f>I29*(1+V29*L29)</f>
        <v/>
      </c>
      <c r="X29" s="27">
        <f>'1_GICS_Shock_Input'!$B$169+'1_GICS_Shock_Input'!$B$170/10000</f>
        <v/>
      </c>
      <c r="Y29" s="24">
        <f>J29*(X29+S29/10000)</f>
        <v/>
      </c>
      <c r="Z29" s="25">
        <f>J29/W29</f>
        <v/>
      </c>
      <c r="AA29" s="24">
        <f>O29*R29</f>
        <v/>
      </c>
      <c r="AB29" s="24">
        <f>P29*W29</f>
        <v/>
      </c>
      <c r="AC29" s="24">
        <f>Q29*J29</f>
        <v/>
      </c>
      <c r="AD29" s="25">
        <f>(W29-AA29-AB29)/(Y29+AC29)</f>
        <v/>
      </c>
      <c r="AE29" s="25">
        <f>K29*(1+E29)</f>
        <v/>
      </c>
      <c r="AF29" s="24">
        <f>W29*AE29</f>
        <v/>
      </c>
      <c r="AG29" s="22">
        <f>J29/AF29</f>
        <v/>
      </c>
      <c r="AH29" s="25">
        <f>M29-Z29</f>
        <v/>
      </c>
      <c r="AI29" s="28">
        <f>IF(Z29&gt;M29,"BREACH","")</f>
        <v/>
      </c>
      <c r="AJ29" s="25">
        <f>AD29-N29</f>
        <v/>
      </c>
      <c r="AK29" s="28">
        <f>IF(AD29&lt;N29,"BREACH","")</f>
        <v/>
      </c>
      <c r="AL29" s="24">
        <f>J29/M29</f>
        <v/>
      </c>
      <c r="AM29" s="22">
        <f>(W29-AL29)/W29</f>
        <v/>
      </c>
      <c r="AN29" s="24">
        <f>N29*(Y29+AC29)+AA29+AB29</f>
        <v/>
      </c>
      <c r="AO29" s="22">
        <f>(W29-AN29)/W29</f>
        <v/>
      </c>
      <c r="AP29" s="27">
        <f>-T29*(F29/10000)</f>
        <v/>
      </c>
      <c r="AQ29" s="24">
        <f>U29*AP29</f>
        <v/>
      </c>
    </row>
    <row r="30">
      <c r="A30" s="21">
        <f>'2_Deal_Tape'!A31</f>
        <v/>
      </c>
      <c r="B30" s="21">
        <f>'2_Deal_Tape'!C31</f>
        <v/>
      </c>
      <c r="C30" s="21">
        <f>'2_Deal_Tape'!F31</f>
        <v/>
      </c>
      <c r="D30" s="22">
        <f>INDEX('1_GICS_Shock_Input'!$E$4:$E$166,MATCH($B30,'1_GICS_Shock_Input'!$A$4:$A$166,0))</f>
        <v/>
      </c>
      <c r="E30" s="22">
        <f>INDEX('1_GICS_Shock_Input'!$F$4:$F$166,MATCH($B30,'1_GICS_Shock_Input'!$A$4:$A$166,0))</f>
        <v/>
      </c>
      <c r="F30" s="23">
        <f>INDEX('1_GICS_Shock_Input'!$G$4:$G$166,MATCH($B30,'1_GICS_Shock_Input'!$A$4:$A$166,0))</f>
        <v/>
      </c>
      <c r="G30" s="22">
        <f>INDEX('1_GICS_Shock_Input'!$H$4:$H$166,MATCH($B30,'1_GICS_Shock_Input'!$A$4:$A$166,0))</f>
        <v/>
      </c>
      <c r="H30" s="24">
        <f>'2_Deal_Tape'!K31</f>
        <v/>
      </c>
      <c r="I30" s="25">
        <f>'2_Deal_Tape'!L31</f>
        <v/>
      </c>
      <c r="J30" s="24">
        <f>'2_Deal_Tape'!M31</f>
        <v/>
      </c>
      <c r="K30" s="22">
        <f>'2_Deal_Tape'!Q31</f>
        <v/>
      </c>
      <c r="L30" s="25">
        <f>'2_Deal_Tape'!Z31</f>
        <v/>
      </c>
      <c r="M30" s="25">
        <f>'2_Deal_Tape'!AA31</f>
        <v/>
      </c>
      <c r="N30" s="24">
        <f>'2_Deal_Tape'!AB31</f>
        <v/>
      </c>
      <c r="O30" s="22">
        <f>'2_Deal_Tape'!AC31</f>
        <v/>
      </c>
      <c r="P30" s="22">
        <f>'2_Deal_Tape'!AD31</f>
        <v/>
      </c>
      <c r="Q30" s="22">
        <f>'2_Deal_Tape'!AE31</f>
        <v/>
      </c>
      <c r="R30" s="24">
        <f>'2_Deal_Tape'!I31</f>
        <v/>
      </c>
      <c r="S30" s="24">
        <f>'2_Deal_Tape'!W31</f>
        <v/>
      </c>
      <c r="T30" s="26">
        <f>'2_Deal_Tape'!X31</f>
        <v/>
      </c>
      <c r="U30" s="24">
        <f>'2_Deal_Tape'!V31</f>
        <v/>
      </c>
      <c r="V30" s="22">
        <f>D30+G30</f>
        <v/>
      </c>
      <c r="W30" s="24">
        <f>I30*(1+V30*L30)</f>
        <v/>
      </c>
      <c r="X30" s="27">
        <f>'1_GICS_Shock_Input'!$B$169+'1_GICS_Shock_Input'!$B$170/10000</f>
        <v/>
      </c>
      <c r="Y30" s="24">
        <f>J30*(X30+S30/10000)</f>
        <v/>
      </c>
      <c r="Z30" s="25">
        <f>J30/W30</f>
        <v/>
      </c>
      <c r="AA30" s="24">
        <f>O30*R30</f>
        <v/>
      </c>
      <c r="AB30" s="24">
        <f>P30*W30</f>
        <v/>
      </c>
      <c r="AC30" s="24">
        <f>Q30*J30</f>
        <v/>
      </c>
      <c r="AD30" s="25">
        <f>(W30-AA30-AB30)/(Y30+AC30)</f>
        <v/>
      </c>
      <c r="AE30" s="25">
        <f>K30*(1+E30)</f>
        <v/>
      </c>
      <c r="AF30" s="24">
        <f>W30*AE30</f>
        <v/>
      </c>
      <c r="AG30" s="22">
        <f>J30/AF30</f>
        <v/>
      </c>
      <c r="AH30" s="25">
        <f>M30-Z30</f>
        <v/>
      </c>
      <c r="AI30" s="28">
        <f>IF(Z30&gt;M30,"BREACH","")</f>
        <v/>
      </c>
      <c r="AJ30" s="25">
        <f>AD30-N30</f>
        <v/>
      </c>
      <c r="AK30" s="28">
        <f>IF(AD30&lt;N30,"BREACH","")</f>
        <v/>
      </c>
      <c r="AL30" s="24">
        <f>J30/M30</f>
        <v/>
      </c>
      <c r="AM30" s="22">
        <f>(W30-AL30)/W30</f>
        <v/>
      </c>
      <c r="AN30" s="24">
        <f>N30*(Y30+AC30)+AA30+AB30</f>
        <v/>
      </c>
      <c r="AO30" s="22">
        <f>(W30-AN30)/W30</f>
        <v/>
      </c>
      <c r="AP30" s="27">
        <f>-T30*(F30/10000)</f>
        <v/>
      </c>
      <c r="AQ30" s="24">
        <f>U30*AP30</f>
        <v/>
      </c>
    </row>
    <row r="31">
      <c r="A31" s="21">
        <f>'2_Deal_Tape'!A32</f>
        <v/>
      </c>
      <c r="B31" s="21">
        <f>'2_Deal_Tape'!C32</f>
        <v/>
      </c>
      <c r="C31" s="21">
        <f>'2_Deal_Tape'!F32</f>
        <v/>
      </c>
      <c r="D31" s="22">
        <f>INDEX('1_GICS_Shock_Input'!$E$4:$E$166,MATCH($B31,'1_GICS_Shock_Input'!$A$4:$A$166,0))</f>
        <v/>
      </c>
      <c r="E31" s="22">
        <f>INDEX('1_GICS_Shock_Input'!$F$4:$F$166,MATCH($B31,'1_GICS_Shock_Input'!$A$4:$A$166,0))</f>
        <v/>
      </c>
      <c r="F31" s="23">
        <f>INDEX('1_GICS_Shock_Input'!$G$4:$G$166,MATCH($B31,'1_GICS_Shock_Input'!$A$4:$A$166,0))</f>
        <v/>
      </c>
      <c r="G31" s="22">
        <f>INDEX('1_GICS_Shock_Input'!$H$4:$H$166,MATCH($B31,'1_GICS_Shock_Input'!$A$4:$A$166,0))</f>
        <v/>
      </c>
      <c r="H31" s="24">
        <f>'2_Deal_Tape'!K32</f>
        <v/>
      </c>
      <c r="I31" s="25">
        <f>'2_Deal_Tape'!L32</f>
        <v/>
      </c>
      <c r="J31" s="24">
        <f>'2_Deal_Tape'!M32</f>
        <v/>
      </c>
      <c r="K31" s="22">
        <f>'2_Deal_Tape'!Q32</f>
        <v/>
      </c>
      <c r="L31" s="25">
        <f>'2_Deal_Tape'!Z32</f>
        <v/>
      </c>
      <c r="M31" s="25">
        <f>'2_Deal_Tape'!AA32</f>
        <v/>
      </c>
      <c r="N31" s="24">
        <f>'2_Deal_Tape'!AB32</f>
        <v/>
      </c>
      <c r="O31" s="22">
        <f>'2_Deal_Tape'!AC32</f>
        <v/>
      </c>
      <c r="P31" s="22">
        <f>'2_Deal_Tape'!AD32</f>
        <v/>
      </c>
      <c r="Q31" s="22">
        <f>'2_Deal_Tape'!AE32</f>
        <v/>
      </c>
      <c r="R31" s="24">
        <f>'2_Deal_Tape'!I32</f>
        <v/>
      </c>
      <c r="S31" s="24">
        <f>'2_Deal_Tape'!W32</f>
        <v/>
      </c>
      <c r="T31" s="26">
        <f>'2_Deal_Tape'!X32</f>
        <v/>
      </c>
      <c r="U31" s="24">
        <f>'2_Deal_Tape'!V32</f>
        <v/>
      </c>
      <c r="V31" s="22">
        <f>D31+G31</f>
        <v/>
      </c>
      <c r="W31" s="24">
        <f>I31*(1+V31*L31)</f>
        <v/>
      </c>
      <c r="X31" s="27">
        <f>'1_GICS_Shock_Input'!$B$169+'1_GICS_Shock_Input'!$B$170/10000</f>
        <v/>
      </c>
      <c r="Y31" s="24">
        <f>J31*(X31+S31/10000)</f>
        <v/>
      </c>
      <c r="Z31" s="25">
        <f>J31/W31</f>
        <v/>
      </c>
      <c r="AA31" s="24">
        <f>O31*R31</f>
        <v/>
      </c>
      <c r="AB31" s="24">
        <f>P31*W31</f>
        <v/>
      </c>
      <c r="AC31" s="24">
        <f>Q31*J31</f>
        <v/>
      </c>
      <c r="AD31" s="25">
        <f>(W31-AA31-AB31)/(Y31+AC31)</f>
        <v/>
      </c>
      <c r="AE31" s="25">
        <f>K31*(1+E31)</f>
        <v/>
      </c>
      <c r="AF31" s="24">
        <f>W31*AE31</f>
        <v/>
      </c>
      <c r="AG31" s="22">
        <f>J31/AF31</f>
        <v/>
      </c>
      <c r="AH31" s="25">
        <f>M31-Z31</f>
        <v/>
      </c>
      <c r="AI31" s="28">
        <f>IF(Z31&gt;M31,"BREACH","")</f>
        <v/>
      </c>
      <c r="AJ31" s="25">
        <f>AD31-N31</f>
        <v/>
      </c>
      <c r="AK31" s="28">
        <f>IF(AD31&lt;N31,"BREACH","")</f>
        <v/>
      </c>
      <c r="AL31" s="24">
        <f>J31/M31</f>
        <v/>
      </c>
      <c r="AM31" s="22">
        <f>(W31-AL31)/W31</f>
        <v/>
      </c>
      <c r="AN31" s="24">
        <f>N31*(Y31+AC31)+AA31+AB31</f>
        <v/>
      </c>
      <c r="AO31" s="22">
        <f>(W31-AN31)/W31</f>
        <v/>
      </c>
      <c r="AP31" s="27">
        <f>-T31*(F31/10000)</f>
        <v/>
      </c>
      <c r="AQ31" s="24">
        <f>U31*AP31</f>
        <v/>
      </c>
    </row>
    <row r="32">
      <c r="A32" s="21">
        <f>'2_Deal_Tape'!A33</f>
        <v/>
      </c>
      <c r="B32" s="21">
        <f>'2_Deal_Tape'!C33</f>
        <v/>
      </c>
      <c r="C32" s="21">
        <f>'2_Deal_Tape'!F33</f>
        <v/>
      </c>
      <c r="D32" s="22">
        <f>INDEX('1_GICS_Shock_Input'!$E$4:$E$166,MATCH($B32,'1_GICS_Shock_Input'!$A$4:$A$166,0))</f>
        <v/>
      </c>
      <c r="E32" s="22">
        <f>INDEX('1_GICS_Shock_Input'!$F$4:$F$166,MATCH($B32,'1_GICS_Shock_Input'!$A$4:$A$166,0))</f>
        <v/>
      </c>
      <c r="F32" s="23">
        <f>INDEX('1_GICS_Shock_Input'!$G$4:$G$166,MATCH($B32,'1_GICS_Shock_Input'!$A$4:$A$166,0))</f>
        <v/>
      </c>
      <c r="G32" s="22">
        <f>INDEX('1_GICS_Shock_Input'!$H$4:$H$166,MATCH($B32,'1_GICS_Shock_Input'!$A$4:$A$166,0))</f>
        <v/>
      </c>
      <c r="H32" s="24">
        <f>'2_Deal_Tape'!K33</f>
        <v/>
      </c>
      <c r="I32" s="25">
        <f>'2_Deal_Tape'!L33</f>
        <v/>
      </c>
      <c r="J32" s="24">
        <f>'2_Deal_Tape'!M33</f>
        <v/>
      </c>
      <c r="K32" s="22">
        <f>'2_Deal_Tape'!Q33</f>
        <v/>
      </c>
      <c r="L32" s="25">
        <f>'2_Deal_Tape'!Z33</f>
        <v/>
      </c>
      <c r="M32" s="25">
        <f>'2_Deal_Tape'!AA33</f>
        <v/>
      </c>
      <c r="N32" s="24">
        <f>'2_Deal_Tape'!AB33</f>
        <v/>
      </c>
      <c r="O32" s="22">
        <f>'2_Deal_Tape'!AC33</f>
        <v/>
      </c>
      <c r="P32" s="22">
        <f>'2_Deal_Tape'!AD33</f>
        <v/>
      </c>
      <c r="Q32" s="22">
        <f>'2_Deal_Tape'!AE33</f>
        <v/>
      </c>
      <c r="R32" s="24">
        <f>'2_Deal_Tape'!I33</f>
        <v/>
      </c>
      <c r="S32" s="24">
        <f>'2_Deal_Tape'!W33</f>
        <v/>
      </c>
      <c r="T32" s="26">
        <f>'2_Deal_Tape'!X33</f>
        <v/>
      </c>
      <c r="U32" s="24">
        <f>'2_Deal_Tape'!V33</f>
        <v/>
      </c>
      <c r="V32" s="22">
        <f>D32+G32</f>
        <v/>
      </c>
      <c r="W32" s="24">
        <f>I32*(1+V32*L32)</f>
        <v/>
      </c>
      <c r="X32" s="27">
        <f>'1_GICS_Shock_Input'!$B$169+'1_GICS_Shock_Input'!$B$170/10000</f>
        <v/>
      </c>
      <c r="Y32" s="24">
        <f>J32*(X32+S32/10000)</f>
        <v/>
      </c>
      <c r="Z32" s="25">
        <f>J32/W32</f>
        <v/>
      </c>
      <c r="AA32" s="24">
        <f>O32*R32</f>
        <v/>
      </c>
      <c r="AB32" s="24">
        <f>P32*W32</f>
        <v/>
      </c>
      <c r="AC32" s="24">
        <f>Q32*J32</f>
        <v/>
      </c>
      <c r="AD32" s="25">
        <f>(W32-AA32-AB32)/(Y32+AC32)</f>
        <v/>
      </c>
      <c r="AE32" s="25">
        <f>K32*(1+E32)</f>
        <v/>
      </c>
      <c r="AF32" s="24">
        <f>W32*AE32</f>
        <v/>
      </c>
      <c r="AG32" s="22">
        <f>J32/AF32</f>
        <v/>
      </c>
      <c r="AH32" s="25">
        <f>M32-Z32</f>
        <v/>
      </c>
      <c r="AI32" s="28">
        <f>IF(Z32&gt;M32,"BREACH","")</f>
        <v/>
      </c>
      <c r="AJ32" s="25">
        <f>AD32-N32</f>
        <v/>
      </c>
      <c r="AK32" s="28">
        <f>IF(AD32&lt;N32,"BREACH","")</f>
        <v/>
      </c>
      <c r="AL32" s="24">
        <f>J32/M32</f>
        <v/>
      </c>
      <c r="AM32" s="22">
        <f>(W32-AL32)/W32</f>
        <v/>
      </c>
      <c r="AN32" s="24">
        <f>N32*(Y32+AC32)+AA32+AB32</f>
        <v/>
      </c>
      <c r="AO32" s="22">
        <f>(W32-AN32)/W32</f>
        <v/>
      </c>
      <c r="AP32" s="27">
        <f>-T32*(F32/10000)</f>
        <v/>
      </c>
      <c r="AQ32" s="24">
        <f>U32*AP32</f>
        <v/>
      </c>
    </row>
  </sheetData>
  <mergeCells count="1">
    <mergeCell ref="A1:A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 outlineLevelCol="0"/>
  <cols>
    <col width="42" customWidth="1" min="1" max="1"/>
    <col width="20" customWidth="1" min="2" max="2"/>
  </cols>
  <sheetData>
    <row r="1">
      <c r="A1" s="1" t="inlineStr">
        <is>
          <t>STEP 4 — Portfolio roll-up, live formulas over 3_Scenario_Engine.</t>
        </is>
      </c>
    </row>
    <row r="3">
      <c r="A3" s="29" t="inlineStr">
        <is>
          <t>PORTFOLIO SIZE</t>
        </is>
      </c>
    </row>
    <row r="4">
      <c r="A4" s="30" t="inlineStr">
        <is>
          <t>Number of deals</t>
        </is>
      </c>
      <c r="B4" s="23">
        <f>COUNTA('3_Scenario_Engine'!$A$3:$A$32)</f>
        <v/>
      </c>
    </row>
    <row r="5">
      <c r="A5" s="30" t="inlineStr">
        <is>
          <t>Total invested at cost ($m)</t>
        </is>
      </c>
      <c r="B5" s="24">
        <f>SUM('3_Scenario_Engine'!$U$3:$U$32)</f>
        <v/>
      </c>
    </row>
    <row r="7">
      <c r="A7" s="29" t="inlineStr">
        <is>
          <t>STRESSED PORTFOLIO METRICS (invested-amount-weighted)</t>
        </is>
      </c>
    </row>
    <row r="8">
      <c r="A8" s="30" t="inlineStr">
        <is>
          <t>Weighted-average stressed leverage (net, x)</t>
        </is>
      </c>
      <c r="B8" s="25">
        <f>SUMPRODUCT('3_Scenario_Engine'!$U$3:$U$32,'3_Scenario_Engine'!$Z$3:$Z$32)/SUM('3_Scenario_Engine'!$U$3:$U$32)</f>
        <v/>
      </c>
    </row>
    <row r="9">
      <c r="A9" s="30" t="inlineStr">
        <is>
          <t>Weighted-average stressed LTV %</t>
        </is>
      </c>
      <c r="B9" s="22">
        <f>SUMPRODUCT('3_Scenario_Engine'!$U$3:$U$32,'3_Scenario_Engine'!$AG$3:$AG$32)/SUM('3_Scenario_Engine'!$U$3:$U$32)</f>
        <v/>
      </c>
    </row>
    <row r="10">
      <c r="A10" s="30" t="inlineStr">
        <is>
          <t>Weighted-average Leverage Flatline %</t>
        </is>
      </c>
      <c r="B10" s="22">
        <f>SUMPRODUCT('3_Scenario_Engine'!$U$3:$U$32,'3_Scenario_Engine'!$AM$3:$AM$32)/SUM('3_Scenario_Engine'!$U$3:$U$32)</f>
        <v/>
      </c>
    </row>
    <row r="11">
      <c r="A11" s="30" t="inlineStr">
        <is>
          <t>Weighted-average FCCR Flatline %</t>
        </is>
      </c>
      <c r="B11" s="22">
        <f>SUMPRODUCT('3_Scenario_Engine'!$U$3:$U$32,'3_Scenario_Engine'!$AO$3:$AO$32)/SUM('3_Scenario_Engine'!$U$3:$U$32)</f>
        <v/>
      </c>
    </row>
    <row r="13">
      <c r="A13" s="29" t="inlineStr">
        <is>
          <t>COVENANT BREACHES (post-scenario)</t>
        </is>
      </c>
    </row>
    <row r="14">
      <c r="A14" s="30" t="inlineStr">
        <is>
          <t>Deals breaching Leverage covenant</t>
        </is>
      </c>
      <c r="B14" s="23">
        <f>COUNTIF('3_Scenario_Engine'!$AI$3:$AI$32,"BREACH")</f>
        <v/>
      </c>
    </row>
    <row r="15">
      <c r="A15" s="30" t="inlineStr">
        <is>
          <t>Deals breaching FCCR covenant</t>
        </is>
      </c>
      <c r="B15" s="23">
        <f>COUNTIF('3_Scenario_Engine'!$AK$3:$AK$32,"BREACH")</f>
        <v/>
      </c>
    </row>
    <row r="16">
      <c r="A16" s="30" t="inlineStr">
        <is>
          <t>Deals breaching either covenant</t>
        </is>
      </c>
      <c r="B16" s="23">
        <f>SUMPRODUCT((('3_Scenario_Engine'!$AI$3:$AI$32&lt;&gt;"")+('3_Scenario_Engine'!$AK$3:$AK$32&lt;&gt;"")&gt;0)*1)</f>
        <v/>
      </c>
    </row>
    <row r="17">
      <c r="A17" s="30" t="inlineStr">
        <is>
          <t>Invested amount in a covenant breach ($m)</t>
        </is>
      </c>
      <c r="B17" s="24">
        <f>SUMPRODUCT((('3_Scenario_Engine'!$AI$3:$AI$32&lt;&gt;"")+('3_Scenario_Engine'!$AK$3:$AK$32&lt;&gt;"")&gt;0)*'3_Scenario_Engine'!$U$3:$U$32)</f>
        <v/>
      </c>
    </row>
    <row r="18">
      <c r="A18" s="30" t="inlineStr">
        <is>
          <t>% of invested amount in a covenant breach</t>
        </is>
      </c>
      <c r="B18" s="22">
        <f>SUMPRODUCT((('3_Scenario_Engine'!$AI$3:$AI$32&lt;&gt;"")+('3_Scenario_Engine'!$AK$3:$AK$32&lt;&gt;"")&gt;0)*'3_Scenario_Engine'!$U$3:$U$32)/SUM('3_Scenario_Engine'!$U$3:$U$32)</f>
        <v/>
      </c>
    </row>
    <row r="20">
      <c r="A20" s="29" t="inlineStr">
        <is>
          <t>MARK-TO-MARKET (Engine A: spread duration x spread widening)</t>
        </is>
      </c>
    </row>
    <row r="21">
      <c r="A21" s="30" t="inlineStr">
        <is>
          <t>Total MTM impact ($m)</t>
        </is>
      </c>
      <c r="B21" s="24">
        <f>SUM('3_Scenario_Engine'!$AQ$3:$AQ$32)</f>
        <v/>
      </c>
    </row>
    <row r="22">
      <c r="A22" s="30" t="inlineStr">
        <is>
          <t>Total MTM impact (% of invested)</t>
        </is>
      </c>
      <c r="B22" s="22">
        <f>SUM('3_Scenario_Engine'!$AQ$3:$AQ$32)/SUM('3_Scenario_Engine'!$U$3:$U$32)</f>
        <v/>
      </c>
    </row>
    <row r="24">
      <c r="A24" s="29" t="inlineStr">
        <is>
          <t>FRAGILITY — invested amount within a given Flatline band of EITHER covenant</t>
        </is>
      </c>
    </row>
    <row r="25">
      <c r="A25" s="30" t="inlineStr">
        <is>
          <t>Within 0% of breach (already breached)</t>
        </is>
      </c>
      <c r="B25" s="22">
        <f>SUMPRODUCT((MIN(1,('3_Scenario_Engine'!$AM$3:$AM$32&lt;0)+('3_Scenario_Engine'!$AO$3:$AO$32&lt;0))&gt;0)*'3_Scenario_Engine'!$U$3:$U$32)/SUM('3_Scenario_Engine'!$U$3:$U$32)</f>
        <v/>
      </c>
    </row>
    <row r="26">
      <c r="A26" s="30" t="inlineStr">
        <is>
          <t>Within 10% Flatline of breach</t>
        </is>
      </c>
      <c r="B26" s="22">
        <f>SUMPRODUCT((MIN(1,(('3_Scenario_Engine'!$AM$3:$AM$32&gt;=0)*('3_Scenario_Engine'!$AM$3:$AM$32&lt;0.10))+(('3_Scenario_Engine'!$AO$3:$AO$32&gt;=0)*('3_Scenario_Engine'!$AO$3:$AO$32&lt;0.10)))&gt;0)*'3_Scenario_Engine'!$U$3:$U$32)/SUM('3_Scenario_Engine'!$U$3:$U$32)</f>
        <v/>
      </c>
    </row>
    <row r="27">
      <c r="A27" s="30" t="inlineStr">
        <is>
          <t>Within 20% Flatline of breach</t>
        </is>
      </c>
      <c r="B27" s="22">
        <f>SUMPRODUCT((MIN(1,(('3_Scenario_Engine'!$AM$3:$AM$32&gt;=0)*('3_Scenario_Engine'!$AM$3:$AM$32&lt;0.20))+(('3_Scenario_Engine'!$AO$3:$AO$32&gt;=0)*('3_Scenario_Engine'!$AO$3:$AO$32&lt;0.20)))&gt;0)*'3_Scenario_Engine'!$U$3:$U$32)/SUM('3_Scenario_Engine'!$U$3:$U$32)</f>
        <v/>
      </c>
    </row>
    <row r="29">
      <c r="A29" s="31" t="inlineStr">
        <is>
          <t>The C5 'distance-to-covenant surface' from PC_Stress_Framework.html Section 8/11 — the fragility bands above are that standing metric applied to this tape.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1"/>
  <sheetViews>
    <sheetView showGridLines="0" workbookViewId="0">
      <selection activeCell="A1" sqref="A1"/>
    </sheetView>
  </sheetViews>
  <sheetFormatPr baseColWidth="8" defaultRowHeight="15" outlineLevelCol="0"/>
  <cols>
    <col width="112" customWidth="1" min="1" max="1"/>
  </cols>
  <sheetData>
    <row r="1">
      <c r="A1" s="1" t="inlineStr">
        <is>
          <t>CREDIT RISK BRIDGE — SWES SHOCKS TO PD / LGD / EL AND CREDIT-DERIVED SPREAD</t>
        </is>
      </c>
    </row>
    <row r="2">
      <c r="A2" s="2" t="inlineStr">
        <is>
          <t>Bottom-up (PD/LGD/EL) and top-down (spread widening, MTM) transmission of the same SWES scenario already in 1_GICS_Shock_Input / 3_Scenario_Engine. Beta and spread inputs are real-UK-data-ready (dummy for now), no Damodaran.</t>
        </is>
      </c>
    </row>
    <row r="4">
      <c r="A4" s="3" t="inlineStr"/>
    </row>
    <row r="5">
      <c r="A5" s="4" t="inlineStr">
        <is>
          <t>WHY MERTON / VASICEK, NOT A BESPOKE MODEL</t>
        </is>
      </c>
    </row>
    <row r="6">
      <c r="A6" s="3" t="inlineStr">
        <is>
          <t>Vasicek's (1987) single-factor model is the large-portfolio limit of Merton's (1974) firm-level structural model, and</t>
        </is>
      </c>
    </row>
    <row r="7">
      <c r="A7" s="3" t="inlineStr">
        <is>
          <t>it is the literal mathematical basis of the Basel II/III IRB capital formula (Gordy 2003, Asymptotic Single Risk Factor).</t>
        </is>
      </c>
    </row>
    <row r="8">
      <c r="A8" s="3" t="inlineStr">
        <is>
          <t>Using the firm-level Merton form here — one systematic factor (the SWES scenario) moving a distance-to-default —</t>
        </is>
      </c>
    </row>
    <row r="9">
      <c r="A9" s="3" t="inlineStr">
        <is>
          <t>means this bridge is built on the same math a PRA/EBA/Basel model validator already recognises. It also needs</t>
        </is>
      </c>
    </row>
    <row r="10">
      <c r="A10" s="3" t="inlineStr">
        <is>
          <t>almost no new inputs: Stressed EV is already computed in 3_Scenario_Engine (column AF) by the existing SWES</t>
        </is>
      </c>
    </row>
    <row r="11">
      <c r="A11" s="3" t="inlineStr">
        <is>
          <t>chain — that number IS the Merton 'asset value under stress'. No separate shock-transmission step is invented.</t>
        </is>
      </c>
    </row>
    <row r="12">
      <c r="A12" s="3" t="inlineStr"/>
    </row>
    <row r="13">
      <c r="A13" s="4" t="inlineStr">
        <is>
          <t>BOTTOM-UP CHAIN</t>
        </is>
      </c>
    </row>
    <row r="14">
      <c r="A14" s="3" t="inlineStr">
        <is>
          <t xml:space="preserve">  Distance to Default:  DD = [ln(V/F) + (r - sigma^2/2)T] / (sigma x sqrt(T))         PD = Phi(-DD)</t>
        </is>
      </c>
    </row>
    <row r="15">
      <c r="A15" s="3" t="inlineStr">
        <is>
          <t xml:space="preserve">  V = Enterprise Value — Current EV (baseline) or Stressed EV (post-scenario), both already computed elsewhere</t>
        </is>
      </c>
    </row>
    <row r="16">
      <c r="A16" s="3" t="inlineStr">
        <is>
          <t xml:space="preserve">      (2_Deal_Tape!S, 3_Scenario_Engine!AF). F = Net Debt (3_Scenario_Engine!J) — same field LTV already uses.</t>
        </is>
      </c>
    </row>
    <row r="17">
      <c r="A17" s="3" t="inlineStr">
        <is>
          <t xml:space="preserve">  sigma = asset volatility, per GICS sub-industry — NO LONGER DAMODARAN (removed: US-listed-company data, the</t>
        </is>
      </c>
    </row>
    <row r="18">
      <c r="A18" s="3" t="inlineStr">
        <is>
          <t xml:space="preserve">      same objection raised and fixed in UK_Shock_Propagation_RealData_Only.xlsx). Now: sigma = the sub-industry's</t>
        </is>
      </c>
    </row>
    <row r="19">
      <c r="A19" s="3" t="inlineStr">
        <is>
          <t xml:space="preserve">      own REAL UK unlevered beta (DUMMY placeholder for now, 7_UK_Beta_Input) x a UK market volatility assumption</t>
        </is>
      </c>
    </row>
    <row r="20">
      <c r="A20" s="3" t="inlineStr">
        <is>
          <t xml:space="preserve">      (6_Credit_Bridge_Assumptions) — the standard sigma_asset ~= beta_unlevered x sigma_market shortcut, used</t>
        </is>
      </c>
    </row>
    <row r="21">
      <c r="A21" s="3" t="inlineStr">
        <is>
          <t xml:space="preserve">      when full asset-return covariance data isn't available. Unlevered, not adjusted/levered, for the same reason</t>
        </is>
      </c>
    </row>
    <row r="22">
      <c r="A22" s="3" t="inlineStr">
        <is>
          <t xml:space="preserve">      argued throughout this session: revenue and EV/EBITDA are pre-financing metrics, so the differentiator must</t>
        </is>
      </c>
    </row>
    <row r="23">
      <c r="A23" s="3" t="inlineStr">
        <is>
          <t xml:space="preserve">      isolate business risk from each company's own financing choice, not let leverage contaminate the comparison.</t>
        </is>
      </c>
    </row>
    <row r="24">
      <c r="A24" s="3" t="inlineStr">
        <is>
          <t xml:space="preserve">      See 9_GICS_Asset_Vol for the fallback chain (Sub-Industry -&gt; Industry -&gt; Industry Group -&gt; Sector).</t>
        </is>
      </c>
    </row>
    <row r="25">
      <c r="A25" s="3" t="inlineStr">
        <is>
          <t xml:space="preserve">  T = 1 year (standard PRA/EBA/CCAR stress horizon). r = risk-free rate (matches 1_GICS_Shock_Input). DISCLOSED</t>
        </is>
      </c>
    </row>
    <row r="26">
      <c r="A26" s="3" t="inlineStr">
        <is>
          <t xml:space="preserve">      SIMPLIFICATION: asset drift mu is set equal to r because the true physical-measure drift is unobservable —</t>
        </is>
      </c>
    </row>
    <row r="27">
      <c r="A27" s="3" t="inlineStr">
        <is>
          <t xml:space="preserve">      a standard practitioner shortcut, mechanically more conservative than a physical-measure estimate.</t>
        </is>
      </c>
    </row>
    <row r="28">
      <c r="A28" s="3" t="inlineStr"/>
    </row>
    <row r="29">
      <c r="A29" s="3" t="inlineStr">
        <is>
          <t xml:space="preserve">  LGD = collateral-coverage function of Stressed LTV (3_Scenario_Engine!AG, already computed):</t>
        </is>
      </c>
    </row>
    <row r="30">
      <c r="A30" s="3" t="inlineStr">
        <is>
          <t xml:space="preserve">      LGD = LGD_floor                      if Stressed LTV &lt;= 1  (fully collateralised)</t>
        </is>
      </c>
    </row>
    <row r="31">
      <c r="A31" s="3" t="inlineStr">
        <is>
          <t xml:space="preserve">      LGD = clamp(1 - 1/LTV, floor, ceiling)  if Stressed LTV &gt; 1  (shortfall = loss)</t>
        </is>
      </c>
    </row>
    <row r="32">
      <c r="A32" s="3" t="inlineStr">
        <is>
          <t xml:space="preserve">  LGD_floor = 30% — consistent with widely cited senior secured leveraged-loan recovery studies (Moody's Ultimate</t>
        </is>
      </c>
    </row>
    <row r="33">
      <c r="A33" s="3" t="inlineStr">
        <is>
          <t xml:space="preserve">  Recovery Database / S&amp;P LCD show ~65-70% average recovery for senior secured, i.e. ~30-35% LGD).</t>
        </is>
      </c>
    </row>
    <row r="34">
      <c r="A34" s="3" t="inlineStr"/>
    </row>
    <row r="35">
      <c r="A35" s="3" t="inlineStr">
        <is>
          <t xml:space="preserve">  EL = PD x LGD x EAD (EAD = Invested Amount at cost). Portfolio EL = sum of deal-level EL, computed baseline</t>
        </is>
      </c>
    </row>
    <row r="36">
      <c r="A36" s="3" t="inlineStr">
        <is>
          <t xml:space="preserve">  (current, pre-scenario state) and stressed (post-scenario), so Delta-EL isolates the scenario's own impact.</t>
        </is>
      </c>
    </row>
    <row r="37">
      <c r="A37" s="3" t="inlineStr"/>
    </row>
    <row r="38">
      <c r="A38" s="4" t="inlineStr">
        <is>
          <t>CROSS-CHECK — IS THE MERTON PD SANE?</t>
        </is>
      </c>
    </row>
    <row r="39">
      <c r="A39" s="3" t="inlineStr">
        <is>
          <t>Each deal's STRESSED leverage is bucketed against a standard leveraged-finance rating grid (&lt;4.0x~BB, 4-6x~B,</t>
        </is>
      </c>
    </row>
    <row r="40">
      <c r="A40" s="3" t="inlineStr">
        <is>
          <t xml:space="preserve">  &gt;6x~CCC/C) and compared to that rating's REAL S&amp;P Global long-run 1-year average default rate (S&amp;P Global,</t>
        </is>
      </c>
    </row>
    <row r="41">
      <c r="A41" s="3" t="inlineStr">
        <is>
          <t xml:space="preserve">  'Default, Transition, and Recovery' Annual Global Corporate Default Study, 1981-2009 period averages: BB 0.97%,</t>
        </is>
      </c>
    </row>
    <row r="42">
      <c r="A42" s="3" t="inlineStr">
        <is>
          <t xml:space="preserve">  B 4.93%, CCC/C 27.98%). A Merton PD wildly outside its bucket's historical range is a flag worth investigating,</t>
        </is>
      </c>
    </row>
    <row r="43">
      <c r="A43" s="3" t="inlineStr">
        <is>
          <t xml:space="preserve">  not a reason to distrust the whole model — this is exactly the external-benchmarking step a model validator</t>
        </is>
      </c>
    </row>
    <row r="44">
      <c r="A44" s="3" t="inlineStr">
        <is>
          <t xml:space="preserve">  (per EBA GL/2017/16 on PD/LGD estimation) would expect to see built in, not bolted on after the fact.</t>
        </is>
      </c>
    </row>
    <row r="45">
      <c r="A45" s="3" t="inlineStr"/>
    </row>
    <row r="46">
      <c r="A46" s="4" t="inlineStr">
        <is>
          <t>TOP-DOWN CHAIN — reuses the existing spread-duration MTM machinery, now THREE bases</t>
        </is>
      </c>
    </row>
    <row r="47">
      <c r="A47" s="3" t="inlineStr">
        <is>
          <t xml:space="preserve">  (1) Credit-derived: EL-implied spread (Delta-PD x LGD x 10,000) x a Risk Premium Multiplier (judgement, by</t>
        </is>
      </c>
    </row>
    <row r="48">
      <c r="A48" s="3" t="inlineStr">
        <is>
          <t xml:space="preserve">      rating band — corporate-spread-decomposition literature, e.g. Elton/Gruber/Agrawal/Mann 2001: market</t>
        </is>
      </c>
    </row>
    <row r="49">
      <c r="A49" s="3" t="inlineStr">
        <is>
          <t xml:space="preserve">      spreads exceed actuarial EL, gap narrower for lower-quality/higher-PD credits: BB 2.5x, B 1.8x, CCC/C 1.2x).</t>
        </is>
      </c>
    </row>
    <row r="50">
      <c r="A50" s="3" t="inlineStr">
        <is>
          <t xml:space="preserve">  (2) Exogenous: the original GICS-level Spread Widening input on 1_GICS_Shock_Input, unchanged, flat per</t>
        </is>
      </c>
    </row>
    <row r="51">
      <c r="A51" s="3" t="inlineStr">
        <is>
          <t xml:space="preserve">      sub-industry as originally supplied.</t>
        </is>
      </c>
    </row>
    <row r="52">
      <c r="A52" s="3" t="inlineStr">
        <is>
          <t xml:space="preserve">  (3) NEW — Spread-cascade-adjusted: the SAME exogenous input, rescaled by a REAL (dummy for now) RelSpread</t>
        </is>
      </c>
    </row>
    <row r="53">
      <c r="A53" s="3" t="inlineStr">
        <is>
          <t xml:space="preserve">      ratio — this deal's GICS position's own issuer default-risk spread relative to its sector, cascaded through</t>
        </is>
      </c>
    </row>
    <row r="54">
      <c r="A54" s="3" t="inlineStr">
        <is>
          <t xml:space="preserve">      Industry and Industry Group exactly like the beta cascade, using 8_UK_Spread_Input. Differentiates an</t>
        </is>
      </c>
    </row>
    <row r="55">
      <c r="A55" s="3" t="inlineStr">
        <is>
          <t xml:space="preserve">      otherwise-flat exogenous assumption using real market credit-spread data instead of leaving it uniform.</t>
        </is>
      </c>
    </row>
    <row r="56">
      <c r="A56" s="3" t="inlineStr">
        <is>
          <t xml:space="preserve">  All three feed the SAME price-impact formula: MTM = Invested x (-SpreadDuration x Spread/10,000).</t>
        </is>
      </c>
    </row>
    <row r="57">
      <c r="A57" s="3" t="inlineStr"/>
    </row>
    <row r="58">
      <c r="A58" s="4" t="inlineStr">
        <is>
          <t>RECONCILIATION — why bottom-up and top-down should NOT match exactly</t>
        </is>
      </c>
    </row>
    <row r="59">
      <c r="A59" s="3" t="inlineStr">
        <is>
          <t>Bottom-up EL is a fundamental / hold-to-maturity / accounting-style loss view. Top-down MTM is a mark-to-market</t>
        </is>
      </c>
    </row>
    <row r="60">
      <c r="A60" s="3" t="inlineStr">
        <is>
          <t>view, which prices risk premium and liquidity on top of expected loss — it will typically show a LARGER impact.</t>
        </is>
      </c>
    </row>
    <row r="61">
      <c r="A61" s="3" t="inlineStr">
        <is>
          <t>This divergence is not an error to reconcile away; it is the same PIT-EL-vs-market-spread duality the PRA</t>
        </is>
      </c>
    </row>
    <row r="62">
      <c r="A62" s="3" t="inlineStr">
        <is>
          <t>explicitly wants firms to understand under SWES. 12_Reconciliation shows all four methods side by side, ratios</t>
        </is>
      </c>
    </row>
    <row r="63">
      <c r="A63" s="3" t="inlineStr">
        <is>
          <t>to bottom-up, a sensitivity table across Risk Premium Multiplier values, and the rating cross-check.</t>
        </is>
      </c>
    </row>
    <row r="64">
      <c r="A64" s="3" t="inlineStr"/>
    </row>
    <row r="65">
      <c r="A65" s="4" t="inlineStr">
        <is>
          <t>KNOWN MODEL LIMITATIONS (disclosed, not discovered later by a validator)</t>
        </is>
      </c>
    </row>
    <row r="66">
      <c r="A66" s="3" t="inlineStr">
        <is>
          <t>Single-period Merton is intentionally decisive once Stressed EV falls below Net Debt (V&lt;F): PD jumps toward ~100%,</t>
        </is>
      </c>
    </row>
    <row r="67">
      <c r="A67" s="3" t="inlineStr">
        <is>
          <t>especially for LOW asset-volatility names — correct model behaviour, not an error, but a PD near 100% should be</t>
        </is>
      </c>
    </row>
    <row r="68">
      <c r="A68" s="3" t="inlineStr">
        <is>
          <t>read as 'Merton-implied insolvency under this scenario', not a precise probability estimate — exactly why the</t>
        </is>
      </c>
    </row>
    <row r="69">
      <c r="A69" s="3" t="inlineStr">
        <is>
          <t>S&amp;P rating cross-check sits alongside it. Merton/KMV-style models are also less reliable for FINANCIALS names</t>
        </is>
      </c>
    </row>
    <row r="70">
      <c r="A70" s="3" t="inlineStr">
        <is>
          <t>specifically (banks, consumer finance) — their liabilities aren't structured like industrial corporate debt.</t>
        </is>
      </c>
    </row>
    <row r="71">
      <c r="A71" s="3" t="inlineStr">
        <is>
          <t>All beta and spread values are DUMMY placeholders until real UK data is pasted into 7_UK_Beta_Input and</t>
        </is>
      </c>
    </row>
    <row r="72">
      <c r="A72" s="3" t="inlineStr">
        <is>
          <t>8_UK_Spread_Input — every number downstream of them (sigma, PD, LGD, EL, spread-cascade MTM) is provisional</t>
        </is>
      </c>
    </row>
    <row r="73">
      <c r="A73" s="3" t="inlineStr">
        <is>
          <t>until then, by design, so the formula chain can be reviewed and trusted before real data is committed to it.</t>
        </is>
      </c>
    </row>
    <row r="74">
      <c r="A74" s="3" t="inlineStr"/>
    </row>
    <row r="75">
      <c r="A75" s="4" t="inlineStr">
        <is>
          <t>WHAT'S REAL DATA VS. JUDGEMENT VS. DUMMY (green = real/sourced, blue = disclosed judgement, red = dummy)</t>
        </is>
      </c>
    </row>
    <row r="76">
      <c r="A76" s="3" t="inlineStr">
        <is>
          <t>REAL: S&amp;P Global long-run average 1-year default rates by rating (BB/B/CCC/C), used only as an external cross-</t>
        </is>
      </c>
    </row>
    <row r="77">
      <c r="A77" s="3" t="inlineStr">
        <is>
          <t xml:space="preserve">  check on the model output, not as a PD input.</t>
        </is>
      </c>
    </row>
    <row r="78">
      <c r="A78" s="3" t="inlineStr">
        <is>
          <t>DUMMY, FORMULA-READY: unlevered beta and issuer default-risk spread at all 4 GICS levels (7_UK_Beta_Input,</t>
        </is>
      </c>
    </row>
    <row r="79">
      <c r="A79" s="3" t="inlineStr">
        <is>
          <t xml:space="preserve">  8_UK_Spread_Input) — replace with real UK data, everything downstream recalculates automatically.</t>
        </is>
      </c>
    </row>
    <row r="80">
      <c r="A80" s="3" t="inlineStr">
        <is>
          <t>JUDGEMENT: Risk Premium Multiplier by rating band, LGD floor/ceiling, 1-year horizon, mu=r simplification, UK</t>
        </is>
      </c>
    </row>
    <row r="81">
      <c r="A81" s="3" t="inlineStr">
        <is>
          <t xml:space="preserve">  market vol assumption, leverage-to-rating bucket thresholds. All on 6_Credit_Bridge_Assumptions, each cell</t>
        </is>
      </c>
    </row>
    <row r="82">
      <c r="A82" s="3" t="inlineStr">
        <is>
          <t xml:space="preserve">  individually editable and labelled — nothing is buried inside a formula.</t>
        </is>
      </c>
    </row>
    <row r="83">
      <c r="A83" s="3" t="inlineStr"/>
    </row>
    <row r="84">
      <c r="A84" s="4" t="inlineStr">
        <is>
          <t>SHEET GUIDE</t>
        </is>
      </c>
    </row>
    <row r="85">
      <c r="A85" s="3" t="inlineStr">
        <is>
          <t>6_Credit_Bridge_Assumptions    Merton/LGD/rating-grid/risk-premium/UK-market-vol parameters. Values only.</t>
        </is>
      </c>
    </row>
    <row r="86">
      <c r="A86" s="3" t="inlineStr">
        <is>
          <t>7_UK_Beta_Input                PASTE ZONE: dummy unlevered beta, all 4 GICS levels.</t>
        </is>
      </c>
    </row>
    <row r="87">
      <c r="A87" s="3" t="inlineStr">
        <is>
          <t>8_UK_Spread_Input              PASTE ZONE: dummy issuer default-risk spread (bps), all 4 GICS levels.</t>
        </is>
      </c>
    </row>
    <row r="88">
      <c r="A88" s="3" t="inlineStr">
        <is>
          <t>9_GICS_Asset_Vol               163 sub-industries, Asset Vol = beta (with fallback) x UK market vol. Live formulas.</t>
        </is>
      </c>
    </row>
    <row r="89">
      <c r="A89" s="3" t="inlineStr">
        <is>
          <t>10_Credit_Risk_Engine          30 deals: bottom-up Merton DD/PD, LGD, EL (baseline &amp; stressed).</t>
        </is>
      </c>
    </row>
    <row r="90">
      <c r="A90" s="3" t="inlineStr">
        <is>
          <t>11_TopDown_Spread_Engine       30 deals: 3 spread bases -&gt; MTM, plus bottom-up Delta EL shown alongside.</t>
        </is>
      </c>
    </row>
    <row r="91">
      <c r="A91" s="3" t="inlineStr">
        <is>
          <t>12_Reconciliation              Portfolio roll-up, 4 methods side by side, sensitivity, rating cross-check.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 outlineLevelCol="0"/>
  <cols>
    <col width="46" customWidth="1" min="1" max="1"/>
    <col width="14" customWidth="1" min="2" max="2"/>
    <col width="66" customWidth="1" min="3" max="3"/>
  </cols>
  <sheetData>
    <row r="1">
      <c r="A1" s="1" t="inlineStr">
        <is>
          <t>Credit Risk Bridge parameters. Green = real/sourced data. Blue = disclosed judgement/calibration, editable.</t>
        </is>
      </c>
    </row>
    <row r="3">
      <c r="A3" s="4" t="inlineStr">
        <is>
          <t>MERTON MODEL PARAMETERS</t>
        </is>
      </c>
    </row>
    <row r="4" ht="28" customHeight="1">
      <c r="A4" s="30" t="inlineStr">
        <is>
          <t>Time Horizon T (years)</t>
        </is>
      </c>
      <c r="B4" s="12" t="n">
        <v>1</v>
      </c>
      <c r="C4" s="32" t="inlineStr">
        <is>
          <t>Standard PRA/EBA/CCAR 1-year stress horizon.</t>
        </is>
      </c>
    </row>
    <row r="5" ht="28" customHeight="1">
      <c r="A5" s="30" t="inlineStr">
        <is>
          <t>Risk-Free Rate</t>
        </is>
      </c>
      <c r="B5" s="11" t="n">
        <v>0.0525</v>
      </c>
      <c r="C5" s="32" t="inlineStr">
        <is>
          <t>Matches Current Reference Rate on 1_GICS_Shock_Input. Used as asset drift proxy (mu=r) — disclosed simplification, see 5_CreditBridge_ReadMe.</t>
        </is>
      </c>
    </row>
    <row r="7">
      <c r="A7" s="4" t="inlineStr">
        <is>
          <t>ASSET VOLATILITY (UK data-based, replaces Damodaran)</t>
        </is>
      </c>
    </row>
    <row r="8" ht="28" customHeight="1">
      <c r="A8" s="30" t="inlineStr">
        <is>
          <t>UK Market Volatility (annualised)</t>
        </is>
      </c>
      <c r="B8" s="33" t="n">
        <v>0.16</v>
      </c>
      <c r="C8" s="32" t="inlineStr">
        <is>
          <t>Illustrative — replace with your own measured UK market volatility (e.g. trailing realised vol of FTSE All-Share). Used ONLY for the beta-based CROSS-CHECK sigma (sigma ~= beta_unlevered x this figure) — the PRIMARY sigma uses real delevered 1Y equity vol directly, no market-vol assumption needed.</t>
        </is>
      </c>
    </row>
    <row r="10">
      <c r="A10" s="4" t="inlineStr">
        <is>
          <t>LGD PARAMETERS (collateral-coverage / stressed LTV based)</t>
        </is>
      </c>
    </row>
    <row r="11" ht="28" customHeight="1">
      <c r="A11" s="30" t="inlineStr">
        <is>
          <t>LGD Floor (fully collateralised)</t>
        </is>
      </c>
      <c r="B11" s="33" t="n">
        <v>0.3</v>
      </c>
      <c r="C11" s="32" t="inlineStr">
        <is>
          <t>~65-70% avg recovery for senior secured leveraged loans (Moody's Ultimate Recovery Database / S&amp;P LCD).</t>
        </is>
      </c>
    </row>
    <row r="12" ht="28" customHeight="1">
      <c r="A12" s="30" t="inlineStr">
        <is>
          <t>LGD Ceiling (soft cap)</t>
        </is>
      </c>
      <c r="B12" s="33" t="n">
        <v>0.9</v>
      </c>
      <c r="C12" s="32" t="inlineStr">
        <is>
          <t>Even a heavily underwater loan retains some workout/collateral value.</t>
        </is>
      </c>
    </row>
    <row r="14">
      <c r="A14" s="4" t="inlineStr">
        <is>
          <t>RATING CROSS-CHECK GRID (leverage bucket -&gt; implied rating -&gt; S&amp;P long-run 1yr default rate)</t>
        </is>
      </c>
    </row>
    <row r="15" ht="28" customHeight="1">
      <c r="A15" s="30" t="inlineStr">
        <is>
          <t>Leverage threshold: BB / B boundary (x)</t>
        </is>
      </c>
      <c r="B15" s="34" t="n">
        <v>4</v>
      </c>
      <c r="C15" s="32" t="inlineStr">
        <is>
          <t>Standard leveraged-finance credit-stats-to-rating grid.</t>
        </is>
      </c>
    </row>
    <row r="16" ht="28" customHeight="1">
      <c r="A16" s="30" t="inlineStr">
        <is>
          <t>Leverage threshold: B / CCC boundary (x)</t>
        </is>
      </c>
      <c r="B16" s="34" t="n">
        <v>6</v>
      </c>
      <c r="C16" s="32" t="inlineStr">
        <is>
          <t>Standard leveraged-finance credit-stats-to-rating grid.</t>
        </is>
      </c>
    </row>
    <row r="17" ht="28" customHeight="1">
      <c r="A17" s="30" t="inlineStr">
        <is>
          <t>BB 1-year default rate</t>
        </is>
      </c>
      <c r="B17" s="35" t="n">
        <v>0.0097</v>
      </c>
      <c r="C17" s="32" t="inlineStr">
        <is>
          <t>S&amp;P Global, Annual Global Corporate Default Study, 1981-2009 period average.</t>
        </is>
      </c>
    </row>
    <row r="18" ht="28" customHeight="1">
      <c r="A18" s="30" t="inlineStr">
        <is>
          <t>B 1-year default rate</t>
        </is>
      </c>
      <c r="B18" s="35" t="n">
        <v>0.0493</v>
      </c>
      <c r="C18" s="32" t="inlineStr">
        <is>
          <t>S&amp;P Global, Annual Global Corporate Default Study, 1981-2009 period average.</t>
        </is>
      </c>
    </row>
    <row r="19" ht="28" customHeight="1">
      <c r="A19" s="30" t="inlineStr">
        <is>
          <t>CCC/C 1-year default rate</t>
        </is>
      </c>
      <c r="B19" s="35" t="n">
        <v>0.2798</v>
      </c>
      <c r="C19" s="32" t="inlineStr">
        <is>
          <t>S&amp;P Global, Annual Global Corporate Default Study, 1981-2009 period average.</t>
        </is>
      </c>
    </row>
    <row r="21">
      <c r="A21" s="4" t="inlineStr">
        <is>
          <t>TOP-DOWN RISK PREMIUM MULTIPLIER (judgement — market spread / EL-implied spread, by rating band)</t>
        </is>
      </c>
    </row>
    <row r="22" ht="28" customHeight="1">
      <c r="A22" s="30" t="inlineStr">
        <is>
          <t>BB multiplier</t>
        </is>
      </c>
      <c r="B22" s="34" t="n">
        <v>2.5</v>
      </c>
      <c r="C22" s="32" t="inlineStr">
        <is>
          <t>Corporate-spread-decomposition literature (e.g. Elton/Gruber/Agrawal/Mann 2001): risk premium/liquidity dominate for higher-quality credits.</t>
        </is>
      </c>
    </row>
    <row r="23" ht="28" customHeight="1">
      <c r="A23" s="30" t="inlineStr">
        <is>
          <t>B multiplier</t>
        </is>
      </c>
      <c r="B23" s="34" t="n">
        <v>1.8</v>
      </c>
      <c r="C23" s="32" t="inlineStr">
        <is>
          <t>Narrowing toward actuarial value as credit quality deteriorates.</t>
        </is>
      </c>
    </row>
    <row r="24" ht="28" customHeight="1">
      <c r="A24" s="30" t="inlineStr">
        <is>
          <t>CCC/C multiplier</t>
        </is>
      </c>
      <c r="B24" s="34" t="n">
        <v>1.2</v>
      </c>
      <c r="C24" s="32" t="inlineStr">
        <is>
          <t>Near-distress: market spread converges toward actuarial expected loss.</t>
        </is>
      </c>
    </row>
  </sheetData>
  <mergeCells count="6">
    <mergeCell ref="A10:C10"/>
    <mergeCell ref="A1:C1"/>
    <mergeCell ref="A14:C14"/>
    <mergeCell ref="A3:C3"/>
    <mergeCell ref="A21:C21"/>
    <mergeCell ref="A7:C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4" customWidth="1" min="2" max="2"/>
    <col width="12" customWidth="1" min="3" max="3"/>
    <col width="12" customWidth="1" min="4" max="4"/>
  </cols>
  <sheetData>
    <row r="1" ht="44" customHeight="1">
      <c r="A1" t="inlineStr">
        <is>
          <t>PASTE ZONE — DUMMY VALUES. Unlevered beta at each of the four GICS levels independently. Used as a CROSS-CHECK sigma estimate on 10_GICS_Asset_Vol (sigma ~= beta x UK market vol), alongside the PRIMARY sigma from real delevered equity volatility (9_UK_Vol_Input). Replace with real data — every downstream formula recalculates automatically. Dummy values follow a varied, clearly-synthetic pattern.</t>
        </is>
      </c>
    </row>
    <row r="3">
      <c r="A3" s="4" t="inlineStr">
        <is>
          <t>SECTOR (11)</t>
        </is>
      </c>
    </row>
    <row r="4">
      <c r="A4" s="5" t="inlineStr">
        <is>
          <t>Code</t>
        </is>
      </c>
      <c r="B4" s="5" t="inlineStr">
        <is>
          <t>Name</t>
        </is>
      </c>
      <c r="C4" s="5" t="inlineStr"/>
      <c r="D4" s="5" t="inlineStr">
        <is>
          <t>Unlevered Beta
(DUMMY)</t>
        </is>
      </c>
    </row>
    <row r="5">
      <c r="A5" s="6" t="n">
        <v>10</v>
      </c>
      <c r="B5" s="6" t="inlineStr">
        <is>
          <t>Energy</t>
        </is>
      </c>
      <c r="C5" s="6" t="n"/>
      <c r="D5" s="36" t="n">
        <v>0.7</v>
      </c>
    </row>
    <row r="6">
      <c r="A6" s="6" t="n">
        <v>15</v>
      </c>
      <c r="B6" s="6" t="inlineStr">
        <is>
          <t>Materials</t>
        </is>
      </c>
      <c r="C6" s="6" t="n"/>
      <c r="D6" s="36" t="n">
        <v>1</v>
      </c>
    </row>
    <row r="7">
      <c r="A7" s="6" t="n">
        <v>20</v>
      </c>
      <c r="B7" s="6" t="inlineStr">
        <is>
          <t>Industrials</t>
        </is>
      </c>
      <c r="C7" s="6" t="n"/>
      <c r="D7" s="36" t="n">
        <v>1.3</v>
      </c>
    </row>
    <row r="8">
      <c r="A8" s="6" t="n">
        <v>25</v>
      </c>
      <c r="B8" s="6" t="inlineStr">
        <is>
          <t>Consumer Discretionary</t>
        </is>
      </c>
      <c r="C8" s="6" t="n"/>
      <c r="D8" s="36" t="n">
        <v>0.85</v>
      </c>
    </row>
    <row r="9">
      <c r="A9" s="6" t="n">
        <v>30</v>
      </c>
      <c r="B9" s="6" t="inlineStr">
        <is>
          <t>Consumer Staples</t>
        </is>
      </c>
      <c r="C9" s="6" t="n"/>
      <c r="D9" s="36" t="n">
        <v>1.15</v>
      </c>
    </row>
    <row r="10">
      <c r="A10" s="6" t="n">
        <v>35</v>
      </c>
      <c r="B10" s="6" t="inlineStr">
        <is>
          <t>Health Care</t>
        </is>
      </c>
      <c r="C10" s="6" t="n"/>
      <c r="D10" s="36" t="n">
        <v>0.7</v>
      </c>
    </row>
    <row r="11">
      <c r="A11" s="6" t="n">
        <v>40</v>
      </c>
      <c r="B11" s="6" t="inlineStr">
        <is>
          <t>Financials</t>
        </is>
      </c>
      <c r="C11" s="6" t="n"/>
      <c r="D11" s="36" t="n">
        <v>1</v>
      </c>
    </row>
    <row r="12">
      <c r="A12" s="6" t="n">
        <v>45</v>
      </c>
      <c r="B12" s="6" t="inlineStr">
        <is>
          <t>Information Technology</t>
        </is>
      </c>
      <c r="C12" s="6" t="n"/>
      <c r="D12" s="36" t="n">
        <v>1.3</v>
      </c>
    </row>
    <row r="13">
      <c r="A13" s="6" t="n">
        <v>50</v>
      </c>
      <c r="B13" s="6" t="inlineStr">
        <is>
          <t>Communication Services</t>
        </is>
      </c>
      <c r="C13" s="6" t="n"/>
      <c r="D13" s="36" t="n">
        <v>0.85</v>
      </c>
    </row>
    <row r="14">
      <c r="A14" s="6" t="n">
        <v>55</v>
      </c>
      <c r="B14" s="6" t="inlineStr">
        <is>
          <t>Utilities</t>
        </is>
      </c>
      <c r="C14" s="6" t="n"/>
      <c r="D14" s="36" t="n">
        <v>1.15</v>
      </c>
    </row>
    <row r="15">
      <c r="A15" s="6" t="n">
        <v>60</v>
      </c>
      <c r="B15" s="6" t="inlineStr">
        <is>
          <t>Real Estate</t>
        </is>
      </c>
      <c r="C15" s="6" t="n"/>
      <c r="D15" s="36" t="n">
        <v>1.3</v>
      </c>
    </row>
    <row r="18">
      <c r="A18" s="4" t="inlineStr">
        <is>
          <t>INDUSTRY GROUP (25)</t>
        </is>
      </c>
    </row>
    <row r="19">
      <c r="A19" s="5" t="inlineStr">
        <is>
          <t>Code</t>
        </is>
      </c>
      <c r="B19" s="5" t="inlineStr">
        <is>
          <t>Name</t>
        </is>
      </c>
      <c r="C19" s="5" t="inlineStr"/>
      <c r="D19" s="5" t="inlineStr">
        <is>
          <t>Unlevered Beta
(DUMMY)</t>
        </is>
      </c>
    </row>
    <row r="20">
      <c r="A20" s="6" t="n">
        <v>1010</v>
      </c>
      <c r="B20" s="6" t="inlineStr">
        <is>
          <t>Energy</t>
        </is>
      </c>
      <c r="C20" s="6" t="n"/>
      <c r="D20" s="36" t="n">
        <v>1</v>
      </c>
    </row>
    <row r="21">
      <c r="A21" s="6" t="n">
        <v>1510</v>
      </c>
      <c r="B21" s="6" t="inlineStr">
        <is>
          <t>Materials</t>
        </is>
      </c>
      <c r="C21" s="6" t="n"/>
      <c r="D21" s="36" t="n">
        <v>1.15</v>
      </c>
    </row>
    <row r="22">
      <c r="A22" s="6" t="n">
        <v>2010</v>
      </c>
      <c r="B22" s="6" t="inlineStr">
        <is>
          <t>Capital Goods</t>
        </is>
      </c>
      <c r="C22" s="6" t="n"/>
      <c r="D22" s="36" t="n">
        <v>1.3</v>
      </c>
    </row>
    <row r="23">
      <c r="A23" s="6" t="n">
        <v>2020</v>
      </c>
      <c r="B23" s="6" t="inlineStr">
        <is>
          <t>Commercial  &amp; Professional Services</t>
        </is>
      </c>
      <c r="C23" s="6" t="n"/>
      <c r="D23" s="36" t="n">
        <v>1.15</v>
      </c>
    </row>
    <row r="24">
      <c r="A24" s="6" t="n">
        <v>2030</v>
      </c>
      <c r="B24" s="6" t="inlineStr">
        <is>
          <t>Transportation</t>
        </is>
      </c>
      <c r="C24" s="6" t="n"/>
      <c r="D24" s="36" t="n">
        <v>1</v>
      </c>
    </row>
    <row r="25">
      <c r="A25" s="6" t="n">
        <v>2510</v>
      </c>
      <c r="B25" s="6" t="inlineStr">
        <is>
          <t>Automobiles &amp; Components</t>
        </is>
      </c>
      <c r="C25" s="6" t="n"/>
      <c r="D25" s="36" t="n">
        <v>0.7</v>
      </c>
    </row>
    <row r="26">
      <c r="A26" s="6" t="n">
        <v>2520</v>
      </c>
      <c r="B26" s="6" t="inlineStr">
        <is>
          <t>Consumer Durables &amp; Apparel</t>
        </is>
      </c>
      <c r="C26" s="6" t="n"/>
      <c r="D26" s="36" t="n">
        <v>1.3</v>
      </c>
    </row>
    <row r="27">
      <c r="A27" s="6" t="n">
        <v>2530</v>
      </c>
      <c r="B27" s="6" t="inlineStr">
        <is>
          <t>Consumer Services</t>
        </is>
      </c>
      <c r="C27" s="6" t="n"/>
      <c r="D27" s="36" t="n">
        <v>1.15</v>
      </c>
    </row>
    <row r="28">
      <c r="A28" s="6" t="n">
        <v>2550</v>
      </c>
      <c r="B28" s="6" t="inlineStr">
        <is>
          <t>Consumer Discretionary Distribution &amp; Retail</t>
        </is>
      </c>
      <c r="C28" s="6" t="n"/>
      <c r="D28" s="36" t="n">
        <v>0.85</v>
      </c>
    </row>
    <row r="29">
      <c r="A29" s="6" t="n">
        <v>3010</v>
      </c>
      <c r="B29" s="6" t="inlineStr">
        <is>
          <t>Consumer Staples Distribution &amp; Retail</t>
        </is>
      </c>
      <c r="C29" s="6" t="n"/>
      <c r="D29" s="36" t="n">
        <v>0.85</v>
      </c>
    </row>
    <row r="30">
      <c r="A30" s="6" t="n">
        <v>3020</v>
      </c>
      <c r="B30" s="6" t="inlineStr">
        <is>
          <t>Food, Beverage &amp; Tobacco</t>
        </is>
      </c>
      <c r="C30" s="6" t="n"/>
      <c r="D30" s="36" t="n">
        <v>0.7</v>
      </c>
    </row>
    <row r="31">
      <c r="A31" s="6" t="n">
        <v>3030</v>
      </c>
      <c r="B31" s="6" t="inlineStr">
        <is>
          <t>Household &amp; Personal Products</t>
        </is>
      </c>
      <c r="C31" s="6" t="n"/>
      <c r="D31" s="36" t="n">
        <v>1.3</v>
      </c>
    </row>
    <row r="32">
      <c r="A32" s="6" t="n">
        <v>3510</v>
      </c>
      <c r="B32" s="6" t="inlineStr">
        <is>
          <t>Health Care Equipment &amp; Services</t>
        </is>
      </c>
      <c r="C32" s="6" t="n"/>
      <c r="D32" s="36" t="n">
        <v>1</v>
      </c>
    </row>
    <row r="33">
      <c r="A33" s="6" t="n">
        <v>3520</v>
      </c>
      <c r="B33" s="6" t="inlineStr">
        <is>
          <t>Pharmaceuticals, Biotechnology &amp; Life Sciences</t>
        </is>
      </c>
      <c r="C33" s="6" t="n"/>
      <c r="D33" s="36" t="n">
        <v>0.85</v>
      </c>
    </row>
    <row r="34">
      <c r="A34" s="6" t="n">
        <v>4010</v>
      </c>
      <c r="B34" s="6" t="inlineStr">
        <is>
          <t>Banks</t>
        </is>
      </c>
      <c r="C34" s="6" t="n"/>
      <c r="D34" s="36" t="n">
        <v>1.15</v>
      </c>
    </row>
    <row r="35">
      <c r="A35" s="6" t="n">
        <v>4020</v>
      </c>
      <c r="B35" s="6" t="inlineStr">
        <is>
          <t>Financial Services</t>
        </is>
      </c>
      <c r="C35" s="6" t="n"/>
      <c r="D35" s="36" t="n">
        <v>1</v>
      </c>
    </row>
    <row r="36">
      <c r="A36" s="6" t="n">
        <v>4030</v>
      </c>
      <c r="B36" s="6" t="inlineStr">
        <is>
          <t>Insurance</t>
        </is>
      </c>
      <c r="C36" s="6" t="n"/>
      <c r="D36" s="36" t="n">
        <v>0.85</v>
      </c>
    </row>
    <row r="37">
      <c r="A37" s="6" t="n">
        <v>4510</v>
      </c>
      <c r="B37" s="6" t="inlineStr">
        <is>
          <t>Software &amp; Services</t>
        </is>
      </c>
      <c r="C37" s="6" t="n"/>
      <c r="D37" s="36" t="n">
        <v>1.3</v>
      </c>
    </row>
    <row r="38">
      <c r="A38" s="6" t="n">
        <v>4520</v>
      </c>
      <c r="B38" s="6" t="inlineStr">
        <is>
          <t>Technology Hardware &amp; Equipment</t>
        </is>
      </c>
      <c r="C38" s="6" t="n"/>
      <c r="D38" s="36" t="n">
        <v>1.15</v>
      </c>
    </row>
    <row r="39">
      <c r="A39" s="6" t="n">
        <v>4530</v>
      </c>
      <c r="B39" s="6" t="inlineStr">
        <is>
          <t>Semiconductors &amp; Semiconductor Equipment</t>
        </is>
      </c>
      <c r="C39" s="6" t="n"/>
      <c r="D39" s="36" t="n">
        <v>1</v>
      </c>
    </row>
    <row r="40">
      <c r="A40" s="6" t="n">
        <v>5010</v>
      </c>
      <c r="B40" s="6" t="inlineStr">
        <is>
          <t>Telecommunication Services</t>
        </is>
      </c>
      <c r="C40" s="6" t="n"/>
      <c r="D40" s="36" t="n">
        <v>0.7</v>
      </c>
    </row>
    <row r="41">
      <c r="A41" s="6" t="n">
        <v>5020</v>
      </c>
      <c r="B41" s="6" t="inlineStr">
        <is>
          <t>Media &amp; Entertainment</t>
        </is>
      </c>
      <c r="C41" s="6" t="n"/>
      <c r="D41" s="36" t="n">
        <v>1.3</v>
      </c>
    </row>
    <row r="42">
      <c r="A42" s="6" t="n">
        <v>5510</v>
      </c>
      <c r="B42" s="6" t="inlineStr">
        <is>
          <t>Utilities</t>
        </is>
      </c>
      <c r="C42" s="6" t="n"/>
      <c r="D42" s="36" t="n">
        <v>0.85</v>
      </c>
    </row>
    <row r="43">
      <c r="A43" s="6" t="n">
        <v>6010</v>
      </c>
      <c r="B43" s="6" t="inlineStr">
        <is>
          <t>Equity Real Estate Investment Trusts (REITs)</t>
        </is>
      </c>
      <c r="C43" s="6" t="n"/>
      <c r="D43" s="36" t="n">
        <v>1</v>
      </c>
    </row>
    <row r="44">
      <c r="A44" s="6" t="n">
        <v>6020</v>
      </c>
      <c r="B44" s="6" t="inlineStr">
        <is>
          <t>Real Estate Management &amp; Development</t>
        </is>
      </c>
      <c r="C44" s="6" t="n"/>
      <c r="D44" s="36" t="n">
        <v>0.85</v>
      </c>
    </row>
    <row r="47">
      <c r="A47" s="4" t="inlineStr">
        <is>
          <t>INDUSTRY (74)</t>
        </is>
      </c>
    </row>
    <row r="48">
      <c r="A48" s="5" t="inlineStr">
        <is>
          <t>Code</t>
        </is>
      </c>
      <c r="B48" s="5" t="inlineStr">
        <is>
          <t>Name</t>
        </is>
      </c>
      <c r="C48" s="5" t="inlineStr"/>
      <c r="D48" s="5" t="inlineStr">
        <is>
          <t>Unlevered Beta
(DUMMY)</t>
        </is>
      </c>
    </row>
    <row r="49">
      <c r="A49" s="6" t="n">
        <v>101010</v>
      </c>
      <c r="B49" s="6" t="inlineStr">
        <is>
          <t>Energy Equipment &amp; Services</t>
        </is>
      </c>
      <c r="C49" s="6" t="n"/>
      <c r="D49" s="36" t="n">
        <v>1.3</v>
      </c>
    </row>
    <row r="50">
      <c r="A50" s="6" t="n">
        <v>101020</v>
      </c>
      <c r="B50" s="6" t="inlineStr">
        <is>
          <t>Oil, Gas &amp; Consumable Fuels</t>
        </is>
      </c>
      <c r="C50" s="6" t="n"/>
      <c r="D50" s="36" t="n">
        <v>1.15</v>
      </c>
    </row>
    <row r="51">
      <c r="A51" s="6" t="n">
        <v>151010</v>
      </c>
      <c r="B51" s="6" t="inlineStr">
        <is>
          <t>Chemicals</t>
        </is>
      </c>
      <c r="C51" s="6" t="n"/>
      <c r="D51" s="36" t="n">
        <v>1</v>
      </c>
    </row>
    <row r="52">
      <c r="A52" s="6" t="n">
        <v>151020</v>
      </c>
      <c r="B52" s="6" t="inlineStr">
        <is>
          <t>Construction Materials</t>
        </is>
      </c>
      <c r="C52" s="6" t="n"/>
      <c r="D52" s="36" t="n">
        <v>0.85</v>
      </c>
    </row>
    <row r="53">
      <c r="A53" s="6" t="n">
        <v>151030</v>
      </c>
      <c r="B53" s="6" t="inlineStr">
        <is>
          <t>Containers &amp; Packaging</t>
        </is>
      </c>
      <c r="C53" s="6" t="n"/>
      <c r="D53" s="36" t="n">
        <v>0.7</v>
      </c>
    </row>
    <row r="54">
      <c r="A54" s="6" t="n">
        <v>151040</v>
      </c>
      <c r="B54" s="6" t="inlineStr">
        <is>
          <t>Metals &amp; Mining</t>
        </is>
      </c>
      <c r="C54" s="6" t="n"/>
      <c r="D54" s="36" t="n">
        <v>1.3</v>
      </c>
    </row>
    <row r="55">
      <c r="A55" s="6" t="n">
        <v>151050</v>
      </c>
      <c r="B55" s="6" t="inlineStr">
        <is>
          <t>Paper &amp; Forest Products</t>
        </is>
      </c>
      <c r="C55" s="6" t="n"/>
      <c r="D55" s="36" t="n">
        <v>1</v>
      </c>
    </row>
    <row r="56">
      <c r="A56" s="6" t="n">
        <v>201010</v>
      </c>
      <c r="B56" s="6" t="inlineStr">
        <is>
          <t>Aerospace &amp; Defense</t>
        </is>
      </c>
      <c r="C56" s="6" t="n"/>
      <c r="D56" s="36" t="n">
        <v>0.7</v>
      </c>
    </row>
    <row r="57">
      <c r="A57" s="6" t="n">
        <v>201020</v>
      </c>
      <c r="B57" s="6" t="inlineStr">
        <is>
          <t>Building Products</t>
        </is>
      </c>
      <c r="C57" s="6" t="n"/>
      <c r="D57" s="36" t="n">
        <v>1.3</v>
      </c>
    </row>
    <row r="58">
      <c r="A58" s="6" t="n">
        <v>201030</v>
      </c>
      <c r="B58" s="6" t="inlineStr">
        <is>
          <t>Construction &amp; Engineering</t>
        </is>
      </c>
      <c r="C58" s="6" t="n"/>
      <c r="D58" s="36" t="n">
        <v>1.15</v>
      </c>
    </row>
    <row r="59">
      <c r="A59" s="6" t="n">
        <v>201040</v>
      </c>
      <c r="B59" s="6" t="inlineStr">
        <is>
          <t>Electrical Equipment</t>
        </is>
      </c>
      <c r="C59" s="6" t="n"/>
      <c r="D59" s="36" t="n">
        <v>1</v>
      </c>
    </row>
    <row r="60">
      <c r="A60" s="6" t="n">
        <v>201050</v>
      </c>
      <c r="B60" s="6" t="inlineStr">
        <is>
          <t>Industrial Conglomerates</t>
        </is>
      </c>
      <c r="C60" s="6" t="n"/>
      <c r="D60" s="36" t="n">
        <v>0.85</v>
      </c>
    </row>
    <row r="61">
      <c r="A61" s="6" t="n">
        <v>201060</v>
      </c>
      <c r="B61" s="6" t="inlineStr">
        <is>
          <t>Machinery</t>
        </is>
      </c>
      <c r="C61" s="6" t="n"/>
      <c r="D61" s="36" t="n">
        <v>0.7</v>
      </c>
    </row>
    <row r="62">
      <c r="A62" s="6" t="n">
        <v>201070</v>
      </c>
      <c r="B62" s="6" t="inlineStr">
        <is>
          <t>Trading Companies &amp; Distributors</t>
        </is>
      </c>
      <c r="C62" s="6" t="n"/>
      <c r="D62" s="36" t="n">
        <v>1.15</v>
      </c>
    </row>
    <row r="63">
      <c r="A63" s="6" t="n">
        <v>202010</v>
      </c>
      <c r="B63" s="6" t="inlineStr">
        <is>
          <t>Commercial Services &amp; Supplies</t>
        </is>
      </c>
      <c r="C63" s="6" t="n"/>
      <c r="D63" s="36" t="n">
        <v>1</v>
      </c>
    </row>
    <row r="64">
      <c r="A64" s="6" t="n">
        <v>202020</v>
      </c>
      <c r="B64" s="6" t="inlineStr">
        <is>
          <t>Professional Services</t>
        </is>
      </c>
      <c r="C64" s="6" t="n"/>
      <c r="D64" s="36" t="n">
        <v>0.85</v>
      </c>
    </row>
    <row r="65">
      <c r="A65" s="6" t="n">
        <v>203010</v>
      </c>
      <c r="B65" s="6" t="inlineStr">
        <is>
          <t>Air Freight &amp; Logistics</t>
        </is>
      </c>
      <c r="C65" s="6" t="n"/>
      <c r="D65" s="36" t="n">
        <v>1.3</v>
      </c>
    </row>
    <row r="66">
      <c r="A66" s="6" t="n">
        <v>203020</v>
      </c>
      <c r="B66" s="6" t="inlineStr">
        <is>
          <t>Passenger Airlines</t>
        </is>
      </c>
      <c r="C66" s="6" t="n"/>
      <c r="D66" s="36" t="n">
        <v>1.15</v>
      </c>
    </row>
    <row r="67">
      <c r="A67" s="6" t="n">
        <v>203030</v>
      </c>
      <c r="B67" s="6" t="inlineStr">
        <is>
          <t>Marine Transportation</t>
        </is>
      </c>
      <c r="C67" s="6" t="n"/>
      <c r="D67" s="36" t="n">
        <v>1</v>
      </c>
    </row>
    <row r="68">
      <c r="A68" s="6" t="n">
        <v>203040</v>
      </c>
      <c r="B68" s="6" t="inlineStr">
        <is>
          <t>Ground Transportation</t>
        </is>
      </c>
      <c r="C68" s="6" t="n"/>
      <c r="D68" s="36" t="n">
        <v>0.85</v>
      </c>
    </row>
    <row r="69">
      <c r="A69" s="6" t="n">
        <v>203050</v>
      </c>
      <c r="B69" s="6" t="inlineStr">
        <is>
          <t>Transportation Infrastructure</t>
        </is>
      </c>
      <c r="C69" s="6" t="n"/>
      <c r="D69" s="36" t="n">
        <v>0.7</v>
      </c>
    </row>
    <row r="70">
      <c r="A70" s="6" t="n">
        <v>251010</v>
      </c>
      <c r="B70" s="6" t="inlineStr">
        <is>
          <t>Automobile Components</t>
        </is>
      </c>
      <c r="C70" s="6" t="n"/>
      <c r="D70" s="36" t="n">
        <v>1.3</v>
      </c>
    </row>
    <row r="71">
      <c r="A71" s="6" t="n">
        <v>251020</v>
      </c>
      <c r="B71" s="6" t="inlineStr">
        <is>
          <t>Automobiles</t>
        </is>
      </c>
      <c r="C71" s="6" t="n"/>
      <c r="D71" s="36" t="n">
        <v>1.15</v>
      </c>
    </row>
    <row r="72">
      <c r="A72" s="6" t="n">
        <v>252010</v>
      </c>
      <c r="B72" s="6" t="inlineStr">
        <is>
          <t>Household Durables</t>
        </is>
      </c>
      <c r="C72" s="6" t="n"/>
      <c r="D72" s="36" t="n">
        <v>0.85</v>
      </c>
    </row>
    <row r="73">
      <c r="A73" s="6" t="n">
        <v>252020</v>
      </c>
      <c r="B73" s="6" t="inlineStr">
        <is>
          <t>Leisure Products</t>
        </is>
      </c>
      <c r="C73" s="6" t="n"/>
      <c r="D73" s="36" t="n">
        <v>0.7</v>
      </c>
    </row>
    <row r="74">
      <c r="A74" s="6" t="n">
        <v>252030</v>
      </c>
      <c r="B74" s="6" t="inlineStr">
        <is>
          <t>Textiles, Apparel &amp; Luxury Goods</t>
        </is>
      </c>
      <c r="C74" s="6" t="n"/>
      <c r="D74" s="36" t="n">
        <v>1.15</v>
      </c>
    </row>
    <row r="75">
      <c r="A75" s="6" t="n">
        <v>253010</v>
      </c>
      <c r="B75" s="6" t="inlineStr">
        <is>
          <t>Hotels, Restaurants &amp; Leisure</t>
        </is>
      </c>
      <c r="C75" s="6" t="n"/>
      <c r="D75" s="36" t="n">
        <v>1.15</v>
      </c>
    </row>
    <row r="76">
      <c r="A76" s="6" t="n">
        <v>253020</v>
      </c>
      <c r="B76" s="6" t="inlineStr">
        <is>
          <t>Diversified Consumer Services</t>
        </is>
      </c>
      <c r="C76" s="6" t="n"/>
      <c r="D76" s="36" t="n">
        <v>1</v>
      </c>
    </row>
    <row r="77">
      <c r="A77" s="6" t="n">
        <v>255010</v>
      </c>
      <c r="B77" s="6" t="inlineStr">
        <is>
          <t>Distributors</t>
        </is>
      </c>
      <c r="C77" s="6" t="n"/>
      <c r="D77" s="36" t="n">
        <v>1</v>
      </c>
    </row>
    <row r="78">
      <c r="A78" s="6" t="n">
        <v>255030</v>
      </c>
      <c r="B78" s="6" t="inlineStr">
        <is>
          <t>Broadline Retail</t>
        </is>
      </c>
      <c r="C78" s="6" t="n"/>
      <c r="D78" s="36" t="n">
        <v>1.3</v>
      </c>
    </row>
    <row r="79">
      <c r="A79" s="6" t="n">
        <v>255040</v>
      </c>
      <c r="B79" s="6" t="inlineStr">
        <is>
          <t>Specialty Retail</t>
        </is>
      </c>
      <c r="C79" s="6" t="n"/>
      <c r="D79" s="36" t="n">
        <v>1.15</v>
      </c>
    </row>
    <row r="80">
      <c r="A80" s="6" t="n">
        <v>301010</v>
      </c>
      <c r="B80" s="6" t="inlineStr">
        <is>
          <t>Consumer Staples Distribution &amp; Retail</t>
        </is>
      </c>
      <c r="C80" s="6" t="n"/>
      <c r="D80" s="36" t="n">
        <v>1</v>
      </c>
    </row>
    <row r="81">
      <c r="A81" s="6" t="n">
        <v>302010</v>
      </c>
      <c r="B81" s="6" t="inlineStr">
        <is>
          <t>Beverages</t>
        </is>
      </c>
      <c r="C81" s="6" t="n"/>
      <c r="D81" s="36" t="n">
        <v>1.3</v>
      </c>
    </row>
    <row r="82">
      <c r="A82" s="6" t="n">
        <v>302020</v>
      </c>
      <c r="B82" s="6" t="inlineStr">
        <is>
          <t>Food Products</t>
        </is>
      </c>
      <c r="C82" s="6" t="n"/>
      <c r="D82" s="36" t="n">
        <v>1.15</v>
      </c>
    </row>
    <row r="83">
      <c r="A83" s="6" t="n">
        <v>302030</v>
      </c>
      <c r="B83" s="6" t="inlineStr">
        <is>
          <t>Tobacco</t>
        </is>
      </c>
      <c r="C83" s="6" t="n"/>
      <c r="D83" s="36" t="n">
        <v>1</v>
      </c>
    </row>
    <row r="84">
      <c r="A84" s="6" t="n">
        <v>303010</v>
      </c>
      <c r="B84" s="6" t="inlineStr">
        <is>
          <t>Household Products</t>
        </is>
      </c>
      <c r="C84" s="6" t="n"/>
      <c r="D84" s="36" t="n">
        <v>0.85</v>
      </c>
    </row>
    <row r="85">
      <c r="A85" s="6" t="n">
        <v>303020</v>
      </c>
      <c r="B85" s="6" t="inlineStr">
        <is>
          <t>Personal Care Products</t>
        </is>
      </c>
      <c r="C85" s="6" t="n"/>
      <c r="D85" s="36" t="n">
        <v>0.7</v>
      </c>
    </row>
    <row r="86">
      <c r="A86" s="6" t="n">
        <v>351010</v>
      </c>
      <c r="B86" s="6" t="inlineStr">
        <is>
          <t>Health Care Equipment &amp; Supplies</t>
        </is>
      </c>
      <c r="C86" s="6" t="n"/>
      <c r="D86" s="36" t="n">
        <v>0.7</v>
      </c>
    </row>
    <row r="87">
      <c r="A87" s="6" t="n">
        <v>351020</v>
      </c>
      <c r="B87" s="6" t="inlineStr">
        <is>
          <t>Health Care Providers &amp; Services</t>
        </is>
      </c>
      <c r="C87" s="6" t="n"/>
      <c r="D87" s="36" t="n">
        <v>1.3</v>
      </c>
    </row>
    <row r="88">
      <c r="A88" s="6" t="n">
        <v>351030</v>
      </c>
      <c r="B88" s="6" t="inlineStr">
        <is>
          <t>Health Care Technology</t>
        </is>
      </c>
      <c r="C88" s="6" t="n"/>
      <c r="D88" s="36" t="n">
        <v>1.15</v>
      </c>
    </row>
    <row r="89">
      <c r="A89" s="6" t="n">
        <v>352010</v>
      </c>
      <c r="B89" s="6" t="inlineStr">
        <is>
          <t>Biotechnology</t>
        </is>
      </c>
      <c r="C89" s="6" t="n"/>
      <c r="D89" s="36" t="n">
        <v>1</v>
      </c>
    </row>
    <row r="90">
      <c r="A90" s="6" t="n">
        <v>352020</v>
      </c>
      <c r="B90" s="6" t="inlineStr">
        <is>
          <t>Pharmaceuticals</t>
        </is>
      </c>
      <c r="C90" s="6" t="n"/>
      <c r="D90" s="36" t="n">
        <v>0.85</v>
      </c>
    </row>
    <row r="91">
      <c r="A91" s="6" t="n">
        <v>352030</v>
      </c>
      <c r="B91" s="6" t="inlineStr">
        <is>
          <t>Life Sciences Tools &amp; Services</t>
        </is>
      </c>
      <c r="C91" s="6" t="n"/>
      <c r="D91" s="36" t="n">
        <v>0.7</v>
      </c>
    </row>
    <row r="92">
      <c r="A92" s="6" t="n">
        <v>401010</v>
      </c>
      <c r="B92" s="6" t="inlineStr">
        <is>
          <t>Banks</t>
        </is>
      </c>
      <c r="C92" s="6" t="n"/>
      <c r="D92" s="36" t="n">
        <v>1.3</v>
      </c>
    </row>
    <row r="93">
      <c r="A93" s="6" t="n">
        <v>402010</v>
      </c>
      <c r="B93" s="6" t="inlineStr">
        <is>
          <t>Financial Services</t>
        </is>
      </c>
      <c r="C93" s="6" t="n"/>
      <c r="D93" s="36" t="n">
        <v>0.85</v>
      </c>
    </row>
    <row r="94">
      <c r="A94" s="6" t="n">
        <v>402020</v>
      </c>
      <c r="B94" s="6" t="inlineStr">
        <is>
          <t>Consumer Finance</t>
        </is>
      </c>
      <c r="C94" s="6" t="n"/>
      <c r="D94" s="36" t="n">
        <v>1.3</v>
      </c>
    </row>
    <row r="95">
      <c r="A95" s="6" t="n">
        <v>402030</v>
      </c>
      <c r="B95" s="6" t="inlineStr">
        <is>
          <t>Capital Markets</t>
        </is>
      </c>
      <c r="C95" s="6" t="n"/>
      <c r="D95" s="36" t="n">
        <v>1.15</v>
      </c>
    </row>
    <row r="96">
      <c r="A96" s="6" t="n">
        <v>402040</v>
      </c>
      <c r="B96" s="6" t="inlineStr">
        <is>
          <t>Mortgage Real Estate Investment Trusts (REITs)</t>
        </is>
      </c>
      <c r="C96" s="6" t="n"/>
      <c r="D96" s="36" t="n">
        <v>1</v>
      </c>
    </row>
    <row r="97">
      <c r="A97" s="6" t="n">
        <v>403010</v>
      </c>
      <c r="B97" s="6" t="inlineStr">
        <is>
          <t>Insurance</t>
        </is>
      </c>
      <c r="C97" s="6" t="n"/>
      <c r="D97" s="36" t="n">
        <v>1.15</v>
      </c>
    </row>
    <row r="98">
      <c r="A98" s="6" t="n">
        <v>451020</v>
      </c>
      <c r="B98" s="6" t="inlineStr">
        <is>
          <t>IT Services</t>
        </is>
      </c>
      <c r="C98" s="6" t="n"/>
      <c r="D98" s="36" t="n">
        <v>0.85</v>
      </c>
    </row>
    <row r="99">
      <c r="A99" s="6" t="n">
        <v>451030</v>
      </c>
      <c r="B99" s="6" t="inlineStr">
        <is>
          <t>Software</t>
        </is>
      </c>
      <c r="C99" s="6" t="n"/>
      <c r="D99" s="36" t="n">
        <v>0.7</v>
      </c>
    </row>
    <row r="100">
      <c r="A100" s="6" t="n">
        <v>452010</v>
      </c>
      <c r="B100" s="6" t="inlineStr">
        <is>
          <t>Communications Equipment</t>
        </is>
      </c>
      <c r="C100" s="6" t="n"/>
      <c r="D100" s="36" t="n">
        <v>1.3</v>
      </c>
    </row>
    <row r="101">
      <c r="A101" s="6" t="n">
        <v>452020</v>
      </c>
      <c r="B101" s="6" t="inlineStr">
        <is>
          <t>Technology Hardware, Storage &amp; Peripherals</t>
        </is>
      </c>
      <c r="C101" s="6" t="n"/>
      <c r="D101" s="36" t="n">
        <v>1.15</v>
      </c>
    </row>
    <row r="102">
      <c r="A102" s="6" t="n">
        <v>452030</v>
      </c>
      <c r="B102" s="6" t="inlineStr">
        <is>
          <t>Electronic Equipment, Instruments &amp; Components</t>
        </is>
      </c>
      <c r="C102" s="6" t="n"/>
      <c r="D102" s="36" t="n">
        <v>1</v>
      </c>
    </row>
    <row r="103">
      <c r="A103" s="6" t="n">
        <v>453010</v>
      </c>
      <c r="B103" s="6" t="inlineStr">
        <is>
          <t>Semiconductors &amp; Semiconductor Equipment</t>
        </is>
      </c>
      <c r="C103" s="6" t="n"/>
      <c r="D103" s="36" t="n">
        <v>0.85</v>
      </c>
    </row>
    <row r="104">
      <c r="A104" s="6" t="n">
        <v>501010</v>
      </c>
      <c r="B104" s="6" t="inlineStr">
        <is>
          <t>Diversified Telecommunication Services</t>
        </is>
      </c>
      <c r="C104" s="6" t="n"/>
      <c r="D104" s="36" t="n">
        <v>0.7</v>
      </c>
    </row>
    <row r="105">
      <c r="A105" s="6" t="n">
        <v>501020</v>
      </c>
      <c r="B105" s="6" t="inlineStr">
        <is>
          <t>Wireless Telecommunication Services</t>
        </is>
      </c>
      <c r="C105" s="6" t="n"/>
      <c r="D105" s="36" t="n">
        <v>1.3</v>
      </c>
    </row>
    <row r="106">
      <c r="A106" s="6" t="n">
        <v>502010</v>
      </c>
      <c r="B106" s="6" t="inlineStr">
        <is>
          <t>Media</t>
        </is>
      </c>
      <c r="C106" s="6" t="n"/>
      <c r="D106" s="36" t="n">
        <v>1</v>
      </c>
    </row>
    <row r="107">
      <c r="A107" s="6" t="n">
        <v>502020</v>
      </c>
      <c r="B107" s="6" t="inlineStr">
        <is>
          <t>Entertainment</t>
        </is>
      </c>
      <c r="C107" s="6" t="n"/>
      <c r="D107" s="36" t="n">
        <v>0.85</v>
      </c>
    </row>
    <row r="108">
      <c r="A108" s="6" t="n">
        <v>502030</v>
      </c>
      <c r="B108" s="6" t="inlineStr">
        <is>
          <t>Interactive Media &amp; Services</t>
        </is>
      </c>
      <c r="C108" s="6" t="n"/>
      <c r="D108" s="36" t="n">
        <v>0.7</v>
      </c>
    </row>
    <row r="109">
      <c r="A109" s="6" t="n">
        <v>551010</v>
      </c>
      <c r="B109" s="6" t="inlineStr">
        <is>
          <t>Electric Utilities</t>
        </is>
      </c>
      <c r="C109" s="6" t="n"/>
      <c r="D109" s="36" t="n">
        <v>1.3</v>
      </c>
    </row>
    <row r="110">
      <c r="A110" s="6" t="n">
        <v>551020</v>
      </c>
      <c r="B110" s="6" t="inlineStr">
        <is>
          <t>Gas Utilities</t>
        </is>
      </c>
      <c r="C110" s="6" t="n"/>
      <c r="D110" s="36" t="n">
        <v>1</v>
      </c>
    </row>
    <row r="111">
      <c r="A111" s="6" t="n">
        <v>551030</v>
      </c>
      <c r="B111" s="6" t="inlineStr">
        <is>
          <t>Multi-Utilities</t>
        </is>
      </c>
      <c r="C111" s="6" t="n"/>
      <c r="D111" s="36" t="n">
        <v>0.85</v>
      </c>
    </row>
    <row r="112">
      <c r="A112" s="6" t="n">
        <v>551040</v>
      </c>
      <c r="B112" s="6" t="inlineStr">
        <is>
          <t>Water Utilities</t>
        </is>
      </c>
      <c r="C112" s="6" t="n"/>
      <c r="D112" s="36" t="n">
        <v>0.7</v>
      </c>
    </row>
    <row r="113">
      <c r="A113" s="6" t="n">
        <v>551050</v>
      </c>
      <c r="B113" s="6" t="inlineStr">
        <is>
          <t>Independent Power and Renewable Electricity Producers</t>
        </is>
      </c>
      <c r="C113" s="6" t="n"/>
      <c r="D113" s="36" t="n">
        <v>1.3</v>
      </c>
    </row>
    <row r="114">
      <c r="A114" s="6" t="n">
        <v>601010</v>
      </c>
      <c r="B114" s="6" t="inlineStr">
        <is>
          <t>Diversified REITs</t>
        </is>
      </c>
      <c r="C114" s="6" t="n"/>
      <c r="D114" s="36" t="n">
        <v>1</v>
      </c>
    </row>
    <row r="115">
      <c r="A115" s="6" t="n">
        <v>601025</v>
      </c>
      <c r="B115" s="6" t="inlineStr">
        <is>
          <t>Industrial REITs</t>
        </is>
      </c>
      <c r="C115" s="6" t="n"/>
      <c r="D115" s="36" t="n">
        <v>1.15</v>
      </c>
    </row>
    <row r="116">
      <c r="A116" s="6" t="n">
        <v>601030</v>
      </c>
      <c r="B116" s="6" t="inlineStr">
        <is>
          <t>Hotel &amp; Resort REITs</t>
        </is>
      </c>
      <c r="C116" s="6" t="n"/>
      <c r="D116" s="36" t="n">
        <v>0.7</v>
      </c>
    </row>
    <row r="117">
      <c r="A117" s="6" t="n">
        <v>601040</v>
      </c>
      <c r="B117" s="6" t="inlineStr">
        <is>
          <t>Office REITs</t>
        </is>
      </c>
      <c r="C117" s="6" t="n"/>
      <c r="D117" s="36" t="n">
        <v>1.15</v>
      </c>
    </row>
    <row r="118">
      <c r="A118" s="6" t="n">
        <v>601050</v>
      </c>
      <c r="B118" s="6" t="inlineStr">
        <is>
          <t>Health Care REITs</t>
        </is>
      </c>
      <c r="C118" s="6" t="n"/>
      <c r="D118" s="36" t="n">
        <v>1</v>
      </c>
    </row>
    <row r="119">
      <c r="A119" s="6" t="n">
        <v>601060</v>
      </c>
      <c r="B119" s="6" t="inlineStr">
        <is>
          <t>Residential REITs</t>
        </is>
      </c>
      <c r="C119" s="6" t="n"/>
      <c r="D119" s="36" t="n">
        <v>0.85</v>
      </c>
    </row>
    <row r="120">
      <c r="A120" s="6" t="n">
        <v>601070</v>
      </c>
      <c r="B120" s="6" t="inlineStr">
        <is>
          <t>Retail REITs</t>
        </is>
      </c>
      <c r="C120" s="6" t="n"/>
      <c r="D120" s="36" t="n">
        <v>0.7</v>
      </c>
    </row>
    <row r="121">
      <c r="A121" s="6" t="n">
        <v>601080</v>
      </c>
      <c r="B121" s="6" t="inlineStr">
        <is>
          <t>Specialized REITs</t>
        </is>
      </c>
      <c r="C121" s="6" t="n"/>
      <c r="D121" s="36" t="n">
        <v>1.3</v>
      </c>
    </row>
    <row r="122">
      <c r="A122" s="6" t="n">
        <v>602010</v>
      </c>
      <c r="B122" s="6" t="inlineStr">
        <is>
          <t>Real Estate Management &amp; Development</t>
        </is>
      </c>
      <c r="C122" s="6" t="n"/>
      <c r="D122" s="36" t="n">
        <v>1.3</v>
      </c>
    </row>
    <row r="125">
      <c r="A125" s="4" t="inlineStr">
        <is>
          <t>SUB-INDUSTRY (163)</t>
        </is>
      </c>
    </row>
    <row r="126">
      <c r="A126" s="5" t="inlineStr">
        <is>
          <t>Code</t>
        </is>
      </c>
      <c r="B126" s="5" t="inlineStr">
        <is>
          <t>Name</t>
        </is>
      </c>
      <c r="C126" s="5" t="inlineStr"/>
      <c r="D126" s="5" t="inlineStr">
        <is>
          <t>Unlevered Beta
(DUMMY)</t>
        </is>
      </c>
    </row>
    <row r="127">
      <c r="A127" s="6" t="n">
        <v>10101010</v>
      </c>
      <c r="B127" s="6" t="inlineStr">
        <is>
          <t>Oil &amp; Gas Drilling</t>
        </is>
      </c>
      <c r="C127" s="6" t="n"/>
      <c r="D127" s="36" t="n">
        <v>1.3</v>
      </c>
    </row>
    <row r="128">
      <c r="A128" s="6" t="n">
        <v>10101020</v>
      </c>
      <c r="B128" s="6" t="inlineStr">
        <is>
          <t>Oil &amp; Gas Equipment &amp; Services</t>
        </is>
      </c>
      <c r="C128" s="6" t="n"/>
      <c r="D128" s="36" t="n">
        <v>1.15</v>
      </c>
    </row>
    <row r="129">
      <c r="A129" s="6" t="n">
        <v>10102010</v>
      </c>
      <c r="B129" s="6" t="inlineStr">
        <is>
          <t>Integrated Oil &amp; Gas</t>
        </is>
      </c>
      <c r="C129" s="6" t="n"/>
      <c r="D129" s="36" t="n">
        <v>0.85</v>
      </c>
    </row>
    <row r="130">
      <c r="A130" s="6" t="n">
        <v>10102020</v>
      </c>
      <c r="B130" s="6" t="inlineStr">
        <is>
          <t>Oil &amp; Gas Exploration &amp; Production</t>
        </is>
      </c>
      <c r="C130" s="6" t="n"/>
      <c r="D130" s="36" t="n">
        <v>0.7</v>
      </c>
    </row>
    <row r="131">
      <c r="A131" s="6" t="n">
        <v>10102030</v>
      </c>
      <c r="B131" s="6" t="inlineStr">
        <is>
          <t>Oil &amp; Gas Refining &amp; Marketing</t>
        </is>
      </c>
      <c r="C131" s="6" t="n"/>
      <c r="D131" s="36" t="n">
        <v>1.3</v>
      </c>
    </row>
    <row r="132">
      <c r="A132" s="6" t="n">
        <v>10102040</v>
      </c>
      <c r="B132" s="6" t="inlineStr">
        <is>
          <t>Oil &amp; Gas Storage &amp; Transportation</t>
        </is>
      </c>
      <c r="C132" s="6" t="n"/>
      <c r="D132" s="36" t="n">
        <v>1</v>
      </c>
    </row>
    <row r="133">
      <c r="A133" s="6" t="n">
        <v>10102050</v>
      </c>
      <c r="B133" s="6" t="inlineStr">
        <is>
          <t>Coal &amp; Consumable Fuels</t>
        </is>
      </c>
      <c r="C133" s="6" t="n"/>
      <c r="D133" s="36" t="n">
        <v>0.85</v>
      </c>
    </row>
    <row r="134">
      <c r="A134" s="6" t="n">
        <v>15101010</v>
      </c>
      <c r="B134" s="6" t="inlineStr">
        <is>
          <t>Commodity Chemicals</t>
        </is>
      </c>
      <c r="C134" s="6" t="n"/>
      <c r="D134" s="36" t="n">
        <v>1.3</v>
      </c>
    </row>
    <row r="135">
      <c r="A135" s="6" t="n">
        <v>15101020</v>
      </c>
      <c r="B135" s="6" t="inlineStr">
        <is>
          <t>Diversified Chemicals</t>
        </is>
      </c>
      <c r="C135" s="6" t="n"/>
      <c r="D135" s="36" t="n">
        <v>1.15</v>
      </c>
    </row>
    <row r="136">
      <c r="A136" s="6" t="n">
        <v>15101030</v>
      </c>
      <c r="B136" s="6" t="inlineStr">
        <is>
          <t>Fertilizers &amp; Agricultural Chemicals</t>
        </is>
      </c>
      <c r="C136" s="6" t="n"/>
      <c r="D136" s="36" t="n">
        <v>1</v>
      </c>
    </row>
    <row r="137">
      <c r="A137" s="6" t="n">
        <v>15101040</v>
      </c>
      <c r="B137" s="6" t="inlineStr">
        <is>
          <t>Industrial Gases</t>
        </is>
      </c>
      <c r="C137" s="6" t="n"/>
      <c r="D137" s="36" t="n">
        <v>0.85</v>
      </c>
    </row>
    <row r="138">
      <c r="A138" s="6" t="n">
        <v>15101050</v>
      </c>
      <c r="B138" s="6" t="inlineStr">
        <is>
          <t>Specialty Chemicals</t>
        </is>
      </c>
      <c r="C138" s="6" t="n"/>
      <c r="D138" s="36" t="n">
        <v>1.3</v>
      </c>
    </row>
    <row r="139">
      <c r="A139" s="6" t="n">
        <v>15102010</v>
      </c>
      <c r="B139" s="6" t="inlineStr">
        <is>
          <t>Construction Materials</t>
        </is>
      </c>
      <c r="C139" s="6" t="n"/>
      <c r="D139" s="36" t="n">
        <v>0.85</v>
      </c>
    </row>
    <row r="140">
      <c r="A140" s="6" t="n">
        <v>15103010</v>
      </c>
      <c r="B140" s="6" t="inlineStr">
        <is>
          <t>Metal, Glass &amp; Plastic Containers</t>
        </is>
      </c>
      <c r="C140" s="6" t="n"/>
      <c r="D140" s="36" t="n">
        <v>1.15</v>
      </c>
    </row>
    <row r="141">
      <c r="A141" s="6" t="n">
        <v>15103020</v>
      </c>
      <c r="B141" s="6" t="inlineStr">
        <is>
          <t>Paper &amp; Plastic Packaging Products &amp; Materials</t>
        </is>
      </c>
      <c r="C141" s="6" t="n"/>
      <c r="D141" s="36" t="n">
        <v>1</v>
      </c>
    </row>
    <row r="142">
      <c r="A142" s="6" t="n">
        <v>15104010</v>
      </c>
      <c r="B142" s="6" t="inlineStr">
        <is>
          <t>Aluminum</t>
        </is>
      </c>
      <c r="C142" s="6" t="n"/>
      <c r="D142" s="36" t="n">
        <v>0.7</v>
      </c>
    </row>
    <row r="143">
      <c r="A143" s="6" t="n">
        <v>15104020</v>
      </c>
      <c r="B143" s="6" t="inlineStr">
        <is>
          <t>Diversified Metals &amp; Mining</t>
        </is>
      </c>
      <c r="C143" s="6" t="n"/>
      <c r="D143" s="36" t="n">
        <v>1.3</v>
      </c>
    </row>
    <row r="144">
      <c r="A144" s="6" t="n">
        <v>15104025</v>
      </c>
      <c r="B144" s="6" t="inlineStr">
        <is>
          <t>Copper</t>
        </is>
      </c>
      <c r="C144" s="6" t="n"/>
      <c r="D144" s="36" t="n">
        <v>0.85</v>
      </c>
    </row>
    <row r="145">
      <c r="A145" s="6" t="n">
        <v>15104030</v>
      </c>
      <c r="B145" s="6" t="inlineStr">
        <is>
          <t>Gold</t>
        </is>
      </c>
      <c r="C145" s="6" t="n"/>
      <c r="D145" s="36" t="n">
        <v>1.15</v>
      </c>
    </row>
    <row r="146">
      <c r="A146" s="6" t="n">
        <v>15104040</v>
      </c>
      <c r="B146" s="6" t="inlineStr">
        <is>
          <t>Precious Metals &amp; Minerals</t>
        </is>
      </c>
      <c r="C146" s="6" t="n"/>
      <c r="D146" s="36" t="n">
        <v>0.85</v>
      </c>
    </row>
    <row r="147">
      <c r="A147" s="6" t="n">
        <v>15104045</v>
      </c>
      <c r="B147" s="6" t="inlineStr">
        <is>
          <t>Silver</t>
        </is>
      </c>
      <c r="C147" s="6" t="n"/>
      <c r="D147" s="36" t="n">
        <v>1.15</v>
      </c>
    </row>
    <row r="148">
      <c r="A148" s="6" t="n">
        <v>15104050</v>
      </c>
      <c r="B148" s="6" t="inlineStr">
        <is>
          <t>Steel</t>
        </is>
      </c>
      <c r="C148" s="6" t="n"/>
      <c r="D148" s="36" t="n">
        <v>0.7</v>
      </c>
    </row>
    <row r="149">
      <c r="A149" s="6" t="n">
        <v>15105010</v>
      </c>
      <c r="B149" s="6" t="inlineStr">
        <is>
          <t>Forest Products</t>
        </is>
      </c>
      <c r="C149" s="6" t="n"/>
      <c r="D149" s="36" t="n">
        <v>1</v>
      </c>
    </row>
    <row r="150">
      <c r="A150" s="6" t="n">
        <v>15105020</v>
      </c>
      <c r="B150" s="6" t="inlineStr">
        <is>
          <t>Paper Products</t>
        </is>
      </c>
      <c r="C150" s="6" t="n"/>
      <c r="D150" s="36" t="n">
        <v>0.85</v>
      </c>
    </row>
    <row r="151">
      <c r="A151" s="6" t="n">
        <v>20101010</v>
      </c>
      <c r="B151" s="6" t="inlineStr">
        <is>
          <t>Aerospace &amp; Defense</t>
        </is>
      </c>
      <c r="C151" s="6" t="n"/>
      <c r="D151" s="36" t="n">
        <v>1.3</v>
      </c>
    </row>
    <row r="152">
      <c r="A152" s="6" t="n">
        <v>20102010</v>
      </c>
      <c r="B152" s="6" t="inlineStr">
        <is>
          <t>Building Products</t>
        </is>
      </c>
      <c r="C152" s="6" t="n"/>
      <c r="D152" s="36" t="n">
        <v>0.85</v>
      </c>
    </row>
    <row r="153">
      <c r="A153" s="6" t="n">
        <v>20103010</v>
      </c>
      <c r="B153" s="6" t="inlineStr">
        <is>
          <t>Construction &amp; Engineering</t>
        </is>
      </c>
      <c r="C153" s="6" t="n"/>
      <c r="D153" s="36" t="n">
        <v>1.15</v>
      </c>
    </row>
    <row r="154">
      <c r="A154" s="6" t="n">
        <v>20104010</v>
      </c>
      <c r="B154" s="6" t="inlineStr">
        <is>
          <t>Electrical Components &amp; Equipment</t>
        </is>
      </c>
      <c r="C154" s="6" t="n"/>
      <c r="D154" s="36" t="n">
        <v>0.7</v>
      </c>
    </row>
    <row r="155">
      <c r="A155" s="6" t="n">
        <v>20104020</v>
      </c>
      <c r="B155" s="6" t="inlineStr">
        <is>
          <t>Heavy Electrical Equipment</t>
        </is>
      </c>
      <c r="C155" s="6" t="n"/>
      <c r="D155" s="36" t="n">
        <v>1.3</v>
      </c>
    </row>
    <row r="156">
      <c r="A156" s="6" t="n">
        <v>20105010</v>
      </c>
      <c r="B156" s="6" t="inlineStr">
        <is>
          <t>Industrial Conglomerates</t>
        </is>
      </c>
      <c r="C156" s="6" t="n"/>
      <c r="D156" s="36" t="n">
        <v>1</v>
      </c>
    </row>
    <row r="157">
      <c r="A157" s="6" t="n">
        <v>20106010</v>
      </c>
      <c r="B157" s="6" t="inlineStr">
        <is>
          <t>Construction Machinery &amp; Heavy Transportation Equipment</t>
        </is>
      </c>
      <c r="C157" s="6" t="n"/>
      <c r="D157" s="36" t="n">
        <v>1.3</v>
      </c>
    </row>
    <row r="158">
      <c r="A158" s="6" t="n">
        <v>20106015</v>
      </c>
      <c r="B158" s="6" t="inlineStr">
        <is>
          <t>Agricultural &amp; Farm Machinery</t>
        </is>
      </c>
      <c r="C158" s="6" t="n"/>
      <c r="D158" s="36" t="n">
        <v>0.85</v>
      </c>
    </row>
    <row r="159">
      <c r="A159" s="6" t="n">
        <v>20106020</v>
      </c>
      <c r="B159" s="6" t="inlineStr">
        <is>
          <t>Industrial Machinery &amp; Supplies &amp; Components</t>
        </is>
      </c>
      <c r="C159" s="6" t="n"/>
      <c r="D159" s="36" t="n">
        <v>1.15</v>
      </c>
    </row>
    <row r="160">
      <c r="A160" s="6" t="n">
        <v>20107010</v>
      </c>
      <c r="B160" s="6" t="inlineStr">
        <is>
          <t>Trading Companies &amp; Distributors</t>
        </is>
      </c>
      <c r="C160" s="6" t="n"/>
      <c r="D160" s="36" t="n">
        <v>0.85</v>
      </c>
    </row>
    <row r="161">
      <c r="A161" s="6" t="n">
        <v>20201010</v>
      </c>
      <c r="B161" s="6" t="inlineStr">
        <is>
          <t>Commercial Printing</t>
        </is>
      </c>
      <c r="C161" s="6" t="n"/>
      <c r="D161" s="36" t="n">
        <v>0.85</v>
      </c>
    </row>
    <row r="162">
      <c r="A162" s="6" t="n">
        <v>20201050</v>
      </c>
      <c r="B162" s="6" t="inlineStr">
        <is>
          <t>Environmental &amp; Facilities Services</t>
        </is>
      </c>
      <c r="C162" s="6" t="n"/>
      <c r="D162" s="36" t="n">
        <v>0.85</v>
      </c>
    </row>
    <row r="163">
      <c r="A163" s="6" t="n">
        <v>20201060</v>
      </c>
      <c r="B163" s="6" t="inlineStr">
        <is>
          <t>Office Services &amp; Supplies</t>
        </is>
      </c>
      <c r="C163" s="6" t="n"/>
      <c r="D163" s="36" t="n">
        <v>0.7</v>
      </c>
    </row>
    <row r="164">
      <c r="A164" s="6" t="n">
        <v>20201070</v>
      </c>
      <c r="B164" s="6" t="inlineStr">
        <is>
          <t>Diversified Support Services</t>
        </is>
      </c>
      <c r="C164" s="6" t="n"/>
      <c r="D164" s="36" t="n">
        <v>1.3</v>
      </c>
    </row>
    <row r="165">
      <c r="A165" s="6" t="n">
        <v>20201080</v>
      </c>
      <c r="B165" s="6" t="inlineStr">
        <is>
          <t>Security &amp; Alarm Services</t>
        </is>
      </c>
      <c r="C165" s="6" t="n"/>
      <c r="D165" s="36" t="n">
        <v>1</v>
      </c>
    </row>
    <row r="166">
      <c r="A166" s="6" t="n">
        <v>20202010</v>
      </c>
      <c r="B166" s="6" t="inlineStr">
        <is>
          <t>Human Resource &amp; Employment Services</t>
        </is>
      </c>
      <c r="C166" s="6" t="n"/>
      <c r="D166" s="36" t="n">
        <v>1.15</v>
      </c>
    </row>
    <row r="167">
      <c r="A167" s="6" t="n">
        <v>20202020</v>
      </c>
      <c r="B167" s="6" t="inlineStr">
        <is>
          <t>Research &amp; Consulting Services</t>
        </is>
      </c>
      <c r="C167" s="6" t="n"/>
      <c r="D167" s="36" t="n">
        <v>1</v>
      </c>
    </row>
    <row r="168">
      <c r="A168" s="6" t="n">
        <v>20202030</v>
      </c>
      <c r="B168" s="6" t="inlineStr">
        <is>
          <t>Data Processing &amp; Outsourced Services</t>
        </is>
      </c>
      <c r="C168" s="6" t="n"/>
      <c r="D168" s="36" t="n">
        <v>0.7</v>
      </c>
    </row>
    <row r="169">
      <c r="A169" s="6" t="n">
        <v>20301010</v>
      </c>
      <c r="B169" s="6" t="inlineStr">
        <is>
          <t>Air Freight &amp; Logistics</t>
        </is>
      </c>
      <c r="C169" s="6" t="n"/>
      <c r="D169" s="36" t="n">
        <v>1</v>
      </c>
    </row>
    <row r="170">
      <c r="A170" s="6" t="n">
        <v>20302010</v>
      </c>
      <c r="B170" s="6" t="inlineStr">
        <is>
          <t>Passenger Airlines</t>
        </is>
      </c>
      <c r="C170" s="6" t="n"/>
      <c r="D170" s="36" t="n">
        <v>1.3</v>
      </c>
    </row>
    <row r="171">
      <c r="A171" s="6" t="n">
        <v>20303010</v>
      </c>
      <c r="B171" s="6" t="inlineStr">
        <is>
          <t>Marine Transportation</t>
        </is>
      </c>
      <c r="C171" s="6" t="n"/>
      <c r="D171" s="36" t="n">
        <v>0.85</v>
      </c>
    </row>
    <row r="172">
      <c r="A172" s="6" t="n">
        <v>20304010</v>
      </c>
      <c r="B172" s="6" t="inlineStr">
        <is>
          <t>Rail Transportation</t>
        </is>
      </c>
      <c r="C172" s="6" t="n"/>
      <c r="D172" s="36" t="n">
        <v>1.15</v>
      </c>
    </row>
    <row r="173">
      <c r="A173" s="6" t="n">
        <v>20304030</v>
      </c>
      <c r="B173" s="6" t="inlineStr">
        <is>
          <t>Cargo Ground Transportation</t>
        </is>
      </c>
      <c r="C173" s="6" t="n"/>
      <c r="D173" s="36" t="n">
        <v>0.85</v>
      </c>
    </row>
    <row r="174">
      <c r="A174" s="6" t="n">
        <v>20304040</v>
      </c>
      <c r="B174" s="6" t="inlineStr">
        <is>
          <t>Passenger Ground Transportation</t>
        </is>
      </c>
      <c r="C174" s="6" t="n"/>
      <c r="D174" s="36" t="n">
        <v>0.7</v>
      </c>
    </row>
    <row r="175">
      <c r="A175" s="6" t="n">
        <v>20305010</v>
      </c>
      <c r="B175" s="6" t="inlineStr">
        <is>
          <t>Airport Services</t>
        </is>
      </c>
      <c r="C175" s="6" t="n"/>
      <c r="D175" s="36" t="n">
        <v>0.7</v>
      </c>
    </row>
    <row r="176">
      <c r="A176" s="6" t="n">
        <v>20305020</v>
      </c>
      <c r="B176" s="6" t="inlineStr">
        <is>
          <t>Highways &amp; Railtracks</t>
        </is>
      </c>
      <c r="C176" s="6" t="n"/>
      <c r="D176" s="36" t="n">
        <v>1.3</v>
      </c>
    </row>
    <row r="177">
      <c r="A177" s="6" t="n">
        <v>20305030</v>
      </c>
      <c r="B177" s="6" t="inlineStr">
        <is>
          <t>Marine Ports &amp; Services</t>
        </is>
      </c>
      <c r="C177" s="6" t="n"/>
      <c r="D177" s="36" t="n">
        <v>1.15</v>
      </c>
    </row>
    <row r="178">
      <c r="A178" s="6" t="n">
        <v>25101010</v>
      </c>
      <c r="B178" s="6" t="inlineStr">
        <is>
          <t>Automotive Parts &amp; Equipment</t>
        </is>
      </c>
      <c r="C178" s="6" t="n"/>
      <c r="D178" s="36" t="n">
        <v>1.3</v>
      </c>
    </row>
    <row r="179">
      <c r="A179" s="6" t="n">
        <v>25101020</v>
      </c>
      <c r="B179" s="6" t="inlineStr">
        <is>
          <t>Tires &amp; Rubber</t>
        </is>
      </c>
      <c r="C179" s="6" t="n"/>
      <c r="D179" s="36" t="n">
        <v>1.15</v>
      </c>
    </row>
    <row r="180">
      <c r="A180" s="6" t="n">
        <v>25102010</v>
      </c>
      <c r="B180" s="6" t="inlineStr">
        <is>
          <t>Automobile Manufacturers</t>
        </is>
      </c>
      <c r="C180" s="6" t="n"/>
      <c r="D180" s="36" t="n">
        <v>0.85</v>
      </c>
    </row>
    <row r="181">
      <c r="A181" s="6" t="n">
        <v>25102020</v>
      </c>
      <c r="B181" s="6" t="inlineStr">
        <is>
          <t>Motorcycle Manufacturers</t>
        </is>
      </c>
      <c r="C181" s="6" t="n"/>
      <c r="D181" s="36" t="n">
        <v>0.7</v>
      </c>
    </row>
    <row r="182">
      <c r="A182" s="6" t="n">
        <v>25201010</v>
      </c>
      <c r="B182" s="6" t="inlineStr">
        <is>
          <t>Consumer Electronics</t>
        </is>
      </c>
      <c r="C182" s="6" t="n"/>
      <c r="D182" s="36" t="n">
        <v>0.85</v>
      </c>
    </row>
    <row r="183">
      <c r="A183" s="6" t="n">
        <v>25201020</v>
      </c>
      <c r="B183" s="6" t="inlineStr">
        <is>
          <t>Home Furnishings</t>
        </is>
      </c>
      <c r="C183" s="6" t="n"/>
      <c r="D183" s="36" t="n">
        <v>0.7</v>
      </c>
    </row>
    <row r="184">
      <c r="A184" s="6" t="n">
        <v>25201030</v>
      </c>
      <c r="B184" s="6" t="inlineStr">
        <is>
          <t>Homebuilding</t>
        </is>
      </c>
      <c r="C184" s="6" t="n"/>
      <c r="D184" s="36" t="n">
        <v>1.15</v>
      </c>
    </row>
    <row r="185">
      <c r="A185" s="6" t="n">
        <v>25201040</v>
      </c>
      <c r="B185" s="6" t="inlineStr">
        <is>
          <t>Household Appliances</t>
        </is>
      </c>
      <c r="C185" s="6" t="n"/>
      <c r="D185" s="36" t="n">
        <v>1</v>
      </c>
    </row>
    <row r="186">
      <c r="A186" s="6" t="n">
        <v>25201050</v>
      </c>
      <c r="B186" s="6" t="inlineStr">
        <is>
          <t>Housewares &amp; Specialties</t>
        </is>
      </c>
      <c r="C186" s="6" t="n"/>
      <c r="D186" s="36" t="n">
        <v>0.85</v>
      </c>
    </row>
    <row r="187">
      <c r="A187" s="6" t="n">
        <v>25202010</v>
      </c>
      <c r="B187" s="6" t="inlineStr">
        <is>
          <t>Leisure Products</t>
        </is>
      </c>
      <c r="C187" s="6" t="n"/>
      <c r="D187" s="36" t="n">
        <v>1.15</v>
      </c>
    </row>
    <row r="188">
      <c r="A188" s="6" t="n">
        <v>25203010</v>
      </c>
      <c r="B188" s="6" t="inlineStr">
        <is>
          <t>Apparel, Accessories &amp; Luxury Goods</t>
        </is>
      </c>
      <c r="C188" s="6" t="n"/>
      <c r="D188" s="36" t="n">
        <v>0.7</v>
      </c>
    </row>
    <row r="189">
      <c r="A189" s="6" t="n">
        <v>25203020</v>
      </c>
      <c r="B189" s="6" t="inlineStr">
        <is>
          <t>Footwear</t>
        </is>
      </c>
      <c r="C189" s="6" t="n"/>
      <c r="D189" s="36" t="n">
        <v>1.3</v>
      </c>
    </row>
    <row r="190">
      <c r="A190" s="6" t="n">
        <v>25203030</v>
      </c>
      <c r="B190" s="6" t="inlineStr">
        <is>
          <t>Textiles</t>
        </is>
      </c>
      <c r="C190" s="6" t="n"/>
      <c r="D190" s="36" t="n">
        <v>1</v>
      </c>
    </row>
    <row r="191">
      <c r="A191" s="6" t="n">
        <v>25301010</v>
      </c>
      <c r="B191" s="6" t="inlineStr">
        <is>
          <t>Casinos &amp; Gaming</t>
        </is>
      </c>
      <c r="C191" s="6" t="n"/>
      <c r="D191" s="36" t="n">
        <v>1</v>
      </c>
    </row>
    <row r="192">
      <c r="A192" s="6" t="n">
        <v>25301020</v>
      </c>
      <c r="B192" s="6" t="inlineStr">
        <is>
          <t>Hotels, Resorts &amp; Cruise Lines</t>
        </is>
      </c>
      <c r="C192" s="6" t="n"/>
      <c r="D192" s="36" t="n">
        <v>0.85</v>
      </c>
    </row>
    <row r="193">
      <c r="A193" s="6" t="n">
        <v>25301030</v>
      </c>
      <c r="B193" s="6" t="inlineStr">
        <is>
          <t>Leisure Facilities</t>
        </is>
      </c>
      <c r="C193" s="6" t="n"/>
      <c r="D193" s="36" t="n">
        <v>0.7</v>
      </c>
    </row>
    <row r="194">
      <c r="A194" s="6" t="n">
        <v>25301040</v>
      </c>
      <c r="B194" s="6" t="inlineStr">
        <is>
          <t>Restaurants</t>
        </is>
      </c>
      <c r="C194" s="6" t="n"/>
      <c r="D194" s="36" t="n">
        <v>1.3</v>
      </c>
    </row>
    <row r="195">
      <c r="A195" s="6" t="n">
        <v>25302010</v>
      </c>
      <c r="B195" s="6" t="inlineStr">
        <is>
          <t>Education Services</t>
        </is>
      </c>
      <c r="C195" s="6" t="n"/>
      <c r="D195" s="36" t="n">
        <v>1.3</v>
      </c>
    </row>
    <row r="196">
      <c r="A196" s="6" t="n">
        <v>25302020</v>
      </c>
      <c r="B196" s="6" t="inlineStr">
        <is>
          <t>Specialized Consumer Services</t>
        </is>
      </c>
      <c r="C196" s="6" t="n"/>
      <c r="D196" s="36" t="n">
        <v>1.15</v>
      </c>
    </row>
    <row r="197">
      <c r="A197" s="6" t="n">
        <v>25501010</v>
      </c>
      <c r="B197" s="6" t="inlineStr">
        <is>
          <t>Distributors</t>
        </is>
      </c>
      <c r="C197" s="6" t="n"/>
      <c r="D197" s="36" t="n">
        <v>0.85</v>
      </c>
    </row>
    <row r="198">
      <c r="A198" s="6" t="n">
        <v>25503030</v>
      </c>
      <c r="B198" s="6" t="inlineStr">
        <is>
          <t>Broadline Retail</t>
        </is>
      </c>
      <c r="C198" s="6" t="n"/>
      <c r="D198" s="36" t="n">
        <v>1</v>
      </c>
    </row>
    <row r="199">
      <c r="A199" s="6" t="n">
        <v>25504010</v>
      </c>
      <c r="B199" s="6" t="inlineStr">
        <is>
          <t>Apparel Retail</t>
        </is>
      </c>
      <c r="C199" s="6" t="n"/>
      <c r="D199" s="36" t="n">
        <v>1</v>
      </c>
    </row>
    <row r="200">
      <c r="A200" s="6" t="n">
        <v>25504020</v>
      </c>
      <c r="B200" s="6" t="inlineStr">
        <is>
          <t>Computer &amp; Electronics Retail</t>
        </is>
      </c>
      <c r="C200" s="6" t="n"/>
      <c r="D200" s="36" t="n">
        <v>0.7</v>
      </c>
    </row>
    <row r="201">
      <c r="A201" s="6" t="n">
        <v>25504030</v>
      </c>
      <c r="B201" s="6" t="inlineStr">
        <is>
          <t>Home Improvement Retail</t>
        </is>
      </c>
      <c r="C201" s="6" t="n"/>
      <c r="D201" s="36" t="n">
        <v>1.3</v>
      </c>
    </row>
    <row r="202">
      <c r="A202" s="6" t="n">
        <v>25504040</v>
      </c>
      <c r="B202" s="6" t="inlineStr">
        <is>
          <t>Other Specialty Retail</t>
        </is>
      </c>
      <c r="C202" s="6" t="n"/>
      <c r="D202" s="36" t="n">
        <v>1.15</v>
      </c>
    </row>
    <row r="203">
      <c r="A203" s="6" t="n">
        <v>25504050</v>
      </c>
      <c r="B203" s="6" t="inlineStr">
        <is>
          <t>Automotive Retail</t>
        </is>
      </c>
      <c r="C203" s="6" t="n"/>
      <c r="D203" s="36" t="n">
        <v>1</v>
      </c>
    </row>
    <row r="204">
      <c r="A204" s="6" t="n">
        <v>25504060</v>
      </c>
      <c r="B204" s="6" t="inlineStr">
        <is>
          <t>Homefurnishing Retail</t>
        </is>
      </c>
      <c r="C204" s="6" t="n"/>
      <c r="D204" s="36" t="n">
        <v>0.85</v>
      </c>
    </row>
    <row r="205">
      <c r="A205" s="6" t="n">
        <v>30101010</v>
      </c>
      <c r="B205" s="6" t="inlineStr">
        <is>
          <t>Drug Retail</t>
        </is>
      </c>
      <c r="C205" s="6" t="n"/>
      <c r="D205" s="36" t="n">
        <v>1.3</v>
      </c>
    </row>
    <row r="206">
      <c r="A206" s="6" t="n">
        <v>30101020</v>
      </c>
      <c r="B206" s="6" t="inlineStr">
        <is>
          <t>Food Distributors</t>
        </is>
      </c>
      <c r="C206" s="6" t="n"/>
      <c r="D206" s="36" t="n">
        <v>1.15</v>
      </c>
    </row>
    <row r="207">
      <c r="A207" s="6" t="n">
        <v>30101030</v>
      </c>
      <c r="B207" s="6" t="inlineStr">
        <is>
          <t>Food Retail</t>
        </is>
      </c>
      <c r="C207" s="6" t="n"/>
      <c r="D207" s="36" t="n">
        <v>1</v>
      </c>
    </row>
    <row r="208">
      <c r="A208" s="6" t="n">
        <v>30101040</v>
      </c>
      <c r="B208" s="6" t="inlineStr">
        <is>
          <t>Consumer Staples Merchandise Retail</t>
        </is>
      </c>
      <c r="C208" s="6" t="n"/>
      <c r="D208" s="36" t="n">
        <v>0.85</v>
      </c>
    </row>
    <row r="209">
      <c r="A209" s="6" t="n">
        <v>30201010</v>
      </c>
      <c r="B209" s="6" t="inlineStr">
        <is>
          <t>Brewers</t>
        </is>
      </c>
      <c r="C209" s="6" t="n"/>
      <c r="D209" s="36" t="n">
        <v>0.85</v>
      </c>
    </row>
    <row r="210">
      <c r="A210" s="6" t="n">
        <v>30201020</v>
      </c>
      <c r="B210" s="6" t="inlineStr">
        <is>
          <t>Distillers &amp; Vintners</t>
        </is>
      </c>
      <c r="C210" s="6" t="n"/>
      <c r="D210" s="36" t="n">
        <v>0.7</v>
      </c>
    </row>
    <row r="211">
      <c r="A211" s="6" t="n">
        <v>30201030</v>
      </c>
      <c r="B211" s="6" t="inlineStr">
        <is>
          <t>Soft Drinks &amp; Non-alcoholic Beverages</t>
        </is>
      </c>
      <c r="C211" s="6" t="n"/>
      <c r="D211" s="36" t="n">
        <v>1.3</v>
      </c>
    </row>
    <row r="212">
      <c r="A212" s="6" t="n">
        <v>30202010</v>
      </c>
      <c r="B212" s="6" t="inlineStr">
        <is>
          <t>Agricultural Products &amp; Services</t>
        </is>
      </c>
      <c r="C212" s="6" t="n"/>
      <c r="D212" s="36" t="n">
        <v>1.15</v>
      </c>
    </row>
    <row r="213">
      <c r="A213" s="6" t="n">
        <v>30202030</v>
      </c>
      <c r="B213" s="6" t="inlineStr">
        <is>
          <t>Packaged Foods &amp; Meats</t>
        </is>
      </c>
      <c r="C213" s="6" t="n"/>
      <c r="D213" s="36" t="n">
        <v>0.7</v>
      </c>
    </row>
    <row r="214">
      <c r="A214" s="6" t="n">
        <v>30203010</v>
      </c>
      <c r="B214" s="6" t="inlineStr">
        <is>
          <t>Tobacco</t>
        </is>
      </c>
      <c r="C214" s="6" t="n"/>
      <c r="D214" s="36" t="n">
        <v>0.7</v>
      </c>
    </row>
    <row r="215">
      <c r="A215" s="6" t="n">
        <v>30301010</v>
      </c>
      <c r="B215" s="6" t="inlineStr">
        <is>
          <t>Household Products</t>
        </is>
      </c>
      <c r="C215" s="6" t="n"/>
      <c r="D215" s="36" t="n">
        <v>1</v>
      </c>
    </row>
    <row r="216">
      <c r="A216" s="6" t="n">
        <v>30302010</v>
      </c>
      <c r="B216" s="6" t="inlineStr">
        <is>
          <t>Personal Care Products</t>
        </is>
      </c>
      <c r="C216" s="6" t="n"/>
      <c r="D216" s="36" t="n">
        <v>1.3</v>
      </c>
    </row>
    <row r="217">
      <c r="A217" s="6" t="n">
        <v>35101010</v>
      </c>
      <c r="B217" s="6" t="inlineStr">
        <is>
          <t>Health Care Equipment</t>
        </is>
      </c>
      <c r="C217" s="6" t="n"/>
      <c r="D217" s="36" t="n">
        <v>1.3</v>
      </c>
    </row>
    <row r="218">
      <c r="A218" s="6" t="n">
        <v>35101020</v>
      </c>
      <c r="B218" s="6" t="inlineStr">
        <is>
          <t>Health Care Supplies</t>
        </is>
      </c>
      <c r="C218" s="6" t="n"/>
      <c r="D218" s="36" t="n">
        <v>1.15</v>
      </c>
    </row>
    <row r="219">
      <c r="A219" s="6" t="n">
        <v>35102010</v>
      </c>
      <c r="B219" s="6" t="inlineStr">
        <is>
          <t>Health Care Distributors</t>
        </is>
      </c>
      <c r="C219" s="6" t="n"/>
      <c r="D219" s="36" t="n">
        <v>0.85</v>
      </c>
    </row>
    <row r="220">
      <c r="A220" s="6" t="n">
        <v>35102015</v>
      </c>
      <c r="B220" s="6" t="inlineStr">
        <is>
          <t>Health Care Services</t>
        </is>
      </c>
      <c r="C220" s="6" t="n"/>
      <c r="D220" s="36" t="n">
        <v>1.15</v>
      </c>
    </row>
    <row r="221">
      <c r="A221" s="6" t="n">
        <v>35102020</v>
      </c>
      <c r="B221" s="6" t="inlineStr">
        <is>
          <t>Health Care Facilities</t>
        </is>
      </c>
      <c r="C221" s="6" t="n"/>
      <c r="D221" s="36" t="n">
        <v>0.7</v>
      </c>
    </row>
    <row r="222">
      <c r="A222" s="6" t="n">
        <v>35102030</v>
      </c>
      <c r="B222" s="6" t="inlineStr">
        <is>
          <t>Managed Health Care</t>
        </is>
      </c>
      <c r="C222" s="6" t="n"/>
      <c r="D222" s="36" t="n">
        <v>1.3</v>
      </c>
    </row>
    <row r="223">
      <c r="A223" s="6" t="n">
        <v>35103010</v>
      </c>
      <c r="B223" s="6" t="inlineStr">
        <is>
          <t>Health Care Technology</t>
        </is>
      </c>
      <c r="C223" s="6" t="n"/>
      <c r="D223" s="36" t="n">
        <v>1.15</v>
      </c>
    </row>
    <row r="224">
      <c r="A224" s="6" t="n">
        <v>35201010</v>
      </c>
      <c r="B224" s="6" t="inlineStr">
        <is>
          <t>Biotechnology</t>
        </is>
      </c>
      <c r="C224" s="6" t="n"/>
      <c r="D224" s="36" t="n">
        <v>0.85</v>
      </c>
    </row>
    <row r="225">
      <c r="A225" s="6" t="n">
        <v>35202010</v>
      </c>
      <c r="B225" s="6" t="inlineStr">
        <is>
          <t>Pharmaceuticals</t>
        </is>
      </c>
      <c r="C225" s="6" t="n"/>
      <c r="D225" s="36" t="n">
        <v>1.15</v>
      </c>
    </row>
    <row r="226">
      <c r="A226" s="6" t="n">
        <v>35203010</v>
      </c>
      <c r="B226" s="6" t="inlineStr">
        <is>
          <t>Life Sciences Tools &amp; Services</t>
        </is>
      </c>
      <c r="C226" s="6" t="n"/>
      <c r="D226" s="36" t="n">
        <v>0.7</v>
      </c>
    </row>
    <row r="227">
      <c r="A227" s="6" t="n">
        <v>40101010</v>
      </c>
      <c r="B227" s="6" t="inlineStr">
        <is>
          <t>Diversified Banks</t>
        </is>
      </c>
      <c r="C227" s="6" t="n"/>
      <c r="D227" s="36" t="n">
        <v>1.3</v>
      </c>
    </row>
    <row r="228">
      <c r="A228" s="6" t="n">
        <v>40101015</v>
      </c>
      <c r="B228" s="6" t="inlineStr">
        <is>
          <t>Regional Banks</t>
        </is>
      </c>
      <c r="C228" s="6" t="n"/>
      <c r="D228" s="36" t="n">
        <v>0.85</v>
      </c>
    </row>
    <row r="229">
      <c r="A229" s="6" t="n">
        <v>40201020</v>
      </c>
      <c r="B229" s="6" t="inlineStr">
        <is>
          <t>Diversified Financial Services</t>
        </is>
      </c>
      <c r="C229" s="6" t="n"/>
      <c r="D229" s="36" t="n">
        <v>0.7</v>
      </c>
    </row>
    <row r="230">
      <c r="A230" s="6" t="n">
        <v>40201030</v>
      </c>
      <c r="B230" s="6" t="inlineStr">
        <is>
          <t>Multi-Sector Holdings</t>
        </is>
      </c>
      <c r="C230" s="6" t="n"/>
      <c r="D230" s="36" t="n">
        <v>1.3</v>
      </c>
    </row>
    <row r="231">
      <c r="A231" s="6" t="n">
        <v>40201040</v>
      </c>
      <c r="B231" s="6" t="inlineStr">
        <is>
          <t>Specialized Finance</t>
        </is>
      </c>
      <c r="C231" s="6" t="n"/>
      <c r="D231" s="36" t="n">
        <v>1</v>
      </c>
    </row>
    <row r="232">
      <c r="A232" s="6" t="n">
        <v>40201050</v>
      </c>
      <c r="B232" s="6" t="inlineStr">
        <is>
          <t>Commercial &amp; Residential Mortgage Finance</t>
        </is>
      </c>
      <c r="C232" s="6" t="n"/>
      <c r="D232" s="36" t="n">
        <v>0.85</v>
      </c>
    </row>
    <row r="233">
      <c r="A233" s="6" t="n">
        <v>40201060</v>
      </c>
      <c r="B233" s="6" t="inlineStr">
        <is>
          <t>Transaction &amp; Payment Processing Services</t>
        </is>
      </c>
      <c r="C233" s="6" t="n"/>
      <c r="D233" s="36" t="n">
        <v>0.7</v>
      </c>
    </row>
    <row r="234">
      <c r="A234" s="6" t="n">
        <v>40202010</v>
      </c>
      <c r="B234" s="6" t="inlineStr">
        <is>
          <t>Consumer Finance</t>
        </is>
      </c>
      <c r="C234" s="6" t="n"/>
      <c r="D234" s="36" t="n">
        <v>1.15</v>
      </c>
    </row>
    <row r="235">
      <c r="A235" s="6" t="n">
        <v>40203010</v>
      </c>
      <c r="B235" s="6" t="inlineStr">
        <is>
          <t>Asset Management &amp; Custody Banks</t>
        </is>
      </c>
      <c r="C235" s="6" t="n"/>
      <c r="D235" s="36" t="n">
        <v>0.7</v>
      </c>
    </row>
    <row r="236">
      <c r="A236" s="6" t="n">
        <v>40203020</v>
      </c>
      <c r="B236" s="6" t="inlineStr">
        <is>
          <t>Investment Banking &amp; Brokerage</t>
        </is>
      </c>
      <c r="C236" s="6" t="n"/>
      <c r="D236" s="36" t="n">
        <v>1.3</v>
      </c>
    </row>
    <row r="237">
      <c r="A237" s="6" t="n">
        <v>40203030</v>
      </c>
      <c r="B237" s="6" t="inlineStr">
        <is>
          <t>Diversified Capital Markets</t>
        </is>
      </c>
      <c r="C237" s="6" t="n"/>
      <c r="D237" s="36" t="n">
        <v>1.15</v>
      </c>
    </row>
    <row r="238">
      <c r="A238" s="6" t="n">
        <v>40203040</v>
      </c>
      <c r="B238" s="6" t="inlineStr">
        <is>
          <t>Financial Exchanges &amp; Data</t>
        </is>
      </c>
      <c r="C238" s="6" t="n"/>
      <c r="D238" s="36" t="n">
        <v>0.85</v>
      </c>
    </row>
    <row r="239">
      <c r="A239" s="6" t="n">
        <v>40204010</v>
      </c>
      <c r="B239" s="6" t="inlineStr">
        <is>
          <t>Mortgage REITs*</t>
        </is>
      </c>
      <c r="C239" s="6" t="n"/>
      <c r="D239" s="36" t="n">
        <v>1</v>
      </c>
    </row>
    <row r="240">
      <c r="A240" s="6" t="n">
        <v>40301010</v>
      </c>
      <c r="B240" s="6" t="inlineStr">
        <is>
          <t>Insurance Brokers</t>
        </is>
      </c>
      <c r="C240" s="6" t="n"/>
      <c r="D240" s="36" t="n">
        <v>1.15</v>
      </c>
    </row>
    <row r="241">
      <c r="A241" s="6" t="n">
        <v>40301020</v>
      </c>
      <c r="B241" s="6" t="inlineStr">
        <is>
          <t>Life &amp; Health Insurance</t>
        </is>
      </c>
      <c r="C241" s="6" t="n"/>
      <c r="D241" s="36" t="n">
        <v>0.85</v>
      </c>
    </row>
    <row r="242">
      <c r="A242" s="6" t="n">
        <v>40301030</v>
      </c>
      <c r="B242" s="6" t="inlineStr">
        <is>
          <t>Multi-line Insurance</t>
        </is>
      </c>
      <c r="C242" s="6" t="n"/>
      <c r="D242" s="36" t="n">
        <v>0.7</v>
      </c>
    </row>
    <row r="243">
      <c r="A243" s="6" t="n">
        <v>40301040</v>
      </c>
      <c r="B243" s="6" t="inlineStr">
        <is>
          <t>Property &amp; Casualty Insurance</t>
        </is>
      </c>
      <c r="C243" s="6" t="n"/>
      <c r="D243" s="36" t="n">
        <v>1.3</v>
      </c>
    </row>
    <row r="244">
      <c r="A244" s="6" t="n">
        <v>40301050</v>
      </c>
      <c r="B244" s="6" t="inlineStr">
        <is>
          <t>Reinsurance</t>
        </is>
      </c>
      <c r="C244" s="6" t="n"/>
      <c r="D244" s="36" t="n">
        <v>1.15</v>
      </c>
    </row>
    <row r="245">
      <c r="A245" s="6" t="n">
        <v>45102010</v>
      </c>
      <c r="B245" s="6" t="inlineStr">
        <is>
          <t>IT Consulting &amp; Other Services</t>
        </is>
      </c>
      <c r="C245" s="6" t="n"/>
      <c r="D245" s="36" t="n">
        <v>0.85</v>
      </c>
    </row>
    <row r="246">
      <c r="A246" s="6" t="n">
        <v>45102030</v>
      </c>
      <c r="B246" s="6" t="inlineStr">
        <is>
          <t>Internet Services &amp; Infrastructure</t>
        </is>
      </c>
      <c r="C246" s="6" t="n"/>
      <c r="D246" s="36" t="n">
        <v>1.3</v>
      </c>
    </row>
    <row r="247">
      <c r="A247" s="6" t="n">
        <v>45103010</v>
      </c>
      <c r="B247" s="6" t="inlineStr">
        <is>
          <t>Application Software</t>
        </is>
      </c>
      <c r="C247" s="6" t="n"/>
      <c r="D247" s="36" t="n">
        <v>1.15</v>
      </c>
    </row>
    <row r="248">
      <c r="A248" s="6" t="n">
        <v>45103020</v>
      </c>
      <c r="B248" s="6" t="inlineStr">
        <is>
          <t>Systems Software</t>
        </is>
      </c>
      <c r="C248" s="6" t="n"/>
      <c r="D248" s="36" t="n">
        <v>1</v>
      </c>
    </row>
    <row r="249">
      <c r="A249" s="6" t="n">
        <v>45201020</v>
      </c>
      <c r="B249" s="6" t="inlineStr">
        <is>
          <t>Communications Equipment</t>
        </is>
      </c>
      <c r="C249" s="6" t="n"/>
      <c r="D249" s="36" t="n">
        <v>0.7</v>
      </c>
    </row>
    <row r="250">
      <c r="A250" s="6" t="n">
        <v>45202030</v>
      </c>
      <c r="B250" s="6" t="inlineStr">
        <is>
          <t>Technology Hardware, Storage &amp; Peripherals</t>
        </is>
      </c>
      <c r="C250" s="6" t="n"/>
      <c r="D250" s="36" t="n">
        <v>0.85</v>
      </c>
    </row>
    <row r="251">
      <c r="A251" s="6" t="n">
        <v>45203010</v>
      </c>
      <c r="B251" s="6" t="inlineStr">
        <is>
          <t>Electronic Equipment &amp; Instruments</t>
        </is>
      </c>
      <c r="C251" s="6" t="n"/>
      <c r="D251" s="36" t="n">
        <v>0.7</v>
      </c>
    </row>
    <row r="252">
      <c r="A252" s="6" t="n">
        <v>45203015</v>
      </c>
      <c r="B252" s="6" t="inlineStr">
        <is>
          <t>Electronic Components</t>
        </is>
      </c>
      <c r="C252" s="6" t="n"/>
      <c r="D252" s="36" t="n">
        <v>1</v>
      </c>
    </row>
    <row r="253">
      <c r="A253" s="6" t="n">
        <v>45203020</v>
      </c>
      <c r="B253" s="6" t="inlineStr">
        <is>
          <t>Electronic Manufacturing Services</t>
        </is>
      </c>
      <c r="C253" s="6" t="n"/>
      <c r="D253" s="36" t="n">
        <v>1.3</v>
      </c>
    </row>
    <row r="254">
      <c r="A254" s="6" t="n">
        <v>45203030</v>
      </c>
      <c r="B254" s="6" t="inlineStr">
        <is>
          <t>Technology Distributors</t>
        </is>
      </c>
      <c r="C254" s="6" t="n"/>
      <c r="D254" s="36" t="n">
        <v>1.15</v>
      </c>
    </row>
    <row r="255">
      <c r="A255" s="6" t="n">
        <v>45301010</v>
      </c>
      <c r="B255" s="6" t="inlineStr">
        <is>
          <t>Semiconductor Materials &amp; Equipment</t>
        </is>
      </c>
      <c r="C255" s="6" t="n"/>
      <c r="D255" s="36" t="n">
        <v>1.15</v>
      </c>
    </row>
    <row r="256">
      <c r="A256" s="6" t="n">
        <v>45301020</v>
      </c>
      <c r="B256" s="6" t="inlineStr">
        <is>
          <t>Semiconductors</t>
        </is>
      </c>
      <c r="C256" s="6" t="n"/>
      <c r="D256" s="36" t="n">
        <v>1</v>
      </c>
    </row>
    <row r="257">
      <c r="A257" s="6" t="n">
        <v>50101010</v>
      </c>
      <c r="B257" s="6" t="inlineStr">
        <is>
          <t>Alternative Carriers</t>
        </is>
      </c>
      <c r="C257" s="6" t="n"/>
      <c r="D257" s="36" t="n">
        <v>0.7</v>
      </c>
    </row>
    <row r="258">
      <c r="A258" s="6" t="n">
        <v>50101020</v>
      </c>
      <c r="B258" s="6" t="inlineStr">
        <is>
          <t>Integrated Telecommunication Services</t>
        </is>
      </c>
      <c r="C258" s="6" t="n"/>
      <c r="D258" s="36" t="n">
        <v>1.15</v>
      </c>
    </row>
    <row r="259">
      <c r="A259" s="6" t="n">
        <v>50102010</v>
      </c>
      <c r="B259" s="6" t="inlineStr">
        <is>
          <t>Wireless Telecommunication Services</t>
        </is>
      </c>
      <c r="C259" s="6" t="n"/>
      <c r="D259" s="36" t="n">
        <v>1</v>
      </c>
    </row>
    <row r="260">
      <c r="A260" s="6" t="n">
        <v>50201010</v>
      </c>
      <c r="B260" s="6" t="inlineStr">
        <is>
          <t>Advertising</t>
        </is>
      </c>
      <c r="C260" s="6" t="n"/>
      <c r="D260" s="36" t="n">
        <v>0.85</v>
      </c>
    </row>
    <row r="261">
      <c r="A261" s="6" t="n">
        <v>50201020</v>
      </c>
      <c r="B261" s="6" t="inlineStr">
        <is>
          <t>Broadcasting</t>
        </is>
      </c>
      <c r="C261" s="6" t="n"/>
      <c r="D261" s="36" t="n">
        <v>0.7</v>
      </c>
    </row>
    <row r="262">
      <c r="A262" s="6" t="n">
        <v>50201030</v>
      </c>
      <c r="B262" s="6" t="inlineStr">
        <is>
          <t>Cable &amp; Satellite</t>
        </is>
      </c>
      <c r="C262" s="6" t="n"/>
      <c r="D262" s="36" t="n">
        <v>1.3</v>
      </c>
    </row>
    <row r="263">
      <c r="A263" s="6" t="n">
        <v>50201040</v>
      </c>
      <c r="B263" s="6" t="inlineStr">
        <is>
          <t>Publishing</t>
        </is>
      </c>
      <c r="C263" s="6" t="n"/>
      <c r="D263" s="36" t="n">
        <v>1.15</v>
      </c>
    </row>
    <row r="264">
      <c r="A264" s="6" t="n">
        <v>50202010</v>
      </c>
      <c r="B264" s="6" t="inlineStr">
        <is>
          <t>Movies &amp; Entertainment</t>
        </is>
      </c>
      <c r="C264" s="6" t="n"/>
      <c r="D264" s="36" t="n">
        <v>1.15</v>
      </c>
    </row>
    <row r="265">
      <c r="A265" s="6" t="n">
        <v>50202020</v>
      </c>
      <c r="B265" s="6" t="inlineStr">
        <is>
          <t>Interactive Home Entertainment</t>
        </is>
      </c>
      <c r="C265" s="6" t="n"/>
      <c r="D265" s="36" t="n">
        <v>1</v>
      </c>
    </row>
    <row r="266">
      <c r="A266" s="6" t="n">
        <v>50203010</v>
      </c>
      <c r="B266" s="6" t="inlineStr">
        <is>
          <t>Interactive Media &amp; Services</t>
        </is>
      </c>
      <c r="C266" s="6" t="n"/>
      <c r="D266" s="36" t="n">
        <v>0.7</v>
      </c>
    </row>
    <row r="267">
      <c r="A267" s="6" t="n">
        <v>55101010</v>
      </c>
      <c r="B267" s="6" t="inlineStr">
        <is>
          <t>Electric Utilities</t>
        </is>
      </c>
      <c r="C267" s="6" t="n"/>
      <c r="D267" s="36" t="n">
        <v>0.7</v>
      </c>
    </row>
    <row r="268">
      <c r="A268" s="6" t="n">
        <v>55102010</v>
      </c>
      <c r="B268" s="6" t="inlineStr">
        <is>
          <t>Gas Utilities</t>
        </is>
      </c>
      <c r="C268" s="6" t="n"/>
      <c r="D268" s="36" t="n">
        <v>1</v>
      </c>
    </row>
    <row r="269">
      <c r="A269" s="6" t="n">
        <v>55103010</v>
      </c>
      <c r="B269" s="6" t="inlineStr">
        <is>
          <t>Multi-Utilities</t>
        </is>
      </c>
      <c r="C269" s="6" t="n"/>
      <c r="D269" s="36" t="n">
        <v>1.3</v>
      </c>
    </row>
    <row r="270">
      <c r="A270" s="6" t="n">
        <v>55104010</v>
      </c>
      <c r="B270" s="6" t="inlineStr">
        <is>
          <t>Water Utilities</t>
        </is>
      </c>
      <c r="C270" s="6" t="n"/>
      <c r="D270" s="36" t="n">
        <v>0.85</v>
      </c>
    </row>
    <row r="271">
      <c r="A271" s="6" t="n">
        <v>55105010</v>
      </c>
      <c r="B271" s="6" t="inlineStr">
        <is>
          <t>Independent Power Producers &amp; Energy Traders</t>
        </is>
      </c>
      <c r="C271" s="6" t="n"/>
      <c r="D271" s="36" t="n">
        <v>1</v>
      </c>
    </row>
    <row r="272">
      <c r="A272" s="6" t="n">
        <v>55105020</v>
      </c>
      <c r="B272" s="6" t="inlineStr">
        <is>
          <t>Renewable Electricity</t>
        </is>
      </c>
      <c r="C272" s="6" t="n"/>
      <c r="D272" s="36" t="n">
        <v>0.85</v>
      </c>
    </row>
    <row r="273">
      <c r="A273" s="6" t="n">
        <v>60101010</v>
      </c>
      <c r="B273" s="6" t="inlineStr">
        <is>
          <t>Diversified REITs*</t>
        </is>
      </c>
      <c r="C273" s="6" t="n"/>
      <c r="D273" s="36" t="n">
        <v>0.7</v>
      </c>
    </row>
    <row r="274">
      <c r="A274" s="6" t="n">
        <v>60102510</v>
      </c>
      <c r="B274" s="6" t="inlineStr">
        <is>
          <t>Industrial REITs*</t>
        </is>
      </c>
      <c r="C274" s="6" t="n"/>
      <c r="D274" s="36" t="n">
        <v>1.15</v>
      </c>
    </row>
    <row r="275">
      <c r="A275" s="6" t="n">
        <v>60103010</v>
      </c>
      <c r="B275" s="6" t="inlineStr">
        <is>
          <t>Hotel &amp; Resort REITs*</t>
        </is>
      </c>
      <c r="C275" s="6" t="n"/>
      <c r="D275" s="36" t="n">
        <v>1.3</v>
      </c>
    </row>
    <row r="276">
      <c r="A276" s="6" t="n">
        <v>60104010</v>
      </c>
      <c r="B276" s="6" t="inlineStr">
        <is>
          <t>Office REITs*</t>
        </is>
      </c>
      <c r="C276" s="6" t="n"/>
      <c r="D276" s="36" t="n">
        <v>0.85</v>
      </c>
    </row>
    <row r="277">
      <c r="A277" s="6" t="n">
        <v>60105010</v>
      </c>
      <c r="B277" s="6" t="inlineStr">
        <is>
          <t>Health Care REITs*</t>
        </is>
      </c>
      <c r="C277" s="6" t="n"/>
      <c r="D277" s="36" t="n">
        <v>1.15</v>
      </c>
    </row>
    <row r="278">
      <c r="A278" s="6" t="n">
        <v>60106010</v>
      </c>
      <c r="B278" s="6" t="inlineStr">
        <is>
          <t>Multi-Family Residential REITs*</t>
        </is>
      </c>
      <c r="C278" s="6" t="n"/>
      <c r="D278" s="36" t="n">
        <v>0.7</v>
      </c>
    </row>
    <row r="279">
      <c r="A279" s="6" t="n">
        <v>60106020</v>
      </c>
      <c r="B279" s="6" t="inlineStr">
        <is>
          <t>Single-Family Residential REITs*</t>
        </is>
      </c>
      <c r="C279" s="6" t="n"/>
      <c r="D279" s="36" t="n">
        <v>1.15</v>
      </c>
    </row>
    <row r="280">
      <c r="A280" s="6" t="n">
        <v>60107010</v>
      </c>
      <c r="B280" s="6" t="inlineStr">
        <is>
          <t>Retail REITs*</t>
        </is>
      </c>
      <c r="C280" s="6" t="n"/>
      <c r="D280" s="36" t="n">
        <v>0.85</v>
      </c>
    </row>
    <row r="281">
      <c r="A281" s="6" t="n">
        <v>60108010</v>
      </c>
      <c r="B281" s="6" t="inlineStr">
        <is>
          <t>Other Specialized REITs*</t>
        </is>
      </c>
      <c r="C281" s="6" t="n"/>
      <c r="D281" s="36" t="n">
        <v>1.15</v>
      </c>
    </row>
    <row r="282">
      <c r="A282" s="6" t="n">
        <v>60108020</v>
      </c>
      <c r="B282" s="6" t="inlineStr">
        <is>
          <t>Self-Storage REITs*</t>
        </is>
      </c>
      <c r="C282" s="6" t="n"/>
      <c r="D282" s="36" t="n">
        <v>1</v>
      </c>
    </row>
    <row r="283">
      <c r="A283" s="6" t="n">
        <v>60108030</v>
      </c>
      <c r="B283" s="6" t="inlineStr">
        <is>
          <t>Telecom Tower REITs*</t>
        </is>
      </c>
      <c r="C283" s="6" t="n"/>
      <c r="D283" s="36" t="n">
        <v>0.85</v>
      </c>
    </row>
    <row r="284">
      <c r="A284" s="6" t="n">
        <v>60108040</v>
      </c>
      <c r="B284" s="6" t="inlineStr">
        <is>
          <t>Timber REITs*</t>
        </is>
      </c>
      <c r="C284" s="6" t="n"/>
      <c r="D284" s="36" t="n">
        <v>0.7</v>
      </c>
    </row>
    <row r="285">
      <c r="A285" s="6" t="n">
        <v>60108050</v>
      </c>
      <c r="B285" s="6" t="inlineStr">
        <is>
          <t>Data Center REITs*</t>
        </is>
      </c>
      <c r="C285" s="6" t="n"/>
      <c r="D285" s="36" t="n">
        <v>1.3</v>
      </c>
    </row>
    <row r="286">
      <c r="A286" s="6" t="n">
        <v>60201010</v>
      </c>
      <c r="B286" s="6" t="inlineStr">
        <is>
          <t>Diversified Real Estate Activities</t>
        </is>
      </c>
      <c r="C286" s="6" t="n"/>
      <c r="D286" s="36" t="n">
        <v>0.85</v>
      </c>
    </row>
    <row r="287">
      <c r="A287" s="6" t="n">
        <v>60201020</v>
      </c>
      <c r="B287" s="6" t="inlineStr">
        <is>
          <t>Real Estate Operating Companies</t>
        </is>
      </c>
      <c r="C287" s="6" t="n"/>
      <c r="D287" s="36" t="n">
        <v>0.7</v>
      </c>
    </row>
    <row r="288">
      <c r="A288" s="6" t="n">
        <v>60201030</v>
      </c>
      <c r="B288" s="6" t="inlineStr">
        <is>
          <t>Real Estate Development</t>
        </is>
      </c>
      <c r="C288" s="6" t="n"/>
      <c r="D288" s="36" t="n">
        <v>1.3</v>
      </c>
    </row>
    <row r="289">
      <c r="A289" s="6" t="n">
        <v>60201040</v>
      </c>
      <c r="B289" s="6" t="inlineStr">
        <is>
          <t>Real Estate Services</t>
        </is>
      </c>
      <c r="C289" s="6" t="n"/>
      <c r="D289" s="36" t="n">
        <v>1.15</v>
      </c>
    </row>
  </sheetData>
  <mergeCells count="5">
    <mergeCell ref="A1:D1"/>
    <mergeCell ref="A18:D18"/>
    <mergeCell ref="A3:D3"/>
    <mergeCell ref="A125:D125"/>
    <mergeCell ref="A47:D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4" customWidth="1" min="2" max="2"/>
    <col width="12" customWidth="1" min="3" max="3"/>
    <col width="14" customWidth="1" min="4" max="4"/>
  </cols>
  <sheetData>
    <row r="1" ht="40" customHeight="1">
      <c r="A1" t="inlineStr">
        <is>
          <t>PASTE ZONE — DUMMY VALUES. Bloomberg issuer default-risk spread (bps, e.g. DRSK-implied CDS-equivalent spread) at each of the four GICS levels independently. Used to differentiate the exogenous spread-widening input on 11_TopDown_Spread_Engine via a RelSpread cascade. Replace with real data.</t>
        </is>
      </c>
    </row>
    <row r="3">
      <c r="A3" s="4" t="inlineStr">
        <is>
          <t>SECTOR (11)</t>
        </is>
      </c>
    </row>
    <row r="4">
      <c r="A4" s="5" t="inlineStr">
        <is>
          <t>Code</t>
        </is>
      </c>
      <c r="B4" s="5" t="inlineStr">
        <is>
          <t>Name</t>
        </is>
      </c>
      <c r="C4" s="5" t="inlineStr"/>
      <c r="D4" s="5" t="inlineStr">
        <is>
          <t>Default Risk
Spread bps (DUMMY)</t>
        </is>
      </c>
    </row>
    <row r="5">
      <c r="A5" s="6" t="n">
        <v>10</v>
      </c>
      <c r="B5" s="6" t="inlineStr">
        <is>
          <t>Energy</t>
        </is>
      </c>
      <c r="C5" s="6" t="n"/>
      <c r="D5" s="37" t="n">
        <v>220</v>
      </c>
    </row>
    <row r="6">
      <c r="A6" s="6" t="n">
        <v>15</v>
      </c>
      <c r="B6" s="6" t="inlineStr">
        <is>
          <t>Materials</t>
        </is>
      </c>
      <c r="C6" s="6" t="n"/>
      <c r="D6" s="37" t="n">
        <v>420</v>
      </c>
    </row>
    <row r="7">
      <c r="A7" s="6" t="n">
        <v>20</v>
      </c>
      <c r="B7" s="6" t="inlineStr">
        <is>
          <t>Industrials</t>
        </is>
      </c>
      <c r="C7" s="6" t="n"/>
      <c r="D7" s="37" t="n">
        <v>120</v>
      </c>
    </row>
    <row r="8">
      <c r="A8" s="6" t="n">
        <v>25</v>
      </c>
      <c r="B8" s="6" t="inlineStr">
        <is>
          <t>Consumer Discretionary</t>
        </is>
      </c>
      <c r="C8" s="6" t="n"/>
      <c r="D8" s="37" t="n">
        <v>320</v>
      </c>
    </row>
    <row r="9">
      <c r="A9" s="6" t="n">
        <v>30</v>
      </c>
      <c r="B9" s="6" t="inlineStr">
        <is>
          <t>Consumer Staples</t>
        </is>
      </c>
      <c r="C9" s="6" t="n"/>
      <c r="D9" s="37" t="n">
        <v>520</v>
      </c>
    </row>
    <row r="10">
      <c r="A10" s="6" t="n">
        <v>35</v>
      </c>
      <c r="B10" s="6" t="inlineStr">
        <is>
          <t>Health Care</t>
        </is>
      </c>
      <c r="C10" s="6" t="n"/>
      <c r="D10" s="37" t="n">
        <v>220</v>
      </c>
    </row>
    <row r="11">
      <c r="A11" s="6" t="n">
        <v>40</v>
      </c>
      <c r="B11" s="6" t="inlineStr">
        <is>
          <t>Financials</t>
        </is>
      </c>
      <c r="C11" s="6" t="n"/>
      <c r="D11" s="37" t="n">
        <v>420</v>
      </c>
    </row>
    <row r="12">
      <c r="A12" s="6" t="n">
        <v>45</v>
      </c>
      <c r="B12" s="6" t="inlineStr">
        <is>
          <t>Information Technology</t>
        </is>
      </c>
      <c r="C12" s="6" t="n"/>
      <c r="D12" s="37" t="n">
        <v>120</v>
      </c>
    </row>
    <row r="13">
      <c r="A13" s="6" t="n">
        <v>50</v>
      </c>
      <c r="B13" s="6" t="inlineStr">
        <is>
          <t>Communication Services</t>
        </is>
      </c>
      <c r="C13" s="6" t="n"/>
      <c r="D13" s="37" t="n">
        <v>320</v>
      </c>
    </row>
    <row r="14">
      <c r="A14" s="6" t="n">
        <v>55</v>
      </c>
      <c r="B14" s="6" t="inlineStr">
        <is>
          <t>Utilities</t>
        </is>
      </c>
      <c r="C14" s="6" t="n"/>
      <c r="D14" s="37" t="n">
        <v>520</v>
      </c>
    </row>
    <row r="15">
      <c r="A15" s="6" t="n">
        <v>60</v>
      </c>
      <c r="B15" s="6" t="inlineStr">
        <is>
          <t>Real Estate</t>
        </is>
      </c>
      <c r="C15" s="6" t="n"/>
      <c r="D15" s="37" t="n">
        <v>120</v>
      </c>
    </row>
    <row r="18">
      <c r="A18" s="4" t="inlineStr">
        <is>
          <t>INDUSTRY GROUP (25)</t>
        </is>
      </c>
    </row>
    <row r="19">
      <c r="A19" s="5" t="inlineStr">
        <is>
          <t>Code</t>
        </is>
      </c>
      <c r="B19" s="5" t="inlineStr">
        <is>
          <t>Name</t>
        </is>
      </c>
      <c r="C19" s="5" t="inlineStr"/>
      <c r="D19" s="5" t="inlineStr">
        <is>
          <t>Default Risk
Spread bps (DUMMY)</t>
        </is>
      </c>
    </row>
    <row r="20">
      <c r="A20" s="6" t="n">
        <v>1010</v>
      </c>
      <c r="B20" s="6" t="inlineStr">
        <is>
          <t>Energy</t>
        </is>
      </c>
      <c r="C20" s="6" t="n"/>
      <c r="D20" s="37" t="n">
        <v>420</v>
      </c>
    </row>
    <row r="21">
      <c r="A21" s="6" t="n">
        <v>1510</v>
      </c>
      <c r="B21" s="6" t="inlineStr">
        <is>
          <t>Materials</t>
        </is>
      </c>
      <c r="C21" s="6" t="n"/>
      <c r="D21" s="37" t="n">
        <v>520</v>
      </c>
    </row>
    <row r="22">
      <c r="A22" s="6" t="n">
        <v>2010</v>
      </c>
      <c r="B22" s="6" t="inlineStr">
        <is>
          <t>Capital Goods</t>
        </is>
      </c>
      <c r="C22" s="6" t="n"/>
      <c r="D22" s="37" t="n">
        <v>120</v>
      </c>
    </row>
    <row r="23">
      <c r="A23" s="6" t="n">
        <v>2020</v>
      </c>
      <c r="B23" s="6" t="inlineStr">
        <is>
          <t>Commercial  &amp; Professional Services</t>
        </is>
      </c>
      <c r="C23" s="6" t="n"/>
      <c r="D23" s="37" t="n">
        <v>520</v>
      </c>
    </row>
    <row r="24">
      <c r="A24" s="6" t="n">
        <v>2030</v>
      </c>
      <c r="B24" s="6" t="inlineStr">
        <is>
          <t>Transportation</t>
        </is>
      </c>
      <c r="C24" s="6" t="n"/>
      <c r="D24" s="37" t="n">
        <v>420</v>
      </c>
    </row>
    <row r="25">
      <c r="A25" s="6" t="n">
        <v>2510</v>
      </c>
      <c r="B25" s="6" t="inlineStr">
        <is>
          <t>Automobiles &amp; Components</t>
        </is>
      </c>
      <c r="C25" s="6" t="n"/>
      <c r="D25" s="37" t="n">
        <v>220</v>
      </c>
    </row>
    <row r="26">
      <c r="A26" s="6" t="n">
        <v>2520</v>
      </c>
      <c r="B26" s="6" t="inlineStr">
        <is>
          <t>Consumer Durables &amp; Apparel</t>
        </is>
      </c>
      <c r="C26" s="6" t="n"/>
      <c r="D26" s="37" t="n">
        <v>120</v>
      </c>
    </row>
    <row r="27">
      <c r="A27" s="6" t="n">
        <v>2530</v>
      </c>
      <c r="B27" s="6" t="inlineStr">
        <is>
          <t>Consumer Services</t>
        </is>
      </c>
      <c r="C27" s="6" t="n"/>
      <c r="D27" s="37" t="n">
        <v>520</v>
      </c>
    </row>
    <row r="28">
      <c r="A28" s="6" t="n">
        <v>2550</v>
      </c>
      <c r="B28" s="6" t="inlineStr">
        <is>
          <t>Consumer Discretionary Distribution &amp; Retail</t>
        </is>
      </c>
      <c r="C28" s="6" t="n"/>
      <c r="D28" s="37" t="n">
        <v>320</v>
      </c>
    </row>
    <row r="29">
      <c r="A29" s="6" t="n">
        <v>3010</v>
      </c>
      <c r="B29" s="6" t="inlineStr">
        <is>
          <t>Consumer Staples Distribution &amp; Retail</t>
        </is>
      </c>
      <c r="C29" s="6" t="n"/>
      <c r="D29" s="37" t="n">
        <v>320</v>
      </c>
    </row>
    <row r="30">
      <c r="A30" s="6" t="n">
        <v>3020</v>
      </c>
      <c r="B30" s="6" t="inlineStr">
        <is>
          <t>Food, Beverage &amp; Tobacco</t>
        </is>
      </c>
      <c r="C30" s="6" t="n"/>
      <c r="D30" s="37" t="n">
        <v>220</v>
      </c>
    </row>
    <row r="31">
      <c r="A31" s="6" t="n">
        <v>3030</v>
      </c>
      <c r="B31" s="6" t="inlineStr">
        <is>
          <t>Household &amp; Personal Products</t>
        </is>
      </c>
      <c r="C31" s="6" t="n"/>
      <c r="D31" s="37" t="n">
        <v>120</v>
      </c>
    </row>
    <row r="32">
      <c r="A32" s="6" t="n">
        <v>3510</v>
      </c>
      <c r="B32" s="6" t="inlineStr">
        <is>
          <t>Health Care Equipment &amp; Services</t>
        </is>
      </c>
      <c r="C32" s="6" t="n"/>
      <c r="D32" s="37" t="n">
        <v>420</v>
      </c>
    </row>
    <row r="33">
      <c r="A33" s="6" t="n">
        <v>3520</v>
      </c>
      <c r="B33" s="6" t="inlineStr">
        <is>
          <t>Pharmaceuticals, Biotechnology &amp; Life Sciences</t>
        </is>
      </c>
      <c r="C33" s="6" t="n"/>
      <c r="D33" s="37" t="n">
        <v>320</v>
      </c>
    </row>
    <row r="34">
      <c r="A34" s="6" t="n">
        <v>4010</v>
      </c>
      <c r="B34" s="6" t="inlineStr">
        <is>
          <t>Banks</t>
        </is>
      </c>
      <c r="C34" s="6" t="n"/>
      <c r="D34" s="37" t="n">
        <v>520</v>
      </c>
    </row>
    <row r="35">
      <c r="A35" s="6" t="n">
        <v>4020</v>
      </c>
      <c r="B35" s="6" t="inlineStr">
        <is>
          <t>Financial Services</t>
        </is>
      </c>
      <c r="C35" s="6" t="n"/>
      <c r="D35" s="37" t="n">
        <v>420</v>
      </c>
    </row>
    <row r="36">
      <c r="A36" s="6" t="n">
        <v>4030</v>
      </c>
      <c r="B36" s="6" t="inlineStr">
        <is>
          <t>Insurance</t>
        </is>
      </c>
      <c r="C36" s="6" t="n"/>
      <c r="D36" s="37" t="n">
        <v>320</v>
      </c>
    </row>
    <row r="37">
      <c r="A37" s="6" t="n">
        <v>4510</v>
      </c>
      <c r="B37" s="6" t="inlineStr">
        <is>
          <t>Software &amp; Services</t>
        </is>
      </c>
      <c r="C37" s="6" t="n"/>
      <c r="D37" s="37" t="n">
        <v>120</v>
      </c>
    </row>
    <row r="38">
      <c r="A38" s="6" t="n">
        <v>4520</v>
      </c>
      <c r="B38" s="6" t="inlineStr">
        <is>
          <t>Technology Hardware &amp; Equipment</t>
        </is>
      </c>
      <c r="C38" s="6" t="n"/>
      <c r="D38" s="37" t="n">
        <v>520</v>
      </c>
    </row>
    <row r="39">
      <c r="A39" s="6" t="n">
        <v>4530</v>
      </c>
      <c r="B39" s="6" t="inlineStr">
        <is>
          <t>Semiconductors &amp; Semiconductor Equipment</t>
        </is>
      </c>
      <c r="C39" s="6" t="n"/>
      <c r="D39" s="37" t="n">
        <v>420</v>
      </c>
    </row>
    <row r="40">
      <c r="A40" s="6" t="n">
        <v>5010</v>
      </c>
      <c r="B40" s="6" t="inlineStr">
        <is>
          <t>Telecommunication Services</t>
        </is>
      </c>
      <c r="C40" s="6" t="n"/>
      <c r="D40" s="37" t="n">
        <v>220</v>
      </c>
    </row>
    <row r="41">
      <c r="A41" s="6" t="n">
        <v>5020</v>
      </c>
      <c r="B41" s="6" t="inlineStr">
        <is>
          <t>Media &amp; Entertainment</t>
        </is>
      </c>
      <c r="C41" s="6" t="n"/>
      <c r="D41" s="37" t="n">
        <v>120</v>
      </c>
    </row>
    <row r="42">
      <c r="A42" s="6" t="n">
        <v>5510</v>
      </c>
      <c r="B42" s="6" t="inlineStr">
        <is>
          <t>Utilities</t>
        </is>
      </c>
      <c r="C42" s="6" t="n"/>
      <c r="D42" s="37" t="n">
        <v>320</v>
      </c>
    </row>
    <row r="43">
      <c r="A43" s="6" t="n">
        <v>6010</v>
      </c>
      <c r="B43" s="6" t="inlineStr">
        <is>
          <t>Equity Real Estate Investment Trusts (REITs)</t>
        </is>
      </c>
      <c r="C43" s="6" t="n"/>
      <c r="D43" s="37" t="n">
        <v>420</v>
      </c>
    </row>
    <row r="44">
      <c r="A44" s="6" t="n">
        <v>6020</v>
      </c>
      <c r="B44" s="6" t="inlineStr">
        <is>
          <t>Real Estate Management &amp; Development</t>
        </is>
      </c>
      <c r="C44" s="6" t="n"/>
      <c r="D44" s="37" t="n">
        <v>320</v>
      </c>
    </row>
    <row r="47">
      <c r="A47" s="4" t="inlineStr">
        <is>
          <t>INDUSTRY (74)</t>
        </is>
      </c>
    </row>
    <row r="48">
      <c r="A48" s="5" t="inlineStr">
        <is>
          <t>Code</t>
        </is>
      </c>
      <c r="B48" s="5" t="inlineStr">
        <is>
          <t>Name</t>
        </is>
      </c>
      <c r="C48" s="5" t="inlineStr"/>
      <c r="D48" s="5" t="inlineStr">
        <is>
          <t>Default Risk
Spread bps (DUMMY)</t>
        </is>
      </c>
    </row>
    <row r="49">
      <c r="A49" s="6" t="n">
        <v>101010</v>
      </c>
      <c r="B49" s="6" t="inlineStr">
        <is>
          <t>Energy Equipment &amp; Services</t>
        </is>
      </c>
      <c r="C49" s="6" t="n"/>
      <c r="D49" s="37" t="n">
        <v>120</v>
      </c>
    </row>
    <row r="50">
      <c r="A50" s="6" t="n">
        <v>101020</v>
      </c>
      <c r="B50" s="6" t="inlineStr">
        <is>
          <t>Oil, Gas &amp; Consumable Fuels</t>
        </is>
      </c>
      <c r="C50" s="6" t="n"/>
      <c r="D50" s="37" t="n">
        <v>520</v>
      </c>
    </row>
    <row r="51">
      <c r="A51" s="6" t="n">
        <v>151010</v>
      </c>
      <c r="B51" s="6" t="inlineStr">
        <is>
          <t>Chemicals</t>
        </is>
      </c>
      <c r="C51" s="6" t="n"/>
      <c r="D51" s="37" t="n">
        <v>420</v>
      </c>
    </row>
    <row r="52">
      <c r="A52" s="6" t="n">
        <v>151020</v>
      </c>
      <c r="B52" s="6" t="inlineStr">
        <is>
          <t>Construction Materials</t>
        </is>
      </c>
      <c r="C52" s="6" t="n"/>
      <c r="D52" s="37" t="n">
        <v>320</v>
      </c>
    </row>
    <row r="53">
      <c r="A53" s="6" t="n">
        <v>151030</v>
      </c>
      <c r="B53" s="6" t="inlineStr">
        <is>
          <t>Containers &amp; Packaging</t>
        </is>
      </c>
      <c r="C53" s="6" t="n"/>
      <c r="D53" s="37" t="n">
        <v>220</v>
      </c>
    </row>
    <row r="54">
      <c r="A54" s="6" t="n">
        <v>151040</v>
      </c>
      <c r="B54" s="6" t="inlineStr">
        <is>
          <t>Metals &amp; Mining</t>
        </is>
      </c>
      <c r="C54" s="6" t="n"/>
      <c r="D54" s="37" t="n">
        <v>120</v>
      </c>
    </row>
    <row r="55">
      <c r="A55" s="6" t="n">
        <v>151050</v>
      </c>
      <c r="B55" s="6" t="inlineStr">
        <is>
          <t>Paper &amp; Forest Products</t>
        </is>
      </c>
      <c r="C55" s="6" t="n"/>
      <c r="D55" s="37" t="n">
        <v>420</v>
      </c>
    </row>
    <row r="56">
      <c r="A56" s="6" t="n">
        <v>201010</v>
      </c>
      <c r="B56" s="6" t="inlineStr">
        <is>
          <t>Aerospace &amp; Defense</t>
        </is>
      </c>
      <c r="C56" s="6" t="n"/>
      <c r="D56" s="37" t="n">
        <v>220</v>
      </c>
    </row>
    <row r="57">
      <c r="A57" s="6" t="n">
        <v>201020</v>
      </c>
      <c r="B57" s="6" t="inlineStr">
        <is>
          <t>Building Products</t>
        </is>
      </c>
      <c r="C57" s="6" t="n"/>
      <c r="D57" s="37" t="n">
        <v>120</v>
      </c>
    </row>
    <row r="58">
      <c r="A58" s="6" t="n">
        <v>201030</v>
      </c>
      <c r="B58" s="6" t="inlineStr">
        <is>
          <t>Construction &amp; Engineering</t>
        </is>
      </c>
      <c r="C58" s="6" t="n"/>
      <c r="D58" s="37" t="n">
        <v>520</v>
      </c>
    </row>
    <row r="59">
      <c r="A59" s="6" t="n">
        <v>201040</v>
      </c>
      <c r="B59" s="6" t="inlineStr">
        <is>
          <t>Electrical Equipment</t>
        </is>
      </c>
      <c r="C59" s="6" t="n"/>
      <c r="D59" s="37" t="n">
        <v>420</v>
      </c>
    </row>
    <row r="60">
      <c r="A60" s="6" t="n">
        <v>201050</v>
      </c>
      <c r="B60" s="6" t="inlineStr">
        <is>
          <t>Industrial Conglomerates</t>
        </is>
      </c>
      <c r="C60" s="6" t="n"/>
      <c r="D60" s="37" t="n">
        <v>320</v>
      </c>
    </row>
    <row r="61">
      <c r="A61" s="6" t="n">
        <v>201060</v>
      </c>
      <c r="B61" s="6" t="inlineStr">
        <is>
          <t>Machinery</t>
        </is>
      </c>
      <c r="C61" s="6" t="n"/>
      <c r="D61" s="37" t="n">
        <v>220</v>
      </c>
    </row>
    <row r="62">
      <c r="A62" s="6" t="n">
        <v>201070</v>
      </c>
      <c r="B62" s="6" t="inlineStr">
        <is>
          <t>Trading Companies &amp; Distributors</t>
        </is>
      </c>
      <c r="C62" s="6" t="n"/>
      <c r="D62" s="37" t="n">
        <v>520</v>
      </c>
    </row>
    <row r="63">
      <c r="A63" s="6" t="n">
        <v>202010</v>
      </c>
      <c r="B63" s="6" t="inlineStr">
        <is>
          <t>Commercial Services &amp; Supplies</t>
        </is>
      </c>
      <c r="C63" s="6" t="n"/>
      <c r="D63" s="37" t="n">
        <v>420</v>
      </c>
    </row>
    <row r="64">
      <c r="A64" s="6" t="n">
        <v>202020</v>
      </c>
      <c r="B64" s="6" t="inlineStr">
        <is>
          <t>Professional Services</t>
        </is>
      </c>
      <c r="C64" s="6" t="n"/>
      <c r="D64" s="37" t="n">
        <v>320</v>
      </c>
    </row>
    <row r="65">
      <c r="A65" s="6" t="n">
        <v>203010</v>
      </c>
      <c r="B65" s="6" t="inlineStr">
        <is>
          <t>Air Freight &amp; Logistics</t>
        </is>
      </c>
      <c r="C65" s="6" t="n"/>
      <c r="D65" s="37" t="n">
        <v>120</v>
      </c>
    </row>
    <row r="66">
      <c r="A66" s="6" t="n">
        <v>203020</v>
      </c>
      <c r="B66" s="6" t="inlineStr">
        <is>
          <t>Passenger Airlines</t>
        </is>
      </c>
      <c r="C66" s="6" t="n"/>
      <c r="D66" s="37" t="n">
        <v>520</v>
      </c>
    </row>
    <row r="67">
      <c r="A67" s="6" t="n">
        <v>203030</v>
      </c>
      <c r="B67" s="6" t="inlineStr">
        <is>
          <t>Marine Transportation</t>
        </is>
      </c>
      <c r="C67" s="6" t="n"/>
      <c r="D67" s="37" t="n">
        <v>420</v>
      </c>
    </row>
    <row r="68">
      <c r="A68" s="6" t="n">
        <v>203040</v>
      </c>
      <c r="B68" s="6" t="inlineStr">
        <is>
          <t>Ground Transportation</t>
        </is>
      </c>
      <c r="C68" s="6" t="n"/>
      <c r="D68" s="37" t="n">
        <v>320</v>
      </c>
    </row>
    <row r="69">
      <c r="A69" s="6" t="n">
        <v>203050</v>
      </c>
      <c r="B69" s="6" t="inlineStr">
        <is>
          <t>Transportation Infrastructure</t>
        </is>
      </c>
      <c r="C69" s="6" t="n"/>
      <c r="D69" s="37" t="n">
        <v>220</v>
      </c>
    </row>
    <row r="70">
      <c r="A70" s="6" t="n">
        <v>251010</v>
      </c>
      <c r="B70" s="6" t="inlineStr">
        <is>
          <t>Automobile Components</t>
        </is>
      </c>
      <c r="C70" s="6" t="n"/>
      <c r="D70" s="37" t="n">
        <v>120</v>
      </c>
    </row>
    <row r="71">
      <c r="A71" s="6" t="n">
        <v>251020</v>
      </c>
      <c r="B71" s="6" t="inlineStr">
        <is>
          <t>Automobiles</t>
        </is>
      </c>
      <c r="C71" s="6" t="n"/>
      <c r="D71" s="37" t="n">
        <v>520</v>
      </c>
    </row>
    <row r="72">
      <c r="A72" s="6" t="n">
        <v>252010</v>
      </c>
      <c r="B72" s="6" t="inlineStr">
        <is>
          <t>Household Durables</t>
        </is>
      </c>
      <c r="C72" s="6" t="n"/>
      <c r="D72" s="37" t="n">
        <v>320</v>
      </c>
    </row>
    <row r="73">
      <c r="A73" s="6" t="n">
        <v>252020</v>
      </c>
      <c r="B73" s="6" t="inlineStr">
        <is>
          <t>Leisure Products</t>
        </is>
      </c>
      <c r="C73" s="6" t="n"/>
      <c r="D73" s="37" t="n">
        <v>220</v>
      </c>
    </row>
    <row r="74">
      <c r="A74" s="6" t="n">
        <v>252030</v>
      </c>
      <c r="B74" s="6" t="inlineStr">
        <is>
          <t>Textiles, Apparel &amp; Luxury Goods</t>
        </is>
      </c>
      <c r="C74" s="6" t="n"/>
      <c r="D74" s="37" t="n">
        <v>520</v>
      </c>
    </row>
    <row r="75">
      <c r="A75" s="6" t="n">
        <v>253010</v>
      </c>
      <c r="B75" s="6" t="inlineStr">
        <is>
          <t>Hotels, Restaurants &amp; Leisure</t>
        </is>
      </c>
      <c r="C75" s="6" t="n"/>
      <c r="D75" s="37" t="n">
        <v>520</v>
      </c>
    </row>
    <row r="76">
      <c r="A76" s="6" t="n">
        <v>253020</v>
      </c>
      <c r="B76" s="6" t="inlineStr">
        <is>
          <t>Diversified Consumer Services</t>
        </is>
      </c>
      <c r="C76" s="6" t="n"/>
      <c r="D76" s="37" t="n">
        <v>420</v>
      </c>
    </row>
    <row r="77">
      <c r="A77" s="6" t="n">
        <v>255010</v>
      </c>
      <c r="B77" s="6" t="inlineStr">
        <is>
          <t>Distributors</t>
        </is>
      </c>
      <c r="C77" s="6" t="n"/>
      <c r="D77" s="37" t="n">
        <v>420</v>
      </c>
    </row>
    <row r="78">
      <c r="A78" s="6" t="n">
        <v>255030</v>
      </c>
      <c r="B78" s="6" t="inlineStr">
        <is>
          <t>Broadline Retail</t>
        </is>
      </c>
      <c r="C78" s="6" t="n"/>
      <c r="D78" s="37" t="n">
        <v>120</v>
      </c>
    </row>
    <row r="79">
      <c r="A79" s="6" t="n">
        <v>255040</v>
      </c>
      <c r="B79" s="6" t="inlineStr">
        <is>
          <t>Specialty Retail</t>
        </is>
      </c>
      <c r="C79" s="6" t="n"/>
      <c r="D79" s="37" t="n">
        <v>520</v>
      </c>
    </row>
    <row r="80">
      <c r="A80" s="6" t="n">
        <v>301010</v>
      </c>
      <c r="B80" s="6" t="inlineStr">
        <is>
          <t>Consumer Staples Distribution &amp; Retail</t>
        </is>
      </c>
      <c r="C80" s="6" t="n"/>
      <c r="D80" s="37" t="n">
        <v>420</v>
      </c>
    </row>
    <row r="81">
      <c r="A81" s="6" t="n">
        <v>302010</v>
      </c>
      <c r="B81" s="6" t="inlineStr">
        <is>
          <t>Beverages</t>
        </is>
      </c>
      <c r="C81" s="6" t="n"/>
      <c r="D81" s="37" t="n">
        <v>120</v>
      </c>
    </row>
    <row r="82">
      <c r="A82" s="6" t="n">
        <v>302020</v>
      </c>
      <c r="B82" s="6" t="inlineStr">
        <is>
          <t>Food Products</t>
        </is>
      </c>
      <c r="C82" s="6" t="n"/>
      <c r="D82" s="37" t="n">
        <v>520</v>
      </c>
    </row>
    <row r="83">
      <c r="A83" s="6" t="n">
        <v>302030</v>
      </c>
      <c r="B83" s="6" t="inlineStr">
        <is>
          <t>Tobacco</t>
        </is>
      </c>
      <c r="C83" s="6" t="n"/>
      <c r="D83" s="37" t="n">
        <v>420</v>
      </c>
    </row>
    <row r="84">
      <c r="A84" s="6" t="n">
        <v>303010</v>
      </c>
      <c r="B84" s="6" t="inlineStr">
        <is>
          <t>Household Products</t>
        </is>
      </c>
      <c r="C84" s="6" t="n"/>
      <c r="D84" s="37" t="n">
        <v>320</v>
      </c>
    </row>
    <row r="85">
      <c r="A85" s="6" t="n">
        <v>303020</v>
      </c>
      <c r="B85" s="6" t="inlineStr">
        <is>
          <t>Personal Care Products</t>
        </is>
      </c>
      <c r="C85" s="6" t="n"/>
      <c r="D85" s="37" t="n">
        <v>220</v>
      </c>
    </row>
    <row r="86">
      <c r="A86" s="6" t="n">
        <v>351010</v>
      </c>
      <c r="B86" s="6" t="inlineStr">
        <is>
          <t>Health Care Equipment &amp; Supplies</t>
        </is>
      </c>
      <c r="C86" s="6" t="n"/>
      <c r="D86" s="37" t="n">
        <v>220</v>
      </c>
    </row>
    <row r="87">
      <c r="A87" s="6" t="n">
        <v>351020</v>
      </c>
      <c r="B87" s="6" t="inlineStr">
        <is>
          <t>Health Care Providers &amp; Services</t>
        </is>
      </c>
      <c r="C87" s="6" t="n"/>
      <c r="D87" s="37" t="n">
        <v>120</v>
      </c>
    </row>
    <row r="88">
      <c r="A88" s="6" t="n">
        <v>351030</v>
      </c>
      <c r="B88" s="6" t="inlineStr">
        <is>
          <t>Health Care Technology</t>
        </is>
      </c>
      <c r="C88" s="6" t="n"/>
      <c r="D88" s="37" t="n">
        <v>520</v>
      </c>
    </row>
    <row r="89">
      <c r="A89" s="6" t="n">
        <v>352010</v>
      </c>
      <c r="B89" s="6" t="inlineStr">
        <is>
          <t>Biotechnology</t>
        </is>
      </c>
      <c r="C89" s="6" t="n"/>
      <c r="D89" s="37" t="n">
        <v>420</v>
      </c>
    </row>
    <row r="90">
      <c r="A90" s="6" t="n">
        <v>352020</v>
      </c>
      <c r="B90" s="6" t="inlineStr">
        <is>
          <t>Pharmaceuticals</t>
        </is>
      </c>
      <c r="C90" s="6" t="n"/>
      <c r="D90" s="37" t="n">
        <v>320</v>
      </c>
    </row>
    <row r="91">
      <c r="A91" s="6" t="n">
        <v>352030</v>
      </c>
      <c r="B91" s="6" t="inlineStr">
        <is>
          <t>Life Sciences Tools &amp; Services</t>
        </is>
      </c>
      <c r="C91" s="6" t="n"/>
      <c r="D91" s="37" t="n">
        <v>220</v>
      </c>
    </row>
    <row r="92">
      <c r="A92" s="6" t="n">
        <v>401010</v>
      </c>
      <c r="B92" s="6" t="inlineStr">
        <is>
          <t>Banks</t>
        </is>
      </c>
      <c r="C92" s="6" t="n"/>
      <c r="D92" s="37" t="n">
        <v>120</v>
      </c>
    </row>
    <row r="93">
      <c r="A93" s="6" t="n">
        <v>402010</v>
      </c>
      <c r="B93" s="6" t="inlineStr">
        <is>
          <t>Financial Services</t>
        </is>
      </c>
      <c r="C93" s="6" t="n"/>
      <c r="D93" s="37" t="n">
        <v>320</v>
      </c>
    </row>
    <row r="94">
      <c r="A94" s="6" t="n">
        <v>402020</v>
      </c>
      <c r="B94" s="6" t="inlineStr">
        <is>
          <t>Consumer Finance</t>
        </is>
      </c>
      <c r="C94" s="6" t="n"/>
      <c r="D94" s="37" t="n">
        <v>120</v>
      </c>
    </row>
    <row r="95">
      <c r="A95" s="6" t="n">
        <v>402030</v>
      </c>
      <c r="B95" s="6" t="inlineStr">
        <is>
          <t>Capital Markets</t>
        </is>
      </c>
      <c r="C95" s="6" t="n"/>
      <c r="D95" s="37" t="n">
        <v>520</v>
      </c>
    </row>
    <row r="96">
      <c r="A96" s="6" t="n">
        <v>402040</v>
      </c>
      <c r="B96" s="6" t="inlineStr">
        <is>
          <t>Mortgage Real Estate Investment Trusts (REITs)</t>
        </is>
      </c>
      <c r="C96" s="6" t="n"/>
      <c r="D96" s="37" t="n">
        <v>420</v>
      </c>
    </row>
    <row r="97">
      <c r="A97" s="6" t="n">
        <v>403010</v>
      </c>
      <c r="B97" s="6" t="inlineStr">
        <is>
          <t>Insurance</t>
        </is>
      </c>
      <c r="C97" s="6" t="n"/>
      <c r="D97" s="37" t="n">
        <v>520</v>
      </c>
    </row>
    <row r="98">
      <c r="A98" s="6" t="n">
        <v>451020</v>
      </c>
      <c r="B98" s="6" t="inlineStr">
        <is>
          <t>IT Services</t>
        </is>
      </c>
      <c r="C98" s="6" t="n"/>
      <c r="D98" s="37" t="n">
        <v>320</v>
      </c>
    </row>
    <row r="99">
      <c r="A99" s="6" t="n">
        <v>451030</v>
      </c>
      <c r="B99" s="6" t="inlineStr">
        <is>
          <t>Software</t>
        </is>
      </c>
      <c r="C99" s="6" t="n"/>
      <c r="D99" s="37" t="n">
        <v>220</v>
      </c>
    </row>
    <row r="100">
      <c r="A100" s="6" t="n">
        <v>452010</v>
      </c>
      <c r="B100" s="6" t="inlineStr">
        <is>
          <t>Communications Equipment</t>
        </is>
      </c>
      <c r="C100" s="6" t="n"/>
      <c r="D100" s="37" t="n">
        <v>120</v>
      </c>
    </row>
    <row r="101">
      <c r="A101" s="6" t="n">
        <v>452020</v>
      </c>
      <c r="B101" s="6" t="inlineStr">
        <is>
          <t>Technology Hardware, Storage &amp; Peripherals</t>
        </is>
      </c>
      <c r="C101" s="6" t="n"/>
      <c r="D101" s="37" t="n">
        <v>520</v>
      </c>
    </row>
    <row r="102">
      <c r="A102" s="6" t="n">
        <v>452030</v>
      </c>
      <c r="B102" s="6" t="inlineStr">
        <is>
          <t>Electronic Equipment, Instruments &amp; Components</t>
        </is>
      </c>
      <c r="C102" s="6" t="n"/>
      <c r="D102" s="37" t="n">
        <v>420</v>
      </c>
    </row>
    <row r="103">
      <c r="A103" s="6" t="n">
        <v>453010</v>
      </c>
      <c r="B103" s="6" t="inlineStr">
        <is>
          <t>Semiconductors &amp; Semiconductor Equipment</t>
        </is>
      </c>
      <c r="C103" s="6" t="n"/>
      <c r="D103" s="37" t="n">
        <v>320</v>
      </c>
    </row>
    <row r="104">
      <c r="A104" s="6" t="n">
        <v>501010</v>
      </c>
      <c r="B104" s="6" t="inlineStr">
        <is>
          <t>Diversified Telecommunication Services</t>
        </is>
      </c>
      <c r="C104" s="6" t="n"/>
      <c r="D104" s="37" t="n">
        <v>220</v>
      </c>
    </row>
    <row r="105">
      <c r="A105" s="6" t="n">
        <v>501020</v>
      </c>
      <c r="B105" s="6" t="inlineStr">
        <is>
          <t>Wireless Telecommunication Services</t>
        </is>
      </c>
      <c r="C105" s="6" t="n"/>
      <c r="D105" s="37" t="n">
        <v>120</v>
      </c>
    </row>
    <row r="106">
      <c r="A106" s="6" t="n">
        <v>502010</v>
      </c>
      <c r="B106" s="6" t="inlineStr">
        <is>
          <t>Media</t>
        </is>
      </c>
      <c r="C106" s="6" t="n"/>
      <c r="D106" s="37" t="n">
        <v>420</v>
      </c>
    </row>
    <row r="107">
      <c r="A107" s="6" t="n">
        <v>502020</v>
      </c>
      <c r="B107" s="6" t="inlineStr">
        <is>
          <t>Entertainment</t>
        </is>
      </c>
      <c r="C107" s="6" t="n"/>
      <c r="D107" s="37" t="n">
        <v>320</v>
      </c>
    </row>
    <row r="108">
      <c r="A108" s="6" t="n">
        <v>502030</v>
      </c>
      <c r="B108" s="6" t="inlineStr">
        <is>
          <t>Interactive Media &amp; Services</t>
        </is>
      </c>
      <c r="C108" s="6" t="n"/>
      <c r="D108" s="37" t="n">
        <v>220</v>
      </c>
    </row>
    <row r="109">
      <c r="A109" s="6" t="n">
        <v>551010</v>
      </c>
      <c r="B109" s="6" t="inlineStr">
        <is>
          <t>Electric Utilities</t>
        </is>
      </c>
      <c r="C109" s="6" t="n"/>
      <c r="D109" s="37" t="n">
        <v>120</v>
      </c>
    </row>
    <row r="110">
      <c r="A110" s="6" t="n">
        <v>551020</v>
      </c>
      <c r="B110" s="6" t="inlineStr">
        <is>
          <t>Gas Utilities</t>
        </is>
      </c>
      <c r="C110" s="6" t="n"/>
      <c r="D110" s="37" t="n">
        <v>420</v>
      </c>
    </row>
    <row r="111">
      <c r="A111" s="6" t="n">
        <v>551030</v>
      </c>
      <c r="B111" s="6" t="inlineStr">
        <is>
          <t>Multi-Utilities</t>
        </is>
      </c>
      <c r="C111" s="6" t="n"/>
      <c r="D111" s="37" t="n">
        <v>320</v>
      </c>
    </row>
    <row r="112">
      <c r="A112" s="6" t="n">
        <v>551040</v>
      </c>
      <c r="B112" s="6" t="inlineStr">
        <is>
          <t>Water Utilities</t>
        </is>
      </c>
      <c r="C112" s="6" t="n"/>
      <c r="D112" s="37" t="n">
        <v>220</v>
      </c>
    </row>
    <row r="113">
      <c r="A113" s="6" t="n">
        <v>551050</v>
      </c>
      <c r="B113" s="6" t="inlineStr">
        <is>
          <t>Independent Power and Renewable Electricity Producers</t>
        </is>
      </c>
      <c r="C113" s="6" t="n"/>
      <c r="D113" s="37" t="n">
        <v>120</v>
      </c>
    </row>
    <row r="114">
      <c r="A114" s="6" t="n">
        <v>601010</v>
      </c>
      <c r="B114" s="6" t="inlineStr">
        <is>
          <t>Diversified REITs</t>
        </is>
      </c>
      <c r="C114" s="6" t="n"/>
      <c r="D114" s="37" t="n">
        <v>420</v>
      </c>
    </row>
    <row r="115">
      <c r="A115" s="6" t="n">
        <v>601025</v>
      </c>
      <c r="B115" s="6" t="inlineStr">
        <is>
          <t>Industrial REITs</t>
        </is>
      </c>
      <c r="C115" s="6" t="n"/>
      <c r="D115" s="37" t="n">
        <v>520</v>
      </c>
    </row>
    <row r="116">
      <c r="A116" s="6" t="n">
        <v>601030</v>
      </c>
      <c r="B116" s="6" t="inlineStr">
        <is>
          <t>Hotel &amp; Resort REITs</t>
        </is>
      </c>
      <c r="C116" s="6" t="n"/>
      <c r="D116" s="37" t="n">
        <v>220</v>
      </c>
    </row>
    <row r="117">
      <c r="A117" s="6" t="n">
        <v>601040</v>
      </c>
      <c r="B117" s="6" t="inlineStr">
        <is>
          <t>Office REITs</t>
        </is>
      </c>
      <c r="C117" s="6" t="n"/>
      <c r="D117" s="37" t="n">
        <v>520</v>
      </c>
    </row>
    <row r="118">
      <c r="A118" s="6" t="n">
        <v>601050</v>
      </c>
      <c r="B118" s="6" t="inlineStr">
        <is>
          <t>Health Care REITs</t>
        </is>
      </c>
      <c r="C118" s="6" t="n"/>
      <c r="D118" s="37" t="n">
        <v>420</v>
      </c>
    </row>
    <row r="119">
      <c r="A119" s="6" t="n">
        <v>601060</v>
      </c>
      <c r="B119" s="6" t="inlineStr">
        <is>
          <t>Residential REITs</t>
        </is>
      </c>
      <c r="C119" s="6" t="n"/>
      <c r="D119" s="37" t="n">
        <v>320</v>
      </c>
    </row>
    <row r="120">
      <c r="A120" s="6" t="n">
        <v>601070</v>
      </c>
      <c r="B120" s="6" t="inlineStr">
        <is>
          <t>Retail REITs</t>
        </is>
      </c>
      <c r="C120" s="6" t="n"/>
      <c r="D120" s="37" t="n">
        <v>220</v>
      </c>
    </row>
    <row r="121">
      <c r="A121" s="6" t="n">
        <v>601080</v>
      </c>
      <c r="B121" s="6" t="inlineStr">
        <is>
          <t>Specialized REITs</t>
        </is>
      </c>
      <c r="C121" s="6" t="n"/>
      <c r="D121" s="37" t="n">
        <v>120</v>
      </c>
    </row>
    <row r="122">
      <c r="A122" s="6" t="n">
        <v>602010</v>
      </c>
      <c r="B122" s="6" t="inlineStr">
        <is>
          <t>Real Estate Management &amp; Development</t>
        </is>
      </c>
      <c r="C122" s="6" t="n"/>
      <c r="D122" s="37" t="n">
        <v>120</v>
      </c>
    </row>
    <row r="125">
      <c r="A125" s="4" t="inlineStr">
        <is>
          <t>SUB-INDUSTRY (163)</t>
        </is>
      </c>
    </row>
    <row r="126">
      <c r="A126" s="5" t="inlineStr">
        <is>
          <t>Code</t>
        </is>
      </c>
      <c r="B126" s="5" t="inlineStr">
        <is>
          <t>Name</t>
        </is>
      </c>
      <c r="C126" s="5" t="inlineStr"/>
      <c r="D126" s="5" t="inlineStr">
        <is>
          <t>Default Risk
Spread bps (DUMMY)</t>
        </is>
      </c>
    </row>
    <row r="127">
      <c r="A127" s="6" t="n">
        <v>10101010</v>
      </c>
      <c r="B127" s="6" t="inlineStr">
        <is>
          <t>Oil &amp; Gas Drilling</t>
        </is>
      </c>
      <c r="C127" s="6" t="n"/>
      <c r="D127" s="37" t="n">
        <v>120</v>
      </c>
    </row>
    <row r="128">
      <c r="A128" s="6" t="n">
        <v>10101020</v>
      </c>
      <c r="B128" s="6" t="inlineStr">
        <is>
          <t>Oil &amp; Gas Equipment &amp; Services</t>
        </is>
      </c>
      <c r="C128" s="6" t="n"/>
      <c r="D128" s="37" t="n">
        <v>520</v>
      </c>
    </row>
    <row r="129">
      <c r="A129" s="6" t="n">
        <v>10102010</v>
      </c>
      <c r="B129" s="6" t="inlineStr">
        <is>
          <t>Integrated Oil &amp; Gas</t>
        </is>
      </c>
      <c r="C129" s="6" t="n"/>
      <c r="D129" s="37" t="n">
        <v>320</v>
      </c>
    </row>
    <row r="130">
      <c r="A130" s="6" t="n">
        <v>10102020</v>
      </c>
      <c r="B130" s="6" t="inlineStr">
        <is>
          <t>Oil &amp; Gas Exploration &amp; Production</t>
        </is>
      </c>
      <c r="C130" s="6" t="n"/>
      <c r="D130" s="37" t="n">
        <v>220</v>
      </c>
    </row>
    <row r="131">
      <c r="A131" s="6" t="n">
        <v>10102030</v>
      </c>
      <c r="B131" s="6" t="inlineStr">
        <is>
          <t>Oil &amp; Gas Refining &amp; Marketing</t>
        </is>
      </c>
      <c r="C131" s="6" t="n"/>
      <c r="D131" s="37" t="n">
        <v>120</v>
      </c>
    </row>
    <row r="132">
      <c r="A132" s="6" t="n">
        <v>10102040</v>
      </c>
      <c r="B132" s="6" t="inlineStr">
        <is>
          <t>Oil &amp; Gas Storage &amp; Transportation</t>
        </is>
      </c>
      <c r="C132" s="6" t="n"/>
      <c r="D132" s="37" t="n">
        <v>420</v>
      </c>
    </row>
    <row r="133">
      <c r="A133" s="6" t="n">
        <v>10102050</v>
      </c>
      <c r="B133" s="6" t="inlineStr">
        <is>
          <t>Coal &amp; Consumable Fuels</t>
        </is>
      </c>
      <c r="C133" s="6" t="n"/>
      <c r="D133" s="37" t="n">
        <v>320</v>
      </c>
    </row>
    <row r="134">
      <c r="A134" s="6" t="n">
        <v>15101010</v>
      </c>
      <c r="B134" s="6" t="inlineStr">
        <is>
          <t>Commodity Chemicals</t>
        </is>
      </c>
      <c r="C134" s="6" t="n"/>
      <c r="D134" s="37" t="n">
        <v>120</v>
      </c>
    </row>
    <row r="135">
      <c r="A135" s="6" t="n">
        <v>15101020</v>
      </c>
      <c r="B135" s="6" t="inlineStr">
        <is>
          <t>Diversified Chemicals</t>
        </is>
      </c>
      <c r="C135" s="6" t="n"/>
      <c r="D135" s="37" t="n">
        <v>520</v>
      </c>
    </row>
    <row r="136">
      <c r="A136" s="6" t="n">
        <v>15101030</v>
      </c>
      <c r="B136" s="6" t="inlineStr">
        <is>
          <t>Fertilizers &amp; Agricultural Chemicals</t>
        </is>
      </c>
      <c r="C136" s="6" t="n"/>
      <c r="D136" s="37" t="n">
        <v>420</v>
      </c>
    </row>
    <row r="137">
      <c r="A137" s="6" t="n">
        <v>15101040</v>
      </c>
      <c r="B137" s="6" t="inlineStr">
        <is>
          <t>Industrial Gases</t>
        </is>
      </c>
      <c r="C137" s="6" t="n"/>
      <c r="D137" s="37" t="n">
        <v>320</v>
      </c>
    </row>
    <row r="138">
      <c r="A138" s="6" t="n">
        <v>15101050</v>
      </c>
      <c r="B138" s="6" t="inlineStr">
        <is>
          <t>Specialty Chemicals</t>
        </is>
      </c>
      <c r="C138" s="6" t="n"/>
      <c r="D138" s="37" t="n">
        <v>120</v>
      </c>
    </row>
    <row r="139">
      <c r="A139" s="6" t="n">
        <v>15102010</v>
      </c>
      <c r="B139" s="6" t="inlineStr">
        <is>
          <t>Construction Materials</t>
        </is>
      </c>
      <c r="C139" s="6" t="n"/>
      <c r="D139" s="37" t="n">
        <v>320</v>
      </c>
    </row>
    <row r="140">
      <c r="A140" s="6" t="n">
        <v>15103010</v>
      </c>
      <c r="B140" s="6" t="inlineStr">
        <is>
          <t>Metal, Glass &amp; Plastic Containers</t>
        </is>
      </c>
      <c r="C140" s="6" t="n"/>
      <c r="D140" s="37" t="n">
        <v>520</v>
      </c>
    </row>
    <row r="141">
      <c r="A141" s="6" t="n">
        <v>15103020</v>
      </c>
      <c r="B141" s="6" t="inlineStr">
        <is>
          <t>Paper &amp; Plastic Packaging Products &amp; Materials</t>
        </is>
      </c>
      <c r="C141" s="6" t="n"/>
      <c r="D141" s="37" t="n">
        <v>420</v>
      </c>
    </row>
    <row r="142">
      <c r="A142" s="6" t="n">
        <v>15104010</v>
      </c>
      <c r="B142" s="6" t="inlineStr">
        <is>
          <t>Aluminum</t>
        </is>
      </c>
      <c r="C142" s="6" t="n"/>
      <c r="D142" s="37" t="n">
        <v>220</v>
      </c>
    </row>
    <row r="143">
      <c r="A143" s="6" t="n">
        <v>15104020</v>
      </c>
      <c r="B143" s="6" t="inlineStr">
        <is>
          <t>Diversified Metals &amp; Mining</t>
        </is>
      </c>
      <c r="C143" s="6" t="n"/>
      <c r="D143" s="37" t="n">
        <v>120</v>
      </c>
    </row>
    <row r="144">
      <c r="A144" s="6" t="n">
        <v>15104025</v>
      </c>
      <c r="B144" s="6" t="inlineStr">
        <is>
          <t>Copper</t>
        </is>
      </c>
      <c r="C144" s="6" t="n"/>
      <c r="D144" s="37" t="n">
        <v>320</v>
      </c>
    </row>
    <row r="145">
      <c r="A145" s="6" t="n">
        <v>15104030</v>
      </c>
      <c r="B145" s="6" t="inlineStr">
        <is>
          <t>Gold</t>
        </is>
      </c>
      <c r="C145" s="6" t="n"/>
      <c r="D145" s="37" t="n">
        <v>520</v>
      </c>
    </row>
    <row r="146">
      <c r="A146" s="6" t="n">
        <v>15104040</v>
      </c>
      <c r="B146" s="6" t="inlineStr">
        <is>
          <t>Precious Metals &amp; Minerals</t>
        </is>
      </c>
      <c r="C146" s="6" t="n"/>
      <c r="D146" s="37" t="n">
        <v>320</v>
      </c>
    </row>
    <row r="147">
      <c r="A147" s="6" t="n">
        <v>15104045</v>
      </c>
      <c r="B147" s="6" t="inlineStr">
        <is>
          <t>Silver</t>
        </is>
      </c>
      <c r="C147" s="6" t="n"/>
      <c r="D147" s="37" t="n">
        <v>520</v>
      </c>
    </row>
    <row r="148">
      <c r="A148" s="6" t="n">
        <v>15104050</v>
      </c>
      <c r="B148" s="6" t="inlineStr">
        <is>
          <t>Steel</t>
        </is>
      </c>
      <c r="C148" s="6" t="n"/>
      <c r="D148" s="37" t="n">
        <v>220</v>
      </c>
    </row>
    <row r="149">
      <c r="A149" s="6" t="n">
        <v>15105010</v>
      </c>
      <c r="B149" s="6" t="inlineStr">
        <is>
          <t>Forest Products</t>
        </is>
      </c>
      <c r="C149" s="6" t="n"/>
      <c r="D149" s="37" t="n">
        <v>420</v>
      </c>
    </row>
    <row r="150">
      <c r="A150" s="6" t="n">
        <v>15105020</v>
      </c>
      <c r="B150" s="6" t="inlineStr">
        <is>
          <t>Paper Products</t>
        </is>
      </c>
      <c r="C150" s="6" t="n"/>
      <c r="D150" s="37" t="n">
        <v>320</v>
      </c>
    </row>
    <row r="151">
      <c r="A151" s="6" t="n">
        <v>20101010</v>
      </c>
      <c r="B151" s="6" t="inlineStr">
        <is>
          <t>Aerospace &amp; Defense</t>
        </is>
      </c>
      <c r="C151" s="6" t="n"/>
      <c r="D151" s="37" t="n">
        <v>120</v>
      </c>
    </row>
    <row r="152">
      <c r="A152" s="6" t="n">
        <v>20102010</v>
      </c>
      <c r="B152" s="6" t="inlineStr">
        <is>
          <t>Building Products</t>
        </is>
      </c>
      <c r="C152" s="6" t="n"/>
      <c r="D152" s="37" t="n">
        <v>320</v>
      </c>
    </row>
    <row r="153">
      <c r="A153" s="6" t="n">
        <v>20103010</v>
      </c>
      <c r="B153" s="6" t="inlineStr">
        <is>
          <t>Construction &amp; Engineering</t>
        </is>
      </c>
      <c r="C153" s="6" t="n"/>
      <c r="D153" s="37" t="n">
        <v>520</v>
      </c>
    </row>
    <row r="154">
      <c r="A154" s="6" t="n">
        <v>20104010</v>
      </c>
      <c r="B154" s="6" t="inlineStr">
        <is>
          <t>Electrical Components &amp; Equipment</t>
        </is>
      </c>
      <c r="C154" s="6" t="n"/>
      <c r="D154" s="37" t="n">
        <v>220</v>
      </c>
    </row>
    <row r="155">
      <c r="A155" s="6" t="n">
        <v>20104020</v>
      </c>
      <c r="B155" s="6" t="inlineStr">
        <is>
          <t>Heavy Electrical Equipment</t>
        </is>
      </c>
      <c r="C155" s="6" t="n"/>
      <c r="D155" s="37" t="n">
        <v>120</v>
      </c>
    </row>
    <row r="156">
      <c r="A156" s="6" t="n">
        <v>20105010</v>
      </c>
      <c r="B156" s="6" t="inlineStr">
        <is>
          <t>Industrial Conglomerates</t>
        </is>
      </c>
      <c r="C156" s="6" t="n"/>
      <c r="D156" s="37" t="n">
        <v>420</v>
      </c>
    </row>
    <row r="157">
      <c r="A157" s="6" t="n">
        <v>20106010</v>
      </c>
      <c r="B157" s="6" t="inlineStr">
        <is>
          <t>Construction Machinery &amp; Heavy Transportation Equipment</t>
        </is>
      </c>
      <c r="C157" s="6" t="n"/>
      <c r="D157" s="37" t="n">
        <v>120</v>
      </c>
    </row>
    <row r="158">
      <c r="A158" s="6" t="n">
        <v>20106015</v>
      </c>
      <c r="B158" s="6" t="inlineStr">
        <is>
          <t>Agricultural &amp; Farm Machinery</t>
        </is>
      </c>
      <c r="C158" s="6" t="n"/>
      <c r="D158" s="37" t="n">
        <v>320</v>
      </c>
    </row>
    <row r="159">
      <c r="A159" s="6" t="n">
        <v>20106020</v>
      </c>
      <c r="B159" s="6" t="inlineStr">
        <is>
          <t>Industrial Machinery &amp; Supplies &amp; Components</t>
        </is>
      </c>
      <c r="C159" s="6" t="n"/>
      <c r="D159" s="37" t="n">
        <v>520</v>
      </c>
    </row>
    <row r="160">
      <c r="A160" s="6" t="n">
        <v>20107010</v>
      </c>
      <c r="B160" s="6" t="inlineStr">
        <is>
          <t>Trading Companies &amp; Distributors</t>
        </is>
      </c>
      <c r="C160" s="6" t="n"/>
      <c r="D160" s="37" t="n">
        <v>320</v>
      </c>
    </row>
    <row r="161">
      <c r="A161" s="6" t="n">
        <v>20201010</v>
      </c>
      <c r="B161" s="6" t="inlineStr">
        <is>
          <t>Commercial Printing</t>
        </is>
      </c>
      <c r="C161" s="6" t="n"/>
      <c r="D161" s="37" t="n">
        <v>320</v>
      </c>
    </row>
    <row r="162">
      <c r="A162" s="6" t="n">
        <v>20201050</v>
      </c>
      <c r="B162" s="6" t="inlineStr">
        <is>
          <t>Environmental &amp; Facilities Services</t>
        </is>
      </c>
      <c r="C162" s="6" t="n"/>
      <c r="D162" s="37" t="n">
        <v>320</v>
      </c>
    </row>
    <row r="163">
      <c r="A163" s="6" t="n">
        <v>20201060</v>
      </c>
      <c r="B163" s="6" t="inlineStr">
        <is>
          <t>Office Services &amp; Supplies</t>
        </is>
      </c>
      <c r="C163" s="6" t="n"/>
      <c r="D163" s="37" t="n">
        <v>220</v>
      </c>
    </row>
    <row r="164">
      <c r="A164" s="6" t="n">
        <v>20201070</v>
      </c>
      <c r="B164" s="6" t="inlineStr">
        <is>
          <t>Diversified Support Services</t>
        </is>
      </c>
      <c r="C164" s="6" t="n"/>
      <c r="D164" s="37" t="n">
        <v>120</v>
      </c>
    </row>
    <row r="165">
      <c r="A165" s="6" t="n">
        <v>20201080</v>
      </c>
      <c r="B165" s="6" t="inlineStr">
        <is>
          <t>Security &amp; Alarm Services</t>
        </is>
      </c>
      <c r="C165" s="6" t="n"/>
      <c r="D165" s="37" t="n">
        <v>420</v>
      </c>
    </row>
    <row r="166">
      <c r="A166" s="6" t="n">
        <v>20202010</v>
      </c>
      <c r="B166" s="6" t="inlineStr">
        <is>
          <t>Human Resource &amp; Employment Services</t>
        </is>
      </c>
      <c r="C166" s="6" t="n"/>
      <c r="D166" s="37" t="n">
        <v>520</v>
      </c>
    </row>
    <row r="167">
      <c r="A167" s="6" t="n">
        <v>20202020</v>
      </c>
      <c r="B167" s="6" t="inlineStr">
        <is>
          <t>Research &amp; Consulting Services</t>
        </is>
      </c>
      <c r="C167" s="6" t="n"/>
      <c r="D167" s="37" t="n">
        <v>420</v>
      </c>
    </row>
    <row r="168">
      <c r="A168" s="6" t="n">
        <v>20202030</v>
      </c>
      <c r="B168" s="6" t="inlineStr">
        <is>
          <t>Data Processing &amp; Outsourced Services</t>
        </is>
      </c>
      <c r="C168" s="6" t="n"/>
      <c r="D168" s="37" t="n">
        <v>220</v>
      </c>
    </row>
    <row r="169">
      <c r="A169" s="6" t="n">
        <v>20301010</v>
      </c>
      <c r="B169" s="6" t="inlineStr">
        <is>
          <t>Air Freight &amp; Logistics</t>
        </is>
      </c>
      <c r="C169" s="6" t="n"/>
      <c r="D169" s="37" t="n">
        <v>420</v>
      </c>
    </row>
    <row r="170">
      <c r="A170" s="6" t="n">
        <v>20302010</v>
      </c>
      <c r="B170" s="6" t="inlineStr">
        <is>
          <t>Passenger Airlines</t>
        </is>
      </c>
      <c r="C170" s="6" t="n"/>
      <c r="D170" s="37" t="n">
        <v>120</v>
      </c>
    </row>
    <row r="171">
      <c r="A171" s="6" t="n">
        <v>20303010</v>
      </c>
      <c r="B171" s="6" t="inlineStr">
        <is>
          <t>Marine Transportation</t>
        </is>
      </c>
      <c r="C171" s="6" t="n"/>
      <c r="D171" s="37" t="n">
        <v>320</v>
      </c>
    </row>
    <row r="172">
      <c r="A172" s="6" t="n">
        <v>20304010</v>
      </c>
      <c r="B172" s="6" t="inlineStr">
        <is>
          <t>Rail Transportation</t>
        </is>
      </c>
      <c r="C172" s="6" t="n"/>
      <c r="D172" s="37" t="n">
        <v>520</v>
      </c>
    </row>
    <row r="173">
      <c r="A173" s="6" t="n">
        <v>20304030</v>
      </c>
      <c r="B173" s="6" t="inlineStr">
        <is>
          <t>Cargo Ground Transportation</t>
        </is>
      </c>
      <c r="C173" s="6" t="n"/>
      <c r="D173" s="37" t="n">
        <v>320</v>
      </c>
    </row>
    <row r="174">
      <c r="A174" s="6" t="n">
        <v>20304040</v>
      </c>
      <c r="B174" s="6" t="inlineStr">
        <is>
          <t>Passenger Ground Transportation</t>
        </is>
      </c>
      <c r="C174" s="6" t="n"/>
      <c r="D174" s="37" t="n">
        <v>220</v>
      </c>
    </row>
    <row r="175">
      <c r="A175" s="6" t="n">
        <v>20305010</v>
      </c>
      <c r="B175" s="6" t="inlineStr">
        <is>
          <t>Airport Services</t>
        </is>
      </c>
      <c r="C175" s="6" t="n"/>
      <c r="D175" s="37" t="n">
        <v>220</v>
      </c>
    </row>
    <row r="176">
      <c r="A176" s="6" t="n">
        <v>20305020</v>
      </c>
      <c r="B176" s="6" t="inlineStr">
        <is>
          <t>Highways &amp; Railtracks</t>
        </is>
      </c>
      <c r="C176" s="6" t="n"/>
      <c r="D176" s="37" t="n">
        <v>120</v>
      </c>
    </row>
    <row r="177">
      <c r="A177" s="6" t="n">
        <v>20305030</v>
      </c>
      <c r="B177" s="6" t="inlineStr">
        <is>
          <t>Marine Ports &amp; Services</t>
        </is>
      </c>
      <c r="C177" s="6" t="n"/>
      <c r="D177" s="37" t="n">
        <v>520</v>
      </c>
    </row>
    <row r="178">
      <c r="A178" s="6" t="n">
        <v>25101010</v>
      </c>
      <c r="B178" s="6" t="inlineStr">
        <is>
          <t>Automotive Parts &amp; Equipment</t>
        </is>
      </c>
      <c r="C178" s="6" t="n"/>
      <c r="D178" s="37" t="n">
        <v>120</v>
      </c>
    </row>
    <row r="179">
      <c r="A179" s="6" t="n">
        <v>25101020</v>
      </c>
      <c r="B179" s="6" t="inlineStr">
        <is>
          <t>Tires &amp; Rubber</t>
        </is>
      </c>
      <c r="C179" s="6" t="n"/>
      <c r="D179" s="37" t="n">
        <v>520</v>
      </c>
    </row>
    <row r="180">
      <c r="A180" s="6" t="n">
        <v>25102010</v>
      </c>
      <c r="B180" s="6" t="inlineStr">
        <is>
          <t>Automobile Manufacturers</t>
        </is>
      </c>
      <c r="C180" s="6" t="n"/>
      <c r="D180" s="37" t="n">
        <v>320</v>
      </c>
    </row>
    <row r="181">
      <c r="A181" s="6" t="n">
        <v>25102020</v>
      </c>
      <c r="B181" s="6" t="inlineStr">
        <is>
          <t>Motorcycle Manufacturers</t>
        </is>
      </c>
      <c r="C181" s="6" t="n"/>
      <c r="D181" s="37" t="n">
        <v>220</v>
      </c>
    </row>
    <row r="182">
      <c r="A182" s="6" t="n">
        <v>25201010</v>
      </c>
      <c r="B182" s="6" t="inlineStr">
        <is>
          <t>Consumer Electronics</t>
        </is>
      </c>
      <c r="C182" s="6" t="n"/>
      <c r="D182" s="37" t="n">
        <v>320</v>
      </c>
    </row>
    <row r="183">
      <c r="A183" s="6" t="n">
        <v>25201020</v>
      </c>
      <c r="B183" s="6" t="inlineStr">
        <is>
          <t>Home Furnishings</t>
        </is>
      </c>
      <c r="C183" s="6" t="n"/>
      <c r="D183" s="37" t="n">
        <v>220</v>
      </c>
    </row>
    <row r="184">
      <c r="A184" s="6" t="n">
        <v>25201030</v>
      </c>
      <c r="B184" s="6" t="inlineStr">
        <is>
          <t>Homebuilding</t>
        </is>
      </c>
      <c r="C184" s="6" t="n"/>
      <c r="D184" s="37" t="n">
        <v>520</v>
      </c>
    </row>
    <row r="185">
      <c r="A185" s="6" t="n">
        <v>25201040</v>
      </c>
      <c r="B185" s="6" t="inlineStr">
        <is>
          <t>Household Appliances</t>
        </is>
      </c>
      <c r="C185" s="6" t="n"/>
      <c r="D185" s="37" t="n">
        <v>420</v>
      </c>
    </row>
    <row r="186">
      <c r="A186" s="6" t="n">
        <v>25201050</v>
      </c>
      <c r="B186" s="6" t="inlineStr">
        <is>
          <t>Housewares &amp; Specialties</t>
        </is>
      </c>
      <c r="C186" s="6" t="n"/>
      <c r="D186" s="37" t="n">
        <v>320</v>
      </c>
    </row>
    <row r="187">
      <c r="A187" s="6" t="n">
        <v>25202010</v>
      </c>
      <c r="B187" s="6" t="inlineStr">
        <is>
          <t>Leisure Products</t>
        </is>
      </c>
      <c r="C187" s="6" t="n"/>
      <c r="D187" s="37" t="n">
        <v>520</v>
      </c>
    </row>
    <row r="188">
      <c r="A188" s="6" t="n">
        <v>25203010</v>
      </c>
      <c r="B188" s="6" t="inlineStr">
        <is>
          <t>Apparel, Accessories &amp; Luxury Goods</t>
        </is>
      </c>
      <c r="C188" s="6" t="n"/>
      <c r="D188" s="37" t="n">
        <v>220</v>
      </c>
    </row>
    <row r="189">
      <c r="A189" s="6" t="n">
        <v>25203020</v>
      </c>
      <c r="B189" s="6" t="inlineStr">
        <is>
          <t>Footwear</t>
        </is>
      </c>
      <c r="C189" s="6" t="n"/>
      <c r="D189" s="37" t="n">
        <v>120</v>
      </c>
    </row>
    <row r="190">
      <c r="A190" s="6" t="n">
        <v>25203030</v>
      </c>
      <c r="B190" s="6" t="inlineStr">
        <is>
          <t>Textiles</t>
        </is>
      </c>
      <c r="C190" s="6" t="n"/>
      <c r="D190" s="37" t="n">
        <v>420</v>
      </c>
    </row>
    <row r="191">
      <c r="A191" s="6" t="n">
        <v>25301010</v>
      </c>
      <c r="B191" s="6" t="inlineStr">
        <is>
          <t>Casinos &amp; Gaming</t>
        </is>
      </c>
      <c r="C191" s="6" t="n"/>
      <c r="D191" s="37" t="n">
        <v>420</v>
      </c>
    </row>
    <row r="192">
      <c r="A192" s="6" t="n">
        <v>25301020</v>
      </c>
      <c r="B192" s="6" t="inlineStr">
        <is>
          <t>Hotels, Resorts &amp; Cruise Lines</t>
        </is>
      </c>
      <c r="C192" s="6" t="n"/>
      <c r="D192" s="37" t="n">
        <v>320</v>
      </c>
    </row>
    <row r="193">
      <c r="A193" s="6" t="n">
        <v>25301030</v>
      </c>
      <c r="B193" s="6" t="inlineStr">
        <is>
          <t>Leisure Facilities</t>
        </is>
      </c>
      <c r="C193" s="6" t="n"/>
      <c r="D193" s="37" t="n">
        <v>220</v>
      </c>
    </row>
    <row r="194">
      <c r="A194" s="6" t="n">
        <v>25301040</v>
      </c>
      <c r="B194" s="6" t="inlineStr">
        <is>
          <t>Restaurants</t>
        </is>
      </c>
      <c r="C194" s="6" t="n"/>
      <c r="D194" s="37" t="n">
        <v>120</v>
      </c>
    </row>
    <row r="195">
      <c r="A195" s="6" t="n">
        <v>25302010</v>
      </c>
      <c r="B195" s="6" t="inlineStr">
        <is>
          <t>Education Services</t>
        </is>
      </c>
      <c r="C195" s="6" t="n"/>
      <c r="D195" s="37" t="n">
        <v>120</v>
      </c>
    </row>
    <row r="196">
      <c r="A196" s="6" t="n">
        <v>25302020</v>
      </c>
      <c r="B196" s="6" t="inlineStr">
        <is>
          <t>Specialized Consumer Services</t>
        </is>
      </c>
      <c r="C196" s="6" t="n"/>
      <c r="D196" s="37" t="n">
        <v>520</v>
      </c>
    </row>
    <row r="197">
      <c r="A197" s="6" t="n">
        <v>25501010</v>
      </c>
      <c r="B197" s="6" t="inlineStr">
        <is>
          <t>Distributors</t>
        </is>
      </c>
      <c r="C197" s="6" t="n"/>
      <c r="D197" s="37" t="n">
        <v>320</v>
      </c>
    </row>
    <row r="198">
      <c r="A198" s="6" t="n">
        <v>25503030</v>
      </c>
      <c r="B198" s="6" t="inlineStr">
        <is>
          <t>Broadline Retail</t>
        </is>
      </c>
      <c r="C198" s="6" t="n"/>
      <c r="D198" s="37" t="n">
        <v>420</v>
      </c>
    </row>
    <row r="199">
      <c r="A199" s="6" t="n">
        <v>25504010</v>
      </c>
      <c r="B199" s="6" t="inlineStr">
        <is>
          <t>Apparel Retail</t>
        </is>
      </c>
      <c r="C199" s="6" t="n"/>
      <c r="D199" s="37" t="n">
        <v>420</v>
      </c>
    </row>
    <row r="200">
      <c r="A200" s="6" t="n">
        <v>25504020</v>
      </c>
      <c r="B200" s="6" t="inlineStr">
        <is>
          <t>Computer &amp; Electronics Retail</t>
        </is>
      </c>
      <c r="C200" s="6" t="n"/>
      <c r="D200" s="37" t="n">
        <v>220</v>
      </c>
    </row>
    <row r="201">
      <c r="A201" s="6" t="n">
        <v>25504030</v>
      </c>
      <c r="B201" s="6" t="inlineStr">
        <is>
          <t>Home Improvement Retail</t>
        </is>
      </c>
      <c r="C201" s="6" t="n"/>
      <c r="D201" s="37" t="n">
        <v>120</v>
      </c>
    </row>
    <row r="202">
      <c r="A202" s="6" t="n">
        <v>25504040</v>
      </c>
      <c r="B202" s="6" t="inlineStr">
        <is>
          <t>Other Specialty Retail</t>
        </is>
      </c>
      <c r="C202" s="6" t="n"/>
      <c r="D202" s="37" t="n">
        <v>520</v>
      </c>
    </row>
    <row r="203">
      <c r="A203" s="6" t="n">
        <v>25504050</v>
      </c>
      <c r="B203" s="6" t="inlineStr">
        <is>
          <t>Automotive Retail</t>
        </is>
      </c>
      <c r="C203" s="6" t="n"/>
      <c r="D203" s="37" t="n">
        <v>420</v>
      </c>
    </row>
    <row r="204">
      <c r="A204" s="6" t="n">
        <v>25504060</v>
      </c>
      <c r="B204" s="6" t="inlineStr">
        <is>
          <t>Homefurnishing Retail</t>
        </is>
      </c>
      <c r="C204" s="6" t="n"/>
      <c r="D204" s="37" t="n">
        <v>320</v>
      </c>
    </row>
    <row r="205">
      <c r="A205" s="6" t="n">
        <v>30101010</v>
      </c>
      <c r="B205" s="6" t="inlineStr">
        <is>
          <t>Drug Retail</t>
        </is>
      </c>
      <c r="C205" s="6" t="n"/>
      <c r="D205" s="37" t="n">
        <v>120</v>
      </c>
    </row>
    <row r="206">
      <c r="A206" s="6" t="n">
        <v>30101020</v>
      </c>
      <c r="B206" s="6" t="inlineStr">
        <is>
          <t>Food Distributors</t>
        </is>
      </c>
      <c r="C206" s="6" t="n"/>
      <c r="D206" s="37" t="n">
        <v>520</v>
      </c>
    </row>
    <row r="207">
      <c r="A207" s="6" t="n">
        <v>30101030</v>
      </c>
      <c r="B207" s="6" t="inlineStr">
        <is>
          <t>Food Retail</t>
        </is>
      </c>
      <c r="C207" s="6" t="n"/>
      <c r="D207" s="37" t="n">
        <v>420</v>
      </c>
    </row>
    <row r="208">
      <c r="A208" s="6" t="n">
        <v>30101040</v>
      </c>
      <c r="B208" s="6" t="inlineStr">
        <is>
          <t>Consumer Staples Merchandise Retail</t>
        </is>
      </c>
      <c r="C208" s="6" t="n"/>
      <c r="D208" s="37" t="n">
        <v>320</v>
      </c>
    </row>
    <row r="209">
      <c r="A209" s="6" t="n">
        <v>30201010</v>
      </c>
      <c r="B209" s="6" t="inlineStr">
        <is>
          <t>Brewers</t>
        </is>
      </c>
      <c r="C209" s="6" t="n"/>
      <c r="D209" s="37" t="n">
        <v>320</v>
      </c>
    </row>
    <row r="210">
      <c r="A210" s="6" t="n">
        <v>30201020</v>
      </c>
      <c r="B210" s="6" t="inlineStr">
        <is>
          <t>Distillers &amp; Vintners</t>
        </is>
      </c>
      <c r="C210" s="6" t="n"/>
      <c r="D210" s="37" t="n">
        <v>220</v>
      </c>
    </row>
    <row r="211">
      <c r="A211" s="6" t="n">
        <v>30201030</v>
      </c>
      <c r="B211" s="6" t="inlineStr">
        <is>
          <t>Soft Drinks &amp; Non-alcoholic Beverages</t>
        </is>
      </c>
      <c r="C211" s="6" t="n"/>
      <c r="D211" s="37" t="n">
        <v>120</v>
      </c>
    </row>
    <row r="212">
      <c r="A212" s="6" t="n">
        <v>30202010</v>
      </c>
      <c r="B212" s="6" t="inlineStr">
        <is>
          <t>Agricultural Products &amp; Services</t>
        </is>
      </c>
      <c r="C212" s="6" t="n"/>
      <c r="D212" s="37" t="n">
        <v>520</v>
      </c>
    </row>
    <row r="213">
      <c r="A213" s="6" t="n">
        <v>30202030</v>
      </c>
      <c r="B213" s="6" t="inlineStr">
        <is>
          <t>Packaged Foods &amp; Meats</t>
        </is>
      </c>
      <c r="C213" s="6" t="n"/>
      <c r="D213" s="37" t="n">
        <v>220</v>
      </c>
    </row>
    <row r="214">
      <c r="A214" s="6" t="n">
        <v>30203010</v>
      </c>
      <c r="B214" s="6" t="inlineStr">
        <is>
          <t>Tobacco</t>
        </is>
      </c>
      <c r="C214" s="6" t="n"/>
      <c r="D214" s="37" t="n">
        <v>220</v>
      </c>
    </row>
    <row r="215">
      <c r="A215" s="6" t="n">
        <v>30301010</v>
      </c>
      <c r="B215" s="6" t="inlineStr">
        <is>
          <t>Household Products</t>
        </is>
      </c>
      <c r="C215" s="6" t="n"/>
      <c r="D215" s="37" t="n">
        <v>420</v>
      </c>
    </row>
    <row r="216">
      <c r="A216" s="6" t="n">
        <v>30302010</v>
      </c>
      <c r="B216" s="6" t="inlineStr">
        <is>
          <t>Personal Care Products</t>
        </is>
      </c>
      <c r="C216" s="6" t="n"/>
      <c r="D216" s="37" t="n">
        <v>120</v>
      </c>
    </row>
    <row r="217">
      <c r="A217" s="6" t="n">
        <v>35101010</v>
      </c>
      <c r="B217" s="6" t="inlineStr">
        <is>
          <t>Health Care Equipment</t>
        </is>
      </c>
      <c r="C217" s="6" t="n"/>
      <c r="D217" s="37" t="n">
        <v>120</v>
      </c>
    </row>
    <row r="218">
      <c r="A218" s="6" t="n">
        <v>35101020</v>
      </c>
      <c r="B218" s="6" t="inlineStr">
        <is>
          <t>Health Care Supplies</t>
        </is>
      </c>
      <c r="C218" s="6" t="n"/>
      <c r="D218" s="37" t="n">
        <v>520</v>
      </c>
    </row>
    <row r="219">
      <c r="A219" s="6" t="n">
        <v>35102010</v>
      </c>
      <c r="B219" s="6" t="inlineStr">
        <is>
          <t>Health Care Distributors</t>
        </is>
      </c>
      <c r="C219" s="6" t="n"/>
      <c r="D219" s="37" t="n">
        <v>320</v>
      </c>
    </row>
    <row r="220">
      <c r="A220" s="6" t="n">
        <v>35102015</v>
      </c>
      <c r="B220" s="6" t="inlineStr">
        <is>
          <t>Health Care Services</t>
        </is>
      </c>
      <c r="C220" s="6" t="n"/>
      <c r="D220" s="37" t="n">
        <v>520</v>
      </c>
    </row>
    <row r="221">
      <c r="A221" s="6" t="n">
        <v>35102020</v>
      </c>
      <c r="B221" s="6" t="inlineStr">
        <is>
          <t>Health Care Facilities</t>
        </is>
      </c>
      <c r="C221" s="6" t="n"/>
      <c r="D221" s="37" t="n">
        <v>220</v>
      </c>
    </row>
    <row r="222">
      <c r="A222" s="6" t="n">
        <v>35102030</v>
      </c>
      <c r="B222" s="6" t="inlineStr">
        <is>
          <t>Managed Health Care</t>
        </is>
      </c>
      <c r="C222" s="6" t="n"/>
      <c r="D222" s="37" t="n">
        <v>120</v>
      </c>
    </row>
    <row r="223">
      <c r="A223" s="6" t="n">
        <v>35103010</v>
      </c>
      <c r="B223" s="6" t="inlineStr">
        <is>
          <t>Health Care Technology</t>
        </is>
      </c>
      <c r="C223" s="6" t="n"/>
      <c r="D223" s="37" t="n">
        <v>520</v>
      </c>
    </row>
    <row r="224">
      <c r="A224" s="6" t="n">
        <v>35201010</v>
      </c>
      <c r="B224" s="6" t="inlineStr">
        <is>
          <t>Biotechnology</t>
        </is>
      </c>
      <c r="C224" s="6" t="n"/>
      <c r="D224" s="37" t="n">
        <v>320</v>
      </c>
    </row>
    <row r="225">
      <c r="A225" s="6" t="n">
        <v>35202010</v>
      </c>
      <c r="B225" s="6" t="inlineStr">
        <is>
          <t>Pharmaceuticals</t>
        </is>
      </c>
      <c r="C225" s="6" t="n"/>
      <c r="D225" s="37" t="n">
        <v>520</v>
      </c>
    </row>
    <row r="226">
      <c r="A226" s="6" t="n">
        <v>35203010</v>
      </c>
      <c r="B226" s="6" t="inlineStr">
        <is>
          <t>Life Sciences Tools &amp; Services</t>
        </is>
      </c>
      <c r="C226" s="6" t="n"/>
      <c r="D226" s="37" t="n">
        <v>220</v>
      </c>
    </row>
    <row r="227">
      <c r="A227" s="6" t="n">
        <v>40101010</v>
      </c>
      <c r="B227" s="6" t="inlineStr">
        <is>
          <t>Diversified Banks</t>
        </is>
      </c>
      <c r="C227" s="6" t="n"/>
      <c r="D227" s="37" t="n">
        <v>120</v>
      </c>
    </row>
    <row r="228">
      <c r="A228" s="6" t="n">
        <v>40101015</v>
      </c>
      <c r="B228" s="6" t="inlineStr">
        <is>
          <t>Regional Banks</t>
        </is>
      </c>
      <c r="C228" s="6" t="n"/>
      <c r="D228" s="37" t="n">
        <v>320</v>
      </c>
    </row>
    <row r="229">
      <c r="A229" s="6" t="n">
        <v>40201020</v>
      </c>
      <c r="B229" s="6" t="inlineStr">
        <is>
          <t>Diversified Financial Services</t>
        </is>
      </c>
      <c r="C229" s="6" t="n"/>
      <c r="D229" s="37" t="n">
        <v>220</v>
      </c>
    </row>
    <row r="230">
      <c r="A230" s="6" t="n">
        <v>40201030</v>
      </c>
      <c r="B230" s="6" t="inlineStr">
        <is>
          <t>Multi-Sector Holdings</t>
        </is>
      </c>
      <c r="C230" s="6" t="n"/>
      <c r="D230" s="37" t="n">
        <v>120</v>
      </c>
    </row>
    <row r="231">
      <c r="A231" s="6" t="n">
        <v>40201040</v>
      </c>
      <c r="B231" s="6" t="inlineStr">
        <is>
          <t>Specialized Finance</t>
        </is>
      </c>
      <c r="C231" s="6" t="n"/>
      <c r="D231" s="37" t="n">
        <v>420</v>
      </c>
    </row>
    <row r="232">
      <c r="A232" s="6" t="n">
        <v>40201050</v>
      </c>
      <c r="B232" s="6" t="inlineStr">
        <is>
          <t>Commercial &amp; Residential Mortgage Finance</t>
        </is>
      </c>
      <c r="C232" s="6" t="n"/>
      <c r="D232" s="37" t="n">
        <v>320</v>
      </c>
    </row>
    <row r="233">
      <c r="A233" s="6" t="n">
        <v>40201060</v>
      </c>
      <c r="B233" s="6" t="inlineStr">
        <is>
          <t>Transaction &amp; Payment Processing Services</t>
        </is>
      </c>
      <c r="C233" s="6" t="n"/>
      <c r="D233" s="37" t="n">
        <v>220</v>
      </c>
    </row>
    <row r="234">
      <c r="A234" s="6" t="n">
        <v>40202010</v>
      </c>
      <c r="B234" s="6" t="inlineStr">
        <is>
          <t>Consumer Finance</t>
        </is>
      </c>
      <c r="C234" s="6" t="n"/>
      <c r="D234" s="37" t="n">
        <v>520</v>
      </c>
    </row>
    <row r="235">
      <c r="A235" s="6" t="n">
        <v>40203010</v>
      </c>
      <c r="B235" s="6" t="inlineStr">
        <is>
          <t>Asset Management &amp; Custody Banks</t>
        </is>
      </c>
      <c r="C235" s="6" t="n"/>
      <c r="D235" s="37" t="n">
        <v>220</v>
      </c>
    </row>
    <row r="236">
      <c r="A236" s="6" t="n">
        <v>40203020</v>
      </c>
      <c r="B236" s="6" t="inlineStr">
        <is>
          <t>Investment Banking &amp; Brokerage</t>
        </is>
      </c>
      <c r="C236" s="6" t="n"/>
      <c r="D236" s="37" t="n">
        <v>120</v>
      </c>
    </row>
    <row r="237">
      <c r="A237" s="6" t="n">
        <v>40203030</v>
      </c>
      <c r="B237" s="6" t="inlineStr">
        <is>
          <t>Diversified Capital Markets</t>
        </is>
      </c>
      <c r="C237" s="6" t="n"/>
      <c r="D237" s="37" t="n">
        <v>520</v>
      </c>
    </row>
    <row r="238">
      <c r="A238" s="6" t="n">
        <v>40203040</v>
      </c>
      <c r="B238" s="6" t="inlineStr">
        <is>
          <t>Financial Exchanges &amp; Data</t>
        </is>
      </c>
      <c r="C238" s="6" t="n"/>
      <c r="D238" s="37" t="n">
        <v>320</v>
      </c>
    </row>
    <row r="239">
      <c r="A239" s="6" t="n">
        <v>40204010</v>
      </c>
      <c r="B239" s="6" t="inlineStr">
        <is>
          <t>Mortgage REITs*</t>
        </is>
      </c>
      <c r="C239" s="6" t="n"/>
      <c r="D239" s="37" t="n">
        <v>420</v>
      </c>
    </row>
    <row r="240">
      <c r="A240" s="6" t="n">
        <v>40301010</v>
      </c>
      <c r="B240" s="6" t="inlineStr">
        <is>
          <t>Insurance Brokers</t>
        </is>
      </c>
      <c r="C240" s="6" t="n"/>
      <c r="D240" s="37" t="n">
        <v>520</v>
      </c>
    </row>
    <row r="241">
      <c r="A241" s="6" t="n">
        <v>40301020</v>
      </c>
      <c r="B241" s="6" t="inlineStr">
        <is>
          <t>Life &amp; Health Insurance</t>
        </is>
      </c>
      <c r="C241" s="6" t="n"/>
      <c r="D241" s="37" t="n">
        <v>320</v>
      </c>
    </row>
    <row r="242">
      <c r="A242" s="6" t="n">
        <v>40301030</v>
      </c>
      <c r="B242" s="6" t="inlineStr">
        <is>
          <t>Multi-line Insurance</t>
        </is>
      </c>
      <c r="C242" s="6" t="n"/>
      <c r="D242" s="37" t="n">
        <v>220</v>
      </c>
    </row>
    <row r="243">
      <c r="A243" s="6" t="n">
        <v>40301040</v>
      </c>
      <c r="B243" s="6" t="inlineStr">
        <is>
          <t>Property &amp; Casualty Insurance</t>
        </is>
      </c>
      <c r="C243" s="6" t="n"/>
      <c r="D243" s="37" t="n">
        <v>120</v>
      </c>
    </row>
    <row r="244">
      <c r="A244" s="6" t="n">
        <v>40301050</v>
      </c>
      <c r="B244" s="6" t="inlineStr">
        <is>
          <t>Reinsurance</t>
        </is>
      </c>
      <c r="C244" s="6" t="n"/>
      <c r="D244" s="37" t="n">
        <v>520</v>
      </c>
    </row>
    <row r="245">
      <c r="A245" s="6" t="n">
        <v>45102010</v>
      </c>
      <c r="B245" s="6" t="inlineStr">
        <is>
          <t>IT Consulting &amp; Other Services</t>
        </is>
      </c>
      <c r="C245" s="6" t="n"/>
      <c r="D245" s="37" t="n">
        <v>320</v>
      </c>
    </row>
    <row r="246">
      <c r="A246" s="6" t="n">
        <v>45102030</v>
      </c>
      <c r="B246" s="6" t="inlineStr">
        <is>
          <t>Internet Services &amp; Infrastructure</t>
        </is>
      </c>
      <c r="C246" s="6" t="n"/>
      <c r="D246" s="37" t="n">
        <v>120</v>
      </c>
    </row>
    <row r="247">
      <c r="A247" s="6" t="n">
        <v>45103010</v>
      </c>
      <c r="B247" s="6" t="inlineStr">
        <is>
          <t>Application Software</t>
        </is>
      </c>
      <c r="C247" s="6" t="n"/>
      <c r="D247" s="37" t="n">
        <v>520</v>
      </c>
    </row>
    <row r="248">
      <c r="A248" s="6" t="n">
        <v>45103020</v>
      </c>
      <c r="B248" s="6" t="inlineStr">
        <is>
          <t>Systems Software</t>
        </is>
      </c>
      <c r="C248" s="6" t="n"/>
      <c r="D248" s="37" t="n">
        <v>420</v>
      </c>
    </row>
    <row r="249">
      <c r="A249" s="6" t="n">
        <v>45201020</v>
      </c>
      <c r="B249" s="6" t="inlineStr">
        <is>
          <t>Communications Equipment</t>
        </is>
      </c>
      <c r="C249" s="6" t="n"/>
      <c r="D249" s="37" t="n">
        <v>220</v>
      </c>
    </row>
    <row r="250">
      <c r="A250" s="6" t="n">
        <v>45202030</v>
      </c>
      <c r="B250" s="6" t="inlineStr">
        <is>
          <t>Technology Hardware, Storage &amp; Peripherals</t>
        </is>
      </c>
      <c r="C250" s="6" t="n"/>
      <c r="D250" s="37" t="n">
        <v>320</v>
      </c>
    </row>
    <row r="251">
      <c r="A251" s="6" t="n">
        <v>45203010</v>
      </c>
      <c r="B251" s="6" t="inlineStr">
        <is>
          <t>Electronic Equipment &amp; Instruments</t>
        </is>
      </c>
      <c r="C251" s="6" t="n"/>
      <c r="D251" s="37" t="n">
        <v>220</v>
      </c>
    </row>
    <row r="252">
      <c r="A252" s="6" t="n">
        <v>45203015</v>
      </c>
      <c r="B252" s="6" t="inlineStr">
        <is>
          <t>Electronic Components</t>
        </is>
      </c>
      <c r="C252" s="6" t="n"/>
      <c r="D252" s="37" t="n">
        <v>420</v>
      </c>
    </row>
    <row r="253">
      <c r="A253" s="6" t="n">
        <v>45203020</v>
      </c>
      <c r="B253" s="6" t="inlineStr">
        <is>
          <t>Electronic Manufacturing Services</t>
        </is>
      </c>
      <c r="C253" s="6" t="n"/>
      <c r="D253" s="37" t="n">
        <v>120</v>
      </c>
    </row>
    <row r="254">
      <c r="A254" s="6" t="n">
        <v>45203030</v>
      </c>
      <c r="B254" s="6" t="inlineStr">
        <is>
          <t>Technology Distributors</t>
        </is>
      </c>
      <c r="C254" s="6" t="n"/>
      <c r="D254" s="37" t="n">
        <v>520</v>
      </c>
    </row>
    <row r="255">
      <c r="A255" s="6" t="n">
        <v>45301010</v>
      </c>
      <c r="B255" s="6" t="inlineStr">
        <is>
          <t>Semiconductor Materials &amp; Equipment</t>
        </is>
      </c>
      <c r="C255" s="6" t="n"/>
      <c r="D255" s="37" t="n">
        <v>520</v>
      </c>
    </row>
    <row r="256">
      <c r="A256" s="6" t="n">
        <v>45301020</v>
      </c>
      <c r="B256" s="6" t="inlineStr">
        <is>
          <t>Semiconductors</t>
        </is>
      </c>
      <c r="C256" s="6" t="n"/>
      <c r="D256" s="37" t="n">
        <v>420</v>
      </c>
    </row>
    <row r="257">
      <c r="A257" s="6" t="n">
        <v>50101010</v>
      </c>
      <c r="B257" s="6" t="inlineStr">
        <is>
          <t>Alternative Carriers</t>
        </is>
      </c>
      <c r="C257" s="6" t="n"/>
      <c r="D257" s="37" t="n">
        <v>220</v>
      </c>
    </row>
    <row r="258">
      <c r="A258" s="6" t="n">
        <v>50101020</v>
      </c>
      <c r="B258" s="6" t="inlineStr">
        <is>
          <t>Integrated Telecommunication Services</t>
        </is>
      </c>
      <c r="C258" s="6" t="n"/>
      <c r="D258" s="37" t="n">
        <v>520</v>
      </c>
    </row>
    <row r="259">
      <c r="A259" s="6" t="n">
        <v>50102010</v>
      </c>
      <c r="B259" s="6" t="inlineStr">
        <is>
          <t>Wireless Telecommunication Services</t>
        </is>
      </c>
      <c r="C259" s="6" t="n"/>
      <c r="D259" s="37" t="n">
        <v>420</v>
      </c>
    </row>
    <row r="260">
      <c r="A260" s="6" t="n">
        <v>50201010</v>
      </c>
      <c r="B260" s="6" t="inlineStr">
        <is>
          <t>Advertising</t>
        </is>
      </c>
      <c r="C260" s="6" t="n"/>
      <c r="D260" s="37" t="n">
        <v>320</v>
      </c>
    </row>
    <row r="261">
      <c r="A261" s="6" t="n">
        <v>50201020</v>
      </c>
      <c r="B261" s="6" t="inlineStr">
        <is>
          <t>Broadcasting</t>
        </is>
      </c>
      <c r="C261" s="6" t="n"/>
      <c r="D261" s="37" t="n">
        <v>220</v>
      </c>
    </row>
    <row r="262">
      <c r="A262" s="6" t="n">
        <v>50201030</v>
      </c>
      <c r="B262" s="6" t="inlineStr">
        <is>
          <t>Cable &amp; Satellite</t>
        </is>
      </c>
      <c r="C262" s="6" t="n"/>
      <c r="D262" s="37" t="n">
        <v>120</v>
      </c>
    </row>
    <row r="263">
      <c r="A263" s="6" t="n">
        <v>50201040</v>
      </c>
      <c r="B263" s="6" t="inlineStr">
        <is>
          <t>Publishing</t>
        </is>
      </c>
      <c r="C263" s="6" t="n"/>
      <c r="D263" s="37" t="n">
        <v>520</v>
      </c>
    </row>
    <row r="264">
      <c r="A264" s="6" t="n">
        <v>50202010</v>
      </c>
      <c r="B264" s="6" t="inlineStr">
        <is>
          <t>Movies &amp; Entertainment</t>
        </is>
      </c>
      <c r="C264" s="6" t="n"/>
      <c r="D264" s="37" t="n">
        <v>520</v>
      </c>
    </row>
    <row r="265">
      <c r="A265" s="6" t="n">
        <v>50202020</v>
      </c>
      <c r="B265" s="6" t="inlineStr">
        <is>
          <t>Interactive Home Entertainment</t>
        </is>
      </c>
      <c r="C265" s="6" t="n"/>
      <c r="D265" s="37" t="n">
        <v>420</v>
      </c>
    </row>
    <row r="266">
      <c r="A266" s="6" t="n">
        <v>50203010</v>
      </c>
      <c r="B266" s="6" t="inlineStr">
        <is>
          <t>Interactive Media &amp; Services</t>
        </is>
      </c>
      <c r="C266" s="6" t="n"/>
      <c r="D266" s="37" t="n">
        <v>220</v>
      </c>
    </row>
    <row r="267">
      <c r="A267" s="6" t="n">
        <v>55101010</v>
      </c>
      <c r="B267" s="6" t="inlineStr">
        <is>
          <t>Electric Utilities</t>
        </is>
      </c>
      <c r="C267" s="6" t="n"/>
      <c r="D267" s="37" t="n">
        <v>220</v>
      </c>
    </row>
    <row r="268">
      <c r="A268" s="6" t="n">
        <v>55102010</v>
      </c>
      <c r="B268" s="6" t="inlineStr">
        <is>
          <t>Gas Utilities</t>
        </is>
      </c>
      <c r="C268" s="6" t="n"/>
      <c r="D268" s="37" t="n">
        <v>420</v>
      </c>
    </row>
    <row r="269">
      <c r="A269" s="6" t="n">
        <v>55103010</v>
      </c>
      <c r="B269" s="6" t="inlineStr">
        <is>
          <t>Multi-Utilities</t>
        </is>
      </c>
      <c r="C269" s="6" t="n"/>
      <c r="D269" s="37" t="n">
        <v>120</v>
      </c>
    </row>
    <row r="270">
      <c r="A270" s="6" t="n">
        <v>55104010</v>
      </c>
      <c r="B270" s="6" t="inlineStr">
        <is>
          <t>Water Utilities</t>
        </is>
      </c>
      <c r="C270" s="6" t="n"/>
      <c r="D270" s="37" t="n">
        <v>320</v>
      </c>
    </row>
    <row r="271">
      <c r="A271" s="6" t="n">
        <v>55105010</v>
      </c>
      <c r="B271" s="6" t="inlineStr">
        <is>
          <t>Independent Power Producers &amp; Energy Traders</t>
        </is>
      </c>
      <c r="C271" s="6" t="n"/>
      <c r="D271" s="37" t="n">
        <v>420</v>
      </c>
    </row>
    <row r="272">
      <c r="A272" s="6" t="n">
        <v>55105020</v>
      </c>
      <c r="B272" s="6" t="inlineStr">
        <is>
          <t>Renewable Electricity</t>
        </is>
      </c>
      <c r="C272" s="6" t="n"/>
      <c r="D272" s="37" t="n">
        <v>320</v>
      </c>
    </row>
    <row r="273">
      <c r="A273" s="6" t="n">
        <v>60101010</v>
      </c>
      <c r="B273" s="6" t="inlineStr">
        <is>
          <t>Diversified REITs*</t>
        </is>
      </c>
      <c r="C273" s="6" t="n"/>
      <c r="D273" s="37" t="n">
        <v>220</v>
      </c>
    </row>
    <row r="274">
      <c r="A274" s="6" t="n">
        <v>60102510</v>
      </c>
      <c r="B274" s="6" t="inlineStr">
        <is>
          <t>Industrial REITs*</t>
        </is>
      </c>
      <c r="C274" s="6" t="n"/>
      <c r="D274" s="37" t="n">
        <v>520</v>
      </c>
    </row>
    <row r="275">
      <c r="A275" s="6" t="n">
        <v>60103010</v>
      </c>
      <c r="B275" s="6" t="inlineStr">
        <is>
          <t>Hotel &amp; Resort REITs*</t>
        </is>
      </c>
      <c r="C275" s="6" t="n"/>
      <c r="D275" s="37" t="n">
        <v>120</v>
      </c>
    </row>
    <row r="276">
      <c r="A276" s="6" t="n">
        <v>60104010</v>
      </c>
      <c r="B276" s="6" t="inlineStr">
        <is>
          <t>Office REITs*</t>
        </is>
      </c>
      <c r="C276" s="6" t="n"/>
      <c r="D276" s="37" t="n">
        <v>320</v>
      </c>
    </row>
    <row r="277">
      <c r="A277" s="6" t="n">
        <v>60105010</v>
      </c>
      <c r="B277" s="6" t="inlineStr">
        <is>
          <t>Health Care REITs*</t>
        </is>
      </c>
      <c r="C277" s="6" t="n"/>
      <c r="D277" s="37" t="n">
        <v>520</v>
      </c>
    </row>
    <row r="278">
      <c r="A278" s="6" t="n">
        <v>60106010</v>
      </c>
      <c r="B278" s="6" t="inlineStr">
        <is>
          <t>Multi-Family Residential REITs*</t>
        </is>
      </c>
      <c r="C278" s="6" t="n"/>
      <c r="D278" s="37" t="n">
        <v>220</v>
      </c>
    </row>
    <row r="279">
      <c r="A279" s="6" t="n">
        <v>60106020</v>
      </c>
      <c r="B279" s="6" t="inlineStr">
        <is>
          <t>Single-Family Residential REITs*</t>
        </is>
      </c>
      <c r="C279" s="6" t="n"/>
      <c r="D279" s="37" t="n">
        <v>520</v>
      </c>
    </row>
    <row r="280">
      <c r="A280" s="6" t="n">
        <v>60107010</v>
      </c>
      <c r="B280" s="6" t="inlineStr">
        <is>
          <t>Retail REITs*</t>
        </is>
      </c>
      <c r="C280" s="6" t="n"/>
      <c r="D280" s="37" t="n">
        <v>320</v>
      </c>
    </row>
    <row r="281">
      <c r="A281" s="6" t="n">
        <v>60108010</v>
      </c>
      <c r="B281" s="6" t="inlineStr">
        <is>
          <t>Other Specialized REITs*</t>
        </is>
      </c>
      <c r="C281" s="6" t="n"/>
      <c r="D281" s="37" t="n">
        <v>520</v>
      </c>
    </row>
    <row r="282">
      <c r="A282" s="6" t="n">
        <v>60108020</v>
      </c>
      <c r="B282" s="6" t="inlineStr">
        <is>
          <t>Self-Storage REITs*</t>
        </is>
      </c>
      <c r="C282" s="6" t="n"/>
      <c r="D282" s="37" t="n">
        <v>420</v>
      </c>
    </row>
    <row r="283">
      <c r="A283" s="6" t="n">
        <v>60108030</v>
      </c>
      <c r="B283" s="6" t="inlineStr">
        <is>
          <t>Telecom Tower REITs*</t>
        </is>
      </c>
      <c r="C283" s="6" t="n"/>
      <c r="D283" s="37" t="n">
        <v>320</v>
      </c>
    </row>
    <row r="284">
      <c r="A284" s="6" t="n">
        <v>60108040</v>
      </c>
      <c r="B284" s="6" t="inlineStr">
        <is>
          <t>Timber REITs*</t>
        </is>
      </c>
      <c r="C284" s="6" t="n"/>
      <c r="D284" s="37" t="n">
        <v>220</v>
      </c>
    </row>
    <row r="285">
      <c r="A285" s="6" t="n">
        <v>60108050</v>
      </c>
      <c r="B285" s="6" t="inlineStr">
        <is>
          <t>Data Center REITs*</t>
        </is>
      </c>
      <c r="C285" s="6" t="n"/>
      <c r="D285" s="37" t="n">
        <v>120</v>
      </c>
    </row>
    <row r="286">
      <c r="A286" s="6" t="n">
        <v>60201010</v>
      </c>
      <c r="B286" s="6" t="inlineStr">
        <is>
          <t>Diversified Real Estate Activities</t>
        </is>
      </c>
      <c r="C286" s="6" t="n"/>
      <c r="D286" s="37" t="n">
        <v>320</v>
      </c>
    </row>
    <row r="287">
      <c r="A287" s="6" t="n">
        <v>60201020</v>
      </c>
      <c r="B287" s="6" t="inlineStr">
        <is>
          <t>Real Estate Operating Companies</t>
        </is>
      </c>
      <c r="C287" s="6" t="n"/>
      <c r="D287" s="37" t="n">
        <v>220</v>
      </c>
    </row>
    <row r="288">
      <c r="A288" s="6" t="n">
        <v>60201030</v>
      </c>
      <c r="B288" s="6" t="inlineStr">
        <is>
          <t>Real Estate Development</t>
        </is>
      </c>
      <c r="C288" s="6" t="n"/>
      <c r="D288" s="37" t="n">
        <v>120</v>
      </c>
    </row>
    <row r="289">
      <c r="A289" s="6" t="n">
        <v>60201040</v>
      </c>
      <c r="B289" s="6" t="inlineStr">
        <is>
          <t>Real Estate Services</t>
        </is>
      </c>
      <c r="C289" s="6" t="n"/>
      <c r="D289" s="37" t="n">
        <v>520</v>
      </c>
    </row>
  </sheetData>
  <mergeCells count="5">
    <mergeCell ref="A1:D1"/>
    <mergeCell ref="A18:D18"/>
    <mergeCell ref="A3:D3"/>
    <mergeCell ref="A125:D125"/>
    <mergeCell ref="A47:D4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4" customWidth="1" min="2" max="2"/>
    <col width="12" customWidth="1" min="3" max="3"/>
    <col width="14" customWidth="1" min="4" max="4"/>
    <col width="12" customWidth="1" min="5" max="5"/>
  </cols>
  <sheetData>
    <row r="1" ht="56" customHeight="1">
      <c r="A1" t="inlineStr">
        <is>
          <t>PASTE ZONE — DUMMY VALUES. Real Bloomberg 1Y equity volatility and D/E ratio (total debt / total equity) at each of the four GICS levels. This is the PRIMARY sigma source on 10_GICS_Asset_Vol: sigma_asset = 1Y Equity Vol / (1 + D/E) — the same delevering formula Damodaran's data used, now real UK data instead of a US dataset. More precise than the beta-based cross-check: a direct measurement, not a beta x market-vol shortcut that assumes all volatility is market-driven. Replace with real data.</t>
        </is>
      </c>
    </row>
    <row r="3">
      <c r="A3" s="4" t="inlineStr">
        <is>
          <t>SECTOR (11)</t>
        </is>
      </c>
    </row>
    <row r="4">
      <c r="A4" s="5" t="inlineStr">
        <is>
          <t>Code</t>
        </is>
      </c>
      <c r="B4" s="5" t="inlineStr">
        <is>
          <t>Name</t>
        </is>
      </c>
      <c r="C4" s="5" t="inlineStr"/>
      <c r="D4" s="5" t="inlineStr">
        <is>
          <t>1Y Equity Vol
(DUMMY)</t>
        </is>
      </c>
      <c r="E4" s="5" t="inlineStr">
        <is>
          <t>D/E Ratio
(DUMMY)</t>
        </is>
      </c>
    </row>
    <row r="5">
      <c r="A5" s="6" t="n">
        <v>10</v>
      </c>
      <c r="B5" s="6" t="inlineStr">
        <is>
          <t>Energy</t>
        </is>
      </c>
      <c r="C5" s="6" t="n"/>
      <c r="D5" s="38" t="n">
        <v>0.45</v>
      </c>
      <c r="E5" s="36" t="n">
        <v>0.2</v>
      </c>
    </row>
    <row r="6">
      <c r="A6" s="6" t="n">
        <v>15</v>
      </c>
      <c r="B6" s="6" t="inlineStr">
        <is>
          <t>Materials</t>
        </is>
      </c>
      <c r="C6" s="6" t="n"/>
      <c r="D6" s="38" t="n">
        <v>0.65</v>
      </c>
      <c r="E6" s="36" t="n">
        <v>0.8</v>
      </c>
    </row>
    <row r="7">
      <c r="A7" s="6" t="n">
        <v>20</v>
      </c>
      <c r="B7" s="6" t="inlineStr">
        <is>
          <t>Industrials</t>
        </is>
      </c>
      <c r="C7" s="6" t="n"/>
      <c r="D7" s="38" t="n">
        <v>0.35</v>
      </c>
      <c r="E7" s="36" t="n">
        <v>1.4</v>
      </c>
    </row>
    <row r="8">
      <c r="A8" s="6" t="n">
        <v>25</v>
      </c>
      <c r="B8" s="6" t="inlineStr">
        <is>
          <t>Consumer Discretionary</t>
        </is>
      </c>
      <c r="C8" s="6" t="n"/>
      <c r="D8" s="38" t="n">
        <v>0.55</v>
      </c>
      <c r="E8" s="36" t="n">
        <v>0.5</v>
      </c>
    </row>
    <row r="9">
      <c r="A9" s="6" t="n">
        <v>30</v>
      </c>
      <c r="B9" s="6" t="inlineStr">
        <is>
          <t>Consumer Staples</t>
        </is>
      </c>
      <c r="C9" s="6" t="n"/>
      <c r="D9" s="38" t="n">
        <v>0.25</v>
      </c>
      <c r="E9" s="36" t="n">
        <v>1.1</v>
      </c>
    </row>
    <row r="10">
      <c r="A10" s="6" t="n">
        <v>35</v>
      </c>
      <c r="B10" s="6" t="inlineStr">
        <is>
          <t>Health Care</t>
        </is>
      </c>
      <c r="C10" s="6" t="n"/>
      <c r="D10" s="38" t="n">
        <v>0.45</v>
      </c>
      <c r="E10" s="36" t="n">
        <v>0.2</v>
      </c>
    </row>
    <row r="11">
      <c r="A11" s="6" t="n">
        <v>40</v>
      </c>
      <c r="B11" s="6" t="inlineStr">
        <is>
          <t>Financials</t>
        </is>
      </c>
      <c r="C11" s="6" t="n"/>
      <c r="D11" s="38" t="n">
        <v>0.65</v>
      </c>
      <c r="E11" s="36" t="n">
        <v>0.8</v>
      </c>
    </row>
    <row r="12">
      <c r="A12" s="6" t="n">
        <v>45</v>
      </c>
      <c r="B12" s="6" t="inlineStr">
        <is>
          <t>Information Technology</t>
        </is>
      </c>
      <c r="C12" s="6" t="n"/>
      <c r="D12" s="38" t="n">
        <v>0.35</v>
      </c>
      <c r="E12" s="36" t="n">
        <v>1.4</v>
      </c>
    </row>
    <row r="13">
      <c r="A13" s="6" t="n">
        <v>50</v>
      </c>
      <c r="B13" s="6" t="inlineStr">
        <is>
          <t>Communication Services</t>
        </is>
      </c>
      <c r="C13" s="6" t="n"/>
      <c r="D13" s="38" t="n">
        <v>0.55</v>
      </c>
      <c r="E13" s="36" t="n">
        <v>0.5</v>
      </c>
    </row>
    <row r="14">
      <c r="A14" s="6" t="n">
        <v>55</v>
      </c>
      <c r="B14" s="6" t="inlineStr">
        <is>
          <t>Utilities</t>
        </is>
      </c>
      <c r="C14" s="6" t="n"/>
      <c r="D14" s="38" t="n">
        <v>0.25</v>
      </c>
      <c r="E14" s="36" t="n">
        <v>1.1</v>
      </c>
    </row>
    <row r="15">
      <c r="A15" s="6" t="n">
        <v>60</v>
      </c>
      <c r="B15" s="6" t="inlineStr">
        <is>
          <t>Real Estate</t>
        </is>
      </c>
      <c r="C15" s="6" t="n"/>
      <c r="D15" s="38" t="n">
        <v>0.35</v>
      </c>
      <c r="E15" s="36" t="n">
        <v>1.4</v>
      </c>
    </row>
    <row r="18">
      <c r="A18" s="4" t="inlineStr">
        <is>
          <t>INDUSTRY GROUP (25)</t>
        </is>
      </c>
    </row>
    <row r="19">
      <c r="A19" s="5" t="inlineStr">
        <is>
          <t>Code</t>
        </is>
      </c>
      <c r="B19" s="5" t="inlineStr">
        <is>
          <t>Name</t>
        </is>
      </c>
      <c r="C19" s="5" t="inlineStr"/>
      <c r="D19" s="5" t="inlineStr">
        <is>
          <t>1Y Equity Vol
(DUMMY)</t>
        </is>
      </c>
      <c r="E19" s="5" t="inlineStr">
        <is>
          <t>D/E Ratio
(DUMMY)</t>
        </is>
      </c>
    </row>
    <row r="20">
      <c r="A20" s="6" t="n">
        <v>1010</v>
      </c>
      <c r="B20" s="6" t="inlineStr">
        <is>
          <t>Energy</t>
        </is>
      </c>
      <c r="C20" s="6" t="n"/>
      <c r="D20" s="38" t="n">
        <v>0.65</v>
      </c>
      <c r="E20" s="36" t="n">
        <v>0.8</v>
      </c>
    </row>
    <row r="21">
      <c r="A21" s="6" t="n">
        <v>1510</v>
      </c>
      <c r="B21" s="6" t="inlineStr">
        <is>
          <t>Materials</t>
        </is>
      </c>
      <c r="C21" s="6" t="n"/>
      <c r="D21" s="38" t="n">
        <v>0.25</v>
      </c>
      <c r="E21" s="36" t="n">
        <v>1.1</v>
      </c>
    </row>
    <row r="22">
      <c r="A22" s="6" t="n">
        <v>2010</v>
      </c>
      <c r="B22" s="6" t="inlineStr">
        <is>
          <t>Capital Goods</t>
        </is>
      </c>
      <c r="C22" s="6" t="n"/>
      <c r="D22" s="38" t="n">
        <v>0.35</v>
      </c>
      <c r="E22" s="36" t="n">
        <v>1.4</v>
      </c>
    </row>
    <row r="23">
      <c r="A23" s="6" t="n">
        <v>2020</v>
      </c>
      <c r="B23" s="6" t="inlineStr">
        <is>
          <t>Commercial  &amp; Professional Services</t>
        </is>
      </c>
      <c r="C23" s="6" t="n"/>
      <c r="D23" s="38" t="n">
        <v>0.25</v>
      </c>
      <c r="E23" s="36" t="n">
        <v>1.1</v>
      </c>
    </row>
    <row r="24">
      <c r="A24" s="6" t="n">
        <v>2030</v>
      </c>
      <c r="B24" s="6" t="inlineStr">
        <is>
          <t>Transportation</t>
        </is>
      </c>
      <c r="C24" s="6" t="n"/>
      <c r="D24" s="38" t="n">
        <v>0.65</v>
      </c>
      <c r="E24" s="36" t="n">
        <v>0.8</v>
      </c>
    </row>
    <row r="25">
      <c r="A25" s="6" t="n">
        <v>2510</v>
      </c>
      <c r="B25" s="6" t="inlineStr">
        <is>
          <t>Automobiles &amp; Components</t>
        </is>
      </c>
      <c r="C25" s="6" t="n"/>
      <c r="D25" s="38" t="n">
        <v>0.45</v>
      </c>
      <c r="E25" s="36" t="n">
        <v>0.2</v>
      </c>
    </row>
    <row r="26">
      <c r="A26" s="6" t="n">
        <v>2520</v>
      </c>
      <c r="B26" s="6" t="inlineStr">
        <is>
          <t>Consumer Durables &amp; Apparel</t>
        </is>
      </c>
      <c r="C26" s="6" t="n"/>
      <c r="D26" s="38" t="n">
        <v>0.35</v>
      </c>
      <c r="E26" s="36" t="n">
        <v>1.4</v>
      </c>
    </row>
    <row r="27">
      <c r="A27" s="6" t="n">
        <v>2530</v>
      </c>
      <c r="B27" s="6" t="inlineStr">
        <is>
          <t>Consumer Services</t>
        </is>
      </c>
      <c r="C27" s="6" t="n"/>
      <c r="D27" s="38" t="n">
        <v>0.25</v>
      </c>
      <c r="E27" s="36" t="n">
        <v>1.1</v>
      </c>
    </row>
    <row r="28">
      <c r="A28" s="6" t="n">
        <v>2550</v>
      </c>
      <c r="B28" s="6" t="inlineStr">
        <is>
          <t>Consumer Discretionary Distribution &amp; Retail</t>
        </is>
      </c>
      <c r="C28" s="6" t="n"/>
      <c r="D28" s="38" t="n">
        <v>0.55</v>
      </c>
      <c r="E28" s="36" t="n">
        <v>0.5</v>
      </c>
    </row>
    <row r="29">
      <c r="A29" s="6" t="n">
        <v>3010</v>
      </c>
      <c r="B29" s="6" t="inlineStr">
        <is>
          <t>Consumer Staples Distribution &amp; Retail</t>
        </is>
      </c>
      <c r="C29" s="6" t="n"/>
      <c r="D29" s="38" t="n">
        <v>0.55</v>
      </c>
      <c r="E29" s="36" t="n">
        <v>0.5</v>
      </c>
    </row>
    <row r="30">
      <c r="A30" s="6" t="n">
        <v>3020</v>
      </c>
      <c r="B30" s="6" t="inlineStr">
        <is>
          <t>Food, Beverage &amp; Tobacco</t>
        </is>
      </c>
      <c r="C30" s="6" t="n"/>
      <c r="D30" s="38" t="n">
        <v>0.45</v>
      </c>
      <c r="E30" s="36" t="n">
        <v>0.2</v>
      </c>
    </row>
    <row r="31">
      <c r="A31" s="6" t="n">
        <v>3030</v>
      </c>
      <c r="B31" s="6" t="inlineStr">
        <is>
          <t>Household &amp; Personal Products</t>
        </is>
      </c>
      <c r="C31" s="6" t="n"/>
      <c r="D31" s="38" t="n">
        <v>0.35</v>
      </c>
      <c r="E31" s="36" t="n">
        <v>1.4</v>
      </c>
    </row>
    <row r="32">
      <c r="A32" s="6" t="n">
        <v>3510</v>
      </c>
      <c r="B32" s="6" t="inlineStr">
        <is>
          <t>Health Care Equipment &amp; Services</t>
        </is>
      </c>
      <c r="C32" s="6" t="n"/>
      <c r="D32" s="38" t="n">
        <v>0.65</v>
      </c>
      <c r="E32" s="36" t="n">
        <v>0.8</v>
      </c>
    </row>
    <row r="33">
      <c r="A33" s="6" t="n">
        <v>3520</v>
      </c>
      <c r="B33" s="6" t="inlineStr">
        <is>
          <t>Pharmaceuticals, Biotechnology &amp; Life Sciences</t>
        </is>
      </c>
      <c r="C33" s="6" t="n"/>
      <c r="D33" s="38" t="n">
        <v>0.55</v>
      </c>
      <c r="E33" s="36" t="n">
        <v>0.5</v>
      </c>
    </row>
    <row r="34">
      <c r="A34" s="6" t="n">
        <v>4010</v>
      </c>
      <c r="B34" s="6" t="inlineStr">
        <is>
          <t>Banks</t>
        </is>
      </c>
      <c r="C34" s="6" t="n"/>
      <c r="D34" s="38" t="n">
        <v>0.25</v>
      </c>
      <c r="E34" s="36" t="n">
        <v>1.1</v>
      </c>
    </row>
    <row r="35">
      <c r="A35" s="6" t="n">
        <v>4020</v>
      </c>
      <c r="B35" s="6" t="inlineStr">
        <is>
          <t>Financial Services</t>
        </is>
      </c>
      <c r="C35" s="6" t="n"/>
      <c r="D35" s="38" t="n">
        <v>0.65</v>
      </c>
      <c r="E35" s="36" t="n">
        <v>0.8</v>
      </c>
    </row>
    <row r="36">
      <c r="A36" s="6" t="n">
        <v>4030</v>
      </c>
      <c r="B36" s="6" t="inlineStr">
        <is>
          <t>Insurance</t>
        </is>
      </c>
      <c r="C36" s="6" t="n"/>
      <c r="D36" s="38" t="n">
        <v>0.55</v>
      </c>
      <c r="E36" s="36" t="n">
        <v>0.5</v>
      </c>
    </row>
    <row r="37">
      <c r="A37" s="6" t="n">
        <v>4510</v>
      </c>
      <c r="B37" s="6" t="inlineStr">
        <is>
          <t>Software &amp; Services</t>
        </is>
      </c>
      <c r="C37" s="6" t="n"/>
      <c r="D37" s="38" t="n">
        <v>0.35</v>
      </c>
      <c r="E37" s="36" t="n">
        <v>1.4</v>
      </c>
    </row>
    <row r="38">
      <c r="A38" s="6" t="n">
        <v>4520</v>
      </c>
      <c r="B38" s="6" t="inlineStr">
        <is>
          <t>Technology Hardware &amp; Equipment</t>
        </is>
      </c>
      <c r="C38" s="6" t="n"/>
      <c r="D38" s="38" t="n">
        <v>0.25</v>
      </c>
      <c r="E38" s="36" t="n">
        <v>1.1</v>
      </c>
    </row>
    <row r="39">
      <c r="A39" s="6" t="n">
        <v>4530</v>
      </c>
      <c r="B39" s="6" t="inlineStr">
        <is>
          <t>Semiconductors &amp; Semiconductor Equipment</t>
        </is>
      </c>
      <c r="C39" s="6" t="n"/>
      <c r="D39" s="38" t="n">
        <v>0.65</v>
      </c>
      <c r="E39" s="36" t="n">
        <v>0.8</v>
      </c>
    </row>
    <row r="40">
      <c r="A40" s="6" t="n">
        <v>5010</v>
      </c>
      <c r="B40" s="6" t="inlineStr">
        <is>
          <t>Telecommunication Services</t>
        </is>
      </c>
      <c r="C40" s="6" t="n"/>
      <c r="D40" s="38" t="n">
        <v>0.45</v>
      </c>
      <c r="E40" s="36" t="n">
        <v>0.2</v>
      </c>
    </row>
    <row r="41">
      <c r="A41" s="6" t="n">
        <v>5020</v>
      </c>
      <c r="B41" s="6" t="inlineStr">
        <is>
          <t>Media &amp; Entertainment</t>
        </is>
      </c>
      <c r="C41" s="6" t="n"/>
      <c r="D41" s="38" t="n">
        <v>0.35</v>
      </c>
      <c r="E41" s="36" t="n">
        <v>1.4</v>
      </c>
    </row>
    <row r="42">
      <c r="A42" s="6" t="n">
        <v>5510</v>
      </c>
      <c r="B42" s="6" t="inlineStr">
        <is>
          <t>Utilities</t>
        </is>
      </c>
      <c r="C42" s="6" t="n"/>
      <c r="D42" s="38" t="n">
        <v>0.55</v>
      </c>
      <c r="E42" s="36" t="n">
        <v>0.5</v>
      </c>
    </row>
    <row r="43">
      <c r="A43" s="6" t="n">
        <v>6010</v>
      </c>
      <c r="B43" s="6" t="inlineStr">
        <is>
          <t>Equity Real Estate Investment Trusts (REITs)</t>
        </is>
      </c>
      <c r="C43" s="6" t="n"/>
      <c r="D43" s="38" t="n">
        <v>0.65</v>
      </c>
      <c r="E43" s="36" t="n">
        <v>0.8</v>
      </c>
    </row>
    <row r="44">
      <c r="A44" s="6" t="n">
        <v>6020</v>
      </c>
      <c r="B44" s="6" t="inlineStr">
        <is>
          <t>Real Estate Management &amp; Development</t>
        </is>
      </c>
      <c r="C44" s="6" t="n"/>
      <c r="D44" s="38" t="n">
        <v>0.55</v>
      </c>
      <c r="E44" s="36" t="n">
        <v>0.5</v>
      </c>
    </row>
    <row r="47">
      <c r="A47" s="4" t="inlineStr">
        <is>
          <t>INDUSTRY (74)</t>
        </is>
      </c>
    </row>
    <row r="48">
      <c r="A48" s="5" t="inlineStr">
        <is>
          <t>Code</t>
        </is>
      </c>
      <c r="B48" s="5" t="inlineStr">
        <is>
          <t>Name</t>
        </is>
      </c>
      <c r="C48" s="5" t="inlineStr"/>
      <c r="D48" s="5" t="inlineStr">
        <is>
          <t>1Y Equity Vol
(DUMMY)</t>
        </is>
      </c>
      <c r="E48" s="5" t="inlineStr">
        <is>
          <t>D/E Ratio
(DUMMY)</t>
        </is>
      </c>
    </row>
    <row r="49">
      <c r="A49" s="6" t="n">
        <v>101010</v>
      </c>
      <c r="B49" s="6" t="inlineStr">
        <is>
          <t>Energy Equipment &amp; Services</t>
        </is>
      </c>
      <c r="C49" s="6" t="n"/>
      <c r="D49" s="38" t="n">
        <v>0.35</v>
      </c>
      <c r="E49" s="36" t="n">
        <v>1.4</v>
      </c>
    </row>
    <row r="50">
      <c r="A50" s="6" t="n">
        <v>101020</v>
      </c>
      <c r="B50" s="6" t="inlineStr">
        <is>
          <t>Oil, Gas &amp; Consumable Fuels</t>
        </is>
      </c>
      <c r="C50" s="6" t="n"/>
      <c r="D50" s="38" t="n">
        <v>0.25</v>
      </c>
      <c r="E50" s="36" t="n">
        <v>1.1</v>
      </c>
    </row>
    <row r="51">
      <c r="A51" s="6" t="n">
        <v>151010</v>
      </c>
      <c r="B51" s="6" t="inlineStr">
        <is>
          <t>Chemicals</t>
        </is>
      </c>
      <c r="C51" s="6" t="n"/>
      <c r="D51" s="38" t="n">
        <v>0.65</v>
      </c>
      <c r="E51" s="36" t="n">
        <v>0.8</v>
      </c>
    </row>
    <row r="52">
      <c r="A52" s="6" t="n">
        <v>151020</v>
      </c>
      <c r="B52" s="6" t="inlineStr">
        <is>
          <t>Construction Materials</t>
        </is>
      </c>
      <c r="C52" s="6" t="n"/>
      <c r="D52" s="38" t="n">
        <v>0.55</v>
      </c>
      <c r="E52" s="36" t="n">
        <v>0.5</v>
      </c>
    </row>
    <row r="53">
      <c r="A53" s="6" t="n">
        <v>151030</v>
      </c>
      <c r="B53" s="6" t="inlineStr">
        <is>
          <t>Containers &amp; Packaging</t>
        </is>
      </c>
      <c r="C53" s="6" t="n"/>
      <c r="D53" s="38" t="n">
        <v>0.45</v>
      </c>
      <c r="E53" s="36" t="n">
        <v>0.2</v>
      </c>
    </row>
    <row r="54">
      <c r="A54" s="6" t="n">
        <v>151040</v>
      </c>
      <c r="B54" s="6" t="inlineStr">
        <is>
          <t>Metals &amp; Mining</t>
        </is>
      </c>
      <c r="C54" s="6" t="n"/>
      <c r="D54" s="38" t="n">
        <v>0.35</v>
      </c>
      <c r="E54" s="36" t="n">
        <v>1.4</v>
      </c>
    </row>
    <row r="55">
      <c r="A55" s="6" t="n">
        <v>151050</v>
      </c>
      <c r="B55" s="6" t="inlineStr">
        <is>
          <t>Paper &amp; Forest Products</t>
        </is>
      </c>
      <c r="C55" s="6" t="n"/>
      <c r="D55" s="38" t="n">
        <v>0.65</v>
      </c>
      <c r="E55" s="36" t="n">
        <v>0.8</v>
      </c>
    </row>
    <row r="56">
      <c r="A56" s="6" t="n">
        <v>201010</v>
      </c>
      <c r="B56" s="6" t="inlineStr">
        <is>
          <t>Aerospace &amp; Defense</t>
        </is>
      </c>
      <c r="C56" s="6" t="n"/>
      <c r="D56" s="38" t="n">
        <v>0.45</v>
      </c>
      <c r="E56" s="36" t="n">
        <v>0.2</v>
      </c>
    </row>
    <row r="57">
      <c r="A57" s="6" t="n">
        <v>201020</v>
      </c>
      <c r="B57" s="6" t="inlineStr">
        <is>
          <t>Building Products</t>
        </is>
      </c>
      <c r="C57" s="6" t="n"/>
      <c r="D57" s="38" t="n">
        <v>0.35</v>
      </c>
      <c r="E57" s="36" t="n">
        <v>1.4</v>
      </c>
    </row>
    <row r="58">
      <c r="A58" s="6" t="n">
        <v>201030</v>
      </c>
      <c r="B58" s="6" t="inlineStr">
        <is>
          <t>Construction &amp; Engineering</t>
        </is>
      </c>
      <c r="C58" s="6" t="n"/>
      <c r="D58" s="38" t="n">
        <v>0.25</v>
      </c>
      <c r="E58" s="36" t="n">
        <v>1.1</v>
      </c>
    </row>
    <row r="59">
      <c r="A59" s="6" t="n">
        <v>201040</v>
      </c>
      <c r="B59" s="6" t="inlineStr">
        <is>
          <t>Electrical Equipment</t>
        </is>
      </c>
      <c r="C59" s="6" t="n"/>
      <c r="D59" s="38" t="n">
        <v>0.65</v>
      </c>
      <c r="E59" s="36" t="n">
        <v>0.8</v>
      </c>
    </row>
    <row r="60">
      <c r="A60" s="6" t="n">
        <v>201050</v>
      </c>
      <c r="B60" s="6" t="inlineStr">
        <is>
          <t>Industrial Conglomerates</t>
        </is>
      </c>
      <c r="C60" s="6" t="n"/>
      <c r="D60" s="38" t="n">
        <v>0.55</v>
      </c>
      <c r="E60" s="36" t="n">
        <v>0.5</v>
      </c>
    </row>
    <row r="61">
      <c r="A61" s="6" t="n">
        <v>201060</v>
      </c>
      <c r="B61" s="6" t="inlineStr">
        <is>
          <t>Machinery</t>
        </is>
      </c>
      <c r="C61" s="6" t="n"/>
      <c r="D61" s="38" t="n">
        <v>0.45</v>
      </c>
      <c r="E61" s="36" t="n">
        <v>0.2</v>
      </c>
    </row>
    <row r="62">
      <c r="A62" s="6" t="n">
        <v>201070</v>
      </c>
      <c r="B62" s="6" t="inlineStr">
        <is>
          <t>Trading Companies &amp; Distributors</t>
        </is>
      </c>
      <c r="C62" s="6" t="n"/>
      <c r="D62" s="38" t="n">
        <v>0.25</v>
      </c>
      <c r="E62" s="36" t="n">
        <v>1.1</v>
      </c>
    </row>
    <row r="63">
      <c r="A63" s="6" t="n">
        <v>202010</v>
      </c>
      <c r="B63" s="6" t="inlineStr">
        <is>
          <t>Commercial Services &amp; Supplies</t>
        </is>
      </c>
      <c r="C63" s="6" t="n"/>
      <c r="D63" s="38" t="n">
        <v>0.65</v>
      </c>
      <c r="E63" s="36" t="n">
        <v>0.8</v>
      </c>
    </row>
    <row r="64">
      <c r="A64" s="6" t="n">
        <v>202020</v>
      </c>
      <c r="B64" s="6" t="inlineStr">
        <is>
          <t>Professional Services</t>
        </is>
      </c>
      <c r="C64" s="6" t="n"/>
      <c r="D64" s="38" t="n">
        <v>0.55</v>
      </c>
      <c r="E64" s="36" t="n">
        <v>0.5</v>
      </c>
    </row>
    <row r="65">
      <c r="A65" s="6" t="n">
        <v>203010</v>
      </c>
      <c r="B65" s="6" t="inlineStr">
        <is>
          <t>Air Freight &amp; Logistics</t>
        </is>
      </c>
      <c r="C65" s="6" t="n"/>
      <c r="D65" s="38" t="n">
        <v>0.35</v>
      </c>
      <c r="E65" s="36" t="n">
        <v>1.4</v>
      </c>
    </row>
    <row r="66">
      <c r="A66" s="6" t="n">
        <v>203020</v>
      </c>
      <c r="B66" s="6" t="inlineStr">
        <is>
          <t>Passenger Airlines</t>
        </is>
      </c>
      <c r="C66" s="6" t="n"/>
      <c r="D66" s="38" t="n">
        <v>0.25</v>
      </c>
      <c r="E66" s="36" t="n">
        <v>1.1</v>
      </c>
    </row>
    <row r="67">
      <c r="A67" s="6" t="n">
        <v>203030</v>
      </c>
      <c r="B67" s="6" t="inlineStr">
        <is>
          <t>Marine Transportation</t>
        </is>
      </c>
      <c r="C67" s="6" t="n"/>
      <c r="D67" s="38" t="n">
        <v>0.65</v>
      </c>
      <c r="E67" s="36" t="n">
        <v>0.8</v>
      </c>
    </row>
    <row r="68">
      <c r="A68" s="6" t="n">
        <v>203040</v>
      </c>
      <c r="B68" s="6" t="inlineStr">
        <is>
          <t>Ground Transportation</t>
        </is>
      </c>
      <c r="C68" s="6" t="n"/>
      <c r="D68" s="38" t="n">
        <v>0.55</v>
      </c>
      <c r="E68" s="36" t="n">
        <v>0.5</v>
      </c>
    </row>
    <row r="69">
      <c r="A69" s="6" t="n">
        <v>203050</v>
      </c>
      <c r="B69" s="6" t="inlineStr">
        <is>
          <t>Transportation Infrastructure</t>
        </is>
      </c>
      <c r="C69" s="6" t="n"/>
      <c r="D69" s="38" t="n">
        <v>0.45</v>
      </c>
      <c r="E69" s="36" t="n">
        <v>0.2</v>
      </c>
    </row>
    <row r="70">
      <c r="A70" s="6" t="n">
        <v>251010</v>
      </c>
      <c r="B70" s="6" t="inlineStr">
        <is>
          <t>Automobile Components</t>
        </is>
      </c>
      <c r="C70" s="6" t="n"/>
      <c r="D70" s="38" t="n">
        <v>0.35</v>
      </c>
      <c r="E70" s="36" t="n">
        <v>1.4</v>
      </c>
    </row>
    <row r="71">
      <c r="A71" s="6" t="n">
        <v>251020</v>
      </c>
      <c r="B71" s="6" t="inlineStr">
        <is>
          <t>Automobiles</t>
        </is>
      </c>
      <c r="C71" s="6" t="n"/>
      <c r="D71" s="38" t="n">
        <v>0.25</v>
      </c>
      <c r="E71" s="36" t="n">
        <v>1.1</v>
      </c>
    </row>
    <row r="72">
      <c r="A72" s="6" t="n">
        <v>252010</v>
      </c>
      <c r="B72" s="6" t="inlineStr">
        <is>
          <t>Household Durables</t>
        </is>
      </c>
      <c r="C72" s="6" t="n"/>
      <c r="D72" s="38" t="n">
        <v>0.55</v>
      </c>
      <c r="E72" s="36" t="n">
        <v>0.5</v>
      </c>
    </row>
    <row r="73">
      <c r="A73" s="6" t="n">
        <v>252020</v>
      </c>
      <c r="B73" s="6" t="inlineStr">
        <is>
          <t>Leisure Products</t>
        </is>
      </c>
      <c r="C73" s="6" t="n"/>
      <c r="D73" s="38" t="n">
        <v>0.45</v>
      </c>
      <c r="E73" s="36" t="n">
        <v>0.2</v>
      </c>
    </row>
    <row r="74">
      <c r="A74" s="6" t="n">
        <v>252030</v>
      </c>
      <c r="B74" s="6" t="inlineStr">
        <is>
          <t>Textiles, Apparel &amp; Luxury Goods</t>
        </is>
      </c>
      <c r="C74" s="6" t="n"/>
      <c r="D74" s="38" t="n">
        <v>0.25</v>
      </c>
      <c r="E74" s="36" t="n">
        <v>1.1</v>
      </c>
    </row>
    <row r="75">
      <c r="A75" s="6" t="n">
        <v>253010</v>
      </c>
      <c r="B75" s="6" t="inlineStr">
        <is>
          <t>Hotels, Restaurants &amp; Leisure</t>
        </is>
      </c>
      <c r="C75" s="6" t="n"/>
      <c r="D75" s="38" t="n">
        <v>0.25</v>
      </c>
      <c r="E75" s="36" t="n">
        <v>1.1</v>
      </c>
    </row>
    <row r="76">
      <c r="A76" s="6" t="n">
        <v>253020</v>
      </c>
      <c r="B76" s="6" t="inlineStr">
        <is>
          <t>Diversified Consumer Services</t>
        </is>
      </c>
      <c r="C76" s="6" t="n"/>
      <c r="D76" s="38" t="n">
        <v>0.65</v>
      </c>
      <c r="E76" s="36" t="n">
        <v>0.8</v>
      </c>
    </row>
    <row r="77">
      <c r="A77" s="6" t="n">
        <v>255010</v>
      </c>
      <c r="B77" s="6" t="inlineStr">
        <is>
          <t>Distributors</t>
        </is>
      </c>
      <c r="C77" s="6" t="n"/>
      <c r="D77" s="38" t="n">
        <v>0.65</v>
      </c>
      <c r="E77" s="36" t="n">
        <v>0.8</v>
      </c>
    </row>
    <row r="78">
      <c r="A78" s="6" t="n">
        <v>255030</v>
      </c>
      <c r="B78" s="6" t="inlineStr">
        <is>
          <t>Broadline Retail</t>
        </is>
      </c>
      <c r="C78" s="6" t="n"/>
      <c r="D78" s="38" t="n">
        <v>0.35</v>
      </c>
      <c r="E78" s="36" t="n">
        <v>1.4</v>
      </c>
    </row>
    <row r="79">
      <c r="A79" s="6" t="n">
        <v>255040</v>
      </c>
      <c r="B79" s="6" t="inlineStr">
        <is>
          <t>Specialty Retail</t>
        </is>
      </c>
      <c r="C79" s="6" t="n"/>
      <c r="D79" s="38" t="n">
        <v>0.25</v>
      </c>
      <c r="E79" s="36" t="n">
        <v>1.1</v>
      </c>
    </row>
    <row r="80">
      <c r="A80" s="6" t="n">
        <v>301010</v>
      </c>
      <c r="B80" s="6" t="inlineStr">
        <is>
          <t>Consumer Staples Distribution &amp; Retail</t>
        </is>
      </c>
      <c r="C80" s="6" t="n"/>
      <c r="D80" s="38" t="n">
        <v>0.65</v>
      </c>
      <c r="E80" s="36" t="n">
        <v>0.8</v>
      </c>
    </row>
    <row r="81">
      <c r="A81" s="6" t="n">
        <v>302010</v>
      </c>
      <c r="B81" s="6" t="inlineStr">
        <is>
          <t>Beverages</t>
        </is>
      </c>
      <c r="C81" s="6" t="n"/>
      <c r="D81" s="38" t="n">
        <v>0.35</v>
      </c>
      <c r="E81" s="36" t="n">
        <v>1.4</v>
      </c>
    </row>
    <row r="82">
      <c r="A82" s="6" t="n">
        <v>302020</v>
      </c>
      <c r="B82" s="6" t="inlineStr">
        <is>
          <t>Food Products</t>
        </is>
      </c>
      <c r="C82" s="6" t="n"/>
      <c r="D82" s="38" t="n">
        <v>0.25</v>
      </c>
      <c r="E82" s="36" t="n">
        <v>1.1</v>
      </c>
    </row>
    <row r="83">
      <c r="A83" s="6" t="n">
        <v>302030</v>
      </c>
      <c r="B83" s="6" t="inlineStr">
        <is>
          <t>Tobacco</t>
        </is>
      </c>
      <c r="C83" s="6" t="n"/>
      <c r="D83" s="38" t="n">
        <v>0.65</v>
      </c>
      <c r="E83" s="36" t="n">
        <v>0.8</v>
      </c>
    </row>
    <row r="84">
      <c r="A84" s="6" t="n">
        <v>303010</v>
      </c>
      <c r="B84" s="6" t="inlineStr">
        <is>
          <t>Household Products</t>
        </is>
      </c>
      <c r="C84" s="6" t="n"/>
      <c r="D84" s="38" t="n">
        <v>0.55</v>
      </c>
      <c r="E84" s="36" t="n">
        <v>0.5</v>
      </c>
    </row>
    <row r="85">
      <c r="A85" s="6" t="n">
        <v>303020</v>
      </c>
      <c r="B85" s="6" t="inlineStr">
        <is>
          <t>Personal Care Products</t>
        </is>
      </c>
      <c r="C85" s="6" t="n"/>
      <c r="D85" s="38" t="n">
        <v>0.45</v>
      </c>
      <c r="E85" s="36" t="n">
        <v>0.2</v>
      </c>
    </row>
    <row r="86">
      <c r="A86" s="6" t="n">
        <v>351010</v>
      </c>
      <c r="B86" s="6" t="inlineStr">
        <is>
          <t>Health Care Equipment &amp; Supplies</t>
        </is>
      </c>
      <c r="C86" s="6" t="n"/>
      <c r="D86" s="38" t="n">
        <v>0.45</v>
      </c>
      <c r="E86" s="36" t="n">
        <v>0.2</v>
      </c>
    </row>
    <row r="87">
      <c r="A87" s="6" t="n">
        <v>351020</v>
      </c>
      <c r="B87" s="6" t="inlineStr">
        <is>
          <t>Health Care Providers &amp; Services</t>
        </is>
      </c>
      <c r="C87" s="6" t="n"/>
      <c r="D87" s="38" t="n">
        <v>0.35</v>
      </c>
      <c r="E87" s="36" t="n">
        <v>1.4</v>
      </c>
    </row>
    <row r="88">
      <c r="A88" s="6" t="n">
        <v>351030</v>
      </c>
      <c r="B88" s="6" t="inlineStr">
        <is>
          <t>Health Care Technology</t>
        </is>
      </c>
      <c r="C88" s="6" t="n"/>
      <c r="D88" s="38" t="n">
        <v>0.25</v>
      </c>
      <c r="E88" s="36" t="n">
        <v>1.1</v>
      </c>
    </row>
    <row r="89">
      <c r="A89" s="6" t="n">
        <v>352010</v>
      </c>
      <c r="B89" s="6" t="inlineStr">
        <is>
          <t>Biotechnology</t>
        </is>
      </c>
      <c r="C89" s="6" t="n"/>
      <c r="D89" s="38" t="n">
        <v>0.65</v>
      </c>
      <c r="E89" s="36" t="n">
        <v>0.8</v>
      </c>
    </row>
    <row r="90">
      <c r="A90" s="6" t="n">
        <v>352020</v>
      </c>
      <c r="B90" s="6" t="inlineStr">
        <is>
          <t>Pharmaceuticals</t>
        </is>
      </c>
      <c r="C90" s="6" t="n"/>
      <c r="D90" s="38" t="n">
        <v>0.55</v>
      </c>
      <c r="E90" s="36" t="n">
        <v>0.5</v>
      </c>
    </row>
    <row r="91">
      <c r="A91" s="6" t="n">
        <v>352030</v>
      </c>
      <c r="B91" s="6" t="inlineStr">
        <is>
          <t>Life Sciences Tools &amp; Services</t>
        </is>
      </c>
      <c r="C91" s="6" t="n"/>
      <c r="D91" s="38" t="n">
        <v>0.45</v>
      </c>
      <c r="E91" s="36" t="n">
        <v>0.2</v>
      </c>
    </row>
    <row r="92">
      <c r="A92" s="6" t="n">
        <v>401010</v>
      </c>
      <c r="B92" s="6" t="inlineStr">
        <is>
          <t>Banks</t>
        </is>
      </c>
      <c r="C92" s="6" t="n"/>
      <c r="D92" s="38" t="n">
        <v>0.35</v>
      </c>
      <c r="E92" s="36" t="n">
        <v>1.4</v>
      </c>
    </row>
    <row r="93">
      <c r="A93" s="6" t="n">
        <v>402010</v>
      </c>
      <c r="B93" s="6" t="inlineStr">
        <is>
          <t>Financial Services</t>
        </is>
      </c>
      <c r="C93" s="6" t="n"/>
      <c r="D93" s="38" t="n">
        <v>0.55</v>
      </c>
      <c r="E93" s="36" t="n">
        <v>0.5</v>
      </c>
    </row>
    <row r="94">
      <c r="A94" s="6" t="n">
        <v>402020</v>
      </c>
      <c r="B94" s="6" t="inlineStr">
        <is>
          <t>Consumer Finance</t>
        </is>
      </c>
      <c r="C94" s="6" t="n"/>
      <c r="D94" s="38" t="n">
        <v>0.35</v>
      </c>
      <c r="E94" s="36" t="n">
        <v>1.4</v>
      </c>
    </row>
    <row r="95">
      <c r="A95" s="6" t="n">
        <v>402030</v>
      </c>
      <c r="B95" s="6" t="inlineStr">
        <is>
          <t>Capital Markets</t>
        </is>
      </c>
      <c r="C95" s="6" t="n"/>
      <c r="D95" s="38" t="n">
        <v>0.25</v>
      </c>
      <c r="E95" s="36" t="n">
        <v>1.1</v>
      </c>
    </row>
    <row r="96">
      <c r="A96" s="6" t="n">
        <v>402040</v>
      </c>
      <c r="B96" s="6" t="inlineStr">
        <is>
          <t>Mortgage Real Estate Investment Trusts (REITs)</t>
        </is>
      </c>
      <c r="C96" s="6" t="n"/>
      <c r="D96" s="38" t="n">
        <v>0.65</v>
      </c>
      <c r="E96" s="36" t="n">
        <v>0.8</v>
      </c>
    </row>
    <row r="97">
      <c r="A97" s="6" t="n">
        <v>403010</v>
      </c>
      <c r="B97" s="6" t="inlineStr">
        <is>
          <t>Insurance</t>
        </is>
      </c>
      <c r="C97" s="6" t="n"/>
      <c r="D97" s="38" t="n">
        <v>0.25</v>
      </c>
      <c r="E97" s="36" t="n">
        <v>1.1</v>
      </c>
    </row>
    <row r="98">
      <c r="A98" s="6" t="n">
        <v>451020</v>
      </c>
      <c r="B98" s="6" t="inlineStr">
        <is>
          <t>IT Services</t>
        </is>
      </c>
      <c r="C98" s="6" t="n"/>
      <c r="D98" s="38" t="n">
        <v>0.55</v>
      </c>
      <c r="E98" s="36" t="n">
        <v>0.5</v>
      </c>
    </row>
    <row r="99">
      <c r="A99" s="6" t="n">
        <v>451030</v>
      </c>
      <c r="B99" s="6" t="inlineStr">
        <is>
          <t>Software</t>
        </is>
      </c>
      <c r="C99" s="6" t="n"/>
      <c r="D99" s="38" t="n">
        <v>0.45</v>
      </c>
      <c r="E99" s="36" t="n">
        <v>0.2</v>
      </c>
    </row>
    <row r="100">
      <c r="A100" s="6" t="n">
        <v>452010</v>
      </c>
      <c r="B100" s="6" t="inlineStr">
        <is>
          <t>Communications Equipment</t>
        </is>
      </c>
      <c r="C100" s="6" t="n"/>
      <c r="D100" s="38" t="n">
        <v>0.35</v>
      </c>
      <c r="E100" s="36" t="n">
        <v>1.4</v>
      </c>
    </row>
    <row r="101">
      <c r="A101" s="6" t="n">
        <v>452020</v>
      </c>
      <c r="B101" s="6" t="inlineStr">
        <is>
          <t>Technology Hardware, Storage &amp; Peripherals</t>
        </is>
      </c>
      <c r="C101" s="6" t="n"/>
      <c r="D101" s="38" t="n">
        <v>0.25</v>
      </c>
      <c r="E101" s="36" t="n">
        <v>1.1</v>
      </c>
    </row>
    <row r="102">
      <c r="A102" s="6" t="n">
        <v>452030</v>
      </c>
      <c r="B102" s="6" t="inlineStr">
        <is>
          <t>Electronic Equipment, Instruments &amp; Components</t>
        </is>
      </c>
      <c r="C102" s="6" t="n"/>
      <c r="D102" s="38" t="n">
        <v>0.65</v>
      </c>
      <c r="E102" s="36" t="n">
        <v>0.8</v>
      </c>
    </row>
    <row r="103">
      <c r="A103" s="6" t="n">
        <v>453010</v>
      </c>
      <c r="B103" s="6" t="inlineStr">
        <is>
          <t>Semiconductors &amp; Semiconductor Equipment</t>
        </is>
      </c>
      <c r="C103" s="6" t="n"/>
      <c r="D103" s="38" t="n">
        <v>0.55</v>
      </c>
      <c r="E103" s="36" t="n">
        <v>0.5</v>
      </c>
    </row>
    <row r="104">
      <c r="A104" s="6" t="n">
        <v>501010</v>
      </c>
      <c r="B104" s="6" t="inlineStr">
        <is>
          <t>Diversified Telecommunication Services</t>
        </is>
      </c>
      <c r="C104" s="6" t="n"/>
      <c r="D104" s="38" t="n">
        <v>0.45</v>
      </c>
      <c r="E104" s="36" t="n">
        <v>0.2</v>
      </c>
    </row>
    <row r="105">
      <c r="A105" s="6" t="n">
        <v>501020</v>
      </c>
      <c r="B105" s="6" t="inlineStr">
        <is>
          <t>Wireless Telecommunication Services</t>
        </is>
      </c>
      <c r="C105" s="6" t="n"/>
      <c r="D105" s="38" t="n">
        <v>0.35</v>
      </c>
      <c r="E105" s="36" t="n">
        <v>1.4</v>
      </c>
    </row>
    <row r="106">
      <c r="A106" s="6" t="n">
        <v>502010</v>
      </c>
      <c r="B106" s="6" t="inlineStr">
        <is>
          <t>Media</t>
        </is>
      </c>
      <c r="C106" s="6" t="n"/>
      <c r="D106" s="38" t="n">
        <v>0.65</v>
      </c>
      <c r="E106" s="36" t="n">
        <v>0.8</v>
      </c>
    </row>
    <row r="107">
      <c r="A107" s="6" t="n">
        <v>502020</v>
      </c>
      <c r="B107" s="6" t="inlineStr">
        <is>
          <t>Entertainment</t>
        </is>
      </c>
      <c r="C107" s="6" t="n"/>
      <c r="D107" s="38" t="n">
        <v>0.55</v>
      </c>
      <c r="E107" s="36" t="n">
        <v>0.5</v>
      </c>
    </row>
    <row r="108">
      <c r="A108" s="6" t="n">
        <v>502030</v>
      </c>
      <c r="B108" s="6" t="inlineStr">
        <is>
          <t>Interactive Media &amp; Services</t>
        </is>
      </c>
      <c r="C108" s="6" t="n"/>
      <c r="D108" s="38" t="n">
        <v>0.45</v>
      </c>
      <c r="E108" s="36" t="n">
        <v>0.2</v>
      </c>
    </row>
    <row r="109">
      <c r="A109" s="6" t="n">
        <v>551010</v>
      </c>
      <c r="B109" s="6" t="inlineStr">
        <is>
          <t>Electric Utilities</t>
        </is>
      </c>
      <c r="C109" s="6" t="n"/>
      <c r="D109" s="38" t="n">
        <v>0.35</v>
      </c>
      <c r="E109" s="36" t="n">
        <v>1.4</v>
      </c>
    </row>
    <row r="110">
      <c r="A110" s="6" t="n">
        <v>551020</v>
      </c>
      <c r="B110" s="6" t="inlineStr">
        <is>
          <t>Gas Utilities</t>
        </is>
      </c>
      <c r="C110" s="6" t="n"/>
      <c r="D110" s="38" t="n">
        <v>0.65</v>
      </c>
      <c r="E110" s="36" t="n">
        <v>0.8</v>
      </c>
    </row>
    <row r="111">
      <c r="A111" s="6" t="n">
        <v>551030</v>
      </c>
      <c r="B111" s="6" t="inlineStr">
        <is>
          <t>Multi-Utilities</t>
        </is>
      </c>
      <c r="C111" s="6" t="n"/>
      <c r="D111" s="38" t="n">
        <v>0.55</v>
      </c>
      <c r="E111" s="36" t="n">
        <v>0.5</v>
      </c>
    </row>
    <row r="112">
      <c r="A112" s="6" t="n">
        <v>551040</v>
      </c>
      <c r="B112" s="6" t="inlineStr">
        <is>
          <t>Water Utilities</t>
        </is>
      </c>
      <c r="C112" s="6" t="n"/>
      <c r="D112" s="38" t="n">
        <v>0.45</v>
      </c>
      <c r="E112" s="36" t="n">
        <v>0.2</v>
      </c>
    </row>
    <row r="113">
      <c r="A113" s="6" t="n">
        <v>551050</v>
      </c>
      <c r="B113" s="6" t="inlineStr">
        <is>
          <t>Independent Power and Renewable Electricity Producers</t>
        </is>
      </c>
      <c r="C113" s="6" t="n"/>
      <c r="D113" s="38" t="n">
        <v>0.35</v>
      </c>
      <c r="E113" s="36" t="n">
        <v>1.4</v>
      </c>
    </row>
    <row r="114">
      <c r="A114" s="6" t="n">
        <v>601010</v>
      </c>
      <c r="B114" s="6" t="inlineStr">
        <is>
          <t>Diversified REITs</t>
        </is>
      </c>
      <c r="C114" s="6" t="n"/>
      <c r="D114" s="38" t="n">
        <v>0.65</v>
      </c>
      <c r="E114" s="36" t="n">
        <v>0.8</v>
      </c>
    </row>
    <row r="115">
      <c r="A115" s="6" t="n">
        <v>601025</v>
      </c>
      <c r="B115" s="6" t="inlineStr">
        <is>
          <t>Industrial REITs</t>
        </is>
      </c>
      <c r="C115" s="6" t="n"/>
      <c r="D115" s="38" t="n">
        <v>0.25</v>
      </c>
      <c r="E115" s="36" t="n">
        <v>1.1</v>
      </c>
    </row>
    <row r="116">
      <c r="A116" s="6" t="n">
        <v>601030</v>
      </c>
      <c r="B116" s="6" t="inlineStr">
        <is>
          <t>Hotel &amp; Resort REITs</t>
        </is>
      </c>
      <c r="C116" s="6" t="n"/>
      <c r="D116" s="38" t="n">
        <v>0.45</v>
      </c>
      <c r="E116" s="36" t="n">
        <v>0.2</v>
      </c>
    </row>
    <row r="117">
      <c r="A117" s="6" t="n">
        <v>601040</v>
      </c>
      <c r="B117" s="6" t="inlineStr">
        <is>
          <t>Office REITs</t>
        </is>
      </c>
      <c r="C117" s="6" t="n"/>
      <c r="D117" s="38" t="n">
        <v>0.25</v>
      </c>
      <c r="E117" s="36" t="n">
        <v>1.1</v>
      </c>
    </row>
    <row r="118">
      <c r="A118" s="6" t="n">
        <v>601050</v>
      </c>
      <c r="B118" s="6" t="inlineStr">
        <is>
          <t>Health Care REITs</t>
        </is>
      </c>
      <c r="C118" s="6" t="n"/>
      <c r="D118" s="38" t="n">
        <v>0.65</v>
      </c>
      <c r="E118" s="36" t="n">
        <v>0.8</v>
      </c>
    </row>
    <row r="119">
      <c r="A119" s="6" t="n">
        <v>601060</v>
      </c>
      <c r="B119" s="6" t="inlineStr">
        <is>
          <t>Residential REITs</t>
        </is>
      </c>
      <c r="C119" s="6" t="n"/>
      <c r="D119" s="38" t="n">
        <v>0.55</v>
      </c>
      <c r="E119" s="36" t="n">
        <v>0.5</v>
      </c>
    </row>
    <row r="120">
      <c r="A120" s="6" t="n">
        <v>601070</v>
      </c>
      <c r="B120" s="6" t="inlineStr">
        <is>
          <t>Retail REITs</t>
        </is>
      </c>
      <c r="C120" s="6" t="n"/>
      <c r="D120" s="38" t="n">
        <v>0.45</v>
      </c>
      <c r="E120" s="36" t="n">
        <v>0.2</v>
      </c>
    </row>
    <row r="121">
      <c r="A121" s="6" t="n">
        <v>601080</v>
      </c>
      <c r="B121" s="6" t="inlineStr">
        <is>
          <t>Specialized REITs</t>
        </is>
      </c>
      <c r="C121" s="6" t="n"/>
      <c r="D121" s="38" t="n">
        <v>0.35</v>
      </c>
      <c r="E121" s="36" t="n">
        <v>1.4</v>
      </c>
    </row>
    <row r="122">
      <c r="A122" s="6" t="n">
        <v>602010</v>
      </c>
      <c r="B122" s="6" t="inlineStr">
        <is>
          <t>Real Estate Management &amp; Development</t>
        </is>
      </c>
      <c r="C122" s="6" t="n"/>
      <c r="D122" s="38" t="n">
        <v>0.35</v>
      </c>
      <c r="E122" s="36" t="n">
        <v>1.4</v>
      </c>
    </row>
    <row r="125">
      <c r="A125" s="4" t="inlineStr">
        <is>
          <t>SUB-INDUSTRY (163)</t>
        </is>
      </c>
    </row>
    <row r="126">
      <c r="A126" s="5" t="inlineStr">
        <is>
          <t>Code</t>
        </is>
      </c>
      <c r="B126" s="5" t="inlineStr">
        <is>
          <t>Name</t>
        </is>
      </c>
      <c r="C126" s="5" t="inlineStr"/>
      <c r="D126" s="5" t="inlineStr">
        <is>
          <t>1Y Equity Vol
(DUMMY)</t>
        </is>
      </c>
      <c r="E126" s="5" t="inlineStr">
        <is>
          <t>D/E Ratio
(DUMMY)</t>
        </is>
      </c>
    </row>
    <row r="127">
      <c r="A127" s="6" t="n">
        <v>10101010</v>
      </c>
      <c r="B127" s="6" t="inlineStr">
        <is>
          <t>Oil &amp; Gas Drilling</t>
        </is>
      </c>
      <c r="C127" s="6" t="n"/>
      <c r="D127" s="38" t="n">
        <v>0.35</v>
      </c>
      <c r="E127" s="36" t="n">
        <v>1.4</v>
      </c>
    </row>
    <row r="128">
      <c r="A128" s="6" t="n">
        <v>10101020</v>
      </c>
      <c r="B128" s="6" t="inlineStr">
        <is>
          <t>Oil &amp; Gas Equipment &amp; Services</t>
        </is>
      </c>
      <c r="C128" s="6" t="n"/>
      <c r="D128" s="38" t="n">
        <v>0.25</v>
      </c>
      <c r="E128" s="36" t="n">
        <v>1.1</v>
      </c>
    </row>
    <row r="129">
      <c r="A129" s="6" t="n">
        <v>10102010</v>
      </c>
      <c r="B129" s="6" t="inlineStr">
        <is>
          <t>Integrated Oil &amp; Gas</t>
        </is>
      </c>
      <c r="C129" s="6" t="n"/>
      <c r="D129" s="38" t="n">
        <v>0.55</v>
      </c>
      <c r="E129" s="36" t="n">
        <v>0.5</v>
      </c>
    </row>
    <row r="130">
      <c r="A130" s="6" t="n">
        <v>10102020</v>
      </c>
      <c r="B130" s="6" t="inlineStr">
        <is>
          <t>Oil &amp; Gas Exploration &amp; Production</t>
        </is>
      </c>
      <c r="C130" s="6" t="n"/>
      <c r="D130" s="38" t="n">
        <v>0.45</v>
      </c>
      <c r="E130" s="36" t="n">
        <v>0.2</v>
      </c>
    </row>
    <row r="131">
      <c r="A131" s="6" t="n">
        <v>10102030</v>
      </c>
      <c r="B131" s="6" t="inlineStr">
        <is>
          <t>Oil &amp; Gas Refining &amp; Marketing</t>
        </is>
      </c>
      <c r="C131" s="6" t="n"/>
      <c r="D131" s="38" t="n">
        <v>0.35</v>
      </c>
      <c r="E131" s="36" t="n">
        <v>1.4</v>
      </c>
    </row>
    <row r="132">
      <c r="A132" s="6" t="n">
        <v>10102040</v>
      </c>
      <c r="B132" s="6" t="inlineStr">
        <is>
          <t>Oil &amp; Gas Storage &amp; Transportation</t>
        </is>
      </c>
      <c r="C132" s="6" t="n"/>
      <c r="D132" s="38" t="n">
        <v>0.65</v>
      </c>
      <c r="E132" s="36" t="n">
        <v>0.8</v>
      </c>
    </row>
    <row r="133">
      <c r="A133" s="6" t="n">
        <v>10102050</v>
      </c>
      <c r="B133" s="6" t="inlineStr">
        <is>
          <t>Coal &amp; Consumable Fuels</t>
        </is>
      </c>
      <c r="C133" s="6" t="n"/>
      <c r="D133" s="38" t="n">
        <v>0.55</v>
      </c>
      <c r="E133" s="36" t="n">
        <v>0.5</v>
      </c>
    </row>
    <row r="134">
      <c r="A134" s="6" t="n">
        <v>15101010</v>
      </c>
      <c r="B134" s="6" t="inlineStr">
        <is>
          <t>Commodity Chemicals</t>
        </is>
      </c>
      <c r="C134" s="6" t="n"/>
      <c r="D134" s="38" t="n">
        <v>0.35</v>
      </c>
      <c r="E134" s="36" t="n">
        <v>1.4</v>
      </c>
    </row>
    <row r="135">
      <c r="A135" s="6" t="n">
        <v>15101020</v>
      </c>
      <c r="B135" s="6" t="inlineStr">
        <is>
          <t>Diversified Chemicals</t>
        </is>
      </c>
      <c r="C135" s="6" t="n"/>
      <c r="D135" s="38" t="n">
        <v>0.25</v>
      </c>
      <c r="E135" s="36" t="n">
        <v>1.1</v>
      </c>
    </row>
    <row r="136">
      <c r="A136" s="6" t="n">
        <v>15101030</v>
      </c>
      <c r="B136" s="6" t="inlineStr">
        <is>
          <t>Fertilizers &amp; Agricultural Chemicals</t>
        </is>
      </c>
      <c r="C136" s="6" t="n"/>
      <c r="D136" s="38" t="n">
        <v>0.65</v>
      </c>
      <c r="E136" s="36" t="n">
        <v>0.8</v>
      </c>
    </row>
    <row r="137">
      <c r="A137" s="6" t="n">
        <v>15101040</v>
      </c>
      <c r="B137" s="6" t="inlineStr">
        <is>
          <t>Industrial Gases</t>
        </is>
      </c>
      <c r="C137" s="6" t="n"/>
      <c r="D137" s="38" t="n">
        <v>0.55</v>
      </c>
      <c r="E137" s="36" t="n">
        <v>0.5</v>
      </c>
    </row>
    <row r="138">
      <c r="A138" s="6" t="n">
        <v>15101050</v>
      </c>
      <c r="B138" s="6" t="inlineStr">
        <is>
          <t>Specialty Chemicals</t>
        </is>
      </c>
      <c r="C138" s="6" t="n"/>
      <c r="D138" s="38" t="n">
        <v>0.35</v>
      </c>
      <c r="E138" s="36" t="n">
        <v>1.4</v>
      </c>
    </row>
    <row r="139">
      <c r="A139" s="6" t="n">
        <v>15102010</v>
      </c>
      <c r="B139" s="6" t="inlineStr">
        <is>
          <t>Construction Materials</t>
        </is>
      </c>
      <c r="C139" s="6" t="n"/>
      <c r="D139" s="38" t="n">
        <v>0.55</v>
      </c>
      <c r="E139" s="36" t="n">
        <v>0.5</v>
      </c>
    </row>
    <row r="140">
      <c r="A140" s="6" t="n">
        <v>15103010</v>
      </c>
      <c r="B140" s="6" t="inlineStr">
        <is>
          <t>Metal, Glass &amp; Plastic Containers</t>
        </is>
      </c>
      <c r="C140" s="6" t="n"/>
      <c r="D140" s="38" t="n">
        <v>0.25</v>
      </c>
      <c r="E140" s="36" t="n">
        <v>1.1</v>
      </c>
    </row>
    <row r="141">
      <c r="A141" s="6" t="n">
        <v>15103020</v>
      </c>
      <c r="B141" s="6" t="inlineStr">
        <is>
          <t>Paper &amp; Plastic Packaging Products &amp; Materials</t>
        </is>
      </c>
      <c r="C141" s="6" t="n"/>
      <c r="D141" s="38" t="n">
        <v>0.65</v>
      </c>
      <c r="E141" s="36" t="n">
        <v>0.8</v>
      </c>
    </row>
    <row r="142">
      <c r="A142" s="6" t="n">
        <v>15104010</v>
      </c>
      <c r="B142" s="6" t="inlineStr">
        <is>
          <t>Aluminum</t>
        </is>
      </c>
      <c r="C142" s="6" t="n"/>
      <c r="D142" s="38" t="n">
        <v>0.45</v>
      </c>
      <c r="E142" s="36" t="n">
        <v>0.2</v>
      </c>
    </row>
    <row r="143">
      <c r="A143" s="6" t="n">
        <v>15104020</v>
      </c>
      <c r="B143" s="6" t="inlineStr">
        <is>
          <t>Diversified Metals &amp; Mining</t>
        </is>
      </c>
      <c r="C143" s="6" t="n"/>
      <c r="D143" s="38" t="n">
        <v>0.35</v>
      </c>
      <c r="E143" s="36" t="n">
        <v>1.4</v>
      </c>
    </row>
    <row r="144">
      <c r="A144" s="6" t="n">
        <v>15104025</v>
      </c>
      <c r="B144" s="6" t="inlineStr">
        <is>
          <t>Copper</t>
        </is>
      </c>
      <c r="C144" s="6" t="n"/>
      <c r="D144" s="38" t="n">
        <v>0.55</v>
      </c>
      <c r="E144" s="36" t="n">
        <v>0.5</v>
      </c>
    </row>
    <row r="145">
      <c r="A145" s="6" t="n">
        <v>15104030</v>
      </c>
      <c r="B145" s="6" t="inlineStr">
        <is>
          <t>Gold</t>
        </is>
      </c>
      <c r="C145" s="6" t="n"/>
      <c r="D145" s="38" t="n">
        <v>0.25</v>
      </c>
      <c r="E145" s="36" t="n">
        <v>1.1</v>
      </c>
    </row>
    <row r="146">
      <c r="A146" s="6" t="n">
        <v>15104040</v>
      </c>
      <c r="B146" s="6" t="inlineStr">
        <is>
          <t>Precious Metals &amp; Minerals</t>
        </is>
      </c>
      <c r="C146" s="6" t="n"/>
      <c r="D146" s="38" t="n">
        <v>0.55</v>
      </c>
      <c r="E146" s="36" t="n">
        <v>0.5</v>
      </c>
    </row>
    <row r="147">
      <c r="A147" s="6" t="n">
        <v>15104045</v>
      </c>
      <c r="B147" s="6" t="inlineStr">
        <is>
          <t>Silver</t>
        </is>
      </c>
      <c r="C147" s="6" t="n"/>
      <c r="D147" s="38" t="n">
        <v>0.25</v>
      </c>
      <c r="E147" s="36" t="n">
        <v>1.1</v>
      </c>
    </row>
    <row r="148">
      <c r="A148" s="6" t="n">
        <v>15104050</v>
      </c>
      <c r="B148" s="6" t="inlineStr">
        <is>
          <t>Steel</t>
        </is>
      </c>
      <c r="C148" s="6" t="n"/>
      <c r="D148" s="38" t="n">
        <v>0.45</v>
      </c>
      <c r="E148" s="36" t="n">
        <v>0.2</v>
      </c>
    </row>
    <row r="149">
      <c r="A149" s="6" t="n">
        <v>15105010</v>
      </c>
      <c r="B149" s="6" t="inlineStr">
        <is>
          <t>Forest Products</t>
        </is>
      </c>
      <c r="C149" s="6" t="n"/>
      <c r="D149" s="38" t="n">
        <v>0.65</v>
      </c>
      <c r="E149" s="36" t="n">
        <v>0.8</v>
      </c>
    </row>
    <row r="150">
      <c r="A150" s="6" t="n">
        <v>15105020</v>
      </c>
      <c r="B150" s="6" t="inlineStr">
        <is>
          <t>Paper Products</t>
        </is>
      </c>
      <c r="C150" s="6" t="n"/>
      <c r="D150" s="38" t="n">
        <v>0.55</v>
      </c>
      <c r="E150" s="36" t="n">
        <v>0.5</v>
      </c>
    </row>
    <row r="151">
      <c r="A151" s="6" t="n">
        <v>20101010</v>
      </c>
      <c r="B151" s="6" t="inlineStr">
        <is>
          <t>Aerospace &amp; Defense</t>
        </is>
      </c>
      <c r="C151" s="6" t="n"/>
      <c r="D151" s="38" t="n">
        <v>0.35</v>
      </c>
      <c r="E151" s="36" t="n">
        <v>1.4</v>
      </c>
    </row>
    <row r="152">
      <c r="A152" s="6" t="n">
        <v>20102010</v>
      </c>
      <c r="B152" s="6" t="inlineStr">
        <is>
          <t>Building Products</t>
        </is>
      </c>
      <c r="C152" s="6" t="n"/>
      <c r="D152" s="38" t="n">
        <v>0.55</v>
      </c>
      <c r="E152" s="36" t="n">
        <v>0.5</v>
      </c>
    </row>
    <row r="153">
      <c r="A153" s="6" t="n">
        <v>20103010</v>
      </c>
      <c r="B153" s="6" t="inlineStr">
        <is>
          <t>Construction &amp; Engineering</t>
        </is>
      </c>
      <c r="C153" s="6" t="n"/>
      <c r="D153" s="38" t="n">
        <v>0.25</v>
      </c>
      <c r="E153" s="36" t="n">
        <v>1.1</v>
      </c>
    </row>
    <row r="154">
      <c r="A154" s="6" t="n">
        <v>20104010</v>
      </c>
      <c r="B154" s="6" t="inlineStr">
        <is>
          <t>Electrical Components &amp; Equipment</t>
        </is>
      </c>
      <c r="C154" s="6" t="n"/>
      <c r="D154" s="38" t="n">
        <v>0.45</v>
      </c>
      <c r="E154" s="36" t="n">
        <v>0.2</v>
      </c>
    </row>
    <row r="155">
      <c r="A155" s="6" t="n">
        <v>20104020</v>
      </c>
      <c r="B155" s="6" t="inlineStr">
        <is>
          <t>Heavy Electrical Equipment</t>
        </is>
      </c>
      <c r="C155" s="6" t="n"/>
      <c r="D155" s="38" t="n">
        <v>0.35</v>
      </c>
      <c r="E155" s="36" t="n">
        <v>1.4</v>
      </c>
    </row>
    <row r="156">
      <c r="A156" s="6" t="n">
        <v>20105010</v>
      </c>
      <c r="B156" s="6" t="inlineStr">
        <is>
          <t>Industrial Conglomerates</t>
        </is>
      </c>
      <c r="C156" s="6" t="n"/>
      <c r="D156" s="38" t="n">
        <v>0.65</v>
      </c>
      <c r="E156" s="36" t="n">
        <v>0.8</v>
      </c>
    </row>
    <row r="157">
      <c r="A157" s="6" t="n">
        <v>20106010</v>
      </c>
      <c r="B157" s="6" t="inlineStr">
        <is>
          <t>Construction Machinery &amp; Heavy Transportation Equipment</t>
        </is>
      </c>
      <c r="C157" s="6" t="n"/>
      <c r="D157" s="38" t="n">
        <v>0.35</v>
      </c>
      <c r="E157" s="36" t="n">
        <v>1.4</v>
      </c>
    </row>
    <row r="158">
      <c r="A158" s="6" t="n">
        <v>20106015</v>
      </c>
      <c r="B158" s="6" t="inlineStr">
        <is>
          <t>Agricultural &amp; Farm Machinery</t>
        </is>
      </c>
      <c r="C158" s="6" t="n"/>
      <c r="D158" s="38" t="n">
        <v>0.55</v>
      </c>
      <c r="E158" s="36" t="n">
        <v>0.5</v>
      </c>
    </row>
    <row r="159">
      <c r="A159" s="6" t="n">
        <v>20106020</v>
      </c>
      <c r="B159" s="6" t="inlineStr">
        <is>
          <t>Industrial Machinery &amp; Supplies &amp; Components</t>
        </is>
      </c>
      <c r="C159" s="6" t="n"/>
      <c r="D159" s="38" t="n">
        <v>0.25</v>
      </c>
      <c r="E159" s="36" t="n">
        <v>1.1</v>
      </c>
    </row>
    <row r="160">
      <c r="A160" s="6" t="n">
        <v>20107010</v>
      </c>
      <c r="B160" s="6" t="inlineStr">
        <is>
          <t>Trading Companies &amp; Distributors</t>
        </is>
      </c>
      <c r="C160" s="6" t="n"/>
      <c r="D160" s="38" t="n">
        <v>0.55</v>
      </c>
      <c r="E160" s="36" t="n">
        <v>0.5</v>
      </c>
    </row>
    <row r="161">
      <c r="A161" s="6" t="n">
        <v>20201010</v>
      </c>
      <c r="B161" s="6" t="inlineStr">
        <is>
          <t>Commercial Printing</t>
        </is>
      </c>
      <c r="C161" s="6" t="n"/>
      <c r="D161" s="38" t="n">
        <v>0.55</v>
      </c>
      <c r="E161" s="36" t="n">
        <v>0.5</v>
      </c>
    </row>
    <row r="162">
      <c r="A162" s="6" t="n">
        <v>20201050</v>
      </c>
      <c r="B162" s="6" t="inlineStr">
        <is>
          <t>Environmental &amp; Facilities Services</t>
        </is>
      </c>
      <c r="C162" s="6" t="n"/>
      <c r="D162" s="38" t="n">
        <v>0.55</v>
      </c>
      <c r="E162" s="36" t="n">
        <v>0.5</v>
      </c>
    </row>
    <row r="163">
      <c r="A163" s="6" t="n">
        <v>20201060</v>
      </c>
      <c r="B163" s="6" t="inlineStr">
        <is>
          <t>Office Services &amp; Supplies</t>
        </is>
      </c>
      <c r="C163" s="6" t="n"/>
      <c r="D163" s="38" t="n">
        <v>0.45</v>
      </c>
      <c r="E163" s="36" t="n">
        <v>0.2</v>
      </c>
    </row>
    <row r="164">
      <c r="A164" s="6" t="n">
        <v>20201070</v>
      </c>
      <c r="B164" s="6" t="inlineStr">
        <is>
          <t>Diversified Support Services</t>
        </is>
      </c>
      <c r="C164" s="6" t="n"/>
      <c r="D164" s="38" t="n">
        <v>0.35</v>
      </c>
      <c r="E164" s="36" t="n">
        <v>1.4</v>
      </c>
    </row>
    <row r="165">
      <c r="A165" s="6" t="n">
        <v>20201080</v>
      </c>
      <c r="B165" s="6" t="inlineStr">
        <is>
          <t>Security &amp; Alarm Services</t>
        </is>
      </c>
      <c r="C165" s="6" t="n"/>
      <c r="D165" s="38" t="n">
        <v>0.65</v>
      </c>
      <c r="E165" s="36" t="n">
        <v>0.8</v>
      </c>
    </row>
    <row r="166">
      <c r="A166" s="6" t="n">
        <v>20202010</v>
      </c>
      <c r="B166" s="6" t="inlineStr">
        <is>
          <t>Human Resource &amp; Employment Services</t>
        </is>
      </c>
      <c r="C166" s="6" t="n"/>
      <c r="D166" s="38" t="n">
        <v>0.25</v>
      </c>
      <c r="E166" s="36" t="n">
        <v>1.1</v>
      </c>
    </row>
    <row r="167">
      <c r="A167" s="6" t="n">
        <v>20202020</v>
      </c>
      <c r="B167" s="6" t="inlineStr">
        <is>
          <t>Research &amp; Consulting Services</t>
        </is>
      </c>
      <c r="C167" s="6" t="n"/>
      <c r="D167" s="38" t="n">
        <v>0.65</v>
      </c>
      <c r="E167" s="36" t="n">
        <v>0.8</v>
      </c>
    </row>
    <row r="168">
      <c r="A168" s="6" t="n">
        <v>20202030</v>
      </c>
      <c r="B168" s="6" t="inlineStr">
        <is>
          <t>Data Processing &amp; Outsourced Services</t>
        </is>
      </c>
      <c r="C168" s="6" t="n"/>
      <c r="D168" s="38" t="n">
        <v>0.45</v>
      </c>
      <c r="E168" s="36" t="n">
        <v>0.2</v>
      </c>
    </row>
    <row r="169">
      <c r="A169" s="6" t="n">
        <v>20301010</v>
      </c>
      <c r="B169" s="6" t="inlineStr">
        <is>
          <t>Air Freight &amp; Logistics</t>
        </is>
      </c>
      <c r="C169" s="6" t="n"/>
      <c r="D169" s="38" t="n">
        <v>0.65</v>
      </c>
      <c r="E169" s="36" t="n">
        <v>0.8</v>
      </c>
    </row>
    <row r="170">
      <c r="A170" s="6" t="n">
        <v>20302010</v>
      </c>
      <c r="B170" s="6" t="inlineStr">
        <is>
          <t>Passenger Airlines</t>
        </is>
      </c>
      <c r="C170" s="6" t="n"/>
      <c r="D170" s="38" t="n">
        <v>0.35</v>
      </c>
      <c r="E170" s="36" t="n">
        <v>1.4</v>
      </c>
    </row>
    <row r="171">
      <c r="A171" s="6" t="n">
        <v>20303010</v>
      </c>
      <c r="B171" s="6" t="inlineStr">
        <is>
          <t>Marine Transportation</t>
        </is>
      </c>
      <c r="C171" s="6" t="n"/>
      <c r="D171" s="38" t="n">
        <v>0.55</v>
      </c>
      <c r="E171" s="36" t="n">
        <v>0.5</v>
      </c>
    </row>
    <row r="172">
      <c r="A172" s="6" t="n">
        <v>20304010</v>
      </c>
      <c r="B172" s="6" t="inlineStr">
        <is>
          <t>Rail Transportation</t>
        </is>
      </c>
      <c r="C172" s="6" t="n"/>
      <c r="D172" s="38" t="n">
        <v>0.25</v>
      </c>
      <c r="E172" s="36" t="n">
        <v>1.1</v>
      </c>
    </row>
    <row r="173">
      <c r="A173" s="6" t="n">
        <v>20304030</v>
      </c>
      <c r="B173" s="6" t="inlineStr">
        <is>
          <t>Cargo Ground Transportation</t>
        </is>
      </c>
      <c r="C173" s="6" t="n"/>
      <c r="D173" s="38" t="n">
        <v>0.55</v>
      </c>
      <c r="E173" s="36" t="n">
        <v>0.5</v>
      </c>
    </row>
    <row r="174">
      <c r="A174" s="6" t="n">
        <v>20304040</v>
      </c>
      <c r="B174" s="6" t="inlineStr">
        <is>
          <t>Passenger Ground Transportation</t>
        </is>
      </c>
      <c r="C174" s="6" t="n"/>
      <c r="D174" s="38" t="n">
        <v>0.45</v>
      </c>
      <c r="E174" s="36" t="n">
        <v>0.2</v>
      </c>
    </row>
    <row r="175">
      <c r="A175" s="6" t="n">
        <v>20305010</v>
      </c>
      <c r="B175" s="6" t="inlineStr">
        <is>
          <t>Airport Services</t>
        </is>
      </c>
      <c r="C175" s="6" t="n"/>
      <c r="D175" s="38" t="n">
        <v>0.45</v>
      </c>
      <c r="E175" s="36" t="n">
        <v>0.2</v>
      </c>
    </row>
    <row r="176">
      <c r="A176" s="6" t="n">
        <v>20305020</v>
      </c>
      <c r="B176" s="6" t="inlineStr">
        <is>
          <t>Highways &amp; Railtracks</t>
        </is>
      </c>
      <c r="C176" s="6" t="n"/>
      <c r="D176" s="38" t="n">
        <v>0.35</v>
      </c>
      <c r="E176" s="36" t="n">
        <v>1.4</v>
      </c>
    </row>
    <row r="177">
      <c r="A177" s="6" t="n">
        <v>20305030</v>
      </c>
      <c r="B177" s="6" t="inlineStr">
        <is>
          <t>Marine Ports &amp; Services</t>
        </is>
      </c>
      <c r="C177" s="6" t="n"/>
      <c r="D177" s="38" t="n">
        <v>0.25</v>
      </c>
      <c r="E177" s="36" t="n">
        <v>1.1</v>
      </c>
    </row>
    <row r="178">
      <c r="A178" s="6" t="n">
        <v>25101010</v>
      </c>
      <c r="B178" s="6" t="inlineStr">
        <is>
          <t>Automotive Parts &amp; Equipment</t>
        </is>
      </c>
      <c r="C178" s="6" t="n"/>
      <c r="D178" s="38" t="n">
        <v>0.35</v>
      </c>
      <c r="E178" s="36" t="n">
        <v>1.4</v>
      </c>
    </row>
    <row r="179">
      <c r="A179" s="6" t="n">
        <v>25101020</v>
      </c>
      <c r="B179" s="6" t="inlineStr">
        <is>
          <t>Tires &amp; Rubber</t>
        </is>
      </c>
      <c r="C179" s="6" t="n"/>
      <c r="D179" s="38" t="n">
        <v>0.25</v>
      </c>
      <c r="E179" s="36" t="n">
        <v>1.1</v>
      </c>
    </row>
    <row r="180">
      <c r="A180" s="6" t="n">
        <v>25102010</v>
      </c>
      <c r="B180" s="6" t="inlineStr">
        <is>
          <t>Automobile Manufacturers</t>
        </is>
      </c>
      <c r="C180" s="6" t="n"/>
      <c r="D180" s="38" t="n">
        <v>0.55</v>
      </c>
      <c r="E180" s="36" t="n">
        <v>0.5</v>
      </c>
    </row>
    <row r="181">
      <c r="A181" s="6" t="n">
        <v>25102020</v>
      </c>
      <c r="B181" s="6" t="inlineStr">
        <is>
          <t>Motorcycle Manufacturers</t>
        </is>
      </c>
      <c r="C181" s="6" t="n"/>
      <c r="D181" s="38" t="n">
        <v>0.45</v>
      </c>
      <c r="E181" s="36" t="n">
        <v>0.2</v>
      </c>
    </row>
    <row r="182">
      <c r="A182" s="6" t="n">
        <v>25201010</v>
      </c>
      <c r="B182" s="6" t="inlineStr">
        <is>
          <t>Consumer Electronics</t>
        </is>
      </c>
      <c r="C182" s="6" t="n"/>
      <c r="D182" s="38" t="n">
        <v>0.55</v>
      </c>
      <c r="E182" s="36" t="n">
        <v>0.5</v>
      </c>
    </row>
    <row r="183">
      <c r="A183" s="6" t="n">
        <v>25201020</v>
      </c>
      <c r="B183" s="6" t="inlineStr">
        <is>
          <t>Home Furnishings</t>
        </is>
      </c>
      <c r="C183" s="6" t="n"/>
      <c r="D183" s="38" t="n">
        <v>0.45</v>
      </c>
      <c r="E183" s="36" t="n">
        <v>0.2</v>
      </c>
    </row>
    <row r="184">
      <c r="A184" s="6" t="n">
        <v>25201030</v>
      </c>
      <c r="B184" s="6" t="inlineStr">
        <is>
          <t>Homebuilding</t>
        </is>
      </c>
      <c r="C184" s="6" t="n"/>
      <c r="D184" s="38" t="n">
        <v>0.25</v>
      </c>
      <c r="E184" s="36" t="n">
        <v>1.1</v>
      </c>
    </row>
    <row r="185">
      <c r="A185" s="6" t="n">
        <v>25201040</v>
      </c>
      <c r="B185" s="6" t="inlineStr">
        <is>
          <t>Household Appliances</t>
        </is>
      </c>
      <c r="C185" s="6" t="n"/>
      <c r="D185" s="38" t="n">
        <v>0.65</v>
      </c>
      <c r="E185" s="36" t="n">
        <v>0.8</v>
      </c>
    </row>
    <row r="186">
      <c r="A186" s="6" t="n">
        <v>25201050</v>
      </c>
      <c r="B186" s="6" t="inlineStr">
        <is>
          <t>Housewares &amp; Specialties</t>
        </is>
      </c>
      <c r="C186" s="6" t="n"/>
      <c r="D186" s="38" t="n">
        <v>0.55</v>
      </c>
      <c r="E186" s="36" t="n">
        <v>0.5</v>
      </c>
    </row>
    <row r="187">
      <c r="A187" s="6" t="n">
        <v>25202010</v>
      </c>
      <c r="B187" s="6" t="inlineStr">
        <is>
          <t>Leisure Products</t>
        </is>
      </c>
      <c r="C187" s="6" t="n"/>
      <c r="D187" s="38" t="n">
        <v>0.25</v>
      </c>
      <c r="E187" s="36" t="n">
        <v>1.1</v>
      </c>
    </row>
    <row r="188">
      <c r="A188" s="6" t="n">
        <v>25203010</v>
      </c>
      <c r="B188" s="6" t="inlineStr">
        <is>
          <t>Apparel, Accessories &amp; Luxury Goods</t>
        </is>
      </c>
      <c r="C188" s="6" t="n"/>
      <c r="D188" s="38" t="n">
        <v>0.45</v>
      </c>
      <c r="E188" s="36" t="n">
        <v>0.2</v>
      </c>
    </row>
    <row r="189">
      <c r="A189" s="6" t="n">
        <v>25203020</v>
      </c>
      <c r="B189" s="6" t="inlineStr">
        <is>
          <t>Footwear</t>
        </is>
      </c>
      <c r="C189" s="6" t="n"/>
      <c r="D189" s="38" t="n">
        <v>0.35</v>
      </c>
      <c r="E189" s="36" t="n">
        <v>1.4</v>
      </c>
    </row>
    <row r="190">
      <c r="A190" s="6" t="n">
        <v>25203030</v>
      </c>
      <c r="B190" s="6" t="inlineStr">
        <is>
          <t>Textiles</t>
        </is>
      </c>
      <c r="C190" s="6" t="n"/>
      <c r="D190" s="38" t="n">
        <v>0.65</v>
      </c>
      <c r="E190" s="36" t="n">
        <v>0.8</v>
      </c>
    </row>
    <row r="191">
      <c r="A191" s="6" t="n">
        <v>25301010</v>
      </c>
      <c r="B191" s="6" t="inlineStr">
        <is>
          <t>Casinos &amp; Gaming</t>
        </is>
      </c>
      <c r="C191" s="6" t="n"/>
      <c r="D191" s="38" t="n">
        <v>0.65</v>
      </c>
      <c r="E191" s="36" t="n">
        <v>0.8</v>
      </c>
    </row>
    <row r="192">
      <c r="A192" s="6" t="n">
        <v>25301020</v>
      </c>
      <c r="B192" s="6" t="inlineStr">
        <is>
          <t>Hotels, Resorts &amp; Cruise Lines</t>
        </is>
      </c>
      <c r="C192" s="6" t="n"/>
      <c r="D192" s="38" t="n">
        <v>0.55</v>
      </c>
      <c r="E192" s="36" t="n">
        <v>0.5</v>
      </c>
    </row>
    <row r="193">
      <c r="A193" s="6" t="n">
        <v>25301030</v>
      </c>
      <c r="B193" s="6" t="inlineStr">
        <is>
          <t>Leisure Facilities</t>
        </is>
      </c>
      <c r="C193" s="6" t="n"/>
      <c r="D193" s="38" t="n">
        <v>0.45</v>
      </c>
      <c r="E193" s="36" t="n">
        <v>0.2</v>
      </c>
    </row>
    <row r="194">
      <c r="A194" s="6" t="n">
        <v>25301040</v>
      </c>
      <c r="B194" s="6" t="inlineStr">
        <is>
          <t>Restaurants</t>
        </is>
      </c>
      <c r="C194" s="6" t="n"/>
      <c r="D194" s="38" t="n">
        <v>0.35</v>
      </c>
      <c r="E194" s="36" t="n">
        <v>1.4</v>
      </c>
    </row>
    <row r="195">
      <c r="A195" s="6" t="n">
        <v>25302010</v>
      </c>
      <c r="B195" s="6" t="inlineStr">
        <is>
          <t>Education Services</t>
        </is>
      </c>
      <c r="C195" s="6" t="n"/>
      <c r="D195" s="38" t="n">
        <v>0.35</v>
      </c>
      <c r="E195" s="36" t="n">
        <v>1.4</v>
      </c>
    </row>
    <row r="196">
      <c r="A196" s="6" t="n">
        <v>25302020</v>
      </c>
      <c r="B196" s="6" t="inlineStr">
        <is>
          <t>Specialized Consumer Services</t>
        </is>
      </c>
      <c r="C196" s="6" t="n"/>
      <c r="D196" s="38" t="n">
        <v>0.25</v>
      </c>
      <c r="E196" s="36" t="n">
        <v>1.1</v>
      </c>
    </row>
    <row r="197">
      <c r="A197" s="6" t="n">
        <v>25501010</v>
      </c>
      <c r="B197" s="6" t="inlineStr">
        <is>
          <t>Distributors</t>
        </is>
      </c>
      <c r="C197" s="6" t="n"/>
      <c r="D197" s="38" t="n">
        <v>0.55</v>
      </c>
      <c r="E197" s="36" t="n">
        <v>0.5</v>
      </c>
    </row>
    <row r="198">
      <c r="A198" s="6" t="n">
        <v>25503030</v>
      </c>
      <c r="B198" s="6" t="inlineStr">
        <is>
          <t>Broadline Retail</t>
        </is>
      </c>
      <c r="C198" s="6" t="n"/>
      <c r="D198" s="38" t="n">
        <v>0.65</v>
      </c>
      <c r="E198" s="36" t="n">
        <v>0.8</v>
      </c>
    </row>
    <row r="199">
      <c r="A199" s="6" t="n">
        <v>25504010</v>
      </c>
      <c r="B199" s="6" t="inlineStr">
        <is>
          <t>Apparel Retail</t>
        </is>
      </c>
      <c r="C199" s="6" t="n"/>
      <c r="D199" s="38" t="n">
        <v>0.65</v>
      </c>
      <c r="E199" s="36" t="n">
        <v>0.8</v>
      </c>
    </row>
    <row r="200">
      <c r="A200" s="6" t="n">
        <v>25504020</v>
      </c>
      <c r="B200" s="6" t="inlineStr">
        <is>
          <t>Computer &amp; Electronics Retail</t>
        </is>
      </c>
      <c r="C200" s="6" t="n"/>
      <c r="D200" s="38" t="n">
        <v>0.45</v>
      </c>
      <c r="E200" s="36" t="n">
        <v>0.2</v>
      </c>
    </row>
    <row r="201">
      <c r="A201" s="6" t="n">
        <v>25504030</v>
      </c>
      <c r="B201" s="6" t="inlineStr">
        <is>
          <t>Home Improvement Retail</t>
        </is>
      </c>
      <c r="C201" s="6" t="n"/>
      <c r="D201" s="38" t="n">
        <v>0.35</v>
      </c>
      <c r="E201" s="36" t="n">
        <v>1.4</v>
      </c>
    </row>
    <row r="202">
      <c r="A202" s="6" t="n">
        <v>25504040</v>
      </c>
      <c r="B202" s="6" t="inlineStr">
        <is>
          <t>Other Specialty Retail</t>
        </is>
      </c>
      <c r="C202" s="6" t="n"/>
      <c r="D202" s="38" t="n">
        <v>0.25</v>
      </c>
      <c r="E202" s="36" t="n">
        <v>1.1</v>
      </c>
    </row>
    <row r="203">
      <c r="A203" s="6" t="n">
        <v>25504050</v>
      </c>
      <c r="B203" s="6" t="inlineStr">
        <is>
          <t>Automotive Retail</t>
        </is>
      </c>
      <c r="C203" s="6" t="n"/>
      <c r="D203" s="38" t="n">
        <v>0.65</v>
      </c>
      <c r="E203" s="36" t="n">
        <v>0.8</v>
      </c>
    </row>
    <row r="204">
      <c r="A204" s="6" t="n">
        <v>25504060</v>
      </c>
      <c r="B204" s="6" t="inlineStr">
        <is>
          <t>Homefurnishing Retail</t>
        </is>
      </c>
      <c r="C204" s="6" t="n"/>
      <c r="D204" s="38" t="n">
        <v>0.55</v>
      </c>
      <c r="E204" s="36" t="n">
        <v>0.5</v>
      </c>
    </row>
    <row r="205">
      <c r="A205" s="6" t="n">
        <v>30101010</v>
      </c>
      <c r="B205" s="6" t="inlineStr">
        <is>
          <t>Drug Retail</t>
        </is>
      </c>
      <c r="C205" s="6" t="n"/>
      <c r="D205" s="38" t="n">
        <v>0.35</v>
      </c>
      <c r="E205" s="36" t="n">
        <v>1.4</v>
      </c>
    </row>
    <row r="206">
      <c r="A206" s="6" t="n">
        <v>30101020</v>
      </c>
      <c r="B206" s="6" t="inlineStr">
        <is>
          <t>Food Distributors</t>
        </is>
      </c>
      <c r="C206" s="6" t="n"/>
      <c r="D206" s="38" t="n">
        <v>0.25</v>
      </c>
      <c r="E206" s="36" t="n">
        <v>1.1</v>
      </c>
    </row>
    <row r="207">
      <c r="A207" s="6" t="n">
        <v>30101030</v>
      </c>
      <c r="B207" s="6" t="inlineStr">
        <is>
          <t>Food Retail</t>
        </is>
      </c>
      <c r="C207" s="6" t="n"/>
      <c r="D207" s="38" t="n">
        <v>0.65</v>
      </c>
      <c r="E207" s="36" t="n">
        <v>0.8</v>
      </c>
    </row>
    <row r="208">
      <c r="A208" s="6" t="n">
        <v>30101040</v>
      </c>
      <c r="B208" s="6" t="inlineStr">
        <is>
          <t>Consumer Staples Merchandise Retail</t>
        </is>
      </c>
      <c r="C208" s="6" t="n"/>
      <c r="D208" s="38" t="n">
        <v>0.55</v>
      </c>
      <c r="E208" s="36" t="n">
        <v>0.5</v>
      </c>
    </row>
    <row r="209">
      <c r="A209" s="6" t="n">
        <v>30201010</v>
      </c>
      <c r="B209" s="6" t="inlineStr">
        <is>
          <t>Brewers</t>
        </is>
      </c>
      <c r="C209" s="6" t="n"/>
      <c r="D209" s="38" t="n">
        <v>0.55</v>
      </c>
      <c r="E209" s="36" t="n">
        <v>0.5</v>
      </c>
    </row>
    <row r="210">
      <c r="A210" s="6" t="n">
        <v>30201020</v>
      </c>
      <c r="B210" s="6" t="inlineStr">
        <is>
          <t>Distillers &amp; Vintners</t>
        </is>
      </c>
      <c r="C210" s="6" t="n"/>
      <c r="D210" s="38" t="n">
        <v>0.45</v>
      </c>
      <c r="E210" s="36" t="n">
        <v>0.2</v>
      </c>
    </row>
    <row r="211">
      <c r="A211" s="6" t="n">
        <v>30201030</v>
      </c>
      <c r="B211" s="6" t="inlineStr">
        <is>
          <t>Soft Drinks &amp; Non-alcoholic Beverages</t>
        </is>
      </c>
      <c r="C211" s="6" t="n"/>
      <c r="D211" s="38" t="n">
        <v>0.35</v>
      </c>
      <c r="E211" s="36" t="n">
        <v>1.4</v>
      </c>
    </row>
    <row r="212">
      <c r="A212" s="6" t="n">
        <v>30202010</v>
      </c>
      <c r="B212" s="6" t="inlineStr">
        <is>
          <t>Agricultural Products &amp; Services</t>
        </is>
      </c>
      <c r="C212" s="6" t="n"/>
      <c r="D212" s="38" t="n">
        <v>0.25</v>
      </c>
      <c r="E212" s="36" t="n">
        <v>1.1</v>
      </c>
    </row>
    <row r="213">
      <c r="A213" s="6" t="n">
        <v>30202030</v>
      </c>
      <c r="B213" s="6" t="inlineStr">
        <is>
          <t>Packaged Foods &amp; Meats</t>
        </is>
      </c>
      <c r="C213" s="6" t="n"/>
      <c r="D213" s="38" t="n">
        <v>0.45</v>
      </c>
      <c r="E213" s="36" t="n">
        <v>0.2</v>
      </c>
    </row>
    <row r="214">
      <c r="A214" s="6" t="n">
        <v>30203010</v>
      </c>
      <c r="B214" s="6" t="inlineStr">
        <is>
          <t>Tobacco</t>
        </is>
      </c>
      <c r="C214" s="6" t="n"/>
      <c r="D214" s="38" t="n">
        <v>0.45</v>
      </c>
      <c r="E214" s="36" t="n">
        <v>0.2</v>
      </c>
    </row>
    <row r="215">
      <c r="A215" s="6" t="n">
        <v>30301010</v>
      </c>
      <c r="B215" s="6" t="inlineStr">
        <is>
          <t>Household Products</t>
        </is>
      </c>
      <c r="C215" s="6" t="n"/>
      <c r="D215" s="38" t="n">
        <v>0.65</v>
      </c>
      <c r="E215" s="36" t="n">
        <v>0.8</v>
      </c>
    </row>
    <row r="216">
      <c r="A216" s="6" t="n">
        <v>30302010</v>
      </c>
      <c r="B216" s="6" t="inlineStr">
        <is>
          <t>Personal Care Products</t>
        </is>
      </c>
      <c r="C216" s="6" t="n"/>
      <c r="D216" s="38" t="n">
        <v>0.35</v>
      </c>
      <c r="E216" s="36" t="n">
        <v>1.4</v>
      </c>
    </row>
    <row r="217">
      <c r="A217" s="6" t="n">
        <v>35101010</v>
      </c>
      <c r="B217" s="6" t="inlineStr">
        <is>
          <t>Health Care Equipment</t>
        </is>
      </c>
      <c r="C217" s="6" t="n"/>
      <c r="D217" s="38" t="n">
        <v>0.35</v>
      </c>
      <c r="E217" s="36" t="n">
        <v>1.4</v>
      </c>
    </row>
    <row r="218">
      <c r="A218" s="6" t="n">
        <v>35101020</v>
      </c>
      <c r="B218" s="6" t="inlineStr">
        <is>
          <t>Health Care Supplies</t>
        </is>
      </c>
      <c r="C218" s="6" t="n"/>
      <c r="D218" s="38" t="n">
        <v>0.25</v>
      </c>
      <c r="E218" s="36" t="n">
        <v>1.1</v>
      </c>
    </row>
    <row r="219">
      <c r="A219" s="6" t="n">
        <v>35102010</v>
      </c>
      <c r="B219" s="6" t="inlineStr">
        <is>
          <t>Health Care Distributors</t>
        </is>
      </c>
      <c r="C219" s="6" t="n"/>
      <c r="D219" s="38" t="n">
        <v>0.55</v>
      </c>
      <c r="E219" s="36" t="n">
        <v>0.5</v>
      </c>
    </row>
    <row r="220">
      <c r="A220" s="6" t="n">
        <v>35102015</v>
      </c>
      <c r="B220" s="6" t="inlineStr">
        <is>
          <t>Health Care Services</t>
        </is>
      </c>
      <c r="C220" s="6" t="n"/>
      <c r="D220" s="38" t="n">
        <v>0.25</v>
      </c>
      <c r="E220" s="36" t="n">
        <v>1.1</v>
      </c>
    </row>
    <row r="221">
      <c r="A221" s="6" t="n">
        <v>35102020</v>
      </c>
      <c r="B221" s="6" t="inlineStr">
        <is>
          <t>Health Care Facilities</t>
        </is>
      </c>
      <c r="C221" s="6" t="n"/>
      <c r="D221" s="38" t="n">
        <v>0.45</v>
      </c>
      <c r="E221" s="36" t="n">
        <v>0.2</v>
      </c>
    </row>
    <row r="222">
      <c r="A222" s="6" t="n">
        <v>35102030</v>
      </c>
      <c r="B222" s="6" t="inlineStr">
        <is>
          <t>Managed Health Care</t>
        </is>
      </c>
      <c r="C222" s="6" t="n"/>
      <c r="D222" s="38" t="n">
        <v>0.35</v>
      </c>
      <c r="E222" s="36" t="n">
        <v>1.4</v>
      </c>
    </row>
    <row r="223">
      <c r="A223" s="6" t="n">
        <v>35103010</v>
      </c>
      <c r="B223" s="6" t="inlineStr">
        <is>
          <t>Health Care Technology</t>
        </is>
      </c>
      <c r="C223" s="6" t="n"/>
      <c r="D223" s="38" t="n">
        <v>0.25</v>
      </c>
      <c r="E223" s="36" t="n">
        <v>1.1</v>
      </c>
    </row>
    <row r="224">
      <c r="A224" s="6" t="n">
        <v>35201010</v>
      </c>
      <c r="B224" s="6" t="inlineStr">
        <is>
          <t>Biotechnology</t>
        </is>
      </c>
      <c r="C224" s="6" t="n"/>
      <c r="D224" s="38" t="n">
        <v>0.55</v>
      </c>
      <c r="E224" s="36" t="n">
        <v>0.5</v>
      </c>
    </row>
    <row r="225">
      <c r="A225" s="6" t="n">
        <v>35202010</v>
      </c>
      <c r="B225" s="6" t="inlineStr">
        <is>
          <t>Pharmaceuticals</t>
        </is>
      </c>
      <c r="C225" s="6" t="n"/>
      <c r="D225" s="38" t="n">
        <v>0.25</v>
      </c>
      <c r="E225" s="36" t="n">
        <v>1.1</v>
      </c>
    </row>
    <row r="226">
      <c r="A226" s="6" t="n">
        <v>35203010</v>
      </c>
      <c r="B226" s="6" t="inlineStr">
        <is>
          <t>Life Sciences Tools &amp; Services</t>
        </is>
      </c>
      <c r="C226" s="6" t="n"/>
      <c r="D226" s="38" t="n">
        <v>0.45</v>
      </c>
      <c r="E226" s="36" t="n">
        <v>0.2</v>
      </c>
    </row>
    <row r="227">
      <c r="A227" s="6" t="n">
        <v>40101010</v>
      </c>
      <c r="B227" s="6" t="inlineStr">
        <is>
          <t>Diversified Banks</t>
        </is>
      </c>
      <c r="C227" s="6" t="n"/>
      <c r="D227" s="38" t="n">
        <v>0.35</v>
      </c>
      <c r="E227" s="36" t="n">
        <v>1.4</v>
      </c>
    </row>
    <row r="228">
      <c r="A228" s="6" t="n">
        <v>40101015</v>
      </c>
      <c r="B228" s="6" t="inlineStr">
        <is>
          <t>Regional Banks</t>
        </is>
      </c>
      <c r="C228" s="6" t="n"/>
      <c r="D228" s="38" t="n">
        <v>0.55</v>
      </c>
      <c r="E228" s="36" t="n">
        <v>0.5</v>
      </c>
    </row>
    <row r="229">
      <c r="A229" s="6" t="n">
        <v>40201020</v>
      </c>
      <c r="B229" s="6" t="inlineStr">
        <is>
          <t>Diversified Financial Services</t>
        </is>
      </c>
      <c r="C229" s="6" t="n"/>
      <c r="D229" s="38" t="n">
        <v>0.45</v>
      </c>
      <c r="E229" s="36" t="n">
        <v>0.2</v>
      </c>
    </row>
    <row r="230">
      <c r="A230" s="6" t="n">
        <v>40201030</v>
      </c>
      <c r="B230" s="6" t="inlineStr">
        <is>
          <t>Multi-Sector Holdings</t>
        </is>
      </c>
      <c r="C230" s="6" t="n"/>
      <c r="D230" s="38" t="n">
        <v>0.35</v>
      </c>
      <c r="E230" s="36" t="n">
        <v>1.4</v>
      </c>
    </row>
    <row r="231">
      <c r="A231" s="6" t="n">
        <v>40201040</v>
      </c>
      <c r="B231" s="6" t="inlineStr">
        <is>
          <t>Specialized Finance</t>
        </is>
      </c>
      <c r="C231" s="6" t="n"/>
      <c r="D231" s="38" t="n">
        <v>0.65</v>
      </c>
      <c r="E231" s="36" t="n">
        <v>0.8</v>
      </c>
    </row>
    <row r="232">
      <c r="A232" s="6" t="n">
        <v>40201050</v>
      </c>
      <c r="B232" s="6" t="inlineStr">
        <is>
          <t>Commercial &amp; Residential Mortgage Finance</t>
        </is>
      </c>
      <c r="C232" s="6" t="n"/>
      <c r="D232" s="38" t="n">
        <v>0.55</v>
      </c>
      <c r="E232" s="36" t="n">
        <v>0.5</v>
      </c>
    </row>
    <row r="233">
      <c r="A233" s="6" t="n">
        <v>40201060</v>
      </c>
      <c r="B233" s="6" t="inlineStr">
        <is>
          <t>Transaction &amp; Payment Processing Services</t>
        </is>
      </c>
      <c r="C233" s="6" t="n"/>
      <c r="D233" s="38" t="n">
        <v>0.45</v>
      </c>
      <c r="E233" s="36" t="n">
        <v>0.2</v>
      </c>
    </row>
    <row r="234">
      <c r="A234" s="6" t="n">
        <v>40202010</v>
      </c>
      <c r="B234" s="6" t="inlineStr">
        <is>
          <t>Consumer Finance</t>
        </is>
      </c>
      <c r="C234" s="6" t="n"/>
      <c r="D234" s="38" t="n">
        <v>0.25</v>
      </c>
      <c r="E234" s="36" t="n">
        <v>1.1</v>
      </c>
    </row>
    <row r="235">
      <c r="A235" s="6" t="n">
        <v>40203010</v>
      </c>
      <c r="B235" s="6" t="inlineStr">
        <is>
          <t>Asset Management &amp; Custody Banks</t>
        </is>
      </c>
      <c r="C235" s="6" t="n"/>
      <c r="D235" s="38" t="n">
        <v>0.45</v>
      </c>
      <c r="E235" s="36" t="n">
        <v>0.2</v>
      </c>
    </row>
    <row r="236">
      <c r="A236" s="6" t="n">
        <v>40203020</v>
      </c>
      <c r="B236" s="6" t="inlineStr">
        <is>
          <t>Investment Banking &amp; Brokerage</t>
        </is>
      </c>
      <c r="C236" s="6" t="n"/>
      <c r="D236" s="38" t="n">
        <v>0.35</v>
      </c>
      <c r="E236" s="36" t="n">
        <v>1.4</v>
      </c>
    </row>
    <row r="237">
      <c r="A237" s="6" t="n">
        <v>40203030</v>
      </c>
      <c r="B237" s="6" t="inlineStr">
        <is>
          <t>Diversified Capital Markets</t>
        </is>
      </c>
      <c r="C237" s="6" t="n"/>
      <c r="D237" s="38" t="n">
        <v>0.25</v>
      </c>
      <c r="E237" s="36" t="n">
        <v>1.1</v>
      </c>
    </row>
    <row r="238">
      <c r="A238" s="6" t="n">
        <v>40203040</v>
      </c>
      <c r="B238" s="6" t="inlineStr">
        <is>
          <t>Financial Exchanges &amp; Data</t>
        </is>
      </c>
      <c r="C238" s="6" t="n"/>
      <c r="D238" s="38" t="n">
        <v>0.55</v>
      </c>
      <c r="E238" s="36" t="n">
        <v>0.5</v>
      </c>
    </row>
    <row r="239">
      <c r="A239" s="6" t="n">
        <v>40204010</v>
      </c>
      <c r="B239" s="6" t="inlineStr">
        <is>
          <t>Mortgage REITs*</t>
        </is>
      </c>
      <c r="C239" s="6" t="n"/>
      <c r="D239" s="38" t="n">
        <v>0.65</v>
      </c>
      <c r="E239" s="36" t="n">
        <v>0.8</v>
      </c>
    </row>
    <row r="240">
      <c r="A240" s="6" t="n">
        <v>40301010</v>
      </c>
      <c r="B240" s="6" t="inlineStr">
        <is>
          <t>Insurance Brokers</t>
        </is>
      </c>
      <c r="C240" s="6" t="n"/>
      <c r="D240" s="38" t="n">
        <v>0.25</v>
      </c>
      <c r="E240" s="36" t="n">
        <v>1.1</v>
      </c>
    </row>
    <row r="241">
      <c r="A241" s="6" t="n">
        <v>40301020</v>
      </c>
      <c r="B241" s="6" t="inlineStr">
        <is>
          <t>Life &amp; Health Insurance</t>
        </is>
      </c>
      <c r="C241" s="6" t="n"/>
      <c r="D241" s="38" t="n">
        <v>0.55</v>
      </c>
      <c r="E241" s="36" t="n">
        <v>0.5</v>
      </c>
    </row>
    <row r="242">
      <c r="A242" s="6" t="n">
        <v>40301030</v>
      </c>
      <c r="B242" s="6" t="inlineStr">
        <is>
          <t>Multi-line Insurance</t>
        </is>
      </c>
      <c r="C242" s="6" t="n"/>
      <c r="D242" s="38" t="n">
        <v>0.45</v>
      </c>
      <c r="E242" s="36" t="n">
        <v>0.2</v>
      </c>
    </row>
    <row r="243">
      <c r="A243" s="6" t="n">
        <v>40301040</v>
      </c>
      <c r="B243" s="6" t="inlineStr">
        <is>
          <t>Property &amp; Casualty Insurance</t>
        </is>
      </c>
      <c r="C243" s="6" t="n"/>
      <c r="D243" s="38" t="n">
        <v>0.35</v>
      </c>
      <c r="E243" s="36" t="n">
        <v>1.4</v>
      </c>
    </row>
    <row r="244">
      <c r="A244" s="6" t="n">
        <v>40301050</v>
      </c>
      <c r="B244" s="6" t="inlineStr">
        <is>
          <t>Reinsurance</t>
        </is>
      </c>
      <c r="C244" s="6" t="n"/>
      <c r="D244" s="38" t="n">
        <v>0.25</v>
      </c>
      <c r="E244" s="36" t="n">
        <v>1.1</v>
      </c>
    </row>
    <row r="245">
      <c r="A245" s="6" t="n">
        <v>45102010</v>
      </c>
      <c r="B245" s="6" t="inlineStr">
        <is>
          <t>IT Consulting &amp; Other Services</t>
        </is>
      </c>
      <c r="C245" s="6" t="n"/>
      <c r="D245" s="38" t="n">
        <v>0.55</v>
      </c>
      <c r="E245" s="36" t="n">
        <v>0.5</v>
      </c>
    </row>
    <row r="246">
      <c r="A246" s="6" t="n">
        <v>45102030</v>
      </c>
      <c r="B246" s="6" t="inlineStr">
        <is>
          <t>Internet Services &amp; Infrastructure</t>
        </is>
      </c>
      <c r="C246" s="6" t="n"/>
      <c r="D246" s="38" t="n">
        <v>0.35</v>
      </c>
      <c r="E246" s="36" t="n">
        <v>1.4</v>
      </c>
    </row>
    <row r="247">
      <c r="A247" s="6" t="n">
        <v>45103010</v>
      </c>
      <c r="B247" s="6" t="inlineStr">
        <is>
          <t>Application Software</t>
        </is>
      </c>
      <c r="C247" s="6" t="n"/>
      <c r="D247" s="38" t="n">
        <v>0.25</v>
      </c>
      <c r="E247" s="36" t="n">
        <v>1.1</v>
      </c>
    </row>
    <row r="248">
      <c r="A248" s="6" t="n">
        <v>45103020</v>
      </c>
      <c r="B248" s="6" t="inlineStr">
        <is>
          <t>Systems Software</t>
        </is>
      </c>
      <c r="C248" s="6" t="n"/>
      <c r="D248" s="38" t="n">
        <v>0.65</v>
      </c>
      <c r="E248" s="36" t="n">
        <v>0.8</v>
      </c>
    </row>
    <row r="249">
      <c r="A249" s="6" t="n">
        <v>45201020</v>
      </c>
      <c r="B249" s="6" t="inlineStr">
        <is>
          <t>Communications Equipment</t>
        </is>
      </c>
      <c r="C249" s="6" t="n"/>
      <c r="D249" s="38" t="n">
        <v>0.45</v>
      </c>
      <c r="E249" s="36" t="n">
        <v>0.2</v>
      </c>
    </row>
    <row r="250">
      <c r="A250" s="6" t="n">
        <v>45202030</v>
      </c>
      <c r="B250" s="6" t="inlineStr">
        <is>
          <t>Technology Hardware, Storage &amp; Peripherals</t>
        </is>
      </c>
      <c r="C250" s="6" t="n"/>
      <c r="D250" s="38" t="n">
        <v>0.55</v>
      </c>
      <c r="E250" s="36" t="n">
        <v>0.5</v>
      </c>
    </row>
    <row r="251">
      <c r="A251" s="6" t="n">
        <v>45203010</v>
      </c>
      <c r="B251" s="6" t="inlineStr">
        <is>
          <t>Electronic Equipment &amp; Instruments</t>
        </is>
      </c>
      <c r="C251" s="6" t="n"/>
      <c r="D251" s="38" t="n">
        <v>0.45</v>
      </c>
      <c r="E251" s="36" t="n">
        <v>0.2</v>
      </c>
    </row>
    <row r="252">
      <c r="A252" s="6" t="n">
        <v>45203015</v>
      </c>
      <c r="B252" s="6" t="inlineStr">
        <is>
          <t>Electronic Components</t>
        </is>
      </c>
      <c r="C252" s="6" t="n"/>
      <c r="D252" s="38" t="n">
        <v>0.65</v>
      </c>
      <c r="E252" s="36" t="n">
        <v>0.8</v>
      </c>
    </row>
    <row r="253">
      <c r="A253" s="6" t="n">
        <v>45203020</v>
      </c>
      <c r="B253" s="6" t="inlineStr">
        <is>
          <t>Electronic Manufacturing Services</t>
        </is>
      </c>
      <c r="C253" s="6" t="n"/>
      <c r="D253" s="38" t="n">
        <v>0.35</v>
      </c>
      <c r="E253" s="36" t="n">
        <v>1.4</v>
      </c>
    </row>
    <row r="254">
      <c r="A254" s="6" t="n">
        <v>45203030</v>
      </c>
      <c r="B254" s="6" t="inlineStr">
        <is>
          <t>Technology Distributors</t>
        </is>
      </c>
      <c r="C254" s="6" t="n"/>
      <c r="D254" s="38" t="n">
        <v>0.25</v>
      </c>
      <c r="E254" s="36" t="n">
        <v>1.1</v>
      </c>
    </row>
    <row r="255">
      <c r="A255" s="6" t="n">
        <v>45301010</v>
      </c>
      <c r="B255" s="6" t="inlineStr">
        <is>
          <t>Semiconductor Materials &amp; Equipment</t>
        </is>
      </c>
      <c r="C255" s="6" t="n"/>
      <c r="D255" s="38" t="n">
        <v>0.25</v>
      </c>
      <c r="E255" s="36" t="n">
        <v>1.1</v>
      </c>
    </row>
    <row r="256">
      <c r="A256" s="6" t="n">
        <v>45301020</v>
      </c>
      <c r="B256" s="6" t="inlineStr">
        <is>
          <t>Semiconductors</t>
        </is>
      </c>
      <c r="C256" s="6" t="n"/>
      <c r="D256" s="38" t="n">
        <v>0.65</v>
      </c>
      <c r="E256" s="36" t="n">
        <v>0.8</v>
      </c>
    </row>
    <row r="257">
      <c r="A257" s="6" t="n">
        <v>50101010</v>
      </c>
      <c r="B257" s="6" t="inlineStr">
        <is>
          <t>Alternative Carriers</t>
        </is>
      </c>
      <c r="C257" s="6" t="n"/>
      <c r="D257" s="38" t="n">
        <v>0.45</v>
      </c>
      <c r="E257" s="36" t="n">
        <v>0.2</v>
      </c>
    </row>
    <row r="258">
      <c r="A258" s="6" t="n">
        <v>50101020</v>
      </c>
      <c r="B258" s="6" t="inlineStr">
        <is>
          <t>Integrated Telecommunication Services</t>
        </is>
      </c>
      <c r="C258" s="6" t="n"/>
      <c r="D258" s="38" t="n">
        <v>0.25</v>
      </c>
      <c r="E258" s="36" t="n">
        <v>1.1</v>
      </c>
    </row>
    <row r="259">
      <c r="A259" s="6" t="n">
        <v>50102010</v>
      </c>
      <c r="B259" s="6" t="inlineStr">
        <is>
          <t>Wireless Telecommunication Services</t>
        </is>
      </c>
      <c r="C259" s="6" t="n"/>
      <c r="D259" s="38" t="n">
        <v>0.65</v>
      </c>
      <c r="E259" s="36" t="n">
        <v>0.8</v>
      </c>
    </row>
    <row r="260">
      <c r="A260" s="6" t="n">
        <v>50201010</v>
      </c>
      <c r="B260" s="6" t="inlineStr">
        <is>
          <t>Advertising</t>
        </is>
      </c>
      <c r="C260" s="6" t="n"/>
      <c r="D260" s="38" t="n">
        <v>0.55</v>
      </c>
      <c r="E260" s="36" t="n">
        <v>0.5</v>
      </c>
    </row>
    <row r="261">
      <c r="A261" s="6" t="n">
        <v>50201020</v>
      </c>
      <c r="B261" s="6" t="inlineStr">
        <is>
          <t>Broadcasting</t>
        </is>
      </c>
      <c r="C261" s="6" t="n"/>
      <c r="D261" s="38" t="n">
        <v>0.45</v>
      </c>
      <c r="E261" s="36" t="n">
        <v>0.2</v>
      </c>
    </row>
    <row r="262">
      <c r="A262" s="6" t="n">
        <v>50201030</v>
      </c>
      <c r="B262" s="6" t="inlineStr">
        <is>
          <t>Cable &amp; Satellite</t>
        </is>
      </c>
      <c r="C262" s="6" t="n"/>
      <c r="D262" s="38" t="n">
        <v>0.35</v>
      </c>
      <c r="E262" s="36" t="n">
        <v>1.4</v>
      </c>
    </row>
    <row r="263">
      <c r="A263" s="6" t="n">
        <v>50201040</v>
      </c>
      <c r="B263" s="6" t="inlineStr">
        <is>
          <t>Publishing</t>
        </is>
      </c>
      <c r="C263" s="6" t="n"/>
      <c r="D263" s="38" t="n">
        <v>0.25</v>
      </c>
      <c r="E263" s="36" t="n">
        <v>1.1</v>
      </c>
    </row>
    <row r="264">
      <c r="A264" s="6" t="n">
        <v>50202010</v>
      </c>
      <c r="B264" s="6" t="inlineStr">
        <is>
          <t>Movies &amp; Entertainment</t>
        </is>
      </c>
      <c r="C264" s="6" t="n"/>
      <c r="D264" s="38" t="n">
        <v>0.25</v>
      </c>
      <c r="E264" s="36" t="n">
        <v>1.1</v>
      </c>
    </row>
    <row r="265">
      <c r="A265" s="6" t="n">
        <v>50202020</v>
      </c>
      <c r="B265" s="6" t="inlineStr">
        <is>
          <t>Interactive Home Entertainment</t>
        </is>
      </c>
      <c r="C265" s="6" t="n"/>
      <c r="D265" s="38" t="n">
        <v>0.65</v>
      </c>
      <c r="E265" s="36" t="n">
        <v>0.8</v>
      </c>
    </row>
    <row r="266">
      <c r="A266" s="6" t="n">
        <v>50203010</v>
      </c>
      <c r="B266" s="6" t="inlineStr">
        <is>
          <t>Interactive Media &amp; Services</t>
        </is>
      </c>
      <c r="C266" s="6" t="n"/>
      <c r="D266" s="38" t="n">
        <v>0.45</v>
      </c>
      <c r="E266" s="36" t="n">
        <v>0.2</v>
      </c>
    </row>
    <row r="267">
      <c r="A267" s="6" t="n">
        <v>55101010</v>
      </c>
      <c r="B267" s="6" t="inlineStr">
        <is>
          <t>Electric Utilities</t>
        </is>
      </c>
      <c r="C267" s="6" t="n"/>
      <c r="D267" s="38" t="n">
        <v>0.45</v>
      </c>
      <c r="E267" s="36" t="n">
        <v>0.2</v>
      </c>
    </row>
    <row r="268">
      <c r="A268" s="6" t="n">
        <v>55102010</v>
      </c>
      <c r="B268" s="6" t="inlineStr">
        <is>
          <t>Gas Utilities</t>
        </is>
      </c>
      <c r="C268" s="6" t="n"/>
      <c r="D268" s="38" t="n">
        <v>0.65</v>
      </c>
      <c r="E268" s="36" t="n">
        <v>0.8</v>
      </c>
    </row>
    <row r="269">
      <c r="A269" s="6" t="n">
        <v>55103010</v>
      </c>
      <c r="B269" s="6" t="inlineStr">
        <is>
          <t>Multi-Utilities</t>
        </is>
      </c>
      <c r="C269" s="6" t="n"/>
      <c r="D269" s="38" t="n">
        <v>0.35</v>
      </c>
      <c r="E269" s="36" t="n">
        <v>1.4</v>
      </c>
    </row>
    <row r="270">
      <c r="A270" s="6" t="n">
        <v>55104010</v>
      </c>
      <c r="B270" s="6" t="inlineStr">
        <is>
          <t>Water Utilities</t>
        </is>
      </c>
      <c r="C270" s="6" t="n"/>
      <c r="D270" s="38" t="n">
        <v>0.55</v>
      </c>
      <c r="E270" s="36" t="n">
        <v>0.5</v>
      </c>
    </row>
    <row r="271">
      <c r="A271" s="6" t="n">
        <v>55105010</v>
      </c>
      <c r="B271" s="6" t="inlineStr">
        <is>
          <t>Independent Power Producers &amp; Energy Traders</t>
        </is>
      </c>
      <c r="C271" s="6" t="n"/>
      <c r="D271" s="38" t="n">
        <v>0.65</v>
      </c>
      <c r="E271" s="36" t="n">
        <v>0.8</v>
      </c>
    </row>
    <row r="272">
      <c r="A272" s="6" t="n">
        <v>55105020</v>
      </c>
      <c r="B272" s="6" t="inlineStr">
        <is>
          <t>Renewable Electricity</t>
        </is>
      </c>
      <c r="C272" s="6" t="n"/>
      <c r="D272" s="38" t="n">
        <v>0.55</v>
      </c>
      <c r="E272" s="36" t="n">
        <v>0.5</v>
      </c>
    </row>
    <row r="273">
      <c r="A273" s="6" t="n">
        <v>60101010</v>
      </c>
      <c r="B273" s="6" t="inlineStr">
        <is>
          <t>Diversified REITs*</t>
        </is>
      </c>
      <c r="C273" s="6" t="n"/>
      <c r="D273" s="38" t="n">
        <v>0.45</v>
      </c>
      <c r="E273" s="36" t="n">
        <v>0.2</v>
      </c>
    </row>
    <row r="274">
      <c r="A274" s="6" t="n">
        <v>60102510</v>
      </c>
      <c r="B274" s="6" t="inlineStr">
        <is>
          <t>Industrial REITs*</t>
        </is>
      </c>
      <c r="C274" s="6" t="n"/>
      <c r="D274" s="38" t="n">
        <v>0.25</v>
      </c>
      <c r="E274" s="36" t="n">
        <v>1.1</v>
      </c>
    </row>
    <row r="275">
      <c r="A275" s="6" t="n">
        <v>60103010</v>
      </c>
      <c r="B275" s="6" t="inlineStr">
        <is>
          <t>Hotel &amp; Resort REITs*</t>
        </is>
      </c>
      <c r="C275" s="6" t="n"/>
      <c r="D275" s="38" t="n">
        <v>0.35</v>
      </c>
      <c r="E275" s="36" t="n">
        <v>1.4</v>
      </c>
    </row>
    <row r="276">
      <c r="A276" s="6" t="n">
        <v>60104010</v>
      </c>
      <c r="B276" s="6" t="inlineStr">
        <is>
          <t>Office REITs*</t>
        </is>
      </c>
      <c r="C276" s="6" t="n"/>
      <c r="D276" s="38" t="n">
        <v>0.55</v>
      </c>
      <c r="E276" s="36" t="n">
        <v>0.5</v>
      </c>
    </row>
    <row r="277">
      <c r="A277" s="6" t="n">
        <v>60105010</v>
      </c>
      <c r="B277" s="6" t="inlineStr">
        <is>
          <t>Health Care REITs*</t>
        </is>
      </c>
      <c r="C277" s="6" t="n"/>
      <c r="D277" s="38" t="n">
        <v>0.25</v>
      </c>
      <c r="E277" s="36" t="n">
        <v>1.1</v>
      </c>
    </row>
    <row r="278">
      <c r="A278" s="6" t="n">
        <v>60106010</v>
      </c>
      <c r="B278" s="6" t="inlineStr">
        <is>
          <t>Multi-Family Residential REITs*</t>
        </is>
      </c>
      <c r="C278" s="6" t="n"/>
      <c r="D278" s="38" t="n">
        <v>0.45</v>
      </c>
      <c r="E278" s="36" t="n">
        <v>0.2</v>
      </c>
    </row>
    <row r="279">
      <c r="A279" s="6" t="n">
        <v>60106020</v>
      </c>
      <c r="B279" s="6" t="inlineStr">
        <is>
          <t>Single-Family Residential REITs*</t>
        </is>
      </c>
      <c r="C279" s="6" t="n"/>
      <c r="D279" s="38" t="n">
        <v>0.25</v>
      </c>
      <c r="E279" s="36" t="n">
        <v>1.1</v>
      </c>
    </row>
    <row r="280">
      <c r="A280" s="6" t="n">
        <v>60107010</v>
      </c>
      <c r="B280" s="6" t="inlineStr">
        <is>
          <t>Retail REITs*</t>
        </is>
      </c>
      <c r="C280" s="6" t="n"/>
      <c r="D280" s="38" t="n">
        <v>0.55</v>
      </c>
      <c r="E280" s="36" t="n">
        <v>0.5</v>
      </c>
    </row>
    <row r="281">
      <c r="A281" s="6" t="n">
        <v>60108010</v>
      </c>
      <c r="B281" s="6" t="inlineStr">
        <is>
          <t>Other Specialized REITs*</t>
        </is>
      </c>
      <c r="C281" s="6" t="n"/>
      <c r="D281" s="38" t="n">
        <v>0.25</v>
      </c>
      <c r="E281" s="36" t="n">
        <v>1.1</v>
      </c>
    </row>
    <row r="282">
      <c r="A282" s="6" t="n">
        <v>60108020</v>
      </c>
      <c r="B282" s="6" t="inlineStr">
        <is>
          <t>Self-Storage REITs*</t>
        </is>
      </c>
      <c r="C282" s="6" t="n"/>
      <c r="D282" s="38" t="n">
        <v>0.65</v>
      </c>
      <c r="E282" s="36" t="n">
        <v>0.8</v>
      </c>
    </row>
    <row r="283">
      <c r="A283" s="6" t="n">
        <v>60108030</v>
      </c>
      <c r="B283" s="6" t="inlineStr">
        <is>
          <t>Telecom Tower REITs*</t>
        </is>
      </c>
      <c r="C283" s="6" t="n"/>
      <c r="D283" s="38" t="n">
        <v>0.55</v>
      </c>
      <c r="E283" s="36" t="n">
        <v>0.5</v>
      </c>
    </row>
    <row r="284">
      <c r="A284" s="6" t="n">
        <v>60108040</v>
      </c>
      <c r="B284" s="6" t="inlineStr">
        <is>
          <t>Timber REITs*</t>
        </is>
      </c>
      <c r="C284" s="6" t="n"/>
      <c r="D284" s="38" t="n">
        <v>0.45</v>
      </c>
      <c r="E284" s="36" t="n">
        <v>0.2</v>
      </c>
    </row>
    <row r="285">
      <c r="A285" s="6" t="n">
        <v>60108050</v>
      </c>
      <c r="B285" s="6" t="inlineStr">
        <is>
          <t>Data Center REITs*</t>
        </is>
      </c>
      <c r="C285" s="6" t="n"/>
      <c r="D285" s="38" t="n">
        <v>0.35</v>
      </c>
      <c r="E285" s="36" t="n">
        <v>1.4</v>
      </c>
    </row>
    <row r="286">
      <c r="A286" s="6" t="n">
        <v>60201010</v>
      </c>
      <c r="B286" s="6" t="inlineStr">
        <is>
          <t>Diversified Real Estate Activities</t>
        </is>
      </c>
      <c r="C286" s="6" t="n"/>
      <c r="D286" s="38" t="n">
        <v>0.55</v>
      </c>
      <c r="E286" s="36" t="n">
        <v>0.5</v>
      </c>
    </row>
    <row r="287">
      <c r="A287" s="6" t="n">
        <v>60201020</v>
      </c>
      <c r="B287" s="6" t="inlineStr">
        <is>
          <t>Real Estate Operating Companies</t>
        </is>
      </c>
      <c r="C287" s="6" t="n"/>
      <c r="D287" s="38" t="n">
        <v>0.45</v>
      </c>
      <c r="E287" s="36" t="n">
        <v>0.2</v>
      </c>
    </row>
    <row r="288">
      <c r="A288" s="6" t="n">
        <v>60201030</v>
      </c>
      <c r="B288" s="6" t="inlineStr">
        <is>
          <t>Real Estate Development</t>
        </is>
      </c>
      <c r="C288" s="6" t="n"/>
      <c r="D288" s="38" t="n">
        <v>0.35</v>
      </c>
      <c r="E288" s="36" t="n">
        <v>1.4</v>
      </c>
    </row>
    <row r="289">
      <c r="A289" s="6" t="n">
        <v>60201040</v>
      </c>
      <c r="B289" s="6" t="inlineStr">
        <is>
          <t>Real Estate Services</t>
        </is>
      </c>
      <c r="C289" s="6" t="n"/>
      <c r="D289" s="38" t="n">
        <v>0.25</v>
      </c>
      <c r="E289" s="36" t="n">
        <v>1.1</v>
      </c>
    </row>
  </sheetData>
  <mergeCells count="5">
    <mergeCell ref="A125:E125"/>
    <mergeCell ref="A47:E47"/>
    <mergeCell ref="A1:E1"/>
    <mergeCell ref="A18:E18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6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34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5" customWidth="1" min="19" max="19"/>
    <col width="17" customWidth="1" min="20" max="20"/>
  </cols>
  <sheetData>
    <row r="1" ht="56" customHeight="1">
      <c r="A1" t="inlineStr">
        <is>
          <t>STEP 10 — 163 sub-industries, live formulas only. PRIMARY sigma (column N): 1Y Equity Vol / (1+D/E), looked up at Sub-Industry level with fallback to Industry -&gt; Industry Group -&gt; Sector if blank (IFERROR chain, ready for real data with coverage gaps). CROSS-CHECK sigma (column S): beta x UK market vol, same fallback chain, independent data source — compare the two before trusting either into the Merton engine. Column T is what 11_Credit_Risk_Engine actually uses (PRIMARY, falling back to CROSS-CHECK only if PRIMARY is entirely unavailable for that sub-industry).</t>
        </is>
      </c>
    </row>
    <row r="2" ht="34" customHeight="1">
      <c r="A2" s="5" t="inlineStr">
        <is>
          <t>Sub-Ind
Code</t>
        </is>
      </c>
      <c r="B2" s="5" t="inlineStr">
        <is>
          <t>Sub-Industry</t>
        </is>
      </c>
      <c r="C2" s="5" t="inlineStr">
        <is>
          <t>Sector
Code</t>
        </is>
      </c>
      <c r="D2" s="5" t="inlineStr">
        <is>
          <t>Industry
Code</t>
        </is>
      </c>
      <c r="E2" s="5" t="inlineStr">
        <is>
          <t>IG
Code</t>
        </is>
      </c>
      <c r="F2" s="5" t="inlineStr">
        <is>
          <t>1Y EqVol
(Sub-Ind)</t>
        </is>
      </c>
      <c r="G2" s="5" t="inlineStr">
        <is>
          <t>D/E
(Sub-Ind)</t>
        </is>
      </c>
      <c r="H2" s="5" t="inlineStr">
        <is>
          <t>1Y EqVol
(Industry)</t>
        </is>
      </c>
      <c r="I2" s="5" t="inlineStr">
        <is>
          <t>D/E
(Industry)</t>
        </is>
      </c>
      <c r="J2" s="5" t="inlineStr">
        <is>
          <t>1Y EqVol
(IG)</t>
        </is>
      </c>
      <c r="K2" s="5" t="inlineStr">
        <is>
          <t>D/E
(IG)</t>
        </is>
      </c>
      <c r="L2" s="5" t="inlineStr">
        <is>
          <t>1Y EqVol
(Sector)</t>
        </is>
      </c>
      <c r="M2" s="5" t="inlineStr">
        <is>
          <t>D/E
(Sector)</t>
        </is>
      </c>
      <c r="N2" s="5" t="inlineStr">
        <is>
          <t>PRIMARY sigma
(delevered EqVol)</t>
        </is>
      </c>
      <c r="O2" s="5" t="inlineStr">
        <is>
          <t>Beta
(Sub-Ind)</t>
        </is>
      </c>
      <c r="P2" s="5" t="inlineStr">
        <is>
          <t>Beta
(Industry)</t>
        </is>
      </c>
      <c r="Q2" s="5" t="inlineStr">
        <is>
          <t>Beta
(IG)</t>
        </is>
      </c>
      <c r="R2" s="5" t="inlineStr">
        <is>
          <t>Beta
(Sector)</t>
        </is>
      </c>
      <c r="S2" s="5" t="inlineStr">
        <is>
          <t>CROSS-CHECK sigma
(beta x mkt vol)</t>
        </is>
      </c>
      <c r="T2" s="5" t="inlineStr">
        <is>
          <t>Sigma USED
(primary, else cross-check)</t>
        </is>
      </c>
    </row>
    <row r="3">
      <c r="A3" s="6" t="n">
        <v>10101010</v>
      </c>
      <c r="B3" s="6" t="inlineStr">
        <is>
          <t>Oil &amp; Gas Drilling</t>
        </is>
      </c>
      <c r="C3" s="6" t="n">
        <v>10</v>
      </c>
      <c r="D3" s="6" t="n">
        <v>101010</v>
      </c>
      <c r="E3" s="6" t="n">
        <v>1010</v>
      </c>
      <c r="F3" s="39">
        <f>IFERROR(INDEX('9_UK_Vol_Input'!$D$127:$D$289,MATCH($A3,'9_UK_Vol_Input'!$A$127:$A$289,0)),"")</f>
        <v/>
      </c>
      <c r="G3" s="40">
        <f>IFERROR(INDEX('9_UK_Vol_Input'!$E$127:$E$289,MATCH($A3,'9_UK_Vol_Input'!$A$127:$A$289,0)),"")</f>
        <v/>
      </c>
      <c r="H3" s="39">
        <f>IFERROR(INDEX('9_UK_Vol_Input'!$D$49:$D$122,MATCH($D3,'9_UK_Vol_Input'!$A$49:$A$122,0)),"")</f>
        <v/>
      </c>
      <c r="I3" s="40">
        <f>IFERROR(INDEX('9_UK_Vol_Input'!$E$49:$E$122,MATCH($D3,'9_UK_Vol_Input'!$A$49:$A$122,0)),"")</f>
        <v/>
      </c>
      <c r="J3" s="39">
        <f>IFERROR(INDEX('9_UK_Vol_Input'!$D$20:$D$44,MATCH($E3,'9_UK_Vol_Input'!$A$20:$A$44,0)),"")</f>
        <v/>
      </c>
      <c r="K3" s="40">
        <f>IFERROR(INDEX('9_UK_Vol_Input'!$E$20:$E$44,MATCH($E3,'9_UK_Vol_Input'!$A$20:$A$44,0)),"")</f>
        <v/>
      </c>
      <c r="L3" s="39">
        <f>IFERROR(INDEX('9_UK_Vol_Input'!$D$5:$D$15,MATCH($C3,'9_UK_Vol_Input'!$A$5:$A$15,0)),"")</f>
        <v/>
      </c>
      <c r="M3" s="40">
        <f>IFERROR(INDEX('9_UK_Vol_Input'!$E$5:$E$15,MATCH($C3,'9_UK_Vol_Input'!$A$5:$A$15,0)),"")</f>
        <v/>
      </c>
      <c r="N3" s="22">
        <f>IF(F3&lt;&gt;"",F3/(1+G3),IF(H3&lt;&gt;"",H3/(1+I3),IF(J3&lt;&gt;"",J3/(1+K3),IF(L3&lt;&gt;"",L3/(1+M3),""))))</f>
        <v/>
      </c>
      <c r="O3" s="36">
        <f>IFERROR(INDEX('7_UK_Beta_Input'!$D$127:$D$289,MATCH($A3,'7_UK_Beta_Input'!$A$127:$A$289,0)),"")</f>
        <v/>
      </c>
      <c r="P3" s="36">
        <f>IFERROR(INDEX('7_UK_Beta_Input'!$D$49:$D$122,MATCH($D3,'7_UK_Beta_Input'!$A$49:$A$122,0)),"")</f>
        <v/>
      </c>
      <c r="Q3" s="36">
        <f>IFERROR(INDEX('7_UK_Beta_Input'!$D$20:$D$44,MATCH($E3,'7_UK_Beta_Input'!$A$20:$A$44,0)),"")</f>
        <v/>
      </c>
      <c r="R3" s="36">
        <f>IFERROR(INDEX('7_UK_Beta_Input'!$D$5:$D$15,MATCH($C3,'7_UK_Beta_Input'!$A$5:$A$15,0)),"")</f>
        <v/>
      </c>
      <c r="S3" s="22">
        <f>IF(O3&lt;&gt;"",O3*'6_Credit_Bridge_Assumptions'!$B$8,IF(P3&lt;&gt;"",P3*'6_Credit_Bridge_Assumptions'!$B$8,IF(Q3&lt;&gt;"",Q3*'6_Credit_Bridge_Assumptions'!$B$8,IF(R3&lt;&gt;"",R3*'6_Credit_Bridge_Assumptions'!$B$8,""))))</f>
        <v/>
      </c>
      <c r="T3" s="22">
        <f>IF(N3&lt;&gt;"",N3,S3)</f>
        <v/>
      </c>
    </row>
    <row r="4">
      <c r="A4" s="6" t="n">
        <v>10101020</v>
      </c>
      <c r="B4" s="6" t="inlineStr">
        <is>
          <t>Oil &amp; Gas Equipment &amp; Services</t>
        </is>
      </c>
      <c r="C4" s="6" t="n">
        <v>10</v>
      </c>
      <c r="D4" s="6" t="n">
        <v>101010</v>
      </c>
      <c r="E4" s="6" t="n">
        <v>1010</v>
      </c>
      <c r="F4" s="39">
        <f>IFERROR(INDEX('9_UK_Vol_Input'!$D$127:$D$289,MATCH($A4,'9_UK_Vol_Input'!$A$127:$A$289,0)),"")</f>
        <v/>
      </c>
      <c r="G4" s="40">
        <f>IFERROR(INDEX('9_UK_Vol_Input'!$E$127:$E$289,MATCH($A4,'9_UK_Vol_Input'!$A$127:$A$289,0)),"")</f>
        <v/>
      </c>
      <c r="H4" s="39">
        <f>IFERROR(INDEX('9_UK_Vol_Input'!$D$49:$D$122,MATCH($D4,'9_UK_Vol_Input'!$A$49:$A$122,0)),"")</f>
        <v/>
      </c>
      <c r="I4" s="40">
        <f>IFERROR(INDEX('9_UK_Vol_Input'!$E$49:$E$122,MATCH($D4,'9_UK_Vol_Input'!$A$49:$A$122,0)),"")</f>
        <v/>
      </c>
      <c r="J4" s="39">
        <f>IFERROR(INDEX('9_UK_Vol_Input'!$D$20:$D$44,MATCH($E4,'9_UK_Vol_Input'!$A$20:$A$44,0)),"")</f>
        <v/>
      </c>
      <c r="K4" s="40">
        <f>IFERROR(INDEX('9_UK_Vol_Input'!$E$20:$E$44,MATCH($E4,'9_UK_Vol_Input'!$A$20:$A$44,0)),"")</f>
        <v/>
      </c>
      <c r="L4" s="39">
        <f>IFERROR(INDEX('9_UK_Vol_Input'!$D$5:$D$15,MATCH($C4,'9_UK_Vol_Input'!$A$5:$A$15,0)),"")</f>
        <v/>
      </c>
      <c r="M4" s="40">
        <f>IFERROR(INDEX('9_UK_Vol_Input'!$E$5:$E$15,MATCH($C4,'9_UK_Vol_Input'!$A$5:$A$15,0)),"")</f>
        <v/>
      </c>
      <c r="N4" s="22">
        <f>IF(F4&lt;&gt;"",F4/(1+G4),IF(H4&lt;&gt;"",H4/(1+I4),IF(J4&lt;&gt;"",J4/(1+K4),IF(L4&lt;&gt;"",L4/(1+M4),""))))</f>
        <v/>
      </c>
      <c r="O4" s="36">
        <f>IFERROR(INDEX('7_UK_Beta_Input'!$D$127:$D$289,MATCH($A4,'7_UK_Beta_Input'!$A$127:$A$289,0)),"")</f>
        <v/>
      </c>
      <c r="P4" s="36">
        <f>IFERROR(INDEX('7_UK_Beta_Input'!$D$49:$D$122,MATCH($D4,'7_UK_Beta_Input'!$A$49:$A$122,0)),"")</f>
        <v/>
      </c>
      <c r="Q4" s="36">
        <f>IFERROR(INDEX('7_UK_Beta_Input'!$D$20:$D$44,MATCH($E4,'7_UK_Beta_Input'!$A$20:$A$44,0)),"")</f>
        <v/>
      </c>
      <c r="R4" s="36">
        <f>IFERROR(INDEX('7_UK_Beta_Input'!$D$5:$D$15,MATCH($C4,'7_UK_Beta_Input'!$A$5:$A$15,0)),"")</f>
        <v/>
      </c>
      <c r="S4" s="22">
        <f>IF(O4&lt;&gt;"",O4*'6_Credit_Bridge_Assumptions'!$B$8,IF(P4&lt;&gt;"",P4*'6_Credit_Bridge_Assumptions'!$B$8,IF(Q4&lt;&gt;"",Q4*'6_Credit_Bridge_Assumptions'!$B$8,IF(R4&lt;&gt;"",R4*'6_Credit_Bridge_Assumptions'!$B$8,""))))</f>
        <v/>
      </c>
      <c r="T4" s="22">
        <f>IF(N4&lt;&gt;"",N4,S4)</f>
        <v/>
      </c>
    </row>
    <row r="5">
      <c r="A5" s="6" t="n">
        <v>10102010</v>
      </c>
      <c r="B5" s="6" t="inlineStr">
        <is>
          <t>Integrated Oil &amp; Gas</t>
        </is>
      </c>
      <c r="C5" s="6" t="n">
        <v>10</v>
      </c>
      <c r="D5" s="6" t="n">
        <v>101020</v>
      </c>
      <c r="E5" s="6" t="n">
        <v>1010</v>
      </c>
      <c r="F5" s="39">
        <f>IFERROR(INDEX('9_UK_Vol_Input'!$D$127:$D$289,MATCH($A5,'9_UK_Vol_Input'!$A$127:$A$289,0)),"")</f>
        <v/>
      </c>
      <c r="G5" s="40">
        <f>IFERROR(INDEX('9_UK_Vol_Input'!$E$127:$E$289,MATCH($A5,'9_UK_Vol_Input'!$A$127:$A$289,0)),"")</f>
        <v/>
      </c>
      <c r="H5" s="39">
        <f>IFERROR(INDEX('9_UK_Vol_Input'!$D$49:$D$122,MATCH($D5,'9_UK_Vol_Input'!$A$49:$A$122,0)),"")</f>
        <v/>
      </c>
      <c r="I5" s="40">
        <f>IFERROR(INDEX('9_UK_Vol_Input'!$E$49:$E$122,MATCH($D5,'9_UK_Vol_Input'!$A$49:$A$122,0)),"")</f>
        <v/>
      </c>
      <c r="J5" s="39">
        <f>IFERROR(INDEX('9_UK_Vol_Input'!$D$20:$D$44,MATCH($E5,'9_UK_Vol_Input'!$A$20:$A$44,0)),"")</f>
        <v/>
      </c>
      <c r="K5" s="40">
        <f>IFERROR(INDEX('9_UK_Vol_Input'!$E$20:$E$44,MATCH($E5,'9_UK_Vol_Input'!$A$20:$A$44,0)),"")</f>
        <v/>
      </c>
      <c r="L5" s="39">
        <f>IFERROR(INDEX('9_UK_Vol_Input'!$D$5:$D$15,MATCH($C5,'9_UK_Vol_Input'!$A$5:$A$15,0)),"")</f>
        <v/>
      </c>
      <c r="M5" s="40">
        <f>IFERROR(INDEX('9_UK_Vol_Input'!$E$5:$E$15,MATCH($C5,'9_UK_Vol_Input'!$A$5:$A$15,0)),"")</f>
        <v/>
      </c>
      <c r="N5" s="22">
        <f>IF(F5&lt;&gt;"",F5/(1+G5),IF(H5&lt;&gt;"",H5/(1+I5),IF(J5&lt;&gt;"",J5/(1+K5),IF(L5&lt;&gt;"",L5/(1+M5),""))))</f>
        <v/>
      </c>
      <c r="O5" s="36">
        <f>IFERROR(INDEX('7_UK_Beta_Input'!$D$127:$D$289,MATCH($A5,'7_UK_Beta_Input'!$A$127:$A$289,0)),"")</f>
        <v/>
      </c>
      <c r="P5" s="36">
        <f>IFERROR(INDEX('7_UK_Beta_Input'!$D$49:$D$122,MATCH($D5,'7_UK_Beta_Input'!$A$49:$A$122,0)),"")</f>
        <v/>
      </c>
      <c r="Q5" s="36">
        <f>IFERROR(INDEX('7_UK_Beta_Input'!$D$20:$D$44,MATCH($E5,'7_UK_Beta_Input'!$A$20:$A$44,0)),"")</f>
        <v/>
      </c>
      <c r="R5" s="36">
        <f>IFERROR(INDEX('7_UK_Beta_Input'!$D$5:$D$15,MATCH($C5,'7_UK_Beta_Input'!$A$5:$A$15,0)),"")</f>
        <v/>
      </c>
      <c r="S5" s="22">
        <f>IF(O5&lt;&gt;"",O5*'6_Credit_Bridge_Assumptions'!$B$8,IF(P5&lt;&gt;"",P5*'6_Credit_Bridge_Assumptions'!$B$8,IF(Q5&lt;&gt;"",Q5*'6_Credit_Bridge_Assumptions'!$B$8,IF(R5&lt;&gt;"",R5*'6_Credit_Bridge_Assumptions'!$B$8,""))))</f>
        <v/>
      </c>
      <c r="T5" s="22">
        <f>IF(N5&lt;&gt;"",N5,S5)</f>
        <v/>
      </c>
    </row>
    <row r="6">
      <c r="A6" s="6" t="n">
        <v>10102020</v>
      </c>
      <c r="B6" s="6" t="inlineStr">
        <is>
          <t>Oil &amp; Gas Exploration &amp; Production</t>
        </is>
      </c>
      <c r="C6" s="6" t="n">
        <v>10</v>
      </c>
      <c r="D6" s="6" t="n">
        <v>101020</v>
      </c>
      <c r="E6" s="6" t="n">
        <v>1010</v>
      </c>
      <c r="F6" s="39">
        <f>IFERROR(INDEX('9_UK_Vol_Input'!$D$127:$D$289,MATCH($A6,'9_UK_Vol_Input'!$A$127:$A$289,0)),"")</f>
        <v/>
      </c>
      <c r="G6" s="40">
        <f>IFERROR(INDEX('9_UK_Vol_Input'!$E$127:$E$289,MATCH($A6,'9_UK_Vol_Input'!$A$127:$A$289,0)),"")</f>
        <v/>
      </c>
      <c r="H6" s="39">
        <f>IFERROR(INDEX('9_UK_Vol_Input'!$D$49:$D$122,MATCH($D6,'9_UK_Vol_Input'!$A$49:$A$122,0)),"")</f>
        <v/>
      </c>
      <c r="I6" s="40">
        <f>IFERROR(INDEX('9_UK_Vol_Input'!$E$49:$E$122,MATCH($D6,'9_UK_Vol_Input'!$A$49:$A$122,0)),"")</f>
        <v/>
      </c>
      <c r="J6" s="39">
        <f>IFERROR(INDEX('9_UK_Vol_Input'!$D$20:$D$44,MATCH($E6,'9_UK_Vol_Input'!$A$20:$A$44,0)),"")</f>
        <v/>
      </c>
      <c r="K6" s="40">
        <f>IFERROR(INDEX('9_UK_Vol_Input'!$E$20:$E$44,MATCH($E6,'9_UK_Vol_Input'!$A$20:$A$44,0)),"")</f>
        <v/>
      </c>
      <c r="L6" s="39">
        <f>IFERROR(INDEX('9_UK_Vol_Input'!$D$5:$D$15,MATCH($C6,'9_UK_Vol_Input'!$A$5:$A$15,0)),"")</f>
        <v/>
      </c>
      <c r="M6" s="40">
        <f>IFERROR(INDEX('9_UK_Vol_Input'!$E$5:$E$15,MATCH($C6,'9_UK_Vol_Input'!$A$5:$A$15,0)),"")</f>
        <v/>
      </c>
      <c r="N6" s="22">
        <f>IF(F6&lt;&gt;"",F6/(1+G6),IF(H6&lt;&gt;"",H6/(1+I6),IF(J6&lt;&gt;"",J6/(1+K6),IF(L6&lt;&gt;"",L6/(1+M6),""))))</f>
        <v/>
      </c>
      <c r="O6" s="36">
        <f>IFERROR(INDEX('7_UK_Beta_Input'!$D$127:$D$289,MATCH($A6,'7_UK_Beta_Input'!$A$127:$A$289,0)),"")</f>
        <v/>
      </c>
      <c r="P6" s="36">
        <f>IFERROR(INDEX('7_UK_Beta_Input'!$D$49:$D$122,MATCH($D6,'7_UK_Beta_Input'!$A$49:$A$122,0)),"")</f>
        <v/>
      </c>
      <c r="Q6" s="36">
        <f>IFERROR(INDEX('7_UK_Beta_Input'!$D$20:$D$44,MATCH($E6,'7_UK_Beta_Input'!$A$20:$A$44,0)),"")</f>
        <v/>
      </c>
      <c r="R6" s="36">
        <f>IFERROR(INDEX('7_UK_Beta_Input'!$D$5:$D$15,MATCH($C6,'7_UK_Beta_Input'!$A$5:$A$15,0)),"")</f>
        <v/>
      </c>
      <c r="S6" s="22">
        <f>IF(O6&lt;&gt;"",O6*'6_Credit_Bridge_Assumptions'!$B$8,IF(P6&lt;&gt;"",P6*'6_Credit_Bridge_Assumptions'!$B$8,IF(Q6&lt;&gt;"",Q6*'6_Credit_Bridge_Assumptions'!$B$8,IF(R6&lt;&gt;"",R6*'6_Credit_Bridge_Assumptions'!$B$8,""))))</f>
        <v/>
      </c>
      <c r="T6" s="22">
        <f>IF(N6&lt;&gt;"",N6,S6)</f>
        <v/>
      </c>
    </row>
    <row r="7">
      <c r="A7" s="6" t="n">
        <v>10102030</v>
      </c>
      <c r="B7" s="6" t="inlineStr">
        <is>
          <t>Oil &amp; Gas Refining &amp; Marketing</t>
        </is>
      </c>
      <c r="C7" s="6" t="n">
        <v>10</v>
      </c>
      <c r="D7" s="6" t="n">
        <v>101020</v>
      </c>
      <c r="E7" s="6" t="n">
        <v>1010</v>
      </c>
      <c r="F7" s="39">
        <f>IFERROR(INDEX('9_UK_Vol_Input'!$D$127:$D$289,MATCH($A7,'9_UK_Vol_Input'!$A$127:$A$289,0)),"")</f>
        <v/>
      </c>
      <c r="G7" s="40">
        <f>IFERROR(INDEX('9_UK_Vol_Input'!$E$127:$E$289,MATCH($A7,'9_UK_Vol_Input'!$A$127:$A$289,0)),"")</f>
        <v/>
      </c>
      <c r="H7" s="39">
        <f>IFERROR(INDEX('9_UK_Vol_Input'!$D$49:$D$122,MATCH($D7,'9_UK_Vol_Input'!$A$49:$A$122,0)),"")</f>
        <v/>
      </c>
      <c r="I7" s="40">
        <f>IFERROR(INDEX('9_UK_Vol_Input'!$E$49:$E$122,MATCH($D7,'9_UK_Vol_Input'!$A$49:$A$122,0)),"")</f>
        <v/>
      </c>
      <c r="J7" s="39">
        <f>IFERROR(INDEX('9_UK_Vol_Input'!$D$20:$D$44,MATCH($E7,'9_UK_Vol_Input'!$A$20:$A$44,0)),"")</f>
        <v/>
      </c>
      <c r="K7" s="40">
        <f>IFERROR(INDEX('9_UK_Vol_Input'!$E$20:$E$44,MATCH($E7,'9_UK_Vol_Input'!$A$20:$A$44,0)),"")</f>
        <v/>
      </c>
      <c r="L7" s="39">
        <f>IFERROR(INDEX('9_UK_Vol_Input'!$D$5:$D$15,MATCH($C7,'9_UK_Vol_Input'!$A$5:$A$15,0)),"")</f>
        <v/>
      </c>
      <c r="M7" s="40">
        <f>IFERROR(INDEX('9_UK_Vol_Input'!$E$5:$E$15,MATCH($C7,'9_UK_Vol_Input'!$A$5:$A$15,0)),"")</f>
        <v/>
      </c>
      <c r="N7" s="22">
        <f>IF(F7&lt;&gt;"",F7/(1+G7),IF(H7&lt;&gt;"",H7/(1+I7),IF(J7&lt;&gt;"",J7/(1+K7),IF(L7&lt;&gt;"",L7/(1+M7),""))))</f>
        <v/>
      </c>
      <c r="O7" s="36">
        <f>IFERROR(INDEX('7_UK_Beta_Input'!$D$127:$D$289,MATCH($A7,'7_UK_Beta_Input'!$A$127:$A$289,0)),"")</f>
        <v/>
      </c>
      <c r="P7" s="36">
        <f>IFERROR(INDEX('7_UK_Beta_Input'!$D$49:$D$122,MATCH($D7,'7_UK_Beta_Input'!$A$49:$A$122,0)),"")</f>
        <v/>
      </c>
      <c r="Q7" s="36">
        <f>IFERROR(INDEX('7_UK_Beta_Input'!$D$20:$D$44,MATCH($E7,'7_UK_Beta_Input'!$A$20:$A$44,0)),"")</f>
        <v/>
      </c>
      <c r="R7" s="36">
        <f>IFERROR(INDEX('7_UK_Beta_Input'!$D$5:$D$15,MATCH($C7,'7_UK_Beta_Input'!$A$5:$A$15,0)),"")</f>
        <v/>
      </c>
      <c r="S7" s="22">
        <f>IF(O7&lt;&gt;"",O7*'6_Credit_Bridge_Assumptions'!$B$8,IF(P7&lt;&gt;"",P7*'6_Credit_Bridge_Assumptions'!$B$8,IF(Q7&lt;&gt;"",Q7*'6_Credit_Bridge_Assumptions'!$B$8,IF(R7&lt;&gt;"",R7*'6_Credit_Bridge_Assumptions'!$B$8,""))))</f>
        <v/>
      </c>
      <c r="T7" s="22">
        <f>IF(N7&lt;&gt;"",N7,S7)</f>
        <v/>
      </c>
    </row>
    <row r="8">
      <c r="A8" s="6" t="n">
        <v>10102040</v>
      </c>
      <c r="B8" s="6" t="inlineStr">
        <is>
          <t>Oil &amp; Gas Storage &amp; Transportation</t>
        </is>
      </c>
      <c r="C8" s="6" t="n">
        <v>10</v>
      </c>
      <c r="D8" s="6" t="n">
        <v>101020</v>
      </c>
      <c r="E8" s="6" t="n">
        <v>1010</v>
      </c>
      <c r="F8" s="39">
        <f>IFERROR(INDEX('9_UK_Vol_Input'!$D$127:$D$289,MATCH($A8,'9_UK_Vol_Input'!$A$127:$A$289,0)),"")</f>
        <v/>
      </c>
      <c r="G8" s="40">
        <f>IFERROR(INDEX('9_UK_Vol_Input'!$E$127:$E$289,MATCH($A8,'9_UK_Vol_Input'!$A$127:$A$289,0)),"")</f>
        <v/>
      </c>
      <c r="H8" s="39">
        <f>IFERROR(INDEX('9_UK_Vol_Input'!$D$49:$D$122,MATCH($D8,'9_UK_Vol_Input'!$A$49:$A$122,0)),"")</f>
        <v/>
      </c>
      <c r="I8" s="40">
        <f>IFERROR(INDEX('9_UK_Vol_Input'!$E$49:$E$122,MATCH($D8,'9_UK_Vol_Input'!$A$49:$A$122,0)),"")</f>
        <v/>
      </c>
      <c r="J8" s="39">
        <f>IFERROR(INDEX('9_UK_Vol_Input'!$D$20:$D$44,MATCH($E8,'9_UK_Vol_Input'!$A$20:$A$44,0)),"")</f>
        <v/>
      </c>
      <c r="K8" s="40">
        <f>IFERROR(INDEX('9_UK_Vol_Input'!$E$20:$E$44,MATCH($E8,'9_UK_Vol_Input'!$A$20:$A$44,0)),"")</f>
        <v/>
      </c>
      <c r="L8" s="39">
        <f>IFERROR(INDEX('9_UK_Vol_Input'!$D$5:$D$15,MATCH($C8,'9_UK_Vol_Input'!$A$5:$A$15,0)),"")</f>
        <v/>
      </c>
      <c r="M8" s="40">
        <f>IFERROR(INDEX('9_UK_Vol_Input'!$E$5:$E$15,MATCH($C8,'9_UK_Vol_Input'!$A$5:$A$15,0)),"")</f>
        <v/>
      </c>
      <c r="N8" s="22">
        <f>IF(F8&lt;&gt;"",F8/(1+G8),IF(H8&lt;&gt;"",H8/(1+I8),IF(J8&lt;&gt;"",J8/(1+K8),IF(L8&lt;&gt;"",L8/(1+M8),""))))</f>
        <v/>
      </c>
      <c r="O8" s="36">
        <f>IFERROR(INDEX('7_UK_Beta_Input'!$D$127:$D$289,MATCH($A8,'7_UK_Beta_Input'!$A$127:$A$289,0)),"")</f>
        <v/>
      </c>
      <c r="P8" s="36">
        <f>IFERROR(INDEX('7_UK_Beta_Input'!$D$49:$D$122,MATCH($D8,'7_UK_Beta_Input'!$A$49:$A$122,0)),"")</f>
        <v/>
      </c>
      <c r="Q8" s="36">
        <f>IFERROR(INDEX('7_UK_Beta_Input'!$D$20:$D$44,MATCH($E8,'7_UK_Beta_Input'!$A$20:$A$44,0)),"")</f>
        <v/>
      </c>
      <c r="R8" s="36">
        <f>IFERROR(INDEX('7_UK_Beta_Input'!$D$5:$D$15,MATCH($C8,'7_UK_Beta_Input'!$A$5:$A$15,0)),"")</f>
        <v/>
      </c>
      <c r="S8" s="22">
        <f>IF(O8&lt;&gt;"",O8*'6_Credit_Bridge_Assumptions'!$B$8,IF(P8&lt;&gt;"",P8*'6_Credit_Bridge_Assumptions'!$B$8,IF(Q8&lt;&gt;"",Q8*'6_Credit_Bridge_Assumptions'!$B$8,IF(R8&lt;&gt;"",R8*'6_Credit_Bridge_Assumptions'!$B$8,""))))</f>
        <v/>
      </c>
      <c r="T8" s="22">
        <f>IF(N8&lt;&gt;"",N8,S8)</f>
        <v/>
      </c>
    </row>
    <row r="9">
      <c r="A9" s="6" t="n">
        <v>10102050</v>
      </c>
      <c r="B9" s="6" t="inlineStr">
        <is>
          <t>Coal &amp; Consumable Fuels</t>
        </is>
      </c>
      <c r="C9" s="6" t="n">
        <v>10</v>
      </c>
      <c r="D9" s="6" t="n">
        <v>101020</v>
      </c>
      <c r="E9" s="6" t="n">
        <v>1010</v>
      </c>
      <c r="F9" s="39">
        <f>IFERROR(INDEX('9_UK_Vol_Input'!$D$127:$D$289,MATCH($A9,'9_UK_Vol_Input'!$A$127:$A$289,0)),"")</f>
        <v/>
      </c>
      <c r="G9" s="40">
        <f>IFERROR(INDEX('9_UK_Vol_Input'!$E$127:$E$289,MATCH($A9,'9_UK_Vol_Input'!$A$127:$A$289,0)),"")</f>
        <v/>
      </c>
      <c r="H9" s="39">
        <f>IFERROR(INDEX('9_UK_Vol_Input'!$D$49:$D$122,MATCH($D9,'9_UK_Vol_Input'!$A$49:$A$122,0)),"")</f>
        <v/>
      </c>
      <c r="I9" s="40">
        <f>IFERROR(INDEX('9_UK_Vol_Input'!$E$49:$E$122,MATCH($D9,'9_UK_Vol_Input'!$A$49:$A$122,0)),"")</f>
        <v/>
      </c>
      <c r="J9" s="39">
        <f>IFERROR(INDEX('9_UK_Vol_Input'!$D$20:$D$44,MATCH($E9,'9_UK_Vol_Input'!$A$20:$A$44,0)),"")</f>
        <v/>
      </c>
      <c r="K9" s="40">
        <f>IFERROR(INDEX('9_UK_Vol_Input'!$E$20:$E$44,MATCH($E9,'9_UK_Vol_Input'!$A$20:$A$44,0)),"")</f>
        <v/>
      </c>
      <c r="L9" s="39">
        <f>IFERROR(INDEX('9_UK_Vol_Input'!$D$5:$D$15,MATCH($C9,'9_UK_Vol_Input'!$A$5:$A$15,0)),"")</f>
        <v/>
      </c>
      <c r="M9" s="40">
        <f>IFERROR(INDEX('9_UK_Vol_Input'!$E$5:$E$15,MATCH($C9,'9_UK_Vol_Input'!$A$5:$A$15,0)),"")</f>
        <v/>
      </c>
      <c r="N9" s="22">
        <f>IF(F9&lt;&gt;"",F9/(1+G9),IF(H9&lt;&gt;"",H9/(1+I9),IF(J9&lt;&gt;"",J9/(1+K9),IF(L9&lt;&gt;"",L9/(1+M9),""))))</f>
        <v/>
      </c>
      <c r="O9" s="36">
        <f>IFERROR(INDEX('7_UK_Beta_Input'!$D$127:$D$289,MATCH($A9,'7_UK_Beta_Input'!$A$127:$A$289,0)),"")</f>
        <v/>
      </c>
      <c r="P9" s="36">
        <f>IFERROR(INDEX('7_UK_Beta_Input'!$D$49:$D$122,MATCH($D9,'7_UK_Beta_Input'!$A$49:$A$122,0)),"")</f>
        <v/>
      </c>
      <c r="Q9" s="36">
        <f>IFERROR(INDEX('7_UK_Beta_Input'!$D$20:$D$44,MATCH($E9,'7_UK_Beta_Input'!$A$20:$A$44,0)),"")</f>
        <v/>
      </c>
      <c r="R9" s="36">
        <f>IFERROR(INDEX('7_UK_Beta_Input'!$D$5:$D$15,MATCH($C9,'7_UK_Beta_Input'!$A$5:$A$15,0)),"")</f>
        <v/>
      </c>
      <c r="S9" s="22">
        <f>IF(O9&lt;&gt;"",O9*'6_Credit_Bridge_Assumptions'!$B$8,IF(P9&lt;&gt;"",P9*'6_Credit_Bridge_Assumptions'!$B$8,IF(Q9&lt;&gt;"",Q9*'6_Credit_Bridge_Assumptions'!$B$8,IF(R9&lt;&gt;"",R9*'6_Credit_Bridge_Assumptions'!$B$8,""))))</f>
        <v/>
      </c>
      <c r="T9" s="22">
        <f>IF(N9&lt;&gt;"",N9,S9)</f>
        <v/>
      </c>
    </row>
    <row r="10">
      <c r="A10" s="6" t="n">
        <v>15101010</v>
      </c>
      <c r="B10" s="6" t="inlineStr">
        <is>
          <t>Commodity Chemicals</t>
        </is>
      </c>
      <c r="C10" s="6" t="n">
        <v>15</v>
      </c>
      <c r="D10" s="6" t="n">
        <v>151010</v>
      </c>
      <c r="E10" s="6" t="n">
        <v>1510</v>
      </c>
      <c r="F10" s="39">
        <f>IFERROR(INDEX('9_UK_Vol_Input'!$D$127:$D$289,MATCH($A10,'9_UK_Vol_Input'!$A$127:$A$289,0)),"")</f>
        <v/>
      </c>
      <c r="G10" s="40">
        <f>IFERROR(INDEX('9_UK_Vol_Input'!$E$127:$E$289,MATCH($A10,'9_UK_Vol_Input'!$A$127:$A$289,0)),"")</f>
        <v/>
      </c>
      <c r="H10" s="39">
        <f>IFERROR(INDEX('9_UK_Vol_Input'!$D$49:$D$122,MATCH($D10,'9_UK_Vol_Input'!$A$49:$A$122,0)),"")</f>
        <v/>
      </c>
      <c r="I10" s="40">
        <f>IFERROR(INDEX('9_UK_Vol_Input'!$E$49:$E$122,MATCH($D10,'9_UK_Vol_Input'!$A$49:$A$122,0)),"")</f>
        <v/>
      </c>
      <c r="J10" s="39">
        <f>IFERROR(INDEX('9_UK_Vol_Input'!$D$20:$D$44,MATCH($E10,'9_UK_Vol_Input'!$A$20:$A$44,0)),"")</f>
        <v/>
      </c>
      <c r="K10" s="40">
        <f>IFERROR(INDEX('9_UK_Vol_Input'!$E$20:$E$44,MATCH($E10,'9_UK_Vol_Input'!$A$20:$A$44,0)),"")</f>
        <v/>
      </c>
      <c r="L10" s="39">
        <f>IFERROR(INDEX('9_UK_Vol_Input'!$D$5:$D$15,MATCH($C10,'9_UK_Vol_Input'!$A$5:$A$15,0)),"")</f>
        <v/>
      </c>
      <c r="M10" s="40">
        <f>IFERROR(INDEX('9_UK_Vol_Input'!$E$5:$E$15,MATCH($C10,'9_UK_Vol_Input'!$A$5:$A$15,0)),"")</f>
        <v/>
      </c>
      <c r="N10" s="22">
        <f>IF(F10&lt;&gt;"",F10/(1+G10),IF(H10&lt;&gt;"",H10/(1+I10),IF(J10&lt;&gt;"",J10/(1+K10),IF(L10&lt;&gt;"",L10/(1+M10),""))))</f>
        <v/>
      </c>
      <c r="O10" s="36">
        <f>IFERROR(INDEX('7_UK_Beta_Input'!$D$127:$D$289,MATCH($A10,'7_UK_Beta_Input'!$A$127:$A$289,0)),"")</f>
        <v/>
      </c>
      <c r="P10" s="36">
        <f>IFERROR(INDEX('7_UK_Beta_Input'!$D$49:$D$122,MATCH($D10,'7_UK_Beta_Input'!$A$49:$A$122,0)),"")</f>
        <v/>
      </c>
      <c r="Q10" s="36">
        <f>IFERROR(INDEX('7_UK_Beta_Input'!$D$20:$D$44,MATCH($E10,'7_UK_Beta_Input'!$A$20:$A$44,0)),"")</f>
        <v/>
      </c>
      <c r="R10" s="36">
        <f>IFERROR(INDEX('7_UK_Beta_Input'!$D$5:$D$15,MATCH($C10,'7_UK_Beta_Input'!$A$5:$A$15,0)),"")</f>
        <v/>
      </c>
      <c r="S10" s="22">
        <f>IF(O10&lt;&gt;"",O10*'6_Credit_Bridge_Assumptions'!$B$8,IF(P10&lt;&gt;"",P10*'6_Credit_Bridge_Assumptions'!$B$8,IF(Q10&lt;&gt;"",Q10*'6_Credit_Bridge_Assumptions'!$B$8,IF(R10&lt;&gt;"",R10*'6_Credit_Bridge_Assumptions'!$B$8,""))))</f>
        <v/>
      </c>
      <c r="T10" s="22">
        <f>IF(N10&lt;&gt;"",N10,S10)</f>
        <v/>
      </c>
    </row>
    <row r="11">
      <c r="A11" s="6" t="n">
        <v>15101020</v>
      </c>
      <c r="B11" s="6" t="inlineStr">
        <is>
          <t>Diversified Chemicals</t>
        </is>
      </c>
      <c r="C11" s="6" t="n">
        <v>15</v>
      </c>
      <c r="D11" s="6" t="n">
        <v>151010</v>
      </c>
      <c r="E11" s="6" t="n">
        <v>1510</v>
      </c>
      <c r="F11" s="39">
        <f>IFERROR(INDEX('9_UK_Vol_Input'!$D$127:$D$289,MATCH($A11,'9_UK_Vol_Input'!$A$127:$A$289,0)),"")</f>
        <v/>
      </c>
      <c r="G11" s="40">
        <f>IFERROR(INDEX('9_UK_Vol_Input'!$E$127:$E$289,MATCH($A11,'9_UK_Vol_Input'!$A$127:$A$289,0)),"")</f>
        <v/>
      </c>
      <c r="H11" s="39">
        <f>IFERROR(INDEX('9_UK_Vol_Input'!$D$49:$D$122,MATCH($D11,'9_UK_Vol_Input'!$A$49:$A$122,0)),"")</f>
        <v/>
      </c>
      <c r="I11" s="40">
        <f>IFERROR(INDEX('9_UK_Vol_Input'!$E$49:$E$122,MATCH($D11,'9_UK_Vol_Input'!$A$49:$A$122,0)),"")</f>
        <v/>
      </c>
      <c r="J11" s="39">
        <f>IFERROR(INDEX('9_UK_Vol_Input'!$D$20:$D$44,MATCH($E11,'9_UK_Vol_Input'!$A$20:$A$44,0)),"")</f>
        <v/>
      </c>
      <c r="K11" s="40">
        <f>IFERROR(INDEX('9_UK_Vol_Input'!$E$20:$E$44,MATCH($E11,'9_UK_Vol_Input'!$A$20:$A$44,0)),"")</f>
        <v/>
      </c>
      <c r="L11" s="39">
        <f>IFERROR(INDEX('9_UK_Vol_Input'!$D$5:$D$15,MATCH($C11,'9_UK_Vol_Input'!$A$5:$A$15,0)),"")</f>
        <v/>
      </c>
      <c r="M11" s="40">
        <f>IFERROR(INDEX('9_UK_Vol_Input'!$E$5:$E$15,MATCH($C11,'9_UK_Vol_Input'!$A$5:$A$15,0)),"")</f>
        <v/>
      </c>
      <c r="N11" s="22">
        <f>IF(F11&lt;&gt;"",F11/(1+G11),IF(H11&lt;&gt;"",H11/(1+I11),IF(J11&lt;&gt;"",J11/(1+K11),IF(L11&lt;&gt;"",L11/(1+M11),""))))</f>
        <v/>
      </c>
      <c r="O11" s="36">
        <f>IFERROR(INDEX('7_UK_Beta_Input'!$D$127:$D$289,MATCH($A11,'7_UK_Beta_Input'!$A$127:$A$289,0)),"")</f>
        <v/>
      </c>
      <c r="P11" s="36">
        <f>IFERROR(INDEX('7_UK_Beta_Input'!$D$49:$D$122,MATCH($D11,'7_UK_Beta_Input'!$A$49:$A$122,0)),"")</f>
        <v/>
      </c>
      <c r="Q11" s="36">
        <f>IFERROR(INDEX('7_UK_Beta_Input'!$D$20:$D$44,MATCH($E11,'7_UK_Beta_Input'!$A$20:$A$44,0)),"")</f>
        <v/>
      </c>
      <c r="R11" s="36">
        <f>IFERROR(INDEX('7_UK_Beta_Input'!$D$5:$D$15,MATCH($C11,'7_UK_Beta_Input'!$A$5:$A$15,0)),"")</f>
        <v/>
      </c>
      <c r="S11" s="22">
        <f>IF(O11&lt;&gt;"",O11*'6_Credit_Bridge_Assumptions'!$B$8,IF(P11&lt;&gt;"",P11*'6_Credit_Bridge_Assumptions'!$B$8,IF(Q11&lt;&gt;"",Q11*'6_Credit_Bridge_Assumptions'!$B$8,IF(R11&lt;&gt;"",R11*'6_Credit_Bridge_Assumptions'!$B$8,""))))</f>
        <v/>
      </c>
      <c r="T11" s="22">
        <f>IF(N11&lt;&gt;"",N11,S11)</f>
        <v/>
      </c>
    </row>
    <row r="12">
      <c r="A12" s="6" t="n">
        <v>15101030</v>
      </c>
      <c r="B12" s="6" t="inlineStr">
        <is>
          <t>Fertilizers &amp; Agricultural Chemicals</t>
        </is>
      </c>
      <c r="C12" s="6" t="n">
        <v>15</v>
      </c>
      <c r="D12" s="6" t="n">
        <v>151010</v>
      </c>
      <c r="E12" s="6" t="n">
        <v>1510</v>
      </c>
      <c r="F12" s="39">
        <f>IFERROR(INDEX('9_UK_Vol_Input'!$D$127:$D$289,MATCH($A12,'9_UK_Vol_Input'!$A$127:$A$289,0)),"")</f>
        <v/>
      </c>
      <c r="G12" s="40">
        <f>IFERROR(INDEX('9_UK_Vol_Input'!$E$127:$E$289,MATCH($A12,'9_UK_Vol_Input'!$A$127:$A$289,0)),"")</f>
        <v/>
      </c>
      <c r="H12" s="39">
        <f>IFERROR(INDEX('9_UK_Vol_Input'!$D$49:$D$122,MATCH($D12,'9_UK_Vol_Input'!$A$49:$A$122,0)),"")</f>
        <v/>
      </c>
      <c r="I12" s="40">
        <f>IFERROR(INDEX('9_UK_Vol_Input'!$E$49:$E$122,MATCH($D12,'9_UK_Vol_Input'!$A$49:$A$122,0)),"")</f>
        <v/>
      </c>
      <c r="J12" s="39">
        <f>IFERROR(INDEX('9_UK_Vol_Input'!$D$20:$D$44,MATCH($E12,'9_UK_Vol_Input'!$A$20:$A$44,0)),"")</f>
        <v/>
      </c>
      <c r="K12" s="40">
        <f>IFERROR(INDEX('9_UK_Vol_Input'!$E$20:$E$44,MATCH($E12,'9_UK_Vol_Input'!$A$20:$A$44,0)),"")</f>
        <v/>
      </c>
      <c r="L12" s="39">
        <f>IFERROR(INDEX('9_UK_Vol_Input'!$D$5:$D$15,MATCH($C12,'9_UK_Vol_Input'!$A$5:$A$15,0)),"")</f>
        <v/>
      </c>
      <c r="M12" s="40">
        <f>IFERROR(INDEX('9_UK_Vol_Input'!$E$5:$E$15,MATCH($C12,'9_UK_Vol_Input'!$A$5:$A$15,0)),"")</f>
        <v/>
      </c>
      <c r="N12" s="22">
        <f>IF(F12&lt;&gt;"",F12/(1+G12),IF(H12&lt;&gt;"",H12/(1+I12),IF(J12&lt;&gt;"",J12/(1+K12),IF(L12&lt;&gt;"",L12/(1+M12),""))))</f>
        <v/>
      </c>
      <c r="O12" s="36">
        <f>IFERROR(INDEX('7_UK_Beta_Input'!$D$127:$D$289,MATCH($A12,'7_UK_Beta_Input'!$A$127:$A$289,0)),"")</f>
        <v/>
      </c>
      <c r="P12" s="36">
        <f>IFERROR(INDEX('7_UK_Beta_Input'!$D$49:$D$122,MATCH($D12,'7_UK_Beta_Input'!$A$49:$A$122,0)),"")</f>
        <v/>
      </c>
      <c r="Q12" s="36">
        <f>IFERROR(INDEX('7_UK_Beta_Input'!$D$20:$D$44,MATCH($E12,'7_UK_Beta_Input'!$A$20:$A$44,0)),"")</f>
        <v/>
      </c>
      <c r="R12" s="36">
        <f>IFERROR(INDEX('7_UK_Beta_Input'!$D$5:$D$15,MATCH($C12,'7_UK_Beta_Input'!$A$5:$A$15,0)),"")</f>
        <v/>
      </c>
      <c r="S12" s="22">
        <f>IF(O12&lt;&gt;"",O12*'6_Credit_Bridge_Assumptions'!$B$8,IF(P12&lt;&gt;"",P12*'6_Credit_Bridge_Assumptions'!$B$8,IF(Q12&lt;&gt;"",Q12*'6_Credit_Bridge_Assumptions'!$B$8,IF(R12&lt;&gt;"",R12*'6_Credit_Bridge_Assumptions'!$B$8,""))))</f>
        <v/>
      </c>
      <c r="T12" s="22">
        <f>IF(N12&lt;&gt;"",N12,S12)</f>
        <v/>
      </c>
    </row>
    <row r="13">
      <c r="A13" s="6" t="n">
        <v>15101040</v>
      </c>
      <c r="B13" s="6" t="inlineStr">
        <is>
          <t>Industrial Gases</t>
        </is>
      </c>
      <c r="C13" s="6" t="n">
        <v>15</v>
      </c>
      <c r="D13" s="6" t="n">
        <v>151010</v>
      </c>
      <c r="E13" s="6" t="n">
        <v>1510</v>
      </c>
      <c r="F13" s="39">
        <f>IFERROR(INDEX('9_UK_Vol_Input'!$D$127:$D$289,MATCH($A13,'9_UK_Vol_Input'!$A$127:$A$289,0)),"")</f>
        <v/>
      </c>
      <c r="G13" s="40">
        <f>IFERROR(INDEX('9_UK_Vol_Input'!$E$127:$E$289,MATCH($A13,'9_UK_Vol_Input'!$A$127:$A$289,0)),"")</f>
        <v/>
      </c>
      <c r="H13" s="39">
        <f>IFERROR(INDEX('9_UK_Vol_Input'!$D$49:$D$122,MATCH($D13,'9_UK_Vol_Input'!$A$49:$A$122,0)),"")</f>
        <v/>
      </c>
      <c r="I13" s="40">
        <f>IFERROR(INDEX('9_UK_Vol_Input'!$E$49:$E$122,MATCH($D13,'9_UK_Vol_Input'!$A$49:$A$122,0)),"")</f>
        <v/>
      </c>
      <c r="J13" s="39">
        <f>IFERROR(INDEX('9_UK_Vol_Input'!$D$20:$D$44,MATCH($E13,'9_UK_Vol_Input'!$A$20:$A$44,0)),"")</f>
        <v/>
      </c>
      <c r="K13" s="40">
        <f>IFERROR(INDEX('9_UK_Vol_Input'!$E$20:$E$44,MATCH($E13,'9_UK_Vol_Input'!$A$20:$A$44,0)),"")</f>
        <v/>
      </c>
      <c r="L13" s="39">
        <f>IFERROR(INDEX('9_UK_Vol_Input'!$D$5:$D$15,MATCH($C13,'9_UK_Vol_Input'!$A$5:$A$15,0)),"")</f>
        <v/>
      </c>
      <c r="M13" s="40">
        <f>IFERROR(INDEX('9_UK_Vol_Input'!$E$5:$E$15,MATCH($C13,'9_UK_Vol_Input'!$A$5:$A$15,0)),"")</f>
        <v/>
      </c>
      <c r="N13" s="22">
        <f>IF(F13&lt;&gt;"",F13/(1+G13),IF(H13&lt;&gt;"",H13/(1+I13),IF(J13&lt;&gt;"",J13/(1+K13),IF(L13&lt;&gt;"",L13/(1+M13),""))))</f>
        <v/>
      </c>
      <c r="O13" s="36">
        <f>IFERROR(INDEX('7_UK_Beta_Input'!$D$127:$D$289,MATCH($A13,'7_UK_Beta_Input'!$A$127:$A$289,0)),"")</f>
        <v/>
      </c>
      <c r="P13" s="36">
        <f>IFERROR(INDEX('7_UK_Beta_Input'!$D$49:$D$122,MATCH($D13,'7_UK_Beta_Input'!$A$49:$A$122,0)),"")</f>
        <v/>
      </c>
      <c r="Q13" s="36">
        <f>IFERROR(INDEX('7_UK_Beta_Input'!$D$20:$D$44,MATCH($E13,'7_UK_Beta_Input'!$A$20:$A$44,0)),"")</f>
        <v/>
      </c>
      <c r="R13" s="36">
        <f>IFERROR(INDEX('7_UK_Beta_Input'!$D$5:$D$15,MATCH($C13,'7_UK_Beta_Input'!$A$5:$A$15,0)),"")</f>
        <v/>
      </c>
      <c r="S13" s="22">
        <f>IF(O13&lt;&gt;"",O13*'6_Credit_Bridge_Assumptions'!$B$8,IF(P13&lt;&gt;"",P13*'6_Credit_Bridge_Assumptions'!$B$8,IF(Q13&lt;&gt;"",Q13*'6_Credit_Bridge_Assumptions'!$B$8,IF(R13&lt;&gt;"",R13*'6_Credit_Bridge_Assumptions'!$B$8,""))))</f>
        <v/>
      </c>
      <c r="T13" s="22">
        <f>IF(N13&lt;&gt;"",N13,S13)</f>
        <v/>
      </c>
    </row>
    <row r="14">
      <c r="A14" s="6" t="n">
        <v>15101050</v>
      </c>
      <c r="B14" s="6" t="inlineStr">
        <is>
          <t>Specialty Chemicals</t>
        </is>
      </c>
      <c r="C14" s="6" t="n">
        <v>15</v>
      </c>
      <c r="D14" s="6" t="n">
        <v>151010</v>
      </c>
      <c r="E14" s="6" t="n">
        <v>1510</v>
      </c>
      <c r="F14" s="39">
        <f>IFERROR(INDEX('9_UK_Vol_Input'!$D$127:$D$289,MATCH($A14,'9_UK_Vol_Input'!$A$127:$A$289,0)),"")</f>
        <v/>
      </c>
      <c r="G14" s="40">
        <f>IFERROR(INDEX('9_UK_Vol_Input'!$E$127:$E$289,MATCH($A14,'9_UK_Vol_Input'!$A$127:$A$289,0)),"")</f>
        <v/>
      </c>
      <c r="H14" s="39">
        <f>IFERROR(INDEX('9_UK_Vol_Input'!$D$49:$D$122,MATCH($D14,'9_UK_Vol_Input'!$A$49:$A$122,0)),"")</f>
        <v/>
      </c>
      <c r="I14" s="40">
        <f>IFERROR(INDEX('9_UK_Vol_Input'!$E$49:$E$122,MATCH($D14,'9_UK_Vol_Input'!$A$49:$A$122,0)),"")</f>
        <v/>
      </c>
      <c r="J14" s="39">
        <f>IFERROR(INDEX('9_UK_Vol_Input'!$D$20:$D$44,MATCH($E14,'9_UK_Vol_Input'!$A$20:$A$44,0)),"")</f>
        <v/>
      </c>
      <c r="K14" s="40">
        <f>IFERROR(INDEX('9_UK_Vol_Input'!$E$20:$E$44,MATCH($E14,'9_UK_Vol_Input'!$A$20:$A$44,0)),"")</f>
        <v/>
      </c>
      <c r="L14" s="39">
        <f>IFERROR(INDEX('9_UK_Vol_Input'!$D$5:$D$15,MATCH($C14,'9_UK_Vol_Input'!$A$5:$A$15,0)),"")</f>
        <v/>
      </c>
      <c r="M14" s="40">
        <f>IFERROR(INDEX('9_UK_Vol_Input'!$E$5:$E$15,MATCH($C14,'9_UK_Vol_Input'!$A$5:$A$15,0)),"")</f>
        <v/>
      </c>
      <c r="N14" s="22">
        <f>IF(F14&lt;&gt;"",F14/(1+G14),IF(H14&lt;&gt;"",H14/(1+I14),IF(J14&lt;&gt;"",J14/(1+K14),IF(L14&lt;&gt;"",L14/(1+M14),""))))</f>
        <v/>
      </c>
      <c r="O14" s="36">
        <f>IFERROR(INDEX('7_UK_Beta_Input'!$D$127:$D$289,MATCH($A14,'7_UK_Beta_Input'!$A$127:$A$289,0)),"")</f>
        <v/>
      </c>
      <c r="P14" s="36">
        <f>IFERROR(INDEX('7_UK_Beta_Input'!$D$49:$D$122,MATCH($D14,'7_UK_Beta_Input'!$A$49:$A$122,0)),"")</f>
        <v/>
      </c>
      <c r="Q14" s="36">
        <f>IFERROR(INDEX('7_UK_Beta_Input'!$D$20:$D$44,MATCH($E14,'7_UK_Beta_Input'!$A$20:$A$44,0)),"")</f>
        <v/>
      </c>
      <c r="R14" s="36">
        <f>IFERROR(INDEX('7_UK_Beta_Input'!$D$5:$D$15,MATCH($C14,'7_UK_Beta_Input'!$A$5:$A$15,0)),"")</f>
        <v/>
      </c>
      <c r="S14" s="22">
        <f>IF(O14&lt;&gt;"",O14*'6_Credit_Bridge_Assumptions'!$B$8,IF(P14&lt;&gt;"",P14*'6_Credit_Bridge_Assumptions'!$B$8,IF(Q14&lt;&gt;"",Q14*'6_Credit_Bridge_Assumptions'!$B$8,IF(R14&lt;&gt;"",R14*'6_Credit_Bridge_Assumptions'!$B$8,""))))</f>
        <v/>
      </c>
      <c r="T14" s="22">
        <f>IF(N14&lt;&gt;"",N14,S14)</f>
        <v/>
      </c>
    </row>
    <row r="15">
      <c r="A15" s="6" t="n">
        <v>15102010</v>
      </c>
      <c r="B15" s="6" t="inlineStr">
        <is>
          <t>Construction Materials</t>
        </is>
      </c>
      <c r="C15" s="6" t="n">
        <v>15</v>
      </c>
      <c r="D15" s="6" t="n">
        <v>151020</v>
      </c>
      <c r="E15" s="6" t="n">
        <v>1510</v>
      </c>
      <c r="F15" s="39">
        <f>IFERROR(INDEX('9_UK_Vol_Input'!$D$127:$D$289,MATCH($A15,'9_UK_Vol_Input'!$A$127:$A$289,0)),"")</f>
        <v/>
      </c>
      <c r="G15" s="40">
        <f>IFERROR(INDEX('9_UK_Vol_Input'!$E$127:$E$289,MATCH($A15,'9_UK_Vol_Input'!$A$127:$A$289,0)),"")</f>
        <v/>
      </c>
      <c r="H15" s="39">
        <f>IFERROR(INDEX('9_UK_Vol_Input'!$D$49:$D$122,MATCH($D15,'9_UK_Vol_Input'!$A$49:$A$122,0)),"")</f>
        <v/>
      </c>
      <c r="I15" s="40">
        <f>IFERROR(INDEX('9_UK_Vol_Input'!$E$49:$E$122,MATCH($D15,'9_UK_Vol_Input'!$A$49:$A$122,0)),"")</f>
        <v/>
      </c>
      <c r="J15" s="39">
        <f>IFERROR(INDEX('9_UK_Vol_Input'!$D$20:$D$44,MATCH($E15,'9_UK_Vol_Input'!$A$20:$A$44,0)),"")</f>
        <v/>
      </c>
      <c r="K15" s="40">
        <f>IFERROR(INDEX('9_UK_Vol_Input'!$E$20:$E$44,MATCH($E15,'9_UK_Vol_Input'!$A$20:$A$44,0)),"")</f>
        <v/>
      </c>
      <c r="L15" s="39">
        <f>IFERROR(INDEX('9_UK_Vol_Input'!$D$5:$D$15,MATCH($C15,'9_UK_Vol_Input'!$A$5:$A$15,0)),"")</f>
        <v/>
      </c>
      <c r="M15" s="40">
        <f>IFERROR(INDEX('9_UK_Vol_Input'!$E$5:$E$15,MATCH($C15,'9_UK_Vol_Input'!$A$5:$A$15,0)),"")</f>
        <v/>
      </c>
      <c r="N15" s="22">
        <f>IF(F15&lt;&gt;"",F15/(1+G15),IF(H15&lt;&gt;"",H15/(1+I15),IF(J15&lt;&gt;"",J15/(1+K15),IF(L15&lt;&gt;"",L15/(1+M15),""))))</f>
        <v/>
      </c>
      <c r="O15" s="36">
        <f>IFERROR(INDEX('7_UK_Beta_Input'!$D$127:$D$289,MATCH($A15,'7_UK_Beta_Input'!$A$127:$A$289,0)),"")</f>
        <v/>
      </c>
      <c r="P15" s="36">
        <f>IFERROR(INDEX('7_UK_Beta_Input'!$D$49:$D$122,MATCH($D15,'7_UK_Beta_Input'!$A$49:$A$122,0)),"")</f>
        <v/>
      </c>
      <c r="Q15" s="36">
        <f>IFERROR(INDEX('7_UK_Beta_Input'!$D$20:$D$44,MATCH($E15,'7_UK_Beta_Input'!$A$20:$A$44,0)),"")</f>
        <v/>
      </c>
      <c r="R15" s="36">
        <f>IFERROR(INDEX('7_UK_Beta_Input'!$D$5:$D$15,MATCH($C15,'7_UK_Beta_Input'!$A$5:$A$15,0)),"")</f>
        <v/>
      </c>
      <c r="S15" s="22">
        <f>IF(O15&lt;&gt;"",O15*'6_Credit_Bridge_Assumptions'!$B$8,IF(P15&lt;&gt;"",P15*'6_Credit_Bridge_Assumptions'!$B$8,IF(Q15&lt;&gt;"",Q15*'6_Credit_Bridge_Assumptions'!$B$8,IF(R15&lt;&gt;"",R15*'6_Credit_Bridge_Assumptions'!$B$8,""))))</f>
        <v/>
      </c>
      <c r="T15" s="22">
        <f>IF(N15&lt;&gt;"",N15,S15)</f>
        <v/>
      </c>
    </row>
    <row r="16">
      <c r="A16" s="6" t="n">
        <v>15103010</v>
      </c>
      <c r="B16" s="6" t="inlineStr">
        <is>
          <t>Metal, Glass &amp; Plastic Containers</t>
        </is>
      </c>
      <c r="C16" s="6" t="n">
        <v>15</v>
      </c>
      <c r="D16" s="6" t="n">
        <v>151030</v>
      </c>
      <c r="E16" s="6" t="n">
        <v>1510</v>
      </c>
      <c r="F16" s="39">
        <f>IFERROR(INDEX('9_UK_Vol_Input'!$D$127:$D$289,MATCH($A16,'9_UK_Vol_Input'!$A$127:$A$289,0)),"")</f>
        <v/>
      </c>
      <c r="G16" s="40">
        <f>IFERROR(INDEX('9_UK_Vol_Input'!$E$127:$E$289,MATCH($A16,'9_UK_Vol_Input'!$A$127:$A$289,0)),"")</f>
        <v/>
      </c>
      <c r="H16" s="39">
        <f>IFERROR(INDEX('9_UK_Vol_Input'!$D$49:$D$122,MATCH($D16,'9_UK_Vol_Input'!$A$49:$A$122,0)),"")</f>
        <v/>
      </c>
      <c r="I16" s="40">
        <f>IFERROR(INDEX('9_UK_Vol_Input'!$E$49:$E$122,MATCH($D16,'9_UK_Vol_Input'!$A$49:$A$122,0)),"")</f>
        <v/>
      </c>
      <c r="J16" s="39">
        <f>IFERROR(INDEX('9_UK_Vol_Input'!$D$20:$D$44,MATCH($E16,'9_UK_Vol_Input'!$A$20:$A$44,0)),"")</f>
        <v/>
      </c>
      <c r="K16" s="40">
        <f>IFERROR(INDEX('9_UK_Vol_Input'!$E$20:$E$44,MATCH($E16,'9_UK_Vol_Input'!$A$20:$A$44,0)),"")</f>
        <v/>
      </c>
      <c r="L16" s="39">
        <f>IFERROR(INDEX('9_UK_Vol_Input'!$D$5:$D$15,MATCH($C16,'9_UK_Vol_Input'!$A$5:$A$15,0)),"")</f>
        <v/>
      </c>
      <c r="M16" s="40">
        <f>IFERROR(INDEX('9_UK_Vol_Input'!$E$5:$E$15,MATCH($C16,'9_UK_Vol_Input'!$A$5:$A$15,0)),"")</f>
        <v/>
      </c>
      <c r="N16" s="22">
        <f>IF(F16&lt;&gt;"",F16/(1+G16),IF(H16&lt;&gt;"",H16/(1+I16),IF(J16&lt;&gt;"",J16/(1+K16),IF(L16&lt;&gt;"",L16/(1+M16),""))))</f>
        <v/>
      </c>
      <c r="O16" s="36">
        <f>IFERROR(INDEX('7_UK_Beta_Input'!$D$127:$D$289,MATCH($A16,'7_UK_Beta_Input'!$A$127:$A$289,0)),"")</f>
        <v/>
      </c>
      <c r="P16" s="36">
        <f>IFERROR(INDEX('7_UK_Beta_Input'!$D$49:$D$122,MATCH($D16,'7_UK_Beta_Input'!$A$49:$A$122,0)),"")</f>
        <v/>
      </c>
      <c r="Q16" s="36">
        <f>IFERROR(INDEX('7_UK_Beta_Input'!$D$20:$D$44,MATCH($E16,'7_UK_Beta_Input'!$A$20:$A$44,0)),"")</f>
        <v/>
      </c>
      <c r="R16" s="36">
        <f>IFERROR(INDEX('7_UK_Beta_Input'!$D$5:$D$15,MATCH($C16,'7_UK_Beta_Input'!$A$5:$A$15,0)),"")</f>
        <v/>
      </c>
      <c r="S16" s="22">
        <f>IF(O16&lt;&gt;"",O16*'6_Credit_Bridge_Assumptions'!$B$8,IF(P16&lt;&gt;"",P16*'6_Credit_Bridge_Assumptions'!$B$8,IF(Q16&lt;&gt;"",Q16*'6_Credit_Bridge_Assumptions'!$B$8,IF(R16&lt;&gt;"",R16*'6_Credit_Bridge_Assumptions'!$B$8,""))))</f>
        <v/>
      </c>
      <c r="T16" s="22">
        <f>IF(N16&lt;&gt;"",N16,S16)</f>
        <v/>
      </c>
    </row>
    <row r="17">
      <c r="A17" s="6" t="n">
        <v>15103020</v>
      </c>
      <c r="B17" s="6" t="inlineStr">
        <is>
          <t>Paper &amp; Plastic Packaging Products &amp; Materials</t>
        </is>
      </c>
      <c r="C17" s="6" t="n">
        <v>15</v>
      </c>
      <c r="D17" s="6" t="n">
        <v>151030</v>
      </c>
      <c r="E17" s="6" t="n">
        <v>1510</v>
      </c>
      <c r="F17" s="39">
        <f>IFERROR(INDEX('9_UK_Vol_Input'!$D$127:$D$289,MATCH($A17,'9_UK_Vol_Input'!$A$127:$A$289,0)),"")</f>
        <v/>
      </c>
      <c r="G17" s="40">
        <f>IFERROR(INDEX('9_UK_Vol_Input'!$E$127:$E$289,MATCH($A17,'9_UK_Vol_Input'!$A$127:$A$289,0)),"")</f>
        <v/>
      </c>
      <c r="H17" s="39">
        <f>IFERROR(INDEX('9_UK_Vol_Input'!$D$49:$D$122,MATCH($D17,'9_UK_Vol_Input'!$A$49:$A$122,0)),"")</f>
        <v/>
      </c>
      <c r="I17" s="40">
        <f>IFERROR(INDEX('9_UK_Vol_Input'!$E$49:$E$122,MATCH($D17,'9_UK_Vol_Input'!$A$49:$A$122,0)),"")</f>
        <v/>
      </c>
      <c r="J17" s="39">
        <f>IFERROR(INDEX('9_UK_Vol_Input'!$D$20:$D$44,MATCH($E17,'9_UK_Vol_Input'!$A$20:$A$44,0)),"")</f>
        <v/>
      </c>
      <c r="K17" s="40">
        <f>IFERROR(INDEX('9_UK_Vol_Input'!$E$20:$E$44,MATCH($E17,'9_UK_Vol_Input'!$A$20:$A$44,0)),"")</f>
        <v/>
      </c>
      <c r="L17" s="39">
        <f>IFERROR(INDEX('9_UK_Vol_Input'!$D$5:$D$15,MATCH($C17,'9_UK_Vol_Input'!$A$5:$A$15,0)),"")</f>
        <v/>
      </c>
      <c r="M17" s="40">
        <f>IFERROR(INDEX('9_UK_Vol_Input'!$E$5:$E$15,MATCH($C17,'9_UK_Vol_Input'!$A$5:$A$15,0)),"")</f>
        <v/>
      </c>
      <c r="N17" s="22">
        <f>IF(F17&lt;&gt;"",F17/(1+G17),IF(H17&lt;&gt;"",H17/(1+I17),IF(J17&lt;&gt;"",J17/(1+K17),IF(L17&lt;&gt;"",L17/(1+M17),""))))</f>
        <v/>
      </c>
      <c r="O17" s="36">
        <f>IFERROR(INDEX('7_UK_Beta_Input'!$D$127:$D$289,MATCH($A17,'7_UK_Beta_Input'!$A$127:$A$289,0)),"")</f>
        <v/>
      </c>
      <c r="P17" s="36">
        <f>IFERROR(INDEX('7_UK_Beta_Input'!$D$49:$D$122,MATCH($D17,'7_UK_Beta_Input'!$A$49:$A$122,0)),"")</f>
        <v/>
      </c>
      <c r="Q17" s="36">
        <f>IFERROR(INDEX('7_UK_Beta_Input'!$D$20:$D$44,MATCH($E17,'7_UK_Beta_Input'!$A$20:$A$44,0)),"")</f>
        <v/>
      </c>
      <c r="R17" s="36">
        <f>IFERROR(INDEX('7_UK_Beta_Input'!$D$5:$D$15,MATCH($C17,'7_UK_Beta_Input'!$A$5:$A$15,0)),"")</f>
        <v/>
      </c>
      <c r="S17" s="22">
        <f>IF(O17&lt;&gt;"",O17*'6_Credit_Bridge_Assumptions'!$B$8,IF(P17&lt;&gt;"",P17*'6_Credit_Bridge_Assumptions'!$B$8,IF(Q17&lt;&gt;"",Q17*'6_Credit_Bridge_Assumptions'!$B$8,IF(R17&lt;&gt;"",R17*'6_Credit_Bridge_Assumptions'!$B$8,""))))</f>
        <v/>
      </c>
      <c r="T17" s="22">
        <f>IF(N17&lt;&gt;"",N17,S17)</f>
        <v/>
      </c>
    </row>
    <row r="18">
      <c r="A18" s="6" t="n">
        <v>15104010</v>
      </c>
      <c r="B18" s="6" t="inlineStr">
        <is>
          <t>Aluminum</t>
        </is>
      </c>
      <c r="C18" s="6" t="n">
        <v>15</v>
      </c>
      <c r="D18" s="6" t="n">
        <v>151040</v>
      </c>
      <c r="E18" s="6" t="n">
        <v>1510</v>
      </c>
      <c r="F18" s="39">
        <f>IFERROR(INDEX('9_UK_Vol_Input'!$D$127:$D$289,MATCH($A18,'9_UK_Vol_Input'!$A$127:$A$289,0)),"")</f>
        <v/>
      </c>
      <c r="G18" s="40">
        <f>IFERROR(INDEX('9_UK_Vol_Input'!$E$127:$E$289,MATCH($A18,'9_UK_Vol_Input'!$A$127:$A$289,0)),"")</f>
        <v/>
      </c>
      <c r="H18" s="39">
        <f>IFERROR(INDEX('9_UK_Vol_Input'!$D$49:$D$122,MATCH($D18,'9_UK_Vol_Input'!$A$49:$A$122,0)),"")</f>
        <v/>
      </c>
      <c r="I18" s="40">
        <f>IFERROR(INDEX('9_UK_Vol_Input'!$E$49:$E$122,MATCH($D18,'9_UK_Vol_Input'!$A$49:$A$122,0)),"")</f>
        <v/>
      </c>
      <c r="J18" s="39">
        <f>IFERROR(INDEX('9_UK_Vol_Input'!$D$20:$D$44,MATCH($E18,'9_UK_Vol_Input'!$A$20:$A$44,0)),"")</f>
        <v/>
      </c>
      <c r="K18" s="40">
        <f>IFERROR(INDEX('9_UK_Vol_Input'!$E$20:$E$44,MATCH($E18,'9_UK_Vol_Input'!$A$20:$A$44,0)),"")</f>
        <v/>
      </c>
      <c r="L18" s="39">
        <f>IFERROR(INDEX('9_UK_Vol_Input'!$D$5:$D$15,MATCH($C18,'9_UK_Vol_Input'!$A$5:$A$15,0)),"")</f>
        <v/>
      </c>
      <c r="M18" s="40">
        <f>IFERROR(INDEX('9_UK_Vol_Input'!$E$5:$E$15,MATCH($C18,'9_UK_Vol_Input'!$A$5:$A$15,0)),"")</f>
        <v/>
      </c>
      <c r="N18" s="22">
        <f>IF(F18&lt;&gt;"",F18/(1+G18),IF(H18&lt;&gt;"",H18/(1+I18),IF(J18&lt;&gt;"",J18/(1+K18),IF(L18&lt;&gt;"",L18/(1+M18),""))))</f>
        <v/>
      </c>
      <c r="O18" s="36">
        <f>IFERROR(INDEX('7_UK_Beta_Input'!$D$127:$D$289,MATCH($A18,'7_UK_Beta_Input'!$A$127:$A$289,0)),"")</f>
        <v/>
      </c>
      <c r="P18" s="36">
        <f>IFERROR(INDEX('7_UK_Beta_Input'!$D$49:$D$122,MATCH($D18,'7_UK_Beta_Input'!$A$49:$A$122,0)),"")</f>
        <v/>
      </c>
      <c r="Q18" s="36">
        <f>IFERROR(INDEX('7_UK_Beta_Input'!$D$20:$D$44,MATCH($E18,'7_UK_Beta_Input'!$A$20:$A$44,0)),"")</f>
        <v/>
      </c>
      <c r="R18" s="36">
        <f>IFERROR(INDEX('7_UK_Beta_Input'!$D$5:$D$15,MATCH($C18,'7_UK_Beta_Input'!$A$5:$A$15,0)),"")</f>
        <v/>
      </c>
      <c r="S18" s="22">
        <f>IF(O18&lt;&gt;"",O18*'6_Credit_Bridge_Assumptions'!$B$8,IF(P18&lt;&gt;"",P18*'6_Credit_Bridge_Assumptions'!$B$8,IF(Q18&lt;&gt;"",Q18*'6_Credit_Bridge_Assumptions'!$B$8,IF(R18&lt;&gt;"",R18*'6_Credit_Bridge_Assumptions'!$B$8,""))))</f>
        <v/>
      </c>
      <c r="T18" s="22">
        <f>IF(N18&lt;&gt;"",N18,S18)</f>
        <v/>
      </c>
    </row>
    <row r="19">
      <c r="A19" s="6" t="n">
        <v>15104020</v>
      </c>
      <c r="B19" s="6" t="inlineStr">
        <is>
          <t>Diversified Metals &amp; Mining</t>
        </is>
      </c>
      <c r="C19" s="6" t="n">
        <v>15</v>
      </c>
      <c r="D19" s="6" t="n">
        <v>151040</v>
      </c>
      <c r="E19" s="6" t="n">
        <v>1510</v>
      </c>
      <c r="F19" s="39">
        <f>IFERROR(INDEX('9_UK_Vol_Input'!$D$127:$D$289,MATCH($A19,'9_UK_Vol_Input'!$A$127:$A$289,0)),"")</f>
        <v/>
      </c>
      <c r="G19" s="40">
        <f>IFERROR(INDEX('9_UK_Vol_Input'!$E$127:$E$289,MATCH($A19,'9_UK_Vol_Input'!$A$127:$A$289,0)),"")</f>
        <v/>
      </c>
      <c r="H19" s="39">
        <f>IFERROR(INDEX('9_UK_Vol_Input'!$D$49:$D$122,MATCH($D19,'9_UK_Vol_Input'!$A$49:$A$122,0)),"")</f>
        <v/>
      </c>
      <c r="I19" s="40">
        <f>IFERROR(INDEX('9_UK_Vol_Input'!$E$49:$E$122,MATCH($D19,'9_UK_Vol_Input'!$A$49:$A$122,0)),"")</f>
        <v/>
      </c>
      <c r="J19" s="39">
        <f>IFERROR(INDEX('9_UK_Vol_Input'!$D$20:$D$44,MATCH($E19,'9_UK_Vol_Input'!$A$20:$A$44,0)),"")</f>
        <v/>
      </c>
      <c r="K19" s="40">
        <f>IFERROR(INDEX('9_UK_Vol_Input'!$E$20:$E$44,MATCH($E19,'9_UK_Vol_Input'!$A$20:$A$44,0)),"")</f>
        <v/>
      </c>
      <c r="L19" s="39">
        <f>IFERROR(INDEX('9_UK_Vol_Input'!$D$5:$D$15,MATCH($C19,'9_UK_Vol_Input'!$A$5:$A$15,0)),"")</f>
        <v/>
      </c>
      <c r="M19" s="40">
        <f>IFERROR(INDEX('9_UK_Vol_Input'!$E$5:$E$15,MATCH($C19,'9_UK_Vol_Input'!$A$5:$A$15,0)),"")</f>
        <v/>
      </c>
      <c r="N19" s="22">
        <f>IF(F19&lt;&gt;"",F19/(1+G19),IF(H19&lt;&gt;"",H19/(1+I19),IF(J19&lt;&gt;"",J19/(1+K19),IF(L19&lt;&gt;"",L19/(1+M19),""))))</f>
        <v/>
      </c>
      <c r="O19" s="36">
        <f>IFERROR(INDEX('7_UK_Beta_Input'!$D$127:$D$289,MATCH($A19,'7_UK_Beta_Input'!$A$127:$A$289,0)),"")</f>
        <v/>
      </c>
      <c r="P19" s="36">
        <f>IFERROR(INDEX('7_UK_Beta_Input'!$D$49:$D$122,MATCH($D19,'7_UK_Beta_Input'!$A$49:$A$122,0)),"")</f>
        <v/>
      </c>
      <c r="Q19" s="36">
        <f>IFERROR(INDEX('7_UK_Beta_Input'!$D$20:$D$44,MATCH($E19,'7_UK_Beta_Input'!$A$20:$A$44,0)),"")</f>
        <v/>
      </c>
      <c r="R19" s="36">
        <f>IFERROR(INDEX('7_UK_Beta_Input'!$D$5:$D$15,MATCH($C19,'7_UK_Beta_Input'!$A$5:$A$15,0)),"")</f>
        <v/>
      </c>
      <c r="S19" s="22">
        <f>IF(O19&lt;&gt;"",O19*'6_Credit_Bridge_Assumptions'!$B$8,IF(P19&lt;&gt;"",P19*'6_Credit_Bridge_Assumptions'!$B$8,IF(Q19&lt;&gt;"",Q19*'6_Credit_Bridge_Assumptions'!$B$8,IF(R19&lt;&gt;"",R19*'6_Credit_Bridge_Assumptions'!$B$8,""))))</f>
        <v/>
      </c>
      <c r="T19" s="22">
        <f>IF(N19&lt;&gt;"",N19,S19)</f>
        <v/>
      </c>
    </row>
    <row r="20">
      <c r="A20" s="6" t="n">
        <v>15104025</v>
      </c>
      <c r="B20" s="6" t="inlineStr">
        <is>
          <t>Copper</t>
        </is>
      </c>
      <c r="C20" s="6" t="n">
        <v>15</v>
      </c>
      <c r="D20" s="6" t="n">
        <v>151040</v>
      </c>
      <c r="E20" s="6" t="n">
        <v>1510</v>
      </c>
      <c r="F20" s="39">
        <f>IFERROR(INDEX('9_UK_Vol_Input'!$D$127:$D$289,MATCH($A20,'9_UK_Vol_Input'!$A$127:$A$289,0)),"")</f>
        <v/>
      </c>
      <c r="G20" s="40">
        <f>IFERROR(INDEX('9_UK_Vol_Input'!$E$127:$E$289,MATCH($A20,'9_UK_Vol_Input'!$A$127:$A$289,0)),"")</f>
        <v/>
      </c>
      <c r="H20" s="39">
        <f>IFERROR(INDEX('9_UK_Vol_Input'!$D$49:$D$122,MATCH($D20,'9_UK_Vol_Input'!$A$49:$A$122,0)),"")</f>
        <v/>
      </c>
      <c r="I20" s="40">
        <f>IFERROR(INDEX('9_UK_Vol_Input'!$E$49:$E$122,MATCH($D20,'9_UK_Vol_Input'!$A$49:$A$122,0)),"")</f>
        <v/>
      </c>
      <c r="J20" s="39">
        <f>IFERROR(INDEX('9_UK_Vol_Input'!$D$20:$D$44,MATCH($E20,'9_UK_Vol_Input'!$A$20:$A$44,0)),"")</f>
        <v/>
      </c>
      <c r="K20" s="40">
        <f>IFERROR(INDEX('9_UK_Vol_Input'!$E$20:$E$44,MATCH($E20,'9_UK_Vol_Input'!$A$20:$A$44,0)),"")</f>
        <v/>
      </c>
      <c r="L20" s="39">
        <f>IFERROR(INDEX('9_UK_Vol_Input'!$D$5:$D$15,MATCH($C20,'9_UK_Vol_Input'!$A$5:$A$15,0)),"")</f>
        <v/>
      </c>
      <c r="M20" s="40">
        <f>IFERROR(INDEX('9_UK_Vol_Input'!$E$5:$E$15,MATCH($C20,'9_UK_Vol_Input'!$A$5:$A$15,0)),"")</f>
        <v/>
      </c>
      <c r="N20" s="22">
        <f>IF(F20&lt;&gt;"",F20/(1+G20),IF(H20&lt;&gt;"",H20/(1+I20),IF(J20&lt;&gt;"",J20/(1+K20),IF(L20&lt;&gt;"",L20/(1+M20),""))))</f>
        <v/>
      </c>
      <c r="O20" s="36">
        <f>IFERROR(INDEX('7_UK_Beta_Input'!$D$127:$D$289,MATCH($A20,'7_UK_Beta_Input'!$A$127:$A$289,0)),"")</f>
        <v/>
      </c>
      <c r="P20" s="36">
        <f>IFERROR(INDEX('7_UK_Beta_Input'!$D$49:$D$122,MATCH($D20,'7_UK_Beta_Input'!$A$49:$A$122,0)),"")</f>
        <v/>
      </c>
      <c r="Q20" s="36">
        <f>IFERROR(INDEX('7_UK_Beta_Input'!$D$20:$D$44,MATCH($E20,'7_UK_Beta_Input'!$A$20:$A$44,0)),"")</f>
        <v/>
      </c>
      <c r="R20" s="36">
        <f>IFERROR(INDEX('7_UK_Beta_Input'!$D$5:$D$15,MATCH($C20,'7_UK_Beta_Input'!$A$5:$A$15,0)),"")</f>
        <v/>
      </c>
      <c r="S20" s="22">
        <f>IF(O20&lt;&gt;"",O20*'6_Credit_Bridge_Assumptions'!$B$8,IF(P20&lt;&gt;"",P20*'6_Credit_Bridge_Assumptions'!$B$8,IF(Q20&lt;&gt;"",Q20*'6_Credit_Bridge_Assumptions'!$B$8,IF(R20&lt;&gt;"",R20*'6_Credit_Bridge_Assumptions'!$B$8,""))))</f>
        <v/>
      </c>
      <c r="T20" s="22">
        <f>IF(N20&lt;&gt;"",N20,S20)</f>
        <v/>
      </c>
    </row>
    <row r="21">
      <c r="A21" s="6" t="n">
        <v>15104030</v>
      </c>
      <c r="B21" s="6" t="inlineStr">
        <is>
          <t>Gold</t>
        </is>
      </c>
      <c r="C21" s="6" t="n">
        <v>15</v>
      </c>
      <c r="D21" s="6" t="n">
        <v>151040</v>
      </c>
      <c r="E21" s="6" t="n">
        <v>1510</v>
      </c>
      <c r="F21" s="39">
        <f>IFERROR(INDEX('9_UK_Vol_Input'!$D$127:$D$289,MATCH($A21,'9_UK_Vol_Input'!$A$127:$A$289,0)),"")</f>
        <v/>
      </c>
      <c r="G21" s="40">
        <f>IFERROR(INDEX('9_UK_Vol_Input'!$E$127:$E$289,MATCH($A21,'9_UK_Vol_Input'!$A$127:$A$289,0)),"")</f>
        <v/>
      </c>
      <c r="H21" s="39">
        <f>IFERROR(INDEX('9_UK_Vol_Input'!$D$49:$D$122,MATCH($D21,'9_UK_Vol_Input'!$A$49:$A$122,0)),"")</f>
        <v/>
      </c>
      <c r="I21" s="40">
        <f>IFERROR(INDEX('9_UK_Vol_Input'!$E$49:$E$122,MATCH($D21,'9_UK_Vol_Input'!$A$49:$A$122,0)),"")</f>
        <v/>
      </c>
      <c r="J21" s="39">
        <f>IFERROR(INDEX('9_UK_Vol_Input'!$D$20:$D$44,MATCH($E21,'9_UK_Vol_Input'!$A$20:$A$44,0)),"")</f>
        <v/>
      </c>
      <c r="K21" s="40">
        <f>IFERROR(INDEX('9_UK_Vol_Input'!$E$20:$E$44,MATCH($E21,'9_UK_Vol_Input'!$A$20:$A$44,0)),"")</f>
        <v/>
      </c>
      <c r="L21" s="39">
        <f>IFERROR(INDEX('9_UK_Vol_Input'!$D$5:$D$15,MATCH($C21,'9_UK_Vol_Input'!$A$5:$A$15,0)),"")</f>
        <v/>
      </c>
      <c r="M21" s="40">
        <f>IFERROR(INDEX('9_UK_Vol_Input'!$E$5:$E$15,MATCH($C21,'9_UK_Vol_Input'!$A$5:$A$15,0)),"")</f>
        <v/>
      </c>
      <c r="N21" s="22">
        <f>IF(F21&lt;&gt;"",F21/(1+G21),IF(H21&lt;&gt;"",H21/(1+I21),IF(J21&lt;&gt;"",J21/(1+K21),IF(L21&lt;&gt;"",L21/(1+M21),""))))</f>
        <v/>
      </c>
      <c r="O21" s="36">
        <f>IFERROR(INDEX('7_UK_Beta_Input'!$D$127:$D$289,MATCH($A21,'7_UK_Beta_Input'!$A$127:$A$289,0)),"")</f>
        <v/>
      </c>
      <c r="P21" s="36">
        <f>IFERROR(INDEX('7_UK_Beta_Input'!$D$49:$D$122,MATCH($D21,'7_UK_Beta_Input'!$A$49:$A$122,0)),"")</f>
        <v/>
      </c>
      <c r="Q21" s="36">
        <f>IFERROR(INDEX('7_UK_Beta_Input'!$D$20:$D$44,MATCH($E21,'7_UK_Beta_Input'!$A$20:$A$44,0)),"")</f>
        <v/>
      </c>
      <c r="R21" s="36">
        <f>IFERROR(INDEX('7_UK_Beta_Input'!$D$5:$D$15,MATCH($C21,'7_UK_Beta_Input'!$A$5:$A$15,0)),"")</f>
        <v/>
      </c>
      <c r="S21" s="22">
        <f>IF(O21&lt;&gt;"",O21*'6_Credit_Bridge_Assumptions'!$B$8,IF(P21&lt;&gt;"",P21*'6_Credit_Bridge_Assumptions'!$B$8,IF(Q21&lt;&gt;"",Q21*'6_Credit_Bridge_Assumptions'!$B$8,IF(R21&lt;&gt;"",R21*'6_Credit_Bridge_Assumptions'!$B$8,""))))</f>
        <v/>
      </c>
      <c r="T21" s="22">
        <f>IF(N21&lt;&gt;"",N21,S21)</f>
        <v/>
      </c>
    </row>
    <row r="22">
      <c r="A22" s="6" t="n">
        <v>15104040</v>
      </c>
      <c r="B22" s="6" t="inlineStr">
        <is>
          <t>Precious Metals &amp; Minerals</t>
        </is>
      </c>
      <c r="C22" s="6" t="n">
        <v>15</v>
      </c>
      <c r="D22" s="6" t="n">
        <v>151040</v>
      </c>
      <c r="E22" s="6" t="n">
        <v>1510</v>
      </c>
      <c r="F22" s="39">
        <f>IFERROR(INDEX('9_UK_Vol_Input'!$D$127:$D$289,MATCH($A22,'9_UK_Vol_Input'!$A$127:$A$289,0)),"")</f>
        <v/>
      </c>
      <c r="G22" s="40">
        <f>IFERROR(INDEX('9_UK_Vol_Input'!$E$127:$E$289,MATCH($A22,'9_UK_Vol_Input'!$A$127:$A$289,0)),"")</f>
        <v/>
      </c>
      <c r="H22" s="39">
        <f>IFERROR(INDEX('9_UK_Vol_Input'!$D$49:$D$122,MATCH($D22,'9_UK_Vol_Input'!$A$49:$A$122,0)),"")</f>
        <v/>
      </c>
      <c r="I22" s="40">
        <f>IFERROR(INDEX('9_UK_Vol_Input'!$E$49:$E$122,MATCH($D22,'9_UK_Vol_Input'!$A$49:$A$122,0)),"")</f>
        <v/>
      </c>
      <c r="J22" s="39">
        <f>IFERROR(INDEX('9_UK_Vol_Input'!$D$20:$D$44,MATCH($E22,'9_UK_Vol_Input'!$A$20:$A$44,0)),"")</f>
        <v/>
      </c>
      <c r="K22" s="40">
        <f>IFERROR(INDEX('9_UK_Vol_Input'!$E$20:$E$44,MATCH($E22,'9_UK_Vol_Input'!$A$20:$A$44,0)),"")</f>
        <v/>
      </c>
      <c r="L22" s="39">
        <f>IFERROR(INDEX('9_UK_Vol_Input'!$D$5:$D$15,MATCH($C22,'9_UK_Vol_Input'!$A$5:$A$15,0)),"")</f>
        <v/>
      </c>
      <c r="M22" s="40">
        <f>IFERROR(INDEX('9_UK_Vol_Input'!$E$5:$E$15,MATCH($C22,'9_UK_Vol_Input'!$A$5:$A$15,0)),"")</f>
        <v/>
      </c>
      <c r="N22" s="22">
        <f>IF(F22&lt;&gt;"",F22/(1+G22),IF(H22&lt;&gt;"",H22/(1+I22),IF(J22&lt;&gt;"",J22/(1+K22),IF(L22&lt;&gt;"",L22/(1+M22),""))))</f>
        <v/>
      </c>
      <c r="O22" s="36">
        <f>IFERROR(INDEX('7_UK_Beta_Input'!$D$127:$D$289,MATCH($A22,'7_UK_Beta_Input'!$A$127:$A$289,0)),"")</f>
        <v/>
      </c>
      <c r="P22" s="36">
        <f>IFERROR(INDEX('7_UK_Beta_Input'!$D$49:$D$122,MATCH($D22,'7_UK_Beta_Input'!$A$49:$A$122,0)),"")</f>
        <v/>
      </c>
      <c r="Q22" s="36">
        <f>IFERROR(INDEX('7_UK_Beta_Input'!$D$20:$D$44,MATCH($E22,'7_UK_Beta_Input'!$A$20:$A$44,0)),"")</f>
        <v/>
      </c>
      <c r="R22" s="36">
        <f>IFERROR(INDEX('7_UK_Beta_Input'!$D$5:$D$15,MATCH($C22,'7_UK_Beta_Input'!$A$5:$A$15,0)),"")</f>
        <v/>
      </c>
      <c r="S22" s="22">
        <f>IF(O22&lt;&gt;"",O22*'6_Credit_Bridge_Assumptions'!$B$8,IF(P22&lt;&gt;"",P22*'6_Credit_Bridge_Assumptions'!$B$8,IF(Q22&lt;&gt;"",Q22*'6_Credit_Bridge_Assumptions'!$B$8,IF(R22&lt;&gt;"",R22*'6_Credit_Bridge_Assumptions'!$B$8,""))))</f>
        <v/>
      </c>
      <c r="T22" s="22">
        <f>IF(N22&lt;&gt;"",N22,S22)</f>
        <v/>
      </c>
    </row>
    <row r="23">
      <c r="A23" s="6" t="n">
        <v>15104045</v>
      </c>
      <c r="B23" s="6" t="inlineStr">
        <is>
          <t>Silver</t>
        </is>
      </c>
      <c r="C23" s="6" t="n">
        <v>15</v>
      </c>
      <c r="D23" s="6" t="n">
        <v>151040</v>
      </c>
      <c r="E23" s="6" t="n">
        <v>1510</v>
      </c>
      <c r="F23" s="39">
        <f>IFERROR(INDEX('9_UK_Vol_Input'!$D$127:$D$289,MATCH($A23,'9_UK_Vol_Input'!$A$127:$A$289,0)),"")</f>
        <v/>
      </c>
      <c r="G23" s="40">
        <f>IFERROR(INDEX('9_UK_Vol_Input'!$E$127:$E$289,MATCH($A23,'9_UK_Vol_Input'!$A$127:$A$289,0)),"")</f>
        <v/>
      </c>
      <c r="H23" s="39">
        <f>IFERROR(INDEX('9_UK_Vol_Input'!$D$49:$D$122,MATCH($D23,'9_UK_Vol_Input'!$A$49:$A$122,0)),"")</f>
        <v/>
      </c>
      <c r="I23" s="40">
        <f>IFERROR(INDEX('9_UK_Vol_Input'!$E$49:$E$122,MATCH($D23,'9_UK_Vol_Input'!$A$49:$A$122,0)),"")</f>
        <v/>
      </c>
      <c r="J23" s="39">
        <f>IFERROR(INDEX('9_UK_Vol_Input'!$D$20:$D$44,MATCH($E23,'9_UK_Vol_Input'!$A$20:$A$44,0)),"")</f>
        <v/>
      </c>
      <c r="K23" s="40">
        <f>IFERROR(INDEX('9_UK_Vol_Input'!$E$20:$E$44,MATCH($E23,'9_UK_Vol_Input'!$A$20:$A$44,0)),"")</f>
        <v/>
      </c>
      <c r="L23" s="39">
        <f>IFERROR(INDEX('9_UK_Vol_Input'!$D$5:$D$15,MATCH($C23,'9_UK_Vol_Input'!$A$5:$A$15,0)),"")</f>
        <v/>
      </c>
      <c r="M23" s="40">
        <f>IFERROR(INDEX('9_UK_Vol_Input'!$E$5:$E$15,MATCH($C23,'9_UK_Vol_Input'!$A$5:$A$15,0)),"")</f>
        <v/>
      </c>
      <c r="N23" s="22">
        <f>IF(F23&lt;&gt;"",F23/(1+G23),IF(H23&lt;&gt;"",H23/(1+I23),IF(J23&lt;&gt;"",J23/(1+K23),IF(L23&lt;&gt;"",L23/(1+M23),""))))</f>
        <v/>
      </c>
      <c r="O23" s="36">
        <f>IFERROR(INDEX('7_UK_Beta_Input'!$D$127:$D$289,MATCH($A23,'7_UK_Beta_Input'!$A$127:$A$289,0)),"")</f>
        <v/>
      </c>
      <c r="P23" s="36">
        <f>IFERROR(INDEX('7_UK_Beta_Input'!$D$49:$D$122,MATCH($D23,'7_UK_Beta_Input'!$A$49:$A$122,0)),"")</f>
        <v/>
      </c>
      <c r="Q23" s="36">
        <f>IFERROR(INDEX('7_UK_Beta_Input'!$D$20:$D$44,MATCH($E23,'7_UK_Beta_Input'!$A$20:$A$44,0)),"")</f>
        <v/>
      </c>
      <c r="R23" s="36">
        <f>IFERROR(INDEX('7_UK_Beta_Input'!$D$5:$D$15,MATCH($C23,'7_UK_Beta_Input'!$A$5:$A$15,0)),"")</f>
        <v/>
      </c>
      <c r="S23" s="22">
        <f>IF(O23&lt;&gt;"",O23*'6_Credit_Bridge_Assumptions'!$B$8,IF(P23&lt;&gt;"",P23*'6_Credit_Bridge_Assumptions'!$B$8,IF(Q23&lt;&gt;"",Q23*'6_Credit_Bridge_Assumptions'!$B$8,IF(R23&lt;&gt;"",R23*'6_Credit_Bridge_Assumptions'!$B$8,""))))</f>
        <v/>
      </c>
      <c r="T23" s="22">
        <f>IF(N23&lt;&gt;"",N23,S23)</f>
        <v/>
      </c>
    </row>
    <row r="24">
      <c r="A24" s="6" t="n">
        <v>15104050</v>
      </c>
      <c r="B24" s="6" t="inlineStr">
        <is>
          <t>Steel</t>
        </is>
      </c>
      <c r="C24" s="6" t="n">
        <v>15</v>
      </c>
      <c r="D24" s="6" t="n">
        <v>151040</v>
      </c>
      <c r="E24" s="6" t="n">
        <v>1510</v>
      </c>
      <c r="F24" s="39">
        <f>IFERROR(INDEX('9_UK_Vol_Input'!$D$127:$D$289,MATCH($A24,'9_UK_Vol_Input'!$A$127:$A$289,0)),"")</f>
        <v/>
      </c>
      <c r="G24" s="40">
        <f>IFERROR(INDEX('9_UK_Vol_Input'!$E$127:$E$289,MATCH($A24,'9_UK_Vol_Input'!$A$127:$A$289,0)),"")</f>
        <v/>
      </c>
      <c r="H24" s="39">
        <f>IFERROR(INDEX('9_UK_Vol_Input'!$D$49:$D$122,MATCH($D24,'9_UK_Vol_Input'!$A$49:$A$122,0)),"")</f>
        <v/>
      </c>
      <c r="I24" s="40">
        <f>IFERROR(INDEX('9_UK_Vol_Input'!$E$49:$E$122,MATCH($D24,'9_UK_Vol_Input'!$A$49:$A$122,0)),"")</f>
        <v/>
      </c>
      <c r="J24" s="39">
        <f>IFERROR(INDEX('9_UK_Vol_Input'!$D$20:$D$44,MATCH($E24,'9_UK_Vol_Input'!$A$20:$A$44,0)),"")</f>
        <v/>
      </c>
      <c r="K24" s="40">
        <f>IFERROR(INDEX('9_UK_Vol_Input'!$E$20:$E$44,MATCH($E24,'9_UK_Vol_Input'!$A$20:$A$44,0)),"")</f>
        <v/>
      </c>
      <c r="L24" s="39">
        <f>IFERROR(INDEX('9_UK_Vol_Input'!$D$5:$D$15,MATCH($C24,'9_UK_Vol_Input'!$A$5:$A$15,0)),"")</f>
        <v/>
      </c>
      <c r="M24" s="40">
        <f>IFERROR(INDEX('9_UK_Vol_Input'!$E$5:$E$15,MATCH($C24,'9_UK_Vol_Input'!$A$5:$A$15,0)),"")</f>
        <v/>
      </c>
      <c r="N24" s="22">
        <f>IF(F24&lt;&gt;"",F24/(1+G24),IF(H24&lt;&gt;"",H24/(1+I24),IF(J24&lt;&gt;"",J24/(1+K24),IF(L24&lt;&gt;"",L24/(1+M24),""))))</f>
        <v/>
      </c>
      <c r="O24" s="36">
        <f>IFERROR(INDEX('7_UK_Beta_Input'!$D$127:$D$289,MATCH($A24,'7_UK_Beta_Input'!$A$127:$A$289,0)),"")</f>
        <v/>
      </c>
      <c r="P24" s="36">
        <f>IFERROR(INDEX('7_UK_Beta_Input'!$D$49:$D$122,MATCH($D24,'7_UK_Beta_Input'!$A$49:$A$122,0)),"")</f>
        <v/>
      </c>
      <c r="Q24" s="36">
        <f>IFERROR(INDEX('7_UK_Beta_Input'!$D$20:$D$44,MATCH($E24,'7_UK_Beta_Input'!$A$20:$A$44,0)),"")</f>
        <v/>
      </c>
      <c r="R24" s="36">
        <f>IFERROR(INDEX('7_UK_Beta_Input'!$D$5:$D$15,MATCH($C24,'7_UK_Beta_Input'!$A$5:$A$15,0)),"")</f>
        <v/>
      </c>
      <c r="S24" s="22">
        <f>IF(O24&lt;&gt;"",O24*'6_Credit_Bridge_Assumptions'!$B$8,IF(P24&lt;&gt;"",P24*'6_Credit_Bridge_Assumptions'!$B$8,IF(Q24&lt;&gt;"",Q24*'6_Credit_Bridge_Assumptions'!$B$8,IF(R24&lt;&gt;"",R24*'6_Credit_Bridge_Assumptions'!$B$8,""))))</f>
        <v/>
      </c>
      <c r="T24" s="22">
        <f>IF(N24&lt;&gt;"",N24,S24)</f>
        <v/>
      </c>
    </row>
    <row r="25">
      <c r="A25" s="6" t="n">
        <v>15105010</v>
      </c>
      <c r="B25" s="6" t="inlineStr">
        <is>
          <t>Forest Products</t>
        </is>
      </c>
      <c r="C25" s="6" t="n">
        <v>15</v>
      </c>
      <c r="D25" s="6" t="n">
        <v>151050</v>
      </c>
      <c r="E25" s="6" t="n">
        <v>1510</v>
      </c>
      <c r="F25" s="39">
        <f>IFERROR(INDEX('9_UK_Vol_Input'!$D$127:$D$289,MATCH($A25,'9_UK_Vol_Input'!$A$127:$A$289,0)),"")</f>
        <v/>
      </c>
      <c r="G25" s="40">
        <f>IFERROR(INDEX('9_UK_Vol_Input'!$E$127:$E$289,MATCH($A25,'9_UK_Vol_Input'!$A$127:$A$289,0)),"")</f>
        <v/>
      </c>
      <c r="H25" s="39">
        <f>IFERROR(INDEX('9_UK_Vol_Input'!$D$49:$D$122,MATCH($D25,'9_UK_Vol_Input'!$A$49:$A$122,0)),"")</f>
        <v/>
      </c>
      <c r="I25" s="40">
        <f>IFERROR(INDEX('9_UK_Vol_Input'!$E$49:$E$122,MATCH($D25,'9_UK_Vol_Input'!$A$49:$A$122,0)),"")</f>
        <v/>
      </c>
      <c r="J25" s="39">
        <f>IFERROR(INDEX('9_UK_Vol_Input'!$D$20:$D$44,MATCH($E25,'9_UK_Vol_Input'!$A$20:$A$44,0)),"")</f>
        <v/>
      </c>
      <c r="K25" s="40">
        <f>IFERROR(INDEX('9_UK_Vol_Input'!$E$20:$E$44,MATCH($E25,'9_UK_Vol_Input'!$A$20:$A$44,0)),"")</f>
        <v/>
      </c>
      <c r="L25" s="39">
        <f>IFERROR(INDEX('9_UK_Vol_Input'!$D$5:$D$15,MATCH($C25,'9_UK_Vol_Input'!$A$5:$A$15,0)),"")</f>
        <v/>
      </c>
      <c r="M25" s="40">
        <f>IFERROR(INDEX('9_UK_Vol_Input'!$E$5:$E$15,MATCH($C25,'9_UK_Vol_Input'!$A$5:$A$15,0)),"")</f>
        <v/>
      </c>
      <c r="N25" s="22">
        <f>IF(F25&lt;&gt;"",F25/(1+G25),IF(H25&lt;&gt;"",H25/(1+I25),IF(J25&lt;&gt;"",J25/(1+K25),IF(L25&lt;&gt;"",L25/(1+M25),""))))</f>
        <v/>
      </c>
      <c r="O25" s="36">
        <f>IFERROR(INDEX('7_UK_Beta_Input'!$D$127:$D$289,MATCH($A25,'7_UK_Beta_Input'!$A$127:$A$289,0)),"")</f>
        <v/>
      </c>
      <c r="P25" s="36">
        <f>IFERROR(INDEX('7_UK_Beta_Input'!$D$49:$D$122,MATCH($D25,'7_UK_Beta_Input'!$A$49:$A$122,0)),"")</f>
        <v/>
      </c>
      <c r="Q25" s="36">
        <f>IFERROR(INDEX('7_UK_Beta_Input'!$D$20:$D$44,MATCH($E25,'7_UK_Beta_Input'!$A$20:$A$44,0)),"")</f>
        <v/>
      </c>
      <c r="R25" s="36">
        <f>IFERROR(INDEX('7_UK_Beta_Input'!$D$5:$D$15,MATCH($C25,'7_UK_Beta_Input'!$A$5:$A$15,0)),"")</f>
        <v/>
      </c>
      <c r="S25" s="22">
        <f>IF(O25&lt;&gt;"",O25*'6_Credit_Bridge_Assumptions'!$B$8,IF(P25&lt;&gt;"",P25*'6_Credit_Bridge_Assumptions'!$B$8,IF(Q25&lt;&gt;"",Q25*'6_Credit_Bridge_Assumptions'!$B$8,IF(R25&lt;&gt;"",R25*'6_Credit_Bridge_Assumptions'!$B$8,""))))</f>
        <v/>
      </c>
      <c r="T25" s="22">
        <f>IF(N25&lt;&gt;"",N25,S25)</f>
        <v/>
      </c>
    </row>
    <row r="26">
      <c r="A26" s="6" t="n">
        <v>15105020</v>
      </c>
      <c r="B26" s="6" t="inlineStr">
        <is>
          <t>Paper Products</t>
        </is>
      </c>
      <c r="C26" s="6" t="n">
        <v>15</v>
      </c>
      <c r="D26" s="6" t="n">
        <v>151050</v>
      </c>
      <c r="E26" s="6" t="n">
        <v>1510</v>
      </c>
      <c r="F26" s="39">
        <f>IFERROR(INDEX('9_UK_Vol_Input'!$D$127:$D$289,MATCH($A26,'9_UK_Vol_Input'!$A$127:$A$289,0)),"")</f>
        <v/>
      </c>
      <c r="G26" s="40">
        <f>IFERROR(INDEX('9_UK_Vol_Input'!$E$127:$E$289,MATCH($A26,'9_UK_Vol_Input'!$A$127:$A$289,0)),"")</f>
        <v/>
      </c>
      <c r="H26" s="39">
        <f>IFERROR(INDEX('9_UK_Vol_Input'!$D$49:$D$122,MATCH($D26,'9_UK_Vol_Input'!$A$49:$A$122,0)),"")</f>
        <v/>
      </c>
      <c r="I26" s="40">
        <f>IFERROR(INDEX('9_UK_Vol_Input'!$E$49:$E$122,MATCH($D26,'9_UK_Vol_Input'!$A$49:$A$122,0)),"")</f>
        <v/>
      </c>
      <c r="J26" s="39">
        <f>IFERROR(INDEX('9_UK_Vol_Input'!$D$20:$D$44,MATCH($E26,'9_UK_Vol_Input'!$A$20:$A$44,0)),"")</f>
        <v/>
      </c>
      <c r="K26" s="40">
        <f>IFERROR(INDEX('9_UK_Vol_Input'!$E$20:$E$44,MATCH($E26,'9_UK_Vol_Input'!$A$20:$A$44,0)),"")</f>
        <v/>
      </c>
      <c r="L26" s="39">
        <f>IFERROR(INDEX('9_UK_Vol_Input'!$D$5:$D$15,MATCH($C26,'9_UK_Vol_Input'!$A$5:$A$15,0)),"")</f>
        <v/>
      </c>
      <c r="M26" s="40">
        <f>IFERROR(INDEX('9_UK_Vol_Input'!$E$5:$E$15,MATCH($C26,'9_UK_Vol_Input'!$A$5:$A$15,0)),"")</f>
        <v/>
      </c>
      <c r="N26" s="22">
        <f>IF(F26&lt;&gt;"",F26/(1+G26),IF(H26&lt;&gt;"",H26/(1+I26),IF(J26&lt;&gt;"",J26/(1+K26),IF(L26&lt;&gt;"",L26/(1+M26),""))))</f>
        <v/>
      </c>
      <c r="O26" s="36">
        <f>IFERROR(INDEX('7_UK_Beta_Input'!$D$127:$D$289,MATCH($A26,'7_UK_Beta_Input'!$A$127:$A$289,0)),"")</f>
        <v/>
      </c>
      <c r="P26" s="36">
        <f>IFERROR(INDEX('7_UK_Beta_Input'!$D$49:$D$122,MATCH($D26,'7_UK_Beta_Input'!$A$49:$A$122,0)),"")</f>
        <v/>
      </c>
      <c r="Q26" s="36">
        <f>IFERROR(INDEX('7_UK_Beta_Input'!$D$20:$D$44,MATCH($E26,'7_UK_Beta_Input'!$A$20:$A$44,0)),"")</f>
        <v/>
      </c>
      <c r="R26" s="36">
        <f>IFERROR(INDEX('7_UK_Beta_Input'!$D$5:$D$15,MATCH($C26,'7_UK_Beta_Input'!$A$5:$A$15,0)),"")</f>
        <v/>
      </c>
      <c r="S26" s="22">
        <f>IF(O26&lt;&gt;"",O26*'6_Credit_Bridge_Assumptions'!$B$8,IF(P26&lt;&gt;"",P26*'6_Credit_Bridge_Assumptions'!$B$8,IF(Q26&lt;&gt;"",Q26*'6_Credit_Bridge_Assumptions'!$B$8,IF(R26&lt;&gt;"",R26*'6_Credit_Bridge_Assumptions'!$B$8,""))))</f>
        <v/>
      </c>
      <c r="T26" s="22">
        <f>IF(N26&lt;&gt;"",N26,S26)</f>
        <v/>
      </c>
    </row>
    <row r="27">
      <c r="A27" s="6" t="n">
        <v>20101010</v>
      </c>
      <c r="B27" s="6" t="inlineStr">
        <is>
          <t>Aerospace &amp; Defense</t>
        </is>
      </c>
      <c r="C27" s="6" t="n">
        <v>20</v>
      </c>
      <c r="D27" s="6" t="n">
        <v>201010</v>
      </c>
      <c r="E27" s="6" t="n">
        <v>2010</v>
      </c>
      <c r="F27" s="39">
        <f>IFERROR(INDEX('9_UK_Vol_Input'!$D$127:$D$289,MATCH($A27,'9_UK_Vol_Input'!$A$127:$A$289,0)),"")</f>
        <v/>
      </c>
      <c r="G27" s="40">
        <f>IFERROR(INDEX('9_UK_Vol_Input'!$E$127:$E$289,MATCH($A27,'9_UK_Vol_Input'!$A$127:$A$289,0)),"")</f>
        <v/>
      </c>
      <c r="H27" s="39">
        <f>IFERROR(INDEX('9_UK_Vol_Input'!$D$49:$D$122,MATCH($D27,'9_UK_Vol_Input'!$A$49:$A$122,0)),"")</f>
        <v/>
      </c>
      <c r="I27" s="40">
        <f>IFERROR(INDEX('9_UK_Vol_Input'!$E$49:$E$122,MATCH($D27,'9_UK_Vol_Input'!$A$49:$A$122,0)),"")</f>
        <v/>
      </c>
      <c r="J27" s="39">
        <f>IFERROR(INDEX('9_UK_Vol_Input'!$D$20:$D$44,MATCH($E27,'9_UK_Vol_Input'!$A$20:$A$44,0)),"")</f>
        <v/>
      </c>
      <c r="K27" s="40">
        <f>IFERROR(INDEX('9_UK_Vol_Input'!$E$20:$E$44,MATCH($E27,'9_UK_Vol_Input'!$A$20:$A$44,0)),"")</f>
        <v/>
      </c>
      <c r="L27" s="39">
        <f>IFERROR(INDEX('9_UK_Vol_Input'!$D$5:$D$15,MATCH($C27,'9_UK_Vol_Input'!$A$5:$A$15,0)),"")</f>
        <v/>
      </c>
      <c r="M27" s="40">
        <f>IFERROR(INDEX('9_UK_Vol_Input'!$E$5:$E$15,MATCH($C27,'9_UK_Vol_Input'!$A$5:$A$15,0)),"")</f>
        <v/>
      </c>
      <c r="N27" s="22">
        <f>IF(F27&lt;&gt;"",F27/(1+G27),IF(H27&lt;&gt;"",H27/(1+I27),IF(J27&lt;&gt;"",J27/(1+K27),IF(L27&lt;&gt;"",L27/(1+M27),""))))</f>
        <v/>
      </c>
      <c r="O27" s="36">
        <f>IFERROR(INDEX('7_UK_Beta_Input'!$D$127:$D$289,MATCH($A27,'7_UK_Beta_Input'!$A$127:$A$289,0)),"")</f>
        <v/>
      </c>
      <c r="P27" s="36">
        <f>IFERROR(INDEX('7_UK_Beta_Input'!$D$49:$D$122,MATCH($D27,'7_UK_Beta_Input'!$A$49:$A$122,0)),"")</f>
        <v/>
      </c>
      <c r="Q27" s="36">
        <f>IFERROR(INDEX('7_UK_Beta_Input'!$D$20:$D$44,MATCH($E27,'7_UK_Beta_Input'!$A$20:$A$44,0)),"")</f>
        <v/>
      </c>
      <c r="R27" s="36">
        <f>IFERROR(INDEX('7_UK_Beta_Input'!$D$5:$D$15,MATCH($C27,'7_UK_Beta_Input'!$A$5:$A$15,0)),"")</f>
        <v/>
      </c>
      <c r="S27" s="22">
        <f>IF(O27&lt;&gt;"",O27*'6_Credit_Bridge_Assumptions'!$B$8,IF(P27&lt;&gt;"",P27*'6_Credit_Bridge_Assumptions'!$B$8,IF(Q27&lt;&gt;"",Q27*'6_Credit_Bridge_Assumptions'!$B$8,IF(R27&lt;&gt;"",R27*'6_Credit_Bridge_Assumptions'!$B$8,""))))</f>
        <v/>
      </c>
      <c r="T27" s="22">
        <f>IF(N27&lt;&gt;"",N27,S27)</f>
        <v/>
      </c>
    </row>
    <row r="28">
      <c r="A28" s="6" t="n">
        <v>20102010</v>
      </c>
      <c r="B28" s="6" t="inlineStr">
        <is>
          <t>Building Products</t>
        </is>
      </c>
      <c r="C28" s="6" t="n">
        <v>20</v>
      </c>
      <c r="D28" s="6" t="n">
        <v>201020</v>
      </c>
      <c r="E28" s="6" t="n">
        <v>2010</v>
      </c>
      <c r="F28" s="39">
        <f>IFERROR(INDEX('9_UK_Vol_Input'!$D$127:$D$289,MATCH($A28,'9_UK_Vol_Input'!$A$127:$A$289,0)),"")</f>
        <v/>
      </c>
      <c r="G28" s="40">
        <f>IFERROR(INDEX('9_UK_Vol_Input'!$E$127:$E$289,MATCH($A28,'9_UK_Vol_Input'!$A$127:$A$289,0)),"")</f>
        <v/>
      </c>
      <c r="H28" s="39">
        <f>IFERROR(INDEX('9_UK_Vol_Input'!$D$49:$D$122,MATCH($D28,'9_UK_Vol_Input'!$A$49:$A$122,0)),"")</f>
        <v/>
      </c>
      <c r="I28" s="40">
        <f>IFERROR(INDEX('9_UK_Vol_Input'!$E$49:$E$122,MATCH($D28,'9_UK_Vol_Input'!$A$49:$A$122,0)),"")</f>
        <v/>
      </c>
      <c r="J28" s="39">
        <f>IFERROR(INDEX('9_UK_Vol_Input'!$D$20:$D$44,MATCH($E28,'9_UK_Vol_Input'!$A$20:$A$44,0)),"")</f>
        <v/>
      </c>
      <c r="K28" s="40">
        <f>IFERROR(INDEX('9_UK_Vol_Input'!$E$20:$E$44,MATCH($E28,'9_UK_Vol_Input'!$A$20:$A$44,0)),"")</f>
        <v/>
      </c>
      <c r="L28" s="39">
        <f>IFERROR(INDEX('9_UK_Vol_Input'!$D$5:$D$15,MATCH($C28,'9_UK_Vol_Input'!$A$5:$A$15,0)),"")</f>
        <v/>
      </c>
      <c r="M28" s="40">
        <f>IFERROR(INDEX('9_UK_Vol_Input'!$E$5:$E$15,MATCH($C28,'9_UK_Vol_Input'!$A$5:$A$15,0)),"")</f>
        <v/>
      </c>
      <c r="N28" s="22">
        <f>IF(F28&lt;&gt;"",F28/(1+G28),IF(H28&lt;&gt;"",H28/(1+I28),IF(J28&lt;&gt;"",J28/(1+K28),IF(L28&lt;&gt;"",L28/(1+M28),""))))</f>
        <v/>
      </c>
      <c r="O28" s="36">
        <f>IFERROR(INDEX('7_UK_Beta_Input'!$D$127:$D$289,MATCH($A28,'7_UK_Beta_Input'!$A$127:$A$289,0)),"")</f>
        <v/>
      </c>
      <c r="P28" s="36">
        <f>IFERROR(INDEX('7_UK_Beta_Input'!$D$49:$D$122,MATCH($D28,'7_UK_Beta_Input'!$A$49:$A$122,0)),"")</f>
        <v/>
      </c>
      <c r="Q28" s="36">
        <f>IFERROR(INDEX('7_UK_Beta_Input'!$D$20:$D$44,MATCH($E28,'7_UK_Beta_Input'!$A$20:$A$44,0)),"")</f>
        <v/>
      </c>
      <c r="R28" s="36">
        <f>IFERROR(INDEX('7_UK_Beta_Input'!$D$5:$D$15,MATCH($C28,'7_UK_Beta_Input'!$A$5:$A$15,0)),"")</f>
        <v/>
      </c>
      <c r="S28" s="22">
        <f>IF(O28&lt;&gt;"",O28*'6_Credit_Bridge_Assumptions'!$B$8,IF(P28&lt;&gt;"",P28*'6_Credit_Bridge_Assumptions'!$B$8,IF(Q28&lt;&gt;"",Q28*'6_Credit_Bridge_Assumptions'!$B$8,IF(R28&lt;&gt;"",R28*'6_Credit_Bridge_Assumptions'!$B$8,""))))</f>
        <v/>
      </c>
      <c r="T28" s="22">
        <f>IF(N28&lt;&gt;"",N28,S28)</f>
        <v/>
      </c>
    </row>
    <row r="29">
      <c r="A29" s="6" t="n">
        <v>20103010</v>
      </c>
      <c r="B29" s="6" t="inlineStr">
        <is>
          <t>Construction &amp; Engineering</t>
        </is>
      </c>
      <c r="C29" s="6" t="n">
        <v>20</v>
      </c>
      <c r="D29" s="6" t="n">
        <v>201030</v>
      </c>
      <c r="E29" s="6" t="n">
        <v>2010</v>
      </c>
      <c r="F29" s="39">
        <f>IFERROR(INDEX('9_UK_Vol_Input'!$D$127:$D$289,MATCH($A29,'9_UK_Vol_Input'!$A$127:$A$289,0)),"")</f>
        <v/>
      </c>
      <c r="G29" s="40">
        <f>IFERROR(INDEX('9_UK_Vol_Input'!$E$127:$E$289,MATCH($A29,'9_UK_Vol_Input'!$A$127:$A$289,0)),"")</f>
        <v/>
      </c>
      <c r="H29" s="39">
        <f>IFERROR(INDEX('9_UK_Vol_Input'!$D$49:$D$122,MATCH($D29,'9_UK_Vol_Input'!$A$49:$A$122,0)),"")</f>
        <v/>
      </c>
      <c r="I29" s="40">
        <f>IFERROR(INDEX('9_UK_Vol_Input'!$E$49:$E$122,MATCH($D29,'9_UK_Vol_Input'!$A$49:$A$122,0)),"")</f>
        <v/>
      </c>
      <c r="J29" s="39">
        <f>IFERROR(INDEX('9_UK_Vol_Input'!$D$20:$D$44,MATCH($E29,'9_UK_Vol_Input'!$A$20:$A$44,0)),"")</f>
        <v/>
      </c>
      <c r="K29" s="40">
        <f>IFERROR(INDEX('9_UK_Vol_Input'!$E$20:$E$44,MATCH($E29,'9_UK_Vol_Input'!$A$20:$A$44,0)),"")</f>
        <v/>
      </c>
      <c r="L29" s="39">
        <f>IFERROR(INDEX('9_UK_Vol_Input'!$D$5:$D$15,MATCH($C29,'9_UK_Vol_Input'!$A$5:$A$15,0)),"")</f>
        <v/>
      </c>
      <c r="M29" s="40">
        <f>IFERROR(INDEX('9_UK_Vol_Input'!$E$5:$E$15,MATCH($C29,'9_UK_Vol_Input'!$A$5:$A$15,0)),"")</f>
        <v/>
      </c>
      <c r="N29" s="22">
        <f>IF(F29&lt;&gt;"",F29/(1+G29),IF(H29&lt;&gt;"",H29/(1+I29),IF(J29&lt;&gt;"",J29/(1+K29),IF(L29&lt;&gt;"",L29/(1+M29),""))))</f>
        <v/>
      </c>
      <c r="O29" s="36">
        <f>IFERROR(INDEX('7_UK_Beta_Input'!$D$127:$D$289,MATCH($A29,'7_UK_Beta_Input'!$A$127:$A$289,0)),"")</f>
        <v/>
      </c>
      <c r="P29" s="36">
        <f>IFERROR(INDEX('7_UK_Beta_Input'!$D$49:$D$122,MATCH($D29,'7_UK_Beta_Input'!$A$49:$A$122,0)),"")</f>
        <v/>
      </c>
      <c r="Q29" s="36">
        <f>IFERROR(INDEX('7_UK_Beta_Input'!$D$20:$D$44,MATCH($E29,'7_UK_Beta_Input'!$A$20:$A$44,0)),"")</f>
        <v/>
      </c>
      <c r="R29" s="36">
        <f>IFERROR(INDEX('7_UK_Beta_Input'!$D$5:$D$15,MATCH($C29,'7_UK_Beta_Input'!$A$5:$A$15,0)),"")</f>
        <v/>
      </c>
      <c r="S29" s="22">
        <f>IF(O29&lt;&gt;"",O29*'6_Credit_Bridge_Assumptions'!$B$8,IF(P29&lt;&gt;"",P29*'6_Credit_Bridge_Assumptions'!$B$8,IF(Q29&lt;&gt;"",Q29*'6_Credit_Bridge_Assumptions'!$B$8,IF(R29&lt;&gt;"",R29*'6_Credit_Bridge_Assumptions'!$B$8,""))))</f>
        <v/>
      </c>
      <c r="T29" s="22">
        <f>IF(N29&lt;&gt;"",N29,S29)</f>
        <v/>
      </c>
    </row>
    <row r="30">
      <c r="A30" s="6" t="n">
        <v>20104010</v>
      </c>
      <c r="B30" s="6" t="inlineStr">
        <is>
          <t>Electrical Components &amp; Equipment</t>
        </is>
      </c>
      <c r="C30" s="6" t="n">
        <v>20</v>
      </c>
      <c r="D30" s="6" t="n">
        <v>201040</v>
      </c>
      <c r="E30" s="6" t="n">
        <v>2010</v>
      </c>
      <c r="F30" s="39">
        <f>IFERROR(INDEX('9_UK_Vol_Input'!$D$127:$D$289,MATCH($A30,'9_UK_Vol_Input'!$A$127:$A$289,0)),"")</f>
        <v/>
      </c>
      <c r="G30" s="40">
        <f>IFERROR(INDEX('9_UK_Vol_Input'!$E$127:$E$289,MATCH($A30,'9_UK_Vol_Input'!$A$127:$A$289,0)),"")</f>
        <v/>
      </c>
      <c r="H30" s="39">
        <f>IFERROR(INDEX('9_UK_Vol_Input'!$D$49:$D$122,MATCH($D30,'9_UK_Vol_Input'!$A$49:$A$122,0)),"")</f>
        <v/>
      </c>
      <c r="I30" s="40">
        <f>IFERROR(INDEX('9_UK_Vol_Input'!$E$49:$E$122,MATCH($D30,'9_UK_Vol_Input'!$A$49:$A$122,0)),"")</f>
        <v/>
      </c>
      <c r="J30" s="39">
        <f>IFERROR(INDEX('9_UK_Vol_Input'!$D$20:$D$44,MATCH($E30,'9_UK_Vol_Input'!$A$20:$A$44,0)),"")</f>
        <v/>
      </c>
      <c r="K30" s="40">
        <f>IFERROR(INDEX('9_UK_Vol_Input'!$E$20:$E$44,MATCH($E30,'9_UK_Vol_Input'!$A$20:$A$44,0)),"")</f>
        <v/>
      </c>
      <c r="L30" s="39">
        <f>IFERROR(INDEX('9_UK_Vol_Input'!$D$5:$D$15,MATCH($C30,'9_UK_Vol_Input'!$A$5:$A$15,0)),"")</f>
        <v/>
      </c>
      <c r="M30" s="40">
        <f>IFERROR(INDEX('9_UK_Vol_Input'!$E$5:$E$15,MATCH($C30,'9_UK_Vol_Input'!$A$5:$A$15,0)),"")</f>
        <v/>
      </c>
      <c r="N30" s="22">
        <f>IF(F30&lt;&gt;"",F30/(1+G30),IF(H30&lt;&gt;"",H30/(1+I30),IF(J30&lt;&gt;"",J30/(1+K30),IF(L30&lt;&gt;"",L30/(1+M30),""))))</f>
        <v/>
      </c>
      <c r="O30" s="36">
        <f>IFERROR(INDEX('7_UK_Beta_Input'!$D$127:$D$289,MATCH($A30,'7_UK_Beta_Input'!$A$127:$A$289,0)),"")</f>
        <v/>
      </c>
      <c r="P30" s="36">
        <f>IFERROR(INDEX('7_UK_Beta_Input'!$D$49:$D$122,MATCH($D30,'7_UK_Beta_Input'!$A$49:$A$122,0)),"")</f>
        <v/>
      </c>
      <c r="Q30" s="36">
        <f>IFERROR(INDEX('7_UK_Beta_Input'!$D$20:$D$44,MATCH($E30,'7_UK_Beta_Input'!$A$20:$A$44,0)),"")</f>
        <v/>
      </c>
      <c r="R30" s="36">
        <f>IFERROR(INDEX('7_UK_Beta_Input'!$D$5:$D$15,MATCH($C30,'7_UK_Beta_Input'!$A$5:$A$15,0)),"")</f>
        <v/>
      </c>
      <c r="S30" s="22">
        <f>IF(O30&lt;&gt;"",O30*'6_Credit_Bridge_Assumptions'!$B$8,IF(P30&lt;&gt;"",P30*'6_Credit_Bridge_Assumptions'!$B$8,IF(Q30&lt;&gt;"",Q30*'6_Credit_Bridge_Assumptions'!$B$8,IF(R30&lt;&gt;"",R30*'6_Credit_Bridge_Assumptions'!$B$8,""))))</f>
        <v/>
      </c>
      <c r="T30" s="22">
        <f>IF(N30&lt;&gt;"",N30,S30)</f>
        <v/>
      </c>
    </row>
    <row r="31">
      <c r="A31" s="6" t="n">
        <v>20104020</v>
      </c>
      <c r="B31" s="6" t="inlineStr">
        <is>
          <t>Heavy Electrical Equipment</t>
        </is>
      </c>
      <c r="C31" s="6" t="n">
        <v>20</v>
      </c>
      <c r="D31" s="6" t="n">
        <v>201040</v>
      </c>
      <c r="E31" s="6" t="n">
        <v>2010</v>
      </c>
      <c r="F31" s="39">
        <f>IFERROR(INDEX('9_UK_Vol_Input'!$D$127:$D$289,MATCH($A31,'9_UK_Vol_Input'!$A$127:$A$289,0)),"")</f>
        <v/>
      </c>
      <c r="G31" s="40">
        <f>IFERROR(INDEX('9_UK_Vol_Input'!$E$127:$E$289,MATCH($A31,'9_UK_Vol_Input'!$A$127:$A$289,0)),"")</f>
        <v/>
      </c>
      <c r="H31" s="39">
        <f>IFERROR(INDEX('9_UK_Vol_Input'!$D$49:$D$122,MATCH($D31,'9_UK_Vol_Input'!$A$49:$A$122,0)),"")</f>
        <v/>
      </c>
      <c r="I31" s="40">
        <f>IFERROR(INDEX('9_UK_Vol_Input'!$E$49:$E$122,MATCH($D31,'9_UK_Vol_Input'!$A$49:$A$122,0)),"")</f>
        <v/>
      </c>
      <c r="J31" s="39">
        <f>IFERROR(INDEX('9_UK_Vol_Input'!$D$20:$D$44,MATCH($E31,'9_UK_Vol_Input'!$A$20:$A$44,0)),"")</f>
        <v/>
      </c>
      <c r="K31" s="40">
        <f>IFERROR(INDEX('9_UK_Vol_Input'!$E$20:$E$44,MATCH($E31,'9_UK_Vol_Input'!$A$20:$A$44,0)),"")</f>
        <v/>
      </c>
      <c r="L31" s="39">
        <f>IFERROR(INDEX('9_UK_Vol_Input'!$D$5:$D$15,MATCH($C31,'9_UK_Vol_Input'!$A$5:$A$15,0)),"")</f>
        <v/>
      </c>
      <c r="M31" s="40">
        <f>IFERROR(INDEX('9_UK_Vol_Input'!$E$5:$E$15,MATCH($C31,'9_UK_Vol_Input'!$A$5:$A$15,0)),"")</f>
        <v/>
      </c>
      <c r="N31" s="22">
        <f>IF(F31&lt;&gt;"",F31/(1+G31),IF(H31&lt;&gt;"",H31/(1+I31),IF(J31&lt;&gt;"",J31/(1+K31),IF(L31&lt;&gt;"",L31/(1+M31),""))))</f>
        <v/>
      </c>
      <c r="O31" s="36">
        <f>IFERROR(INDEX('7_UK_Beta_Input'!$D$127:$D$289,MATCH($A31,'7_UK_Beta_Input'!$A$127:$A$289,0)),"")</f>
        <v/>
      </c>
      <c r="P31" s="36">
        <f>IFERROR(INDEX('7_UK_Beta_Input'!$D$49:$D$122,MATCH($D31,'7_UK_Beta_Input'!$A$49:$A$122,0)),"")</f>
        <v/>
      </c>
      <c r="Q31" s="36">
        <f>IFERROR(INDEX('7_UK_Beta_Input'!$D$20:$D$44,MATCH($E31,'7_UK_Beta_Input'!$A$20:$A$44,0)),"")</f>
        <v/>
      </c>
      <c r="R31" s="36">
        <f>IFERROR(INDEX('7_UK_Beta_Input'!$D$5:$D$15,MATCH($C31,'7_UK_Beta_Input'!$A$5:$A$15,0)),"")</f>
        <v/>
      </c>
      <c r="S31" s="22">
        <f>IF(O31&lt;&gt;"",O31*'6_Credit_Bridge_Assumptions'!$B$8,IF(P31&lt;&gt;"",P31*'6_Credit_Bridge_Assumptions'!$B$8,IF(Q31&lt;&gt;"",Q31*'6_Credit_Bridge_Assumptions'!$B$8,IF(R31&lt;&gt;"",R31*'6_Credit_Bridge_Assumptions'!$B$8,""))))</f>
        <v/>
      </c>
      <c r="T31" s="22">
        <f>IF(N31&lt;&gt;"",N31,S31)</f>
        <v/>
      </c>
    </row>
    <row r="32">
      <c r="A32" s="6" t="n">
        <v>20105010</v>
      </c>
      <c r="B32" s="6" t="inlineStr">
        <is>
          <t>Industrial Conglomerates</t>
        </is>
      </c>
      <c r="C32" s="6" t="n">
        <v>20</v>
      </c>
      <c r="D32" s="6" t="n">
        <v>201050</v>
      </c>
      <c r="E32" s="6" t="n">
        <v>2010</v>
      </c>
      <c r="F32" s="39">
        <f>IFERROR(INDEX('9_UK_Vol_Input'!$D$127:$D$289,MATCH($A32,'9_UK_Vol_Input'!$A$127:$A$289,0)),"")</f>
        <v/>
      </c>
      <c r="G32" s="40">
        <f>IFERROR(INDEX('9_UK_Vol_Input'!$E$127:$E$289,MATCH($A32,'9_UK_Vol_Input'!$A$127:$A$289,0)),"")</f>
        <v/>
      </c>
      <c r="H32" s="39">
        <f>IFERROR(INDEX('9_UK_Vol_Input'!$D$49:$D$122,MATCH($D32,'9_UK_Vol_Input'!$A$49:$A$122,0)),"")</f>
        <v/>
      </c>
      <c r="I32" s="40">
        <f>IFERROR(INDEX('9_UK_Vol_Input'!$E$49:$E$122,MATCH($D32,'9_UK_Vol_Input'!$A$49:$A$122,0)),"")</f>
        <v/>
      </c>
      <c r="J32" s="39">
        <f>IFERROR(INDEX('9_UK_Vol_Input'!$D$20:$D$44,MATCH($E32,'9_UK_Vol_Input'!$A$20:$A$44,0)),"")</f>
        <v/>
      </c>
      <c r="K32" s="40">
        <f>IFERROR(INDEX('9_UK_Vol_Input'!$E$20:$E$44,MATCH($E32,'9_UK_Vol_Input'!$A$20:$A$44,0)),"")</f>
        <v/>
      </c>
      <c r="L32" s="39">
        <f>IFERROR(INDEX('9_UK_Vol_Input'!$D$5:$D$15,MATCH($C32,'9_UK_Vol_Input'!$A$5:$A$15,0)),"")</f>
        <v/>
      </c>
      <c r="M32" s="40">
        <f>IFERROR(INDEX('9_UK_Vol_Input'!$E$5:$E$15,MATCH($C32,'9_UK_Vol_Input'!$A$5:$A$15,0)),"")</f>
        <v/>
      </c>
      <c r="N32" s="22">
        <f>IF(F32&lt;&gt;"",F32/(1+G32),IF(H32&lt;&gt;"",H32/(1+I32),IF(J32&lt;&gt;"",J32/(1+K32),IF(L32&lt;&gt;"",L32/(1+M32),""))))</f>
        <v/>
      </c>
      <c r="O32" s="36">
        <f>IFERROR(INDEX('7_UK_Beta_Input'!$D$127:$D$289,MATCH($A32,'7_UK_Beta_Input'!$A$127:$A$289,0)),"")</f>
        <v/>
      </c>
      <c r="P32" s="36">
        <f>IFERROR(INDEX('7_UK_Beta_Input'!$D$49:$D$122,MATCH($D32,'7_UK_Beta_Input'!$A$49:$A$122,0)),"")</f>
        <v/>
      </c>
      <c r="Q32" s="36">
        <f>IFERROR(INDEX('7_UK_Beta_Input'!$D$20:$D$44,MATCH($E32,'7_UK_Beta_Input'!$A$20:$A$44,0)),"")</f>
        <v/>
      </c>
      <c r="R32" s="36">
        <f>IFERROR(INDEX('7_UK_Beta_Input'!$D$5:$D$15,MATCH($C32,'7_UK_Beta_Input'!$A$5:$A$15,0)),"")</f>
        <v/>
      </c>
      <c r="S32" s="22">
        <f>IF(O32&lt;&gt;"",O32*'6_Credit_Bridge_Assumptions'!$B$8,IF(P32&lt;&gt;"",P32*'6_Credit_Bridge_Assumptions'!$B$8,IF(Q32&lt;&gt;"",Q32*'6_Credit_Bridge_Assumptions'!$B$8,IF(R32&lt;&gt;"",R32*'6_Credit_Bridge_Assumptions'!$B$8,""))))</f>
        <v/>
      </c>
      <c r="T32" s="22">
        <f>IF(N32&lt;&gt;"",N32,S32)</f>
        <v/>
      </c>
    </row>
    <row r="33">
      <c r="A33" s="6" t="n">
        <v>20106010</v>
      </c>
      <c r="B33" s="6" t="inlineStr">
        <is>
          <t>Construction Machinery &amp; Heavy Transportation Equipment</t>
        </is>
      </c>
      <c r="C33" s="6" t="n">
        <v>20</v>
      </c>
      <c r="D33" s="6" t="n">
        <v>201060</v>
      </c>
      <c r="E33" s="6" t="n">
        <v>2010</v>
      </c>
      <c r="F33" s="39">
        <f>IFERROR(INDEX('9_UK_Vol_Input'!$D$127:$D$289,MATCH($A33,'9_UK_Vol_Input'!$A$127:$A$289,0)),"")</f>
        <v/>
      </c>
      <c r="G33" s="40">
        <f>IFERROR(INDEX('9_UK_Vol_Input'!$E$127:$E$289,MATCH($A33,'9_UK_Vol_Input'!$A$127:$A$289,0)),"")</f>
        <v/>
      </c>
      <c r="H33" s="39">
        <f>IFERROR(INDEX('9_UK_Vol_Input'!$D$49:$D$122,MATCH($D33,'9_UK_Vol_Input'!$A$49:$A$122,0)),"")</f>
        <v/>
      </c>
      <c r="I33" s="40">
        <f>IFERROR(INDEX('9_UK_Vol_Input'!$E$49:$E$122,MATCH($D33,'9_UK_Vol_Input'!$A$49:$A$122,0)),"")</f>
        <v/>
      </c>
      <c r="J33" s="39">
        <f>IFERROR(INDEX('9_UK_Vol_Input'!$D$20:$D$44,MATCH($E33,'9_UK_Vol_Input'!$A$20:$A$44,0)),"")</f>
        <v/>
      </c>
      <c r="K33" s="40">
        <f>IFERROR(INDEX('9_UK_Vol_Input'!$E$20:$E$44,MATCH($E33,'9_UK_Vol_Input'!$A$20:$A$44,0)),"")</f>
        <v/>
      </c>
      <c r="L33" s="39">
        <f>IFERROR(INDEX('9_UK_Vol_Input'!$D$5:$D$15,MATCH($C33,'9_UK_Vol_Input'!$A$5:$A$15,0)),"")</f>
        <v/>
      </c>
      <c r="M33" s="40">
        <f>IFERROR(INDEX('9_UK_Vol_Input'!$E$5:$E$15,MATCH($C33,'9_UK_Vol_Input'!$A$5:$A$15,0)),"")</f>
        <v/>
      </c>
      <c r="N33" s="22">
        <f>IF(F33&lt;&gt;"",F33/(1+G33),IF(H33&lt;&gt;"",H33/(1+I33),IF(J33&lt;&gt;"",J33/(1+K33),IF(L33&lt;&gt;"",L33/(1+M33),""))))</f>
        <v/>
      </c>
      <c r="O33" s="36">
        <f>IFERROR(INDEX('7_UK_Beta_Input'!$D$127:$D$289,MATCH($A33,'7_UK_Beta_Input'!$A$127:$A$289,0)),"")</f>
        <v/>
      </c>
      <c r="P33" s="36">
        <f>IFERROR(INDEX('7_UK_Beta_Input'!$D$49:$D$122,MATCH($D33,'7_UK_Beta_Input'!$A$49:$A$122,0)),"")</f>
        <v/>
      </c>
      <c r="Q33" s="36">
        <f>IFERROR(INDEX('7_UK_Beta_Input'!$D$20:$D$44,MATCH($E33,'7_UK_Beta_Input'!$A$20:$A$44,0)),"")</f>
        <v/>
      </c>
      <c r="R33" s="36">
        <f>IFERROR(INDEX('7_UK_Beta_Input'!$D$5:$D$15,MATCH($C33,'7_UK_Beta_Input'!$A$5:$A$15,0)),"")</f>
        <v/>
      </c>
      <c r="S33" s="22">
        <f>IF(O33&lt;&gt;"",O33*'6_Credit_Bridge_Assumptions'!$B$8,IF(P33&lt;&gt;"",P33*'6_Credit_Bridge_Assumptions'!$B$8,IF(Q33&lt;&gt;"",Q33*'6_Credit_Bridge_Assumptions'!$B$8,IF(R33&lt;&gt;"",R33*'6_Credit_Bridge_Assumptions'!$B$8,""))))</f>
        <v/>
      </c>
      <c r="T33" s="22">
        <f>IF(N33&lt;&gt;"",N33,S33)</f>
        <v/>
      </c>
    </row>
    <row r="34">
      <c r="A34" s="6" t="n">
        <v>20106015</v>
      </c>
      <c r="B34" s="6" t="inlineStr">
        <is>
          <t>Agricultural &amp; Farm Machinery</t>
        </is>
      </c>
      <c r="C34" s="6" t="n">
        <v>20</v>
      </c>
      <c r="D34" s="6" t="n">
        <v>201060</v>
      </c>
      <c r="E34" s="6" t="n">
        <v>2010</v>
      </c>
      <c r="F34" s="39">
        <f>IFERROR(INDEX('9_UK_Vol_Input'!$D$127:$D$289,MATCH($A34,'9_UK_Vol_Input'!$A$127:$A$289,0)),"")</f>
        <v/>
      </c>
      <c r="G34" s="40">
        <f>IFERROR(INDEX('9_UK_Vol_Input'!$E$127:$E$289,MATCH($A34,'9_UK_Vol_Input'!$A$127:$A$289,0)),"")</f>
        <v/>
      </c>
      <c r="H34" s="39">
        <f>IFERROR(INDEX('9_UK_Vol_Input'!$D$49:$D$122,MATCH($D34,'9_UK_Vol_Input'!$A$49:$A$122,0)),"")</f>
        <v/>
      </c>
      <c r="I34" s="40">
        <f>IFERROR(INDEX('9_UK_Vol_Input'!$E$49:$E$122,MATCH($D34,'9_UK_Vol_Input'!$A$49:$A$122,0)),"")</f>
        <v/>
      </c>
      <c r="J34" s="39">
        <f>IFERROR(INDEX('9_UK_Vol_Input'!$D$20:$D$44,MATCH($E34,'9_UK_Vol_Input'!$A$20:$A$44,0)),"")</f>
        <v/>
      </c>
      <c r="K34" s="40">
        <f>IFERROR(INDEX('9_UK_Vol_Input'!$E$20:$E$44,MATCH($E34,'9_UK_Vol_Input'!$A$20:$A$44,0)),"")</f>
        <v/>
      </c>
      <c r="L34" s="39">
        <f>IFERROR(INDEX('9_UK_Vol_Input'!$D$5:$D$15,MATCH($C34,'9_UK_Vol_Input'!$A$5:$A$15,0)),"")</f>
        <v/>
      </c>
      <c r="M34" s="40">
        <f>IFERROR(INDEX('9_UK_Vol_Input'!$E$5:$E$15,MATCH($C34,'9_UK_Vol_Input'!$A$5:$A$15,0)),"")</f>
        <v/>
      </c>
      <c r="N34" s="22">
        <f>IF(F34&lt;&gt;"",F34/(1+G34),IF(H34&lt;&gt;"",H34/(1+I34),IF(J34&lt;&gt;"",J34/(1+K34),IF(L34&lt;&gt;"",L34/(1+M34),""))))</f>
        <v/>
      </c>
      <c r="O34" s="36">
        <f>IFERROR(INDEX('7_UK_Beta_Input'!$D$127:$D$289,MATCH($A34,'7_UK_Beta_Input'!$A$127:$A$289,0)),"")</f>
        <v/>
      </c>
      <c r="P34" s="36">
        <f>IFERROR(INDEX('7_UK_Beta_Input'!$D$49:$D$122,MATCH($D34,'7_UK_Beta_Input'!$A$49:$A$122,0)),"")</f>
        <v/>
      </c>
      <c r="Q34" s="36">
        <f>IFERROR(INDEX('7_UK_Beta_Input'!$D$20:$D$44,MATCH($E34,'7_UK_Beta_Input'!$A$20:$A$44,0)),"")</f>
        <v/>
      </c>
      <c r="R34" s="36">
        <f>IFERROR(INDEX('7_UK_Beta_Input'!$D$5:$D$15,MATCH($C34,'7_UK_Beta_Input'!$A$5:$A$15,0)),"")</f>
        <v/>
      </c>
      <c r="S34" s="22">
        <f>IF(O34&lt;&gt;"",O34*'6_Credit_Bridge_Assumptions'!$B$8,IF(P34&lt;&gt;"",P34*'6_Credit_Bridge_Assumptions'!$B$8,IF(Q34&lt;&gt;"",Q34*'6_Credit_Bridge_Assumptions'!$B$8,IF(R34&lt;&gt;"",R34*'6_Credit_Bridge_Assumptions'!$B$8,""))))</f>
        <v/>
      </c>
      <c r="T34" s="22">
        <f>IF(N34&lt;&gt;"",N34,S34)</f>
        <v/>
      </c>
    </row>
    <row r="35">
      <c r="A35" s="6" t="n">
        <v>20106020</v>
      </c>
      <c r="B35" s="6" t="inlineStr">
        <is>
          <t>Industrial Machinery &amp; Supplies &amp; Components</t>
        </is>
      </c>
      <c r="C35" s="6" t="n">
        <v>20</v>
      </c>
      <c r="D35" s="6" t="n">
        <v>201060</v>
      </c>
      <c r="E35" s="6" t="n">
        <v>2010</v>
      </c>
      <c r="F35" s="39">
        <f>IFERROR(INDEX('9_UK_Vol_Input'!$D$127:$D$289,MATCH($A35,'9_UK_Vol_Input'!$A$127:$A$289,0)),"")</f>
        <v/>
      </c>
      <c r="G35" s="40">
        <f>IFERROR(INDEX('9_UK_Vol_Input'!$E$127:$E$289,MATCH($A35,'9_UK_Vol_Input'!$A$127:$A$289,0)),"")</f>
        <v/>
      </c>
      <c r="H35" s="39">
        <f>IFERROR(INDEX('9_UK_Vol_Input'!$D$49:$D$122,MATCH($D35,'9_UK_Vol_Input'!$A$49:$A$122,0)),"")</f>
        <v/>
      </c>
      <c r="I35" s="40">
        <f>IFERROR(INDEX('9_UK_Vol_Input'!$E$49:$E$122,MATCH($D35,'9_UK_Vol_Input'!$A$49:$A$122,0)),"")</f>
        <v/>
      </c>
      <c r="J35" s="39">
        <f>IFERROR(INDEX('9_UK_Vol_Input'!$D$20:$D$44,MATCH($E35,'9_UK_Vol_Input'!$A$20:$A$44,0)),"")</f>
        <v/>
      </c>
      <c r="K35" s="40">
        <f>IFERROR(INDEX('9_UK_Vol_Input'!$E$20:$E$44,MATCH($E35,'9_UK_Vol_Input'!$A$20:$A$44,0)),"")</f>
        <v/>
      </c>
      <c r="L35" s="39">
        <f>IFERROR(INDEX('9_UK_Vol_Input'!$D$5:$D$15,MATCH($C35,'9_UK_Vol_Input'!$A$5:$A$15,0)),"")</f>
        <v/>
      </c>
      <c r="M35" s="40">
        <f>IFERROR(INDEX('9_UK_Vol_Input'!$E$5:$E$15,MATCH($C35,'9_UK_Vol_Input'!$A$5:$A$15,0)),"")</f>
        <v/>
      </c>
      <c r="N35" s="22">
        <f>IF(F35&lt;&gt;"",F35/(1+G35),IF(H35&lt;&gt;"",H35/(1+I35),IF(J35&lt;&gt;"",J35/(1+K35),IF(L35&lt;&gt;"",L35/(1+M35),""))))</f>
        <v/>
      </c>
      <c r="O35" s="36">
        <f>IFERROR(INDEX('7_UK_Beta_Input'!$D$127:$D$289,MATCH($A35,'7_UK_Beta_Input'!$A$127:$A$289,0)),"")</f>
        <v/>
      </c>
      <c r="P35" s="36">
        <f>IFERROR(INDEX('7_UK_Beta_Input'!$D$49:$D$122,MATCH($D35,'7_UK_Beta_Input'!$A$49:$A$122,0)),"")</f>
        <v/>
      </c>
      <c r="Q35" s="36">
        <f>IFERROR(INDEX('7_UK_Beta_Input'!$D$20:$D$44,MATCH($E35,'7_UK_Beta_Input'!$A$20:$A$44,0)),"")</f>
        <v/>
      </c>
      <c r="R35" s="36">
        <f>IFERROR(INDEX('7_UK_Beta_Input'!$D$5:$D$15,MATCH($C35,'7_UK_Beta_Input'!$A$5:$A$15,0)),"")</f>
        <v/>
      </c>
      <c r="S35" s="22">
        <f>IF(O35&lt;&gt;"",O35*'6_Credit_Bridge_Assumptions'!$B$8,IF(P35&lt;&gt;"",P35*'6_Credit_Bridge_Assumptions'!$B$8,IF(Q35&lt;&gt;"",Q35*'6_Credit_Bridge_Assumptions'!$B$8,IF(R35&lt;&gt;"",R35*'6_Credit_Bridge_Assumptions'!$B$8,""))))</f>
        <v/>
      </c>
      <c r="T35" s="22">
        <f>IF(N35&lt;&gt;"",N35,S35)</f>
        <v/>
      </c>
    </row>
    <row r="36">
      <c r="A36" s="6" t="n">
        <v>20107010</v>
      </c>
      <c r="B36" s="6" t="inlineStr">
        <is>
          <t>Trading Companies &amp; Distributors</t>
        </is>
      </c>
      <c r="C36" s="6" t="n">
        <v>20</v>
      </c>
      <c r="D36" s="6" t="n">
        <v>201070</v>
      </c>
      <c r="E36" s="6" t="n">
        <v>2010</v>
      </c>
      <c r="F36" s="39">
        <f>IFERROR(INDEX('9_UK_Vol_Input'!$D$127:$D$289,MATCH($A36,'9_UK_Vol_Input'!$A$127:$A$289,0)),"")</f>
        <v/>
      </c>
      <c r="G36" s="40">
        <f>IFERROR(INDEX('9_UK_Vol_Input'!$E$127:$E$289,MATCH($A36,'9_UK_Vol_Input'!$A$127:$A$289,0)),"")</f>
        <v/>
      </c>
      <c r="H36" s="39">
        <f>IFERROR(INDEX('9_UK_Vol_Input'!$D$49:$D$122,MATCH($D36,'9_UK_Vol_Input'!$A$49:$A$122,0)),"")</f>
        <v/>
      </c>
      <c r="I36" s="40">
        <f>IFERROR(INDEX('9_UK_Vol_Input'!$E$49:$E$122,MATCH($D36,'9_UK_Vol_Input'!$A$49:$A$122,0)),"")</f>
        <v/>
      </c>
      <c r="J36" s="39">
        <f>IFERROR(INDEX('9_UK_Vol_Input'!$D$20:$D$44,MATCH($E36,'9_UK_Vol_Input'!$A$20:$A$44,0)),"")</f>
        <v/>
      </c>
      <c r="K36" s="40">
        <f>IFERROR(INDEX('9_UK_Vol_Input'!$E$20:$E$44,MATCH($E36,'9_UK_Vol_Input'!$A$20:$A$44,0)),"")</f>
        <v/>
      </c>
      <c r="L36" s="39">
        <f>IFERROR(INDEX('9_UK_Vol_Input'!$D$5:$D$15,MATCH($C36,'9_UK_Vol_Input'!$A$5:$A$15,0)),"")</f>
        <v/>
      </c>
      <c r="M36" s="40">
        <f>IFERROR(INDEX('9_UK_Vol_Input'!$E$5:$E$15,MATCH($C36,'9_UK_Vol_Input'!$A$5:$A$15,0)),"")</f>
        <v/>
      </c>
      <c r="N36" s="22">
        <f>IF(F36&lt;&gt;"",F36/(1+G36),IF(H36&lt;&gt;"",H36/(1+I36),IF(J36&lt;&gt;"",J36/(1+K36),IF(L36&lt;&gt;"",L36/(1+M36),""))))</f>
        <v/>
      </c>
      <c r="O36" s="36">
        <f>IFERROR(INDEX('7_UK_Beta_Input'!$D$127:$D$289,MATCH($A36,'7_UK_Beta_Input'!$A$127:$A$289,0)),"")</f>
        <v/>
      </c>
      <c r="P36" s="36">
        <f>IFERROR(INDEX('7_UK_Beta_Input'!$D$49:$D$122,MATCH($D36,'7_UK_Beta_Input'!$A$49:$A$122,0)),"")</f>
        <v/>
      </c>
      <c r="Q36" s="36">
        <f>IFERROR(INDEX('7_UK_Beta_Input'!$D$20:$D$44,MATCH($E36,'7_UK_Beta_Input'!$A$20:$A$44,0)),"")</f>
        <v/>
      </c>
      <c r="R36" s="36">
        <f>IFERROR(INDEX('7_UK_Beta_Input'!$D$5:$D$15,MATCH($C36,'7_UK_Beta_Input'!$A$5:$A$15,0)),"")</f>
        <v/>
      </c>
      <c r="S36" s="22">
        <f>IF(O36&lt;&gt;"",O36*'6_Credit_Bridge_Assumptions'!$B$8,IF(P36&lt;&gt;"",P36*'6_Credit_Bridge_Assumptions'!$B$8,IF(Q36&lt;&gt;"",Q36*'6_Credit_Bridge_Assumptions'!$B$8,IF(R36&lt;&gt;"",R36*'6_Credit_Bridge_Assumptions'!$B$8,""))))</f>
        <v/>
      </c>
      <c r="T36" s="22">
        <f>IF(N36&lt;&gt;"",N36,S36)</f>
        <v/>
      </c>
    </row>
    <row r="37">
      <c r="A37" s="6" t="n">
        <v>20201010</v>
      </c>
      <c r="B37" s="6" t="inlineStr">
        <is>
          <t>Commercial Printing</t>
        </is>
      </c>
      <c r="C37" s="6" t="n">
        <v>20</v>
      </c>
      <c r="D37" s="6" t="n">
        <v>202010</v>
      </c>
      <c r="E37" s="6" t="n">
        <v>2020</v>
      </c>
      <c r="F37" s="39">
        <f>IFERROR(INDEX('9_UK_Vol_Input'!$D$127:$D$289,MATCH($A37,'9_UK_Vol_Input'!$A$127:$A$289,0)),"")</f>
        <v/>
      </c>
      <c r="G37" s="40">
        <f>IFERROR(INDEX('9_UK_Vol_Input'!$E$127:$E$289,MATCH($A37,'9_UK_Vol_Input'!$A$127:$A$289,0)),"")</f>
        <v/>
      </c>
      <c r="H37" s="39">
        <f>IFERROR(INDEX('9_UK_Vol_Input'!$D$49:$D$122,MATCH($D37,'9_UK_Vol_Input'!$A$49:$A$122,0)),"")</f>
        <v/>
      </c>
      <c r="I37" s="40">
        <f>IFERROR(INDEX('9_UK_Vol_Input'!$E$49:$E$122,MATCH($D37,'9_UK_Vol_Input'!$A$49:$A$122,0)),"")</f>
        <v/>
      </c>
      <c r="J37" s="39">
        <f>IFERROR(INDEX('9_UK_Vol_Input'!$D$20:$D$44,MATCH($E37,'9_UK_Vol_Input'!$A$20:$A$44,0)),"")</f>
        <v/>
      </c>
      <c r="K37" s="40">
        <f>IFERROR(INDEX('9_UK_Vol_Input'!$E$20:$E$44,MATCH($E37,'9_UK_Vol_Input'!$A$20:$A$44,0)),"")</f>
        <v/>
      </c>
      <c r="L37" s="39">
        <f>IFERROR(INDEX('9_UK_Vol_Input'!$D$5:$D$15,MATCH($C37,'9_UK_Vol_Input'!$A$5:$A$15,0)),"")</f>
        <v/>
      </c>
      <c r="M37" s="40">
        <f>IFERROR(INDEX('9_UK_Vol_Input'!$E$5:$E$15,MATCH($C37,'9_UK_Vol_Input'!$A$5:$A$15,0)),"")</f>
        <v/>
      </c>
      <c r="N37" s="22">
        <f>IF(F37&lt;&gt;"",F37/(1+G37),IF(H37&lt;&gt;"",H37/(1+I37),IF(J37&lt;&gt;"",J37/(1+K37),IF(L37&lt;&gt;"",L37/(1+M37),""))))</f>
        <v/>
      </c>
      <c r="O37" s="36">
        <f>IFERROR(INDEX('7_UK_Beta_Input'!$D$127:$D$289,MATCH($A37,'7_UK_Beta_Input'!$A$127:$A$289,0)),"")</f>
        <v/>
      </c>
      <c r="P37" s="36">
        <f>IFERROR(INDEX('7_UK_Beta_Input'!$D$49:$D$122,MATCH($D37,'7_UK_Beta_Input'!$A$49:$A$122,0)),"")</f>
        <v/>
      </c>
      <c r="Q37" s="36">
        <f>IFERROR(INDEX('7_UK_Beta_Input'!$D$20:$D$44,MATCH($E37,'7_UK_Beta_Input'!$A$20:$A$44,0)),"")</f>
        <v/>
      </c>
      <c r="R37" s="36">
        <f>IFERROR(INDEX('7_UK_Beta_Input'!$D$5:$D$15,MATCH($C37,'7_UK_Beta_Input'!$A$5:$A$15,0)),"")</f>
        <v/>
      </c>
      <c r="S37" s="22">
        <f>IF(O37&lt;&gt;"",O37*'6_Credit_Bridge_Assumptions'!$B$8,IF(P37&lt;&gt;"",P37*'6_Credit_Bridge_Assumptions'!$B$8,IF(Q37&lt;&gt;"",Q37*'6_Credit_Bridge_Assumptions'!$B$8,IF(R37&lt;&gt;"",R37*'6_Credit_Bridge_Assumptions'!$B$8,""))))</f>
        <v/>
      </c>
      <c r="T37" s="22">
        <f>IF(N37&lt;&gt;"",N37,S37)</f>
        <v/>
      </c>
    </row>
    <row r="38">
      <c r="A38" s="6" t="n">
        <v>20201050</v>
      </c>
      <c r="B38" s="6" t="inlineStr">
        <is>
          <t>Environmental &amp; Facilities Services</t>
        </is>
      </c>
      <c r="C38" s="6" t="n">
        <v>20</v>
      </c>
      <c r="D38" s="6" t="n">
        <v>202010</v>
      </c>
      <c r="E38" s="6" t="n">
        <v>2020</v>
      </c>
      <c r="F38" s="39">
        <f>IFERROR(INDEX('9_UK_Vol_Input'!$D$127:$D$289,MATCH($A38,'9_UK_Vol_Input'!$A$127:$A$289,0)),"")</f>
        <v/>
      </c>
      <c r="G38" s="40">
        <f>IFERROR(INDEX('9_UK_Vol_Input'!$E$127:$E$289,MATCH($A38,'9_UK_Vol_Input'!$A$127:$A$289,0)),"")</f>
        <v/>
      </c>
      <c r="H38" s="39">
        <f>IFERROR(INDEX('9_UK_Vol_Input'!$D$49:$D$122,MATCH($D38,'9_UK_Vol_Input'!$A$49:$A$122,0)),"")</f>
        <v/>
      </c>
      <c r="I38" s="40">
        <f>IFERROR(INDEX('9_UK_Vol_Input'!$E$49:$E$122,MATCH($D38,'9_UK_Vol_Input'!$A$49:$A$122,0)),"")</f>
        <v/>
      </c>
      <c r="J38" s="39">
        <f>IFERROR(INDEX('9_UK_Vol_Input'!$D$20:$D$44,MATCH($E38,'9_UK_Vol_Input'!$A$20:$A$44,0)),"")</f>
        <v/>
      </c>
      <c r="K38" s="40">
        <f>IFERROR(INDEX('9_UK_Vol_Input'!$E$20:$E$44,MATCH($E38,'9_UK_Vol_Input'!$A$20:$A$44,0)),"")</f>
        <v/>
      </c>
      <c r="L38" s="39">
        <f>IFERROR(INDEX('9_UK_Vol_Input'!$D$5:$D$15,MATCH($C38,'9_UK_Vol_Input'!$A$5:$A$15,0)),"")</f>
        <v/>
      </c>
      <c r="M38" s="40">
        <f>IFERROR(INDEX('9_UK_Vol_Input'!$E$5:$E$15,MATCH($C38,'9_UK_Vol_Input'!$A$5:$A$15,0)),"")</f>
        <v/>
      </c>
      <c r="N38" s="22">
        <f>IF(F38&lt;&gt;"",F38/(1+G38),IF(H38&lt;&gt;"",H38/(1+I38),IF(J38&lt;&gt;"",J38/(1+K38),IF(L38&lt;&gt;"",L38/(1+M38),""))))</f>
        <v/>
      </c>
      <c r="O38" s="36">
        <f>IFERROR(INDEX('7_UK_Beta_Input'!$D$127:$D$289,MATCH($A38,'7_UK_Beta_Input'!$A$127:$A$289,0)),"")</f>
        <v/>
      </c>
      <c r="P38" s="36">
        <f>IFERROR(INDEX('7_UK_Beta_Input'!$D$49:$D$122,MATCH($D38,'7_UK_Beta_Input'!$A$49:$A$122,0)),"")</f>
        <v/>
      </c>
      <c r="Q38" s="36">
        <f>IFERROR(INDEX('7_UK_Beta_Input'!$D$20:$D$44,MATCH($E38,'7_UK_Beta_Input'!$A$20:$A$44,0)),"")</f>
        <v/>
      </c>
      <c r="R38" s="36">
        <f>IFERROR(INDEX('7_UK_Beta_Input'!$D$5:$D$15,MATCH($C38,'7_UK_Beta_Input'!$A$5:$A$15,0)),"")</f>
        <v/>
      </c>
      <c r="S38" s="22">
        <f>IF(O38&lt;&gt;"",O38*'6_Credit_Bridge_Assumptions'!$B$8,IF(P38&lt;&gt;"",P38*'6_Credit_Bridge_Assumptions'!$B$8,IF(Q38&lt;&gt;"",Q38*'6_Credit_Bridge_Assumptions'!$B$8,IF(R38&lt;&gt;"",R38*'6_Credit_Bridge_Assumptions'!$B$8,""))))</f>
        <v/>
      </c>
      <c r="T38" s="22">
        <f>IF(N38&lt;&gt;"",N38,S38)</f>
        <v/>
      </c>
    </row>
    <row r="39">
      <c r="A39" s="6" t="n">
        <v>20201060</v>
      </c>
      <c r="B39" s="6" t="inlineStr">
        <is>
          <t>Office Services &amp; Supplies</t>
        </is>
      </c>
      <c r="C39" s="6" t="n">
        <v>20</v>
      </c>
      <c r="D39" s="6" t="n">
        <v>202010</v>
      </c>
      <c r="E39" s="6" t="n">
        <v>2020</v>
      </c>
      <c r="F39" s="39">
        <f>IFERROR(INDEX('9_UK_Vol_Input'!$D$127:$D$289,MATCH($A39,'9_UK_Vol_Input'!$A$127:$A$289,0)),"")</f>
        <v/>
      </c>
      <c r="G39" s="40">
        <f>IFERROR(INDEX('9_UK_Vol_Input'!$E$127:$E$289,MATCH($A39,'9_UK_Vol_Input'!$A$127:$A$289,0)),"")</f>
        <v/>
      </c>
      <c r="H39" s="39">
        <f>IFERROR(INDEX('9_UK_Vol_Input'!$D$49:$D$122,MATCH($D39,'9_UK_Vol_Input'!$A$49:$A$122,0)),"")</f>
        <v/>
      </c>
      <c r="I39" s="40">
        <f>IFERROR(INDEX('9_UK_Vol_Input'!$E$49:$E$122,MATCH($D39,'9_UK_Vol_Input'!$A$49:$A$122,0)),"")</f>
        <v/>
      </c>
      <c r="J39" s="39">
        <f>IFERROR(INDEX('9_UK_Vol_Input'!$D$20:$D$44,MATCH($E39,'9_UK_Vol_Input'!$A$20:$A$44,0)),"")</f>
        <v/>
      </c>
      <c r="K39" s="40">
        <f>IFERROR(INDEX('9_UK_Vol_Input'!$E$20:$E$44,MATCH($E39,'9_UK_Vol_Input'!$A$20:$A$44,0)),"")</f>
        <v/>
      </c>
      <c r="L39" s="39">
        <f>IFERROR(INDEX('9_UK_Vol_Input'!$D$5:$D$15,MATCH($C39,'9_UK_Vol_Input'!$A$5:$A$15,0)),"")</f>
        <v/>
      </c>
      <c r="M39" s="40">
        <f>IFERROR(INDEX('9_UK_Vol_Input'!$E$5:$E$15,MATCH($C39,'9_UK_Vol_Input'!$A$5:$A$15,0)),"")</f>
        <v/>
      </c>
      <c r="N39" s="22">
        <f>IF(F39&lt;&gt;"",F39/(1+G39),IF(H39&lt;&gt;"",H39/(1+I39),IF(J39&lt;&gt;"",J39/(1+K39),IF(L39&lt;&gt;"",L39/(1+M39),""))))</f>
        <v/>
      </c>
      <c r="O39" s="36">
        <f>IFERROR(INDEX('7_UK_Beta_Input'!$D$127:$D$289,MATCH($A39,'7_UK_Beta_Input'!$A$127:$A$289,0)),"")</f>
        <v/>
      </c>
      <c r="P39" s="36">
        <f>IFERROR(INDEX('7_UK_Beta_Input'!$D$49:$D$122,MATCH($D39,'7_UK_Beta_Input'!$A$49:$A$122,0)),"")</f>
        <v/>
      </c>
      <c r="Q39" s="36">
        <f>IFERROR(INDEX('7_UK_Beta_Input'!$D$20:$D$44,MATCH($E39,'7_UK_Beta_Input'!$A$20:$A$44,0)),"")</f>
        <v/>
      </c>
      <c r="R39" s="36">
        <f>IFERROR(INDEX('7_UK_Beta_Input'!$D$5:$D$15,MATCH($C39,'7_UK_Beta_Input'!$A$5:$A$15,0)),"")</f>
        <v/>
      </c>
      <c r="S39" s="22">
        <f>IF(O39&lt;&gt;"",O39*'6_Credit_Bridge_Assumptions'!$B$8,IF(P39&lt;&gt;"",P39*'6_Credit_Bridge_Assumptions'!$B$8,IF(Q39&lt;&gt;"",Q39*'6_Credit_Bridge_Assumptions'!$B$8,IF(R39&lt;&gt;"",R39*'6_Credit_Bridge_Assumptions'!$B$8,""))))</f>
        <v/>
      </c>
      <c r="T39" s="22">
        <f>IF(N39&lt;&gt;"",N39,S39)</f>
        <v/>
      </c>
    </row>
    <row r="40">
      <c r="A40" s="6" t="n">
        <v>20201070</v>
      </c>
      <c r="B40" s="6" t="inlineStr">
        <is>
          <t>Diversified Support Services</t>
        </is>
      </c>
      <c r="C40" s="6" t="n">
        <v>20</v>
      </c>
      <c r="D40" s="6" t="n">
        <v>202010</v>
      </c>
      <c r="E40" s="6" t="n">
        <v>2020</v>
      </c>
      <c r="F40" s="39">
        <f>IFERROR(INDEX('9_UK_Vol_Input'!$D$127:$D$289,MATCH($A40,'9_UK_Vol_Input'!$A$127:$A$289,0)),"")</f>
        <v/>
      </c>
      <c r="G40" s="40">
        <f>IFERROR(INDEX('9_UK_Vol_Input'!$E$127:$E$289,MATCH($A40,'9_UK_Vol_Input'!$A$127:$A$289,0)),"")</f>
        <v/>
      </c>
      <c r="H40" s="39">
        <f>IFERROR(INDEX('9_UK_Vol_Input'!$D$49:$D$122,MATCH($D40,'9_UK_Vol_Input'!$A$49:$A$122,0)),"")</f>
        <v/>
      </c>
      <c r="I40" s="40">
        <f>IFERROR(INDEX('9_UK_Vol_Input'!$E$49:$E$122,MATCH($D40,'9_UK_Vol_Input'!$A$49:$A$122,0)),"")</f>
        <v/>
      </c>
      <c r="J40" s="39">
        <f>IFERROR(INDEX('9_UK_Vol_Input'!$D$20:$D$44,MATCH($E40,'9_UK_Vol_Input'!$A$20:$A$44,0)),"")</f>
        <v/>
      </c>
      <c r="K40" s="40">
        <f>IFERROR(INDEX('9_UK_Vol_Input'!$E$20:$E$44,MATCH($E40,'9_UK_Vol_Input'!$A$20:$A$44,0)),"")</f>
        <v/>
      </c>
      <c r="L40" s="39">
        <f>IFERROR(INDEX('9_UK_Vol_Input'!$D$5:$D$15,MATCH($C40,'9_UK_Vol_Input'!$A$5:$A$15,0)),"")</f>
        <v/>
      </c>
      <c r="M40" s="40">
        <f>IFERROR(INDEX('9_UK_Vol_Input'!$E$5:$E$15,MATCH($C40,'9_UK_Vol_Input'!$A$5:$A$15,0)),"")</f>
        <v/>
      </c>
      <c r="N40" s="22">
        <f>IF(F40&lt;&gt;"",F40/(1+G40),IF(H40&lt;&gt;"",H40/(1+I40),IF(J40&lt;&gt;"",J40/(1+K40),IF(L40&lt;&gt;"",L40/(1+M40),""))))</f>
        <v/>
      </c>
      <c r="O40" s="36">
        <f>IFERROR(INDEX('7_UK_Beta_Input'!$D$127:$D$289,MATCH($A40,'7_UK_Beta_Input'!$A$127:$A$289,0)),"")</f>
        <v/>
      </c>
      <c r="P40" s="36">
        <f>IFERROR(INDEX('7_UK_Beta_Input'!$D$49:$D$122,MATCH($D40,'7_UK_Beta_Input'!$A$49:$A$122,0)),"")</f>
        <v/>
      </c>
      <c r="Q40" s="36">
        <f>IFERROR(INDEX('7_UK_Beta_Input'!$D$20:$D$44,MATCH($E40,'7_UK_Beta_Input'!$A$20:$A$44,0)),"")</f>
        <v/>
      </c>
      <c r="R40" s="36">
        <f>IFERROR(INDEX('7_UK_Beta_Input'!$D$5:$D$15,MATCH($C40,'7_UK_Beta_Input'!$A$5:$A$15,0)),"")</f>
        <v/>
      </c>
      <c r="S40" s="22">
        <f>IF(O40&lt;&gt;"",O40*'6_Credit_Bridge_Assumptions'!$B$8,IF(P40&lt;&gt;"",P40*'6_Credit_Bridge_Assumptions'!$B$8,IF(Q40&lt;&gt;"",Q40*'6_Credit_Bridge_Assumptions'!$B$8,IF(R40&lt;&gt;"",R40*'6_Credit_Bridge_Assumptions'!$B$8,""))))</f>
        <v/>
      </c>
      <c r="T40" s="22">
        <f>IF(N40&lt;&gt;"",N40,S40)</f>
        <v/>
      </c>
    </row>
    <row r="41">
      <c r="A41" s="6" t="n">
        <v>20201080</v>
      </c>
      <c r="B41" s="6" t="inlineStr">
        <is>
          <t>Security &amp; Alarm Services</t>
        </is>
      </c>
      <c r="C41" s="6" t="n">
        <v>20</v>
      </c>
      <c r="D41" s="6" t="n">
        <v>202010</v>
      </c>
      <c r="E41" s="6" t="n">
        <v>2020</v>
      </c>
      <c r="F41" s="39">
        <f>IFERROR(INDEX('9_UK_Vol_Input'!$D$127:$D$289,MATCH($A41,'9_UK_Vol_Input'!$A$127:$A$289,0)),"")</f>
        <v/>
      </c>
      <c r="G41" s="40">
        <f>IFERROR(INDEX('9_UK_Vol_Input'!$E$127:$E$289,MATCH($A41,'9_UK_Vol_Input'!$A$127:$A$289,0)),"")</f>
        <v/>
      </c>
      <c r="H41" s="39">
        <f>IFERROR(INDEX('9_UK_Vol_Input'!$D$49:$D$122,MATCH($D41,'9_UK_Vol_Input'!$A$49:$A$122,0)),"")</f>
        <v/>
      </c>
      <c r="I41" s="40">
        <f>IFERROR(INDEX('9_UK_Vol_Input'!$E$49:$E$122,MATCH($D41,'9_UK_Vol_Input'!$A$49:$A$122,0)),"")</f>
        <v/>
      </c>
      <c r="J41" s="39">
        <f>IFERROR(INDEX('9_UK_Vol_Input'!$D$20:$D$44,MATCH($E41,'9_UK_Vol_Input'!$A$20:$A$44,0)),"")</f>
        <v/>
      </c>
      <c r="K41" s="40">
        <f>IFERROR(INDEX('9_UK_Vol_Input'!$E$20:$E$44,MATCH($E41,'9_UK_Vol_Input'!$A$20:$A$44,0)),"")</f>
        <v/>
      </c>
      <c r="L41" s="39">
        <f>IFERROR(INDEX('9_UK_Vol_Input'!$D$5:$D$15,MATCH($C41,'9_UK_Vol_Input'!$A$5:$A$15,0)),"")</f>
        <v/>
      </c>
      <c r="M41" s="40">
        <f>IFERROR(INDEX('9_UK_Vol_Input'!$E$5:$E$15,MATCH($C41,'9_UK_Vol_Input'!$A$5:$A$15,0)),"")</f>
        <v/>
      </c>
      <c r="N41" s="22">
        <f>IF(F41&lt;&gt;"",F41/(1+G41),IF(H41&lt;&gt;"",H41/(1+I41),IF(J41&lt;&gt;"",J41/(1+K41),IF(L41&lt;&gt;"",L41/(1+M41),""))))</f>
        <v/>
      </c>
      <c r="O41" s="36">
        <f>IFERROR(INDEX('7_UK_Beta_Input'!$D$127:$D$289,MATCH($A41,'7_UK_Beta_Input'!$A$127:$A$289,0)),"")</f>
        <v/>
      </c>
      <c r="P41" s="36">
        <f>IFERROR(INDEX('7_UK_Beta_Input'!$D$49:$D$122,MATCH($D41,'7_UK_Beta_Input'!$A$49:$A$122,0)),"")</f>
        <v/>
      </c>
      <c r="Q41" s="36">
        <f>IFERROR(INDEX('7_UK_Beta_Input'!$D$20:$D$44,MATCH($E41,'7_UK_Beta_Input'!$A$20:$A$44,0)),"")</f>
        <v/>
      </c>
      <c r="R41" s="36">
        <f>IFERROR(INDEX('7_UK_Beta_Input'!$D$5:$D$15,MATCH($C41,'7_UK_Beta_Input'!$A$5:$A$15,0)),"")</f>
        <v/>
      </c>
      <c r="S41" s="22">
        <f>IF(O41&lt;&gt;"",O41*'6_Credit_Bridge_Assumptions'!$B$8,IF(P41&lt;&gt;"",P41*'6_Credit_Bridge_Assumptions'!$B$8,IF(Q41&lt;&gt;"",Q41*'6_Credit_Bridge_Assumptions'!$B$8,IF(R41&lt;&gt;"",R41*'6_Credit_Bridge_Assumptions'!$B$8,""))))</f>
        <v/>
      </c>
      <c r="T41" s="22">
        <f>IF(N41&lt;&gt;"",N41,S41)</f>
        <v/>
      </c>
    </row>
    <row r="42">
      <c r="A42" s="6" t="n">
        <v>20202010</v>
      </c>
      <c r="B42" s="6" t="inlineStr">
        <is>
          <t>Human Resource &amp; Employment Services</t>
        </is>
      </c>
      <c r="C42" s="6" t="n">
        <v>20</v>
      </c>
      <c r="D42" s="6" t="n">
        <v>202020</v>
      </c>
      <c r="E42" s="6" t="n">
        <v>2020</v>
      </c>
      <c r="F42" s="39">
        <f>IFERROR(INDEX('9_UK_Vol_Input'!$D$127:$D$289,MATCH($A42,'9_UK_Vol_Input'!$A$127:$A$289,0)),"")</f>
        <v/>
      </c>
      <c r="G42" s="40">
        <f>IFERROR(INDEX('9_UK_Vol_Input'!$E$127:$E$289,MATCH($A42,'9_UK_Vol_Input'!$A$127:$A$289,0)),"")</f>
        <v/>
      </c>
      <c r="H42" s="39">
        <f>IFERROR(INDEX('9_UK_Vol_Input'!$D$49:$D$122,MATCH($D42,'9_UK_Vol_Input'!$A$49:$A$122,0)),"")</f>
        <v/>
      </c>
      <c r="I42" s="40">
        <f>IFERROR(INDEX('9_UK_Vol_Input'!$E$49:$E$122,MATCH($D42,'9_UK_Vol_Input'!$A$49:$A$122,0)),"")</f>
        <v/>
      </c>
      <c r="J42" s="39">
        <f>IFERROR(INDEX('9_UK_Vol_Input'!$D$20:$D$44,MATCH($E42,'9_UK_Vol_Input'!$A$20:$A$44,0)),"")</f>
        <v/>
      </c>
      <c r="K42" s="40">
        <f>IFERROR(INDEX('9_UK_Vol_Input'!$E$20:$E$44,MATCH($E42,'9_UK_Vol_Input'!$A$20:$A$44,0)),"")</f>
        <v/>
      </c>
      <c r="L42" s="39">
        <f>IFERROR(INDEX('9_UK_Vol_Input'!$D$5:$D$15,MATCH($C42,'9_UK_Vol_Input'!$A$5:$A$15,0)),"")</f>
        <v/>
      </c>
      <c r="M42" s="40">
        <f>IFERROR(INDEX('9_UK_Vol_Input'!$E$5:$E$15,MATCH($C42,'9_UK_Vol_Input'!$A$5:$A$15,0)),"")</f>
        <v/>
      </c>
      <c r="N42" s="22">
        <f>IF(F42&lt;&gt;"",F42/(1+G42),IF(H42&lt;&gt;"",H42/(1+I42),IF(J42&lt;&gt;"",J42/(1+K42),IF(L42&lt;&gt;"",L42/(1+M42),""))))</f>
        <v/>
      </c>
      <c r="O42" s="36">
        <f>IFERROR(INDEX('7_UK_Beta_Input'!$D$127:$D$289,MATCH($A42,'7_UK_Beta_Input'!$A$127:$A$289,0)),"")</f>
        <v/>
      </c>
      <c r="P42" s="36">
        <f>IFERROR(INDEX('7_UK_Beta_Input'!$D$49:$D$122,MATCH($D42,'7_UK_Beta_Input'!$A$49:$A$122,0)),"")</f>
        <v/>
      </c>
      <c r="Q42" s="36">
        <f>IFERROR(INDEX('7_UK_Beta_Input'!$D$20:$D$44,MATCH($E42,'7_UK_Beta_Input'!$A$20:$A$44,0)),"")</f>
        <v/>
      </c>
      <c r="R42" s="36">
        <f>IFERROR(INDEX('7_UK_Beta_Input'!$D$5:$D$15,MATCH($C42,'7_UK_Beta_Input'!$A$5:$A$15,0)),"")</f>
        <v/>
      </c>
      <c r="S42" s="22">
        <f>IF(O42&lt;&gt;"",O42*'6_Credit_Bridge_Assumptions'!$B$8,IF(P42&lt;&gt;"",P42*'6_Credit_Bridge_Assumptions'!$B$8,IF(Q42&lt;&gt;"",Q42*'6_Credit_Bridge_Assumptions'!$B$8,IF(R42&lt;&gt;"",R42*'6_Credit_Bridge_Assumptions'!$B$8,""))))</f>
        <v/>
      </c>
      <c r="T42" s="22">
        <f>IF(N42&lt;&gt;"",N42,S42)</f>
        <v/>
      </c>
    </row>
    <row r="43">
      <c r="A43" s="6" t="n">
        <v>20202020</v>
      </c>
      <c r="B43" s="6" t="inlineStr">
        <is>
          <t>Research &amp; Consulting Services</t>
        </is>
      </c>
      <c r="C43" s="6" t="n">
        <v>20</v>
      </c>
      <c r="D43" s="6" t="n">
        <v>202020</v>
      </c>
      <c r="E43" s="6" t="n">
        <v>2020</v>
      </c>
      <c r="F43" s="39">
        <f>IFERROR(INDEX('9_UK_Vol_Input'!$D$127:$D$289,MATCH($A43,'9_UK_Vol_Input'!$A$127:$A$289,0)),"")</f>
        <v/>
      </c>
      <c r="G43" s="40">
        <f>IFERROR(INDEX('9_UK_Vol_Input'!$E$127:$E$289,MATCH($A43,'9_UK_Vol_Input'!$A$127:$A$289,0)),"")</f>
        <v/>
      </c>
      <c r="H43" s="39">
        <f>IFERROR(INDEX('9_UK_Vol_Input'!$D$49:$D$122,MATCH($D43,'9_UK_Vol_Input'!$A$49:$A$122,0)),"")</f>
        <v/>
      </c>
      <c r="I43" s="40">
        <f>IFERROR(INDEX('9_UK_Vol_Input'!$E$49:$E$122,MATCH($D43,'9_UK_Vol_Input'!$A$49:$A$122,0)),"")</f>
        <v/>
      </c>
      <c r="J43" s="39">
        <f>IFERROR(INDEX('9_UK_Vol_Input'!$D$20:$D$44,MATCH($E43,'9_UK_Vol_Input'!$A$20:$A$44,0)),"")</f>
        <v/>
      </c>
      <c r="K43" s="40">
        <f>IFERROR(INDEX('9_UK_Vol_Input'!$E$20:$E$44,MATCH($E43,'9_UK_Vol_Input'!$A$20:$A$44,0)),"")</f>
        <v/>
      </c>
      <c r="L43" s="39">
        <f>IFERROR(INDEX('9_UK_Vol_Input'!$D$5:$D$15,MATCH($C43,'9_UK_Vol_Input'!$A$5:$A$15,0)),"")</f>
        <v/>
      </c>
      <c r="M43" s="40">
        <f>IFERROR(INDEX('9_UK_Vol_Input'!$E$5:$E$15,MATCH($C43,'9_UK_Vol_Input'!$A$5:$A$15,0)),"")</f>
        <v/>
      </c>
      <c r="N43" s="22">
        <f>IF(F43&lt;&gt;"",F43/(1+G43),IF(H43&lt;&gt;"",H43/(1+I43),IF(J43&lt;&gt;"",J43/(1+K43),IF(L43&lt;&gt;"",L43/(1+M43),""))))</f>
        <v/>
      </c>
      <c r="O43" s="36">
        <f>IFERROR(INDEX('7_UK_Beta_Input'!$D$127:$D$289,MATCH($A43,'7_UK_Beta_Input'!$A$127:$A$289,0)),"")</f>
        <v/>
      </c>
      <c r="P43" s="36">
        <f>IFERROR(INDEX('7_UK_Beta_Input'!$D$49:$D$122,MATCH($D43,'7_UK_Beta_Input'!$A$49:$A$122,0)),"")</f>
        <v/>
      </c>
      <c r="Q43" s="36">
        <f>IFERROR(INDEX('7_UK_Beta_Input'!$D$20:$D$44,MATCH($E43,'7_UK_Beta_Input'!$A$20:$A$44,0)),"")</f>
        <v/>
      </c>
      <c r="R43" s="36">
        <f>IFERROR(INDEX('7_UK_Beta_Input'!$D$5:$D$15,MATCH($C43,'7_UK_Beta_Input'!$A$5:$A$15,0)),"")</f>
        <v/>
      </c>
      <c r="S43" s="22">
        <f>IF(O43&lt;&gt;"",O43*'6_Credit_Bridge_Assumptions'!$B$8,IF(P43&lt;&gt;"",P43*'6_Credit_Bridge_Assumptions'!$B$8,IF(Q43&lt;&gt;"",Q43*'6_Credit_Bridge_Assumptions'!$B$8,IF(R43&lt;&gt;"",R43*'6_Credit_Bridge_Assumptions'!$B$8,""))))</f>
        <v/>
      </c>
      <c r="T43" s="22">
        <f>IF(N43&lt;&gt;"",N43,S43)</f>
        <v/>
      </c>
    </row>
    <row r="44">
      <c r="A44" s="6" t="n">
        <v>20202030</v>
      </c>
      <c r="B44" s="6" t="inlineStr">
        <is>
          <t>Data Processing &amp; Outsourced Services</t>
        </is>
      </c>
      <c r="C44" s="6" t="n">
        <v>20</v>
      </c>
      <c r="D44" s="6" t="n">
        <v>202020</v>
      </c>
      <c r="E44" s="6" t="n">
        <v>2020</v>
      </c>
      <c r="F44" s="39">
        <f>IFERROR(INDEX('9_UK_Vol_Input'!$D$127:$D$289,MATCH($A44,'9_UK_Vol_Input'!$A$127:$A$289,0)),"")</f>
        <v/>
      </c>
      <c r="G44" s="40">
        <f>IFERROR(INDEX('9_UK_Vol_Input'!$E$127:$E$289,MATCH($A44,'9_UK_Vol_Input'!$A$127:$A$289,0)),"")</f>
        <v/>
      </c>
      <c r="H44" s="39">
        <f>IFERROR(INDEX('9_UK_Vol_Input'!$D$49:$D$122,MATCH($D44,'9_UK_Vol_Input'!$A$49:$A$122,0)),"")</f>
        <v/>
      </c>
      <c r="I44" s="40">
        <f>IFERROR(INDEX('9_UK_Vol_Input'!$E$49:$E$122,MATCH($D44,'9_UK_Vol_Input'!$A$49:$A$122,0)),"")</f>
        <v/>
      </c>
      <c r="J44" s="39">
        <f>IFERROR(INDEX('9_UK_Vol_Input'!$D$20:$D$44,MATCH($E44,'9_UK_Vol_Input'!$A$20:$A$44,0)),"")</f>
        <v/>
      </c>
      <c r="K44" s="40">
        <f>IFERROR(INDEX('9_UK_Vol_Input'!$E$20:$E$44,MATCH($E44,'9_UK_Vol_Input'!$A$20:$A$44,0)),"")</f>
        <v/>
      </c>
      <c r="L44" s="39">
        <f>IFERROR(INDEX('9_UK_Vol_Input'!$D$5:$D$15,MATCH($C44,'9_UK_Vol_Input'!$A$5:$A$15,0)),"")</f>
        <v/>
      </c>
      <c r="M44" s="40">
        <f>IFERROR(INDEX('9_UK_Vol_Input'!$E$5:$E$15,MATCH($C44,'9_UK_Vol_Input'!$A$5:$A$15,0)),"")</f>
        <v/>
      </c>
      <c r="N44" s="22">
        <f>IF(F44&lt;&gt;"",F44/(1+G44),IF(H44&lt;&gt;"",H44/(1+I44),IF(J44&lt;&gt;"",J44/(1+K44),IF(L44&lt;&gt;"",L44/(1+M44),""))))</f>
        <v/>
      </c>
      <c r="O44" s="36">
        <f>IFERROR(INDEX('7_UK_Beta_Input'!$D$127:$D$289,MATCH($A44,'7_UK_Beta_Input'!$A$127:$A$289,0)),"")</f>
        <v/>
      </c>
      <c r="P44" s="36">
        <f>IFERROR(INDEX('7_UK_Beta_Input'!$D$49:$D$122,MATCH($D44,'7_UK_Beta_Input'!$A$49:$A$122,0)),"")</f>
        <v/>
      </c>
      <c r="Q44" s="36">
        <f>IFERROR(INDEX('7_UK_Beta_Input'!$D$20:$D$44,MATCH($E44,'7_UK_Beta_Input'!$A$20:$A$44,0)),"")</f>
        <v/>
      </c>
      <c r="R44" s="36">
        <f>IFERROR(INDEX('7_UK_Beta_Input'!$D$5:$D$15,MATCH($C44,'7_UK_Beta_Input'!$A$5:$A$15,0)),"")</f>
        <v/>
      </c>
      <c r="S44" s="22">
        <f>IF(O44&lt;&gt;"",O44*'6_Credit_Bridge_Assumptions'!$B$8,IF(P44&lt;&gt;"",P44*'6_Credit_Bridge_Assumptions'!$B$8,IF(Q44&lt;&gt;"",Q44*'6_Credit_Bridge_Assumptions'!$B$8,IF(R44&lt;&gt;"",R44*'6_Credit_Bridge_Assumptions'!$B$8,""))))</f>
        <v/>
      </c>
      <c r="T44" s="22">
        <f>IF(N44&lt;&gt;"",N44,S44)</f>
        <v/>
      </c>
    </row>
    <row r="45">
      <c r="A45" s="6" t="n">
        <v>20301010</v>
      </c>
      <c r="B45" s="6" t="inlineStr">
        <is>
          <t>Air Freight &amp; Logistics</t>
        </is>
      </c>
      <c r="C45" s="6" t="n">
        <v>20</v>
      </c>
      <c r="D45" s="6" t="n">
        <v>203010</v>
      </c>
      <c r="E45" s="6" t="n">
        <v>2030</v>
      </c>
      <c r="F45" s="39">
        <f>IFERROR(INDEX('9_UK_Vol_Input'!$D$127:$D$289,MATCH($A45,'9_UK_Vol_Input'!$A$127:$A$289,0)),"")</f>
        <v/>
      </c>
      <c r="G45" s="40">
        <f>IFERROR(INDEX('9_UK_Vol_Input'!$E$127:$E$289,MATCH($A45,'9_UK_Vol_Input'!$A$127:$A$289,0)),"")</f>
        <v/>
      </c>
      <c r="H45" s="39">
        <f>IFERROR(INDEX('9_UK_Vol_Input'!$D$49:$D$122,MATCH($D45,'9_UK_Vol_Input'!$A$49:$A$122,0)),"")</f>
        <v/>
      </c>
      <c r="I45" s="40">
        <f>IFERROR(INDEX('9_UK_Vol_Input'!$E$49:$E$122,MATCH($D45,'9_UK_Vol_Input'!$A$49:$A$122,0)),"")</f>
        <v/>
      </c>
      <c r="J45" s="39">
        <f>IFERROR(INDEX('9_UK_Vol_Input'!$D$20:$D$44,MATCH($E45,'9_UK_Vol_Input'!$A$20:$A$44,0)),"")</f>
        <v/>
      </c>
      <c r="K45" s="40">
        <f>IFERROR(INDEX('9_UK_Vol_Input'!$E$20:$E$44,MATCH($E45,'9_UK_Vol_Input'!$A$20:$A$44,0)),"")</f>
        <v/>
      </c>
      <c r="L45" s="39">
        <f>IFERROR(INDEX('9_UK_Vol_Input'!$D$5:$D$15,MATCH($C45,'9_UK_Vol_Input'!$A$5:$A$15,0)),"")</f>
        <v/>
      </c>
      <c r="M45" s="40">
        <f>IFERROR(INDEX('9_UK_Vol_Input'!$E$5:$E$15,MATCH($C45,'9_UK_Vol_Input'!$A$5:$A$15,0)),"")</f>
        <v/>
      </c>
      <c r="N45" s="22">
        <f>IF(F45&lt;&gt;"",F45/(1+G45),IF(H45&lt;&gt;"",H45/(1+I45),IF(J45&lt;&gt;"",J45/(1+K45),IF(L45&lt;&gt;"",L45/(1+M45),""))))</f>
        <v/>
      </c>
      <c r="O45" s="36">
        <f>IFERROR(INDEX('7_UK_Beta_Input'!$D$127:$D$289,MATCH($A45,'7_UK_Beta_Input'!$A$127:$A$289,0)),"")</f>
        <v/>
      </c>
      <c r="P45" s="36">
        <f>IFERROR(INDEX('7_UK_Beta_Input'!$D$49:$D$122,MATCH($D45,'7_UK_Beta_Input'!$A$49:$A$122,0)),"")</f>
        <v/>
      </c>
      <c r="Q45" s="36">
        <f>IFERROR(INDEX('7_UK_Beta_Input'!$D$20:$D$44,MATCH($E45,'7_UK_Beta_Input'!$A$20:$A$44,0)),"")</f>
        <v/>
      </c>
      <c r="R45" s="36">
        <f>IFERROR(INDEX('7_UK_Beta_Input'!$D$5:$D$15,MATCH($C45,'7_UK_Beta_Input'!$A$5:$A$15,0)),"")</f>
        <v/>
      </c>
      <c r="S45" s="22">
        <f>IF(O45&lt;&gt;"",O45*'6_Credit_Bridge_Assumptions'!$B$8,IF(P45&lt;&gt;"",P45*'6_Credit_Bridge_Assumptions'!$B$8,IF(Q45&lt;&gt;"",Q45*'6_Credit_Bridge_Assumptions'!$B$8,IF(R45&lt;&gt;"",R45*'6_Credit_Bridge_Assumptions'!$B$8,""))))</f>
        <v/>
      </c>
      <c r="T45" s="22">
        <f>IF(N45&lt;&gt;"",N45,S45)</f>
        <v/>
      </c>
    </row>
    <row r="46">
      <c r="A46" s="6" t="n">
        <v>20302010</v>
      </c>
      <c r="B46" s="6" t="inlineStr">
        <is>
          <t>Passenger Airlines</t>
        </is>
      </c>
      <c r="C46" s="6" t="n">
        <v>20</v>
      </c>
      <c r="D46" s="6" t="n">
        <v>203020</v>
      </c>
      <c r="E46" s="6" t="n">
        <v>2030</v>
      </c>
      <c r="F46" s="39">
        <f>IFERROR(INDEX('9_UK_Vol_Input'!$D$127:$D$289,MATCH($A46,'9_UK_Vol_Input'!$A$127:$A$289,0)),"")</f>
        <v/>
      </c>
      <c r="G46" s="40">
        <f>IFERROR(INDEX('9_UK_Vol_Input'!$E$127:$E$289,MATCH($A46,'9_UK_Vol_Input'!$A$127:$A$289,0)),"")</f>
        <v/>
      </c>
      <c r="H46" s="39">
        <f>IFERROR(INDEX('9_UK_Vol_Input'!$D$49:$D$122,MATCH($D46,'9_UK_Vol_Input'!$A$49:$A$122,0)),"")</f>
        <v/>
      </c>
      <c r="I46" s="40">
        <f>IFERROR(INDEX('9_UK_Vol_Input'!$E$49:$E$122,MATCH($D46,'9_UK_Vol_Input'!$A$49:$A$122,0)),"")</f>
        <v/>
      </c>
      <c r="J46" s="39">
        <f>IFERROR(INDEX('9_UK_Vol_Input'!$D$20:$D$44,MATCH($E46,'9_UK_Vol_Input'!$A$20:$A$44,0)),"")</f>
        <v/>
      </c>
      <c r="K46" s="40">
        <f>IFERROR(INDEX('9_UK_Vol_Input'!$E$20:$E$44,MATCH($E46,'9_UK_Vol_Input'!$A$20:$A$44,0)),"")</f>
        <v/>
      </c>
      <c r="L46" s="39">
        <f>IFERROR(INDEX('9_UK_Vol_Input'!$D$5:$D$15,MATCH($C46,'9_UK_Vol_Input'!$A$5:$A$15,0)),"")</f>
        <v/>
      </c>
      <c r="M46" s="40">
        <f>IFERROR(INDEX('9_UK_Vol_Input'!$E$5:$E$15,MATCH($C46,'9_UK_Vol_Input'!$A$5:$A$15,0)),"")</f>
        <v/>
      </c>
      <c r="N46" s="22">
        <f>IF(F46&lt;&gt;"",F46/(1+G46),IF(H46&lt;&gt;"",H46/(1+I46),IF(J46&lt;&gt;"",J46/(1+K46),IF(L46&lt;&gt;"",L46/(1+M46),""))))</f>
        <v/>
      </c>
      <c r="O46" s="36">
        <f>IFERROR(INDEX('7_UK_Beta_Input'!$D$127:$D$289,MATCH($A46,'7_UK_Beta_Input'!$A$127:$A$289,0)),"")</f>
        <v/>
      </c>
      <c r="P46" s="36">
        <f>IFERROR(INDEX('7_UK_Beta_Input'!$D$49:$D$122,MATCH($D46,'7_UK_Beta_Input'!$A$49:$A$122,0)),"")</f>
        <v/>
      </c>
      <c r="Q46" s="36">
        <f>IFERROR(INDEX('7_UK_Beta_Input'!$D$20:$D$44,MATCH($E46,'7_UK_Beta_Input'!$A$20:$A$44,0)),"")</f>
        <v/>
      </c>
      <c r="R46" s="36">
        <f>IFERROR(INDEX('7_UK_Beta_Input'!$D$5:$D$15,MATCH($C46,'7_UK_Beta_Input'!$A$5:$A$15,0)),"")</f>
        <v/>
      </c>
      <c r="S46" s="22">
        <f>IF(O46&lt;&gt;"",O46*'6_Credit_Bridge_Assumptions'!$B$8,IF(P46&lt;&gt;"",P46*'6_Credit_Bridge_Assumptions'!$B$8,IF(Q46&lt;&gt;"",Q46*'6_Credit_Bridge_Assumptions'!$B$8,IF(R46&lt;&gt;"",R46*'6_Credit_Bridge_Assumptions'!$B$8,""))))</f>
        <v/>
      </c>
      <c r="T46" s="22">
        <f>IF(N46&lt;&gt;"",N46,S46)</f>
        <v/>
      </c>
    </row>
    <row r="47">
      <c r="A47" s="6" t="n">
        <v>20303010</v>
      </c>
      <c r="B47" s="6" t="inlineStr">
        <is>
          <t>Marine Transportation</t>
        </is>
      </c>
      <c r="C47" s="6" t="n">
        <v>20</v>
      </c>
      <c r="D47" s="6" t="n">
        <v>203030</v>
      </c>
      <c r="E47" s="6" t="n">
        <v>2030</v>
      </c>
      <c r="F47" s="39">
        <f>IFERROR(INDEX('9_UK_Vol_Input'!$D$127:$D$289,MATCH($A47,'9_UK_Vol_Input'!$A$127:$A$289,0)),"")</f>
        <v/>
      </c>
      <c r="G47" s="40">
        <f>IFERROR(INDEX('9_UK_Vol_Input'!$E$127:$E$289,MATCH($A47,'9_UK_Vol_Input'!$A$127:$A$289,0)),"")</f>
        <v/>
      </c>
      <c r="H47" s="39">
        <f>IFERROR(INDEX('9_UK_Vol_Input'!$D$49:$D$122,MATCH($D47,'9_UK_Vol_Input'!$A$49:$A$122,0)),"")</f>
        <v/>
      </c>
      <c r="I47" s="40">
        <f>IFERROR(INDEX('9_UK_Vol_Input'!$E$49:$E$122,MATCH($D47,'9_UK_Vol_Input'!$A$49:$A$122,0)),"")</f>
        <v/>
      </c>
      <c r="J47" s="39">
        <f>IFERROR(INDEX('9_UK_Vol_Input'!$D$20:$D$44,MATCH($E47,'9_UK_Vol_Input'!$A$20:$A$44,0)),"")</f>
        <v/>
      </c>
      <c r="K47" s="40">
        <f>IFERROR(INDEX('9_UK_Vol_Input'!$E$20:$E$44,MATCH($E47,'9_UK_Vol_Input'!$A$20:$A$44,0)),"")</f>
        <v/>
      </c>
      <c r="L47" s="39">
        <f>IFERROR(INDEX('9_UK_Vol_Input'!$D$5:$D$15,MATCH($C47,'9_UK_Vol_Input'!$A$5:$A$15,0)),"")</f>
        <v/>
      </c>
      <c r="M47" s="40">
        <f>IFERROR(INDEX('9_UK_Vol_Input'!$E$5:$E$15,MATCH($C47,'9_UK_Vol_Input'!$A$5:$A$15,0)),"")</f>
        <v/>
      </c>
      <c r="N47" s="22">
        <f>IF(F47&lt;&gt;"",F47/(1+G47),IF(H47&lt;&gt;"",H47/(1+I47),IF(J47&lt;&gt;"",J47/(1+K47),IF(L47&lt;&gt;"",L47/(1+M47),""))))</f>
        <v/>
      </c>
      <c r="O47" s="36">
        <f>IFERROR(INDEX('7_UK_Beta_Input'!$D$127:$D$289,MATCH($A47,'7_UK_Beta_Input'!$A$127:$A$289,0)),"")</f>
        <v/>
      </c>
      <c r="P47" s="36">
        <f>IFERROR(INDEX('7_UK_Beta_Input'!$D$49:$D$122,MATCH($D47,'7_UK_Beta_Input'!$A$49:$A$122,0)),"")</f>
        <v/>
      </c>
      <c r="Q47" s="36">
        <f>IFERROR(INDEX('7_UK_Beta_Input'!$D$20:$D$44,MATCH($E47,'7_UK_Beta_Input'!$A$20:$A$44,0)),"")</f>
        <v/>
      </c>
      <c r="R47" s="36">
        <f>IFERROR(INDEX('7_UK_Beta_Input'!$D$5:$D$15,MATCH($C47,'7_UK_Beta_Input'!$A$5:$A$15,0)),"")</f>
        <v/>
      </c>
      <c r="S47" s="22">
        <f>IF(O47&lt;&gt;"",O47*'6_Credit_Bridge_Assumptions'!$B$8,IF(P47&lt;&gt;"",P47*'6_Credit_Bridge_Assumptions'!$B$8,IF(Q47&lt;&gt;"",Q47*'6_Credit_Bridge_Assumptions'!$B$8,IF(R47&lt;&gt;"",R47*'6_Credit_Bridge_Assumptions'!$B$8,""))))</f>
        <v/>
      </c>
      <c r="T47" s="22">
        <f>IF(N47&lt;&gt;"",N47,S47)</f>
        <v/>
      </c>
    </row>
    <row r="48">
      <c r="A48" s="6" t="n">
        <v>20304010</v>
      </c>
      <c r="B48" s="6" t="inlineStr">
        <is>
          <t>Rail Transportation</t>
        </is>
      </c>
      <c r="C48" s="6" t="n">
        <v>20</v>
      </c>
      <c r="D48" s="6" t="n">
        <v>203040</v>
      </c>
      <c r="E48" s="6" t="n">
        <v>2030</v>
      </c>
      <c r="F48" s="39">
        <f>IFERROR(INDEX('9_UK_Vol_Input'!$D$127:$D$289,MATCH($A48,'9_UK_Vol_Input'!$A$127:$A$289,0)),"")</f>
        <v/>
      </c>
      <c r="G48" s="40">
        <f>IFERROR(INDEX('9_UK_Vol_Input'!$E$127:$E$289,MATCH($A48,'9_UK_Vol_Input'!$A$127:$A$289,0)),"")</f>
        <v/>
      </c>
      <c r="H48" s="39">
        <f>IFERROR(INDEX('9_UK_Vol_Input'!$D$49:$D$122,MATCH($D48,'9_UK_Vol_Input'!$A$49:$A$122,0)),"")</f>
        <v/>
      </c>
      <c r="I48" s="40">
        <f>IFERROR(INDEX('9_UK_Vol_Input'!$E$49:$E$122,MATCH($D48,'9_UK_Vol_Input'!$A$49:$A$122,0)),"")</f>
        <v/>
      </c>
      <c r="J48" s="39">
        <f>IFERROR(INDEX('9_UK_Vol_Input'!$D$20:$D$44,MATCH($E48,'9_UK_Vol_Input'!$A$20:$A$44,0)),"")</f>
        <v/>
      </c>
      <c r="K48" s="40">
        <f>IFERROR(INDEX('9_UK_Vol_Input'!$E$20:$E$44,MATCH($E48,'9_UK_Vol_Input'!$A$20:$A$44,0)),"")</f>
        <v/>
      </c>
      <c r="L48" s="39">
        <f>IFERROR(INDEX('9_UK_Vol_Input'!$D$5:$D$15,MATCH($C48,'9_UK_Vol_Input'!$A$5:$A$15,0)),"")</f>
        <v/>
      </c>
      <c r="M48" s="40">
        <f>IFERROR(INDEX('9_UK_Vol_Input'!$E$5:$E$15,MATCH($C48,'9_UK_Vol_Input'!$A$5:$A$15,0)),"")</f>
        <v/>
      </c>
      <c r="N48" s="22">
        <f>IF(F48&lt;&gt;"",F48/(1+G48),IF(H48&lt;&gt;"",H48/(1+I48),IF(J48&lt;&gt;"",J48/(1+K48),IF(L48&lt;&gt;"",L48/(1+M48),""))))</f>
        <v/>
      </c>
      <c r="O48" s="36">
        <f>IFERROR(INDEX('7_UK_Beta_Input'!$D$127:$D$289,MATCH($A48,'7_UK_Beta_Input'!$A$127:$A$289,0)),"")</f>
        <v/>
      </c>
      <c r="P48" s="36">
        <f>IFERROR(INDEX('7_UK_Beta_Input'!$D$49:$D$122,MATCH($D48,'7_UK_Beta_Input'!$A$49:$A$122,0)),"")</f>
        <v/>
      </c>
      <c r="Q48" s="36">
        <f>IFERROR(INDEX('7_UK_Beta_Input'!$D$20:$D$44,MATCH($E48,'7_UK_Beta_Input'!$A$20:$A$44,0)),"")</f>
        <v/>
      </c>
      <c r="R48" s="36">
        <f>IFERROR(INDEX('7_UK_Beta_Input'!$D$5:$D$15,MATCH($C48,'7_UK_Beta_Input'!$A$5:$A$15,0)),"")</f>
        <v/>
      </c>
      <c r="S48" s="22">
        <f>IF(O48&lt;&gt;"",O48*'6_Credit_Bridge_Assumptions'!$B$8,IF(P48&lt;&gt;"",P48*'6_Credit_Bridge_Assumptions'!$B$8,IF(Q48&lt;&gt;"",Q48*'6_Credit_Bridge_Assumptions'!$B$8,IF(R48&lt;&gt;"",R48*'6_Credit_Bridge_Assumptions'!$B$8,""))))</f>
        <v/>
      </c>
      <c r="T48" s="22">
        <f>IF(N48&lt;&gt;"",N48,S48)</f>
        <v/>
      </c>
    </row>
    <row r="49">
      <c r="A49" s="6" t="n">
        <v>20304030</v>
      </c>
      <c r="B49" s="6" t="inlineStr">
        <is>
          <t>Cargo Ground Transportation</t>
        </is>
      </c>
      <c r="C49" s="6" t="n">
        <v>20</v>
      </c>
      <c r="D49" s="6" t="n">
        <v>203040</v>
      </c>
      <c r="E49" s="6" t="n">
        <v>2030</v>
      </c>
      <c r="F49" s="39">
        <f>IFERROR(INDEX('9_UK_Vol_Input'!$D$127:$D$289,MATCH($A49,'9_UK_Vol_Input'!$A$127:$A$289,0)),"")</f>
        <v/>
      </c>
      <c r="G49" s="40">
        <f>IFERROR(INDEX('9_UK_Vol_Input'!$E$127:$E$289,MATCH($A49,'9_UK_Vol_Input'!$A$127:$A$289,0)),"")</f>
        <v/>
      </c>
      <c r="H49" s="39">
        <f>IFERROR(INDEX('9_UK_Vol_Input'!$D$49:$D$122,MATCH($D49,'9_UK_Vol_Input'!$A$49:$A$122,0)),"")</f>
        <v/>
      </c>
      <c r="I49" s="40">
        <f>IFERROR(INDEX('9_UK_Vol_Input'!$E$49:$E$122,MATCH($D49,'9_UK_Vol_Input'!$A$49:$A$122,0)),"")</f>
        <v/>
      </c>
      <c r="J49" s="39">
        <f>IFERROR(INDEX('9_UK_Vol_Input'!$D$20:$D$44,MATCH($E49,'9_UK_Vol_Input'!$A$20:$A$44,0)),"")</f>
        <v/>
      </c>
      <c r="K49" s="40">
        <f>IFERROR(INDEX('9_UK_Vol_Input'!$E$20:$E$44,MATCH($E49,'9_UK_Vol_Input'!$A$20:$A$44,0)),"")</f>
        <v/>
      </c>
      <c r="L49" s="39">
        <f>IFERROR(INDEX('9_UK_Vol_Input'!$D$5:$D$15,MATCH($C49,'9_UK_Vol_Input'!$A$5:$A$15,0)),"")</f>
        <v/>
      </c>
      <c r="M49" s="40">
        <f>IFERROR(INDEX('9_UK_Vol_Input'!$E$5:$E$15,MATCH($C49,'9_UK_Vol_Input'!$A$5:$A$15,0)),"")</f>
        <v/>
      </c>
      <c r="N49" s="22">
        <f>IF(F49&lt;&gt;"",F49/(1+G49),IF(H49&lt;&gt;"",H49/(1+I49),IF(J49&lt;&gt;"",J49/(1+K49),IF(L49&lt;&gt;"",L49/(1+M49),""))))</f>
        <v/>
      </c>
      <c r="O49" s="36">
        <f>IFERROR(INDEX('7_UK_Beta_Input'!$D$127:$D$289,MATCH($A49,'7_UK_Beta_Input'!$A$127:$A$289,0)),"")</f>
        <v/>
      </c>
      <c r="P49" s="36">
        <f>IFERROR(INDEX('7_UK_Beta_Input'!$D$49:$D$122,MATCH($D49,'7_UK_Beta_Input'!$A$49:$A$122,0)),"")</f>
        <v/>
      </c>
      <c r="Q49" s="36">
        <f>IFERROR(INDEX('7_UK_Beta_Input'!$D$20:$D$44,MATCH($E49,'7_UK_Beta_Input'!$A$20:$A$44,0)),"")</f>
        <v/>
      </c>
      <c r="R49" s="36">
        <f>IFERROR(INDEX('7_UK_Beta_Input'!$D$5:$D$15,MATCH($C49,'7_UK_Beta_Input'!$A$5:$A$15,0)),"")</f>
        <v/>
      </c>
      <c r="S49" s="22">
        <f>IF(O49&lt;&gt;"",O49*'6_Credit_Bridge_Assumptions'!$B$8,IF(P49&lt;&gt;"",P49*'6_Credit_Bridge_Assumptions'!$B$8,IF(Q49&lt;&gt;"",Q49*'6_Credit_Bridge_Assumptions'!$B$8,IF(R49&lt;&gt;"",R49*'6_Credit_Bridge_Assumptions'!$B$8,""))))</f>
        <v/>
      </c>
      <c r="T49" s="22">
        <f>IF(N49&lt;&gt;"",N49,S49)</f>
        <v/>
      </c>
    </row>
    <row r="50">
      <c r="A50" s="6" t="n">
        <v>20304040</v>
      </c>
      <c r="B50" s="6" t="inlineStr">
        <is>
          <t>Passenger Ground Transportation</t>
        </is>
      </c>
      <c r="C50" s="6" t="n">
        <v>20</v>
      </c>
      <c r="D50" s="6" t="n">
        <v>203040</v>
      </c>
      <c r="E50" s="6" t="n">
        <v>2030</v>
      </c>
      <c r="F50" s="39">
        <f>IFERROR(INDEX('9_UK_Vol_Input'!$D$127:$D$289,MATCH($A50,'9_UK_Vol_Input'!$A$127:$A$289,0)),"")</f>
        <v/>
      </c>
      <c r="G50" s="40">
        <f>IFERROR(INDEX('9_UK_Vol_Input'!$E$127:$E$289,MATCH($A50,'9_UK_Vol_Input'!$A$127:$A$289,0)),"")</f>
        <v/>
      </c>
      <c r="H50" s="39">
        <f>IFERROR(INDEX('9_UK_Vol_Input'!$D$49:$D$122,MATCH($D50,'9_UK_Vol_Input'!$A$49:$A$122,0)),"")</f>
        <v/>
      </c>
      <c r="I50" s="40">
        <f>IFERROR(INDEX('9_UK_Vol_Input'!$E$49:$E$122,MATCH($D50,'9_UK_Vol_Input'!$A$49:$A$122,0)),"")</f>
        <v/>
      </c>
      <c r="J50" s="39">
        <f>IFERROR(INDEX('9_UK_Vol_Input'!$D$20:$D$44,MATCH($E50,'9_UK_Vol_Input'!$A$20:$A$44,0)),"")</f>
        <v/>
      </c>
      <c r="K50" s="40">
        <f>IFERROR(INDEX('9_UK_Vol_Input'!$E$20:$E$44,MATCH($E50,'9_UK_Vol_Input'!$A$20:$A$44,0)),"")</f>
        <v/>
      </c>
      <c r="L50" s="39">
        <f>IFERROR(INDEX('9_UK_Vol_Input'!$D$5:$D$15,MATCH($C50,'9_UK_Vol_Input'!$A$5:$A$15,0)),"")</f>
        <v/>
      </c>
      <c r="M50" s="40">
        <f>IFERROR(INDEX('9_UK_Vol_Input'!$E$5:$E$15,MATCH($C50,'9_UK_Vol_Input'!$A$5:$A$15,0)),"")</f>
        <v/>
      </c>
      <c r="N50" s="22">
        <f>IF(F50&lt;&gt;"",F50/(1+G50),IF(H50&lt;&gt;"",H50/(1+I50),IF(J50&lt;&gt;"",J50/(1+K50),IF(L50&lt;&gt;"",L50/(1+M50),""))))</f>
        <v/>
      </c>
      <c r="O50" s="36">
        <f>IFERROR(INDEX('7_UK_Beta_Input'!$D$127:$D$289,MATCH($A50,'7_UK_Beta_Input'!$A$127:$A$289,0)),"")</f>
        <v/>
      </c>
      <c r="P50" s="36">
        <f>IFERROR(INDEX('7_UK_Beta_Input'!$D$49:$D$122,MATCH($D50,'7_UK_Beta_Input'!$A$49:$A$122,0)),"")</f>
        <v/>
      </c>
      <c r="Q50" s="36">
        <f>IFERROR(INDEX('7_UK_Beta_Input'!$D$20:$D$44,MATCH($E50,'7_UK_Beta_Input'!$A$20:$A$44,0)),"")</f>
        <v/>
      </c>
      <c r="R50" s="36">
        <f>IFERROR(INDEX('7_UK_Beta_Input'!$D$5:$D$15,MATCH($C50,'7_UK_Beta_Input'!$A$5:$A$15,0)),"")</f>
        <v/>
      </c>
      <c r="S50" s="22">
        <f>IF(O50&lt;&gt;"",O50*'6_Credit_Bridge_Assumptions'!$B$8,IF(P50&lt;&gt;"",P50*'6_Credit_Bridge_Assumptions'!$B$8,IF(Q50&lt;&gt;"",Q50*'6_Credit_Bridge_Assumptions'!$B$8,IF(R50&lt;&gt;"",R50*'6_Credit_Bridge_Assumptions'!$B$8,""))))</f>
        <v/>
      </c>
      <c r="T50" s="22">
        <f>IF(N50&lt;&gt;"",N50,S50)</f>
        <v/>
      </c>
    </row>
    <row r="51">
      <c r="A51" s="6" t="n">
        <v>20305010</v>
      </c>
      <c r="B51" s="6" t="inlineStr">
        <is>
          <t>Airport Services</t>
        </is>
      </c>
      <c r="C51" s="6" t="n">
        <v>20</v>
      </c>
      <c r="D51" s="6" t="n">
        <v>203050</v>
      </c>
      <c r="E51" s="6" t="n">
        <v>2030</v>
      </c>
      <c r="F51" s="39">
        <f>IFERROR(INDEX('9_UK_Vol_Input'!$D$127:$D$289,MATCH($A51,'9_UK_Vol_Input'!$A$127:$A$289,0)),"")</f>
        <v/>
      </c>
      <c r="G51" s="40">
        <f>IFERROR(INDEX('9_UK_Vol_Input'!$E$127:$E$289,MATCH($A51,'9_UK_Vol_Input'!$A$127:$A$289,0)),"")</f>
        <v/>
      </c>
      <c r="H51" s="39">
        <f>IFERROR(INDEX('9_UK_Vol_Input'!$D$49:$D$122,MATCH($D51,'9_UK_Vol_Input'!$A$49:$A$122,0)),"")</f>
        <v/>
      </c>
      <c r="I51" s="40">
        <f>IFERROR(INDEX('9_UK_Vol_Input'!$E$49:$E$122,MATCH($D51,'9_UK_Vol_Input'!$A$49:$A$122,0)),"")</f>
        <v/>
      </c>
      <c r="J51" s="39">
        <f>IFERROR(INDEX('9_UK_Vol_Input'!$D$20:$D$44,MATCH($E51,'9_UK_Vol_Input'!$A$20:$A$44,0)),"")</f>
        <v/>
      </c>
      <c r="K51" s="40">
        <f>IFERROR(INDEX('9_UK_Vol_Input'!$E$20:$E$44,MATCH($E51,'9_UK_Vol_Input'!$A$20:$A$44,0)),"")</f>
        <v/>
      </c>
      <c r="L51" s="39">
        <f>IFERROR(INDEX('9_UK_Vol_Input'!$D$5:$D$15,MATCH($C51,'9_UK_Vol_Input'!$A$5:$A$15,0)),"")</f>
        <v/>
      </c>
      <c r="M51" s="40">
        <f>IFERROR(INDEX('9_UK_Vol_Input'!$E$5:$E$15,MATCH($C51,'9_UK_Vol_Input'!$A$5:$A$15,0)),"")</f>
        <v/>
      </c>
      <c r="N51" s="22">
        <f>IF(F51&lt;&gt;"",F51/(1+G51),IF(H51&lt;&gt;"",H51/(1+I51),IF(J51&lt;&gt;"",J51/(1+K51),IF(L51&lt;&gt;"",L51/(1+M51),""))))</f>
        <v/>
      </c>
      <c r="O51" s="36">
        <f>IFERROR(INDEX('7_UK_Beta_Input'!$D$127:$D$289,MATCH($A51,'7_UK_Beta_Input'!$A$127:$A$289,0)),"")</f>
        <v/>
      </c>
      <c r="P51" s="36">
        <f>IFERROR(INDEX('7_UK_Beta_Input'!$D$49:$D$122,MATCH($D51,'7_UK_Beta_Input'!$A$49:$A$122,0)),"")</f>
        <v/>
      </c>
      <c r="Q51" s="36">
        <f>IFERROR(INDEX('7_UK_Beta_Input'!$D$20:$D$44,MATCH($E51,'7_UK_Beta_Input'!$A$20:$A$44,0)),"")</f>
        <v/>
      </c>
      <c r="R51" s="36">
        <f>IFERROR(INDEX('7_UK_Beta_Input'!$D$5:$D$15,MATCH($C51,'7_UK_Beta_Input'!$A$5:$A$15,0)),"")</f>
        <v/>
      </c>
      <c r="S51" s="22">
        <f>IF(O51&lt;&gt;"",O51*'6_Credit_Bridge_Assumptions'!$B$8,IF(P51&lt;&gt;"",P51*'6_Credit_Bridge_Assumptions'!$B$8,IF(Q51&lt;&gt;"",Q51*'6_Credit_Bridge_Assumptions'!$B$8,IF(R51&lt;&gt;"",R51*'6_Credit_Bridge_Assumptions'!$B$8,""))))</f>
        <v/>
      </c>
      <c r="T51" s="22">
        <f>IF(N51&lt;&gt;"",N51,S51)</f>
        <v/>
      </c>
    </row>
    <row r="52">
      <c r="A52" s="6" t="n">
        <v>20305020</v>
      </c>
      <c r="B52" s="6" t="inlineStr">
        <is>
          <t>Highways &amp; Railtracks</t>
        </is>
      </c>
      <c r="C52" s="6" t="n">
        <v>20</v>
      </c>
      <c r="D52" s="6" t="n">
        <v>203050</v>
      </c>
      <c r="E52" s="6" t="n">
        <v>2030</v>
      </c>
      <c r="F52" s="39">
        <f>IFERROR(INDEX('9_UK_Vol_Input'!$D$127:$D$289,MATCH($A52,'9_UK_Vol_Input'!$A$127:$A$289,0)),"")</f>
        <v/>
      </c>
      <c r="G52" s="40">
        <f>IFERROR(INDEX('9_UK_Vol_Input'!$E$127:$E$289,MATCH($A52,'9_UK_Vol_Input'!$A$127:$A$289,0)),"")</f>
        <v/>
      </c>
      <c r="H52" s="39">
        <f>IFERROR(INDEX('9_UK_Vol_Input'!$D$49:$D$122,MATCH($D52,'9_UK_Vol_Input'!$A$49:$A$122,0)),"")</f>
        <v/>
      </c>
      <c r="I52" s="40">
        <f>IFERROR(INDEX('9_UK_Vol_Input'!$E$49:$E$122,MATCH($D52,'9_UK_Vol_Input'!$A$49:$A$122,0)),"")</f>
        <v/>
      </c>
      <c r="J52" s="39">
        <f>IFERROR(INDEX('9_UK_Vol_Input'!$D$20:$D$44,MATCH($E52,'9_UK_Vol_Input'!$A$20:$A$44,0)),"")</f>
        <v/>
      </c>
      <c r="K52" s="40">
        <f>IFERROR(INDEX('9_UK_Vol_Input'!$E$20:$E$44,MATCH($E52,'9_UK_Vol_Input'!$A$20:$A$44,0)),"")</f>
        <v/>
      </c>
      <c r="L52" s="39">
        <f>IFERROR(INDEX('9_UK_Vol_Input'!$D$5:$D$15,MATCH($C52,'9_UK_Vol_Input'!$A$5:$A$15,0)),"")</f>
        <v/>
      </c>
      <c r="M52" s="40">
        <f>IFERROR(INDEX('9_UK_Vol_Input'!$E$5:$E$15,MATCH($C52,'9_UK_Vol_Input'!$A$5:$A$15,0)),"")</f>
        <v/>
      </c>
      <c r="N52" s="22">
        <f>IF(F52&lt;&gt;"",F52/(1+G52),IF(H52&lt;&gt;"",H52/(1+I52),IF(J52&lt;&gt;"",J52/(1+K52),IF(L52&lt;&gt;"",L52/(1+M52),""))))</f>
        <v/>
      </c>
      <c r="O52" s="36">
        <f>IFERROR(INDEX('7_UK_Beta_Input'!$D$127:$D$289,MATCH($A52,'7_UK_Beta_Input'!$A$127:$A$289,0)),"")</f>
        <v/>
      </c>
      <c r="P52" s="36">
        <f>IFERROR(INDEX('7_UK_Beta_Input'!$D$49:$D$122,MATCH($D52,'7_UK_Beta_Input'!$A$49:$A$122,0)),"")</f>
        <v/>
      </c>
      <c r="Q52" s="36">
        <f>IFERROR(INDEX('7_UK_Beta_Input'!$D$20:$D$44,MATCH($E52,'7_UK_Beta_Input'!$A$20:$A$44,0)),"")</f>
        <v/>
      </c>
      <c r="R52" s="36">
        <f>IFERROR(INDEX('7_UK_Beta_Input'!$D$5:$D$15,MATCH($C52,'7_UK_Beta_Input'!$A$5:$A$15,0)),"")</f>
        <v/>
      </c>
      <c r="S52" s="22">
        <f>IF(O52&lt;&gt;"",O52*'6_Credit_Bridge_Assumptions'!$B$8,IF(P52&lt;&gt;"",P52*'6_Credit_Bridge_Assumptions'!$B$8,IF(Q52&lt;&gt;"",Q52*'6_Credit_Bridge_Assumptions'!$B$8,IF(R52&lt;&gt;"",R52*'6_Credit_Bridge_Assumptions'!$B$8,""))))</f>
        <v/>
      </c>
      <c r="T52" s="22">
        <f>IF(N52&lt;&gt;"",N52,S52)</f>
        <v/>
      </c>
    </row>
    <row r="53">
      <c r="A53" s="6" t="n">
        <v>20305030</v>
      </c>
      <c r="B53" s="6" t="inlineStr">
        <is>
          <t>Marine Ports &amp; Services</t>
        </is>
      </c>
      <c r="C53" s="6" t="n">
        <v>20</v>
      </c>
      <c r="D53" s="6" t="n">
        <v>203050</v>
      </c>
      <c r="E53" s="6" t="n">
        <v>2030</v>
      </c>
      <c r="F53" s="39">
        <f>IFERROR(INDEX('9_UK_Vol_Input'!$D$127:$D$289,MATCH($A53,'9_UK_Vol_Input'!$A$127:$A$289,0)),"")</f>
        <v/>
      </c>
      <c r="G53" s="40">
        <f>IFERROR(INDEX('9_UK_Vol_Input'!$E$127:$E$289,MATCH($A53,'9_UK_Vol_Input'!$A$127:$A$289,0)),"")</f>
        <v/>
      </c>
      <c r="H53" s="39">
        <f>IFERROR(INDEX('9_UK_Vol_Input'!$D$49:$D$122,MATCH($D53,'9_UK_Vol_Input'!$A$49:$A$122,0)),"")</f>
        <v/>
      </c>
      <c r="I53" s="40">
        <f>IFERROR(INDEX('9_UK_Vol_Input'!$E$49:$E$122,MATCH($D53,'9_UK_Vol_Input'!$A$49:$A$122,0)),"")</f>
        <v/>
      </c>
      <c r="J53" s="39">
        <f>IFERROR(INDEX('9_UK_Vol_Input'!$D$20:$D$44,MATCH($E53,'9_UK_Vol_Input'!$A$20:$A$44,0)),"")</f>
        <v/>
      </c>
      <c r="K53" s="40">
        <f>IFERROR(INDEX('9_UK_Vol_Input'!$E$20:$E$44,MATCH($E53,'9_UK_Vol_Input'!$A$20:$A$44,0)),"")</f>
        <v/>
      </c>
      <c r="L53" s="39">
        <f>IFERROR(INDEX('9_UK_Vol_Input'!$D$5:$D$15,MATCH($C53,'9_UK_Vol_Input'!$A$5:$A$15,0)),"")</f>
        <v/>
      </c>
      <c r="M53" s="40">
        <f>IFERROR(INDEX('9_UK_Vol_Input'!$E$5:$E$15,MATCH($C53,'9_UK_Vol_Input'!$A$5:$A$15,0)),"")</f>
        <v/>
      </c>
      <c r="N53" s="22">
        <f>IF(F53&lt;&gt;"",F53/(1+G53),IF(H53&lt;&gt;"",H53/(1+I53),IF(J53&lt;&gt;"",J53/(1+K53),IF(L53&lt;&gt;"",L53/(1+M53),""))))</f>
        <v/>
      </c>
      <c r="O53" s="36">
        <f>IFERROR(INDEX('7_UK_Beta_Input'!$D$127:$D$289,MATCH($A53,'7_UK_Beta_Input'!$A$127:$A$289,0)),"")</f>
        <v/>
      </c>
      <c r="P53" s="36">
        <f>IFERROR(INDEX('7_UK_Beta_Input'!$D$49:$D$122,MATCH($D53,'7_UK_Beta_Input'!$A$49:$A$122,0)),"")</f>
        <v/>
      </c>
      <c r="Q53" s="36">
        <f>IFERROR(INDEX('7_UK_Beta_Input'!$D$20:$D$44,MATCH($E53,'7_UK_Beta_Input'!$A$20:$A$44,0)),"")</f>
        <v/>
      </c>
      <c r="R53" s="36">
        <f>IFERROR(INDEX('7_UK_Beta_Input'!$D$5:$D$15,MATCH($C53,'7_UK_Beta_Input'!$A$5:$A$15,0)),"")</f>
        <v/>
      </c>
      <c r="S53" s="22">
        <f>IF(O53&lt;&gt;"",O53*'6_Credit_Bridge_Assumptions'!$B$8,IF(P53&lt;&gt;"",P53*'6_Credit_Bridge_Assumptions'!$B$8,IF(Q53&lt;&gt;"",Q53*'6_Credit_Bridge_Assumptions'!$B$8,IF(R53&lt;&gt;"",R53*'6_Credit_Bridge_Assumptions'!$B$8,""))))</f>
        <v/>
      </c>
      <c r="T53" s="22">
        <f>IF(N53&lt;&gt;"",N53,S53)</f>
        <v/>
      </c>
    </row>
    <row r="54">
      <c r="A54" s="6" t="n">
        <v>25101010</v>
      </c>
      <c r="B54" s="6" t="inlineStr">
        <is>
          <t>Automotive Parts &amp; Equipment</t>
        </is>
      </c>
      <c r="C54" s="6" t="n">
        <v>25</v>
      </c>
      <c r="D54" s="6" t="n">
        <v>251010</v>
      </c>
      <c r="E54" s="6" t="n">
        <v>2510</v>
      </c>
      <c r="F54" s="39">
        <f>IFERROR(INDEX('9_UK_Vol_Input'!$D$127:$D$289,MATCH($A54,'9_UK_Vol_Input'!$A$127:$A$289,0)),"")</f>
        <v/>
      </c>
      <c r="G54" s="40">
        <f>IFERROR(INDEX('9_UK_Vol_Input'!$E$127:$E$289,MATCH($A54,'9_UK_Vol_Input'!$A$127:$A$289,0)),"")</f>
        <v/>
      </c>
      <c r="H54" s="39">
        <f>IFERROR(INDEX('9_UK_Vol_Input'!$D$49:$D$122,MATCH($D54,'9_UK_Vol_Input'!$A$49:$A$122,0)),"")</f>
        <v/>
      </c>
      <c r="I54" s="40">
        <f>IFERROR(INDEX('9_UK_Vol_Input'!$E$49:$E$122,MATCH($D54,'9_UK_Vol_Input'!$A$49:$A$122,0)),"")</f>
        <v/>
      </c>
      <c r="J54" s="39">
        <f>IFERROR(INDEX('9_UK_Vol_Input'!$D$20:$D$44,MATCH($E54,'9_UK_Vol_Input'!$A$20:$A$44,0)),"")</f>
        <v/>
      </c>
      <c r="K54" s="40">
        <f>IFERROR(INDEX('9_UK_Vol_Input'!$E$20:$E$44,MATCH($E54,'9_UK_Vol_Input'!$A$20:$A$44,0)),"")</f>
        <v/>
      </c>
      <c r="L54" s="39">
        <f>IFERROR(INDEX('9_UK_Vol_Input'!$D$5:$D$15,MATCH($C54,'9_UK_Vol_Input'!$A$5:$A$15,0)),"")</f>
        <v/>
      </c>
      <c r="M54" s="40">
        <f>IFERROR(INDEX('9_UK_Vol_Input'!$E$5:$E$15,MATCH($C54,'9_UK_Vol_Input'!$A$5:$A$15,0)),"")</f>
        <v/>
      </c>
      <c r="N54" s="22">
        <f>IF(F54&lt;&gt;"",F54/(1+G54),IF(H54&lt;&gt;"",H54/(1+I54),IF(J54&lt;&gt;"",J54/(1+K54),IF(L54&lt;&gt;"",L54/(1+M54),""))))</f>
        <v/>
      </c>
      <c r="O54" s="36">
        <f>IFERROR(INDEX('7_UK_Beta_Input'!$D$127:$D$289,MATCH($A54,'7_UK_Beta_Input'!$A$127:$A$289,0)),"")</f>
        <v/>
      </c>
      <c r="P54" s="36">
        <f>IFERROR(INDEX('7_UK_Beta_Input'!$D$49:$D$122,MATCH($D54,'7_UK_Beta_Input'!$A$49:$A$122,0)),"")</f>
        <v/>
      </c>
      <c r="Q54" s="36">
        <f>IFERROR(INDEX('7_UK_Beta_Input'!$D$20:$D$44,MATCH($E54,'7_UK_Beta_Input'!$A$20:$A$44,0)),"")</f>
        <v/>
      </c>
      <c r="R54" s="36">
        <f>IFERROR(INDEX('7_UK_Beta_Input'!$D$5:$D$15,MATCH($C54,'7_UK_Beta_Input'!$A$5:$A$15,0)),"")</f>
        <v/>
      </c>
      <c r="S54" s="22">
        <f>IF(O54&lt;&gt;"",O54*'6_Credit_Bridge_Assumptions'!$B$8,IF(P54&lt;&gt;"",P54*'6_Credit_Bridge_Assumptions'!$B$8,IF(Q54&lt;&gt;"",Q54*'6_Credit_Bridge_Assumptions'!$B$8,IF(R54&lt;&gt;"",R54*'6_Credit_Bridge_Assumptions'!$B$8,""))))</f>
        <v/>
      </c>
      <c r="T54" s="22">
        <f>IF(N54&lt;&gt;"",N54,S54)</f>
        <v/>
      </c>
    </row>
    <row r="55">
      <c r="A55" s="6" t="n">
        <v>25101020</v>
      </c>
      <c r="B55" s="6" t="inlineStr">
        <is>
          <t>Tires &amp; Rubber</t>
        </is>
      </c>
      <c r="C55" s="6" t="n">
        <v>25</v>
      </c>
      <c r="D55" s="6" t="n">
        <v>251010</v>
      </c>
      <c r="E55" s="6" t="n">
        <v>2510</v>
      </c>
      <c r="F55" s="39">
        <f>IFERROR(INDEX('9_UK_Vol_Input'!$D$127:$D$289,MATCH($A55,'9_UK_Vol_Input'!$A$127:$A$289,0)),"")</f>
        <v/>
      </c>
      <c r="G55" s="40">
        <f>IFERROR(INDEX('9_UK_Vol_Input'!$E$127:$E$289,MATCH($A55,'9_UK_Vol_Input'!$A$127:$A$289,0)),"")</f>
        <v/>
      </c>
      <c r="H55" s="39">
        <f>IFERROR(INDEX('9_UK_Vol_Input'!$D$49:$D$122,MATCH($D55,'9_UK_Vol_Input'!$A$49:$A$122,0)),"")</f>
        <v/>
      </c>
      <c r="I55" s="40">
        <f>IFERROR(INDEX('9_UK_Vol_Input'!$E$49:$E$122,MATCH($D55,'9_UK_Vol_Input'!$A$49:$A$122,0)),"")</f>
        <v/>
      </c>
      <c r="J55" s="39">
        <f>IFERROR(INDEX('9_UK_Vol_Input'!$D$20:$D$44,MATCH($E55,'9_UK_Vol_Input'!$A$20:$A$44,0)),"")</f>
        <v/>
      </c>
      <c r="K55" s="40">
        <f>IFERROR(INDEX('9_UK_Vol_Input'!$E$20:$E$44,MATCH($E55,'9_UK_Vol_Input'!$A$20:$A$44,0)),"")</f>
        <v/>
      </c>
      <c r="L55" s="39">
        <f>IFERROR(INDEX('9_UK_Vol_Input'!$D$5:$D$15,MATCH($C55,'9_UK_Vol_Input'!$A$5:$A$15,0)),"")</f>
        <v/>
      </c>
      <c r="M55" s="40">
        <f>IFERROR(INDEX('9_UK_Vol_Input'!$E$5:$E$15,MATCH($C55,'9_UK_Vol_Input'!$A$5:$A$15,0)),"")</f>
        <v/>
      </c>
      <c r="N55" s="22">
        <f>IF(F55&lt;&gt;"",F55/(1+G55),IF(H55&lt;&gt;"",H55/(1+I55),IF(J55&lt;&gt;"",J55/(1+K55),IF(L55&lt;&gt;"",L55/(1+M55),""))))</f>
        <v/>
      </c>
      <c r="O55" s="36">
        <f>IFERROR(INDEX('7_UK_Beta_Input'!$D$127:$D$289,MATCH($A55,'7_UK_Beta_Input'!$A$127:$A$289,0)),"")</f>
        <v/>
      </c>
      <c r="P55" s="36">
        <f>IFERROR(INDEX('7_UK_Beta_Input'!$D$49:$D$122,MATCH($D55,'7_UK_Beta_Input'!$A$49:$A$122,0)),"")</f>
        <v/>
      </c>
      <c r="Q55" s="36">
        <f>IFERROR(INDEX('7_UK_Beta_Input'!$D$20:$D$44,MATCH($E55,'7_UK_Beta_Input'!$A$20:$A$44,0)),"")</f>
        <v/>
      </c>
      <c r="R55" s="36">
        <f>IFERROR(INDEX('7_UK_Beta_Input'!$D$5:$D$15,MATCH($C55,'7_UK_Beta_Input'!$A$5:$A$15,0)),"")</f>
        <v/>
      </c>
      <c r="S55" s="22">
        <f>IF(O55&lt;&gt;"",O55*'6_Credit_Bridge_Assumptions'!$B$8,IF(P55&lt;&gt;"",P55*'6_Credit_Bridge_Assumptions'!$B$8,IF(Q55&lt;&gt;"",Q55*'6_Credit_Bridge_Assumptions'!$B$8,IF(R55&lt;&gt;"",R55*'6_Credit_Bridge_Assumptions'!$B$8,""))))</f>
        <v/>
      </c>
      <c r="T55" s="22">
        <f>IF(N55&lt;&gt;"",N55,S55)</f>
        <v/>
      </c>
    </row>
    <row r="56">
      <c r="A56" s="6" t="n">
        <v>25102010</v>
      </c>
      <c r="B56" s="6" t="inlineStr">
        <is>
          <t>Automobile Manufacturers</t>
        </is>
      </c>
      <c r="C56" s="6" t="n">
        <v>25</v>
      </c>
      <c r="D56" s="6" t="n">
        <v>251020</v>
      </c>
      <c r="E56" s="6" t="n">
        <v>2510</v>
      </c>
      <c r="F56" s="39">
        <f>IFERROR(INDEX('9_UK_Vol_Input'!$D$127:$D$289,MATCH($A56,'9_UK_Vol_Input'!$A$127:$A$289,0)),"")</f>
        <v/>
      </c>
      <c r="G56" s="40">
        <f>IFERROR(INDEX('9_UK_Vol_Input'!$E$127:$E$289,MATCH($A56,'9_UK_Vol_Input'!$A$127:$A$289,0)),"")</f>
        <v/>
      </c>
      <c r="H56" s="39">
        <f>IFERROR(INDEX('9_UK_Vol_Input'!$D$49:$D$122,MATCH($D56,'9_UK_Vol_Input'!$A$49:$A$122,0)),"")</f>
        <v/>
      </c>
      <c r="I56" s="40">
        <f>IFERROR(INDEX('9_UK_Vol_Input'!$E$49:$E$122,MATCH($D56,'9_UK_Vol_Input'!$A$49:$A$122,0)),"")</f>
        <v/>
      </c>
      <c r="J56" s="39">
        <f>IFERROR(INDEX('9_UK_Vol_Input'!$D$20:$D$44,MATCH($E56,'9_UK_Vol_Input'!$A$20:$A$44,0)),"")</f>
        <v/>
      </c>
      <c r="K56" s="40">
        <f>IFERROR(INDEX('9_UK_Vol_Input'!$E$20:$E$44,MATCH($E56,'9_UK_Vol_Input'!$A$20:$A$44,0)),"")</f>
        <v/>
      </c>
      <c r="L56" s="39">
        <f>IFERROR(INDEX('9_UK_Vol_Input'!$D$5:$D$15,MATCH($C56,'9_UK_Vol_Input'!$A$5:$A$15,0)),"")</f>
        <v/>
      </c>
      <c r="M56" s="40">
        <f>IFERROR(INDEX('9_UK_Vol_Input'!$E$5:$E$15,MATCH($C56,'9_UK_Vol_Input'!$A$5:$A$15,0)),"")</f>
        <v/>
      </c>
      <c r="N56" s="22">
        <f>IF(F56&lt;&gt;"",F56/(1+G56),IF(H56&lt;&gt;"",H56/(1+I56),IF(J56&lt;&gt;"",J56/(1+K56),IF(L56&lt;&gt;"",L56/(1+M56),""))))</f>
        <v/>
      </c>
      <c r="O56" s="36">
        <f>IFERROR(INDEX('7_UK_Beta_Input'!$D$127:$D$289,MATCH($A56,'7_UK_Beta_Input'!$A$127:$A$289,0)),"")</f>
        <v/>
      </c>
      <c r="P56" s="36">
        <f>IFERROR(INDEX('7_UK_Beta_Input'!$D$49:$D$122,MATCH($D56,'7_UK_Beta_Input'!$A$49:$A$122,0)),"")</f>
        <v/>
      </c>
      <c r="Q56" s="36">
        <f>IFERROR(INDEX('7_UK_Beta_Input'!$D$20:$D$44,MATCH($E56,'7_UK_Beta_Input'!$A$20:$A$44,0)),"")</f>
        <v/>
      </c>
      <c r="R56" s="36">
        <f>IFERROR(INDEX('7_UK_Beta_Input'!$D$5:$D$15,MATCH($C56,'7_UK_Beta_Input'!$A$5:$A$15,0)),"")</f>
        <v/>
      </c>
      <c r="S56" s="22">
        <f>IF(O56&lt;&gt;"",O56*'6_Credit_Bridge_Assumptions'!$B$8,IF(P56&lt;&gt;"",P56*'6_Credit_Bridge_Assumptions'!$B$8,IF(Q56&lt;&gt;"",Q56*'6_Credit_Bridge_Assumptions'!$B$8,IF(R56&lt;&gt;"",R56*'6_Credit_Bridge_Assumptions'!$B$8,""))))</f>
        <v/>
      </c>
      <c r="T56" s="22">
        <f>IF(N56&lt;&gt;"",N56,S56)</f>
        <v/>
      </c>
    </row>
    <row r="57">
      <c r="A57" s="6" t="n">
        <v>25102020</v>
      </c>
      <c r="B57" s="6" t="inlineStr">
        <is>
          <t>Motorcycle Manufacturers</t>
        </is>
      </c>
      <c r="C57" s="6" t="n">
        <v>25</v>
      </c>
      <c r="D57" s="6" t="n">
        <v>251020</v>
      </c>
      <c r="E57" s="6" t="n">
        <v>2510</v>
      </c>
      <c r="F57" s="39">
        <f>IFERROR(INDEX('9_UK_Vol_Input'!$D$127:$D$289,MATCH($A57,'9_UK_Vol_Input'!$A$127:$A$289,0)),"")</f>
        <v/>
      </c>
      <c r="G57" s="40">
        <f>IFERROR(INDEX('9_UK_Vol_Input'!$E$127:$E$289,MATCH($A57,'9_UK_Vol_Input'!$A$127:$A$289,0)),"")</f>
        <v/>
      </c>
      <c r="H57" s="39">
        <f>IFERROR(INDEX('9_UK_Vol_Input'!$D$49:$D$122,MATCH($D57,'9_UK_Vol_Input'!$A$49:$A$122,0)),"")</f>
        <v/>
      </c>
      <c r="I57" s="40">
        <f>IFERROR(INDEX('9_UK_Vol_Input'!$E$49:$E$122,MATCH($D57,'9_UK_Vol_Input'!$A$49:$A$122,0)),"")</f>
        <v/>
      </c>
      <c r="J57" s="39">
        <f>IFERROR(INDEX('9_UK_Vol_Input'!$D$20:$D$44,MATCH($E57,'9_UK_Vol_Input'!$A$20:$A$44,0)),"")</f>
        <v/>
      </c>
      <c r="K57" s="40">
        <f>IFERROR(INDEX('9_UK_Vol_Input'!$E$20:$E$44,MATCH($E57,'9_UK_Vol_Input'!$A$20:$A$44,0)),"")</f>
        <v/>
      </c>
      <c r="L57" s="39">
        <f>IFERROR(INDEX('9_UK_Vol_Input'!$D$5:$D$15,MATCH($C57,'9_UK_Vol_Input'!$A$5:$A$15,0)),"")</f>
        <v/>
      </c>
      <c r="M57" s="40">
        <f>IFERROR(INDEX('9_UK_Vol_Input'!$E$5:$E$15,MATCH($C57,'9_UK_Vol_Input'!$A$5:$A$15,0)),"")</f>
        <v/>
      </c>
      <c r="N57" s="22">
        <f>IF(F57&lt;&gt;"",F57/(1+G57),IF(H57&lt;&gt;"",H57/(1+I57),IF(J57&lt;&gt;"",J57/(1+K57),IF(L57&lt;&gt;"",L57/(1+M57),""))))</f>
        <v/>
      </c>
      <c r="O57" s="36">
        <f>IFERROR(INDEX('7_UK_Beta_Input'!$D$127:$D$289,MATCH($A57,'7_UK_Beta_Input'!$A$127:$A$289,0)),"")</f>
        <v/>
      </c>
      <c r="P57" s="36">
        <f>IFERROR(INDEX('7_UK_Beta_Input'!$D$49:$D$122,MATCH($D57,'7_UK_Beta_Input'!$A$49:$A$122,0)),"")</f>
        <v/>
      </c>
      <c r="Q57" s="36">
        <f>IFERROR(INDEX('7_UK_Beta_Input'!$D$20:$D$44,MATCH($E57,'7_UK_Beta_Input'!$A$20:$A$44,0)),"")</f>
        <v/>
      </c>
      <c r="R57" s="36">
        <f>IFERROR(INDEX('7_UK_Beta_Input'!$D$5:$D$15,MATCH($C57,'7_UK_Beta_Input'!$A$5:$A$15,0)),"")</f>
        <v/>
      </c>
      <c r="S57" s="22">
        <f>IF(O57&lt;&gt;"",O57*'6_Credit_Bridge_Assumptions'!$B$8,IF(P57&lt;&gt;"",P57*'6_Credit_Bridge_Assumptions'!$B$8,IF(Q57&lt;&gt;"",Q57*'6_Credit_Bridge_Assumptions'!$B$8,IF(R57&lt;&gt;"",R57*'6_Credit_Bridge_Assumptions'!$B$8,""))))</f>
        <v/>
      </c>
      <c r="T57" s="22">
        <f>IF(N57&lt;&gt;"",N57,S57)</f>
        <v/>
      </c>
    </row>
    <row r="58">
      <c r="A58" s="6" t="n">
        <v>25201010</v>
      </c>
      <c r="B58" s="6" t="inlineStr">
        <is>
          <t>Consumer Electronics</t>
        </is>
      </c>
      <c r="C58" s="6" t="n">
        <v>25</v>
      </c>
      <c r="D58" s="6" t="n">
        <v>252010</v>
      </c>
      <c r="E58" s="6" t="n">
        <v>2520</v>
      </c>
      <c r="F58" s="39">
        <f>IFERROR(INDEX('9_UK_Vol_Input'!$D$127:$D$289,MATCH($A58,'9_UK_Vol_Input'!$A$127:$A$289,0)),"")</f>
        <v/>
      </c>
      <c r="G58" s="40">
        <f>IFERROR(INDEX('9_UK_Vol_Input'!$E$127:$E$289,MATCH($A58,'9_UK_Vol_Input'!$A$127:$A$289,0)),"")</f>
        <v/>
      </c>
      <c r="H58" s="39">
        <f>IFERROR(INDEX('9_UK_Vol_Input'!$D$49:$D$122,MATCH($D58,'9_UK_Vol_Input'!$A$49:$A$122,0)),"")</f>
        <v/>
      </c>
      <c r="I58" s="40">
        <f>IFERROR(INDEX('9_UK_Vol_Input'!$E$49:$E$122,MATCH($D58,'9_UK_Vol_Input'!$A$49:$A$122,0)),"")</f>
        <v/>
      </c>
      <c r="J58" s="39">
        <f>IFERROR(INDEX('9_UK_Vol_Input'!$D$20:$D$44,MATCH($E58,'9_UK_Vol_Input'!$A$20:$A$44,0)),"")</f>
        <v/>
      </c>
      <c r="K58" s="40">
        <f>IFERROR(INDEX('9_UK_Vol_Input'!$E$20:$E$44,MATCH($E58,'9_UK_Vol_Input'!$A$20:$A$44,0)),"")</f>
        <v/>
      </c>
      <c r="L58" s="39">
        <f>IFERROR(INDEX('9_UK_Vol_Input'!$D$5:$D$15,MATCH($C58,'9_UK_Vol_Input'!$A$5:$A$15,0)),"")</f>
        <v/>
      </c>
      <c r="M58" s="40">
        <f>IFERROR(INDEX('9_UK_Vol_Input'!$E$5:$E$15,MATCH($C58,'9_UK_Vol_Input'!$A$5:$A$15,0)),"")</f>
        <v/>
      </c>
      <c r="N58" s="22">
        <f>IF(F58&lt;&gt;"",F58/(1+G58),IF(H58&lt;&gt;"",H58/(1+I58),IF(J58&lt;&gt;"",J58/(1+K58),IF(L58&lt;&gt;"",L58/(1+M58),""))))</f>
        <v/>
      </c>
      <c r="O58" s="36">
        <f>IFERROR(INDEX('7_UK_Beta_Input'!$D$127:$D$289,MATCH($A58,'7_UK_Beta_Input'!$A$127:$A$289,0)),"")</f>
        <v/>
      </c>
      <c r="P58" s="36">
        <f>IFERROR(INDEX('7_UK_Beta_Input'!$D$49:$D$122,MATCH($D58,'7_UK_Beta_Input'!$A$49:$A$122,0)),"")</f>
        <v/>
      </c>
      <c r="Q58" s="36">
        <f>IFERROR(INDEX('7_UK_Beta_Input'!$D$20:$D$44,MATCH($E58,'7_UK_Beta_Input'!$A$20:$A$44,0)),"")</f>
        <v/>
      </c>
      <c r="R58" s="36">
        <f>IFERROR(INDEX('7_UK_Beta_Input'!$D$5:$D$15,MATCH($C58,'7_UK_Beta_Input'!$A$5:$A$15,0)),"")</f>
        <v/>
      </c>
      <c r="S58" s="22">
        <f>IF(O58&lt;&gt;"",O58*'6_Credit_Bridge_Assumptions'!$B$8,IF(P58&lt;&gt;"",P58*'6_Credit_Bridge_Assumptions'!$B$8,IF(Q58&lt;&gt;"",Q58*'6_Credit_Bridge_Assumptions'!$B$8,IF(R58&lt;&gt;"",R58*'6_Credit_Bridge_Assumptions'!$B$8,""))))</f>
        <v/>
      </c>
      <c r="T58" s="22">
        <f>IF(N58&lt;&gt;"",N58,S58)</f>
        <v/>
      </c>
    </row>
    <row r="59">
      <c r="A59" s="6" t="n">
        <v>25201020</v>
      </c>
      <c r="B59" s="6" t="inlineStr">
        <is>
          <t>Home Furnishings</t>
        </is>
      </c>
      <c r="C59" s="6" t="n">
        <v>25</v>
      </c>
      <c r="D59" s="6" t="n">
        <v>252010</v>
      </c>
      <c r="E59" s="6" t="n">
        <v>2520</v>
      </c>
      <c r="F59" s="39">
        <f>IFERROR(INDEX('9_UK_Vol_Input'!$D$127:$D$289,MATCH($A59,'9_UK_Vol_Input'!$A$127:$A$289,0)),"")</f>
        <v/>
      </c>
      <c r="G59" s="40">
        <f>IFERROR(INDEX('9_UK_Vol_Input'!$E$127:$E$289,MATCH($A59,'9_UK_Vol_Input'!$A$127:$A$289,0)),"")</f>
        <v/>
      </c>
      <c r="H59" s="39">
        <f>IFERROR(INDEX('9_UK_Vol_Input'!$D$49:$D$122,MATCH($D59,'9_UK_Vol_Input'!$A$49:$A$122,0)),"")</f>
        <v/>
      </c>
      <c r="I59" s="40">
        <f>IFERROR(INDEX('9_UK_Vol_Input'!$E$49:$E$122,MATCH($D59,'9_UK_Vol_Input'!$A$49:$A$122,0)),"")</f>
        <v/>
      </c>
      <c r="J59" s="39">
        <f>IFERROR(INDEX('9_UK_Vol_Input'!$D$20:$D$44,MATCH($E59,'9_UK_Vol_Input'!$A$20:$A$44,0)),"")</f>
        <v/>
      </c>
      <c r="K59" s="40">
        <f>IFERROR(INDEX('9_UK_Vol_Input'!$E$20:$E$44,MATCH($E59,'9_UK_Vol_Input'!$A$20:$A$44,0)),"")</f>
        <v/>
      </c>
      <c r="L59" s="39">
        <f>IFERROR(INDEX('9_UK_Vol_Input'!$D$5:$D$15,MATCH($C59,'9_UK_Vol_Input'!$A$5:$A$15,0)),"")</f>
        <v/>
      </c>
      <c r="M59" s="40">
        <f>IFERROR(INDEX('9_UK_Vol_Input'!$E$5:$E$15,MATCH($C59,'9_UK_Vol_Input'!$A$5:$A$15,0)),"")</f>
        <v/>
      </c>
      <c r="N59" s="22">
        <f>IF(F59&lt;&gt;"",F59/(1+G59),IF(H59&lt;&gt;"",H59/(1+I59),IF(J59&lt;&gt;"",J59/(1+K59),IF(L59&lt;&gt;"",L59/(1+M59),""))))</f>
        <v/>
      </c>
      <c r="O59" s="36">
        <f>IFERROR(INDEX('7_UK_Beta_Input'!$D$127:$D$289,MATCH($A59,'7_UK_Beta_Input'!$A$127:$A$289,0)),"")</f>
        <v/>
      </c>
      <c r="P59" s="36">
        <f>IFERROR(INDEX('7_UK_Beta_Input'!$D$49:$D$122,MATCH($D59,'7_UK_Beta_Input'!$A$49:$A$122,0)),"")</f>
        <v/>
      </c>
      <c r="Q59" s="36">
        <f>IFERROR(INDEX('7_UK_Beta_Input'!$D$20:$D$44,MATCH($E59,'7_UK_Beta_Input'!$A$20:$A$44,0)),"")</f>
        <v/>
      </c>
      <c r="R59" s="36">
        <f>IFERROR(INDEX('7_UK_Beta_Input'!$D$5:$D$15,MATCH($C59,'7_UK_Beta_Input'!$A$5:$A$15,0)),"")</f>
        <v/>
      </c>
      <c r="S59" s="22">
        <f>IF(O59&lt;&gt;"",O59*'6_Credit_Bridge_Assumptions'!$B$8,IF(P59&lt;&gt;"",P59*'6_Credit_Bridge_Assumptions'!$B$8,IF(Q59&lt;&gt;"",Q59*'6_Credit_Bridge_Assumptions'!$B$8,IF(R59&lt;&gt;"",R59*'6_Credit_Bridge_Assumptions'!$B$8,""))))</f>
        <v/>
      </c>
      <c r="T59" s="22">
        <f>IF(N59&lt;&gt;"",N59,S59)</f>
        <v/>
      </c>
    </row>
    <row r="60">
      <c r="A60" s="6" t="n">
        <v>25201030</v>
      </c>
      <c r="B60" s="6" t="inlineStr">
        <is>
          <t>Homebuilding</t>
        </is>
      </c>
      <c r="C60" s="6" t="n">
        <v>25</v>
      </c>
      <c r="D60" s="6" t="n">
        <v>252010</v>
      </c>
      <c r="E60" s="6" t="n">
        <v>2520</v>
      </c>
      <c r="F60" s="39">
        <f>IFERROR(INDEX('9_UK_Vol_Input'!$D$127:$D$289,MATCH($A60,'9_UK_Vol_Input'!$A$127:$A$289,0)),"")</f>
        <v/>
      </c>
      <c r="G60" s="40">
        <f>IFERROR(INDEX('9_UK_Vol_Input'!$E$127:$E$289,MATCH($A60,'9_UK_Vol_Input'!$A$127:$A$289,0)),"")</f>
        <v/>
      </c>
      <c r="H60" s="39">
        <f>IFERROR(INDEX('9_UK_Vol_Input'!$D$49:$D$122,MATCH($D60,'9_UK_Vol_Input'!$A$49:$A$122,0)),"")</f>
        <v/>
      </c>
      <c r="I60" s="40">
        <f>IFERROR(INDEX('9_UK_Vol_Input'!$E$49:$E$122,MATCH($D60,'9_UK_Vol_Input'!$A$49:$A$122,0)),"")</f>
        <v/>
      </c>
      <c r="J60" s="39">
        <f>IFERROR(INDEX('9_UK_Vol_Input'!$D$20:$D$44,MATCH($E60,'9_UK_Vol_Input'!$A$20:$A$44,0)),"")</f>
        <v/>
      </c>
      <c r="K60" s="40">
        <f>IFERROR(INDEX('9_UK_Vol_Input'!$E$20:$E$44,MATCH($E60,'9_UK_Vol_Input'!$A$20:$A$44,0)),"")</f>
        <v/>
      </c>
      <c r="L60" s="39">
        <f>IFERROR(INDEX('9_UK_Vol_Input'!$D$5:$D$15,MATCH($C60,'9_UK_Vol_Input'!$A$5:$A$15,0)),"")</f>
        <v/>
      </c>
      <c r="M60" s="40">
        <f>IFERROR(INDEX('9_UK_Vol_Input'!$E$5:$E$15,MATCH($C60,'9_UK_Vol_Input'!$A$5:$A$15,0)),"")</f>
        <v/>
      </c>
      <c r="N60" s="22">
        <f>IF(F60&lt;&gt;"",F60/(1+G60),IF(H60&lt;&gt;"",H60/(1+I60),IF(J60&lt;&gt;"",J60/(1+K60),IF(L60&lt;&gt;"",L60/(1+M60),""))))</f>
        <v/>
      </c>
      <c r="O60" s="36">
        <f>IFERROR(INDEX('7_UK_Beta_Input'!$D$127:$D$289,MATCH($A60,'7_UK_Beta_Input'!$A$127:$A$289,0)),"")</f>
        <v/>
      </c>
      <c r="P60" s="36">
        <f>IFERROR(INDEX('7_UK_Beta_Input'!$D$49:$D$122,MATCH($D60,'7_UK_Beta_Input'!$A$49:$A$122,0)),"")</f>
        <v/>
      </c>
      <c r="Q60" s="36">
        <f>IFERROR(INDEX('7_UK_Beta_Input'!$D$20:$D$44,MATCH($E60,'7_UK_Beta_Input'!$A$20:$A$44,0)),"")</f>
        <v/>
      </c>
      <c r="R60" s="36">
        <f>IFERROR(INDEX('7_UK_Beta_Input'!$D$5:$D$15,MATCH($C60,'7_UK_Beta_Input'!$A$5:$A$15,0)),"")</f>
        <v/>
      </c>
      <c r="S60" s="22">
        <f>IF(O60&lt;&gt;"",O60*'6_Credit_Bridge_Assumptions'!$B$8,IF(P60&lt;&gt;"",P60*'6_Credit_Bridge_Assumptions'!$B$8,IF(Q60&lt;&gt;"",Q60*'6_Credit_Bridge_Assumptions'!$B$8,IF(R60&lt;&gt;"",R60*'6_Credit_Bridge_Assumptions'!$B$8,""))))</f>
        <v/>
      </c>
      <c r="T60" s="22">
        <f>IF(N60&lt;&gt;"",N60,S60)</f>
        <v/>
      </c>
    </row>
    <row r="61">
      <c r="A61" s="6" t="n">
        <v>25201040</v>
      </c>
      <c r="B61" s="6" t="inlineStr">
        <is>
          <t>Household Appliances</t>
        </is>
      </c>
      <c r="C61" s="6" t="n">
        <v>25</v>
      </c>
      <c r="D61" s="6" t="n">
        <v>252010</v>
      </c>
      <c r="E61" s="6" t="n">
        <v>2520</v>
      </c>
      <c r="F61" s="39">
        <f>IFERROR(INDEX('9_UK_Vol_Input'!$D$127:$D$289,MATCH($A61,'9_UK_Vol_Input'!$A$127:$A$289,0)),"")</f>
        <v/>
      </c>
      <c r="G61" s="40">
        <f>IFERROR(INDEX('9_UK_Vol_Input'!$E$127:$E$289,MATCH($A61,'9_UK_Vol_Input'!$A$127:$A$289,0)),"")</f>
        <v/>
      </c>
      <c r="H61" s="39">
        <f>IFERROR(INDEX('9_UK_Vol_Input'!$D$49:$D$122,MATCH($D61,'9_UK_Vol_Input'!$A$49:$A$122,0)),"")</f>
        <v/>
      </c>
      <c r="I61" s="40">
        <f>IFERROR(INDEX('9_UK_Vol_Input'!$E$49:$E$122,MATCH($D61,'9_UK_Vol_Input'!$A$49:$A$122,0)),"")</f>
        <v/>
      </c>
      <c r="J61" s="39">
        <f>IFERROR(INDEX('9_UK_Vol_Input'!$D$20:$D$44,MATCH($E61,'9_UK_Vol_Input'!$A$20:$A$44,0)),"")</f>
        <v/>
      </c>
      <c r="K61" s="40">
        <f>IFERROR(INDEX('9_UK_Vol_Input'!$E$20:$E$44,MATCH($E61,'9_UK_Vol_Input'!$A$20:$A$44,0)),"")</f>
        <v/>
      </c>
      <c r="L61" s="39">
        <f>IFERROR(INDEX('9_UK_Vol_Input'!$D$5:$D$15,MATCH($C61,'9_UK_Vol_Input'!$A$5:$A$15,0)),"")</f>
        <v/>
      </c>
      <c r="M61" s="40">
        <f>IFERROR(INDEX('9_UK_Vol_Input'!$E$5:$E$15,MATCH($C61,'9_UK_Vol_Input'!$A$5:$A$15,0)),"")</f>
        <v/>
      </c>
      <c r="N61" s="22">
        <f>IF(F61&lt;&gt;"",F61/(1+G61),IF(H61&lt;&gt;"",H61/(1+I61),IF(J61&lt;&gt;"",J61/(1+K61),IF(L61&lt;&gt;"",L61/(1+M61),""))))</f>
        <v/>
      </c>
      <c r="O61" s="36">
        <f>IFERROR(INDEX('7_UK_Beta_Input'!$D$127:$D$289,MATCH($A61,'7_UK_Beta_Input'!$A$127:$A$289,0)),"")</f>
        <v/>
      </c>
      <c r="P61" s="36">
        <f>IFERROR(INDEX('7_UK_Beta_Input'!$D$49:$D$122,MATCH($D61,'7_UK_Beta_Input'!$A$49:$A$122,0)),"")</f>
        <v/>
      </c>
      <c r="Q61" s="36">
        <f>IFERROR(INDEX('7_UK_Beta_Input'!$D$20:$D$44,MATCH($E61,'7_UK_Beta_Input'!$A$20:$A$44,0)),"")</f>
        <v/>
      </c>
      <c r="R61" s="36">
        <f>IFERROR(INDEX('7_UK_Beta_Input'!$D$5:$D$15,MATCH($C61,'7_UK_Beta_Input'!$A$5:$A$15,0)),"")</f>
        <v/>
      </c>
      <c r="S61" s="22">
        <f>IF(O61&lt;&gt;"",O61*'6_Credit_Bridge_Assumptions'!$B$8,IF(P61&lt;&gt;"",P61*'6_Credit_Bridge_Assumptions'!$B$8,IF(Q61&lt;&gt;"",Q61*'6_Credit_Bridge_Assumptions'!$B$8,IF(R61&lt;&gt;"",R61*'6_Credit_Bridge_Assumptions'!$B$8,""))))</f>
        <v/>
      </c>
      <c r="T61" s="22">
        <f>IF(N61&lt;&gt;"",N61,S61)</f>
        <v/>
      </c>
    </row>
    <row r="62">
      <c r="A62" s="6" t="n">
        <v>25201050</v>
      </c>
      <c r="B62" s="6" t="inlineStr">
        <is>
          <t>Housewares &amp; Specialties</t>
        </is>
      </c>
      <c r="C62" s="6" t="n">
        <v>25</v>
      </c>
      <c r="D62" s="6" t="n">
        <v>252010</v>
      </c>
      <c r="E62" s="6" t="n">
        <v>2520</v>
      </c>
      <c r="F62" s="39">
        <f>IFERROR(INDEX('9_UK_Vol_Input'!$D$127:$D$289,MATCH($A62,'9_UK_Vol_Input'!$A$127:$A$289,0)),"")</f>
        <v/>
      </c>
      <c r="G62" s="40">
        <f>IFERROR(INDEX('9_UK_Vol_Input'!$E$127:$E$289,MATCH($A62,'9_UK_Vol_Input'!$A$127:$A$289,0)),"")</f>
        <v/>
      </c>
      <c r="H62" s="39">
        <f>IFERROR(INDEX('9_UK_Vol_Input'!$D$49:$D$122,MATCH($D62,'9_UK_Vol_Input'!$A$49:$A$122,0)),"")</f>
        <v/>
      </c>
      <c r="I62" s="40">
        <f>IFERROR(INDEX('9_UK_Vol_Input'!$E$49:$E$122,MATCH($D62,'9_UK_Vol_Input'!$A$49:$A$122,0)),"")</f>
        <v/>
      </c>
      <c r="J62" s="39">
        <f>IFERROR(INDEX('9_UK_Vol_Input'!$D$20:$D$44,MATCH($E62,'9_UK_Vol_Input'!$A$20:$A$44,0)),"")</f>
        <v/>
      </c>
      <c r="K62" s="40">
        <f>IFERROR(INDEX('9_UK_Vol_Input'!$E$20:$E$44,MATCH($E62,'9_UK_Vol_Input'!$A$20:$A$44,0)),"")</f>
        <v/>
      </c>
      <c r="L62" s="39">
        <f>IFERROR(INDEX('9_UK_Vol_Input'!$D$5:$D$15,MATCH($C62,'9_UK_Vol_Input'!$A$5:$A$15,0)),"")</f>
        <v/>
      </c>
      <c r="M62" s="40">
        <f>IFERROR(INDEX('9_UK_Vol_Input'!$E$5:$E$15,MATCH($C62,'9_UK_Vol_Input'!$A$5:$A$15,0)),"")</f>
        <v/>
      </c>
      <c r="N62" s="22">
        <f>IF(F62&lt;&gt;"",F62/(1+G62),IF(H62&lt;&gt;"",H62/(1+I62),IF(J62&lt;&gt;"",J62/(1+K62),IF(L62&lt;&gt;"",L62/(1+M62),""))))</f>
        <v/>
      </c>
      <c r="O62" s="36">
        <f>IFERROR(INDEX('7_UK_Beta_Input'!$D$127:$D$289,MATCH($A62,'7_UK_Beta_Input'!$A$127:$A$289,0)),"")</f>
        <v/>
      </c>
      <c r="P62" s="36">
        <f>IFERROR(INDEX('7_UK_Beta_Input'!$D$49:$D$122,MATCH($D62,'7_UK_Beta_Input'!$A$49:$A$122,0)),"")</f>
        <v/>
      </c>
      <c r="Q62" s="36">
        <f>IFERROR(INDEX('7_UK_Beta_Input'!$D$20:$D$44,MATCH($E62,'7_UK_Beta_Input'!$A$20:$A$44,0)),"")</f>
        <v/>
      </c>
      <c r="R62" s="36">
        <f>IFERROR(INDEX('7_UK_Beta_Input'!$D$5:$D$15,MATCH($C62,'7_UK_Beta_Input'!$A$5:$A$15,0)),"")</f>
        <v/>
      </c>
      <c r="S62" s="22">
        <f>IF(O62&lt;&gt;"",O62*'6_Credit_Bridge_Assumptions'!$B$8,IF(P62&lt;&gt;"",P62*'6_Credit_Bridge_Assumptions'!$B$8,IF(Q62&lt;&gt;"",Q62*'6_Credit_Bridge_Assumptions'!$B$8,IF(R62&lt;&gt;"",R62*'6_Credit_Bridge_Assumptions'!$B$8,""))))</f>
        <v/>
      </c>
      <c r="T62" s="22">
        <f>IF(N62&lt;&gt;"",N62,S62)</f>
        <v/>
      </c>
    </row>
    <row r="63">
      <c r="A63" s="6" t="n">
        <v>25202010</v>
      </c>
      <c r="B63" s="6" t="inlineStr">
        <is>
          <t>Leisure Products</t>
        </is>
      </c>
      <c r="C63" s="6" t="n">
        <v>25</v>
      </c>
      <c r="D63" s="6" t="n">
        <v>252020</v>
      </c>
      <c r="E63" s="6" t="n">
        <v>2520</v>
      </c>
      <c r="F63" s="39">
        <f>IFERROR(INDEX('9_UK_Vol_Input'!$D$127:$D$289,MATCH($A63,'9_UK_Vol_Input'!$A$127:$A$289,0)),"")</f>
        <v/>
      </c>
      <c r="G63" s="40">
        <f>IFERROR(INDEX('9_UK_Vol_Input'!$E$127:$E$289,MATCH($A63,'9_UK_Vol_Input'!$A$127:$A$289,0)),"")</f>
        <v/>
      </c>
      <c r="H63" s="39">
        <f>IFERROR(INDEX('9_UK_Vol_Input'!$D$49:$D$122,MATCH($D63,'9_UK_Vol_Input'!$A$49:$A$122,0)),"")</f>
        <v/>
      </c>
      <c r="I63" s="40">
        <f>IFERROR(INDEX('9_UK_Vol_Input'!$E$49:$E$122,MATCH($D63,'9_UK_Vol_Input'!$A$49:$A$122,0)),"")</f>
        <v/>
      </c>
      <c r="J63" s="39">
        <f>IFERROR(INDEX('9_UK_Vol_Input'!$D$20:$D$44,MATCH($E63,'9_UK_Vol_Input'!$A$20:$A$44,0)),"")</f>
        <v/>
      </c>
      <c r="K63" s="40">
        <f>IFERROR(INDEX('9_UK_Vol_Input'!$E$20:$E$44,MATCH($E63,'9_UK_Vol_Input'!$A$20:$A$44,0)),"")</f>
        <v/>
      </c>
      <c r="L63" s="39">
        <f>IFERROR(INDEX('9_UK_Vol_Input'!$D$5:$D$15,MATCH($C63,'9_UK_Vol_Input'!$A$5:$A$15,0)),"")</f>
        <v/>
      </c>
      <c r="M63" s="40">
        <f>IFERROR(INDEX('9_UK_Vol_Input'!$E$5:$E$15,MATCH($C63,'9_UK_Vol_Input'!$A$5:$A$15,0)),"")</f>
        <v/>
      </c>
      <c r="N63" s="22">
        <f>IF(F63&lt;&gt;"",F63/(1+G63),IF(H63&lt;&gt;"",H63/(1+I63),IF(J63&lt;&gt;"",J63/(1+K63),IF(L63&lt;&gt;"",L63/(1+M63),""))))</f>
        <v/>
      </c>
      <c r="O63" s="36">
        <f>IFERROR(INDEX('7_UK_Beta_Input'!$D$127:$D$289,MATCH($A63,'7_UK_Beta_Input'!$A$127:$A$289,0)),"")</f>
        <v/>
      </c>
      <c r="P63" s="36">
        <f>IFERROR(INDEX('7_UK_Beta_Input'!$D$49:$D$122,MATCH($D63,'7_UK_Beta_Input'!$A$49:$A$122,0)),"")</f>
        <v/>
      </c>
      <c r="Q63" s="36">
        <f>IFERROR(INDEX('7_UK_Beta_Input'!$D$20:$D$44,MATCH($E63,'7_UK_Beta_Input'!$A$20:$A$44,0)),"")</f>
        <v/>
      </c>
      <c r="R63" s="36">
        <f>IFERROR(INDEX('7_UK_Beta_Input'!$D$5:$D$15,MATCH($C63,'7_UK_Beta_Input'!$A$5:$A$15,0)),"")</f>
        <v/>
      </c>
      <c r="S63" s="22">
        <f>IF(O63&lt;&gt;"",O63*'6_Credit_Bridge_Assumptions'!$B$8,IF(P63&lt;&gt;"",P63*'6_Credit_Bridge_Assumptions'!$B$8,IF(Q63&lt;&gt;"",Q63*'6_Credit_Bridge_Assumptions'!$B$8,IF(R63&lt;&gt;"",R63*'6_Credit_Bridge_Assumptions'!$B$8,""))))</f>
        <v/>
      </c>
      <c r="T63" s="22">
        <f>IF(N63&lt;&gt;"",N63,S63)</f>
        <v/>
      </c>
    </row>
    <row r="64">
      <c r="A64" s="6" t="n">
        <v>25203010</v>
      </c>
      <c r="B64" s="6" t="inlineStr">
        <is>
          <t>Apparel, Accessories &amp; Luxury Goods</t>
        </is>
      </c>
      <c r="C64" s="6" t="n">
        <v>25</v>
      </c>
      <c r="D64" s="6" t="n">
        <v>252030</v>
      </c>
      <c r="E64" s="6" t="n">
        <v>2520</v>
      </c>
      <c r="F64" s="39">
        <f>IFERROR(INDEX('9_UK_Vol_Input'!$D$127:$D$289,MATCH($A64,'9_UK_Vol_Input'!$A$127:$A$289,0)),"")</f>
        <v/>
      </c>
      <c r="G64" s="40">
        <f>IFERROR(INDEX('9_UK_Vol_Input'!$E$127:$E$289,MATCH($A64,'9_UK_Vol_Input'!$A$127:$A$289,0)),"")</f>
        <v/>
      </c>
      <c r="H64" s="39">
        <f>IFERROR(INDEX('9_UK_Vol_Input'!$D$49:$D$122,MATCH($D64,'9_UK_Vol_Input'!$A$49:$A$122,0)),"")</f>
        <v/>
      </c>
      <c r="I64" s="40">
        <f>IFERROR(INDEX('9_UK_Vol_Input'!$E$49:$E$122,MATCH($D64,'9_UK_Vol_Input'!$A$49:$A$122,0)),"")</f>
        <v/>
      </c>
      <c r="J64" s="39">
        <f>IFERROR(INDEX('9_UK_Vol_Input'!$D$20:$D$44,MATCH($E64,'9_UK_Vol_Input'!$A$20:$A$44,0)),"")</f>
        <v/>
      </c>
      <c r="K64" s="40">
        <f>IFERROR(INDEX('9_UK_Vol_Input'!$E$20:$E$44,MATCH($E64,'9_UK_Vol_Input'!$A$20:$A$44,0)),"")</f>
        <v/>
      </c>
      <c r="L64" s="39">
        <f>IFERROR(INDEX('9_UK_Vol_Input'!$D$5:$D$15,MATCH($C64,'9_UK_Vol_Input'!$A$5:$A$15,0)),"")</f>
        <v/>
      </c>
      <c r="M64" s="40">
        <f>IFERROR(INDEX('9_UK_Vol_Input'!$E$5:$E$15,MATCH($C64,'9_UK_Vol_Input'!$A$5:$A$15,0)),"")</f>
        <v/>
      </c>
      <c r="N64" s="22">
        <f>IF(F64&lt;&gt;"",F64/(1+G64),IF(H64&lt;&gt;"",H64/(1+I64),IF(J64&lt;&gt;"",J64/(1+K64),IF(L64&lt;&gt;"",L64/(1+M64),""))))</f>
        <v/>
      </c>
      <c r="O64" s="36">
        <f>IFERROR(INDEX('7_UK_Beta_Input'!$D$127:$D$289,MATCH($A64,'7_UK_Beta_Input'!$A$127:$A$289,0)),"")</f>
        <v/>
      </c>
      <c r="P64" s="36">
        <f>IFERROR(INDEX('7_UK_Beta_Input'!$D$49:$D$122,MATCH($D64,'7_UK_Beta_Input'!$A$49:$A$122,0)),"")</f>
        <v/>
      </c>
      <c r="Q64" s="36">
        <f>IFERROR(INDEX('7_UK_Beta_Input'!$D$20:$D$44,MATCH($E64,'7_UK_Beta_Input'!$A$20:$A$44,0)),"")</f>
        <v/>
      </c>
      <c r="R64" s="36">
        <f>IFERROR(INDEX('7_UK_Beta_Input'!$D$5:$D$15,MATCH($C64,'7_UK_Beta_Input'!$A$5:$A$15,0)),"")</f>
        <v/>
      </c>
      <c r="S64" s="22">
        <f>IF(O64&lt;&gt;"",O64*'6_Credit_Bridge_Assumptions'!$B$8,IF(P64&lt;&gt;"",P64*'6_Credit_Bridge_Assumptions'!$B$8,IF(Q64&lt;&gt;"",Q64*'6_Credit_Bridge_Assumptions'!$B$8,IF(R64&lt;&gt;"",R64*'6_Credit_Bridge_Assumptions'!$B$8,""))))</f>
        <v/>
      </c>
      <c r="T64" s="22">
        <f>IF(N64&lt;&gt;"",N64,S64)</f>
        <v/>
      </c>
    </row>
    <row r="65">
      <c r="A65" s="6" t="n">
        <v>25203020</v>
      </c>
      <c r="B65" s="6" t="inlineStr">
        <is>
          <t>Footwear</t>
        </is>
      </c>
      <c r="C65" s="6" t="n">
        <v>25</v>
      </c>
      <c r="D65" s="6" t="n">
        <v>252030</v>
      </c>
      <c r="E65" s="6" t="n">
        <v>2520</v>
      </c>
      <c r="F65" s="39">
        <f>IFERROR(INDEX('9_UK_Vol_Input'!$D$127:$D$289,MATCH($A65,'9_UK_Vol_Input'!$A$127:$A$289,0)),"")</f>
        <v/>
      </c>
      <c r="G65" s="40">
        <f>IFERROR(INDEX('9_UK_Vol_Input'!$E$127:$E$289,MATCH($A65,'9_UK_Vol_Input'!$A$127:$A$289,0)),"")</f>
        <v/>
      </c>
      <c r="H65" s="39">
        <f>IFERROR(INDEX('9_UK_Vol_Input'!$D$49:$D$122,MATCH($D65,'9_UK_Vol_Input'!$A$49:$A$122,0)),"")</f>
        <v/>
      </c>
      <c r="I65" s="40">
        <f>IFERROR(INDEX('9_UK_Vol_Input'!$E$49:$E$122,MATCH($D65,'9_UK_Vol_Input'!$A$49:$A$122,0)),"")</f>
        <v/>
      </c>
      <c r="J65" s="39">
        <f>IFERROR(INDEX('9_UK_Vol_Input'!$D$20:$D$44,MATCH($E65,'9_UK_Vol_Input'!$A$20:$A$44,0)),"")</f>
        <v/>
      </c>
      <c r="K65" s="40">
        <f>IFERROR(INDEX('9_UK_Vol_Input'!$E$20:$E$44,MATCH($E65,'9_UK_Vol_Input'!$A$20:$A$44,0)),"")</f>
        <v/>
      </c>
      <c r="L65" s="39">
        <f>IFERROR(INDEX('9_UK_Vol_Input'!$D$5:$D$15,MATCH($C65,'9_UK_Vol_Input'!$A$5:$A$15,0)),"")</f>
        <v/>
      </c>
      <c r="M65" s="40">
        <f>IFERROR(INDEX('9_UK_Vol_Input'!$E$5:$E$15,MATCH($C65,'9_UK_Vol_Input'!$A$5:$A$15,0)),"")</f>
        <v/>
      </c>
      <c r="N65" s="22">
        <f>IF(F65&lt;&gt;"",F65/(1+G65),IF(H65&lt;&gt;"",H65/(1+I65),IF(J65&lt;&gt;"",J65/(1+K65),IF(L65&lt;&gt;"",L65/(1+M65),""))))</f>
        <v/>
      </c>
      <c r="O65" s="36">
        <f>IFERROR(INDEX('7_UK_Beta_Input'!$D$127:$D$289,MATCH($A65,'7_UK_Beta_Input'!$A$127:$A$289,0)),"")</f>
        <v/>
      </c>
      <c r="P65" s="36">
        <f>IFERROR(INDEX('7_UK_Beta_Input'!$D$49:$D$122,MATCH($D65,'7_UK_Beta_Input'!$A$49:$A$122,0)),"")</f>
        <v/>
      </c>
      <c r="Q65" s="36">
        <f>IFERROR(INDEX('7_UK_Beta_Input'!$D$20:$D$44,MATCH($E65,'7_UK_Beta_Input'!$A$20:$A$44,0)),"")</f>
        <v/>
      </c>
      <c r="R65" s="36">
        <f>IFERROR(INDEX('7_UK_Beta_Input'!$D$5:$D$15,MATCH($C65,'7_UK_Beta_Input'!$A$5:$A$15,0)),"")</f>
        <v/>
      </c>
      <c r="S65" s="22">
        <f>IF(O65&lt;&gt;"",O65*'6_Credit_Bridge_Assumptions'!$B$8,IF(P65&lt;&gt;"",P65*'6_Credit_Bridge_Assumptions'!$B$8,IF(Q65&lt;&gt;"",Q65*'6_Credit_Bridge_Assumptions'!$B$8,IF(R65&lt;&gt;"",R65*'6_Credit_Bridge_Assumptions'!$B$8,""))))</f>
        <v/>
      </c>
      <c r="T65" s="22">
        <f>IF(N65&lt;&gt;"",N65,S65)</f>
        <v/>
      </c>
    </row>
    <row r="66">
      <c r="A66" s="6" t="n">
        <v>25203030</v>
      </c>
      <c r="B66" s="6" t="inlineStr">
        <is>
          <t>Textiles</t>
        </is>
      </c>
      <c r="C66" s="6" t="n">
        <v>25</v>
      </c>
      <c r="D66" s="6" t="n">
        <v>252030</v>
      </c>
      <c r="E66" s="6" t="n">
        <v>2520</v>
      </c>
      <c r="F66" s="39">
        <f>IFERROR(INDEX('9_UK_Vol_Input'!$D$127:$D$289,MATCH($A66,'9_UK_Vol_Input'!$A$127:$A$289,0)),"")</f>
        <v/>
      </c>
      <c r="G66" s="40">
        <f>IFERROR(INDEX('9_UK_Vol_Input'!$E$127:$E$289,MATCH($A66,'9_UK_Vol_Input'!$A$127:$A$289,0)),"")</f>
        <v/>
      </c>
      <c r="H66" s="39">
        <f>IFERROR(INDEX('9_UK_Vol_Input'!$D$49:$D$122,MATCH($D66,'9_UK_Vol_Input'!$A$49:$A$122,0)),"")</f>
        <v/>
      </c>
      <c r="I66" s="40">
        <f>IFERROR(INDEX('9_UK_Vol_Input'!$E$49:$E$122,MATCH($D66,'9_UK_Vol_Input'!$A$49:$A$122,0)),"")</f>
        <v/>
      </c>
      <c r="J66" s="39">
        <f>IFERROR(INDEX('9_UK_Vol_Input'!$D$20:$D$44,MATCH($E66,'9_UK_Vol_Input'!$A$20:$A$44,0)),"")</f>
        <v/>
      </c>
      <c r="K66" s="40">
        <f>IFERROR(INDEX('9_UK_Vol_Input'!$E$20:$E$44,MATCH($E66,'9_UK_Vol_Input'!$A$20:$A$44,0)),"")</f>
        <v/>
      </c>
      <c r="L66" s="39">
        <f>IFERROR(INDEX('9_UK_Vol_Input'!$D$5:$D$15,MATCH($C66,'9_UK_Vol_Input'!$A$5:$A$15,0)),"")</f>
        <v/>
      </c>
      <c r="M66" s="40">
        <f>IFERROR(INDEX('9_UK_Vol_Input'!$E$5:$E$15,MATCH($C66,'9_UK_Vol_Input'!$A$5:$A$15,0)),"")</f>
        <v/>
      </c>
      <c r="N66" s="22">
        <f>IF(F66&lt;&gt;"",F66/(1+G66),IF(H66&lt;&gt;"",H66/(1+I66),IF(J66&lt;&gt;"",J66/(1+K66),IF(L66&lt;&gt;"",L66/(1+M66),""))))</f>
        <v/>
      </c>
      <c r="O66" s="36">
        <f>IFERROR(INDEX('7_UK_Beta_Input'!$D$127:$D$289,MATCH($A66,'7_UK_Beta_Input'!$A$127:$A$289,0)),"")</f>
        <v/>
      </c>
      <c r="P66" s="36">
        <f>IFERROR(INDEX('7_UK_Beta_Input'!$D$49:$D$122,MATCH($D66,'7_UK_Beta_Input'!$A$49:$A$122,0)),"")</f>
        <v/>
      </c>
      <c r="Q66" s="36">
        <f>IFERROR(INDEX('7_UK_Beta_Input'!$D$20:$D$44,MATCH($E66,'7_UK_Beta_Input'!$A$20:$A$44,0)),"")</f>
        <v/>
      </c>
      <c r="R66" s="36">
        <f>IFERROR(INDEX('7_UK_Beta_Input'!$D$5:$D$15,MATCH($C66,'7_UK_Beta_Input'!$A$5:$A$15,0)),"")</f>
        <v/>
      </c>
      <c r="S66" s="22">
        <f>IF(O66&lt;&gt;"",O66*'6_Credit_Bridge_Assumptions'!$B$8,IF(P66&lt;&gt;"",P66*'6_Credit_Bridge_Assumptions'!$B$8,IF(Q66&lt;&gt;"",Q66*'6_Credit_Bridge_Assumptions'!$B$8,IF(R66&lt;&gt;"",R66*'6_Credit_Bridge_Assumptions'!$B$8,""))))</f>
        <v/>
      </c>
      <c r="T66" s="22">
        <f>IF(N66&lt;&gt;"",N66,S66)</f>
        <v/>
      </c>
    </row>
    <row r="67">
      <c r="A67" s="6" t="n">
        <v>25301010</v>
      </c>
      <c r="B67" s="6" t="inlineStr">
        <is>
          <t>Casinos &amp; Gaming</t>
        </is>
      </c>
      <c r="C67" s="6" t="n">
        <v>25</v>
      </c>
      <c r="D67" s="6" t="n">
        <v>253010</v>
      </c>
      <c r="E67" s="6" t="n">
        <v>2530</v>
      </c>
      <c r="F67" s="39">
        <f>IFERROR(INDEX('9_UK_Vol_Input'!$D$127:$D$289,MATCH($A67,'9_UK_Vol_Input'!$A$127:$A$289,0)),"")</f>
        <v/>
      </c>
      <c r="G67" s="40">
        <f>IFERROR(INDEX('9_UK_Vol_Input'!$E$127:$E$289,MATCH($A67,'9_UK_Vol_Input'!$A$127:$A$289,0)),"")</f>
        <v/>
      </c>
      <c r="H67" s="39">
        <f>IFERROR(INDEX('9_UK_Vol_Input'!$D$49:$D$122,MATCH($D67,'9_UK_Vol_Input'!$A$49:$A$122,0)),"")</f>
        <v/>
      </c>
      <c r="I67" s="40">
        <f>IFERROR(INDEX('9_UK_Vol_Input'!$E$49:$E$122,MATCH($D67,'9_UK_Vol_Input'!$A$49:$A$122,0)),"")</f>
        <v/>
      </c>
      <c r="J67" s="39">
        <f>IFERROR(INDEX('9_UK_Vol_Input'!$D$20:$D$44,MATCH($E67,'9_UK_Vol_Input'!$A$20:$A$44,0)),"")</f>
        <v/>
      </c>
      <c r="K67" s="40">
        <f>IFERROR(INDEX('9_UK_Vol_Input'!$E$20:$E$44,MATCH($E67,'9_UK_Vol_Input'!$A$20:$A$44,0)),"")</f>
        <v/>
      </c>
      <c r="L67" s="39">
        <f>IFERROR(INDEX('9_UK_Vol_Input'!$D$5:$D$15,MATCH($C67,'9_UK_Vol_Input'!$A$5:$A$15,0)),"")</f>
        <v/>
      </c>
      <c r="M67" s="40">
        <f>IFERROR(INDEX('9_UK_Vol_Input'!$E$5:$E$15,MATCH($C67,'9_UK_Vol_Input'!$A$5:$A$15,0)),"")</f>
        <v/>
      </c>
      <c r="N67" s="22">
        <f>IF(F67&lt;&gt;"",F67/(1+G67),IF(H67&lt;&gt;"",H67/(1+I67),IF(J67&lt;&gt;"",J67/(1+K67),IF(L67&lt;&gt;"",L67/(1+M67),""))))</f>
        <v/>
      </c>
      <c r="O67" s="36">
        <f>IFERROR(INDEX('7_UK_Beta_Input'!$D$127:$D$289,MATCH($A67,'7_UK_Beta_Input'!$A$127:$A$289,0)),"")</f>
        <v/>
      </c>
      <c r="P67" s="36">
        <f>IFERROR(INDEX('7_UK_Beta_Input'!$D$49:$D$122,MATCH($D67,'7_UK_Beta_Input'!$A$49:$A$122,0)),"")</f>
        <v/>
      </c>
      <c r="Q67" s="36">
        <f>IFERROR(INDEX('7_UK_Beta_Input'!$D$20:$D$44,MATCH($E67,'7_UK_Beta_Input'!$A$20:$A$44,0)),"")</f>
        <v/>
      </c>
      <c r="R67" s="36">
        <f>IFERROR(INDEX('7_UK_Beta_Input'!$D$5:$D$15,MATCH($C67,'7_UK_Beta_Input'!$A$5:$A$15,0)),"")</f>
        <v/>
      </c>
      <c r="S67" s="22">
        <f>IF(O67&lt;&gt;"",O67*'6_Credit_Bridge_Assumptions'!$B$8,IF(P67&lt;&gt;"",P67*'6_Credit_Bridge_Assumptions'!$B$8,IF(Q67&lt;&gt;"",Q67*'6_Credit_Bridge_Assumptions'!$B$8,IF(R67&lt;&gt;"",R67*'6_Credit_Bridge_Assumptions'!$B$8,""))))</f>
        <v/>
      </c>
      <c r="T67" s="22">
        <f>IF(N67&lt;&gt;"",N67,S67)</f>
        <v/>
      </c>
    </row>
    <row r="68">
      <c r="A68" s="6" t="n">
        <v>25301020</v>
      </c>
      <c r="B68" s="6" t="inlineStr">
        <is>
          <t>Hotels, Resorts &amp; Cruise Lines</t>
        </is>
      </c>
      <c r="C68" s="6" t="n">
        <v>25</v>
      </c>
      <c r="D68" s="6" t="n">
        <v>253010</v>
      </c>
      <c r="E68" s="6" t="n">
        <v>2530</v>
      </c>
      <c r="F68" s="39">
        <f>IFERROR(INDEX('9_UK_Vol_Input'!$D$127:$D$289,MATCH($A68,'9_UK_Vol_Input'!$A$127:$A$289,0)),"")</f>
        <v/>
      </c>
      <c r="G68" s="40">
        <f>IFERROR(INDEX('9_UK_Vol_Input'!$E$127:$E$289,MATCH($A68,'9_UK_Vol_Input'!$A$127:$A$289,0)),"")</f>
        <v/>
      </c>
      <c r="H68" s="39">
        <f>IFERROR(INDEX('9_UK_Vol_Input'!$D$49:$D$122,MATCH($D68,'9_UK_Vol_Input'!$A$49:$A$122,0)),"")</f>
        <v/>
      </c>
      <c r="I68" s="40">
        <f>IFERROR(INDEX('9_UK_Vol_Input'!$E$49:$E$122,MATCH($D68,'9_UK_Vol_Input'!$A$49:$A$122,0)),"")</f>
        <v/>
      </c>
      <c r="J68" s="39">
        <f>IFERROR(INDEX('9_UK_Vol_Input'!$D$20:$D$44,MATCH($E68,'9_UK_Vol_Input'!$A$20:$A$44,0)),"")</f>
        <v/>
      </c>
      <c r="K68" s="40">
        <f>IFERROR(INDEX('9_UK_Vol_Input'!$E$20:$E$44,MATCH($E68,'9_UK_Vol_Input'!$A$20:$A$44,0)),"")</f>
        <v/>
      </c>
      <c r="L68" s="39">
        <f>IFERROR(INDEX('9_UK_Vol_Input'!$D$5:$D$15,MATCH($C68,'9_UK_Vol_Input'!$A$5:$A$15,0)),"")</f>
        <v/>
      </c>
      <c r="M68" s="40">
        <f>IFERROR(INDEX('9_UK_Vol_Input'!$E$5:$E$15,MATCH($C68,'9_UK_Vol_Input'!$A$5:$A$15,0)),"")</f>
        <v/>
      </c>
      <c r="N68" s="22">
        <f>IF(F68&lt;&gt;"",F68/(1+G68),IF(H68&lt;&gt;"",H68/(1+I68),IF(J68&lt;&gt;"",J68/(1+K68),IF(L68&lt;&gt;"",L68/(1+M68),""))))</f>
        <v/>
      </c>
      <c r="O68" s="36">
        <f>IFERROR(INDEX('7_UK_Beta_Input'!$D$127:$D$289,MATCH($A68,'7_UK_Beta_Input'!$A$127:$A$289,0)),"")</f>
        <v/>
      </c>
      <c r="P68" s="36">
        <f>IFERROR(INDEX('7_UK_Beta_Input'!$D$49:$D$122,MATCH($D68,'7_UK_Beta_Input'!$A$49:$A$122,0)),"")</f>
        <v/>
      </c>
      <c r="Q68" s="36">
        <f>IFERROR(INDEX('7_UK_Beta_Input'!$D$20:$D$44,MATCH($E68,'7_UK_Beta_Input'!$A$20:$A$44,0)),"")</f>
        <v/>
      </c>
      <c r="R68" s="36">
        <f>IFERROR(INDEX('7_UK_Beta_Input'!$D$5:$D$15,MATCH($C68,'7_UK_Beta_Input'!$A$5:$A$15,0)),"")</f>
        <v/>
      </c>
      <c r="S68" s="22">
        <f>IF(O68&lt;&gt;"",O68*'6_Credit_Bridge_Assumptions'!$B$8,IF(P68&lt;&gt;"",P68*'6_Credit_Bridge_Assumptions'!$B$8,IF(Q68&lt;&gt;"",Q68*'6_Credit_Bridge_Assumptions'!$B$8,IF(R68&lt;&gt;"",R68*'6_Credit_Bridge_Assumptions'!$B$8,""))))</f>
        <v/>
      </c>
      <c r="T68" s="22">
        <f>IF(N68&lt;&gt;"",N68,S68)</f>
        <v/>
      </c>
    </row>
    <row r="69">
      <c r="A69" s="6" t="n">
        <v>25301030</v>
      </c>
      <c r="B69" s="6" t="inlineStr">
        <is>
          <t>Leisure Facilities</t>
        </is>
      </c>
      <c r="C69" s="6" t="n">
        <v>25</v>
      </c>
      <c r="D69" s="6" t="n">
        <v>253010</v>
      </c>
      <c r="E69" s="6" t="n">
        <v>2530</v>
      </c>
      <c r="F69" s="39">
        <f>IFERROR(INDEX('9_UK_Vol_Input'!$D$127:$D$289,MATCH($A69,'9_UK_Vol_Input'!$A$127:$A$289,0)),"")</f>
        <v/>
      </c>
      <c r="G69" s="40">
        <f>IFERROR(INDEX('9_UK_Vol_Input'!$E$127:$E$289,MATCH($A69,'9_UK_Vol_Input'!$A$127:$A$289,0)),"")</f>
        <v/>
      </c>
      <c r="H69" s="39">
        <f>IFERROR(INDEX('9_UK_Vol_Input'!$D$49:$D$122,MATCH($D69,'9_UK_Vol_Input'!$A$49:$A$122,0)),"")</f>
        <v/>
      </c>
      <c r="I69" s="40">
        <f>IFERROR(INDEX('9_UK_Vol_Input'!$E$49:$E$122,MATCH($D69,'9_UK_Vol_Input'!$A$49:$A$122,0)),"")</f>
        <v/>
      </c>
      <c r="J69" s="39">
        <f>IFERROR(INDEX('9_UK_Vol_Input'!$D$20:$D$44,MATCH($E69,'9_UK_Vol_Input'!$A$20:$A$44,0)),"")</f>
        <v/>
      </c>
      <c r="K69" s="40">
        <f>IFERROR(INDEX('9_UK_Vol_Input'!$E$20:$E$44,MATCH($E69,'9_UK_Vol_Input'!$A$20:$A$44,0)),"")</f>
        <v/>
      </c>
      <c r="L69" s="39">
        <f>IFERROR(INDEX('9_UK_Vol_Input'!$D$5:$D$15,MATCH($C69,'9_UK_Vol_Input'!$A$5:$A$15,0)),"")</f>
        <v/>
      </c>
      <c r="M69" s="40">
        <f>IFERROR(INDEX('9_UK_Vol_Input'!$E$5:$E$15,MATCH($C69,'9_UK_Vol_Input'!$A$5:$A$15,0)),"")</f>
        <v/>
      </c>
      <c r="N69" s="22">
        <f>IF(F69&lt;&gt;"",F69/(1+G69),IF(H69&lt;&gt;"",H69/(1+I69),IF(J69&lt;&gt;"",J69/(1+K69),IF(L69&lt;&gt;"",L69/(1+M69),""))))</f>
        <v/>
      </c>
      <c r="O69" s="36">
        <f>IFERROR(INDEX('7_UK_Beta_Input'!$D$127:$D$289,MATCH($A69,'7_UK_Beta_Input'!$A$127:$A$289,0)),"")</f>
        <v/>
      </c>
      <c r="P69" s="36">
        <f>IFERROR(INDEX('7_UK_Beta_Input'!$D$49:$D$122,MATCH($D69,'7_UK_Beta_Input'!$A$49:$A$122,0)),"")</f>
        <v/>
      </c>
      <c r="Q69" s="36">
        <f>IFERROR(INDEX('7_UK_Beta_Input'!$D$20:$D$44,MATCH($E69,'7_UK_Beta_Input'!$A$20:$A$44,0)),"")</f>
        <v/>
      </c>
      <c r="R69" s="36">
        <f>IFERROR(INDEX('7_UK_Beta_Input'!$D$5:$D$15,MATCH($C69,'7_UK_Beta_Input'!$A$5:$A$15,0)),"")</f>
        <v/>
      </c>
      <c r="S69" s="22">
        <f>IF(O69&lt;&gt;"",O69*'6_Credit_Bridge_Assumptions'!$B$8,IF(P69&lt;&gt;"",P69*'6_Credit_Bridge_Assumptions'!$B$8,IF(Q69&lt;&gt;"",Q69*'6_Credit_Bridge_Assumptions'!$B$8,IF(R69&lt;&gt;"",R69*'6_Credit_Bridge_Assumptions'!$B$8,""))))</f>
        <v/>
      </c>
      <c r="T69" s="22">
        <f>IF(N69&lt;&gt;"",N69,S69)</f>
        <v/>
      </c>
    </row>
    <row r="70">
      <c r="A70" s="6" t="n">
        <v>25301040</v>
      </c>
      <c r="B70" s="6" t="inlineStr">
        <is>
          <t>Restaurants</t>
        </is>
      </c>
      <c r="C70" s="6" t="n">
        <v>25</v>
      </c>
      <c r="D70" s="6" t="n">
        <v>253010</v>
      </c>
      <c r="E70" s="6" t="n">
        <v>2530</v>
      </c>
      <c r="F70" s="39">
        <f>IFERROR(INDEX('9_UK_Vol_Input'!$D$127:$D$289,MATCH($A70,'9_UK_Vol_Input'!$A$127:$A$289,0)),"")</f>
        <v/>
      </c>
      <c r="G70" s="40">
        <f>IFERROR(INDEX('9_UK_Vol_Input'!$E$127:$E$289,MATCH($A70,'9_UK_Vol_Input'!$A$127:$A$289,0)),"")</f>
        <v/>
      </c>
      <c r="H70" s="39">
        <f>IFERROR(INDEX('9_UK_Vol_Input'!$D$49:$D$122,MATCH($D70,'9_UK_Vol_Input'!$A$49:$A$122,0)),"")</f>
        <v/>
      </c>
      <c r="I70" s="40">
        <f>IFERROR(INDEX('9_UK_Vol_Input'!$E$49:$E$122,MATCH($D70,'9_UK_Vol_Input'!$A$49:$A$122,0)),"")</f>
        <v/>
      </c>
      <c r="J70" s="39">
        <f>IFERROR(INDEX('9_UK_Vol_Input'!$D$20:$D$44,MATCH($E70,'9_UK_Vol_Input'!$A$20:$A$44,0)),"")</f>
        <v/>
      </c>
      <c r="K70" s="40">
        <f>IFERROR(INDEX('9_UK_Vol_Input'!$E$20:$E$44,MATCH($E70,'9_UK_Vol_Input'!$A$20:$A$44,0)),"")</f>
        <v/>
      </c>
      <c r="L70" s="39">
        <f>IFERROR(INDEX('9_UK_Vol_Input'!$D$5:$D$15,MATCH($C70,'9_UK_Vol_Input'!$A$5:$A$15,0)),"")</f>
        <v/>
      </c>
      <c r="M70" s="40">
        <f>IFERROR(INDEX('9_UK_Vol_Input'!$E$5:$E$15,MATCH($C70,'9_UK_Vol_Input'!$A$5:$A$15,0)),"")</f>
        <v/>
      </c>
      <c r="N70" s="22">
        <f>IF(F70&lt;&gt;"",F70/(1+G70),IF(H70&lt;&gt;"",H70/(1+I70),IF(J70&lt;&gt;"",J70/(1+K70),IF(L70&lt;&gt;"",L70/(1+M70),""))))</f>
        <v/>
      </c>
      <c r="O70" s="36">
        <f>IFERROR(INDEX('7_UK_Beta_Input'!$D$127:$D$289,MATCH($A70,'7_UK_Beta_Input'!$A$127:$A$289,0)),"")</f>
        <v/>
      </c>
      <c r="P70" s="36">
        <f>IFERROR(INDEX('7_UK_Beta_Input'!$D$49:$D$122,MATCH($D70,'7_UK_Beta_Input'!$A$49:$A$122,0)),"")</f>
        <v/>
      </c>
      <c r="Q70" s="36">
        <f>IFERROR(INDEX('7_UK_Beta_Input'!$D$20:$D$44,MATCH($E70,'7_UK_Beta_Input'!$A$20:$A$44,0)),"")</f>
        <v/>
      </c>
      <c r="R70" s="36">
        <f>IFERROR(INDEX('7_UK_Beta_Input'!$D$5:$D$15,MATCH($C70,'7_UK_Beta_Input'!$A$5:$A$15,0)),"")</f>
        <v/>
      </c>
      <c r="S70" s="22">
        <f>IF(O70&lt;&gt;"",O70*'6_Credit_Bridge_Assumptions'!$B$8,IF(P70&lt;&gt;"",P70*'6_Credit_Bridge_Assumptions'!$B$8,IF(Q70&lt;&gt;"",Q70*'6_Credit_Bridge_Assumptions'!$B$8,IF(R70&lt;&gt;"",R70*'6_Credit_Bridge_Assumptions'!$B$8,""))))</f>
        <v/>
      </c>
      <c r="T70" s="22">
        <f>IF(N70&lt;&gt;"",N70,S70)</f>
        <v/>
      </c>
    </row>
    <row r="71">
      <c r="A71" s="6" t="n">
        <v>25302010</v>
      </c>
      <c r="B71" s="6" t="inlineStr">
        <is>
          <t>Education Services</t>
        </is>
      </c>
      <c r="C71" s="6" t="n">
        <v>25</v>
      </c>
      <c r="D71" s="6" t="n">
        <v>253020</v>
      </c>
      <c r="E71" s="6" t="n">
        <v>2530</v>
      </c>
      <c r="F71" s="39">
        <f>IFERROR(INDEX('9_UK_Vol_Input'!$D$127:$D$289,MATCH($A71,'9_UK_Vol_Input'!$A$127:$A$289,0)),"")</f>
        <v/>
      </c>
      <c r="G71" s="40">
        <f>IFERROR(INDEX('9_UK_Vol_Input'!$E$127:$E$289,MATCH($A71,'9_UK_Vol_Input'!$A$127:$A$289,0)),"")</f>
        <v/>
      </c>
      <c r="H71" s="39">
        <f>IFERROR(INDEX('9_UK_Vol_Input'!$D$49:$D$122,MATCH($D71,'9_UK_Vol_Input'!$A$49:$A$122,0)),"")</f>
        <v/>
      </c>
      <c r="I71" s="40">
        <f>IFERROR(INDEX('9_UK_Vol_Input'!$E$49:$E$122,MATCH($D71,'9_UK_Vol_Input'!$A$49:$A$122,0)),"")</f>
        <v/>
      </c>
      <c r="J71" s="39">
        <f>IFERROR(INDEX('9_UK_Vol_Input'!$D$20:$D$44,MATCH($E71,'9_UK_Vol_Input'!$A$20:$A$44,0)),"")</f>
        <v/>
      </c>
      <c r="K71" s="40">
        <f>IFERROR(INDEX('9_UK_Vol_Input'!$E$20:$E$44,MATCH($E71,'9_UK_Vol_Input'!$A$20:$A$44,0)),"")</f>
        <v/>
      </c>
      <c r="L71" s="39">
        <f>IFERROR(INDEX('9_UK_Vol_Input'!$D$5:$D$15,MATCH($C71,'9_UK_Vol_Input'!$A$5:$A$15,0)),"")</f>
        <v/>
      </c>
      <c r="M71" s="40">
        <f>IFERROR(INDEX('9_UK_Vol_Input'!$E$5:$E$15,MATCH($C71,'9_UK_Vol_Input'!$A$5:$A$15,0)),"")</f>
        <v/>
      </c>
      <c r="N71" s="22">
        <f>IF(F71&lt;&gt;"",F71/(1+G71),IF(H71&lt;&gt;"",H71/(1+I71),IF(J71&lt;&gt;"",J71/(1+K71),IF(L71&lt;&gt;"",L71/(1+M71),""))))</f>
        <v/>
      </c>
      <c r="O71" s="36">
        <f>IFERROR(INDEX('7_UK_Beta_Input'!$D$127:$D$289,MATCH($A71,'7_UK_Beta_Input'!$A$127:$A$289,0)),"")</f>
        <v/>
      </c>
      <c r="P71" s="36">
        <f>IFERROR(INDEX('7_UK_Beta_Input'!$D$49:$D$122,MATCH($D71,'7_UK_Beta_Input'!$A$49:$A$122,0)),"")</f>
        <v/>
      </c>
      <c r="Q71" s="36">
        <f>IFERROR(INDEX('7_UK_Beta_Input'!$D$20:$D$44,MATCH($E71,'7_UK_Beta_Input'!$A$20:$A$44,0)),"")</f>
        <v/>
      </c>
      <c r="R71" s="36">
        <f>IFERROR(INDEX('7_UK_Beta_Input'!$D$5:$D$15,MATCH($C71,'7_UK_Beta_Input'!$A$5:$A$15,0)),"")</f>
        <v/>
      </c>
      <c r="S71" s="22">
        <f>IF(O71&lt;&gt;"",O71*'6_Credit_Bridge_Assumptions'!$B$8,IF(P71&lt;&gt;"",P71*'6_Credit_Bridge_Assumptions'!$B$8,IF(Q71&lt;&gt;"",Q71*'6_Credit_Bridge_Assumptions'!$B$8,IF(R71&lt;&gt;"",R71*'6_Credit_Bridge_Assumptions'!$B$8,""))))</f>
        <v/>
      </c>
      <c r="T71" s="22">
        <f>IF(N71&lt;&gt;"",N71,S71)</f>
        <v/>
      </c>
    </row>
    <row r="72">
      <c r="A72" s="6" t="n">
        <v>25302020</v>
      </c>
      <c r="B72" s="6" t="inlineStr">
        <is>
          <t>Specialized Consumer Services</t>
        </is>
      </c>
      <c r="C72" s="6" t="n">
        <v>25</v>
      </c>
      <c r="D72" s="6" t="n">
        <v>253020</v>
      </c>
      <c r="E72" s="6" t="n">
        <v>2530</v>
      </c>
      <c r="F72" s="39">
        <f>IFERROR(INDEX('9_UK_Vol_Input'!$D$127:$D$289,MATCH($A72,'9_UK_Vol_Input'!$A$127:$A$289,0)),"")</f>
        <v/>
      </c>
      <c r="G72" s="40">
        <f>IFERROR(INDEX('9_UK_Vol_Input'!$E$127:$E$289,MATCH($A72,'9_UK_Vol_Input'!$A$127:$A$289,0)),"")</f>
        <v/>
      </c>
      <c r="H72" s="39">
        <f>IFERROR(INDEX('9_UK_Vol_Input'!$D$49:$D$122,MATCH($D72,'9_UK_Vol_Input'!$A$49:$A$122,0)),"")</f>
        <v/>
      </c>
      <c r="I72" s="40">
        <f>IFERROR(INDEX('9_UK_Vol_Input'!$E$49:$E$122,MATCH($D72,'9_UK_Vol_Input'!$A$49:$A$122,0)),"")</f>
        <v/>
      </c>
      <c r="J72" s="39">
        <f>IFERROR(INDEX('9_UK_Vol_Input'!$D$20:$D$44,MATCH($E72,'9_UK_Vol_Input'!$A$20:$A$44,0)),"")</f>
        <v/>
      </c>
      <c r="K72" s="40">
        <f>IFERROR(INDEX('9_UK_Vol_Input'!$E$20:$E$44,MATCH($E72,'9_UK_Vol_Input'!$A$20:$A$44,0)),"")</f>
        <v/>
      </c>
      <c r="L72" s="39">
        <f>IFERROR(INDEX('9_UK_Vol_Input'!$D$5:$D$15,MATCH($C72,'9_UK_Vol_Input'!$A$5:$A$15,0)),"")</f>
        <v/>
      </c>
      <c r="M72" s="40">
        <f>IFERROR(INDEX('9_UK_Vol_Input'!$E$5:$E$15,MATCH($C72,'9_UK_Vol_Input'!$A$5:$A$15,0)),"")</f>
        <v/>
      </c>
      <c r="N72" s="22">
        <f>IF(F72&lt;&gt;"",F72/(1+G72),IF(H72&lt;&gt;"",H72/(1+I72),IF(J72&lt;&gt;"",J72/(1+K72),IF(L72&lt;&gt;"",L72/(1+M72),""))))</f>
        <v/>
      </c>
      <c r="O72" s="36">
        <f>IFERROR(INDEX('7_UK_Beta_Input'!$D$127:$D$289,MATCH($A72,'7_UK_Beta_Input'!$A$127:$A$289,0)),"")</f>
        <v/>
      </c>
      <c r="P72" s="36">
        <f>IFERROR(INDEX('7_UK_Beta_Input'!$D$49:$D$122,MATCH($D72,'7_UK_Beta_Input'!$A$49:$A$122,0)),"")</f>
        <v/>
      </c>
      <c r="Q72" s="36">
        <f>IFERROR(INDEX('7_UK_Beta_Input'!$D$20:$D$44,MATCH($E72,'7_UK_Beta_Input'!$A$20:$A$44,0)),"")</f>
        <v/>
      </c>
      <c r="R72" s="36">
        <f>IFERROR(INDEX('7_UK_Beta_Input'!$D$5:$D$15,MATCH($C72,'7_UK_Beta_Input'!$A$5:$A$15,0)),"")</f>
        <v/>
      </c>
      <c r="S72" s="22">
        <f>IF(O72&lt;&gt;"",O72*'6_Credit_Bridge_Assumptions'!$B$8,IF(P72&lt;&gt;"",P72*'6_Credit_Bridge_Assumptions'!$B$8,IF(Q72&lt;&gt;"",Q72*'6_Credit_Bridge_Assumptions'!$B$8,IF(R72&lt;&gt;"",R72*'6_Credit_Bridge_Assumptions'!$B$8,""))))</f>
        <v/>
      </c>
      <c r="T72" s="22">
        <f>IF(N72&lt;&gt;"",N72,S72)</f>
        <v/>
      </c>
    </row>
    <row r="73">
      <c r="A73" s="6" t="n">
        <v>25501010</v>
      </c>
      <c r="B73" s="6" t="inlineStr">
        <is>
          <t>Distributors</t>
        </is>
      </c>
      <c r="C73" s="6" t="n">
        <v>25</v>
      </c>
      <c r="D73" s="6" t="n">
        <v>255010</v>
      </c>
      <c r="E73" s="6" t="n">
        <v>2550</v>
      </c>
      <c r="F73" s="39">
        <f>IFERROR(INDEX('9_UK_Vol_Input'!$D$127:$D$289,MATCH($A73,'9_UK_Vol_Input'!$A$127:$A$289,0)),"")</f>
        <v/>
      </c>
      <c r="G73" s="40">
        <f>IFERROR(INDEX('9_UK_Vol_Input'!$E$127:$E$289,MATCH($A73,'9_UK_Vol_Input'!$A$127:$A$289,0)),"")</f>
        <v/>
      </c>
      <c r="H73" s="39">
        <f>IFERROR(INDEX('9_UK_Vol_Input'!$D$49:$D$122,MATCH($D73,'9_UK_Vol_Input'!$A$49:$A$122,0)),"")</f>
        <v/>
      </c>
      <c r="I73" s="40">
        <f>IFERROR(INDEX('9_UK_Vol_Input'!$E$49:$E$122,MATCH($D73,'9_UK_Vol_Input'!$A$49:$A$122,0)),"")</f>
        <v/>
      </c>
      <c r="J73" s="39">
        <f>IFERROR(INDEX('9_UK_Vol_Input'!$D$20:$D$44,MATCH($E73,'9_UK_Vol_Input'!$A$20:$A$44,0)),"")</f>
        <v/>
      </c>
      <c r="K73" s="40">
        <f>IFERROR(INDEX('9_UK_Vol_Input'!$E$20:$E$44,MATCH($E73,'9_UK_Vol_Input'!$A$20:$A$44,0)),"")</f>
        <v/>
      </c>
      <c r="L73" s="39">
        <f>IFERROR(INDEX('9_UK_Vol_Input'!$D$5:$D$15,MATCH($C73,'9_UK_Vol_Input'!$A$5:$A$15,0)),"")</f>
        <v/>
      </c>
      <c r="M73" s="40">
        <f>IFERROR(INDEX('9_UK_Vol_Input'!$E$5:$E$15,MATCH($C73,'9_UK_Vol_Input'!$A$5:$A$15,0)),"")</f>
        <v/>
      </c>
      <c r="N73" s="22">
        <f>IF(F73&lt;&gt;"",F73/(1+G73),IF(H73&lt;&gt;"",H73/(1+I73),IF(J73&lt;&gt;"",J73/(1+K73),IF(L73&lt;&gt;"",L73/(1+M73),""))))</f>
        <v/>
      </c>
      <c r="O73" s="36">
        <f>IFERROR(INDEX('7_UK_Beta_Input'!$D$127:$D$289,MATCH($A73,'7_UK_Beta_Input'!$A$127:$A$289,0)),"")</f>
        <v/>
      </c>
      <c r="P73" s="36">
        <f>IFERROR(INDEX('7_UK_Beta_Input'!$D$49:$D$122,MATCH($D73,'7_UK_Beta_Input'!$A$49:$A$122,0)),"")</f>
        <v/>
      </c>
      <c r="Q73" s="36">
        <f>IFERROR(INDEX('7_UK_Beta_Input'!$D$20:$D$44,MATCH($E73,'7_UK_Beta_Input'!$A$20:$A$44,0)),"")</f>
        <v/>
      </c>
      <c r="R73" s="36">
        <f>IFERROR(INDEX('7_UK_Beta_Input'!$D$5:$D$15,MATCH($C73,'7_UK_Beta_Input'!$A$5:$A$15,0)),"")</f>
        <v/>
      </c>
      <c r="S73" s="22">
        <f>IF(O73&lt;&gt;"",O73*'6_Credit_Bridge_Assumptions'!$B$8,IF(P73&lt;&gt;"",P73*'6_Credit_Bridge_Assumptions'!$B$8,IF(Q73&lt;&gt;"",Q73*'6_Credit_Bridge_Assumptions'!$B$8,IF(R73&lt;&gt;"",R73*'6_Credit_Bridge_Assumptions'!$B$8,""))))</f>
        <v/>
      </c>
      <c r="T73" s="22">
        <f>IF(N73&lt;&gt;"",N73,S73)</f>
        <v/>
      </c>
    </row>
    <row r="74">
      <c r="A74" s="6" t="n">
        <v>25503030</v>
      </c>
      <c r="B74" s="6" t="inlineStr">
        <is>
          <t>Broadline Retail</t>
        </is>
      </c>
      <c r="C74" s="6" t="n">
        <v>25</v>
      </c>
      <c r="D74" s="6" t="n">
        <v>255030</v>
      </c>
      <c r="E74" s="6" t="n">
        <v>2550</v>
      </c>
      <c r="F74" s="39">
        <f>IFERROR(INDEX('9_UK_Vol_Input'!$D$127:$D$289,MATCH($A74,'9_UK_Vol_Input'!$A$127:$A$289,0)),"")</f>
        <v/>
      </c>
      <c r="G74" s="40">
        <f>IFERROR(INDEX('9_UK_Vol_Input'!$E$127:$E$289,MATCH($A74,'9_UK_Vol_Input'!$A$127:$A$289,0)),"")</f>
        <v/>
      </c>
      <c r="H74" s="39">
        <f>IFERROR(INDEX('9_UK_Vol_Input'!$D$49:$D$122,MATCH($D74,'9_UK_Vol_Input'!$A$49:$A$122,0)),"")</f>
        <v/>
      </c>
      <c r="I74" s="40">
        <f>IFERROR(INDEX('9_UK_Vol_Input'!$E$49:$E$122,MATCH($D74,'9_UK_Vol_Input'!$A$49:$A$122,0)),"")</f>
        <v/>
      </c>
      <c r="J74" s="39">
        <f>IFERROR(INDEX('9_UK_Vol_Input'!$D$20:$D$44,MATCH($E74,'9_UK_Vol_Input'!$A$20:$A$44,0)),"")</f>
        <v/>
      </c>
      <c r="K74" s="40">
        <f>IFERROR(INDEX('9_UK_Vol_Input'!$E$20:$E$44,MATCH($E74,'9_UK_Vol_Input'!$A$20:$A$44,0)),"")</f>
        <v/>
      </c>
      <c r="L74" s="39">
        <f>IFERROR(INDEX('9_UK_Vol_Input'!$D$5:$D$15,MATCH($C74,'9_UK_Vol_Input'!$A$5:$A$15,0)),"")</f>
        <v/>
      </c>
      <c r="M74" s="40">
        <f>IFERROR(INDEX('9_UK_Vol_Input'!$E$5:$E$15,MATCH($C74,'9_UK_Vol_Input'!$A$5:$A$15,0)),"")</f>
        <v/>
      </c>
      <c r="N74" s="22">
        <f>IF(F74&lt;&gt;"",F74/(1+G74),IF(H74&lt;&gt;"",H74/(1+I74),IF(J74&lt;&gt;"",J74/(1+K74),IF(L74&lt;&gt;"",L74/(1+M74),""))))</f>
        <v/>
      </c>
      <c r="O74" s="36">
        <f>IFERROR(INDEX('7_UK_Beta_Input'!$D$127:$D$289,MATCH($A74,'7_UK_Beta_Input'!$A$127:$A$289,0)),"")</f>
        <v/>
      </c>
      <c r="P74" s="36">
        <f>IFERROR(INDEX('7_UK_Beta_Input'!$D$49:$D$122,MATCH($D74,'7_UK_Beta_Input'!$A$49:$A$122,0)),"")</f>
        <v/>
      </c>
      <c r="Q74" s="36">
        <f>IFERROR(INDEX('7_UK_Beta_Input'!$D$20:$D$44,MATCH($E74,'7_UK_Beta_Input'!$A$20:$A$44,0)),"")</f>
        <v/>
      </c>
      <c r="R74" s="36">
        <f>IFERROR(INDEX('7_UK_Beta_Input'!$D$5:$D$15,MATCH($C74,'7_UK_Beta_Input'!$A$5:$A$15,0)),"")</f>
        <v/>
      </c>
      <c r="S74" s="22">
        <f>IF(O74&lt;&gt;"",O74*'6_Credit_Bridge_Assumptions'!$B$8,IF(P74&lt;&gt;"",P74*'6_Credit_Bridge_Assumptions'!$B$8,IF(Q74&lt;&gt;"",Q74*'6_Credit_Bridge_Assumptions'!$B$8,IF(R74&lt;&gt;"",R74*'6_Credit_Bridge_Assumptions'!$B$8,""))))</f>
        <v/>
      </c>
      <c r="T74" s="22">
        <f>IF(N74&lt;&gt;"",N74,S74)</f>
        <v/>
      </c>
    </row>
    <row r="75">
      <c r="A75" s="6" t="n">
        <v>25504010</v>
      </c>
      <c r="B75" s="6" t="inlineStr">
        <is>
          <t>Apparel Retail</t>
        </is>
      </c>
      <c r="C75" s="6" t="n">
        <v>25</v>
      </c>
      <c r="D75" s="6" t="n">
        <v>255040</v>
      </c>
      <c r="E75" s="6" t="n">
        <v>2550</v>
      </c>
      <c r="F75" s="39">
        <f>IFERROR(INDEX('9_UK_Vol_Input'!$D$127:$D$289,MATCH($A75,'9_UK_Vol_Input'!$A$127:$A$289,0)),"")</f>
        <v/>
      </c>
      <c r="G75" s="40">
        <f>IFERROR(INDEX('9_UK_Vol_Input'!$E$127:$E$289,MATCH($A75,'9_UK_Vol_Input'!$A$127:$A$289,0)),"")</f>
        <v/>
      </c>
      <c r="H75" s="39">
        <f>IFERROR(INDEX('9_UK_Vol_Input'!$D$49:$D$122,MATCH($D75,'9_UK_Vol_Input'!$A$49:$A$122,0)),"")</f>
        <v/>
      </c>
      <c r="I75" s="40">
        <f>IFERROR(INDEX('9_UK_Vol_Input'!$E$49:$E$122,MATCH($D75,'9_UK_Vol_Input'!$A$49:$A$122,0)),"")</f>
        <v/>
      </c>
      <c r="J75" s="39">
        <f>IFERROR(INDEX('9_UK_Vol_Input'!$D$20:$D$44,MATCH($E75,'9_UK_Vol_Input'!$A$20:$A$44,0)),"")</f>
        <v/>
      </c>
      <c r="K75" s="40">
        <f>IFERROR(INDEX('9_UK_Vol_Input'!$E$20:$E$44,MATCH($E75,'9_UK_Vol_Input'!$A$20:$A$44,0)),"")</f>
        <v/>
      </c>
      <c r="L75" s="39">
        <f>IFERROR(INDEX('9_UK_Vol_Input'!$D$5:$D$15,MATCH($C75,'9_UK_Vol_Input'!$A$5:$A$15,0)),"")</f>
        <v/>
      </c>
      <c r="M75" s="40">
        <f>IFERROR(INDEX('9_UK_Vol_Input'!$E$5:$E$15,MATCH($C75,'9_UK_Vol_Input'!$A$5:$A$15,0)),"")</f>
        <v/>
      </c>
      <c r="N75" s="22">
        <f>IF(F75&lt;&gt;"",F75/(1+G75),IF(H75&lt;&gt;"",H75/(1+I75),IF(J75&lt;&gt;"",J75/(1+K75),IF(L75&lt;&gt;"",L75/(1+M75),""))))</f>
        <v/>
      </c>
      <c r="O75" s="36">
        <f>IFERROR(INDEX('7_UK_Beta_Input'!$D$127:$D$289,MATCH($A75,'7_UK_Beta_Input'!$A$127:$A$289,0)),"")</f>
        <v/>
      </c>
      <c r="P75" s="36">
        <f>IFERROR(INDEX('7_UK_Beta_Input'!$D$49:$D$122,MATCH($D75,'7_UK_Beta_Input'!$A$49:$A$122,0)),"")</f>
        <v/>
      </c>
      <c r="Q75" s="36">
        <f>IFERROR(INDEX('7_UK_Beta_Input'!$D$20:$D$44,MATCH($E75,'7_UK_Beta_Input'!$A$20:$A$44,0)),"")</f>
        <v/>
      </c>
      <c r="R75" s="36">
        <f>IFERROR(INDEX('7_UK_Beta_Input'!$D$5:$D$15,MATCH($C75,'7_UK_Beta_Input'!$A$5:$A$15,0)),"")</f>
        <v/>
      </c>
      <c r="S75" s="22">
        <f>IF(O75&lt;&gt;"",O75*'6_Credit_Bridge_Assumptions'!$B$8,IF(P75&lt;&gt;"",P75*'6_Credit_Bridge_Assumptions'!$B$8,IF(Q75&lt;&gt;"",Q75*'6_Credit_Bridge_Assumptions'!$B$8,IF(R75&lt;&gt;"",R75*'6_Credit_Bridge_Assumptions'!$B$8,""))))</f>
        <v/>
      </c>
      <c r="T75" s="22">
        <f>IF(N75&lt;&gt;"",N75,S75)</f>
        <v/>
      </c>
    </row>
    <row r="76">
      <c r="A76" s="6" t="n">
        <v>25504020</v>
      </c>
      <c r="B76" s="6" t="inlineStr">
        <is>
          <t>Computer &amp; Electronics Retail</t>
        </is>
      </c>
      <c r="C76" s="6" t="n">
        <v>25</v>
      </c>
      <c r="D76" s="6" t="n">
        <v>255040</v>
      </c>
      <c r="E76" s="6" t="n">
        <v>2550</v>
      </c>
      <c r="F76" s="39">
        <f>IFERROR(INDEX('9_UK_Vol_Input'!$D$127:$D$289,MATCH($A76,'9_UK_Vol_Input'!$A$127:$A$289,0)),"")</f>
        <v/>
      </c>
      <c r="G76" s="40">
        <f>IFERROR(INDEX('9_UK_Vol_Input'!$E$127:$E$289,MATCH($A76,'9_UK_Vol_Input'!$A$127:$A$289,0)),"")</f>
        <v/>
      </c>
      <c r="H76" s="39">
        <f>IFERROR(INDEX('9_UK_Vol_Input'!$D$49:$D$122,MATCH($D76,'9_UK_Vol_Input'!$A$49:$A$122,0)),"")</f>
        <v/>
      </c>
      <c r="I76" s="40">
        <f>IFERROR(INDEX('9_UK_Vol_Input'!$E$49:$E$122,MATCH($D76,'9_UK_Vol_Input'!$A$49:$A$122,0)),"")</f>
        <v/>
      </c>
      <c r="J76" s="39">
        <f>IFERROR(INDEX('9_UK_Vol_Input'!$D$20:$D$44,MATCH($E76,'9_UK_Vol_Input'!$A$20:$A$44,0)),"")</f>
        <v/>
      </c>
      <c r="K76" s="40">
        <f>IFERROR(INDEX('9_UK_Vol_Input'!$E$20:$E$44,MATCH($E76,'9_UK_Vol_Input'!$A$20:$A$44,0)),"")</f>
        <v/>
      </c>
      <c r="L76" s="39">
        <f>IFERROR(INDEX('9_UK_Vol_Input'!$D$5:$D$15,MATCH($C76,'9_UK_Vol_Input'!$A$5:$A$15,0)),"")</f>
        <v/>
      </c>
      <c r="M76" s="40">
        <f>IFERROR(INDEX('9_UK_Vol_Input'!$E$5:$E$15,MATCH($C76,'9_UK_Vol_Input'!$A$5:$A$15,0)),"")</f>
        <v/>
      </c>
      <c r="N76" s="22">
        <f>IF(F76&lt;&gt;"",F76/(1+G76),IF(H76&lt;&gt;"",H76/(1+I76),IF(J76&lt;&gt;"",J76/(1+K76),IF(L76&lt;&gt;"",L76/(1+M76),""))))</f>
        <v/>
      </c>
      <c r="O76" s="36">
        <f>IFERROR(INDEX('7_UK_Beta_Input'!$D$127:$D$289,MATCH($A76,'7_UK_Beta_Input'!$A$127:$A$289,0)),"")</f>
        <v/>
      </c>
      <c r="P76" s="36">
        <f>IFERROR(INDEX('7_UK_Beta_Input'!$D$49:$D$122,MATCH($D76,'7_UK_Beta_Input'!$A$49:$A$122,0)),"")</f>
        <v/>
      </c>
      <c r="Q76" s="36">
        <f>IFERROR(INDEX('7_UK_Beta_Input'!$D$20:$D$44,MATCH($E76,'7_UK_Beta_Input'!$A$20:$A$44,0)),"")</f>
        <v/>
      </c>
      <c r="R76" s="36">
        <f>IFERROR(INDEX('7_UK_Beta_Input'!$D$5:$D$15,MATCH($C76,'7_UK_Beta_Input'!$A$5:$A$15,0)),"")</f>
        <v/>
      </c>
      <c r="S76" s="22">
        <f>IF(O76&lt;&gt;"",O76*'6_Credit_Bridge_Assumptions'!$B$8,IF(P76&lt;&gt;"",P76*'6_Credit_Bridge_Assumptions'!$B$8,IF(Q76&lt;&gt;"",Q76*'6_Credit_Bridge_Assumptions'!$B$8,IF(R76&lt;&gt;"",R76*'6_Credit_Bridge_Assumptions'!$B$8,""))))</f>
        <v/>
      </c>
      <c r="T76" s="22">
        <f>IF(N76&lt;&gt;"",N76,S76)</f>
        <v/>
      </c>
    </row>
    <row r="77">
      <c r="A77" s="6" t="n">
        <v>25504030</v>
      </c>
      <c r="B77" s="6" t="inlineStr">
        <is>
          <t>Home Improvement Retail</t>
        </is>
      </c>
      <c r="C77" s="6" t="n">
        <v>25</v>
      </c>
      <c r="D77" s="6" t="n">
        <v>255040</v>
      </c>
      <c r="E77" s="6" t="n">
        <v>2550</v>
      </c>
      <c r="F77" s="39">
        <f>IFERROR(INDEX('9_UK_Vol_Input'!$D$127:$D$289,MATCH($A77,'9_UK_Vol_Input'!$A$127:$A$289,0)),"")</f>
        <v/>
      </c>
      <c r="G77" s="40">
        <f>IFERROR(INDEX('9_UK_Vol_Input'!$E$127:$E$289,MATCH($A77,'9_UK_Vol_Input'!$A$127:$A$289,0)),"")</f>
        <v/>
      </c>
      <c r="H77" s="39">
        <f>IFERROR(INDEX('9_UK_Vol_Input'!$D$49:$D$122,MATCH($D77,'9_UK_Vol_Input'!$A$49:$A$122,0)),"")</f>
        <v/>
      </c>
      <c r="I77" s="40">
        <f>IFERROR(INDEX('9_UK_Vol_Input'!$E$49:$E$122,MATCH($D77,'9_UK_Vol_Input'!$A$49:$A$122,0)),"")</f>
        <v/>
      </c>
      <c r="J77" s="39">
        <f>IFERROR(INDEX('9_UK_Vol_Input'!$D$20:$D$44,MATCH($E77,'9_UK_Vol_Input'!$A$20:$A$44,0)),"")</f>
        <v/>
      </c>
      <c r="K77" s="40">
        <f>IFERROR(INDEX('9_UK_Vol_Input'!$E$20:$E$44,MATCH($E77,'9_UK_Vol_Input'!$A$20:$A$44,0)),"")</f>
        <v/>
      </c>
      <c r="L77" s="39">
        <f>IFERROR(INDEX('9_UK_Vol_Input'!$D$5:$D$15,MATCH($C77,'9_UK_Vol_Input'!$A$5:$A$15,0)),"")</f>
        <v/>
      </c>
      <c r="M77" s="40">
        <f>IFERROR(INDEX('9_UK_Vol_Input'!$E$5:$E$15,MATCH($C77,'9_UK_Vol_Input'!$A$5:$A$15,0)),"")</f>
        <v/>
      </c>
      <c r="N77" s="22">
        <f>IF(F77&lt;&gt;"",F77/(1+G77),IF(H77&lt;&gt;"",H77/(1+I77),IF(J77&lt;&gt;"",J77/(1+K77),IF(L77&lt;&gt;"",L77/(1+M77),""))))</f>
        <v/>
      </c>
      <c r="O77" s="36">
        <f>IFERROR(INDEX('7_UK_Beta_Input'!$D$127:$D$289,MATCH($A77,'7_UK_Beta_Input'!$A$127:$A$289,0)),"")</f>
        <v/>
      </c>
      <c r="P77" s="36">
        <f>IFERROR(INDEX('7_UK_Beta_Input'!$D$49:$D$122,MATCH($D77,'7_UK_Beta_Input'!$A$49:$A$122,0)),"")</f>
        <v/>
      </c>
      <c r="Q77" s="36">
        <f>IFERROR(INDEX('7_UK_Beta_Input'!$D$20:$D$44,MATCH($E77,'7_UK_Beta_Input'!$A$20:$A$44,0)),"")</f>
        <v/>
      </c>
      <c r="R77" s="36">
        <f>IFERROR(INDEX('7_UK_Beta_Input'!$D$5:$D$15,MATCH($C77,'7_UK_Beta_Input'!$A$5:$A$15,0)),"")</f>
        <v/>
      </c>
      <c r="S77" s="22">
        <f>IF(O77&lt;&gt;"",O77*'6_Credit_Bridge_Assumptions'!$B$8,IF(P77&lt;&gt;"",P77*'6_Credit_Bridge_Assumptions'!$B$8,IF(Q77&lt;&gt;"",Q77*'6_Credit_Bridge_Assumptions'!$B$8,IF(R77&lt;&gt;"",R77*'6_Credit_Bridge_Assumptions'!$B$8,""))))</f>
        <v/>
      </c>
      <c r="T77" s="22">
        <f>IF(N77&lt;&gt;"",N77,S77)</f>
        <v/>
      </c>
    </row>
    <row r="78">
      <c r="A78" s="6" t="n">
        <v>25504040</v>
      </c>
      <c r="B78" s="6" t="inlineStr">
        <is>
          <t>Other Specialty Retail</t>
        </is>
      </c>
      <c r="C78" s="6" t="n">
        <v>25</v>
      </c>
      <c r="D78" s="6" t="n">
        <v>255040</v>
      </c>
      <c r="E78" s="6" t="n">
        <v>2550</v>
      </c>
      <c r="F78" s="39">
        <f>IFERROR(INDEX('9_UK_Vol_Input'!$D$127:$D$289,MATCH($A78,'9_UK_Vol_Input'!$A$127:$A$289,0)),"")</f>
        <v/>
      </c>
      <c r="G78" s="40">
        <f>IFERROR(INDEX('9_UK_Vol_Input'!$E$127:$E$289,MATCH($A78,'9_UK_Vol_Input'!$A$127:$A$289,0)),"")</f>
        <v/>
      </c>
      <c r="H78" s="39">
        <f>IFERROR(INDEX('9_UK_Vol_Input'!$D$49:$D$122,MATCH($D78,'9_UK_Vol_Input'!$A$49:$A$122,0)),"")</f>
        <v/>
      </c>
      <c r="I78" s="40">
        <f>IFERROR(INDEX('9_UK_Vol_Input'!$E$49:$E$122,MATCH($D78,'9_UK_Vol_Input'!$A$49:$A$122,0)),"")</f>
        <v/>
      </c>
      <c r="J78" s="39">
        <f>IFERROR(INDEX('9_UK_Vol_Input'!$D$20:$D$44,MATCH($E78,'9_UK_Vol_Input'!$A$20:$A$44,0)),"")</f>
        <v/>
      </c>
      <c r="K78" s="40">
        <f>IFERROR(INDEX('9_UK_Vol_Input'!$E$20:$E$44,MATCH($E78,'9_UK_Vol_Input'!$A$20:$A$44,0)),"")</f>
        <v/>
      </c>
      <c r="L78" s="39">
        <f>IFERROR(INDEX('9_UK_Vol_Input'!$D$5:$D$15,MATCH($C78,'9_UK_Vol_Input'!$A$5:$A$15,0)),"")</f>
        <v/>
      </c>
      <c r="M78" s="40">
        <f>IFERROR(INDEX('9_UK_Vol_Input'!$E$5:$E$15,MATCH($C78,'9_UK_Vol_Input'!$A$5:$A$15,0)),"")</f>
        <v/>
      </c>
      <c r="N78" s="22">
        <f>IF(F78&lt;&gt;"",F78/(1+G78),IF(H78&lt;&gt;"",H78/(1+I78),IF(J78&lt;&gt;"",J78/(1+K78),IF(L78&lt;&gt;"",L78/(1+M78),""))))</f>
        <v/>
      </c>
      <c r="O78" s="36">
        <f>IFERROR(INDEX('7_UK_Beta_Input'!$D$127:$D$289,MATCH($A78,'7_UK_Beta_Input'!$A$127:$A$289,0)),"")</f>
        <v/>
      </c>
      <c r="P78" s="36">
        <f>IFERROR(INDEX('7_UK_Beta_Input'!$D$49:$D$122,MATCH($D78,'7_UK_Beta_Input'!$A$49:$A$122,0)),"")</f>
        <v/>
      </c>
      <c r="Q78" s="36">
        <f>IFERROR(INDEX('7_UK_Beta_Input'!$D$20:$D$44,MATCH($E78,'7_UK_Beta_Input'!$A$20:$A$44,0)),"")</f>
        <v/>
      </c>
      <c r="R78" s="36">
        <f>IFERROR(INDEX('7_UK_Beta_Input'!$D$5:$D$15,MATCH($C78,'7_UK_Beta_Input'!$A$5:$A$15,0)),"")</f>
        <v/>
      </c>
      <c r="S78" s="22">
        <f>IF(O78&lt;&gt;"",O78*'6_Credit_Bridge_Assumptions'!$B$8,IF(P78&lt;&gt;"",P78*'6_Credit_Bridge_Assumptions'!$B$8,IF(Q78&lt;&gt;"",Q78*'6_Credit_Bridge_Assumptions'!$B$8,IF(R78&lt;&gt;"",R78*'6_Credit_Bridge_Assumptions'!$B$8,""))))</f>
        <v/>
      </c>
      <c r="T78" s="22">
        <f>IF(N78&lt;&gt;"",N78,S78)</f>
        <v/>
      </c>
    </row>
    <row r="79">
      <c r="A79" s="6" t="n">
        <v>25504050</v>
      </c>
      <c r="B79" s="6" t="inlineStr">
        <is>
          <t>Automotive Retail</t>
        </is>
      </c>
      <c r="C79" s="6" t="n">
        <v>25</v>
      </c>
      <c r="D79" s="6" t="n">
        <v>255040</v>
      </c>
      <c r="E79" s="6" t="n">
        <v>2550</v>
      </c>
      <c r="F79" s="39">
        <f>IFERROR(INDEX('9_UK_Vol_Input'!$D$127:$D$289,MATCH($A79,'9_UK_Vol_Input'!$A$127:$A$289,0)),"")</f>
        <v/>
      </c>
      <c r="G79" s="40">
        <f>IFERROR(INDEX('9_UK_Vol_Input'!$E$127:$E$289,MATCH($A79,'9_UK_Vol_Input'!$A$127:$A$289,0)),"")</f>
        <v/>
      </c>
      <c r="H79" s="39">
        <f>IFERROR(INDEX('9_UK_Vol_Input'!$D$49:$D$122,MATCH($D79,'9_UK_Vol_Input'!$A$49:$A$122,0)),"")</f>
        <v/>
      </c>
      <c r="I79" s="40">
        <f>IFERROR(INDEX('9_UK_Vol_Input'!$E$49:$E$122,MATCH($D79,'9_UK_Vol_Input'!$A$49:$A$122,0)),"")</f>
        <v/>
      </c>
      <c r="J79" s="39">
        <f>IFERROR(INDEX('9_UK_Vol_Input'!$D$20:$D$44,MATCH($E79,'9_UK_Vol_Input'!$A$20:$A$44,0)),"")</f>
        <v/>
      </c>
      <c r="K79" s="40">
        <f>IFERROR(INDEX('9_UK_Vol_Input'!$E$20:$E$44,MATCH($E79,'9_UK_Vol_Input'!$A$20:$A$44,0)),"")</f>
        <v/>
      </c>
      <c r="L79" s="39">
        <f>IFERROR(INDEX('9_UK_Vol_Input'!$D$5:$D$15,MATCH($C79,'9_UK_Vol_Input'!$A$5:$A$15,0)),"")</f>
        <v/>
      </c>
      <c r="M79" s="40">
        <f>IFERROR(INDEX('9_UK_Vol_Input'!$E$5:$E$15,MATCH($C79,'9_UK_Vol_Input'!$A$5:$A$15,0)),"")</f>
        <v/>
      </c>
      <c r="N79" s="22">
        <f>IF(F79&lt;&gt;"",F79/(1+G79),IF(H79&lt;&gt;"",H79/(1+I79),IF(J79&lt;&gt;"",J79/(1+K79),IF(L79&lt;&gt;"",L79/(1+M79),""))))</f>
        <v/>
      </c>
      <c r="O79" s="36">
        <f>IFERROR(INDEX('7_UK_Beta_Input'!$D$127:$D$289,MATCH($A79,'7_UK_Beta_Input'!$A$127:$A$289,0)),"")</f>
        <v/>
      </c>
      <c r="P79" s="36">
        <f>IFERROR(INDEX('7_UK_Beta_Input'!$D$49:$D$122,MATCH($D79,'7_UK_Beta_Input'!$A$49:$A$122,0)),"")</f>
        <v/>
      </c>
      <c r="Q79" s="36">
        <f>IFERROR(INDEX('7_UK_Beta_Input'!$D$20:$D$44,MATCH($E79,'7_UK_Beta_Input'!$A$20:$A$44,0)),"")</f>
        <v/>
      </c>
      <c r="R79" s="36">
        <f>IFERROR(INDEX('7_UK_Beta_Input'!$D$5:$D$15,MATCH($C79,'7_UK_Beta_Input'!$A$5:$A$15,0)),"")</f>
        <v/>
      </c>
      <c r="S79" s="22">
        <f>IF(O79&lt;&gt;"",O79*'6_Credit_Bridge_Assumptions'!$B$8,IF(P79&lt;&gt;"",P79*'6_Credit_Bridge_Assumptions'!$B$8,IF(Q79&lt;&gt;"",Q79*'6_Credit_Bridge_Assumptions'!$B$8,IF(R79&lt;&gt;"",R79*'6_Credit_Bridge_Assumptions'!$B$8,""))))</f>
        <v/>
      </c>
      <c r="T79" s="22">
        <f>IF(N79&lt;&gt;"",N79,S79)</f>
        <v/>
      </c>
    </row>
    <row r="80">
      <c r="A80" s="6" t="n">
        <v>25504060</v>
      </c>
      <c r="B80" s="6" t="inlineStr">
        <is>
          <t>Homefurnishing Retail</t>
        </is>
      </c>
      <c r="C80" s="6" t="n">
        <v>25</v>
      </c>
      <c r="D80" s="6" t="n">
        <v>255040</v>
      </c>
      <c r="E80" s="6" t="n">
        <v>2550</v>
      </c>
      <c r="F80" s="39">
        <f>IFERROR(INDEX('9_UK_Vol_Input'!$D$127:$D$289,MATCH($A80,'9_UK_Vol_Input'!$A$127:$A$289,0)),"")</f>
        <v/>
      </c>
      <c r="G80" s="40">
        <f>IFERROR(INDEX('9_UK_Vol_Input'!$E$127:$E$289,MATCH($A80,'9_UK_Vol_Input'!$A$127:$A$289,0)),"")</f>
        <v/>
      </c>
      <c r="H80" s="39">
        <f>IFERROR(INDEX('9_UK_Vol_Input'!$D$49:$D$122,MATCH($D80,'9_UK_Vol_Input'!$A$49:$A$122,0)),"")</f>
        <v/>
      </c>
      <c r="I80" s="40">
        <f>IFERROR(INDEX('9_UK_Vol_Input'!$E$49:$E$122,MATCH($D80,'9_UK_Vol_Input'!$A$49:$A$122,0)),"")</f>
        <v/>
      </c>
      <c r="J80" s="39">
        <f>IFERROR(INDEX('9_UK_Vol_Input'!$D$20:$D$44,MATCH($E80,'9_UK_Vol_Input'!$A$20:$A$44,0)),"")</f>
        <v/>
      </c>
      <c r="K80" s="40">
        <f>IFERROR(INDEX('9_UK_Vol_Input'!$E$20:$E$44,MATCH($E80,'9_UK_Vol_Input'!$A$20:$A$44,0)),"")</f>
        <v/>
      </c>
      <c r="L80" s="39">
        <f>IFERROR(INDEX('9_UK_Vol_Input'!$D$5:$D$15,MATCH($C80,'9_UK_Vol_Input'!$A$5:$A$15,0)),"")</f>
        <v/>
      </c>
      <c r="M80" s="40">
        <f>IFERROR(INDEX('9_UK_Vol_Input'!$E$5:$E$15,MATCH($C80,'9_UK_Vol_Input'!$A$5:$A$15,0)),"")</f>
        <v/>
      </c>
      <c r="N80" s="22">
        <f>IF(F80&lt;&gt;"",F80/(1+G80),IF(H80&lt;&gt;"",H80/(1+I80),IF(J80&lt;&gt;"",J80/(1+K80),IF(L80&lt;&gt;"",L80/(1+M80),""))))</f>
        <v/>
      </c>
      <c r="O80" s="36">
        <f>IFERROR(INDEX('7_UK_Beta_Input'!$D$127:$D$289,MATCH($A80,'7_UK_Beta_Input'!$A$127:$A$289,0)),"")</f>
        <v/>
      </c>
      <c r="P80" s="36">
        <f>IFERROR(INDEX('7_UK_Beta_Input'!$D$49:$D$122,MATCH($D80,'7_UK_Beta_Input'!$A$49:$A$122,0)),"")</f>
        <v/>
      </c>
      <c r="Q80" s="36">
        <f>IFERROR(INDEX('7_UK_Beta_Input'!$D$20:$D$44,MATCH($E80,'7_UK_Beta_Input'!$A$20:$A$44,0)),"")</f>
        <v/>
      </c>
      <c r="R80" s="36">
        <f>IFERROR(INDEX('7_UK_Beta_Input'!$D$5:$D$15,MATCH($C80,'7_UK_Beta_Input'!$A$5:$A$15,0)),"")</f>
        <v/>
      </c>
      <c r="S80" s="22">
        <f>IF(O80&lt;&gt;"",O80*'6_Credit_Bridge_Assumptions'!$B$8,IF(P80&lt;&gt;"",P80*'6_Credit_Bridge_Assumptions'!$B$8,IF(Q80&lt;&gt;"",Q80*'6_Credit_Bridge_Assumptions'!$B$8,IF(R80&lt;&gt;"",R80*'6_Credit_Bridge_Assumptions'!$B$8,""))))</f>
        <v/>
      </c>
      <c r="T80" s="22">
        <f>IF(N80&lt;&gt;"",N80,S80)</f>
        <v/>
      </c>
    </row>
    <row r="81">
      <c r="A81" s="6" t="n">
        <v>30101010</v>
      </c>
      <c r="B81" s="6" t="inlineStr">
        <is>
          <t>Drug Retail</t>
        </is>
      </c>
      <c r="C81" s="6" t="n">
        <v>30</v>
      </c>
      <c r="D81" s="6" t="n">
        <v>301010</v>
      </c>
      <c r="E81" s="6" t="n">
        <v>3010</v>
      </c>
      <c r="F81" s="39">
        <f>IFERROR(INDEX('9_UK_Vol_Input'!$D$127:$D$289,MATCH($A81,'9_UK_Vol_Input'!$A$127:$A$289,0)),"")</f>
        <v/>
      </c>
      <c r="G81" s="40">
        <f>IFERROR(INDEX('9_UK_Vol_Input'!$E$127:$E$289,MATCH($A81,'9_UK_Vol_Input'!$A$127:$A$289,0)),"")</f>
        <v/>
      </c>
      <c r="H81" s="39">
        <f>IFERROR(INDEX('9_UK_Vol_Input'!$D$49:$D$122,MATCH($D81,'9_UK_Vol_Input'!$A$49:$A$122,0)),"")</f>
        <v/>
      </c>
      <c r="I81" s="40">
        <f>IFERROR(INDEX('9_UK_Vol_Input'!$E$49:$E$122,MATCH($D81,'9_UK_Vol_Input'!$A$49:$A$122,0)),"")</f>
        <v/>
      </c>
      <c r="J81" s="39">
        <f>IFERROR(INDEX('9_UK_Vol_Input'!$D$20:$D$44,MATCH($E81,'9_UK_Vol_Input'!$A$20:$A$44,0)),"")</f>
        <v/>
      </c>
      <c r="K81" s="40">
        <f>IFERROR(INDEX('9_UK_Vol_Input'!$E$20:$E$44,MATCH($E81,'9_UK_Vol_Input'!$A$20:$A$44,0)),"")</f>
        <v/>
      </c>
      <c r="L81" s="39">
        <f>IFERROR(INDEX('9_UK_Vol_Input'!$D$5:$D$15,MATCH($C81,'9_UK_Vol_Input'!$A$5:$A$15,0)),"")</f>
        <v/>
      </c>
      <c r="M81" s="40">
        <f>IFERROR(INDEX('9_UK_Vol_Input'!$E$5:$E$15,MATCH($C81,'9_UK_Vol_Input'!$A$5:$A$15,0)),"")</f>
        <v/>
      </c>
      <c r="N81" s="22">
        <f>IF(F81&lt;&gt;"",F81/(1+G81),IF(H81&lt;&gt;"",H81/(1+I81),IF(J81&lt;&gt;"",J81/(1+K81),IF(L81&lt;&gt;"",L81/(1+M81),""))))</f>
        <v/>
      </c>
      <c r="O81" s="36">
        <f>IFERROR(INDEX('7_UK_Beta_Input'!$D$127:$D$289,MATCH($A81,'7_UK_Beta_Input'!$A$127:$A$289,0)),"")</f>
        <v/>
      </c>
      <c r="P81" s="36">
        <f>IFERROR(INDEX('7_UK_Beta_Input'!$D$49:$D$122,MATCH($D81,'7_UK_Beta_Input'!$A$49:$A$122,0)),"")</f>
        <v/>
      </c>
      <c r="Q81" s="36">
        <f>IFERROR(INDEX('7_UK_Beta_Input'!$D$20:$D$44,MATCH($E81,'7_UK_Beta_Input'!$A$20:$A$44,0)),"")</f>
        <v/>
      </c>
      <c r="R81" s="36">
        <f>IFERROR(INDEX('7_UK_Beta_Input'!$D$5:$D$15,MATCH($C81,'7_UK_Beta_Input'!$A$5:$A$15,0)),"")</f>
        <v/>
      </c>
      <c r="S81" s="22">
        <f>IF(O81&lt;&gt;"",O81*'6_Credit_Bridge_Assumptions'!$B$8,IF(P81&lt;&gt;"",P81*'6_Credit_Bridge_Assumptions'!$B$8,IF(Q81&lt;&gt;"",Q81*'6_Credit_Bridge_Assumptions'!$B$8,IF(R81&lt;&gt;"",R81*'6_Credit_Bridge_Assumptions'!$B$8,""))))</f>
        <v/>
      </c>
      <c r="T81" s="22">
        <f>IF(N81&lt;&gt;"",N81,S81)</f>
        <v/>
      </c>
    </row>
    <row r="82">
      <c r="A82" s="6" t="n">
        <v>30101020</v>
      </c>
      <c r="B82" s="6" t="inlineStr">
        <is>
          <t>Food Distributors</t>
        </is>
      </c>
      <c r="C82" s="6" t="n">
        <v>30</v>
      </c>
      <c r="D82" s="6" t="n">
        <v>301010</v>
      </c>
      <c r="E82" s="6" t="n">
        <v>3010</v>
      </c>
      <c r="F82" s="39">
        <f>IFERROR(INDEX('9_UK_Vol_Input'!$D$127:$D$289,MATCH($A82,'9_UK_Vol_Input'!$A$127:$A$289,0)),"")</f>
        <v/>
      </c>
      <c r="G82" s="40">
        <f>IFERROR(INDEX('9_UK_Vol_Input'!$E$127:$E$289,MATCH($A82,'9_UK_Vol_Input'!$A$127:$A$289,0)),"")</f>
        <v/>
      </c>
      <c r="H82" s="39">
        <f>IFERROR(INDEX('9_UK_Vol_Input'!$D$49:$D$122,MATCH($D82,'9_UK_Vol_Input'!$A$49:$A$122,0)),"")</f>
        <v/>
      </c>
      <c r="I82" s="40">
        <f>IFERROR(INDEX('9_UK_Vol_Input'!$E$49:$E$122,MATCH($D82,'9_UK_Vol_Input'!$A$49:$A$122,0)),"")</f>
        <v/>
      </c>
      <c r="J82" s="39">
        <f>IFERROR(INDEX('9_UK_Vol_Input'!$D$20:$D$44,MATCH($E82,'9_UK_Vol_Input'!$A$20:$A$44,0)),"")</f>
        <v/>
      </c>
      <c r="K82" s="40">
        <f>IFERROR(INDEX('9_UK_Vol_Input'!$E$20:$E$44,MATCH($E82,'9_UK_Vol_Input'!$A$20:$A$44,0)),"")</f>
        <v/>
      </c>
      <c r="L82" s="39">
        <f>IFERROR(INDEX('9_UK_Vol_Input'!$D$5:$D$15,MATCH($C82,'9_UK_Vol_Input'!$A$5:$A$15,0)),"")</f>
        <v/>
      </c>
      <c r="M82" s="40">
        <f>IFERROR(INDEX('9_UK_Vol_Input'!$E$5:$E$15,MATCH($C82,'9_UK_Vol_Input'!$A$5:$A$15,0)),"")</f>
        <v/>
      </c>
      <c r="N82" s="22">
        <f>IF(F82&lt;&gt;"",F82/(1+G82),IF(H82&lt;&gt;"",H82/(1+I82),IF(J82&lt;&gt;"",J82/(1+K82),IF(L82&lt;&gt;"",L82/(1+M82),""))))</f>
        <v/>
      </c>
      <c r="O82" s="36">
        <f>IFERROR(INDEX('7_UK_Beta_Input'!$D$127:$D$289,MATCH($A82,'7_UK_Beta_Input'!$A$127:$A$289,0)),"")</f>
        <v/>
      </c>
      <c r="P82" s="36">
        <f>IFERROR(INDEX('7_UK_Beta_Input'!$D$49:$D$122,MATCH($D82,'7_UK_Beta_Input'!$A$49:$A$122,0)),"")</f>
        <v/>
      </c>
      <c r="Q82" s="36">
        <f>IFERROR(INDEX('7_UK_Beta_Input'!$D$20:$D$44,MATCH($E82,'7_UK_Beta_Input'!$A$20:$A$44,0)),"")</f>
        <v/>
      </c>
      <c r="R82" s="36">
        <f>IFERROR(INDEX('7_UK_Beta_Input'!$D$5:$D$15,MATCH($C82,'7_UK_Beta_Input'!$A$5:$A$15,0)),"")</f>
        <v/>
      </c>
      <c r="S82" s="22">
        <f>IF(O82&lt;&gt;"",O82*'6_Credit_Bridge_Assumptions'!$B$8,IF(P82&lt;&gt;"",P82*'6_Credit_Bridge_Assumptions'!$B$8,IF(Q82&lt;&gt;"",Q82*'6_Credit_Bridge_Assumptions'!$B$8,IF(R82&lt;&gt;"",R82*'6_Credit_Bridge_Assumptions'!$B$8,""))))</f>
        <v/>
      </c>
      <c r="T82" s="22">
        <f>IF(N82&lt;&gt;"",N82,S82)</f>
        <v/>
      </c>
    </row>
    <row r="83">
      <c r="A83" s="6" t="n">
        <v>30101030</v>
      </c>
      <c r="B83" s="6" t="inlineStr">
        <is>
          <t>Food Retail</t>
        </is>
      </c>
      <c r="C83" s="6" t="n">
        <v>30</v>
      </c>
      <c r="D83" s="6" t="n">
        <v>301010</v>
      </c>
      <c r="E83" s="6" t="n">
        <v>3010</v>
      </c>
      <c r="F83" s="39">
        <f>IFERROR(INDEX('9_UK_Vol_Input'!$D$127:$D$289,MATCH($A83,'9_UK_Vol_Input'!$A$127:$A$289,0)),"")</f>
        <v/>
      </c>
      <c r="G83" s="40">
        <f>IFERROR(INDEX('9_UK_Vol_Input'!$E$127:$E$289,MATCH($A83,'9_UK_Vol_Input'!$A$127:$A$289,0)),"")</f>
        <v/>
      </c>
      <c r="H83" s="39">
        <f>IFERROR(INDEX('9_UK_Vol_Input'!$D$49:$D$122,MATCH($D83,'9_UK_Vol_Input'!$A$49:$A$122,0)),"")</f>
        <v/>
      </c>
      <c r="I83" s="40">
        <f>IFERROR(INDEX('9_UK_Vol_Input'!$E$49:$E$122,MATCH($D83,'9_UK_Vol_Input'!$A$49:$A$122,0)),"")</f>
        <v/>
      </c>
      <c r="J83" s="39">
        <f>IFERROR(INDEX('9_UK_Vol_Input'!$D$20:$D$44,MATCH($E83,'9_UK_Vol_Input'!$A$20:$A$44,0)),"")</f>
        <v/>
      </c>
      <c r="K83" s="40">
        <f>IFERROR(INDEX('9_UK_Vol_Input'!$E$20:$E$44,MATCH($E83,'9_UK_Vol_Input'!$A$20:$A$44,0)),"")</f>
        <v/>
      </c>
      <c r="L83" s="39">
        <f>IFERROR(INDEX('9_UK_Vol_Input'!$D$5:$D$15,MATCH($C83,'9_UK_Vol_Input'!$A$5:$A$15,0)),"")</f>
        <v/>
      </c>
      <c r="M83" s="40">
        <f>IFERROR(INDEX('9_UK_Vol_Input'!$E$5:$E$15,MATCH($C83,'9_UK_Vol_Input'!$A$5:$A$15,0)),"")</f>
        <v/>
      </c>
      <c r="N83" s="22">
        <f>IF(F83&lt;&gt;"",F83/(1+G83),IF(H83&lt;&gt;"",H83/(1+I83),IF(J83&lt;&gt;"",J83/(1+K83),IF(L83&lt;&gt;"",L83/(1+M83),""))))</f>
        <v/>
      </c>
      <c r="O83" s="36">
        <f>IFERROR(INDEX('7_UK_Beta_Input'!$D$127:$D$289,MATCH($A83,'7_UK_Beta_Input'!$A$127:$A$289,0)),"")</f>
        <v/>
      </c>
      <c r="P83" s="36">
        <f>IFERROR(INDEX('7_UK_Beta_Input'!$D$49:$D$122,MATCH($D83,'7_UK_Beta_Input'!$A$49:$A$122,0)),"")</f>
        <v/>
      </c>
      <c r="Q83" s="36">
        <f>IFERROR(INDEX('7_UK_Beta_Input'!$D$20:$D$44,MATCH($E83,'7_UK_Beta_Input'!$A$20:$A$44,0)),"")</f>
        <v/>
      </c>
      <c r="R83" s="36">
        <f>IFERROR(INDEX('7_UK_Beta_Input'!$D$5:$D$15,MATCH($C83,'7_UK_Beta_Input'!$A$5:$A$15,0)),"")</f>
        <v/>
      </c>
      <c r="S83" s="22">
        <f>IF(O83&lt;&gt;"",O83*'6_Credit_Bridge_Assumptions'!$B$8,IF(P83&lt;&gt;"",P83*'6_Credit_Bridge_Assumptions'!$B$8,IF(Q83&lt;&gt;"",Q83*'6_Credit_Bridge_Assumptions'!$B$8,IF(R83&lt;&gt;"",R83*'6_Credit_Bridge_Assumptions'!$B$8,""))))</f>
        <v/>
      </c>
      <c r="T83" s="22">
        <f>IF(N83&lt;&gt;"",N83,S83)</f>
        <v/>
      </c>
    </row>
    <row r="84">
      <c r="A84" s="6" t="n">
        <v>30101040</v>
      </c>
      <c r="B84" s="6" t="inlineStr">
        <is>
          <t>Consumer Staples Merchandise Retail</t>
        </is>
      </c>
      <c r="C84" s="6" t="n">
        <v>30</v>
      </c>
      <c r="D84" s="6" t="n">
        <v>301010</v>
      </c>
      <c r="E84" s="6" t="n">
        <v>3010</v>
      </c>
      <c r="F84" s="39">
        <f>IFERROR(INDEX('9_UK_Vol_Input'!$D$127:$D$289,MATCH($A84,'9_UK_Vol_Input'!$A$127:$A$289,0)),"")</f>
        <v/>
      </c>
      <c r="G84" s="40">
        <f>IFERROR(INDEX('9_UK_Vol_Input'!$E$127:$E$289,MATCH($A84,'9_UK_Vol_Input'!$A$127:$A$289,0)),"")</f>
        <v/>
      </c>
      <c r="H84" s="39">
        <f>IFERROR(INDEX('9_UK_Vol_Input'!$D$49:$D$122,MATCH($D84,'9_UK_Vol_Input'!$A$49:$A$122,0)),"")</f>
        <v/>
      </c>
      <c r="I84" s="40">
        <f>IFERROR(INDEX('9_UK_Vol_Input'!$E$49:$E$122,MATCH($D84,'9_UK_Vol_Input'!$A$49:$A$122,0)),"")</f>
        <v/>
      </c>
      <c r="J84" s="39">
        <f>IFERROR(INDEX('9_UK_Vol_Input'!$D$20:$D$44,MATCH($E84,'9_UK_Vol_Input'!$A$20:$A$44,0)),"")</f>
        <v/>
      </c>
      <c r="K84" s="40">
        <f>IFERROR(INDEX('9_UK_Vol_Input'!$E$20:$E$44,MATCH($E84,'9_UK_Vol_Input'!$A$20:$A$44,0)),"")</f>
        <v/>
      </c>
      <c r="L84" s="39">
        <f>IFERROR(INDEX('9_UK_Vol_Input'!$D$5:$D$15,MATCH($C84,'9_UK_Vol_Input'!$A$5:$A$15,0)),"")</f>
        <v/>
      </c>
      <c r="M84" s="40">
        <f>IFERROR(INDEX('9_UK_Vol_Input'!$E$5:$E$15,MATCH($C84,'9_UK_Vol_Input'!$A$5:$A$15,0)),"")</f>
        <v/>
      </c>
      <c r="N84" s="22">
        <f>IF(F84&lt;&gt;"",F84/(1+G84),IF(H84&lt;&gt;"",H84/(1+I84),IF(J84&lt;&gt;"",J84/(1+K84),IF(L84&lt;&gt;"",L84/(1+M84),""))))</f>
        <v/>
      </c>
      <c r="O84" s="36">
        <f>IFERROR(INDEX('7_UK_Beta_Input'!$D$127:$D$289,MATCH($A84,'7_UK_Beta_Input'!$A$127:$A$289,0)),"")</f>
        <v/>
      </c>
      <c r="P84" s="36">
        <f>IFERROR(INDEX('7_UK_Beta_Input'!$D$49:$D$122,MATCH($D84,'7_UK_Beta_Input'!$A$49:$A$122,0)),"")</f>
        <v/>
      </c>
      <c r="Q84" s="36">
        <f>IFERROR(INDEX('7_UK_Beta_Input'!$D$20:$D$44,MATCH($E84,'7_UK_Beta_Input'!$A$20:$A$44,0)),"")</f>
        <v/>
      </c>
      <c r="R84" s="36">
        <f>IFERROR(INDEX('7_UK_Beta_Input'!$D$5:$D$15,MATCH($C84,'7_UK_Beta_Input'!$A$5:$A$15,0)),"")</f>
        <v/>
      </c>
      <c r="S84" s="22">
        <f>IF(O84&lt;&gt;"",O84*'6_Credit_Bridge_Assumptions'!$B$8,IF(P84&lt;&gt;"",P84*'6_Credit_Bridge_Assumptions'!$B$8,IF(Q84&lt;&gt;"",Q84*'6_Credit_Bridge_Assumptions'!$B$8,IF(R84&lt;&gt;"",R84*'6_Credit_Bridge_Assumptions'!$B$8,""))))</f>
        <v/>
      </c>
      <c r="T84" s="22">
        <f>IF(N84&lt;&gt;"",N84,S84)</f>
        <v/>
      </c>
    </row>
    <row r="85">
      <c r="A85" s="6" t="n">
        <v>30201010</v>
      </c>
      <c r="B85" s="6" t="inlineStr">
        <is>
          <t>Brewers</t>
        </is>
      </c>
      <c r="C85" s="6" t="n">
        <v>30</v>
      </c>
      <c r="D85" s="6" t="n">
        <v>302010</v>
      </c>
      <c r="E85" s="6" t="n">
        <v>3020</v>
      </c>
      <c r="F85" s="39">
        <f>IFERROR(INDEX('9_UK_Vol_Input'!$D$127:$D$289,MATCH($A85,'9_UK_Vol_Input'!$A$127:$A$289,0)),"")</f>
        <v/>
      </c>
      <c r="G85" s="40">
        <f>IFERROR(INDEX('9_UK_Vol_Input'!$E$127:$E$289,MATCH($A85,'9_UK_Vol_Input'!$A$127:$A$289,0)),"")</f>
        <v/>
      </c>
      <c r="H85" s="39">
        <f>IFERROR(INDEX('9_UK_Vol_Input'!$D$49:$D$122,MATCH($D85,'9_UK_Vol_Input'!$A$49:$A$122,0)),"")</f>
        <v/>
      </c>
      <c r="I85" s="40">
        <f>IFERROR(INDEX('9_UK_Vol_Input'!$E$49:$E$122,MATCH($D85,'9_UK_Vol_Input'!$A$49:$A$122,0)),"")</f>
        <v/>
      </c>
      <c r="J85" s="39">
        <f>IFERROR(INDEX('9_UK_Vol_Input'!$D$20:$D$44,MATCH($E85,'9_UK_Vol_Input'!$A$20:$A$44,0)),"")</f>
        <v/>
      </c>
      <c r="K85" s="40">
        <f>IFERROR(INDEX('9_UK_Vol_Input'!$E$20:$E$44,MATCH($E85,'9_UK_Vol_Input'!$A$20:$A$44,0)),"")</f>
        <v/>
      </c>
      <c r="L85" s="39">
        <f>IFERROR(INDEX('9_UK_Vol_Input'!$D$5:$D$15,MATCH($C85,'9_UK_Vol_Input'!$A$5:$A$15,0)),"")</f>
        <v/>
      </c>
      <c r="M85" s="40">
        <f>IFERROR(INDEX('9_UK_Vol_Input'!$E$5:$E$15,MATCH($C85,'9_UK_Vol_Input'!$A$5:$A$15,0)),"")</f>
        <v/>
      </c>
      <c r="N85" s="22">
        <f>IF(F85&lt;&gt;"",F85/(1+G85),IF(H85&lt;&gt;"",H85/(1+I85),IF(J85&lt;&gt;"",J85/(1+K85),IF(L85&lt;&gt;"",L85/(1+M85),""))))</f>
        <v/>
      </c>
      <c r="O85" s="36">
        <f>IFERROR(INDEX('7_UK_Beta_Input'!$D$127:$D$289,MATCH($A85,'7_UK_Beta_Input'!$A$127:$A$289,0)),"")</f>
        <v/>
      </c>
      <c r="P85" s="36">
        <f>IFERROR(INDEX('7_UK_Beta_Input'!$D$49:$D$122,MATCH($D85,'7_UK_Beta_Input'!$A$49:$A$122,0)),"")</f>
        <v/>
      </c>
      <c r="Q85" s="36">
        <f>IFERROR(INDEX('7_UK_Beta_Input'!$D$20:$D$44,MATCH($E85,'7_UK_Beta_Input'!$A$20:$A$44,0)),"")</f>
        <v/>
      </c>
      <c r="R85" s="36">
        <f>IFERROR(INDEX('7_UK_Beta_Input'!$D$5:$D$15,MATCH($C85,'7_UK_Beta_Input'!$A$5:$A$15,0)),"")</f>
        <v/>
      </c>
      <c r="S85" s="22">
        <f>IF(O85&lt;&gt;"",O85*'6_Credit_Bridge_Assumptions'!$B$8,IF(P85&lt;&gt;"",P85*'6_Credit_Bridge_Assumptions'!$B$8,IF(Q85&lt;&gt;"",Q85*'6_Credit_Bridge_Assumptions'!$B$8,IF(R85&lt;&gt;"",R85*'6_Credit_Bridge_Assumptions'!$B$8,""))))</f>
        <v/>
      </c>
      <c r="T85" s="22">
        <f>IF(N85&lt;&gt;"",N85,S85)</f>
        <v/>
      </c>
    </row>
    <row r="86">
      <c r="A86" s="6" t="n">
        <v>30201020</v>
      </c>
      <c r="B86" s="6" t="inlineStr">
        <is>
          <t>Distillers &amp; Vintners</t>
        </is>
      </c>
      <c r="C86" s="6" t="n">
        <v>30</v>
      </c>
      <c r="D86" s="6" t="n">
        <v>302010</v>
      </c>
      <c r="E86" s="6" t="n">
        <v>3020</v>
      </c>
      <c r="F86" s="39">
        <f>IFERROR(INDEX('9_UK_Vol_Input'!$D$127:$D$289,MATCH($A86,'9_UK_Vol_Input'!$A$127:$A$289,0)),"")</f>
        <v/>
      </c>
      <c r="G86" s="40">
        <f>IFERROR(INDEX('9_UK_Vol_Input'!$E$127:$E$289,MATCH($A86,'9_UK_Vol_Input'!$A$127:$A$289,0)),"")</f>
        <v/>
      </c>
      <c r="H86" s="39">
        <f>IFERROR(INDEX('9_UK_Vol_Input'!$D$49:$D$122,MATCH($D86,'9_UK_Vol_Input'!$A$49:$A$122,0)),"")</f>
        <v/>
      </c>
      <c r="I86" s="40">
        <f>IFERROR(INDEX('9_UK_Vol_Input'!$E$49:$E$122,MATCH($D86,'9_UK_Vol_Input'!$A$49:$A$122,0)),"")</f>
        <v/>
      </c>
      <c r="J86" s="39">
        <f>IFERROR(INDEX('9_UK_Vol_Input'!$D$20:$D$44,MATCH($E86,'9_UK_Vol_Input'!$A$20:$A$44,0)),"")</f>
        <v/>
      </c>
      <c r="K86" s="40">
        <f>IFERROR(INDEX('9_UK_Vol_Input'!$E$20:$E$44,MATCH($E86,'9_UK_Vol_Input'!$A$20:$A$44,0)),"")</f>
        <v/>
      </c>
      <c r="L86" s="39">
        <f>IFERROR(INDEX('9_UK_Vol_Input'!$D$5:$D$15,MATCH($C86,'9_UK_Vol_Input'!$A$5:$A$15,0)),"")</f>
        <v/>
      </c>
      <c r="M86" s="40">
        <f>IFERROR(INDEX('9_UK_Vol_Input'!$E$5:$E$15,MATCH($C86,'9_UK_Vol_Input'!$A$5:$A$15,0)),"")</f>
        <v/>
      </c>
      <c r="N86" s="22">
        <f>IF(F86&lt;&gt;"",F86/(1+G86),IF(H86&lt;&gt;"",H86/(1+I86),IF(J86&lt;&gt;"",J86/(1+K86),IF(L86&lt;&gt;"",L86/(1+M86),""))))</f>
        <v/>
      </c>
      <c r="O86" s="36">
        <f>IFERROR(INDEX('7_UK_Beta_Input'!$D$127:$D$289,MATCH($A86,'7_UK_Beta_Input'!$A$127:$A$289,0)),"")</f>
        <v/>
      </c>
      <c r="P86" s="36">
        <f>IFERROR(INDEX('7_UK_Beta_Input'!$D$49:$D$122,MATCH($D86,'7_UK_Beta_Input'!$A$49:$A$122,0)),"")</f>
        <v/>
      </c>
      <c r="Q86" s="36">
        <f>IFERROR(INDEX('7_UK_Beta_Input'!$D$20:$D$44,MATCH($E86,'7_UK_Beta_Input'!$A$20:$A$44,0)),"")</f>
        <v/>
      </c>
      <c r="R86" s="36">
        <f>IFERROR(INDEX('7_UK_Beta_Input'!$D$5:$D$15,MATCH($C86,'7_UK_Beta_Input'!$A$5:$A$15,0)),"")</f>
        <v/>
      </c>
      <c r="S86" s="22">
        <f>IF(O86&lt;&gt;"",O86*'6_Credit_Bridge_Assumptions'!$B$8,IF(P86&lt;&gt;"",P86*'6_Credit_Bridge_Assumptions'!$B$8,IF(Q86&lt;&gt;"",Q86*'6_Credit_Bridge_Assumptions'!$B$8,IF(R86&lt;&gt;"",R86*'6_Credit_Bridge_Assumptions'!$B$8,""))))</f>
        <v/>
      </c>
      <c r="T86" s="22">
        <f>IF(N86&lt;&gt;"",N86,S86)</f>
        <v/>
      </c>
    </row>
    <row r="87">
      <c r="A87" s="6" t="n">
        <v>30201030</v>
      </c>
      <c r="B87" s="6" t="inlineStr">
        <is>
          <t>Soft Drinks &amp; Non-alcoholic Beverages</t>
        </is>
      </c>
      <c r="C87" s="6" t="n">
        <v>30</v>
      </c>
      <c r="D87" s="6" t="n">
        <v>302010</v>
      </c>
      <c r="E87" s="6" t="n">
        <v>3020</v>
      </c>
      <c r="F87" s="39">
        <f>IFERROR(INDEX('9_UK_Vol_Input'!$D$127:$D$289,MATCH($A87,'9_UK_Vol_Input'!$A$127:$A$289,0)),"")</f>
        <v/>
      </c>
      <c r="G87" s="40">
        <f>IFERROR(INDEX('9_UK_Vol_Input'!$E$127:$E$289,MATCH($A87,'9_UK_Vol_Input'!$A$127:$A$289,0)),"")</f>
        <v/>
      </c>
      <c r="H87" s="39">
        <f>IFERROR(INDEX('9_UK_Vol_Input'!$D$49:$D$122,MATCH($D87,'9_UK_Vol_Input'!$A$49:$A$122,0)),"")</f>
        <v/>
      </c>
      <c r="I87" s="40">
        <f>IFERROR(INDEX('9_UK_Vol_Input'!$E$49:$E$122,MATCH($D87,'9_UK_Vol_Input'!$A$49:$A$122,0)),"")</f>
        <v/>
      </c>
      <c r="J87" s="39">
        <f>IFERROR(INDEX('9_UK_Vol_Input'!$D$20:$D$44,MATCH($E87,'9_UK_Vol_Input'!$A$20:$A$44,0)),"")</f>
        <v/>
      </c>
      <c r="K87" s="40">
        <f>IFERROR(INDEX('9_UK_Vol_Input'!$E$20:$E$44,MATCH($E87,'9_UK_Vol_Input'!$A$20:$A$44,0)),"")</f>
        <v/>
      </c>
      <c r="L87" s="39">
        <f>IFERROR(INDEX('9_UK_Vol_Input'!$D$5:$D$15,MATCH($C87,'9_UK_Vol_Input'!$A$5:$A$15,0)),"")</f>
        <v/>
      </c>
      <c r="M87" s="40">
        <f>IFERROR(INDEX('9_UK_Vol_Input'!$E$5:$E$15,MATCH($C87,'9_UK_Vol_Input'!$A$5:$A$15,0)),"")</f>
        <v/>
      </c>
      <c r="N87" s="22">
        <f>IF(F87&lt;&gt;"",F87/(1+G87),IF(H87&lt;&gt;"",H87/(1+I87),IF(J87&lt;&gt;"",J87/(1+K87),IF(L87&lt;&gt;"",L87/(1+M87),""))))</f>
        <v/>
      </c>
      <c r="O87" s="36">
        <f>IFERROR(INDEX('7_UK_Beta_Input'!$D$127:$D$289,MATCH($A87,'7_UK_Beta_Input'!$A$127:$A$289,0)),"")</f>
        <v/>
      </c>
      <c r="P87" s="36">
        <f>IFERROR(INDEX('7_UK_Beta_Input'!$D$49:$D$122,MATCH($D87,'7_UK_Beta_Input'!$A$49:$A$122,0)),"")</f>
        <v/>
      </c>
      <c r="Q87" s="36">
        <f>IFERROR(INDEX('7_UK_Beta_Input'!$D$20:$D$44,MATCH($E87,'7_UK_Beta_Input'!$A$20:$A$44,0)),"")</f>
        <v/>
      </c>
      <c r="R87" s="36">
        <f>IFERROR(INDEX('7_UK_Beta_Input'!$D$5:$D$15,MATCH($C87,'7_UK_Beta_Input'!$A$5:$A$15,0)),"")</f>
        <v/>
      </c>
      <c r="S87" s="22">
        <f>IF(O87&lt;&gt;"",O87*'6_Credit_Bridge_Assumptions'!$B$8,IF(P87&lt;&gt;"",P87*'6_Credit_Bridge_Assumptions'!$B$8,IF(Q87&lt;&gt;"",Q87*'6_Credit_Bridge_Assumptions'!$B$8,IF(R87&lt;&gt;"",R87*'6_Credit_Bridge_Assumptions'!$B$8,""))))</f>
        <v/>
      </c>
      <c r="T87" s="22">
        <f>IF(N87&lt;&gt;"",N87,S87)</f>
        <v/>
      </c>
    </row>
    <row r="88">
      <c r="A88" s="6" t="n">
        <v>30202010</v>
      </c>
      <c r="B88" s="6" t="inlineStr">
        <is>
          <t>Agricultural Products &amp; Services</t>
        </is>
      </c>
      <c r="C88" s="6" t="n">
        <v>30</v>
      </c>
      <c r="D88" s="6" t="n">
        <v>302020</v>
      </c>
      <c r="E88" s="6" t="n">
        <v>3020</v>
      </c>
      <c r="F88" s="39">
        <f>IFERROR(INDEX('9_UK_Vol_Input'!$D$127:$D$289,MATCH($A88,'9_UK_Vol_Input'!$A$127:$A$289,0)),"")</f>
        <v/>
      </c>
      <c r="G88" s="40">
        <f>IFERROR(INDEX('9_UK_Vol_Input'!$E$127:$E$289,MATCH($A88,'9_UK_Vol_Input'!$A$127:$A$289,0)),"")</f>
        <v/>
      </c>
      <c r="H88" s="39">
        <f>IFERROR(INDEX('9_UK_Vol_Input'!$D$49:$D$122,MATCH($D88,'9_UK_Vol_Input'!$A$49:$A$122,0)),"")</f>
        <v/>
      </c>
      <c r="I88" s="40">
        <f>IFERROR(INDEX('9_UK_Vol_Input'!$E$49:$E$122,MATCH($D88,'9_UK_Vol_Input'!$A$49:$A$122,0)),"")</f>
        <v/>
      </c>
      <c r="J88" s="39">
        <f>IFERROR(INDEX('9_UK_Vol_Input'!$D$20:$D$44,MATCH($E88,'9_UK_Vol_Input'!$A$20:$A$44,0)),"")</f>
        <v/>
      </c>
      <c r="K88" s="40">
        <f>IFERROR(INDEX('9_UK_Vol_Input'!$E$20:$E$44,MATCH($E88,'9_UK_Vol_Input'!$A$20:$A$44,0)),"")</f>
        <v/>
      </c>
      <c r="L88" s="39">
        <f>IFERROR(INDEX('9_UK_Vol_Input'!$D$5:$D$15,MATCH($C88,'9_UK_Vol_Input'!$A$5:$A$15,0)),"")</f>
        <v/>
      </c>
      <c r="M88" s="40">
        <f>IFERROR(INDEX('9_UK_Vol_Input'!$E$5:$E$15,MATCH($C88,'9_UK_Vol_Input'!$A$5:$A$15,0)),"")</f>
        <v/>
      </c>
      <c r="N88" s="22">
        <f>IF(F88&lt;&gt;"",F88/(1+G88),IF(H88&lt;&gt;"",H88/(1+I88),IF(J88&lt;&gt;"",J88/(1+K88),IF(L88&lt;&gt;"",L88/(1+M88),""))))</f>
        <v/>
      </c>
      <c r="O88" s="36">
        <f>IFERROR(INDEX('7_UK_Beta_Input'!$D$127:$D$289,MATCH($A88,'7_UK_Beta_Input'!$A$127:$A$289,0)),"")</f>
        <v/>
      </c>
      <c r="P88" s="36">
        <f>IFERROR(INDEX('7_UK_Beta_Input'!$D$49:$D$122,MATCH($D88,'7_UK_Beta_Input'!$A$49:$A$122,0)),"")</f>
        <v/>
      </c>
      <c r="Q88" s="36">
        <f>IFERROR(INDEX('7_UK_Beta_Input'!$D$20:$D$44,MATCH($E88,'7_UK_Beta_Input'!$A$20:$A$44,0)),"")</f>
        <v/>
      </c>
      <c r="R88" s="36">
        <f>IFERROR(INDEX('7_UK_Beta_Input'!$D$5:$D$15,MATCH($C88,'7_UK_Beta_Input'!$A$5:$A$15,0)),"")</f>
        <v/>
      </c>
      <c r="S88" s="22">
        <f>IF(O88&lt;&gt;"",O88*'6_Credit_Bridge_Assumptions'!$B$8,IF(P88&lt;&gt;"",P88*'6_Credit_Bridge_Assumptions'!$B$8,IF(Q88&lt;&gt;"",Q88*'6_Credit_Bridge_Assumptions'!$B$8,IF(R88&lt;&gt;"",R88*'6_Credit_Bridge_Assumptions'!$B$8,""))))</f>
        <v/>
      </c>
      <c r="T88" s="22">
        <f>IF(N88&lt;&gt;"",N88,S88)</f>
        <v/>
      </c>
    </row>
    <row r="89">
      <c r="A89" s="6" t="n">
        <v>30202030</v>
      </c>
      <c r="B89" s="6" t="inlineStr">
        <is>
          <t>Packaged Foods &amp; Meats</t>
        </is>
      </c>
      <c r="C89" s="6" t="n">
        <v>30</v>
      </c>
      <c r="D89" s="6" t="n">
        <v>302020</v>
      </c>
      <c r="E89" s="6" t="n">
        <v>3020</v>
      </c>
      <c r="F89" s="39">
        <f>IFERROR(INDEX('9_UK_Vol_Input'!$D$127:$D$289,MATCH($A89,'9_UK_Vol_Input'!$A$127:$A$289,0)),"")</f>
        <v/>
      </c>
      <c r="G89" s="40">
        <f>IFERROR(INDEX('9_UK_Vol_Input'!$E$127:$E$289,MATCH($A89,'9_UK_Vol_Input'!$A$127:$A$289,0)),"")</f>
        <v/>
      </c>
      <c r="H89" s="39">
        <f>IFERROR(INDEX('9_UK_Vol_Input'!$D$49:$D$122,MATCH($D89,'9_UK_Vol_Input'!$A$49:$A$122,0)),"")</f>
        <v/>
      </c>
      <c r="I89" s="40">
        <f>IFERROR(INDEX('9_UK_Vol_Input'!$E$49:$E$122,MATCH($D89,'9_UK_Vol_Input'!$A$49:$A$122,0)),"")</f>
        <v/>
      </c>
      <c r="J89" s="39">
        <f>IFERROR(INDEX('9_UK_Vol_Input'!$D$20:$D$44,MATCH($E89,'9_UK_Vol_Input'!$A$20:$A$44,0)),"")</f>
        <v/>
      </c>
      <c r="K89" s="40">
        <f>IFERROR(INDEX('9_UK_Vol_Input'!$E$20:$E$44,MATCH($E89,'9_UK_Vol_Input'!$A$20:$A$44,0)),"")</f>
        <v/>
      </c>
      <c r="L89" s="39">
        <f>IFERROR(INDEX('9_UK_Vol_Input'!$D$5:$D$15,MATCH($C89,'9_UK_Vol_Input'!$A$5:$A$15,0)),"")</f>
        <v/>
      </c>
      <c r="M89" s="40">
        <f>IFERROR(INDEX('9_UK_Vol_Input'!$E$5:$E$15,MATCH($C89,'9_UK_Vol_Input'!$A$5:$A$15,0)),"")</f>
        <v/>
      </c>
      <c r="N89" s="22">
        <f>IF(F89&lt;&gt;"",F89/(1+G89),IF(H89&lt;&gt;"",H89/(1+I89),IF(J89&lt;&gt;"",J89/(1+K89),IF(L89&lt;&gt;"",L89/(1+M89),""))))</f>
        <v/>
      </c>
      <c r="O89" s="36">
        <f>IFERROR(INDEX('7_UK_Beta_Input'!$D$127:$D$289,MATCH($A89,'7_UK_Beta_Input'!$A$127:$A$289,0)),"")</f>
        <v/>
      </c>
      <c r="P89" s="36">
        <f>IFERROR(INDEX('7_UK_Beta_Input'!$D$49:$D$122,MATCH($D89,'7_UK_Beta_Input'!$A$49:$A$122,0)),"")</f>
        <v/>
      </c>
      <c r="Q89" s="36">
        <f>IFERROR(INDEX('7_UK_Beta_Input'!$D$20:$D$44,MATCH($E89,'7_UK_Beta_Input'!$A$20:$A$44,0)),"")</f>
        <v/>
      </c>
      <c r="R89" s="36">
        <f>IFERROR(INDEX('7_UK_Beta_Input'!$D$5:$D$15,MATCH($C89,'7_UK_Beta_Input'!$A$5:$A$15,0)),"")</f>
        <v/>
      </c>
      <c r="S89" s="22">
        <f>IF(O89&lt;&gt;"",O89*'6_Credit_Bridge_Assumptions'!$B$8,IF(P89&lt;&gt;"",P89*'6_Credit_Bridge_Assumptions'!$B$8,IF(Q89&lt;&gt;"",Q89*'6_Credit_Bridge_Assumptions'!$B$8,IF(R89&lt;&gt;"",R89*'6_Credit_Bridge_Assumptions'!$B$8,""))))</f>
        <v/>
      </c>
      <c r="T89" s="22">
        <f>IF(N89&lt;&gt;"",N89,S89)</f>
        <v/>
      </c>
    </row>
    <row r="90">
      <c r="A90" s="6" t="n">
        <v>30203010</v>
      </c>
      <c r="B90" s="6" t="inlineStr">
        <is>
          <t>Tobacco</t>
        </is>
      </c>
      <c r="C90" s="6" t="n">
        <v>30</v>
      </c>
      <c r="D90" s="6" t="n">
        <v>302030</v>
      </c>
      <c r="E90" s="6" t="n">
        <v>3020</v>
      </c>
      <c r="F90" s="39">
        <f>IFERROR(INDEX('9_UK_Vol_Input'!$D$127:$D$289,MATCH($A90,'9_UK_Vol_Input'!$A$127:$A$289,0)),"")</f>
        <v/>
      </c>
      <c r="G90" s="40">
        <f>IFERROR(INDEX('9_UK_Vol_Input'!$E$127:$E$289,MATCH($A90,'9_UK_Vol_Input'!$A$127:$A$289,0)),"")</f>
        <v/>
      </c>
      <c r="H90" s="39">
        <f>IFERROR(INDEX('9_UK_Vol_Input'!$D$49:$D$122,MATCH($D90,'9_UK_Vol_Input'!$A$49:$A$122,0)),"")</f>
        <v/>
      </c>
      <c r="I90" s="40">
        <f>IFERROR(INDEX('9_UK_Vol_Input'!$E$49:$E$122,MATCH($D90,'9_UK_Vol_Input'!$A$49:$A$122,0)),"")</f>
        <v/>
      </c>
      <c r="J90" s="39">
        <f>IFERROR(INDEX('9_UK_Vol_Input'!$D$20:$D$44,MATCH($E90,'9_UK_Vol_Input'!$A$20:$A$44,0)),"")</f>
        <v/>
      </c>
      <c r="K90" s="40">
        <f>IFERROR(INDEX('9_UK_Vol_Input'!$E$20:$E$44,MATCH($E90,'9_UK_Vol_Input'!$A$20:$A$44,0)),"")</f>
        <v/>
      </c>
      <c r="L90" s="39">
        <f>IFERROR(INDEX('9_UK_Vol_Input'!$D$5:$D$15,MATCH($C90,'9_UK_Vol_Input'!$A$5:$A$15,0)),"")</f>
        <v/>
      </c>
      <c r="M90" s="40">
        <f>IFERROR(INDEX('9_UK_Vol_Input'!$E$5:$E$15,MATCH($C90,'9_UK_Vol_Input'!$A$5:$A$15,0)),"")</f>
        <v/>
      </c>
      <c r="N90" s="22">
        <f>IF(F90&lt;&gt;"",F90/(1+G90),IF(H90&lt;&gt;"",H90/(1+I90),IF(J90&lt;&gt;"",J90/(1+K90),IF(L90&lt;&gt;"",L90/(1+M90),""))))</f>
        <v/>
      </c>
      <c r="O90" s="36">
        <f>IFERROR(INDEX('7_UK_Beta_Input'!$D$127:$D$289,MATCH($A90,'7_UK_Beta_Input'!$A$127:$A$289,0)),"")</f>
        <v/>
      </c>
      <c r="P90" s="36">
        <f>IFERROR(INDEX('7_UK_Beta_Input'!$D$49:$D$122,MATCH($D90,'7_UK_Beta_Input'!$A$49:$A$122,0)),"")</f>
        <v/>
      </c>
      <c r="Q90" s="36">
        <f>IFERROR(INDEX('7_UK_Beta_Input'!$D$20:$D$44,MATCH($E90,'7_UK_Beta_Input'!$A$20:$A$44,0)),"")</f>
        <v/>
      </c>
      <c r="R90" s="36">
        <f>IFERROR(INDEX('7_UK_Beta_Input'!$D$5:$D$15,MATCH($C90,'7_UK_Beta_Input'!$A$5:$A$15,0)),"")</f>
        <v/>
      </c>
      <c r="S90" s="22">
        <f>IF(O90&lt;&gt;"",O90*'6_Credit_Bridge_Assumptions'!$B$8,IF(P90&lt;&gt;"",P90*'6_Credit_Bridge_Assumptions'!$B$8,IF(Q90&lt;&gt;"",Q90*'6_Credit_Bridge_Assumptions'!$B$8,IF(R90&lt;&gt;"",R90*'6_Credit_Bridge_Assumptions'!$B$8,""))))</f>
        <v/>
      </c>
      <c r="T90" s="22">
        <f>IF(N90&lt;&gt;"",N90,S90)</f>
        <v/>
      </c>
    </row>
    <row r="91">
      <c r="A91" s="6" t="n">
        <v>30301010</v>
      </c>
      <c r="B91" s="6" t="inlineStr">
        <is>
          <t>Household Products</t>
        </is>
      </c>
      <c r="C91" s="6" t="n">
        <v>30</v>
      </c>
      <c r="D91" s="6" t="n">
        <v>303010</v>
      </c>
      <c r="E91" s="6" t="n">
        <v>3030</v>
      </c>
      <c r="F91" s="39">
        <f>IFERROR(INDEX('9_UK_Vol_Input'!$D$127:$D$289,MATCH($A91,'9_UK_Vol_Input'!$A$127:$A$289,0)),"")</f>
        <v/>
      </c>
      <c r="G91" s="40">
        <f>IFERROR(INDEX('9_UK_Vol_Input'!$E$127:$E$289,MATCH($A91,'9_UK_Vol_Input'!$A$127:$A$289,0)),"")</f>
        <v/>
      </c>
      <c r="H91" s="39">
        <f>IFERROR(INDEX('9_UK_Vol_Input'!$D$49:$D$122,MATCH($D91,'9_UK_Vol_Input'!$A$49:$A$122,0)),"")</f>
        <v/>
      </c>
      <c r="I91" s="40">
        <f>IFERROR(INDEX('9_UK_Vol_Input'!$E$49:$E$122,MATCH($D91,'9_UK_Vol_Input'!$A$49:$A$122,0)),"")</f>
        <v/>
      </c>
      <c r="J91" s="39">
        <f>IFERROR(INDEX('9_UK_Vol_Input'!$D$20:$D$44,MATCH($E91,'9_UK_Vol_Input'!$A$20:$A$44,0)),"")</f>
        <v/>
      </c>
      <c r="K91" s="40">
        <f>IFERROR(INDEX('9_UK_Vol_Input'!$E$20:$E$44,MATCH($E91,'9_UK_Vol_Input'!$A$20:$A$44,0)),"")</f>
        <v/>
      </c>
      <c r="L91" s="39">
        <f>IFERROR(INDEX('9_UK_Vol_Input'!$D$5:$D$15,MATCH($C91,'9_UK_Vol_Input'!$A$5:$A$15,0)),"")</f>
        <v/>
      </c>
      <c r="M91" s="40">
        <f>IFERROR(INDEX('9_UK_Vol_Input'!$E$5:$E$15,MATCH($C91,'9_UK_Vol_Input'!$A$5:$A$15,0)),"")</f>
        <v/>
      </c>
      <c r="N91" s="22">
        <f>IF(F91&lt;&gt;"",F91/(1+G91),IF(H91&lt;&gt;"",H91/(1+I91),IF(J91&lt;&gt;"",J91/(1+K91),IF(L91&lt;&gt;"",L91/(1+M91),""))))</f>
        <v/>
      </c>
      <c r="O91" s="36">
        <f>IFERROR(INDEX('7_UK_Beta_Input'!$D$127:$D$289,MATCH($A91,'7_UK_Beta_Input'!$A$127:$A$289,0)),"")</f>
        <v/>
      </c>
      <c r="P91" s="36">
        <f>IFERROR(INDEX('7_UK_Beta_Input'!$D$49:$D$122,MATCH($D91,'7_UK_Beta_Input'!$A$49:$A$122,0)),"")</f>
        <v/>
      </c>
      <c r="Q91" s="36">
        <f>IFERROR(INDEX('7_UK_Beta_Input'!$D$20:$D$44,MATCH($E91,'7_UK_Beta_Input'!$A$20:$A$44,0)),"")</f>
        <v/>
      </c>
      <c r="R91" s="36">
        <f>IFERROR(INDEX('7_UK_Beta_Input'!$D$5:$D$15,MATCH($C91,'7_UK_Beta_Input'!$A$5:$A$15,0)),"")</f>
        <v/>
      </c>
      <c r="S91" s="22">
        <f>IF(O91&lt;&gt;"",O91*'6_Credit_Bridge_Assumptions'!$B$8,IF(P91&lt;&gt;"",P91*'6_Credit_Bridge_Assumptions'!$B$8,IF(Q91&lt;&gt;"",Q91*'6_Credit_Bridge_Assumptions'!$B$8,IF(R91&lt;&gt;"",R91*'6_Credit_Bridge_Assumptions'!$B$8,""))))</f>
        <v/>
      </c>
      <c r="T91" s="22">
        <f>IF(N91&lt;&gt;"",N91,S91)</f>
        <v/>
      </c>
    </row>
    <row r="92">
      <c r="A92" s="6" t="n">
        <v>30302010</v>
      </c>
      <c r="B92" s="6" t="inlineStr">
        <is>
          <t>Personal Care Products</t>
        </is>
      </c>
      <c r="C92" s="6" t="n">
        <v>30</v>
      </c>
      <c r="D92" s="6" t="n">
        <v>303020</v>
      </c>
      <c r="E92" s="6" t="n">
        <v>3030</v>
      </c>
      <c r="F92" s="39">
        <f>IFERROR(INDEX('9_UK_Vol_Input'!$D$127:$D$289,MATCH($A92,'9_UK_Vol_Input'!$A$127:$A$289,0)),"")</f>
        <v/>
      </c>
      <c r="G92" s="40">
        <f>IFERROR(INDEX('9_UK_Vol_Input'!$E$127:$E$289,MATCH($A92,'9_UK_Vol_Input'!$A$127:$A$289,0)),"")</f>
        <v/>
      </c>
      <c r="H92" s="39">
        <f>IFERROR(INDEX('9_UK_Vol_Input'!$D$49:$D$122,MATCH($D92,'9_UK_Vol_Input'!$A$49:$A$122,0)),"")</f>
        <v/>
      </c>
      <c r="I92" s="40">
        <f>IFERROR(INDEX('9_UK_Vol_Input'!$E$49:$E$122,MATCH($D92,'9_UK_Vol_Input'!$A$49:$A$122,0)),"")</f>
        <v/>
      </c>
      <c r="J92" s="39">
        <f>IFERROR(INDEX('9_UK_Vol_Input'!$D$20:$D$44,MATCH($E92,'9_UK_Vol_Input'!$A$20:$A$44,0)),"")</f>
        <v/>
      </c>
      <c r="K92" s="40">
        <f>IFERROR(INDEX('9_UK_Vol_Input'!$E$20:$E$44,MATCH($E92,'9_UK_Vol_Input'!$A$20:$A$44,0)),"")</f>
        <v/>
      </c>
      <c r="L92" s="39">
        <f>IFERROR(INDEX('9_UK_Vol_Input'!$D$5:$D$15,MATCH($C92,'9_UK_Vol_Input'!$A$5:$A$15,0)),"")</f>
        <v/>
      </c>
      <c r="M92" s="40">
        <f>IFERROR(INDEX('9_UK_Vol_Input'!$E$5:$E$15,MATCH($C92,'9_UK_Vol_Input'!$A$5:$A$15,0)),"")</f>
        <v/>
      </c>
      <c r="N92" s="22">
        <f>IF(F92&lt;&gt;"",F92/(1+G92),IF(H92&lt;&gt;"",H92/(1+I92),IF(J92&lt;&gt;"",J92/(1+K92),IF(L92&lt;&gt;"",L92/(1+M92),""))))</f>
        <v/>
      </c>
      <c r="O92" s="36">
        <f>IFERROR(INDEX('7_UK_Beta_Input'!$D$127:$D$289,MATCH($A92,'7_UK_Beta_Input'!$A$127:$A$289,0)),"")</f>
        <v/>
      </c>
      <c r="P92" s="36">
        <f>IFERROR(INDEX('7_UK_Beta_Input'!$D$49:$D$122,MATCH($D92,'7_UK_Beta_Input'!$A$49:$A$122,0)),"")</f>
        <v/>
      </c>
      <c r="Q92" s="36">
        <f>IFERROR(INDEX('7_UK_Beta_Input'!$D$20:$D$44,MATCH($E92,'7_UK_Beta_Input'!$A$20:$A$44,0)),"")</f>
        <v/>
      </c>
      <c r="R92" s="36">
        <f>IFERROR(INDEX('7_UK_Beta_Input'!$D$5:$D$15,MATCH($C92,'7_UK_Beta_Input'!$A$5:$A$15,0)),"")</f>
        <v/>
      </c>
      <c r="S92" s="22">
        <f>IF(O92&lt;&gt;"",O92*'6_Credit_Bridge_Assumptions'!$B$8,IF(P92&lt;&gt;"",P92*'6_Credit_Bridge_Assumptions'!$B$8,IF(Q92&lt;&gt;"",Q92*'6_Credit_Bridge_Assumptions'!$B$8,IF(R92&lt;&gt;"",R92*'6_Credit_Bridge_Assumptions'!$B$8,""))))</f>
        <v/>
      </c>
      <c r="T92" s="22">
        <f>IF(N92&lt;&gt;"",N92,S92)</f>
        <v/>
      </c>
    </row>
    <row r="93">
      <c r="A93" s="6" t="n">
        <v>35101010</v>
      </c>
      <c r="B93" s="6" t="inlineStr">
        <is>
          <t>Health Care Equipment</t>
        </is>
      </c>
      <c r="C93" s="6" t="n">
        <v>35</v>
      </c>
      <c r="D93" s="6" t="n">
        <v>351010</v>
      </c>
      <c r="E93" s="6" t="n">
        <v>3510</v>
      </c>
      <c r="F93" s="39">
        <f>IFERROR(INDEX('9_UK_Vol_Input'!$D$127:$D$289,MATCH($A93,'9_UK_Vol_Input'!$A$127:$A$289,0)),"")</f>
        <v/>
      </c>
      <c r="G93" s="40">
        <f>IFERROR(INDEX('9_UK_Vol_Input'!$E$127:$E$289,MATCH($A93,'9_UK_Vol_Input'!$A$127:$A$289,0)),"")</f>
        <v/>
      </c>
      <c r="H93" s="39">
        <f>IFERROR(INDEX('9_UK_Vol_Input'!$D$49:$D$122,MATCH($D93,'9_UK_Vol_Input'!$A$49:$A$122,0)),"")</f>
        <v/>
      </c>
      <c r="I93" s="40">
        <f>IFERROR(INDEX('9_UK_Vol_Input'!$E$49:$E$122,MATCH($D93,'9_UK_Vol_Input'!$A$49:$A$122,0)),"")</f>
        <v/>
      </c>
      <c r="J93" s="39">
        <f>IFERROR(INDEX('9_UK_Vol_Input'!$D$20:$D$44,MATCH($E93,'9_UK_Vol_Input'!$A$20:$A$44,0)),"")</f>
        <v/>
      </c>
      <c r="K93" s="40">
        <f>IFERROR(INDEX('9_UK_Vol_Input'!$E$20:$E$44,MATCH($E93,'9_UK_Vol_Input'!$A$20:$A$44,0)),"")</f>
        <v/>
      </c>
      <c r="L93" s="39">
        <f>IFERROR(INDEX('9_UK_Vol_Input'!$D$5:$D$15,MATCH($C93,'9_UK_Vol_Input'!$A$5:$A$15,0)),"")</f>
        <v/>
      </c>
      <c r="M93" s="40">
        <f>IFERROR(INDEX('9_UK_Vol_Input'!$E$5:$E$15,MATCH($C93,'9_UK_Vol_Input'!$A$5:$A$15,0)),"")</f>
        <v/>
      </c>
      <c r="N93" s="22">
        <f>IF(F93&lt;&gt;"",F93/(1+G93),IF(H93&lt;&gt;"",H93/(1+I93),IF(J93&lt;&gt;"",J93/(1+K93),IF(L93&lt;&gt;"",L93/(1+M93),""))))</f>
        <v/>
      </c>
      <c r="O93" s="36">
        <f>IFERROR(INDEX('7_UK_Beta_Input'!$D$127:$D$289,MATCH($A93,'7_UK_Beta_Input'!$A$127:$A$289,0)),"")</f>
        <v/>
      </c>
      <c r="P93" s="36">
        <f>IFERROR(INDEX('7_UK_Beta_Input'!$D$49:$D$122,MATCH($D93,'7_UK_Beta_Input'!$A$49:$A$122,0)),"")</f>
        <v/>
      </c>
      <c r="Q93" s="36">
        <f>IFERROR(INDEX('7_UK_Beta_Input'!$D$20:$D$44,MATCH($E93,'7_UK_Beta_Input'!$A$20:$A$44,0)),"")</f>
        <v/>
      </c>
      <c r="R93" s="36">
        <f>IFERROR(INDEX('7_UK_Beta_Input'!$D$5:$D$15,MATCH($C93,'7_UK_Beta_Input'!$A$5:$A$15,0)),"")</f>
        <v/>
      </c>
      <c r="S93" s="22">
        <f>IF(O93&lt;&gt;"",O93*'6_Credit_Bridge_Assumptions'!$B$8,IF(P93&lt;&gt;"",P93*'6_Credit_Bridge_Assumptions'!$B$8,IF(Q93&lt;&gt;"",Q93*'6_Credit_Bridge_Assumptions'!$B$8,IF(R93&lt;&gt;"",R93*'6_Credit_Bridge_Assumptions'!$B$8,""))))</f>
        <v/>
      </c>
      <c r="T93" s="22">
        <f>IF(N93&lt;&gt;"",N93,S93)</f>
        <v/>
      </c>
    </row>
    <row r="94">
      <c r="A94" s="6" t="n">
        <v>35101020</v>
      </c>
      <c r="B94" s="6" t="inlineStr">
        <is>
          <t>Health Care Supplies</t>
        </is>
      </c>
      <c r="C94" s="6" t="n">
        <v>35</v>
      </c>
      <c r="D94" s="6" t="n">
        <v>351010</v>
      </c>
      <c r="E94" s="6" t="n">
        <v>3510</v>
      </c>
      <c r="F94" s="39">
        <f>IFERROR(INDEX('9_UK_Vol_Input'!$D$127:$D$289,MATCH($A94,'9_UK_Vol_Input'!$A$127:$A$289,0)),"")</f>
        <v/>
      </c>
      <c r="G94" s="40">
        <f>IFERROR(INDEX('9_UK_Vol_Input'!$E$127:$E$289,MATCH($A94,'9_UK_Vol_Input'!$A$127:$A$289,0)),"")</f>
        <v/>
      </c>
      <c r="H94" s="39">
        <f>IFERROR(INDEX('9_UK_Vol_Input'!$D$49:$D$122,MATCH($D94,'9_UK_Vol_Input'!$A$49:$A$122,0)),"")</f>
        <v/>
      </c>
      <c r="I94" s="40">
        <f>IFERROR(INDEX('9_UK_Vol_Input'!$E$49:$E$122,MATCH($D94,'9_UK_Vol_Input'!$A$49:$A$122,0)),"")</f>
        <v/>
      </c>
      <c r="J94" s="39">
        <f>IFERROR(INDEX('9_UK_Vol_Input'!$D$20:$D$44,MATCH($E94,'9_UK_Vol_Input'!$A$20:$A$44,0)),"")</f>
        <v/>
      </c>
      <c r="K94" s="40">
        <f>IFERROR(INDEX('9_UK_Vol_Input'!$E$20:$E$44,MATCH($E94,'9_UK_Vol_Input'!$A$20:$A$44,0)),"")</f>
        <v/>
      </c>
      <c r="L94" s="39">
        <f>IFERROR(INDEX('9_UK_Vol_Input'!$D$5:$D$15,MATCH($C94,'9_UK_Vol_Input'!$A$5:$A$15,0)),"")</f>
        <v/>
      </c>
      <c r="M94" s="40">
        <f>IFERROR(INDEX('9_UK_Vol_Input'!$E$5:$E$15,MATCH($C94,'9_UK_Vol_Input'!$A$5:$A$15,0)),"")</f>
        <v/>
      </c>
      <c r="N94" s="22">
        <f>IF(F94&lt;&gt;"",F94/(1+G94),IF(H94&lt;&gt;"",H94/(1+I94),IF(J94&lt;&gt;"",J94/(1+K94),IF(L94&lt;&gt;"",L94/(1+M94),""))))</f>
        <v/>
      </c>
      <c r="O94" s="36">
        <f>IFERROR(INDEX('7_UK_Beta_Input'!$D$127:$D$289,MATCH($A94,'7_UK_Beta_Input'!$A$127:$A$289,0)),"")</f>
        <v/>
      </c>
      <c r="P94" s="36">
        <f>IFERROR(INDEX('7_UK_Beta_Input'!$D$49:$D$122,MATCH($D94,'7_UK_Beta_Input'!$A$49:$A$122,0)),"")</f>
        <v/>
      </c>
      <c r="Q94" s="36">
        <f>IFERROR(INDEX('7_UK_Beta_Input'!$D$20:$D$44,MATCH($E94,'7_UK_Beta_Input'!$A$20:$A$44,0)),"")</f>
        <v/>
      </c>
      <c r="R94" s="36">
        <f>IFERROR(INDEX('7_UK_Beta_Input'!$D$5:$D$15,MATCH($C94,'7_UK_Beta_Input'!$A$5:$A$15,0)),"")</f>
        <v/>
      </c>
      <c r="S94" s="22">
        <f>IF(O94&lt;&gt;"",O94*'6_Credit_Bridge_Assumptions'!$B$8,IF(P94&lt;&gt;"",P94*'6_Credit_Bridge_Assumptions'!$B$8,IF(Q94&lt;&gt;"",Q94*'6_Credit_Bridge_Assumptions'!$B$8,IF(R94&lt;&gt;"",R94*'6_Credit_Bridge_Assumptions'!$B$8,""))))</f>
        <v/>
      </c>
      <c r="T94" s="22">
        <f>IF(N94&lt;&gt;"",N94,S94)</f>
        <v/>
      </c>
    </row>
    <row r="95">
      <c r="A95" s="6" t="n">
        <v>35102010</v>
      </c>
      <c r="B95" s="6" t="inlineStr">
        <is>
          <t>Health Care Distributors</t>
        </is>
      </c>
      <c r="C95" s="6" t="n">
        <v>35</v>
      </c>
      <c r="D95" s="6" t="n">
        <v>351020</v>
      </c>
      <c r="E95" s="6" t="n">
        <v>3510</v>
      </c>
      <c r="F95" s="39">
        <f>IFERROR(INDEX('9_UK_Vol_Input'!$D$127:$D$289,MATCH($A95,'9_UK_Vol_Input'!$A$127:$A$289,0)),"")</f>
        <v/>
      </c>
      <c r="G95" s="40">
        <f>IFERROR(INDEX('9_UK_Vol_Input'!$E$127:$E$289,MATCH($A95,'9_UK_Vol_Input'!$A$127:$A$289,0)),"")</f>
        <v/>
      </c>
      <c r="H95" s="39">
        <f>IFERROR(INDEX('9_UK_Vol_Input'!$D$49:$D$122,MATCH($D95,'9_UK_Vol_Input'!$A$49:$A$122,0)),"")</f>
        <v/>
      </c>
      <c r="I95" s="40">
        <f>IFERROR(INDEX('9_UK_Vol_Input'!$E$49:$E$122,MATCH($D95,'9_UK_Vol_Input'!$A$49:$A$122,0)),"")</f>
        <v/>
      </c>
      <c r="J95" s="39">
        <f>IFERROR(INDEX('9_UK_Vol_Input'!$D$20:$D$44,MATCH($E95,'9_UK_Vol_Input'!$A$20:$A$44,0)),"")</f>
        <v/>
      </c>
      <c r="K95" s="40">
        <f>IFERROR(INDEX('9_UK_Vol_Input'!$E$20:$E$44,MATCH($E95,'9_UK_Vol_Input'!$A$20:$A$44,0)),"")</f>
        <v/>
      </c>
      <c r="L95" s="39">
        <f>IFERROR(INDEX('9_UK_Vol_Input'!$D$5:$D$15,MATCH($C95,'9_UK_Vol_Input'!$A$5:$A$15,0)),"")</f>
        <v/>
      </c>
      <c r="M95" s="40">
        <f>IFERROR(INDEX('9_UK_Vol_Input'!$E$5:$E$15,MATCH($C95,'9_UK_Vol_Input'!$A$5:$A$15,0)),"")</f>
        <v/>
      </c>
      <c r="N95" s="22">
        <f>IF(F95&lt;&gt;"",F95/(1+G95),IF(H95&lt;&gt;"",H95/(1+I95),IF(J95&lt;&gt;"",J95/(1+K95),IF(L95&lt;&gt;"",L95/(1+M95),""))))</f>
        <v/>
      </c>
      <c r="O95" s="36">
        <f>IFERROR(INDEX('7_UK_Beta_Input'!$D$127:$D$289,MATCH($A95,'7_UK_Beta_Input'!$A$127:$A$289,0)),"")</f>
        <v/>
      </c>
      <c r="P95" s="36">
        <f>IFERROR(INDEX('7_UK_Beta_Input'!$D$49:$D$122,MATCH($D95,'7_UK_Beta_Input'!$A$49:$A$122,0)),"")</f>
        <v/>
      </c>
      <c r="Q95" s="36">
        <f>IFERROR(INDEX('7_UK_Beta_Input'!$D$20:$D$44,MATCH($E95,'7_UK_Beta_Input'!$A$20:$A$44,0)),"")</f>
        <v/>
      </c>
      <c r="R95" s="36">
        <f>IFERROR(INDEX('7_UK_Beta_Input'!$D$5:$D$15,MATCH($C95,'7_UK_Beta_Input'!$A$5:$A$15,0)),"")</f>
        <v/>
      </c>
      <c r="S95" s="22">
        <f>IF(O95&lt;&gt;"",O95*'6_Credit_Bridge_Assumptions'!$B$8,IF(P95&lt;&gt;"",P95*'6_Credit_Bridge_Assumptions'!$B$8,IF(Q95&lt;&gt;"",Q95*'6_Credit_Bridge_Assumptions'!$B$8,IF(R95&lt;&gt;"",R95*'6_Credit_Bridge_Assumptions'!$B$8,""))))</f>
        <v/>
      </c>
      <c r="T95" s="22">
        <f>IF(N95&lt;&gt;"",N95,S95)</f>
        <v/>
      </c>
    </row>
    <row r="96">
      <c r="A96" s="6" t="n">
        <v>35102015</v>
      </c>
      <c r="B96" s="6" t="inlineStr">
        <is>
          <t>Health Care Services</t>
        </is>
      </c>
      <c r="C96" s="6" t="n">
        <v>35</v>
      </c>
      <c r="D96" s="6" t="n">
        <v>351020</v>
      </c>
      <c r="E96" s="6" t="n">
        <v>3510</v>
      </c>
      <c r="F96" s="39">
        <f>IFERROR(INDEX('9_UK_Vol_Input'!$D$127:$D$289,MATCH($A96,'9_UK_Vol_Input'!$A$127:$A$289,0)),"")</f>
        <v/>
      </c>
      <c r="G96" s="40">
        <f>IFERROR(INDEX('9_UK_Vol_Input'!$E$127:$E$289,MATCH($A96,'9_UK_Vol_Input'!$A$127:$A$289,0)),"")</f>
        <v/>
      </c>
      <c r="H96" s="39">
        <f>IFERROR(INDEX('9_UK_Vol_Input'!$D$49:$D$122,MATCH($D96,'9_UK_Vol_Input'!$A$49:$A$122,0)),"")</f>
        <v/>
      </c>
      <c r="I96" s="40">
        <f>IFERROR(INDEX('9_UK_Vol_Input'!$E$49:$E$122,MATCH($D96,'9_UK_Vol_Input'!$A$49:$A$122,0)),"")</f>
        <v/>
      </c>
      <c r="J96" s="39">
        <f>IFERROR(INDEX('9_UK_Vol_Input'!$D$20:$D$44,MATCH($E96,'9_UK_Vol_Input'!$A$20:$A$44,0)),"")</f>
        <v/>
      </c>
      <c r="K96" s="40">
        <f>IFERROR(INDEX('9_UK_Vol_Input'!$E$20:$E$44,MATCH($E96,'9_UK_Vol_Input'!$A$20:$A$44,0)),"")</f>
        <v/>
      </c>
      <c r="L96" s="39">
        <f>IFERROR(INDEX('9_UK_Vol_Input'!$D$5:$D$15,MATCH($C96,'9_UK_Vol_Input'!$A$5:$A$15,0)),"")</f>
        <v/>
      </c>
      <c r="M96" s="40">
        <f>IFERROR(INDEX('9_UK_Vol_Input'!$E$5:$E$15,MATCH($C96,'9_UK_Vol_Input'!$A$5:$A$15,0)),"")</f>
        <v/>
      </c>
      <c r="N96" s="22">
        <f>IF(F96&lt;&gt;"",F96/(1+G96),IF(H96&lt;&gt;"",H96/(1+I96),IF(J96&lt;&gt;"",J96/(1+K96),IF(L96&lt;&gt;"",L96/(1+M96),""))))</f>
        <v/>
      </c>
      <c r="O96" s="36">
        <f>IFERROR(INDEX('7_UK_Beta_Input'!$D$127:$D$289,MATCH($A96,'7_UK_Beta_Input'!$A$127:$A$289,0)),"")</f>
        <v/>
      </c>
      <c r="P96" s="36">
        <f>IFERROR(INDEX('7_UK_Beta_Input'!$D$49:$D$122,MATCH($D96,'7_UK_Beta_Input'!$A$49:$A$122,0)),"")</f>
        <v/>
      </c>
      <c r="Q96" s="36">
        <f>IFERROR(INDEX('7_UK_Beta_Input'!$D$20:$D$44,MATCH($E96,'7_UK_Beta_Input'!$A$20:$A$44,0)),"")</f>
        <v/>
      </c>
      <c r="R96" s="36">
        <f>IFERROR(INDEX('7_UK_Beta_Input'!$D$5:$D$15,MATCH($C96,'7_UK_Beta_Input'!$A$5:$A$15,0)),"")</f>
        <v/>
      </c>
      <c r="S96" s="22">
        <f>IF(O96&lt;&gt;"",O96*'6_Credit_Bridge_Assumptions'!$B$8,IF(P96&lt;&gt;"",P96*'6_Credit_Bridge_Assumptions'!$B$8,IF(Q96&lt;&gt;"",Q96*'6_Credit_Bridge_Assumptions'!$B$8,IF(R96&lt;&gt;"",R96*'6_Credit_Bridge_Assumptions'!$B$8,""))))</f>
        <v/>
      </c>
      <c r="T96" s="22">
        <f>IF(N96&lt;&gt;"",N96,S96)</f>
        <v/>
      </c>
    </row>
    <row r="97">
      <c r="A97" s="6" t="n">
        <v>35102020</v>
      </c>
      <c r="B97" s="6" t="inlineStr">
        <is>
          <t>Health Care Facilities</t>
        </is>
      </c>
      <c r="C97" s="6" t="n">
        <v>35</v>
      </c>
      <c r="D97" s="6" t="n">
        <v>351020</v>
      </c>
      <c r="E97" s="6" t="n">
        <v>3510</v>
      </c>
      <c r="F97" s="39">
        <f>IFERROR(INDEX('9_UK_Vol_Input'!$D$127:$D$289,MATCH($A97,'9_UK_Vol_Input'!$A$127:$A$289,0)),"")</f>
        <v/>
      </c>
      <c r="G97" s="40">
        <f>IFERROR(INDEX('9_UK_Vol_Input'!$E$127:$E$289,MATCH($A97,'9_UK_Vol_Input'!$A$127:$A$289,0)),"")</f>
        <v/>
      </c>
      <c r="H97" s="39">
        <f>IFERROR(INDEX('9_UK_Vol_Input'!$D$49:$D$122,MATCH($D97,'9_UK_Vol_Input'!$A$49:$A$122,0)),"")</f>
        <v/>
      </c>
      <c r="I97" s="40">
        <f>IFERROR(INDEX('9_UK_Vol_Input'!$E$49:$E$122,MATCH($D97,'9_UK_Vol_Input'!$A$49:$A$122,0)),"")</f>
        <v/>
      </c>
      <c r="J97" s="39">
        <f>IFERROR(INDEX('9_UK_Vol_Input'!$D$20:$D$44,MATCH($E97,'9_UK_Vol_Input'!$A$20:$A$44,0)),"")</f>
        <v/>
      </c>
      <c r="K97" s="40">
        <f>IFERROR(INDEX('9_UK_Vol_Input'!$E$20:$E$44,MATCH($E97,'9_UK_Vol_Input'!$A$20:$A$44,0)),"")</f>
        <v/>
      </c>
      <c r="L97" s="39">
        <f>IFERROR(INDEX('9_UK_Vol_Input'!$D$5:$D$15,MATCH($C97,'9_UK_Vol_Input'!$A$5:$A$15,0)),"")</f>
        <v/>
      </c>
      <c r="M97" s="40">
        <f>IFERROR(INDEX('9_UK_Vol_Input'!$E$5:$E$15,MATCH($C97,'9_UK_Vol_Input'!$A$5:$A$15,0)),"")</f>
        <v/>
      </c>
      <c r="N97" s="22">
        <f>IF(F97&lt;&gt;"",F97/(1+G97),IF(H97&lt;&gt;"",H97/(1+I97),IF(J97&lt;&gt;"",J97/(1+K97),IF(L97&lt;&gt;"",L97/(1+M97),""))))</f>
        <v/>
      </c>
      <c r="O97" s="36">
        <f>IFERROR(INDEX('7_UK_Beta_Input'!$D$127:$D$289,MATCH($A97,'7_UK_Beta_Input'!$A$127:$A$289,0)),"")</f>
        <v/>
      </c>
      <c r="P97" s="36">
        <f>IFERROR(INDEX('7_UK_Beta_Input'!$D$49:$D$122,MATCH($D97,'7_UK_Beta_Input'!$A$49:$A$122,0)),"")</f>
        <v/>
      </c>
      <c r="Q97" s="36">
        <f>IFERROR(INDEX('7_UK_Beta_Input'!$D$20:$D$44,MATCH($E97,'7_UK_Beta_Input'!$A$20:$A$44,0)),"")</f>
        <v/>
      </c>
      <c r="R97" s="36">
        <f>IFERROR(INDEX('7_UK_Beta_Input'!$D$5:$D$15,MATCH($C97,'7_UK_Beta_Input'!$A$5:$A$15,0)),"")</f>
        <v/>
      </c>
      <c r="S97" s="22">
        <f>IF(O97&lt;&gt;"",O97*'6_Credit_Bridge_Assumptions'!$B$8,IF(P97&lt;&gt;"",P97*'6_Credit_Bridge_Assumptions'!$B$8,IF(Q97&lt;&gt;"",Q97*'6_Credit_Bridge_Assumptions'!$B$8,IF(R97&lt;&gt;"",R97*'6_Credit_Bridge_Assumptions'!$B$8,""))))</f>
        <v/>
      </c>
      <c r="T97" s="22">
        <f>IF(N97&lt;&gt;"",N97,S97)</f>
        <v/>
      </c>
    </row>
    <row r="98">
      <c r="A98" s="6" t="n">
        <v>35102030</v>
      </c>
      <c r="B98" s="6" t="inlineStr">
        <is>
          <t>Managed Health Care</t>
        </is>
      </c>
      <c r="C98" s="6" t="n">
        <v>35</v>
      </c>
      <c r="D98" s="6" t="n">
        <v>351020</v>
      </c>
      <c r="E98" s="6" t="n">
        <v>3510</v>
      </c>
      <c r="F98" s="39">
        <f>IFERROR(INDEX('9_UK_Vol_Input'!$D$127:$D$289,MATCH($A98,'9_UK_Vol_Input'!$A$127:$A$289,0)),"")</f>
        <v/>
      </c>
      <c r="G98" s="40">
        <f>IFERROR(INDEX('9_UK_Vol_Input'!$E$127:$E$289,MATCH($A98,'9_UK_Vol_Input'!$A$127:$A$289,0)),"")</f>
        <v/>
      </c>
      <c r="H98" s="39">
        <f>IFERROR(INDEX('9_UK_Vol_Input'!$D$49:$D$122,MATCH($D98,'9_UK_Vol_Input'!$A$49:$A$122,0)),"")</f>
        <v/>
      </c>
      <c r="I98" s="40">
        <f>IFERROR(INDEX('9_UK_Vol_Input'!$E$49:$E$122,MATCH($D98,'9_UK_Vol_Input'!$A$49:$A$122,0)),"")</f>
        <v/>
      </c>
      <c r="J98" s="39">
        <f>IFERROR(INDEX('9_UK_Vol_Input'!$D$20:$D$44,MATCH($E98,'9_UK_Vol_Input'!$A$20:$A$44,0)),"")</f>
        <v/>
      </c>
      <c r="K98" s="40">
        <f>IFERROR(INDEX('9_UK_Vol_Input'!$E$20:$E$44,MATCH($E98,'9_UK_Vol_Input'!$A$20:$A$44,0)),"")</f>
        <v/>
      </c>
      <c r="L98" s="39">
        <f>IFERROR(INDEX('9_UK_Vol_Input'!$D$5:$D$15,MATCH($C98,'9_UK_Vol_Input'!$A$5:$A$15,0)),"")</f>
        <v/>
      </c>
      <c r="M98" s="40">
        <f>IFERROR(INDEX('9_UK_Vol_Input'!$E$5:$E$15,MATCH($C98,'9_UK_Vol_Input'!$A$5:$A$15,0)),"")</f>
        <v/>
      </c>
      <c r="N98" s="22">
        <f>IF(F98&lt;&gt;"",F98/(1+G98),IF(H98&lt;&gt;"",H98/(1+I98),IF(J98&lt;&gt;"",J98/(1+K98),IF(L98&lt;&gt;"",L98/(1+M98),""))))</f>
        <v/>
      </c>
      <c r="O98" s="36">
        <f>IFERROR(INDEX('7_UK_Beta_Input'!$D$127:$D$289,MATCH($A98,'7_UK_Beta_Input'!$A$127:$A$289,0)),"")</f>
        <v/>
      </c>
      <c r="P98" s="36">
        <f>IFERROR(INDEX('7_UK_Beta_Input'!$D$49:$D$122,MATCH($D98,'7_UK_Beta_Input'!$A$49:$A$122,0)),"")</f>
        <v/>
      </c>
      <c r="Q98" s="36">
        <f>IFERROR(INDEX('7_UK_Beta_Input'!$D$20:$D$44,MATCH($E98,'7_UK_Beta_Input'!$A$20:$A$44,0)),"")</f>
        <v/>
      </c>
      <c r="R98" s="36">
        <f>IFERROR(INDEX('7_UK_Beta_Input'!$D$5:$D$15,MATCH($C98,'7_UK_Beta_Input'!$A$5:$A$15,0)),"")</f>
        <v/>
      </c>
      <c r="S98" s="22">
        <f>IF(O98&lt;&gt;"",O98*'6_Credit_Bridge_Assumptions'!$B$8,IF(P98&lt;&gt;"",P98*'6_Credit_Bridge_Assumptions'!$B$8,IF(Q98&lt;&gt;"",Q98*'6_Credit_Bridge_Assumptions'!$B$8,IF(R98&lt;&gt;"",R98*'6_Credit_Bridge_Assumptions'!$B$8,""))))</f>
        <v/>
      </c>
      <c r="T98" s="22">
        <f>IF(N98&lt;&gt;"",N98,S98)</f>
        <v/>
      </c>
    </row>
    <row r="99">
      <c r="A99" s="6" t="n">
        <v>35103010</v>
      </c>
      <c r="B99" s="6" t="inlineStr">
        <is>
          <t>Health Care Technology</t>
        </is>
      </c>
      <c r="C99" s="6" t="n">
        <v>35</v>
      </c>
      <c r="D99" s="6" t="n">
        <v>351030</v>
      </c>
      <c r="E99" s="6" t="n">
        <v>3510</v>
      </c>
      <c r="F99" s="39">
        <f>IFERROR(INDEX('9_UK_Vol_Input'!$D$127:$D$289,MATCH($A99,'9_UK_Vol_Input'!$A$127:$A$289,0)),"")</f>
        <v/>
      </c>
      <c r="G99" s="40">
        <f>IFERROR(INDEX('9_UK_Vol_Input'!$E$127:$E$289,MATCH($A99,'9_UK_Vol_Input'!$A$127:$A$289,0)),"")</f>
        <v/>
      </c>
      <c r="H99" s="39">
        <f>IFERROR(INDEX('9_UK_Vol_Input'!$D$49:$D$122,MATCH($D99,'9_UK_Vol_Input'!$A$49:$A$122,0)),"")</f>
        <v/>
      </c>
      <c r="I99" s="40">
        <f>IFERROR(INDEX('9_UK_Vol_Input'!$E$49:$E$122,MATCH($D99,'9_UK_Vol_Input'!$A$49:$A$122,0)),"")</f>
        <v/>
      </c>
      <c r="J99" s="39">
        <f>IFERROR(INDEX('9_UK_Vol_Input'!$D$20:$D$44,MATCH($E99,'9_UK_Vol_Input'!$A$20:$A$44,0)),"")</f>
        <v/>
      </c>
      <c r="K99" s="40">
        <f>IFERROR(INDEX('9_UK_Vol_Input'!$E$20:$E$44,MATCH($E99,'9_UK_Vol_Input'!$A$20:$A$44,0)),"")</f>
        <v/>
      </c>
      <c r="L99" s="39">
        <f>IFERROR(INDEX('9_UK_Vol_Input'!$D$5:$D$15,MATCH($C99,'9_UK_Vol_Input'!$A$5:$A$15,0)),"")</f>
        <v/>
      </c>
      <c r="M99" s="40">
        <f>IFERROR(INDEX('9_UK_Vol_Input'!$E$5:$E$15,MATCH($C99,'9_UK_Vol_Input'!$A$5:$A$15,0)),"")</f>
        <v/>
      </c>
      <c r="N99" s="22">
        <f>IF(F99&lt;&gt;"",F99/(1+G99),IF(H99&lt;&gt;"",H99/(1+I99),IF(J99&lt;&gt;"",J99/(1+K99),IF(L99&lt;&gt;"",L99/(1+M99),""))))</f>
        <v/>
      </c>
      <c r="O99" s="36">
        <f>IFERROR(INDEX('7_UK_Beta_Input'!$D$127:$D$289,MATCH($A99,'7_UK_Beta_Input'!$A$127:$A$289,0)),"")</f>
        <v/>
      </c>
      <c r="P99" s="36">
        <f>IFERROR(INDEX('7_UK_Beta_Input'!$D$49:$D$122,MATCH($D99,'7_UK_Beta_Input'!$A$49:$A$122,0)),"")</f>
        <v/>
      </c>
      <c r="Q99" s="36">
        <f>IFERROR(INDEX('7_UK_Beta_Input'!$D$20:$D$44,MATCH($E99,'7_UK_Beta_Input'!$A$20:$A$44,0)),"")</f>
        <v/>
      </c>
      <c r="R99" s="36">
        <f>IFERROR(INDEX('7_UK_Beta_Input'!$D$5:$D$15,MATCH($C99,'7_UK_Beta_Input'!$A$5:$A$15,0)),"")</f>
        <v/>
      </c>
      <c r="S99" s="22">
        <f>IF(O99&lt;&gt;"",O99*'6_Credit_Bridge_Assumptions'!$B$8,IF(P99&lt;&gt;"",P99*'6_Credit_Bridge_Assumptions'!$B$8,IF(Q99&lt;&gt;"",Q99*'6_Credit_Bridge_Assumptions'!$B$8,IF(R99&lt;&gt;"",R99*'6_Credit_Bridge_Assumptions'!$B$8,""))))</f>
        <v/>
      </c>
      <c r="T99" s="22">
        <f>IF(N99&lt;&gt;"",N99,S99)</f>
        <v/>
      </c>
    </row>
    <row r="100">
      <c r="A100" s="6" t="n">
        <v>35201010</v>
      </c>
      <c r="B100" s="6" t="inlineStr">
        <is>
          <t>Biotechnology</t>
        </is>
      </c>
      <c r="C100" s="6" t="n">
        <v>35</v>
      </c>
      <c r="D100" s="6" t="n">
        <v>352010</v>
      </c>
      <c r="E100" s="6" t="n">
        <v>3520</v>
      </c>
      <c r="F100" s="39">
        <f>IFERROR(INDEX('9_UK_Vol_Input'!$D$127:$D$289,MATCH($A100,'9_UK_Vol_Input'!$A$127:$A$289,0)),"")</f>
        <v/>
      </c>
      <c r="G100" s="40">
        <f>IFERROR(INDEX('9_UK_Vol_Input'!$E$127:$E$289,MATCH($A100,'9_UK_Vol_Input'!$A$127:$A$289,0)),"")</f>
        <v/>
      </c>
      <c r="H100" s="39">
        <f>IFERROR(INDEX('9_UK_Vol_Input'!$D$49:$D$122,MATCH($D100,'9_UK_Vol_Input'!$A$49:$A$122,0)),"")</f>
        <v/>
      </c>
      <c r="I100" s="40">
        <f>IFERROR(INDEX('9_UK_Vol_Input'!$E$49:$E$122,MATCH($D100,'9_UK_Vol_Input'!$A$49:$A$122,0)),"")</f>
        <v/>
      </c>
      <c r="J100" s="39">
        <f>IFERROR(INDEX('9_UK_Vol_Input'!$D$20:$D$44,MATCH($E100,'9_UK_Vol_Input'!$A$20:$A$44,0)),"")</f>
        <v/>
      </c>
      <c r="K100" s="40">
        <f>IFERROR(INDEX('9_UK_Vol_Input'!$E$20:$E$44,MATCH($E100,'9_UK_Vol_Input'!$A$20:$A$44,0)),"")</f>
        <v/>
      </c>
      <c r="L100" s="39">
        <f>IFERROR(INDEX('9_UK_Vol_Input'!$D$5:$D$15,MATCH($C100,'9_UK_Vol_Input'!$A$5:$A$15,0)),"")</f>
        <v/>
      </c>
      <c r="M100" s="40">
        <f>IFERROR(INDEX('9_UK_Vol_Input'!$E$5:$E$15,MATCH($C100,'9_UK_Vol_Input'!$A$5:$A$15,0)),"")</f>
        <v/>
      </c>
      <c r="N100" s="22">
        <f>IF(F100&lt;&gt;"",F100/(1+G100),IF(H100&lt;&gt;"",H100/(1+I100),IF(J100&lt;&gt;"",J100/(1+K100),IF(L100&lt;&gt;"",L100/(1+M100),""))))</f>
        <v/>
      </c>
      <c r="O100" s="36">
        <f>IFERROR(INDEX('7_UK_Beta_Input'!$D$127:$D$289,MATCH($A100,'7_UK_Beta_Input'!$A$127:$A$289,0)),"")</f>
        <v/>
      </c>
      <c r="P100" s="36">
        <f>IFERROR(INDEX('7_UK_Beta_Input'!$D$49:$D$122,MATCH($D100,'7_UK_Beta_Input'!$A$49:$A$122,0)),"")</f>
        <v/>
      </c>
      <c r="Q100" s="36">
        <f>IFERROR(INDEX('7_UK_Beta_Input'!$D$20:$D$44,MATCH($E100,'7_UK_Beta_Input'!$A$20:$A$44,0)),"")</f>
        <v/>
      </c>
      <c r="R100" s="36">
        <f>IFERROR(INDEX('7_UK_Beta_Input'!$D$5:$D$15,MATCH($C100,'7_UK_Beta_Input'!$A$5:$A$15,0)),"")</f>
        <v/>
      </c>
      <c r="S100" s="22">
        <f>IF(O100&lt;&gt;"",O100*'6_Credit_Bridge_Assumptions'!$B$8,IF(P100&lt;&gt;"",P100*'6_Credit_Bridge_Assumptions'!$B$8,IF(Q100&lt;&gt;"",Q100*'6_Credit_Bridge_Assumptions'!$B$8,IF(R100&lt;&gt;"",R100*'6_Credit_Bridge_Assumptions'!$B$8,""))))</f>
        <v/>
      </c>
      <c r="T100" s="22">
        <f>IF(N100&lt;&gt;"",N100,S100)</f>
        <v/>
      </c>
    </row>
    <row r="101">
      <c r="A101" s="6" t="n">
        <v>35202010</v>
      </c>
      <c r="B101" s="6" t="inlineStr">
        <is>
          <t>Pharmaceuticals</t>
        </is>
      </c>
      <c r="C101" s="6" t="n">
        <v>35</v>
      </c>
      <c r="D101" s="6" t="n">
        <v>352020</v>
      </c>
      <c r="E101" s="6" t="n">
        <v>3520</v>
      </c>
      <c r="F101" s="39">
        <f>IFERROR(INDEX('9_UK_Vol_Input'!$D$127:$D$289,MATCH($A101,'9_UK_Vol_Input'!$A$127:$A$289,0)),"")</f>
        <v/>
      </c>
      <c r="G101" s="40">
        <f>IFERROR(INDEX('9_UK_Vol_Input'!$E$127:$E$289,MATCH($A101,'9_UK_Vol_Input'!$A$127:$A$289,0)),"")</f>
        <v/>
      </c>
      <c r="H101" s="39">
        <f>IFERROR(INDEX('9_UK_Vol_Input'!$D$49:$D$122,MATCH($D101,'9_UK_Vol_Input'!$A$49:$A$122,0)),"")</f>
        <v/>
      </c>
      <c r="I101" s="40">
        <f>IFERROR(INDEX('9_UK_Vol_Input'!$E$49:$E$122,MATCH($D101,'9_UK_Vol_Input'!$A$49:$A$122,0)),"")</f>
        <v/>
      </c>
      <c r="J101" s="39">
        <f>IFERROR(INDEX('9_UK_Vol_Input'!$D$20:$D$44,MATCH($E101,'9_UK_Vol_Input'!$A$20:$A$44,0)),"")</f>
        <v/>
      </c>
      <c r="K101" s="40">
        <f>IFERROR(INDEX('9_UK_Vol_Input'!$E$20:$E$44,MATCH($E101,'9_UK_Vol_Input'!$A$20:$A$44,0)),"")</f>
        <v/>
      </c>
      <c r="L101" s="39">
        <f>IFERROR(INDEX('9_UK_Vol_Input'!$D$5:$D$15,MATCH($C101,'9_UK_Vol_Input'!$A$5:$A$15,0)),"")</f>
        <v/>
      </c>
      <c r="M101" s="40">
        <f>IFERROR(INDEX('9_UK_Vol_Input'!$E$5:$E$15,MATCH($C101,'9_UK_Vol_Input'!$A$5:$A$15,0)),"")</f>
        <v/>
      </c>
      <c r="N101" s="22">
        <f>IF(F101&lt;&gt;"",F101/(1+G101),IF(H101&lt;&gt;"",H101/(1+I101),IF(J101&lt;&gt;"",J101/(1+K101),IF(L101&lt;&gt;"",L101/(1+M101),""))))</f>
        <v/>
      </c>
      <c r="O101" s="36">
        <f>IFERROR(INDEX('7_UK_Beta_Input'!$D$127:$D$289,MATCH($A101,'7_UK_Beta_Input'!$A$127:$A$289,0)),"")</f>
        <v/>
      </c>
      <c r="P101" s="36">
        <f>IFERROR(INDEX('7_UK_Beta_Input'!$D$49:$D$122,MATCH($D101,'7_UK_Beta_Input'!$A$49:$A$122,0)),"")</f>
        <v/>
      </c>
      <c r="Q101" s="36">
        <f>IFERROR(INDEX('7_UK_Beta_Input'!$D$20:$D$44,MATCH($E101,'7_UK_Beta_Input'!$A$20:$A$44,0)),"")</f>
        <v/>
      </c>
      <c r="R101" s="36">
        <f>IFERROR(INDEX('7_UK_Beta_Input'!$D$5:$D$15,MATCH($C101,'7_UK_Beta_Input'!$A$5:$A$15,0)),"")</f>
        <v/>
      </c>
      <c r="S101" s="22">
        <f>IF(O101&lt;&gt;"",O101*'6_Credit_Bridge_Assumptions'!$B$8,IF(P101&lt;&gt;"",P101*'6_Credit_Bridge_Assumptions'!$B$8,IF(Q101&lt;&gt;"",Q101*'6_Credit_Bridge_Assumptions'!$B$8,IF(R101&lt;&gt;"",R101*'6_Credit_Bridge_Assumptions'!$B$8,""))))</f>
        <v/>
      </c>
      <c r="T101" s="22">
        <f>IF(N101&lt;&gt;"",N101,S101)</f>
        <v/>
      </c>
    </row>
    <row r="102">
      <c r="A102" s="6" t="n">
        <v>35203010</v>
      </c>
      <c r="B102" s="6" t="inlineStr">
        <is>
          <t>Life Sciences Tools &amp; Services</t>
        </is>
      </c>
      <c r="C102" s="6" t="n">
        <v>35</v>
      </c>
      <c r="D102" s="6" t="n">
        <v>352030</v>
      </c>
      <c r="E102" s="6" t="n">
        <v>3520</v>
      </c>
      <c r="F102" s="39">
        <f>IFERROR(INDEX('9_UK_Vol_Input'!$D$127:$D$289,MATCH($A102,'9_UK_Vol_Input'!$A$127:$A$289,0)),"")</f>
        <v/>
      </c>
      <c r="G102" s="40">
        <f>IFERROR(INDEX('9_UK_Vol_Input'!$E$127:$E$289,MATCH($A102,'9_UK_Vol_Input'!$A$127:$A$289,0)),"")</f>
        <v/>
      </c>
      <c r="H102" s="39">
        <f>IFERROR(INDEX('9_UK_Vol_Input'!$D$49:$D$122,MATCH($D102,'9_UK_Vol_Input'!$A$49:$A$122,0)),"")</f>
        <v/>
      </c>
      <c r="I102" s="40">
        <f>IFERROR(INDEX('9_UK_Vol_Input'!$E$49:$E$122,MATCH($D102,'9_UK_Vol_Input'!$A$49:$A$122,0)),"")</f>
        <v/>
      </c>
      <c r="J102" s="39">
        <f>IFERROR(INDEX('9_UK_Vol_Input'!$D$20:$D$44,MATCH($E102,'9_UK_Vol_Input'!$A$20:$A$44,0)),"")</f>
        <v/>
      </c>
      <c r="K102" s="40">
        <f>IFERROR(INDEX('9_UK_Vol_Input'!$E$20:$E$44,MATCH($E102,'9_UK_Vol_Input'!$A$20:$A$44,0)),"")</f>
        <v/>
      </c>
      <c r="L102" s="39">
        <f>IFERROR(INDEX('9_UK_Vol_Input'!$D$5:$D$15,MATCH($C102,'9_UK_Vol_Input'!$A$5:$A$15,0)),"")</f>
        <v/>
      </c>
      <c r="M102" s="40">
        <f>IFERROR(INDEX('9_UK_Vol_Input'!$E$5:$E$15,MATCH($C102,'9_UK_Vol_Input'!$A$5:$A$15,0)),"")</f>
        <v/>
      </c>
      <c r="N102" s="22">
        <f>IF(F102&lt;&gt;"",F102/(1+G102),IF(H102&lt;&gt;"",H102/(1+I102),IF(J102&lt;&gt;"",J102/(1+K102),IF(L102&lt;&gt;"",L102/(1+M102),""))))</f>
        <v/>
      </c>
      <c r="O102" s="36">
        <f>IFERROR(INDEX('7_UK_Beta_Input'!$D$127:$D$289,MATCH($A102,'7_UK_Beta_Input'!$A$127:$A$289,0)),"")</f>
        <v/>
      </c>
      <c r="P102" s="36">
        <f>IFERROR(INDEX('7_UK_Beta_Input'!$D$49:$D$122,MATCH($D102,'7_UK_Beta_Input'!$A$49:$A$122,0)),"")</f>
        <v/>
      </c>
      <c r="Q102" s="36">
        <f>IFERROR(INDEX('7_UK_Beta_Input'!$D$20:$D$44,MATCH($E102,'7_UK_Beta_Input'!$A$20:$A$44,0)),"")</f>
        <v/>
      </c>
      <c r="R102" s="36">
        <f>IFERROR(INDEX('7_UK_Beta_Input'!$D$5:$D$15,MATCH($C102,'7_UK_Beta_Input'!$A$5:$A$15,0)),"")</f>
        <v/>
      </c>
      <c r="S102" s="22">
        <f>IF(O102&lt;&gt;"",O102*'6_Credit_Bridge_Assumptions'!$B$8,IF(P102&lt;&gt;"",P102*'6_Credit_Bridge_Assumptions'!$B$8,IF(Q102&lt;&gt;"",Q102*'6_Credit_Bridge_Assumptions'!$B$8,IF(R102&lt;&gt;"",R102*'6_Credit_Bridge_Assumptions'!$B$8,""))))</f>
        <v/>
      </c>
      <c r="T102" s="22">
        <f>IF(N102&lt;&gt;"",N102,S102)</f>
        <v/>
      </c>
    </row>
    <row r="103">
      <c r="A103" s="6" t="n">
        <v>40101010</v>
      </c>
      <c r="B103" s="6" t="inlineStr">
        <is>
          <t>Diversified Banks</t>
        </is>
      </c>
      <c r="C103" s="6" t="n">
        <v>40</v>
      </c>
      <c r="D103" s="6" t="n">
        <v>401010</v>
      </c>
      <c r="E103" s="6" t="n">
        <v>4010</v>
      </c>
      <c r="F103" s="39">
        <f>IFERROR(INDEX('9_UK_Vol_Input'!$D$127:$D$289,MATCH($A103,'9_UK_Vol_Input'!$A$127:$A$289,0)),"")</f>
        <v/>
      </c>
      <c r="G103" s="40">
        <f>IFERROR(INDEX('9_UK_Vol_Input'!$E$127:$E$289,MATCH($A103,'9_UK_Vol_Input'!$A$127:$A$289,0)),"")</f>
        <v/>
      </c>
      <c r="H103" s="39">
        <f>IFERROR(INDEX('9_UK_Vol_Input'!$D$49:$D$122,MATCH($D103,'9_UK_Vol_Input'!$A$49:$A$122,0)),"")</f>
        <v/>
      </c>
      <c r="I103" s="40">
        <f>IFERROR(INDEX('9_UK_Vol_Input'!$E$49:$E$122,MATCH($D103,'9_UK_Vol_Input'!$A$49:$A$122,0)),"")</f>
        <v/>
      </c>
      <c r="J103" s="39">
        <f>IFERROR(INDEX('9_UK_Vol_Input'!$D$20:$D$44,MATCH($E103,'9_UK_Vol_Input'!$A$20:$A$44,0)),"")</f>
        <v/>
      </c>
      <c r="K103" s="40">
        <f>IFERROR(INDEX('9_UK_Vol_Input'!$E$20:$E$44,MATCH($E103,'9_UK_Vol_Input'!$A$20:$A$44,0)),"")</f>
        <v/>
      </c>
      <c r="L103" s="39">
        <f>IFERROR(INDEX('9_UK_Vol_Input'!$D$5:$D$15,MATCH($C103,'9_UK_Vol_Input'!$A$5:$A$15,0)),"")</f>
        <v/>
      </c>
      <c r="M103" s="40">
        <f>IFERROR(INDEX('9_UK_Vol_Input'!$E$5:$E$15,MATCH($C103,'9_UK_Vol_Input'!$A$5:$A$15,0)),"")</f>
        <v/>
      </c>
      <c r="N103" s="22">
        <f>IF(F103&lt;&gt;"",F103/(1+G103),IF(H103&lt;&gt;"",H103/(1+I103),IF(J103&lt;&gt;"",J103/(1+K103),IF(L103&lt;&gt;"",L103/(1+M103),""))))</f>
        <v/>
      </c>
      <c r="O103" s="36">
        <f>IFERROR(INDEX('7_UK_Beta_Input'!$D$127:$D$289,MATCH($A103,'7_UK_Beta_Input'!$A$127:$A$289,0)),"")</f>
        <v/>
      </c>
      <c r="P103" s="36">
        <f>IFERROR(INDEX('7_UK_Beta_Input'!$D$49:$D$122,MATCH($D103,'7_UK_Beta_Input'!$A$49:$A$122,0)),"")</f>
        <v/>
      </c>
      <c r="Q103" s="36">
        <f>IFERROR(INDEX('7_UK_Beta_Input'!$D$20:$D$44,MATCH($E103,'7_UK_Beta_Input'!$A$20:$A$44,0)),"")</f>
        <v/>
      </c>
      <c r="R103" s="36">
        <f>IFERROR(INDEX('7_UK_Beta_Input'!$D$5:$D$15,MATCH($C103,'7_UK_Beta_Input'!$A$5:$A$15,0)),"")</f>
        <v/>
      </c>
      <c r="S103" s="22">
        <f>IF(O103&lt;&gt;"",O103*'6_Credit_Bridge_Assumptions'!$B$8,IF(P103&lt;&gt;"",P103*'6_Credit_Bridge_Assumptions'!$B$8,IF(Q103&lt;&gt;"",Q103*'6_Credit_Bridge_Assumptions'!$B$8,IF(R103&lt;&gt;"",R103*'6_Credit_Bridge_Assumptions'!$B$8,""))))</f>
        <v/>
      </c>
      <c r="T103" s="22">
        <f>IF(N103&lt;&gt;"",N103,S103)</f>
        <v/>
      </c>
    </row>
    <row r="104">
      <c r="A104" s="6" t="n">
        <v>40101015</v>
      </c>
      <c r="B104" s="6" t="inlineStr">
        <is>
          <t>Regional Banks</t>
        </is>
      </c>
      <c r="C104" s="6" t="n">
        <v>40</v>
      </c>
      <c r="D104" s="6" t="n">
        <v>401010</v>
      </c>
      <c r="E104" s="6" t="n">
        <v>4010</v>
      </c>
      <c r="F104" s="39">
        <f>IFERROR(INDEX('9_UK_Vol_Input'!$D$127:$D$289,MATCH($A104,'9_UK_Vol_Input'!$A$127:$A$289,0)),"")</f>
        <v/>
      </c>
      <c r="G104" s="40">
        <f>IFERROR(INDEX('9_UK_Vol_Input'!$E$127:$E$289,MATCH($A104,'9_UK_Vol_Input'!$A$127:$A$289,0)),"")</f>
        <v/>
      </c>
      <c r="H104" s="39">
        <f>IFERROR(INDEX('9_UK_Vol_Input'!$D$49:$D$122,MATCH($D104,'9_UK_Vol_Input'!$A$49:$A$122,0)),"")</f>
        <v/>
      </c>
      <c r="I104" s="40">
        <f>IFERROR(INDEX('9_UK_Vol_Input'!$E$49:$E$122,MATCH($D104,'9_UK_Vol_Input'!$A$49:$A$122,0)),"")</f>
        <v/>
      </c>
      <c r="J104" s="39">
        <f>IFERROR(INDEX('9_UK_Vol_Input'!$D$20:$D$44,MATCH($E104,'9_UK_Vol_Input'!$A$20:$A$44,0)),"")</f>
        <v/>
      </c>
      <c r="K104" s="40">
        <f>IFERROR(INDEX('9_UK_Vol_Input'!$E$20:$E$44,MATCH($E104,'9_UK_Vol_Input'!$A$20:$A$44,0)),"")</f>
        <v/>
      </c>
      <c r="L104" s="39">
        <f>IFERROR(INDEX('9_UK_Vol_Input'!$D$5:$D$15,MATCH($C104,'9_UK_Vol_Input'!$A$5:$A$15,0)),"")</f>
        <v/>
      </c>
      <c r="M104" s="40">
        <f>IFERROR(INDEX('9_UK_Vol_Input'!$E$5:$E$15,MATCH($C104,'9_UK_Vol_Input'!$A$5:$A$15,0)),"")</f>
        <v/>
      </c>
      <c r="N104" s="22">
        <f>IF(F104&lt;&gt;"",F104/(1+G104),IF(H104&lt;&gt;"",H104/(1+I104),IF(J104&lt;&gt;"",J104/(1+K104),IF(L104&lt;&gt;"",L104/(1+M104),""))))</f>
        <v/>
      </c>
      <c r="O104" s="36">
        <f>IFERROR(INDEX('7_UK_Beta_Input'!$D$127:$D$289,MATCH($A104,'7_UK_Beta_Input'!$A$127:$A$289,0)),"")</f>
        <v/>
      </c>
      <c r="P104" s="36">
        <f>IFERROR(INDEX('7_UK_Beta_Input'!$D$49:$D$122,MATCH($D104,'7_UK_Beta_Input'!$A$49:$A$122,0)),"")</f>
        <v/>
      </c>
      <c r="Q104" s="36">
        <f>IFERROR(INDEX('7_UK_Beta_Input'!$D$20:$D$44,MATCH($E104,'7_UK_Beta_Input'!$A$20:$A$44,0)),"")</f>
        <v/>
      </c>
      <c r="R104" s="36">
        <f>IFERROR(INDEX('7_UK_Beta_Input'!$D$5:$D$15,MATCH($C104,'7_UK_Beta_Input'!$A$5:$A$15,0)),"")</f>
        <v/>
      </c>
      <c r="S104" s="22">
        <f>IF(O104&lt;&gt;"",O104*'6_Credit_Bridge_Assumptions'!$B$8,IF(P104&lt;&gt;"",P104*'6_Credit_Bridge_Assumptions'!$B$8,IF(Q104&lt;&gt;"",Q104*'6_Credit_Bridge_Assumptions'!$B$8,IF(R104&lt;&gt;"",R104*'6_Credit_Bridge_Assumptions'!$B$8,""))))</f>
        <v/>
      </c>
      <c r="T104" s="22">
        <f>IF(N104&lt;&gt;"",N104,S104)</f>
        <v/>
      </c>
    </row>
    <row r="105">
      <c r="A105" s="6" t="n">
        <v>40201020</v>
      </c>
      <c r="B105" s="6" t="inlineStr">
        <is>
          <t>Diversified Financial Services</t>
        </is>
      </c>
      <c r="C105" s="6" t="n">
        <v>40</v>
      </c>
      <c r="D105" s="6" t="n">
        <v>402010</v>
      </c>
      <c r="E105" s="6" t="n">
        <v>4020</v>
      </c>
      <c r="F105" s="39">
        <f>IFERROR(INDEX('9_UK_Vol_Input'!$D$127:$D$289,MATCH($A105,'9_UK_Vol_Input'!$A$127:$A$289,0)),"")</f>
        <v/>
      </c>
      <c r="G105" s="40">
        <f>IFERROR(INDEX('9_UK_Vol_Input'!$E$127:$E$289,MATCH($A105,'9_UK_Vol_Input'!$A$127:$A$289,0)),"")</f>
        <v/>
      </c>
      <c r="H105" s="39">
        <f>IFERROR(INDEX('9_UK_Vol_Input'!$D$49:$D$122,MATCH($D105,'9_UK_Vol_Input'!$A$49:$A$122,0)),"")</f>
        <v/>
      </c>
      <c r="I105" s="40">
        <f>IFERROR(INDEX('9_UK_Vol_Input'!$E$49:$E$122,MATCH($D105,'9_UK_Vol_Input'!$A$49:$A$122,0)),"")</f>
        <v/>
      </c>
      <c r="J105" s="39">
        <f>IFERROR(INDEX('9_UK_Vol_Input'!$D$20:$D$44,MATCH($E105,'9_UK_Vol_Input'!$A$20:$A$44,0)),"")</f>
        <v/>
      </c>
      <c r="K105" s="40">
        <f>IFERROR(INDEX('9_UK_Vol_Input'!$E$20:$E$44,MATCH($E105,'9_UK_Vol_Input'!$A$20:$A$44,0)),"")</f>
        <v/>
      </c>
      <c r="L105" s="39">
        <f>IFERROR(INDEX('9_UK_Vol_Input'!$D$5:$D$15,MATCH($C105,'9_UK_Vol_Input'!$A$5:$A$15,0)),"")</f>
        <v/>
      </c>
      <c r="M105" s="40">
        <f>IFERROR(INDEX('9_UK_Vol_Input'!$E$5:$E$15,MATCH($C105,'9_UK_Vol_Input'!$A$5:$A$15,0)),"")</f>
        <v/>
      </c>
      <c r="N105" s="22">
        <f>IF(F105&lt;&gt;"",F105/(1+G105),IF(H105&lt;&gt;"",H105/(1+I105),IF(J105&lt;&gt;"",J105/(1+K105),IF(L105&lt;&gt;"",L105/(1+M105),""))))</f>
        <v/>
      </c>
      <c r="O105" s="36">
        <f>IFERROR(INDEX('7_UK_Beta_Input'!$D$127:$D$289,MATCH($A105,'7_UK_Beta_Input'!$A$127:$A$289,0)),"")</f>
        <v/>
      </c>
      <c r="P105" s="36">
        <f>IFERROR(INDEX('7_UK_Beta_Input'!$D$49:$D$122,MATCH($D105,'7_UK_Beta_Input'!$A$49:$A$122,0)),"")</f>
        <v/>
      </c>
      <c r="Q105" s="36">
        <f>IFERROR(INDEX('7_UK_Beta_Input'!$D$20:$D$44,MATCH($E105,'7_UK_Beta_Input'!$A$20:$A$44,0)),"")</f>
        <v/>
      </c>
      <c r="R105" s="36">
        <f>IFERROR(INDEX('7_UK_Beta_Input'!$D$5:$D$15,MATCH($C105,'7_UK_Beta_Input'!$A$5:$A$15,0)),"")</f>
        <v/>
      </c>
      <c r="S105" s="22">
        <f>IF(O105&lt;&gt;"",O105*'6_Credit_Bridge_Assumptions'!$B$8,IF(P105&lt;&gt;"",P105*'6_Credit_Bridge_Assumptions'!$B$8,IF(Q105&lt;&gt;"",Q105*'6_Credit_Bridge_Assumptions'!$B$8,IF(R105&lt;&gt;"",R105*'6_Credit_Bridge_Assumptions'!$B$8,""))))</f>
        <v/>
      </c>
      <c r="T105" s="22">
        <f>IF(N105&lt;&gt;"",N105,S105)</f>
        <v/>
      </c>
    </row>
    <row r="106">
      <c r="A106" s="6" t="n">
        <v>40201030</v>
      </c>
      <c r="B106" s="6" t="inlineStr">
        <is>
          <t>Multi-Sector Holdings</t>
        </is>
      </c>
      <c r="C106" s="6" t="n">
        <v>40</v>
      </c>
      <c r="D106" s="6" t="n">
        <v>402010</v>
      </c>
      <c r="E106" s="6" t="n">
        <v>4020</v>
      </c>
      <c r="F106" s="39">
        <f>IFERROR(INDEX('9_UK_Vol_Input'!$D$127:$D$289,MATCH($A106,'9_UK_Vol_Input'!$A$127:$A$289,0)),"")</f>
        <v/>
      </c>
      <c r="G106" s="40">
        <f>IFERROR(INDEX('9_UK_Vol_Input'!$E$127:$E$289,MATCH($A106,'9_UK_Vol_Input'!$A$127:$A$289,0)),"")</f>
        <v/>
      </c>
      <c r="H106" s="39">
        <f>IFERROR(INDEX('9_UK_Vol_Input'!$D$49:$D$122,MATCH($D106,'9_UK_Vol_Input'!$A$49:$A$122,0)),"")</f>
        <v/>
      </c>
      <c r="I106" s="40">
        <f>IFERROR(INDEX('9_UK_Vol_Input'!$E$49:$E$122,MATCH($D106,'9_UK_Vol_Input'!$A$49:$A$122,0)),"")</f>
        <v/>
      </c>
      <c r="J106" s="39">
        <f>IFERROR(INDEX('9_UK_Vol_Input'!$D$20:$D$44,MATCH($E106,'9_UK_Vol_Input'!$A$20:$A$44,0)),"")</f>
        <v/>
      </c>
      <c r="K106" s="40">
        <f>IFERROR(INDEX('9_UK_Vol_Input'!$E$20:$E$44,MATCH($E106,'9_UK_Vol_Input'!$A$20:$A$44,0)),"")</f>
        <v/>
      </c>
      <c r="L106" s="39">
        <f>IFERROR(INDEX('9_UK_Vol_Input'!$D$5:$D$15,MATCH($C106,'9_UK_Vol_Input'!$A$5:$A$15,0)),"")</f>
        <v/>
      </c>
      <c r="M106" s="40">
        <f>IFERROR(INDEX('9_UK_Vol_Input'!$E$5:$E$15,MATCH($C106,'9_UK_Vol_Input'!$A$5:$A$15,0)),"")</f>
        <v/>
      </c>
      <c r="N106" s="22">
        <f>IF(F106&lt;&gt;"",F106/(1+G106),IF(H106&lt;&gt;"",H106/(1+I106),IF(J106&lt;&gt;"",J106/(1+K106),IF(L106&lt;&gt;"",L106/(1+M106),""))))</f>
        <v/>
      </c>
      <c r="O106" s="36">
        <f>IFERROR(INDEX('7_UK_Beta_Input'!$D$127:$D$289,MATCH($A106,'7_UK_Beta_Input'!$A$127:$A$289,0)),"")</f>
        <v/>
      </c>
      <c r="P106" s="36">
        <f>IFERROR(INDEX('7_UK_Beta_Input'!$D$49:$D$122,MATCH($D106,'7_UK_Beta_Input'!$A$49:$A$122,0)),"")</f>
        <v/>
      </c>
      <c r="Q106" s="36">
        <f>IFERROR(INDEX('7_UK_Beta_Input'!$D$20:$D$44,MATCH($E106,'7_UK_Beta_Input'!$A$20:$A$44,0)),"")</f>
        <v/>
      </c>
      <c r="R106" s="36">
        <f>IFERROR(INDEX('7_UK_Beta_Input'!$D$5:$D$15,MATCH($C106,'7_UK_Beta_Input'!$A$5:$A$15,0)),"")</f>
        <v/>
      </c>
      <c r="S106" s="22">
        <f>IF(O106&lt;&gt;"",O106*'6_Credit_Bridge_Assumptions'!$B$8,IF(P106&lt;&gt;"",P106*'6_Credit_Bridge_Assumptions'!$B$8,IF(Q106&lt;&gt;"",Q106*'6_Credit_Bridge_Assumptions'!$B$8,IF(R106&lt;&gt;"",R106*'6_Credit_Bridge_Assumptions'!$B$8,""))))</f>
        <v/>
      </c>
      <c r="T106" s="22">
        <f>IF(N106&lt;&gt;"",N106,S106)</f>
        <v/>
      </c>
    </row>
    <row r="107">
      <c r="A107" s="6" t="n">
        <v>40201040</v>
      </c>
      <c r="B107" s="6" t="inlineStr">
        <is>
          <t>Specialized Finance</t>
        </is>
      </c>
      <c r="C107" s="6" t="n">
        <v>40</v>
      </c>
      <c r="D107" s="6" t="n">
        <v>402010</v>
      </c>
      <c r="E107" s="6" t="n">
        <v>4020</v>
      </c>
      <c r="F107" s="39">
        <f>IFERROR(INDEX('9_UK_Vol_Input'!$D$127:$D$289,MATCH($A107,'9_UK_Vol_Input'!$A$127:$A$289,0)),"")</f>
        <v/>
      </c>
      <c r="G107" s="40">
        <f>IFERROR(INDEX('9_UK_Vol_Input'!$E$127:$E$289,MATCH($A107,'9_UK_Vol_Input'!$A$127:$A$289,0)),"")</f>
        <v/>
      </c>
      <c r="H107" s="39">
        <f>IFERROR(INDEX('9_UK_Vol_Input'!$D$49:$D$122,MATCH($D107,'9_UK_Vol_Input'!$A$49:$A$122,0)),"")</f>
        <v/>
      </c>
      <c r="I107" s="40">
        <f>IFERROR(INDEX('9_UK_Vol_Input'!$E$49:$E$122,MATCH($D107,'9_UK_Vol_Input'!$A$49:$A$122,0)),"")</f>
        <v/>
      </c>
      <c r="J107" s="39">
        <f>IFERROR(INDEX('9_UK_Vol_Input'!$D$20:$D$44,MATCH($E107,'9_UK_Vol_Input'!$A$20:$A$44,0)),"")</f>
        <v/>
      </c>
      <c r="K107" s="40">
        <f>IFERROR(INDEX('9_UK_Vol_Input'!$E$20:$E$44,MATCH($E107,'9_UK_Vol_Input'!$A$20:$A$44,0)),"")</f>
        <v/>
      </c>
      <c r="L107" s="39">
        <f>IFERROR(INDEX('9_UK_Vol_Input'!$D$5:$D$15,MATCH($C107,'9_UK_Vol_Input'!$A$5:$A$15,0)),"")</f>
        <v/>
      </c>
      <c r="M107" s="40">
        <f>IFERROR(INDEX('9_UK_Vol_Input'!$E$5:$E$15,MATCH($C107,'9_UK_Vol_Input'!$A$5:$A$15,0)),"")</f>
        <v/>
      </c>
      <c r="N107" s="22">
        <f>IF(F107&lt;&gt;"",F107/(1+G107),IF(H107&lt;&gt;"",H107/(1+I107),IF(J107&lt;&gt;"",J107/(1+K107),IF(L107&lt;&gt;"",L107/(1+M107),""))))</f>
        <v/>
      </c>
      <c r="O107" s="36">
        <f>IFERROR(INDEX('7_UK_Beta_Input'!$D$127:$D$289,MATCH($A107,'7_UK_Beta_Input'!$A$127:$A$289,0)),"")</f>
        <v/>
      </c>
      <c r="P107" s="36">
        <f>IFERROR(INDEX('7_UK_Beta_Input'!$D$49:$D$122,MATCH($D107,'7_UK_Beta_Input'!$A$49:$A$122,0)),"")</f>
        <v/>
      </c>
      <c r="Q107" s="36">
        <f>IFERROR(INDEX('7_UK_Beta_Input'!$D$20:$D$44,MATCH($E107,'7_UK_Beta_Input'!$A$20:$A$44,0)),"")</f>
        <v/>
      </c>
      <c r="R107" s="36">
        <f>IFERROR(INDEX('7_UK_Beta_Input'!$D$5:$D$15,MATCH($C107,'7_UK_Beta_Input'!$A$5:$A$15,0)),"")</f>
        <v/>
      </c>
      <c r="S107" s="22">
        <f>IF(O107&lt;&gt;"",O107*'6_Credit_Bridge_Assumptions'!$B$8,IF(P107&lt;&gt;"",P107*'6_Credit_Bridge_Assumptions'!$B$8,IF(Q107&lt;&gt;"",Q107*'6_Credit_Bridge_Assumptions'!$B$8,IF(R107&lt;&gt;"",R107*'6_Credit_Bridge_Assumptions'!$B$8,""))))</f>
        <v/>
      </c>
      <c r="T107" s="22">
        <f>IF(N107&lt;&gt;"",N107,S107)</f>
        <v/>
      </c>
    </row>
    <row r="108">
      <c r="A108" s="6" t="n">
        <v>40201050</v>
      </c>
      <c r="B108" s="6" t="inlineStr">
        <is>
          <t>Commercial &amp; Residential Mortgage Finance</t>
        </is>
      </c>
      <c r="C108" s="6" t="n">
        <v>40</v>
      </c>
      <c r="D108" s="6" t="n">
        <v>402010</v>
      </c>
      <c r="E108" s="6" t="n">
        <v>4020</v>
      </c>
      <c r="F108" s="39">
        <f>IFERROR(INDEX('9_UK_Vol_Input'!$D$127:$D$289,MATCH($A108,'9_UK_Vol_Input'!$A$127:$A$289,0)),"")</f>
        <v/>
      </c>
      <c r="G108" s="40">
        <f>IFERROR(INDEX('9_UK_Vol_Input'!$E$127:$E$289,MATCH($A108,'9_UK_Vol_Input'!$A$127:$A$289,0)),"")</f>
        <v/>
      </c>
      <c r="H108" s="39">
        <f>IFERROR(INDEX('9_UK_Vol_Input'!$D$49:$D$122,MATCH($D108,'9_UK_Vol_Input'!$A$49:$A$122,0)),"")</f>
        <v/>
      </c>
      <c r="I108" s="40">
        <f>IFERROR(INDEX('9_UK_Vol_Input'!$E$49:$E$122,MATCH($D108,'9_UK_Vol_Input'!$A$49:$A$122,0)),"")</f>
        <v/>
      </c>
      <c r="J108" s="39">
        <f>IFERROR(INDEX('9_UK_Vol_Input'!$D$20:$D$44,MATCH($E108,'9_UK_Vol_Input'!$A$20:$A$44,0)),"")</f>
        <v/>
      </c>
      <c r="K108" s="40">
        <f>IFERROR(INDEX('9_UK_Vol_Input'!$E$20:$E$44,MATCH($E108,'9_UK_Vol_Input'!$A$20:$A$44,0)),"")</f>
        <v/>
      </c>
      <c r="L108" s="39">
        <f>IFERROR(INDEX('9_UK_Vol_Input'!$D$5:$D$15,MATCH($C108,'9_UK_Vol_Input'!$A$5:$A$15,0)),"")</f>
        <v/>
      </c>
      <c r="M108" s="40">
        <f>IFERROR(INDEX('9_UK_Vol_Input'!$E$5:$E$15,MATCH($C108,'9_UK_Vol_Input'!$A$5:$A$15,0)),"")</f>
        <v/>
      </c>
      <c r="N108" s="22">
        <f>IF(F108&lt;&gt;"",F108/(1+G108),IF(H108&lt;&gt;"",H108/(1+I108),IF(J108&lt;&gt;"",J108/(1+K108),IF(L108&lt;&gt;"",L108/(1+M108),""))))</f>
        <v/>
      </c>
      <c r="O108" s="36">
        <f>IFERROR(INDEX('7_UK_Beta_Input'!$D$127:$D$289,MATCH($A108,'7_UK_Beta_Input'!$A$127:$A$289,0)),"")</f>
        <v/>
      </c>
      <c r="P108" s="36">
        <f>IFERROR(INDEX('7_UK_Beta_Input'!$D$49:$D$122,MATCH($D108,'7_UK_Beta_Input'!$A$49:$A$122,0)),"")</f>
        <v/>
      </c>
      <c r="Q108" s="36">
        <f>IFERROR(INDEX('7_UK_Beta_Input'!$D$20:$D$44,MATCH($E108,'7_UK_Beta_Input'!$A$20:$A$44,0)),"")</f>
        <v/>
      </c>
      <c r="R108" s="36">
        <f>IFERROR(INDEX('7_UK_Beta_Input'!$D$5:$D$15,MATCH($C108,'7_UK_Beta_Input'!$A$5:$A$15,0)),"")</f>
        <v/>
      </c>
      <c r="S108" s="22">
        <f>IF(O108&lt;&gt;"",O108*'6_Credit_Bridge_Assumptions'!$B$8,IF(P108&lt;&gt;"",P108*'6_Credit_Bridge_Assumptions'!$B$8,IF(Q108&lt;&gt;"",Q108*'6_Credit_Bridge_Assumptions'!$B$8,IF(R108&lt;&gt;"",R108*'6_Credit_Bridge_Assumptions'!$B$8,""))))</f>
        <v/>
      </c>
      <c r="T108" s="22">
        <f>IF(N108&lt;&gt;"",N108,S108)</f>
        <v/>
      </c>
    </row>
    <row r="109">
      <c r="A109" s="6" t="n">
        <v>40201060</v>
      </c>
      <c r="B109" s="6" t="inlineStr">
        <is>
          <t>Transaction &amp; Payment Processing Services</t>
        </is>
      </c>
      <c r="C109" s="6" t="n">
        <v>40</v>
      </c>
      <c r="D109" s="6" t="n">
        <v>402010</v>
      </c>
      <c r="E109" s="6" t="n">
        <v>4020</v>
      </c>
      <c r="F109" s="39">
        <f>IFERROR(INDEX('9_UK_Vol_Input'!$D$127:$D$289,MATCH($A109,'9_UK_Vol_Input'!$A$127:$A$289,0)),"")</f>
        <v/>
      </c>
      <c r="G109" s="40">
        <f>IFERROR(INDEX('9_UK_Vol_Input'!$E$127:$E$289,MATCH($A109,'9_UK_Vol_Input'!$A$127:$A$289,0)),"")</f>
        <v/>
      </c>
      <c r="H109" s="39">
        <f>IFERROR(INDEX('9_UK_Vol_Input'!$D$49:$D$122,MATCH($D109,'9_UK_Vol_Input'!$A$49:$A$122,0)),"")</f>
        <v/>
      </c>
      <c r="I109" s="40">
        <f>IFERROR(INDEX('9_UK_Vol_Input'!$E$49:$E$122,MATCH($D109,'9_UK_Vol_Input'!$A$49:$A$122,0)),"")</f>
        <v/>
      </c>
      <c r="J109" s="39">
        <f>IFERROR(INDEX('9_UK_Vol_Input'!$D$20:$D$44,MATCH($E109,'9_UK_Vol_Input'!$A$20:$A$44,0)),"")</f>
        <v/>
      </c>
      <c r="K109" s="40">
        <f>IFERROR(INDEX('9_UK_Vol_Input'!$E$20:$E$44,MATCH($E109,'9_UK_Vol_Input'!$A$20:$A$44,0)),"")</f>
        <v/>
      </c>
      <c r="L109" s="39">
        <f>IFERROR(INDEX('9_UK_Vol_Input'!$D$5:$D$15,MATCH($C109,'9_UK_Vol_Input'!$A$5:$A$15,0)),"")</f>
        <v/>
      </c>
      <c r="M109" s="40">
        <f>IFERROR(INDEX('9_UK_Vol_Input'!$E$5:$E$15,MATCH($C109,'9_UK_Vol_Input'!$A$5:$A$15,0)),"")</f>
        <v/>
      </c>
      <c r="N109" s="22">
        <f>IF(F109&lt;&gt;"",F109/(1+G109),IF(H109&lt;&gt;"",H109/(1+I109),IF(J109&lt;&gt;"",J109/(1+K109),IF(L109&lt;&gt;"",L109/(1+M109),""))))</f>
        <v/>
      </c>
      <c r="O109" s="36">
        <f>IFERROR(INDEX('7_UK_Beta_Input'!$D$127:$D$289,MATCH($A109,'7_UK_Beta_Input'!$A$127:$A$289,0)),"")</f>
        <v/>
      </c>
      <c r="P109" s="36">
        <f>IFERROR(INDEX('7_UK_Beta_Input'!$D$49:$D$122,MATCH($D109,'7_UK_Beta_Input'!$A$49:$A$122,0)),"")</f>
        <v/>
      </c>
      <c r="Q109" s="36">
        <f>IFERROR(INDEX('7_UK_Beta_Input'!$D$20:$D$44,MATCH($E109,'7_UK_Beta_Input'!$A$20:$A$44,0)),"")</f>
        <v/>
      </c>
      <c r="R109" s="36">
        <f>IFERROR(INDEX('7_UK_Beta_Input'!$D$5:$D$15,MATCH($C109,'7_UK_Beta_Input'!$A$5:$A$15,0)),"")</f>
        <v/>
      </c>
      <c r="S109" s="22">
        <f>IF(O109&lt;&gt;"",O109*'6_Credit_Bridge_Assumptions'!$B$8,IF(P109&lt;&gt;"",P109*'6_Credit_Bridge_Assumptions'!$B$8,IF(Q109&lt;&gt;"",Q109*'6_Credit_Bridge_Assumptions'!$B$8,IF(R109&lt;&gt;"",R109*'6_Credit_Bridge_Assumptions'!$B$8,""))))</f>
        <v/>
      </c>
      <c r="T109" s="22">
        <f>IF(N109&lt;&gt;"",N109,S109)</f>
        <v/>
      </c>
    </row>
    <row r="110">
      <c r="A110" s="6" t="n">
        <v>40202010</v>
      </c>
      <c r="B110" s="6" t="inlineStr">
        <is>
          <t>Consumer Finance</t>
        </is>
      </c>
      <c r="C110" s="6" t="n">
        <v>40</v>
      </c>
      <c r="D110" s="6" t="n">
        <v>402020</v>
      </c>
      <c r="E110" s="6" t="n">
        <v>4020</v>
      </c>
      <c r="F110" s="39">
        <f>IFERROR(INDEX('9_UK_Vol_Input'!$D$127:$D$289,MATCH($A110,'9_UK_Vol_Input'!$A$127:$A$289,0)),"")</f>
        <v/>
      </c>
      <c r="G110" s="40">
        <f>IFERROR(INDEX('9_UK_Vol_Input'!$E$127:$E$289,MATCH($A110,'9_UK_Vol_Input'!$A$127:$A$289,0)),"")</f>
        <v/>
      </c>
      <c r="H110" s="39">
        <f>IFERROR(INDEX('9_UK_Vol_Input'!$D$49:$D$122,MATCH($D110,'9_UK_Vol_Input'!$A$49:$A$122,0)),"")</f>
        <v/>
      </c>
      <c r="I110" s="40">
        <f>IFERROR(INDEX('9_UK_Vol_Input'!$E$49:$E$122,MATCH($D110,'9_UK_Vol_Input'!$A$49:$A$122,0)),"")</f>
        <v/>
      </c>
      <c r="J110" s="39">
        <f>IFERROR(INDEX('9_UK_Vol_Input'!$D$20:$D$44,MATCH($E110,'9_UK_Vol_Input'!$A$20:$A$44,0)),"")</f>
        <v/>
      </c>
      <c r="K110" s="40">
        <f>IFERROR(INDEX('9_UK_Vol_Input'!$E$20:$E$44,MATCH($E110,'9_UK_Vol_Input'!$A$20:$A$44,0)),"")</f>
        <v/>
      </c>
      <c r="L110" s="39">
        <f>IFERROR(INDEX('9_UK_Vol_Input'!$D$5:$D$15,MATCH($C110,'9_UK_Vol_Input'!$A$5:$A$15,0)),"")</f>
        <v/>
      </c>
      <c r="M110" s="40">
        <f>IFERROR(INDEX('9_UK_Vol_Input'!$E$5:$E$15,MATCH($C110,'9_UK_Vol_Input'!$A$5:$A$15,0)),"")</f>
        <v/>
      </c>
      <c r="N110" s="22">
        <f>IF(F110&lt;&gt;"",F110/(1+G110),IF(H110&lt;&gt;"",H110/(1+I110),IF(J110&lt;&gt;"",J110/(1+K110),IF(L110&lt;&gt;"",L110/(1+M110),""))))</f>
        <v/>
      </c>
      <c r="O110" s="36">
        <f>IFERROR(INDEX('7_UK_Beta_Input'!$D$127:$D$289,MATCH($A110,'7_UK_Beta_Input'!$A$127:$A$289,0)),"")</f>
        <v/>
      </c>
      <c r="P110" s="36">
        <f>IFERROR(INDEX('7_UK_Beta_Input'!$D$49:$D$122,MATCH($D110,'7_UK_Beta_Input'!$A$49:$A$122,0)),"")</f>
        <v/>
      </c>
      <c r="Q110" s="36">
        <f>IFERROR(INDEX('7_UK_Beta_Input'!$D$20:$D$44,MATCH($E110,'7_UK_Beta_Input'!$A$20:$A$44,0)),"")</f>
        <v/>
      </c>
      <c r="R110" s="36">
        <f>IFERROR(INDEX('7_UK_Beta_Input'!$D$5:$D$15,MATCH($C110,'7_UK_Beta_Input'!$A$5:$A$15,0)),"")</f>
        <v/>
      </c>
      <c r="S110" s="22">
        <f>IF(O110&lt;&gt;"",O110*'6_Credit_Bridge_Assumptions'!$B$8,IF(P110&lt;&gt;"",P110*'6_Credit_Bridge_Assumptions'!$B$8,IF(Q110&lt;&gt;"",Q110*'6_Credit_Bridge_Assumptions'!$B$8,IF(R110&lt;&gt;"",R110*'6_Credit_Bridge_Assumptions'!$B$8,""))))</f>
        <v/>
      </c>
      <c r="T110" s="22">
        <f>IF(N110&lt;&gt;"",N110,S110)</f>
        <v/>
      </c>
    </row>
    <row r="111">
      <c r="A111" s="6" t="n">
        <v>40203010</v>
      </c>
      <c r="B111" s="6" t="inlineStr">
        <is>
          <t>Asset Management &amp; Custody Banks</t>
        </is>
      </c>
      <c r="C111" s="6" t="n">
        <v>40</v>
      </c>
      <c r="D111" s="6" t="n">
        <v>402030</v>
      </c>
      <c r="E111" s="6" t="n">
        <v>4020</v>
      </c>
      <c r="F111" s="39">
        <f>IFERROR(INDEX('9_UK_Vol_Input'!$D$127:$D$289,MATCH($A111,'9_UK_Vol_Input'!$A$127:$A$289,0)),"")</f>
        <v/>
      </c>
      <c r="G111" s="40">
        <f>IFERROR(INDEX('9_UK_Vol_Input'!$E$127:$E$289,MATCH($A111,'9_UK_Vol_Input'!$A$127:$A$289,0)),"")</f>
        <v/>
      </c>
      <c r="H111" s="39">
        <f>IFERROR(INDEX('9_UK_Vol_Input'!$D$49:$D$122,MATCH($D111,'9_UK_Vol_Input'!$A$49:$A$122,0)),"")</f>
        <v/>
      </c>
      <c r="I111" s="40">
        <f>IFERROR(INDEX('9_UK_Vol_Input'!$E$49:$E$122,MATCH($D111,'9_UK_Vol_Input'!$A$49:$A$122,0)),"")</f>
        <v/>
      </c>
      <c r="J111" s="39">
        <f>IFERROR(INDEX('9_UK_Vol_Input'!$D$20:$D$44,MATCH($E111,'9_UK_Vol_Input'!$A$20:$A$44,0)),"")</f>
        <v/>
      </c>
      <c r="K111" s="40">
        <f>IFERROR(INDEX('9_UK_Vol_Input'!$E$20:$E$44,MATCH($E111,'9_UK_Vol_Input'!$A$20:$A$44,0)),"")</f>
        <v/>
      </c>
      <c r="L111" s="39">
        <f>IFERROR(INDEX('9_UK_Vol_Input'!$D$5:$D$15,MATCH($C111,'9_UK_Vol_Input'!$A$5:$A$15,0)),"")</f>
        <v/>
      </c>
      <c r="M111" s="40">
        <f>IFERROR(INDEX('9_UK_Vol_Input'!$E$5:$E$15,MATCH($C111,'9_UK_Vol_Input'!$A$5:$A$15,0)),"")</f>
        <v/>
      </c>
      <c r="N111" s="22">
        <f>IF(F111&lt;&gt;"",F111/(1+G111),IF(H111&lt;&gt;"",H111/(1+I111),IF(J111&lt;&gt;"",J111/(1+K111),IF(L111&lt;&gt;"",L111/(1+M111),""))))</f>
        <v/>
      </c>
      <c r="O111" s="36">
        <f>IFERROR(INDEX('7_UK_Beta_Input'!$D$127:$D$289,MATCH($A111,'7_UK_Beta_Input'!$A$127:$A$289,0)),"")</f>
        <v/>
      </c>
      <c r="P111" s="36">
        <f>IFERROR(INDEX('7_UK_Beta_Input'!$D$49:$D$122,MATCH($D111,'7_UK_Beta_Input'!$A$49:$A$122,0)),"")</f>
        <v/>
      </c>
      <c r="Q111" s="36">
        <f>IFERROR(INDEX('7_UK_Beta_Input'!$D$20:$D$44,MATCH($E111,'7_UK_Beta_Input'!$A$20:$A$44,0)),"")</f>
        <v/>
      </c>
      <c r="R111" s="36">
        <f>IFERROR(INDEX('7_UK_Beta_Input'!$D$5:$D$15,MATCH($C111,'7_UK_Beta_Input'!$A$5:$A$15,0)),"")</f>
        <v/>
      </c>
      <c r="S111" s="22">
        <f>IF(O111&lt;&gt;"",O111*'6_Credit_Bridge_Assumptions'!$B$8,IF(P111&lt;&gt;"",P111*'6_Credit_Bridge_Assumptions'!$B$8,IF(Q111&lt;&gt;"",Q111*'6_Credit_Bridge_Assumptions'!$B$8,IF(R111&lt;&gt;"",R111*'6_Credit_Bridge_Assumptions'!$B$8,""))))</f>
        <v/>
      </c>
      <c r="T111" s="22">
        <f>IF(N111&lt;&gt;"",N111,S111)</f>
        <v/>
      </c>
    </row>
    <row r="112">
      <c r="A112" s="6" t="n">
        <v>40203020</v>
      </c>
      <c r="B112" s="6" t="inlineStr">
        <is>
          <t>Investment Banking &amp; Brokerage</t>
        </is>
      </c>
      <c r="C112" s="6" t="n">
        <v>40</v>
      </c>
      <c r="D112" s="6" t="n">
        <v>402030</v>
      </c>
      <c r="E112" s="6" t="n">
        <v>4020</v>
      </c>
      <c r="F112" s="39">
        <f>IFERROR(INDEX('9_UK_Vol_Input'!$D$127:$D$289,MATCH($A112,'9_UK_Vol_Input'!$A$127:$A$289,0)),"")</f>
        <v/>
      </c>
      <c r="G112" s="40">
        <f>IFERROR(INDEX('9_UK_Vol_Input'!$E$127:$E$289,MATCH($A112,'9_UK_Vol_Input'!$A$127:$A$289,0)),"")</f>
        <v/>
      </c>
      <c r="H112" s="39">
        <f>IFERROR(INDEX('9_UK_Vol_Input'!$D$49:$D$122,MATCH($D112,'9_UK_Vol_Input'!$A$49:$A$122,0)),"")</f>
        <v/>
      </c>
      <c r="I112" s="40">
        <f>IFERROR(INDEX('9_UK_Vol_Input'!$E$49:$E$122,MATCH($D112,'9_UK_Vol_Input'!$A$49:$A$122,0)),"")</f>
        <v/>
      </c>
      <c r="J112" s="39">
        <f>IFERROR(INDEX('9_UK_Vol_Input'!$D$20:$D$44,MATCH($E112,'9_UK_Vol_Input'!$A$20:$A$44,0)),"")</f>
        <v/>
      </c>
      <c r="K112" s="40">
        <f>IFERROR(INDEX('9_UK_Vol_Input'!$E$20:$E$44,MATCH($E112,'9_UK_Vol_Input'!$A$20:$A$44,0)),"")</f>
        <v/>
      </c>
      <c r="L112" s="39">
        <f>IFERROR(INDEX('9_UK_Vol_Input'!$D$5:$D$15,MATCH($C112,'9_UK_Vol_Input'!$A$5:$A$15,0)),"")</f>
        <v/>
      </c>
      <c r="M112" s="40">
        <f>IFERROR(INDEX('9_UK_Vol_Input'!$E$5:$E$15,MATCH($C112,'9_UK_Vol_Input'!$A$5:$A$15,0)),"")</f>
        <v/>
      </c>
      <c r="N112" s="22">
        <f>IF(F112&lt;&gt;"",F112/(1+G112),IF(H112&lt;&gt;"",H112/(1+I112),IF(J112&lt;&gt;"",J112/(1+K112),IF(L112&lt;&gt;"",L112/(1+M112),""))))</f>
        <v/>
      </c>
      <c r="O112" s="36">
        <f>IFERROR(INDEX('7_UK_Beta_Input'!$D$127:$D$289,MATCH($A112,'7_UK_Beta_Input'!$A$127:$A$289,0)),"")</f>
        <v/>
      </c>
      <c r="P112" s="36">
        <f>IFERROR(INDEX('7_UK_Beta_Input'!$D$49:$D$122,MATCH($D112,'7_UK_Beta_Input'!$A$49:$A$122,0)),"")</f>
        <v/>
      </c>
      <c r="Q112" s="36">
        <f>IFERROR(INDEX('7_UK_Beta_Input'!$D$20:$D$44,MATCH($E112,'7_UK_Beta_Input'!$A$20:$A$44,0)),"")</f>
        <v/>
      </c>
      <c r="R112" s="36">
        <f>IFERROR(INDEX('7_UK_Beta_Input'!$D$5:$D$15,MATCH($C112,'7_UK_Beta_Input'!$A$5:$A$15,0)),"")</f>
        <v/>
      </c>
      <c r="S112" s="22">
        <f>IF(O112&lt;&gt;"",O112*'6_Credit_Bridge_Assumptions'!$B$8,IF(P112&lt;&gt;"",P112*'6_Credit_Bridge_Assumptions'!$B$8,IF(Q112&lt;&gt;"",Q112*'6_Credit_Bridge_Assumptions'!$B$8,IF(R112&lt;&gt;"",R112*'6_Credit_Bridge_Assumptions'!$B$8,""))))</f>
        <v/>
      </c>
      <c r="T112" s="22">
        <f>IF(N112&lt;&gt;"",N112,S112)</f>
        <v/>
      </c>
    </row>
    <row r="113">
      <c r="A113" s="6" t="n">
        <v>40203030</v>
      </c>
      <c r="B113" s="6" t="inlineStr">
        <is>
          <t>Diversified Capital Markets</t>
        </is>
      </c>
      <c r="C113" s="6" t="n">
        <v>40</v>
      </c>
      <c r="D113" s="6" t="n">
        <v>402030</v>
      </c>
      <c r="E113" s="6" t="n">
        <v>4020</v>
      </c>
      <c r="F113" s="39">
        <f>IFERROR(INDEX('9_UK_Vol_Input'!$D$127:$D$289,MATCH($A113,'9_UK_Vol_Input'!$A$127:$A$289,0)),"")</f>
        <v/>
      </c>
      <c r="G113" s="40">
        <f>IFERROR(INDEX('9_UK_Vol_Input'!$E$127:$E$289,MATCH($A113,'9_UK_Vol_Input'!$A$127:$A$289,0)),"")</f>
        <v/>
      </c>
      <c r="H113" s="39">
        <f>IFERROR(INDEX('9_UK_Vol_Input'!$D$49:$D$122,MATCH($D113,'9_UK_Vol_Input'!$A$49:$A$122,0)),"")</f>
        <v/>
      </c>
      <c r="I113" s="40">
        <f>IFERROR(INDEX('9_UK_Vol_Input'!$E$49:$E$122,MATCH($D113,'9_UK_Vol_Input'!$A$49:$A$122,0)),"")</f>
        <v/>
      </c>
      <c r="J113" s="39">
        <f>IFERROR(INDEX('9_UK_Vol_Input'!$D$20:$D$44,MATCH($E113,'9_UK_Vol_Input'!$A$20:$A$44,0)),"")</f>
        <v/>
      </c>
      <c r="K113" s="40">
        <f>IFERROR(INDEX('9_UK_Vol_Input'!$E$20:$E$44,MATCH($E113,'9_UK_Vol_Input'!$A$20:$A$44,0)),"")</f>
        <v/>
      </c>
      <c r="L113" s="39">
        <f>IFERROR(INDEX('9_UK_Vol_Input'!$D$5:$D$15,MATCH($C113,'9_UK_Vol_Input'!$A$5:$A$15,0)),"")</f>
        <v/>
      </c>
      <c r="M113" s="40">
        <f>IFERROR(INDEX('9_UK_Vol_Input'!$E$5:$E$15,MATCH($C113,'9_UK_Vol_Input'!$A$5:$A$15,0)),"")</f>
        <v/>
      </c>
      <c r="N113" s="22">
        <f>IF(F113&lt;&gt;"",F113/(1+G113),IF(H113&lt;&gt;"",H113/(1+I113),IF(J113&lt;&gt;"",J113/(1+K113),IF(L113&lt;&gt;"",L113/(1+M113),""))))</f>
        <v/>
      </c>
      <c r="O113" s="36">
        <f>IFERROR(INDEX('7_UK_Beta_Input'!$D$127:$D$289,MATCH($A113,'7_UK_Beta_Input'!$A$127:$A$289,0)),"")</f>
        <v/>
      </c>
      <c r="P113" s="36">
        <f>IFERROR(INDEX('7_UK_Beta_Input'!$D$49:$D$122,MATCH($D113,'7_UK_Beta_Input'!$A$49:$A$122,0)),"")</f>
        <v/>
      </c>
      <c r="Q113" s="36">
        <f>IFERROR(INDEX('7_UK_Beta_Input'!$D$20:$D$44,MATCH($E113,'7_UK_Beta_Input'!$A$20:$A$44,0)),"")</f>
        <v/>
      </c>
      <c r="R113" s="36">
        <f>IFERROR(INDEX('7_UK_Beta_Input'!$D$5:$D$15,MATCH($C113,'7_UK_Beta_Input'!$A$5:$A$15,0)),"")</f>
        <v/>
      </c>
      <c r="S113" s="22">
        <f>IF(O113&lt;&gt;"",O113*'6_Credit_Bridge_Assumptions'!$B$8,IF(P113&lt;&gt;"",P113*'6_Credit_Bridge_Assumptions'!$B$8,IF(Q113&lt;&gt;"",Q113*'6_Credit_Bridge_Assumptions'!$B$8,IF(R113&lt;&gt;"",R113*'6_Credit_Bridge_Assumptions'!$B$8,""))))</f>
        <v/>
      </c>
      <c r="T113" s="22">
        <f>IF(N113&lt;&gt;"",N113,S113)</f>
        <v/>
      </c>
    </row>
    <row r="114">
      <c r="A114" s="6" t="n">
        <v>40203040</v>
      </c>
      <c r="B114" s="6" t="inlineStr">
        <is>
          <t>Financial Exchanges &amp; Data</t>
        </is>
      </c>
      <c r="C114" s="6" t="n">
        <v>40</v>
      </c>
      <c r="D114" s="6" t="n">
        <v>402030</v>
      </c>
      <c r="E114" s="6" t="n">
        <v>4020</v>
      </c>
      <c r="F114" s="39">
        <f>IFERROR(INDEX('9_UK_Vol_Input'!$D$127:$D$289,MATCH($A114,'9_UK_Vol_Input'!$A$127:$A$289,0)),"")</f>
        <v/>
      </c>
      <c r="G114" s="40">
        <f>IFERROR(INDEX('9_UK_Vol_Input'!$E$127:$E$289,MATCH($A114,'9_UK_Vol_Input'!$A$127:$A$289,0)),"")</f>
        <v/>
      </c>
      <c r="H114" s="39">
        <f>IFERROR(INDEX('9_UK_Vol_Input'!$D$49:$D$122,MATCH($D114,'9_UK_Vol_Input'!$A$49:$A$122,0)),"")</f>
        <v/>
      </c>
      <c r="I114" s="40">
        <f>IFERROR(INDEX('9_UK_Vol_Input'!$E$49:$E$122,MATCH($D114,'9_UK_Vol_Input'!$A$49:$A$122,0)),"")</f>
        <v/>
      </c>
      <c r="J114" s="39">
        <f>IFERROR(INDEX('9_UK_Vol_Input'!$D$20:$D$44,MATCH($E114,'9_UK_Vol_Input'!$A$20:$A$44,0)),"")</f>
        <v/>
      </c>
      <c r="K114" s="40">
        <f>IFERROR(INDEX('9_UK_Vol_Input'!$E$20:$E$44,MATCH($E114,'9_UK_Vol_Input'!$A$20:$A$44,0)),"")</f>
        <v/>
      </c>
      <c r="L114" s="39">
        <f>IFERROR(INDEX('9_UK_Vol_Input'!$D$5:$D$15,MATCH($C114,'9_UK_Vol_Input'!$A$5:$A$15,0)),"")</f>
        <v/>
      </c>
      <c r="M114" s="40">
        <f>IFERROR(INDEX('9_UK_Vol_Input'!$E$5:$E$15,MATCH($C114,'9_UK_Vol_Input'!$A$5:$A$15,0)),"")</f>
        <v/>
      </c>
      <c r="N114" s="22">
        <f>IF(F114&lt;&gt;"",F114/(1+G114),IF(H114&lt;&gt;"",H114/(1+I114),IF(J114&lt;&gt;"",J114/(1+K114),IF(L114&lt;&gt;"",L114/(1+M114),""))))</f>
        <v/>
      </c>
      <c r="O114" s="36">
        <f>IFERROR(INDEX('7_UK_Beta_Input'!$D$127:$D$289,MATCH($A114,'7_UK_Beta_Input'!$A$127:$A$289,0)),"")</f>
        <v/>
      </c>
      <c r="P114" s="36">
        <f>IFERROR(INDEX('7_UK_Beta_Input'!$D$49:$D$122,MATCH($D114,'7_UK_Beta_Input'!$A$49:$A$122,0)),"")</f>
        <v/>
      </c>
      <c r="Q114" s="36">
        <f>IFERROR(INDEX('7_UK_Beta_Input'!$D$20:$D$44,MATCH($E114,'7_UK_Beta_Input'!$A$20:$A$44,0)),"")</f>
        <v/>
      </c>
      <c r="R114" s="36">
        <f>IFERROR(INDEX('7_UK_Beta_Input'!$D$5:$D$15,MATCH($C114,'7_UK_Beta_Input'!$A$5:$A$15,0)),"")</f>
        <v/>
      </c>
      <c r="S114" s="22">
        <f>IF(O114&lt;&gt;"",O114*'6_Credit_Bridge_Assumptions'!$B$8,IF(P114&lt;&gt;"",P114*'6_Credit_Bridge_Assumptions'!$B$8,IF(Q114&lt;&gt;"",Q114*'6_Credit_Bridge_Assumptions'!$B$8,IF(R114&lt;&gt;"",R114*'6_Credit_Bridge_Assumptions'!$B$8,""))))</f>
        <v/>
      </c>
      <c r="T114" s="22">
        <f>IF(N114&lt;&gt;"",N114,S114)</f>
        <v/>
      </c>
    </row>
    <row r="115">
      <c r="A115" s="6" t="n">
        <v>40204010</v>
      </c>
      <c r="B115" s="6" t="inlineStr">
        <is>
          <t>Mortgage REITs*</t>
        </is>
      </c>
      <c r="C115" s="6" t="n">
        <v>40</v>
      </c>
      <c r="D115" s="6" t="n">
        <v>402040</v>
      </c>
      <c r="E115" s="6" t="n">
        <v>4020</v>
      </c>
      <c r="F115" s="39">
        <f>IFERROR(INDEX('9_UK_Vol_Input'!$D$127:$D$289,MATCH($A115,'9_UK_Vol_Input'!$A$127:$A$289,0)),"")</f>
        <v/>
      </c>
      <c r="G115" s="40">
        <f>IFERROR(INDEX('9_UK_Vol_Input'!$E$127:$E$289,MATCH($A115,'9_UK_Vol_Input'!$A$127:$A$289,0)),"")</f>
        <v/>
      </c>
      <c r="H115" s="39">
        <f>IFERROR(INDEX('9_UK_Vol_Input'!$D$49:$D$122,MATCH($D115,'9_UK_Vol_Input'!$A$49:$A$122,0)),"")</f>
        <v/>
      </c>
      <c r="I115" s="40">
        <f>IFERROR(INDEX('9_UK_Vol_Input'!$E$49:$E$122,MATCH($D115,'9_UK_Vol_Input'!$A$49:$A$122,0)),"")</f>
        <v/>
      </c>
      <c r="J115" s="39">
        <f>IFERROR(INDEX('9_UK_Vol_Input'!$D$20:$D$44,MATCH($E115,'9_UK_Vol_Input'!$A$20:$A$44,0)),"")</f>
        <v/>
      </c>
      <c r="K115" s="40">
        <f>IFERROR(INDEX('9_UK_Vol_Input'!$E$20:$E$44,MATCH($E115,'9_UK_Vol_Input'!$A$20:$A$44,0)),"")</f>
        <v/>
      </c>
      <c r="L115" s="39">
        <f>IFERROR(INDEX('9_UK_Vol_Input'!$D$5:$D$15,MATCH($C115,'9_UK_Vol_Input'!$A$5:$A$15,0)),"")</f>
        <v/>
      </c>
      <c r="M115" s="40">
        <f>IFERROR(INDEX('9_UK_Vol_Input'!$E$5:$E$15,MATCH($C115,'9_UK_Vol_Input'!$A$5:$A$15,0)),"")</f>
        <v/>
      </c>
      <c r="N115" s="22">
        <f>IF(F115&lt;&gt;"",F115/(1+G115),IF(H115&lt;&gt;"",H115/(1+I115),IF(J115&lt;&gt;"",J115/(1+K115),IF(L115&lt;&gt;"",L115/(1+M115),""))))</f>
        <v/>
      </c>
      <c r="O115" s="36">
        <f>IFERROR(INDEX('7_UK_Beta_Input'!$D$127:$D$289,MATCH($A115,'7_UK_Beta_Input'!$A$127:$A$289,0)),"")</f>
        <v/>
      </c>
      <c r="P115" s="36">
        <f>IFERROR(INDEX('7_UK_Beta_Input'!$D$49:$D$122,MATCH($D115,'7_UK_Beta_Input'!$A$49:$A$122,0)),"")</f>
        <v/>
      </c>
      <c r="Q115" s="36">
        <f>IFERROR(INDEX('7_UK_Beta_Input'!$D$20:$D$44,MATCH($E115,'7_UK_Beta_Input'!$A$20:$A$44,0)),"")</f>
        <v/>
      </c>
      <c r="R115" s="36">
        <f>IFERROR(INDEX('7_UK_Beta_Input'!$D$5:$D$15,MATCH($C115,'7_UK_Beta_Input'!$A$5:$A$15,0)),"")</f>
        <v/>
      </c>
      <c r="S115" s="22">
        <f>IF(O115&lt;&gt;"",O115*'6_Credit_Bridge_Assumptions'!$B$8,IF(P115&lt;&gt;"",P115*'6_Credit_Bridge_Assumptions'!$B$8,IF(Q115&lt;&gt;"",Q115*'6_Credit_Bridge_Assumptions'!$B$8,IF(R115&lt;&gt;"",R115*'6_Credit_Bridge_Assumptions'!$B$8,""))))</f>
        <v/>
      </c>
      <c r="T115" s="22">
        <f>IF(N115&lt;&gt;"",N115,S115)</f>
        <v/>
      </c>
    </row>
    <row r="116">
      <c r="A116" s="6" t="n">
        <v>40301010</v>
      </c>
      <c r="B116" s="6" t="inlineStr">
        <is>
          <t>Insurance Brokers</t>
        </is>
      </c>
      <c r="C116" s="6" t="n">
        <v>40</v>
      </c>
      <c r="D116" s="6" t="n">
        <v>403010</v>
      </c>
      <c r="E116" s="6" t="n">
        <v>4030</v>
      </c>
      <c r="F116" s="39">
        <f>IFERROR(INDEX('9_UK_Vol_Input'!$D$127:$D$289,MATCH($A116,'9_UK_Vol_Input'!$A$127:$A$289,0)),"")</f>
        <v/>
      </c>
      <c r="G116" s="40">
        <f>IFERROR(INDEX('9_UK_Vol_Input'!$E$127:$E$289,MATCH($A116,'9_UK_Vol_Input'!$A$127:$A$289,0)),"")</f>
        <v/>
      </c>
      <c r="H116" s="39">
        <f>IFERROR(INDEX('9_UK_Vol_Input'!$D$49:$D$122,MATCH($D116,'9_UK_Vol_Input'!$A$49:$A$122,0)),"")</f>
        <v/>
      </c>
      <c r="I116" s="40">
        <f>IFERROR(INDEX('9_UK_Vol_Input'!$E$49:$E$122,MATCH($D116,'9_UK_Vol_Input'!$A$49:$A$122,0)),"")</f>
        <v/>
      </c>
      <c r="J116" s="39">
        <f>IFERROR(INDEX('9_UK_Vol_Input'!$D$20:$D$44,MATCH($E116,'9_UK_Vol_Input'!$A$20:$A$44,0)),"")</f>
        <v/>
      </c>
      <c r="K116" s="40">
        <f>IFERROR(INDEX('9_UK_Vol_Input'!$E$20:$E$44,MATCH($E116,'9_UK_Vol_Input'!$A$20:$A$44,0)),"")</f>
        <v/>
      </c>
      <c r="L116" s="39">
        <f>IFERROR(INDEX('9_UK_Vol_Input'!$D$5:$D$15,MATCH($C116,'9_UK_Vol_Input'!$A$5:$A$15,0)),"")</f>
        <v/>
      </c>
      <c r="M116" s="40">
        <f>IFERROR(INDEX('9_UK_Vol_Input'!$E$5:$E$15,MATCH($C116,'9_UK_Vol_Input'!$A$5:$A$15,0)),"")</f>
        <v/>
      </c>
      <c r="N116" s="22">
        <f>IF(F116&lt;&gt;"",F116/(1+G116),IF(H116&lt;&gt;"",H116/(1+I116),IF(J116&lt;&gt;"",J116/(1+K116),IF(L116&lt;&gt;"",L116/(1+M116),""))))</f>
        <v/>
      </c>
      <c r="O116" s="36">
        <f>IFERROR(INDEX('7_UK_Beta_Input'!$D$127:$D$289,MATCH($A116,'7_UK_Beta_Input'!$A$127:$A$289,0)),"")</f>
        <v/>
      </c>
      <c r="P116" s="36">
        <f>IFERROR(INDEX('7_UK_Beta_Input'!$D$49:$D$122,MATCH($D116,'7_UK_Beta_Input'!$A$49:$A$122,0)),"")</f>
        <v/>
      </c>
      <c r="Q116" s="36">
        <f>IFERROR(INDEX('7_UK_Beta_Input'!$D$20:$D$44,MATCH($E116,'7_UK_Beta_Input'!$A$20:$A$44,0)),"")</f>
        <v/>
      </c>
      <c r="R116" s="36">
        <f>IFERROR(INDEX('7_UK_Beta_Input'!$D$5:$D$15,MATCH($C116,'7_UK_Beta_Input'!$A$5:$A$15,0)),"")</f>
        <v/>
      </c>
      <c r="S116" s="22">
        <f>IF(O116&lt;&gt;"",O116*'6_Credit_Bridge_Assumptions'!$B$8,IF(P116&lt;&gt;"",P116*'6_Credit_Bridge_Assumptions'!$B$8,IF(Q116&lt;&gt;"",Q116*'6_Credit_Bridge_Assumptions'!$B$8,IF(R116&lt;&gt;"",R116*'6_Credit_Bridge_Assumptions'!$B$8,""))))</f>
        <v/>
      </c>
      <c r="T116" s="22">
        <f>IF(N116&lt;&gt;"",N116,S116)</f>
        <v/>
      </c>
    </row>
    <row r="117">
      <c r="A117" s="6" t="n">
        <v>40301020</v>
      </c>
      <c r="B117" s="6" t="inlineStr">
        <is>
          <t>Life &amp; Health Insurance</t>
        </is>
      </c>
      <c r="C117" s="6" t="n">
        <v>40</v>
      </c>
      <c r="D117" s="6" t="n">
        <v>403010</v>
      </c>
      <c r="E117" s="6" t="n">
        <v>4030</v>
      </c>
      <c r="F117" s="39">
        <f>IFERROR(INDEX('9_UK_Vol_Input'!$D$127:$D$289,MATCH($A117,'9_UK_Vol_Input'!$A$127:$A$289,0)),"")</f>
        <v/>
      </c>
      <c r="G117" s="40">
        <f>IFERROR(INDEX('9_UK_Vol_Input'!$E$127:$E$289,MATCH($A117,'9_UK_Vol_Input'!$A$127:$A$289,0)),"")</f>
        <v/>
      </c>
      <c r="H117" s="39">
        <f>IFERROR(INDEX('9_UK_Vol_Input'!$D$49:$D$122,MATCH($D117,'9_UK_Vol_Input'!$A$49:$A$122,0)),"")</f>
        <v/>
      </c>
      <c r="I117" s="40">
        <f>IFERROR(INDEX('9_UK_Vol_Input'!$E$49:$E$122,MATCH($D117,'9_UK_Vol_Input'!$A$49:$A$122,0)),"")</f>
        <v/>
      </c>
      <c r="J117" s="39">
        <f>IFERROR(INDEX('9_UK_Vol_Input'!$D$20:$D$44,MATCH($E117,'9_UK_Vol_Input'!$A$20:$A$44,0)),"")</f>
        <v/>
      </c>
      <c r="K117" s="40">
        <f>IFERROR(INDEX('9_UK_Vol_Input'!$E$20:$E$44,MATCH($E117,'9_UK_Vol_Input'!$A$20:$A$44,0)),"")</f>
        <v/>
      </c>
      <c r="L117" s="39">
        <f>IFERROR(INDEX('9_UK_Vol_Input'!$D$5:$D$15,MATCH($C117,'9_UK_Vol_Input'!$A$5:$A$15,0)),"")</f>
        <v/>
      </c>
      <c r="M117" s="40">
        <f>IFERROR(INDEX('9_UK_Vol_Input'!$E$5:$E$15,MATCH($C117,'9_UK_Vol_Input'!$A$5:$A$15,0)),"")</f>
        <v/>
      </c>
      <c r="N117" s="22">
        <f>IF(F117&lt;&gt;"",F117/(1+G117),IF(H117&lt;&gt;"",H117/(1+I117),IF(J117&lt;&gt;"",J117/(1+K117),IF(L117&lt;&gt;"",L117/(1+M117),""))))</f>
        <v/>
      </c>
      <c r="O117" s="36">
        <f>IFERROR(INDEX('7_UK_Beta_Input'!$D$127:$D$289,MATCH($A117,'7_UK_Beta_Input'!$A$127:$A$289,0)),"")</f>
        <v/>
      </c>
      <c r="P117" s="36">
        <f>IFERROR(INDEX('7_UK_Beta_Input'!$D$49:$D$122,MATCH($D117,'7_UK_Beta_Input'!$A$49:$A$122,0)),"")</f>
        <v/>
      </c>
      <c r="Q117" s="36">
        <f>IFERROR(INDEX('7_UK_Beta_Input'!$D$20:$D$44,MATCH($E117,'7_UK_Beta_Input'!$A$20:$A$44,0)),"")</f>
        <v/>
      </c>
      <c r="R117" s="36">
        <f>IFERROR(INDEX('7_UK_Beta_Input'!$D$5:$D$15,MATCH($C117,'7_UK_Beta_Input'!$A$5:$A$15,0)),"")</f>
        <v/>
      </c>
      <c r="S117" s="22">
        <f>IF(O117&lt;&gt;"",O117*'6_Credit_Bridge_Assumptions'!$B$8,IF(P117&lt;&gt;"",P117*'6_Credit_Bridge_Assumptions'!$B$8,IF(Q117&lt;&gt;"",Q117*'6_Credit_Bridge_Assumptions'!$B$8,IF(R117&lt;&gt;"",R117*'6_Credit_Bridge_Assumptions'!$B$8,""))))</f>
        <v/>
      </c>
      <c r="T117" s="22">
        <f>IF(N117&lt;&gt;"",N117,S117)</f>
        <v/>
      </c>
    </row>
    <row r="118">
      <c r="A118" s="6" t="n">
        <v>40301030</v>
      </c>
      <c r="B118" s="6" t="inlineStr">
        <is>
          <t>Multi-line Insurance</t>
        </is>
      </c>
      <c r="C118" s="6" t="n">
        <v>40</v>
      </c>
      <c r="D118" s="6" t="n">
        <v>403010</v>
      </c>
      <c r="E118" s="6" t="n">
        <v>4030</v>
      </c>
      <c r="F118" s="39">
        <f>IFERROR(INDEX('9_UK_Vol_Input'!$D$127:$D$289,MATCH($A118,'9_UK_Vol_Input'!$A$127:$A$289,0)),"")</f>
        <v/>
      </c>
      <c r="G118" s="40">
        <f>IFERROR(INDEX('9_UK_Vol_Input'!$E$127:$E$289,MATCH($A118,'9_UK_Vol_Input'!$A$127:$A$289,0)),"")</f>
        <v/>
      </c>
      <c r="H118" s="39">
        <f>IFERROR(INDEX('9_UK_Vol_Input'!$D$49:$D$122,MATCH($D118,'9_UK_Vol_Input'!$A$49:$A$122,0)),"")</f>
        <v/>
      </c>
      <c r="I118" s="40">
        <f>IFERROR(INDEX('9_UK_Vol_Input'!$E$49:$E$122,MATCH($D118,'9_UK_Vol_Input'!$A$49:$A$122,0)),"")</f>
        <v/>
      </c>
      <c r="J118" s="39">
        <f>IFERROR(INDEX('9_UK_Vol_Input'!$D$20:$D$44,MATCH($E118,'9_UK_Vol_Input'!$A$20:$A$44,0)),"")</f>
        <v/>
      </c>
      <c r="K118" s="40">
        <f>IFERROR(INDEX('9_UK_Vol_Input'!$E$20:$E$44,MATCH($E118,'9_UK_Vol_Input'!$A$20:$A$44,0)),"")</f>
        <v/>
      </c>
      <c r="L118" s="39">
        <f>IFERROR(INDEX('9_UK_Vol_Input'!$D$5:$D$15,MATCH($C118,'9_UK_Vol_Input'!$A$5:$A$15,0)),"")</f>
        <v/>
      </c>
      <c r="M118" s="40">
        <f>IFERROR(INDEX('9_UK_Vol_Input'!$E$5:$E$15,MATCH($C118,'9_UK_Vol_Input'!$A$5:$A$15,0)),"")</f>
        <v/>
      </c>
      <c r="N118" s="22">
        <f>IF(F118&lt;&gt;"",F118/(1+G118),IF(H118&lt;&gt;"",H118/(1+I118),IF(J118&lt;&gt;"",J118/(1+K118),IF(L118&lt;&gt;"",L118/(1+M118),""))))</f>
        <v/>
      </c>
      <c r="O118" s="36">
        <f>IFERROR(INDEX('7_UK_Beta_Input'!$D$127:$D$289,MATCH($A118,'7_UK_Beta_Input'!$A$127:$A$289,0)),"")</f>
        <v/>
      </c>
      <c r="P118" s="36">
        <f>IFERROR(INDEX('7_UK_Beta_Input'!$D$49:$D$122,MATCH($D118,'7_UK_Beta_Input'!$A$49:$A$122,0)),"")</f>
        <v/>
      </c>
      <c r="Q118" s="36">
        <f>IFERROR(INDEX('7_UK_Beta_Input'!$D$20:$D$44,MATCH($E118,'7_UK_Beta_Input'!$A$20:$A$44,0)),"")</f>
        <v/>
      </c>
      <c r="R118" s="36">
        <f>IFERROR(INDEX('7_UK_Beta_Input'!$D$5:$D$15,MATCH($C118,'7_UK_Beta_Input'!$A$5:$A$15,0)),"")</f>
        <v/>
      </c>
      <c r="S118" s="22">
        <f>IF(O118&lt;&gt;"",O118*'6_Credit_Bridge_Assumptions'!$B$8,IF(P118&lt;&gt;"",P118*'6_Credit_Bridge_Assumptions'!$B$8,IF(Q118&lt;&gt;"",Q118*'6_Credit_Bridge_Assumptions'!$B$8,IF(R118&lt;&gt;"",R118*'6_Credit_Bridge_Assumptions'!$B$8,""))))</f>
        <v/>
      </c>
      <c r="T118" s="22">
        <f>IF(N118&lt;&gt;"",N118,S118)</f>
        <v/>
      </c>
    </row>
    <row r="119">
      <c r="A119" s="6" t="n">
        <v>40301040</v>
      </c>
      <c r="B119" s="6" t="inlineStr">
        <is>
          <t>Property &amp; Casualty Insurance</t>
        </is>
      </c>
      <c r="C119" s="6" t="n">
        <v>40</v>
      </c>
      <c r="D119" s="6" t="n">
        <v>403010</v>
      </c>
      <c r="E119" s="6" t="n">
        <v>4030</v>
      </c>
      <c r="F119" s="39">
        <f>IFERROR(INDEX('9_UK_Vol_Input'!$D$127:$D$289,MATCH($A119,'9_UK_Vol_Input'!$A$127:$A$289,0)),"")</f>
        <v/>
      </c>
      <c r="G119" s="40">
        <f>IFERROR(INDEX('9_UK_Vol_Input'!$E$127:$E$289,MATCH($A119,'9_UK_Vol_Input'!$A$127:$A$289,0)),"")</f>
        <v/>
      </c>
      <c r="H119" s="39">
        <f>IFERROR(INDEX('9_UK_Vol_Input'!$D$49:$D$122,MATCH($D119,'9_UK_Vol_Input'!$A$49:$A$122,0)),"")</f>
        <v/>
      </c>
      <c r="I119" s="40">
        <f>IFERROR(INDEX('9_UK_Vol_Input'!$E$49:$E$122,MATCH($D119,'9_UK_Vol_Input'!$A$49:$A$122,0)),"")</f>
        <v/>
      </c>
      <c r="J119" s="39">
        <f>IFERROR(INDEX('9_UK_Vol_Input'!$D$20:$D$44,MATCH($E119,'9_UK_Vol_Input'!$A$20:$A$44,0)),"")</f>
        <v/>
      </c>
      <c r="K119" s="40">
        <f>IFERROR(INDEX('9_UK_Vol_Input'!$E$20:$E$44,MATCH($E119,'9_UK_Vol_Input'!$A$20:$A$44,0)),"")</f>
        <v/>
      </c>
      <c r="L119" s="39">
        <f>IFERROR(INDEX('9_UK_Vol_Input'!$D$5:$D$15,MATCH($C119,'9_UK_Vol_Input'!$A$5:$A$15,0)),"")</f>
        <v/>
      </c>
      <c r="M119" s="40">
        <f>IFERROR(INDEX('9_UK_Vol_Input'!$E$5:$E$15,MATCH($C119,'9_UK_Vol_Input'!$A$5:$A$15,0)),"")</f>
        <v/>
      </c>
      <c r="N119" s="22">
        <f>IF(F119&lt;&gt;"",F119/(1+G119),IF(H119&lt;&gt;"",H119/(1+I119),IF(J119&lt;&gt;"",J119/(1+K119),IF(L119&lt;&gt;"",L119/(1+M119),""))))</f>
        <v/>
      </c>
      <c r="O119" s="36">
        <f>IFERROR(INDEX('7_UK_Beta_Input'!$D$127:$D$289,MATCH($A119,'7_UK_Beta_Input'!$A$127:$A$289,0)),"")</f>
        <v/>
      </c>
      <c r="P119" s="36">
        <f>IFERROR(INDEX('7_UK_Beta_Input'!$D$49:$D$122,MATCH($D119,'7_UK_Beta_Input'!$A$49:$A$122,0)),"")</f>
        <v/>
      </c>
      <c r="Q119" s="36">
        <f>IFERROR(INDEX('7_UK_Beta_Input'!$D$20:$D$44,MATCH($E119,'7_UK_Beta_Input'!$A$20:$A$44,0)),"")</f>
        <v/>
      </c>
      <c r="R119" s="36">
        <f>IFERROR(INDEX('7_UK_Beta_Input'!$D$5:$D$15,MATCH($C119,'7_UK_Beta_Input'!$A$5:$A$15,0)),"")</f>
        <v/>
      </c>
      <c r="S119" s="22">
        <f>IF(O119&lt;&gt;"",O119*'6_Credit_Bridge_Assumptions'!$B$8,IF(P119&lt;&gt;"",P119*'6_Credit_Bridge_Assumptions'!$B$8,IF(Q119&lt;&gt;"",Q119*'6_Credit_Bridge_Assumptions'!$B$8,IF(R119&lt;&gt;"",R119*'6_Credit_Bridge_Assumptions'!$B$8,""))))</f>
        <v/>
      </c>
      <c r="T119" s="22">
        <f>IF(N119&lt;&gt;"",N119,S119)</f>
        <v/>
      </c>
    </row>
    <row r="120">
      <c r="A120" s="6" t="n">
        <v>40301050</v>
      </c>
      <c r="B120" s="6" t="inlineStr">
        <is>
          <t>Reinsurance</t>
        </is>
      </c>
      <c r="C120" s="6" t="n">
        <v>40</v>
      </c>
      <c r="D120" s="6" t="n">
        <v>403010</v>
      </c>
      <c r="E120" s="6" t="n">
        <v>4030</v>
      </c>
      <c r="F120" s="39">
        <f>IFERROR(INDEX('9_UK_Vol_Input'!$D$127:$D$289,MATCH($A120,'9_UK_Vol_Input'!$A$127:$A$289,0)),"")</f>
        <v/>
      </c>
      <c r="G120" s="40">
        <f>IFERROR(INDEX('9_UK_Vol_Input'!$E$127:$E$289,MATCH($A120,'9_UK_Vol_Input'!$A$127:$A$289,0)),"")</f>
        <v/>
      </c>
      <c r="H120" s="39">
        <f>IFERROR(INDEX('9_UK_Vol_Input'!$D$49:$D$122,MATCH($D120,'9_UK_Vol_Input'!$A$49:$A$122,0)),"")</f>
        <v/>
      </c>
      <c r="I120" s="40">
        <f>IFERROR(INDEX('9_UK_Vol_Input'!$E$49:$E$122,MATCH($D120,'9_UK_Vol_Input'!$A$49:$A$122,0)),"")</f>
        <v/>
      </c>
      <c r="J120" s="39">
        <f>IFERROR(INDEX('9_UK_Vol_Input'!$D$20:$D$44,MATCH($E120,'9_UK_Vol_Input'!$A$20:$A$44,0)),"")</f>
        <v/>
      </c>
      <c r="K120" s="40">
        <f>IFERROR(INDEX('9_UK_Vol_Input'!$E$20:$E$44,MATCH($E120,'9_UK_Vol_Input'!$A$20:$A$44,0)),"")</f>
        <v/>
      </c>
      <c r="L120" s="39">
        <f>IFERROR(INDEX('9_UK_Vol_Input'!$D$5:$D$15,MATCH($C120,'9_UK_Vol_Input'!$A$5:$A$15,0)),"")</f>
        <v/>
      </c>
      <c r="M120" s="40">
        <f>IFERROR(INDEX('9_UK_Vol_Input'!$E$5:$E$15,MATCH($C120,'9_UK_Vol_Input'!$A$5:$A$15,0)),"")</f>
        <v/>
      </c>
      <c r="N120" s="22">
        <f>IF(F120&lt;&gt;"",F120/(1+G120),IF(H120&lt;&gt;"",H120/(1+I120),IF(J120&lt;&gt;"",J120/(1+K120),IF(L120&lt;&gt;"",L120/(1+M120),""))))</f>
        <v/>
      </c>
      <c r="O120" s="36">
        <f>IFERROR(INDEX('7_UK_Beta_Input'!$D$127:$D$289,MATCH($A120,'7_UK_Beta_Input'!$A$127:$A$289,0)),"")</f>
        <v/>
      </c>
      <c r="P120" s="36">
        <f>IFERROR(INDEX('7_UK_Beta_Input'!$D$49:$D$122,MATCH($D120,'7_UK_Beta_Input'!$A$49:$A$122,0)),"")</f>
        <v/>
      </c>
      <c r="Q120" s="36">
        <f>IFERROR(INDEX('7_UK_Beta_Input'!$D$20:$D$44,MATCH($E120,'7_UK_Beta_Input'!$A$20:$A$44,0)),"")</f>
        <v/>
      </c>
      <c r="R120" s="36">
        <f>IFERROR(INDEX('7_UK_Beta_Input'!$D$5:$D$15,MATCH($C120,'7_UK_Beta_Input'!$A$5:$A$15,0)),"")</f>
        <v/>
      </c>
      <c r="S120" s="22">
        <f>IF(O120&lt;&gt;"",O120*'6_Credit_Bridge_Assumptions'!$B$8,IF(P120&lt;&gt;"",P120*'6_Credit_Bridge_Assumptions'!$B$8,IF(Q120&lt;&gt;"",Q120*'6_Credit_Bridge_Assumptions'!$B$8,IF(R120&lt;&gt;"",R120*'6_Credit_Bridge_Assumptions'!$B$8,""))))</f>
        <v/>
      </c>
      <c r="T120" s="22">
        <f>IF(N120&lt;&gt;"",N120,S120)</f>
        <v/>
      </c>
    </row>
    <row r="121">
      <c r="A121" s="6" t="n">
        <v>45102010</v>
      </c>
      <c r="B121" s="6" t="inlineStr">
        <is>
          <t>IT Consulting &amp; Other Services</t>
        </is>
      </c>
      <c r="C121" s="6" t="n">
        <v>45</v>
      </c>
      <c r="D121" s="6" t="n">
        <v>451020</v>
      </c>
      <c r="E121" s="6" t="n">
        <v>4510</v>
      </c>
      <c r="F121" s="39">
        <f>IFERROR(INDEX('9_UK_Vol_Input'!$D$127:$D$289,MATCH($A121,'9_UK_Vol_Input'!$A$127:$A$289,0)),"")</f>
        <v/>
      </c>
      <c r="G121" s="40">
        <f>IFERROR(INDEX('9_UK_Vol_Input'!$E$127:$E$289,MATCH($A121,'9_UK_Vol_Input'!$A$127:$A$289,0)),"")</f>
        <v/>
      </c>
      <c r="H121" s="39">
        <f>IFERROR(INDEX('9_UK_Vol_Input'!$D$49:$D$122,MATCH($D121,'9_UK_Vol_Input'!$A$49:$A$122,0)),"")</f>
        <v/>
      </c>
      <c r="I121" s="40">
        <f>IFERROR(INDEX('9_UK_Vol_Input'!$E$49:$E$122,MATCH($D121,'9_UK_Vol_Input'!$A$49:$A$122,0)),"")</f>
        <v/>
      </c>
      <c r="J121" s="39">
        <f>IFERROR(INDEX('9_UK_Vol_Input'!$D$20:$D$44,MATCH($E121,'9_UK_Vol_Input'!$A$20:$A$44,0)),"")</f>
        <v/>
      </c>
      <c r="K121" s="40">
        <f>IFERROR(INDEX('9_UK_Vol_Input'!$E$20:$E$44,MATCH($E121,'9_UK_Vol_Input'!$A$20:$A$44,0)),"")</f>
        <v/>
      </c>
      <c r="L121" s="39">
        <f>IFERROR(INDEX('9_UK_Vol_Input'!$D$5:$D$15,MATCH($C121,'9_UK_Vol_Input'!$A$5:$A$15,0)),"")</f>
        <v/>
      </c>
      <c r="M121" s="40">
        <f>IFERROR(INDEX('9_UK_Vol_Input'!$E$5:$E$15,MATCH($C121,'9_UK_Vol_Input'!$A$5:$A$15,0)),"")</f>
        <v/>
      </c>
      <c r="N121" s="22">
        <f>IF(F121&lt;&gt;"",F121/(1+G121),IF(H121&lt;&gt;"",H121/(1+I121),IF(J121&lt;&gt;"",J121/(1+K121),IF(L121&lt;&gt;"",L121/(1+M121),""))))</f>
        <v/>
      </c>
      <c r="O121" s="36">
        <f>IFERROR(INDEX('7_UK_Beta_Input'!$D$127:$D$289,MATCH($A121,'7_UK_Beta_Input'!$A$127:$A$289,0)),"")</f>
        <v/>
      </c>
      <c r="P121" s="36">
        <f>IFERROR(INDEX('7_UK_Beta_Input'!$D$49:$D$122,MATCH($D121,'7_UK_Beta_Input'!$A$49:$A$122,0)),"")</f>
        <v/>
      </c>
      <c r="Q121" s="36">
        <f>IFERROR(INDEX('7_UK_Beta_Input'!$D$20:$D$44,MATCH($E121,'7_UK_Beta_Input'!$A$20:$A$44,0)),"")</f>
        <v/>
      </c>
      <c r="R121" s="36">
        <f>IFERROR(INDEX('7_UK_Beta_Input'!$D$5:$D$15,MATCH($C121,'7_UK_Beta_Input'!$A$5:$A$15,0)),"")</f>
        <v/>
      </c>
      <c r="S121" s="22">
        <f>IF(O121&lt;&gt;"",O121*'6_Credit_Bridge_Assumptions'!$B$8,IF(P121&lt;&gt;"",P121*'6_Credit_Bridge_Assumptions'!$B$8,IF(Q121&lt;&gt;"",Q121*'6_Credit_Bridge_Assumptions'!$B$8,IF(R121&lt;&gt;"",R121*'6_Credit_Bridge_Assumptions'!$B$8,""))))</f>
        <v/>
      </c>
      <c r="T121" s="22">
        <f>IF(N121&lt;&gt;"",N121,S121)</f>
        <v/>
      </c>
    </row>
    <row r="122">
      <c r="A122" s="6" t="n">
        <v>45102030</v>
      </c>
      <c r="B122" s="6" t="inlineStr">
        <is>
          <t>Internet Services &amp; Infrastructure</t>
        </is>
      </c>
      <c r="C122" s="6" t="n">
        <v>45</v>
      </c>
      <c r="D122" s="6" t="n">
        <v>451020</v>
      </c>
      <c r="E122" s="6" t="n">
        <v>4510</v>
      </c>
      <c r="F122" s="39">
        <f>IFERROR(INDEX('9_UK_Vol_Input'!$D$127:$D$289,MATCH($A122,'9_UK_Vol_Input'!$A$127:$A$289,0)),"")</f>
        <v/>
      </c>
      <c r="G122" s="40">
        <f>IFERROR(INDEX('9_UK_Vol_Input'!$E$127:$E$289,MATCH($A122,'9_UK_Vol_Input'!$A$127:$A$289,0)),"")</f>
        <v/>
      </c>
      <c r="H122" s="39">
        <f>IFERROR(INDEX('9_UK_Vol_Input'!$D$49:$D$122,MATCH($D122,'9_UK_Vol_Input'!$A$49:$A$122,0)),"")</f>
        <v/>
      </c>
      <c r="I122" s="40">
        <f>IFERROR(INDEX('9_UK_Vol_Input'!$E$49:$E$122,MATCH($D122,'9_UK_Vol_Input'!$A$49:$A$122,0)),"")</f>
        <v/>
      </c>
      <c r="J122" s="39">
        <f>IFERROR(INDEX('9_UK_Vol_Input'!$D$20:$D$44,MATCH($E122,'9_UK_Vol_Input'!$A$20:$A$44,0)),"")</f>
        <v/>
      </c>
      <c r="K122" s="40">
        <f>IFERROR(INDEX('9_UK_Vol_Input'!$E$20:$E$44,MATCH($E122,'9_UK_Vol_Input'!$A$20:$A$44,0)),"")</f>
        <v/>
      </c>
      <c r="L122" s="39">
        <f>IFERROR(INDEX('9_UK_Vol_Input'!$D$5:$D$15,MATCH($C122,'9_UK_Vol_Input'!$A$5:$A$15,0)),"")</f>
        <v/>
      </c>
      <c r="M122" s="40">
        <f>IFERROR(INDEX('9_UK_Vol_Input'!$E$5:$E$15,MATCH($C122,'9_UK_Vol_Input'!$A$5:$A$15,0)),"")</f>
        <v/>
      </c>
      <c r="N122" s="22">
        <f>IF(F122&lt;&gt;"",F122/(1+G122),IF(H122&lt;&gt;"",H122/(1+I122),IF(J122&lt;&gt;"",J122/(1+K122),IF(L122&lt;&gt;"",L122/(1+M122),""))))</f>
        <v/>
      </c>
      <c r="O122" s="36">
        <f>IFERROR(INDEX('7_UK_Beta_Input'!$D$127:$D$289,MATCH($A122,'7_UK_Beta_Input'!$A$127:$A$289,0)),"")</f>
        <v/>
      </c>
      <c r="P122" s="36">
        <f>IFERROR(INDEX('7_UK_Beta_Input'!$D$49:$D$122,MATCH($D122,'7_UK_Beta_Input'!$A$49:$A$122,0)),"")</f>
        <v/>
      </c>
      <c r="Q122" s="36">
        <f>IFERROR(INDEX('7_UK_Beta_Input'!$D$20:$D$44,MATCH($E122,'7_UK_Beta_Input'!$A$20:$A$44,0)),"")</f>
        <v/>
      </c>
      <c r="R122" s="36">
        <f>IFERROR(INDEX('7_UK_Beta_Input'!$D$5:$D$15,MATCH($C122,'7_UK_Beta_Input'!$A$5:$A$15,0)),"")</f>
        <v/>
      </c>
      <c r="S122" s="22">
        <f>IF(O122&lt;&gt;"",O122*'6_Credit_Bridge_Assumptions'!$B$8,IF(P122&lt;&gt;"",P122*'6_Credit_Bridge_Assumptions'!$B$8,IF(Q122&lt;&gt;"",Q122*'6_Credit_Bridge_Assumptions'!$B$8,IF(R122&lt;&gt;"",R122*'6_Credit_Bridge_Assumptions'!$B$8,""))))</f>
        <v/>
      </c>
      <c r="T122" s="22">
        <f>IF(N122&lt;&gt;"",N122,S122)</f>
        <v/>
      </c>
    </row>
    <row r="123">
      <c r="A123" s="6" t="n">
        <v>45103010</v>
      </c>
      <c r="B123" s="6" t="inlineStr">
        <is>
          <t>Application Software</t>
        </is>
      </c>
      <c r="C123" s="6" t="n">
        <v>45</v>
      </c>
      <c r="D123" s="6" t="n">
        <v>451030</v>
      </c>
      <c r="E123" s="6" t="n">
        <v>4510</v>
      </c>
      <c r="F123" s="39">
        <f>IFERROR(INDEX('9_UK_Vol_Input'!$D$127:$D$289,MATCH($A123,'9_UK_Vol_Input'!$A$127:$A$289,0)),"")</f>
        <v/>
      </c>
      <c r="G123" s="40">
        <f>IFERROR(INDEX('9_UK_Vol_Input'!$E$127:$E$289,MATCH($A123,'9_UK_Vol_Input'!$A$127:$A$289,0)),"")</f>
        <v/>
      </c>
      <c r="H123" s="39">
        <f>IFERROR(INDEX('9_UK_Vol_Input'!$D$49:$D$122,MATCH($D123,'9_UK_Vol_Input'!$A$49:$A$122,0)),"")</f>
        <v/>
      </c>
      <c r="I123" s="40">
        <f>IFERROR(INDEX('9_UK_Vol_Input'!$E$49:$E$122,MATCH($D123,'9_UK_Vol_Input'!$A$49:$A$122,0)),"")</f>
        <v/>
      </c>
      <c r="J123" s="39">
        <f>IFERROR(INDEX('9_UK_Vol_Input'!$D$20:$D$44,MATCH($E123,'9_UK_Vol_Input'!$A$20:$A$44,0)),"")</f>
        <v/>
      </c>
      <c r="K123" s="40">
        <f>IFERROR(INDEX('9_UK_Vol_Input'!$E$20:$E$44,MATCH($E123,'9_UK_Vol_Input'!$A$20:$A$44,0)),"")</f>
        <v/>
      </c>
      <c r="L123" s="39">
        <f>IFERROR(INDEX('9_UK_Vol_Input'!$D$5:$D$15,MATCH($C123,'9_UK_Vol_Input'!$A$5:$A$15,0)),"")</f>
        <v/>
      </c>
      <c r="M123" s="40">
        <f>IFERROR(INDEX('9_UK_Vol_Input'!$E$5:$E$15,MATCH($C123,'9_UK_Vol_Input'!$A$5:$A$15,0)),"")</f>
        <v/>
      </c>
      <c r="N123" s="22">
        <f>IF(F123&lt;&gt;"",F123/(1+G123),IF(H123&lt;&gt;"",H123/(1+I123),IF(J123&lt;&gt;"",J123/(1+K123),IF(L123&lt;&gt;"",L123/(1+M123),""))))</f>
        <v/>
      </c>
      <c r="O123" s="36">
        <f>IFERROR(INDEX('7_UK_Beta_Input'!$D$127:$D$289,MATCH($A123,'7_UK_Beta_Input'!$A$127:$A$289,0)),"")</f>
        <v/>
      </c>
      <c r="P123" s="36">
        <f>IFERROR(INDEX('7_UK_Beta_Input'!$D$49:$D$122,MATCH($D123,'7_UK_Beta_Input'!$A$49:$A$122,0)),"")</f>
        <v/>
      </c>
      <c r="Q123" s="36">
        <f>IFERROR(INDEX('7_UK_Beta_Input'!$D$20:$D$44,MATCH($E123,'7_UK_Beta_Input'!$A$20:$A$44,0)),"")</f>
        <v/>
      </c>
      <c r="R123" s="36">
        <f>IFERROR(INDEX('7_UK_Beta_Input'!$D$5:$D$15,MATCH($C123,'7_UK_Beta_Input'!$A$5:$A$15,0)),"")</f>
        <v/>
      </c>
      <c r="S123" s="22">
        <f>IF(O123&lt;&gt;"",O123*'6_Credit_Bridge_Assumptions'!$B$8,IF(P123&lt;&gt;"",P123*'6_Credit_Bridge_Assumptions'!$B$8,IF(Q123&lt;&gt;"",Q123*'6_Credit_Bridge_Assumptions'!$B$8,IF(R123&lt;&gt;"",R123*'6_Credit_Bridge_Assumptions'!$B$8,""))))</f>
        <v/>
      </c>
      <c r="T123" s="22">
        <f>IF(N123&lt;&gt;"",N123,S123)</f>
        <v/>
      </c>
    </row>
    <row r="124">
      <c r="A124" s="6" t="n">
        <v>45103020</v>
      </c>
      <c r="B124" s="6" t="inlineStr">
        <is>
          <t>Systems Software</t>
        </is>
      </c>
      <c r="C124" s="6" t="n">
        <v>45</v>
      </c>
      <c r="D124" s="6" t="n">
        <v>451030</v>
      </c>
      <c r="E124" s="6" t="n">
        <v>4510</v>
      </c>
      <c r="F124" s="39">
        <f>IFERROR(INDEX('9_UK_Vol_Input'!$D$127:$D$289,MATCH($A124,'9_UK_Vol_Input'!$A$127:$A$289,0)),"")</f>
        <v/>
      </c>
      <c r="G124" s="40">
        <f>IFERROR(INDEX('9_UK_Vol_Input'!$E$127:$E$289,MATCH($A124,'9_UK_Vol_Input'!$A$127:$A$289,0)),"")</f>
        <v/>
      </c>
      <c r="H124" s="39">
        <f>IFERROR(INDEX('9_UK_Vol_Input'!$D$49:$D$122,MATCH($D124,'9_UK_Vol_Input'!$A$49:$A$122,0)),"")</f>
        <v/>
      </c>
      <c r="I124" s="40">
        <f>IFERROR(INDEX('9_UK_Vol_Input'!$E$49:$E$122,MATCH($D124,'9_UK_Vol_Input'!$A$49:$A$122,0)),"")</f>
        <v/>
      </c>
      <c r="J124" s="39">
        <f>IFERROR(INDEX('9_UK_Vol_Input'!$D$20:$D$44,MATCH($E124,'9_UK_Vol_Input'!$A$20:$A$44,0)),"")</f>
        <v/>
      </c>
      <c r="K124" s="40">
        <f>IFERROR(INDEX('9_UK_Vol_Input'!$E$20:$E$44,MATCH($E124,'9_UK_Vol_Input'!$A$20:$A$44,0)),"")</f>
        <v/>
      </c>
      <c r="L124" s="39">
        <f>IFERROR(INDEX('9_UK_Vol_Input'!$D$5:$D$15,MATCH($C124,'9_UK_Vol_Input'!$A$5:$A$15,0)),"")</f>
        <v/>
      </c>
      <c r="M124" s="40">
        <f>IFERROR(INDEX('9_UK_Vol_Input'!$E$5:$E$15,MATCH($C124,'9_UK_Vol_Input'!$A$5:$A$15,0)),"")</f>
        <v/>
      </c>
      <c r="N124" s="22">
        <f>IF(F124&lt;&gt;"",F124/(1+G124),IF(H124&lt;&gt;"",H124/(1+I124),IF(J124&lt;&gt;"",J124/(1+K124),IF(L124&lt;&gt;"",L124/(1+M124),""))))</f>
        <v/>
      </c>
      <c r="O124" s="36">
        <f>IFERROR(INDEX('7_UK_Beta_Input'!$D$127:$D$289,MATCH($A124,'7_UK_Beta_Input'!$A$127:$A$289,0)),"")</f>
        <v/>
      </c>
      <c r="P124" s="36">
        <f>IFERROR(INDEX('7_UK_Beta_Input'!$D$49:$D$122,MATCH($D124,'7_UK_Beta_Input'!$A$49:$A$122,0)),"")</f>
        <v/>
      </c>
      <c r="Q124" s="36">
        <f>IFERROR(INDEX('7_UK_Beta_Input'!$D$20:$D$44,MATCH($E124,'7_UK_Beta_Input'!$A$20:$A$44,0)),"")</f>
        <v/>
      </c>
      <c r="R124" s="36">
        <f>IFERROR(INDEX('7_UK_Beta_Input'!$D$5:$D$15,MATCH($C124,'7_UK_Beta_Input'!$A$5:$A$15,0)),"")</f>
        <v/>
      </c>
      <c r="S124" s="22">
        <f>IF(O124&lt;&gt;"",O124*'6_Credit_Bridge_Assumptions'!$B$8,IF(P124&lt;&gt;"",P124*'6_Credit_Bridge_Assumptions'!$B$8,IF(Q124&lt;&gt;"",Q124*'6_Credit_Bridge_Assumptions'!$B$8,IF(R124&lt;&gt;"",R124*'6_Credit_Bridge_Assumptions'!$B$8,""))))</f>
        <v/>
      </c>
      <c r="T124" s="22">
        <f>IF(N124&lt;&gt;"",N124,S124)</f>
        <v/>
      </c>
    </row>
    <row r="125">
      <c r="A125" s="6" t="n">
        <v>45201020</v>
      </c>
      <c r="B125" s="6" t="inlineStr">
        <is>
          <t>Communications Equipment</t>
        </is>
      </c>
      <c r="C125" s="6" t="n">
        <v>45</v>
      </c>
      <c r="D125" s="6" t="n">
        <v>452010</v>
      </c>
      <c r="E125" s="6" t="n">
        <v>4520</v>
      </c>
      <c r="F125" s="39">
        <f>IFERROR(INDEX('9_UK_Vol_Input'!$D$127:$D$289,MATCH($A125,'9_UK_Vol_Input'!$A$127:$A$289,0)),"")</f>
        <v/>
      </c>
      <c r="G125" s="40">
        <f>IFERROR(INDEX('9_UK_Vol_Input'!$E$127:$E$289,MATCH($A125,'9_UK_Vol_Input'!$A$127:$A$289,0)),"")</f>
        <v/>
      </c>
      <c r="H125" s="39">
        <f>IFERROR(INDEX('9_UK_Vol_Input'!$D$49:$D$122,MATCH($D125,'9_UK_Vol_Input'!$A$49:$A$122,0)),"")</f>
        <v/>
      </c>
      <c r="I125" s="40">
        <f>IFERROR(INDEX('9_UK_Vol_Input'!$E$49:$E$122,MATCH($D125,'9_UK_Vol_Input'!$A$49:$A$122,0)),"")</f>
        <v/>
      </c>
      <c r="J125" s="39">
        <f>IFERROR(INDEX('9_UK_Vol_Input'!$D$20:$D$44,MATCH($E125,'9_UK_Vol_Input'!$A$20:$A$44,0)),"")</f>
        <v/>
      </c>
      <c r="K125" s="40">
        <f>IFERROR(INDEX('9_UK_Vol_Input'!$E$20:$E$44,MATCH($E125,'9_UK_Vol_Input'!$A$20:$A$44,0)),"")</f>
        <v/>
      </c>
      <c r="L125" s="39">
        <f>IFERROR(INDEX('9_UK_Vol_Input'!$D$5:$D$15,MATCH($C125,'9_UK_Vol_Input'!$A$5:$A$15,0)),"")</f>
        <v/>
      </c>
      <c r="M125" s="40">
        <f>IFERROR(INDEX('9_UK_Vol_Input'!$E$5:$E$15,MATCH($C125,'9_UK_Vol_Input'!$A$5:$A$15,0)),"")</f>
        <v/>
      </c>
      <c r="N125" s="22">
        <f>IF(F125&lt;&gt;"",F125/(1+G125),IF(H125&lt;&gt;"",H125/(1+I125),IF(J125&lt;&gt;"",J125/(1+K125),IF(L125&lt;&gt;"",L125/(1+M125),""))))</f>
        <v/>
      </c>
      <c r="O125" s="36">
        <f>IFERROR(INDEX('7_UK_Beta_Input'!$D$127:$D$289,MATCH($A125,'7_UK_Beta_Input'!$A$127:$A$289,0)),"")</f>
        <v/>
      </c>
      <c r="P125" s="36">
        <f>IFERROR(INDEX('7_UK_Beta_Input'!$D$49:$D$122,MATCH($D125,'7_UK_Beta_Input'!$A$49:$A$122,0)),"")</f>
        <v/>
      </c>
      <c r="Q125" s="36">
        <f>IFERROR(INDEX('7_UK_Beta_Input'!$D$20:$D$44,MATCH($E125,'7_UK_Beta_Input'!$A$20:$A$44,0)),"")</f>
        <v/>
      </c>
      <c r="R125" s="36">
        <f>IFERROR(INDEX('7_UK_Beta_Input'!$D$5:$D$15,MATCH($C125,'7_UK_Beta_Input'!$A$5:$A$15,0)),"")</f>
        <v/>
      </c>
      <c r="S125" s="22">
        <f>IF(O125&lt;&gt;"",O125*'6_Credit_Bridge_Assumptions'!$B$8,IF(P125&lt;&gt;"",P125*'6_Credit_Bridge_Assumptions'!$B$8,IF(Q125&lt;&gt;"",Q125*'6_Credit_Bridge_Assumptions'!$B$8,IF(R125&lt;&gt;"",R125*'6_Credit_Bridge_Assumptions'!$B$8,""))))</f>
        <v/>
      </c>
      <c r="T125" s="22">
        <f>IF(N125&lt;&gt;"",N125,S125)</f>
        <v/>
      </c>
    </row>
    <row r="126">
      <c r="A126" s="6" t="n">
        <v>45202030</v>
      </c>
      <c r="B126" s="6" t="inlineStr">
        <is>
          <t>Technology Hardware, Storage &amp; Peripherals</t>
        </is>
      </c>
      <c r="C126" s="6" t="n">
        <v>45</v>
      </c>
      <c r="D126" s="6" t="n">
        <v>452020</v>
      </c>
      <c r="E126" s="6" t="n">
        <v>4520</v>
      </c>
      <c r="F126" s="39">
        <f>IFERROR(INDEX('9_UK_Vol_Input'!$D$127:$D$289,MATCH($A126,'9_UK_Vol_Input'!$A$127:$A$289,0)),"")</f>
        <v/>
      </c>
      <c r="G126" s="40">
        <f>IFERROR(INDEX('9_UK_Vol_Input'!$E$127:$E$289,MATCH($A126,'9_UK_Vol_Input'!$A$127:$A$289,0)),"")</f>
        <v/>
      </c>
      <c r="H126" s="39">
        <f>IFERROR(INDEX('9_UK_Vol_Input'!$D$49:$D$122,MATCH($D126,'9_UK_Vol_Input'!$A$49:$A$122,0)),"")</f>
        <v/>
      </c>
      <c r="I126" s="40">
        <f>IFERROR(INDEX('9_UK_Vol_Input'!$E$49:$E$122,MATCH($D126,'9_UK_Vol_Input'!$A$49:$A$122,0)),"")</f>
        <v/>
      </c>
      <c r="J126" s="39">
        <f>IFERROR(INDEX('9_UK_Vol_Input'!$D$20:$D$44,MATCH($E126,'9_UK_Vol_Input'!$A$20:$A$44,0)),"")</f>
        <v/>
      </c>
      <c r="K126" s="40">
        <f>IFERROR(INDEX('9_UK_Vol_Input'!$E$20:$E$44,MATCH($E126,'9_UK_Vol_Input'!$A$20:$A$44,0)),"")</f>
        <v/>
      </c>
      <c r="L126" s="39">
        <f>IFERROR(INDEX('9_UK_Vol_Input'!$D$5:$D$15,MATCH($C126,'9_UK_Vol_Input'!$A$5:$A$15,0)),"")</f>
        <v/>
      </c>
      <c r="M126" s="40">
        <f>IFERROR(INDEX('9_UK_Vol_Input'!$E$5:$E$15,MATCH($C126,'9_UK_Vol_Input'!$A$5:$A$15,0)),"")</f>
        <v/>
      </c>
      <c r="N126" s="22">
        <f>IF(F126&lt;&gt;"",F126/(1+G126),IF(H126&lt;&gt;"",H126/(1+I126),IF(J126&lt;&gt;"",J126/(1+K126),IF(L126&lt;&gt;"",L126/(1+M126),""))))</f>
        <v/>
      </c>
      <c r="O126" s="36">
        <f>IFERROR(INDEX('7_UK_Beta_Input'!$D$127:$D$289,MATCH($A126,'7_UK_Beta_Input'!$A$127:$A$289,0)),"")</f>
        <v/>
      </c>
      <c r="P126" s="36">
        <f>IFERROR(INDEX('7_UK_Beta_Input'!$D$49:$D$122,MATCH($D126,'7_UK_Beta_Input'!$A$49:$A$122,0)),"")</f>
        <v/>
      </c>
      <c r="Q126" s="36">
        <f>IFERROR(INDEX('7_UK_Beta_Input'!$D$20:$D$44,MATCH($E126,'7_UK_Beta_Input'!$A$20:$A$44,0)),"")</f>
        <v/>
      </c>
      <c r="R126" s="36">
        <f>IFERROR(INDEX('7_UK_Beta_Input'!$D$5:$D$15,MATCH($C126,'7_UK_Beta_Input'!$A$5:$A$15,0)),"")</f>
        <v/>
      </c>
      <c r="S126" s="22">
        <f>IF(O126&lt;&gt;"",O126*'6_Credit_Bridge_Assumptions'!$B$8,IF(P126&lt;&gt;"",P126*'6_Credit_Bridge_Assumptions'!$B$8,IF(Q126&lt;&gt;"",Q126*'6_Credit_Bridge_Assumptions'!$B$8,IF(R126&lt;&gt;"",R126*'6_Credit_Bridge_Assumptions'!$B$8,""))))</f>
        <v/>
      </c>
      <c r="T126" s="22">
        <f>IF(N126&lt;&gt;"",N126,S126)</f>
        <v/>
      </c>
    </row>
    <row r="127">
      <c r="A127" s="6" t="n">
        <v>45203010</v>
      </c>
      <c r="B127" s="6" t="inlineStr">
        <is>
          <t>Electronic Equipment &amp; Instruments</t>
        </is>
      </c>
      <c r="C127" s="6" t="n">
        <v>45</v>
      </c>
      <c r="D127" s="6" t="n">
        <v>452030</v>
      </c>
      <c r="E127" s="6" t="n">
        <v>4520</v>
      </c>
      <c r="F127" s="39">
        <f>IFERROR(INDEX('9_UK_Vol_Input'!$D$127:$D$289,MATCH($A127,'9_UK_Vol_Input'!$A$127:$A$289,0)),"")</f>
        <v/>
      </c>
      <c r="G127" s="40">
        <f>IFERROR(INDEX('9_UK_Vol_Input'!$E$127:$E$289,MATCH($A127,'9_UK_Vol_Input'!$A$127:$A$289,0)),"")</f>
        <v/>
      </c>
      <c r="H127" s="39">
        <f>IFERROR(INDEX('9_UK_Vol_Input'!$D$49:$D$122,MATCH($D127,'9_UK_Vol_Input'!$A$49:$A$122,0)),"")</f>
        <v/>
      </c>
      <c r="I127" s="40">
        <f>IFERROR(INDEX('9_UK_Vol_Input'!$E$49:$E$122,MATCH($D127,'9_UK_Vol_Input'!$A$49:$A$122,0)),"")</f>
        <v/>
      </c>
      <c r="J127" s="39">
        <f>IFERROR(INDEX('9_UK_Vol_Input'!$D$20:$D$44,MATCH($E127,'9_UK_Vol_Input'!$A$20:$A$44,0)),"")</f>
        <v/>
      </c>
      <c r="K127" s="40">
        <f>IFERROR(INDEX('9_UK_Vol_Input'!$E$20:$E$44,MATCH($E127,'9_UK_Vol_Input'!$A$20:$A$44,0)),"")</f>
        <v/>
      </c>
      <c r="L127" s="39">
        <f>IFERROR(INDEX('9_UK_Vol_Input'!$D$5:$D$15,MATCH($C127,'9_UK_Vol_Input'!$A$5:$A$15,0)),"")</f>
        <v/>
      </c>
      <c r="M127" s="40">
        <f>IFERROR(INDEX('9_UK_Vol_Input'!$E$5:$E$15,MATCH($C127,'9_UK_Vol_Input'!$A$5:$A$15,0)),"")</f>
        <v/>
      </c>
      <c r="N127" s="22">
        <f>IF(F127&lt;&gt;"",F127/(1+G127),IF(H127&lt;&gt;"",H127/(1+I127),IF(J127&lt;&gt;"",J127/(1+K127),IF(L127&lt;&gt;"",L127/(1+M127),""))))</f>
        <v/>
      </c>
      <c r="O127" s="36">
        <f>IFERROR(INDEX('7_UK_Beta_Input'!$D$127:$D$289,MATCH($A127,'7_UK_Beta_Input'!$A$127:$A$289,0)),"")</f>
        <v/>
      </c>
      <c r="P127" s="36">
        <f>IFERROR(INDEX('7_UK_Beta_Input'!$D$49:$D$122,MATCH($D127,'7_UK_Beta_Input'!$A$49:$A$122,0)),"")</f>
        <v/>
      </c>
      <c r="Q127" s="36">
        <f>IFERROR(INDEX('7_UK_Beta_Input'!$D$20:$D$44,MATCH($E127,'7_UK_Beta_Input'!$A$20:$A$44,0)),"")</f>
        <v/>
      </c>
      <c r="R127" s="36">
        <f>IFERROR(INDEX('7_UK_Beta_Input'!$D$5:$D$15,MATCH($C127,'7_UK_Beta_Input'!$A$5:$A$15,0)),"")</f>
        <v/>
      </c>
      <c r="S127" s="22">
        <f>IF(O127&lt;&gt;"",O127*'6_Credit_Bridge_Assumptions'!$B$8,IF(P127&lt;&gt;"",P127*'6_Credit_Bridge_Assumptions'!$B$8,IF(Q127&lt;&gt;"",Q127*'6_Credit_Bridge_Assumptions'!$B$8,IF(R127&lt;&gt;"",R127*'6_Credit_Bridge_Assumptions'!$B$8,""))))</f>
        <v/>
      </c>
      <c r="T127" s="22">
        <f>IF(N127&lt;&gt;"",N127,S127)</f>
        <v/>
      </c>
    </row>
    <row r="128">
      <c r="A128" s="6" t="n">
        <v>45203015</v>
      </c>
      <c r="B128" s="6" t="inlineStr">
        <is>
          <t>Electronic Components</t>
        </is>
      </c>
      <c r="C128" s="6" t="n">
        <v>45</v>
      </c>
      <c r="D128" s="6" t="n">
        <v>452030</v>
      </c>
      <c r="E128" s="6" t="n">
        <v>4520</v>
      </c>
      <c r="F128" s="39">
        <f>IFERROR(INDEX('9_UK_Vol_Input'!$D$127:$D$289,MATCH($A128,'9_UK_Vol_Input'!$A$127:$A$289,0)),"")</f>
        <v/>
      </c>
      <c r="G128" s="40">
        <f>IFERROR(INDEX('9_UK_Vol_Input'!$E$127:$E$289,MATCH($A128,'9_UK_Vol_Input'!$A$127:$A$289,0)),"")</f>
        <v/>
      </c>
      <c r="H128" s="39">
        <f>IFERROR(INDEX('9_UK_Vol_Input'!$D$49:$D$122,MATCH($D128,'9_UK_Vol_Input'!$A$49:$A$122,0)),"")</f>
        <v/>
      </c>
      <c r="I128" s="40">
        <f>IFERROR(INDEX('9_UK_Vol_Input'!$E$49:$E$122,MATCH($D128,'9_UK_Vol_Input'!$A$49:$A$122,0)),"")</f>
        <v/>
      </c>
      <c r="J128" s="39">
        <f>IFERROR(INDEX('9_UK_Vol_Input'!$D$20:$D$44,MATCH($E128,'9_UK_Vol_Input'!$A$20:$A$44,0)),"")</f>
        <v/>
      </c>
      <c r="K128" s="40">
        <f>IFERROR(INDEX('9_UK_Vol_Input'!$E$20:$E$44,MATCH($E128,'9_UK_Vol_Input'!$A$20:$A$44,0)),"")</f>
        <v/>
      </c>
      <c r="L128" s="39">
        <f>IFERROR(INDEX('9_UK_Vol_Input'!$D$5:$D$15,MATCH($C128,'9_UK_Vol_Input'!$A$5:$A$15,0)),"")</f>
        <v/>
      </c>
      <c r="M128" s="40">
        <f>IFERROR(INDEX('9_UK_Vol_Input'!$E$5:$E$15,MATCH($C128,'9_UK_Vol_Input'!$A$5:$A$15,0)),"")</f>
        <v/>
      </c>
      <c r="N128" s="22">
        <f>IF(F128&lt;&gt;"",F128/(1+G128),IF(H128&lt;&gt;"",H128/(1+I128),IF(J128&lt;&gt;"",J128/(1+K128),IF(L128&lt;&gt;"",L128/(1+M128),""))))</f>
        <v/>
      </c>
      <c r="O128" s="36">
        <f>IFERROR(INDEX('7_UK_Beta_Input'!$D$127:$D$289,MATCH($A128,'7_UK_Beta_Input'!$A$127:$A$289,0)),"")</f>
        <v/>
      </c>
      <c r="P128" s="36">
        <f>IFERROR(INDEX('7_UK_Beta_Input'!$D$49:$D$122,MATCH($D128,'7_UK_Beta_Input'!$A$49:$A$122,0)),"")</f>
        <v/>
      </c>
      <c r="Q128" s="36">
        <f>IFERROR(INDEX('7_UK_Beta_Input'!$D$20:$D$44,MATCH($E128,'7_UK_Beta_Input'!$A$20:$A$44,0)),"")</f>
        <v/>
      </c>
      <c r="R128" s="36">
        <f>IFERROR(INDEX('7_UK_Beta_Input'!$D$5:$D$15,MATCH($C128,'7_UK_Beta_Input'!$A$5:$A$15,0)),"")</f>
        <v/>
      </c>
      <c r="S128" s="22">
        <f>IF(O128&lt;&gt;"",O128*'6_Credit_Bridge_Assumptions'!$B$8,IF(P128&lt;&gt;"",P128*'6_Credit_Bridge_Assumptions'!$B$8,IF(Q128&lt;&gt;"",Q128*'6_Credit_Bridge_Assumptions'!$B$8,IF(R128&lt;&gt;"",R128*'6_Credit_Bridge_Assumptions'!$B$8,""))))</f>
        <v/>
      </c>
      <c r="T128" s="22">
        <f>IF(N128&lt;&gt;"",N128,S128)</f>
        <v/>
      </c>
    </row>
    <row r="129">
      <c r="A129" s="6" t="n">
        <v>45203020</v>
      </c>
      <c r="B129" s="6" t="inlineStr">
        <is>
          <t>Electronic Manufacturing Services</t>
        </is>
      </c>
      <c r="C129" s="6" t="n">
        <v>45</v>
      </c>
      <c r="D129" s="6" t="n">
        <v>452030</v>
      </c>
      <c r="E129" s="6" t="n">
        <v>4520</v>
      </c>
      <c r="F129" s="39">
        <f>IFERROR(INDEX('9_UK_Vol_Input'!$D$127:$D$289,MATCH($A129,'9_UK_Vol_Input'!$A$127:$A$289,0)),"")</f>
        <v/>
      </c>
      <c r="G129" s="40">
        <f>IFERROR(INDEX('9_UK_Vol_Input'!$E$127:$E$289,MATCH($A129,'9_UK_Vol_Input'!$A$127:$A$289,0)),"")</f>
        <v/>
      </c>
      <c r="H129" s="39">
        <f>IFERROR(INDEX('9_UK_Vol_Input'!$D$49:$D$122,MATCH($D129,'9_UK_Vol_Input'!$A$49:$A$122,0)),"")</f>
        <v/>
      </c>
      <c r="I129" s="40">
        <f>IFERROR(INDEX('9_UK_Vol_Input'!$E$49:$E$122,MATCH($D129,'9_UK_Vol_Input'!$A$49:$A$122,0)),"")</f>
        <v/>
      </c>
      <c r="J129" s="39">
        <f>IFERROR(INDEX('9_UK_Vol_Input'!$D$20:$D$44,MATCH($E129,'9_UK_Vol_Input'!$A$20:$A$44,0)),"")</f>
        <v/>
      </c>
      <c r="K129" s="40">
        <f>IFERROR(INDEX('9_UK_Vol_Input'!$E$20:$E$44,MATCH($E129,'9_UK_Vol_Input'!$A$20:$A$44,0)),"")</f>
        <v/>
      </c>
      <c r="L129" s="39">
        <f>IFERROR(INDEX('9_UK_Vol_Input'!$D$5:$D$15,MATCH($C129,'9_UK_Vol_Input'!$A$5:$A$15,0)),"")</f>
        <v/>
      </c>
      <c r="M129" s="40">
        <f>IFERROR(INDEX('9_UK_Vol_Input'!$E$5:$E$15,MATCH($C129,'9_UK_Vol_Input'!$A$5:$A$15,0)),"")</f>
        <v/>
      </c>
      <c r="N129" s="22">
        <f>IF(F129&lt;&gt;"",F129/(1+G129),IF(H129&lt;&gt;"",H129/(1+I129),IF(J129&lt;&gt;"",J129/(1+K129),IF(L129&lt;&gt;"",L129/(1+M129),""))))</f>
        <v/>
      </c>
      <c r="O129" s="36">
        <f>IFERROR(INDEX('7_UK_Beta_Input'!$D$127:$D$289,MATCH($A129,'7_UK_Beta_Input'!$A$127:$A$289,0)),"")</f>
        <v/>
      </c>
      <c r="P129" s="36">
        <f>IFERROR(INDEX('7_UK_Beta_Input'!$D$49:$D$122,MATCH($D129,'7_UK_Beta_Input'!$A$49:$A$122,0)),"")</f>
        <v/>
      </c>
      <c r="Q129" s="36">
        <f>IFERROR(INDEX('7_UK_Beta_Input'!$D$20:$D$44,MATCH($E129,'7_UK_Beta_Input'!$A$20:$A$44,0)),"")</f>
        <v/>
      </c>
      <c r="R129" s="36">
        <f>IFERROR(INDEX('7_UK_Beta_Input'!$D$5:$D$15,MATCH($C129,'7_UK_Beta_Input'!$A$5:$A$15,0)),"")</f>
        <v/>
      </c>
      <c r="S129" s="22">
        <f>IF(O129&lt;&gt;"",O129*'6_Credit_Bridge_Assumptions'!$B$8,IF(P129&lt;&gt;"",P129*'6_Credit_Bridge_Assumptions'!$B$8,IF(Q129&lt;&gt;"",Q129*'6_Credit_Bridge_Assumptions'!$B$8,IF(R129&lt;&gt;"",R129*'6_Credit_Bridge_Assumptions'!$B$8,""))))</f>
        <v/>
      </c>
      <c r="T129" s="22">
        <f>IF(N129&lt;&gt;"",N129,S129)</f>
        <v/>
      </c>
    </row>
    <row r="130">
      <c r="A130" s="6" t="n">
        <v>45203030</v>
      </c>
      <c r="B130" s="6" t="inlineStr">
        <is>
          <t>Technology Distributors</t>
        </is>
      </c>
      <c r="C130" s="6" t="n">
        <v>45</v>
      </c>
      <c r="D130" s="6" t="n">
        <v>452030</v>
      </c>
      <c r="E130" s="6" t="n">
        <v>4520</v>
      </c>
      <c r="F130" s="39">
        <f>IFERROR(INDEX('9_UK_Vol_Input'!$D$127:$D$289,MATCH($A130,'9_UK_Vol_Input'!$A$127:$A$289,0)),"")</f>
        <v/>
      </c>
      <c r="G130" s="40">
        <f>IFERROR(INDEX('9_UK_Vol_Input'!$E$127:$E$289,MATCH($A130,'9_UK_Vol_Input'!$A$127:$A$289,0)),"")</f>
        <v/>
      </c>
      <c r="H130" s="39">
        <f>IFERROR(INDEX('9_UK_Vol_Input'!$D$49:$D$122,MATCH($D130,'9_UK_Vol_Input'!$A$49:$A$122,0)),"")</f>
        <v/>
      </c>
      <c r="I130" s="40">
        <f>IFERROR(INDEX('9_UK_Vol_Input'!$E$49:$E$122,MATCH($D130,'9_UK_Vol_Input'!$A$49:$A$122,0)),"")</f>
        <v/>
      </c>
      <c r="J130" s="39">
        <f>IFERROR(INDEX('9_UK_Vol_Input'!$D$20:$D$44,MATCH($E130,'9_UK_Vol_Input'!$A$20:$A$44,0)),"")</f>
        <v/>
      </c>
      <c r="K130" s="40">
        <f>IFERROR(INDEX('9_UK_Vol_Input'!$E$20:$E$44,MATCH($E130,'9_UK_Vol_Input'!$A$20:$A$44,0)),"")</f>
        <v/>
      </c>
      <c r="L130" s="39">
        <f>IFERROR(INDEX('9_UK_Vol_Input'!$D$5:$D$15,MATCH($C130,'9_UK_Vol_Input'!$A$5:$A$15,0)),"")</f>
        <v/>
      </c>
      <c r="M130" s="40">
        <f>IFERROR(INDEX('9_UK_Vol_Input'!$E$5:$E$15,MATCH($C130,'9_UK_Vol_Input'!$A$5:$A$15,0)),"")</f>
        <v/>
      </c>
      <c r="N130" s="22">
        <f>IF(F130&lt;&gt;"",F130/(1+G130),IF(H130&lt;&gt;"",H130/(1+I130),IF(J130&lt;&gt;"",J130/(1+K130),IF(L130&lt;&gt;"",L130/(1+M130),""))))</f>
        <v/>
      </c>
      <c r="O130" s="36">
        <f>IFERROR(INDEX('7_UK_Beta_Input'!$D$127:$D$289,MATCH($A130,'7_UK_Beta_Input'!$A$127:$A$289,0)),"")</f>
        <v/>
      </c>
      <c r="P130" s="36">
        <f>IFERROR(INDEX('7_UK_Beta_Input'!$D$49:$D$122,MATCH($D130,'7_UK_Beta_Input'!$A$49:$A$122,0)),"")</f>
        <v/>
      </c>
      <c r="Q130" s="36">
        <f>IFERROR(INDEX('7_UK_Beta_Input'!$D$20:$D$44,MATCH($E130,'7_UK_Beta_Input'!$A$20:$A$44,0)),"")</f>
        <v/>
      </c>
      <c r="R130" s="36">
        <f>IFERROR(INDEX('7_UK_Beta_Input'!$D$5:$D$15,MATCH($C130,'7_UK_Beta_Input'!$A$5:$A$15,0)),"")</f>
        <v/>
      </c>
      <c r="S130" s="22">
        <f>IF(O130&lt;&gt;"",O130*'6_Credit_Bridge_Assumptions'!$B$8,IF(P130&lt;&gt;"",P130*'6_Credit_Bridge_Assumptions'!$B$8,IF(Q130&lt;&gt;"",Q130*'6_Credit_Bridge_Assumptions'!$B$8,IF(R130&lt;&gt;"",R130*'6_Credit_Bridge_Assumptions'!$B$8,""))))</f>
        <v/>
      </c>
      <c r="T130" s="22">
        <f>IF(N130&lt;&gt;"",N130,S130)</f>
        <v/>
      </c>
    </row>
    <row r="131">
      <c r="A131" s="6" t="n">
        <v>45301010</v>
      </c>
      <c r="B131" s="6" t="inlineStr">
        <is>
          <t>Semiconductor Materials &amp; Equipment</t>
        </is>
      </c>
      <c r="C131" s="6" t="n">
        <v>45</v>
      </c>
      <c r="D131" s="6" t="n">
        <v>453010</v>
      </c>
      <c r="E131" s="6" t="n">
        <v>4530</v>
      </c>
      <c r="F131" s="39">
        <f>IFERROR(INDEX('9_UK_Vol_Input'!$D$127:$D$289,MATCH($A131,'9_UK_Vol_Input'!$A$127:$A$289,0)),"")</f>
        <v/>
      </c>
      <c r="G131" s="40">
        <f>IFERROR(INDEX('9_UK_Vol_Input'!$E$127:$E$289,MATCH($A131,'9_UK_Vol_Input'!$A$127:$A$289,0)),"")</f>
        <v/>
      </c>
      <c r="H131" s="39">
        <f>IFERROR(INDEX('9_UK_Vol_Input'!$D$49:$D$122,MATCH($D131,'9_UK_Vol_Input'!$A$49:$A$122,0)),"")</f>
        <v/>
      </c>
      <c r="I131" s="40">
        <f>IFERROR(INDEX('9_UK_Vol_Input'!$E$49:$E$122,MATCH($D131,'9_UK_Vol_Input'!$A$49:$A$122,0)),"")</f>
        <v/>
      </c>
      <c r="J131" s="39">
        <f>IFERROR(INDEX('9_UK_Vol_Input'!$D$20:$D$44,MATCH($E131,'9_UK_Vol_Input'!$A$20:$A$44,0)),"")</f>
        <v/>
      </c>
      <c r="K131" s="40">
        <f>IFERROR(INDEX('9_UK_Vol_Input'!$E$20:$E$44,MATCH($E131,'9_UK_Vol_Input'!$A$20:$A$44,0)),"")</f>
        <v/>
      </c>
      <c r="L131" s="39">
        <f>IFERROR(INDEX('9_UK_Vol_Input'!$D$5:$D$15,MATCH($C131,'9_UK_Vol_Input'!$A$5:$A$15,0)),"")</f>
        <v/>
      </c>
      <c r="M131" s="40">
        <f>IFERROR(INDEX('9_UK_Vol_Input'!$E$5:$E$15,MATCH($C131,'9_UK_Vol_Input'!$A$5:$A$15,0)),"")</f>
        <v/>
      </c>
      <c r="N131" s="22">
        <f>IF(F131&lt;&gt;"",F131/(1+G131),IF(H131&lt;&gt;"",H131/(1+I131),IF(J131&lt;&gt;"",J131/(1+K131),IF(L131&lt;&gt;"",L131/(1+M131),""))))</f>
        <v/>
      </c>
      <c r="O131" s="36">
        <f>IFERROR(INDEX('7_UK_Beta_Input'!$D$127:$D$289,MATCH($A131,'7_UK_Beta_Input'!$A$127:$A$289,0)),"")</f>
        <v/>
      </c>
      <c r="P131" s="36">
        <f>IFERROR(INDEX('7_UK_Beta_Input'!$D$49:$D$122,MATCH($D131,'7_UK_Beta_Input'!$A$49:$A$122,0)),"")</f>
        <v/>
      </c>
      <c r="Q131" s="36">
        <f>IFERROR(INDEX('7_UK_Beta_Input'!$D$20:$D$44,MATCH($E131,'7_UK_Beta_Input'!$A$20:$A$44,0)),"")</f>
        <v/>
      </c>
      <c r="R131" s="36">
        <f>IFERROR(INDEX('7_UK_Beta_Input'!$D$5:$D$15,MATCH($C131,'7_UK_Beta_Input'!$A$5:$A$15,0)),"")</f>
        <v/>
      </c>
      <c r="S131" s="22">
        <f>IF(O131&lt;&gt;"",O131*'6_Credit_Bridge_Assumptions'!$B$8,IF(P131&lt;&gt;"",P131*'6_Credit_Bridge_Assumptions'!$B$8,IF(Q131&lt;&gt;"",Q131*'6_Credit_Bridge_Assumptions'!$B$8,IF(R131&lt;&gt;"",R131*'6_Credit_Bridge_Assumptions'!$B$8,""))))</f>
        <v/>
      </c>
      <c r="T131" s="22">
        <f>IF(N131&lt;&gt;"",N131,S131)</f>
        <v/>
      </c>
    </row>
    <row r="132">
      <c r="A132" s="6" t="n">
        <v>45301020</v>
      </c>
      <c r="B132" s="6" t="inlineStr">
        <is>
          <t>Semiconductors</t>
        </is>
      </c>
      <c r="C132" s="6" t="n">
        <v>45</v>
      </c>
      <c r="D132" s="6" t="n">
        <v>453010</v>
      </c>
      <c r="E132" s="6" t="n">
        <v>4530</v>
      </c>
      <c r="F132" s="39">
        <f>IFERROR(INDEX('9_UK_Vol_Input'!$D$127:$D$289,MATCH($A132,'9_UK_Vol_Input'!$A$127:$A$289,0)),"")</f>
        <v/>
      </c>
      <c r="G132" s="40">
        <f>IFERROR(INDEX('9_UK_Vol_Input'!$E$127:$E$289,MATCH($A132,'9_UK_Vol_Input'!$A$127:$A$289,0)),"")</f>
        <v/>
      </c>
      <c r="H132" s="39">
        <f>IFERROR(INDEX('9_UK_Vol_Input'!$D$49:$D$122,MATCH($D132,'9_UK_Vol_Input'!$A$49:$A$122,0)),"")</f>
        <v/>
      </c>
      <c r="I132" s="40">
        <f>IFERROR(INDEX('9_UK_Vol_Input'!$E$49:$E$122,MATCH($D132,'9_UK_Vol_Input'!$A$49:$A$122,0)),"")</f>
        <v/>
      </c>
      <c r="J132" s="39">
        <f>IFERROR(INDEX('9_UK_Vol_Input'!$D$20:$D$44,MATCH($E132,'9_UK_Vol_Input'!$A$20:$A$44,0)),"")</f>
        <v/>
      </c>
      <c r="K132" s="40">
        <f>IFERROR(INDEX('9_UK_Vol_Input'!$E$20:$E$44,MATCH($E132,'9_UK_Vol_Input'!$A$20:$A$44,0)),"")</f>
        <v/>
      </c>
      <c r="L132" s="39">
        <f>IFERROR(INDEX('9_UK_Vol_Input'!$D$5:$D$15,MATCH($C132,'9_UK_Vol_Input'!$A$5:$A$15,0)),"")</f>
        <v/>
      </c>
      <c r="M132" s="40">
        <f>IFERROR(INDEX('9_UK_Vol_Input'!$E$5:$E$15,MATCH($C132,'9_UK_Vol_Input'!$A$5:$A$15,0)),"")</f>
        <v/>
      </c>
      <c r="N132" s="22">
        <f>IF(F132&lt;&gt;"",F132/(1+G132),IF(H132&lt;&gt;"",H132/(1+I132),IF(J132&lt;&gt;"",J132/(1+K132),IF(L132&lt;&gt;"",L132/(1+M132),""))))</f>
        <v/>
      </c>
      <c r="O132" s="36">
        <f>IFERROR(INDEX('7_UK_Beta_Input'!$D$127:$D$289,MATCH($A132,'7_UK_Beta_Input'!$A$127:$A$289,0)),"")</f>
        <v/>
      </c>
      <c r="P132" s="36">
        <f>IFERROR(INDEX('7_UK_Beta_Input'!$D$49:$D$122,MATCH($D132,'7_UK_Beta_Input'!$A$49:$A$122,0)),"")</f>
        <v/>
      </c>
      <c r="Q132" s="36">
        <f>IFERROR(INDEX('7_UK_Beta_Input'!$D$20:$D$44,MATCH($E132,'7_UK_Beta_Input'!$A$20:$A$44,0)),"")</f>
        <v/>
      </c>
      <c r="R132" s="36">
        <f>IFERROR(INDEX('7_UK_Beta_Input'!$D$5:$D$15,MATCH($C132,'7_UK_Beta_Input'!$A$5:$A$15,0)),"")</f>
        <v/>
      </c>
      <c r="S132" s="22">
        <f>IF(O132&lt;&gt;"",O132*'6_Credit_Bridge_Assumptions'!$B$8,IF(P132&lt;&gt;"",P132*'6_Credit_Bridge_Assumptions'!$B$8,IF(Q132&lt;&gt;"",Q132*'6_Credit_Bridge_Assumptions'!$B$8,IF(R132&lt;&gt;"",R132*'6_Credit_Bridge_Assumptions'!$B$8,""))))</f>
        <v/>
      </c>
      <c r="T132" s="22">
        <f>IF(N132&lt;&gt;"",N132,S132)</f>
        <v/>
      </c>
    </row>
    <row r="133">
      <c r="A133" s="6" t="n">
        <v>50101010</v>
      </c>
      <c r="B133" s="6" t="inlineStr">
        <is>
          <t>Alternative Carriers</t>
        </is>
      </c>
      <c r="C133" s="6" t="n">
        <v>50</v>
      </c>
      <c r="D133" s="6" t="n">
        <v>501010</v>
      </c>
      <c r="E133" s="6" t="n">
        <v>5010</v>
      </c>
      <c r="F133" s="39">
        <f>IFERROR(INDEX('9_UK_Vol_Input'!$D$127:$D$289,MATCH($A133,'9_UK_Vol_Input'!$A$127:$A$289,0)),"")</f>
        <v/>
      </c>
      <c r="G133" s="40">
        <f>IFERROR(INDEX('9_UK_Vol_Input'!$E$127:$E$289,MATCH($A133,'9_UK_Vol_Input'!$A$127:$A$289,0)),"")</f>
        <v/>
      </c>
      <c r="H133" s="39">
        <f>IFERROR(INDEX('9_UK_Vol_Input'!$D$49:$D$122,MATCH($D133,'9_UK_Vol_Input'!$A$49:$A$122,0)),"")</f>
        <v/>
      </c>
      <c r="I133" s="40">
        <f>IFERROR(INDEX('9_UK_Vol_Input'!$E$49:$E$122,MATCH($D133,'9_UK_Vol_Input'!$A$49:$A$122,0)),"")</f>
        <v/>
      </c>
      <c r="J133" s="39">
        <f>IFERROR(INDEX('9_UK_Vol_Input'!$D$20:$D$44,MATCH($E133,'9_UK_Vol_Input'!$A$20:$A$44,0)),"")</f>
        <v/>
      </c>
      <c r="K133" s="40">
        <f>IFERROR(INDEX('9_UK_Vol_Input'!$E$20:$E$44,MATCH($E133,'9_UK_Vol_Input'!$A$20:$A$44,0)),"")</f>
        <v/>
      </c>
      <c r="L133" s="39">
        <f>IFERROR(INDEX('9_UK_Vol_Input'!$D$5:$D$15,MATCH($C133,'9_UK_Vol_Input'!$A$5:$A$15,0)),"")</f>
        <v/>
      </c>
      <c r="M133" s="40">
        <f>IFERROR(INDEX('9_UK_Vol_Input'!$E$5:$E$15,MATCH($C133,'9_UK_Vol_Input'!$A$5:$A$15,0)),"")</f>
        <v/>
      </c>
      <c r="N133" s="22">
        <f>IF(F133&lt;&gt;"",F133/(1+G133),IF(H133&lt;&gt;"",H133/(1+I133),IF(J133&lt;&gt;"",J133/(1+K133),IF(L133&lt;&gt;"",L133/(1+M133),""))))</f>
        <v/>
      </c>
      <c r="O133" s="36">
        <f>IFERROR(INDEX('7_UK_Beta_Input'!$D$127:$D$289,MATCH($A133,'7_UK_Beta_Input'!$A$127:$A$289,0)),"")</f>
        <v/>
      </c>
      <c r="P133" s="36">
        <f>IFERROR(INDEX('7_UK_Beta_Input'!$D$49:$D$122,MATCH($D133,'7_UK_Beta_Input'!$A$49:$A$122,0)),"")</f>
        <v/>
      </c>
      <c r="Q133" s="36">
        <f>IFERROR(INDEX('7_UK_Beta_Input'!$D$20:$D$44,MATCH($E133,'7_UK_Beta_Input'!$A$20:$A$44,0)),"")</f>
        <v/>
      </c>
      <c r="R133" s="36">
        <f>IFERROR(INDEX('7_UK_Beta_Input'!$D$5:$D$15,MATCH($C133,'7_UK_Beta_Input'!$A$5:$A$15,0)),"")</f>
        <v/>
      </c>
      <c r="S133" s="22">
        <f>IF(O133&lt;&gt;"",O133*'6_Credit_Bridge_Assumptions'!$B$8,IF(P133&lt;&gt;"",P133*'6_Credit_Bridge_Assumptions'!$B$8,IF(Q133&lt;&gt;"",Q133*'6_Credit_Bridge_Assumptions'!$B$8,IF(R133&lt;&gt;"",R133*'6_Credit_Bridge_Assumptions'!$B$8,""))))</f>
        <v/>
      </c>
      <c r="T133" s="22">
        <f>IF(N133&lt;&gt;"",N133,S133)</f>
        <v/>
      </c>
    </row>
    <row r="134">
      <c r="A134" s="6" t="n">
        <v>50101020</v>
      </c>
      <c r="B134" s="6" t="inlineStr">
        <is>
          <t>Integrated Telecommunication Services</t>
        </is>
      </c>
      <c r="C134" s="6" t="n">
        <v>50</v>
      </c>
      <c r="D134" s="6" t="n">
        <v>501010</v>
      </c>
      <c r="E134" s="6" t="n">
        <v>5010</v>
      </c>
      <c r="F134" s="39">
        <f>IFERROR(INDEX('9_UK_Vol_Input'!$D$127:$D$289,MATCH($A134,'9_UK_Vol_Input'!$A$127:$A$289,0)),"")</f>
        <v/>
      </c>
      <c r="G134" s="40">
        <f>IFERROR(INDEX('9_UK_Vol_Input'!$E$127:$E$289,MATCH($A134,'9_UK_Vol_Input'!$A$127:$A$289,0)),"")</f>
        <v/>
      </c>
      <c r="H134" s="39">
        <f>IFERROR(INDEX('9_UK_Vol_Input'!$D$49:$D$122,MATCH($D134,'9_UK_Vol_Input'!$A$49:$A$122,0)),"")</f>
        <v/>
      </c>
      <c r="I134" s="40">
        <f>IFERROR(INDEX('9_UK_Vol_Input'!$E$49:$E$122,MATCH($D134,'9_UK_Vol_Input'!$A$49:$A$122,0)),"")</f>
        <v/>
      </c>
      <c r="J134" s="39">
        <f>IFERROR(INDEX('9_UK_Vol_Input'!$D$20:$D$44,MATCH($E134,'9_UK_Vol_Input'!$A$20:$A$44,0)),"")</f>
        <v/>
      </c>
      <c r="K134" s="40">
        <f>IFERROR(INDEX('9_UK_Vol_Input'!$E$20:$E$44,MATCH($E134,'9_UK_Vol_Input'!$A$20:$A$44,0)),"")</f>
        <v/>
      </c>
      <c r="L134" s="39">
        <f>IFERROR(INDEX('9_UK_Vol_Input'!$D$5:$D$15,MATCH($C134,'9_UK_Vol_Input'!$A$5:$A$15,0)),"")</f>
        <v/>
      </c>
      <c r="M134" s="40">
        <f>IFERROR(INDEX('9_UK_Vol_Input'!$E$5:$E$15,MATCH($C134,'9_UK_Vol_Input'!$A$5:$A$15,0)),"")</f>
        <v/>
      </c>
      <c r="N134" s="22">
        <f>IF(F134&lt;&gt;"",F134/(1+G134),IF(H134&lt;&gt;"",H134/(1+I134),IF(J134&lt;&gt;"",J134/(1+K134),IF(L134&lt;&gt;"",L134/(1+M134),""))))</f>
        <v/>
      </c>
      <c r="O134" s="36">
        <f>IFERROR(INDEX('7_UK_Beta_Input'!$D$127:$D$289,MATCH($A134,'7_UK_Beta_Input'!$A$127:$A$289,0)),"")</f>
        <v/>
      </c>
      <c r="P134" s="36">
        <f>IFERROR(INDEX('7_UK_Beta_Input'!$D$49:$D$122,MATCH($D134,'7_UK_Beta_Input'!$A$49:$A$122,0)),"")</f>
        <v/>
      </c>
      <c r="Q134" s="36">
        <f>IFERROR(INDEX('7_UK_Beta_Input'!$D$20:$D$44,MATCH($E134,'7_UK_Beta_Input'!$A$20:$A$44,0)),"")</f>
        <v/>
      </c>
      <c r="R134" s="36">
        <f>IFERROR(INDEX('7_UK_Beta_Input'!$D$5:$D$15,MATCH($C134,'7_UK_Beta_Input'!$A$5:$A$15,0)),"")</f>
        <v/>
      </c>
      <c r="S134" s="22">
        <f>IF(O134&lt;&gt;"",O134*'6_Credit_Bridge_Assumptions'!$B$8,IF(P134&lt;&gt;"",P134*'6_Credit_Bridge_Assumptions'!$B$8,IF(Q134&lt;&gt;"",Q134*'6_Credit_Bridge_Assumptions'!$B$8,IF(R134&lt;&gt;"",R134*'6_Credit_Bridge_Assumptions'!$B$8,""))))</f>
        <v/>
      </c>
      <c r="T134" s="22">
        <f>IF(N134&lt;&gt;"",N134,S134)</f>
        <v/>
      </c>
    </row>
    <row r="135">
      <c r="A135" s="6" t="n">
        <v>50102010</v>
      </c>
      <c r="B135" s="6" t="inlineStr">
        <is>
          <t>Wireless Telecommunication Services</t>
        </is>
      </c>
      <c r="C135" s="6" t="n">
        <v>50</v>
      </c>
      <c r="D135" s="6" t="n">
        <v>501020</v>
      </c>
      <c r="E135" s="6" t="n">
        <v>5010</v>
      </c>
      <c r="F135" s="39">
        <f>IFERROR(INDEX('9_UK_Vol_Input'!$D$127:$D$289,MATCH($A135,'9_UK_Vol_Input'!$A$127:$A$289,0)),"")</f>
        <v/>
      </c>
      <c r="G135" s="40">
        <f>IFERROR(INDEX('9_UK_Vol_Input'!$E$127:$E$289,MATCH($A135,'9_UK_Vol_Input'!$A$127:$A$289,0)),"")</f>
        <v/>
      </c>
      <c r="H135" s="39">
        <f>IFERROR(INDEX('9_UK_Vol_Input'!$D$49:$D$122,MATCH($D135,'9_UK_Vol_Input'!$A$49:$A$122,0)),"")</f>
        <v/>
      </c>
      <c r="I135" s="40">
        <f>IFERROR(INDEX('9_UK_Vol_Input'!$E$49:$E$122,MATCH($D135,'9_UK_Vol_Input'!$A$49:$A$122,0)),"")</f>
        <v/>
      </c>
      <c r="J135" s="39">
        <f>IFERROR(INDEX('9_UK_Vol_Input'!$D$20:$D$44,MATCH($E135,'9_UK_Vol_Input'!$A$20:$A$44,0)),"")</f>
        <v/>
      </c>
      <c r="K135" s="40">
        <f>IFERROR(INDEX('9_UK_Vol_Input'!$E$20:$E$44,MATCH($E135,'9_UK_Vol_Input'!$A$20:$A$44,0)),"")</f>
        <v/>
      </c>
      <c r="L135" s="39">
        <f>IFERROR(INDEX('9_UK_Vol_Input'!$D$5:$D$15,MATCH($C135,'9_UK_Vol_Input'!$A$5:$A$15,0)),"")</f>
        <v/>
      </c>
      <c r="M135" s="40">
        <f>IFERROR(INDEX('9_UK_Vol_Input'!$E$5:$E$15,MATCH($C135,'9_UK_Vol_Input'!$A$5:$A$15,0)),"")</f>
        <v/>
      </c>
      <c r="N135" s="22">
        <f>IF(F135&lt;&gt;"",F135/(1+G135),IF(H135&lt;&gt;"",H135/(1+I135),IF(J135&lt;&gt;"",J135/(1+K135),IF(L135&lt;&gt;"",L135/(1+M135),""))))</f>
        <v/>
      </c>
      <c r="O135" s="36">
        <f>IFERROR(INDEX('7_UK_Beta_Input'!$D$127:$D$289,MATCH($A135,'7_UK_Beta_Input'!$A$127:$A$289,0)),"")</f>
        <v/>
      </c>
      <c r="P135" s="36">
        <f>IFERROR(INDEX('7_UK_Beta_Input'!$D$49:$D$122,MATCH($D135,'7_UK_Beta_Input'!$A$49:$A$122,0)),"")</f>
        <v/>
      </c>
      <c r="Q135" s="36">
        <f>IFERROR(INDEX('7_UK_Beta_Input'!$D$20:$D$44,MATCH($E135,'7_UK_Beta_Input'!$A$20:$A$44,0)),"")</f>
        <v/>
      </c>
      <c r="R135" s="36">
        <f>IFERROR(INDEX('7_UK_Beta_Input'!$D$5:$D$15,MATCH($C135,'7_UK_Beta_Input'!$A$5:$A$15,0)),"")</f>
        <v/>
      </c>
      <c r="S135" s="22">
        <f>IF(O135&lt;&gt;"",O135*'6_Credit_Bridge_Assumptions'!$B$8,IF(P135&lt;&gt;"",P135*'6_Credit_Bridge_Assumptions'!$B$8,IF(Q135&lt;&gt;"",Q135*'6_Credit_Bridge_Assumptions'!$B$8,IF(R135&lt;&gt;"",R135*'6_Credit_Bridge_Assumptions'!$B$8,""))))</f>
        <v/>
      </c>
      <c r="T135" s="22">
        <f>IF(N135&lt;&gt;"",N135,S135)</f>
        <v/>
      </c>
    </row>
    <row r="136">
      <c r="A136" s="6" t="n">
        <v>50201010</v>
      </c>
      <c r="B136" s="6" t="inlineStr">
        <is>
          <t>Advertising</t>
        </is>
      </c>
      <c r="C136" s="6" t="n">
        <v>50</v>
      </c>
      <c r="D136" s="6" t="n">
        <v>502010</v>
      </c>
      <c r="E136" s="6" t="n">
        <v>5020</v>
      </c>
      <c r="F136" s="39">
        <f>IFERROR(INDEX('9_UK_Vol_Input'!$D$127:$D$289,MATCH($A136,'9_UK_Vol_Input'!$A$127:$A$289,0)),"")</f>
        <v/>
      </c>
      <c r="G136" s="40">
        <f>IFERROR(INDEX('9_UK_Vol_Input'!$E$127:$E$289,MATCH($A136,'9_UK_Vol_Input'!$A$127:$A$289,0)),"")</f>
        <v/>
      </c>
      <c r="H136" s="39">
        <f>IFERROR(INDEX('9_UK_Vol_Input'!$D$49:$D$122,MATCH($D136,'9_UK_Vol_Input'!$A$49:$A$122,0)),"")</f>
        <v/>
      </c>
      <c r="I136" s="40">
        <f>IFERROR(INDEX('9_UK_Vol_Input'!$E$49:$E$122,MATCH($D136,'9_UK_Vol_Input'!$A$49:$A$122,0)),"")</f>
        <v/>
      </c>
      <c r="J136" s="39">
        <f>IFERROR(INDEX('9_UK_Vol_Input'!$D$20:$D$44,MATCH($E136,'9_UK_Vol_Input'!$A$20:$A$44,0)),"")</f>
        <v/>
      </c>
      <c r="K136" s="40">
        <f>IFERROR(INDEX('9_UK_Vol_Input'!$E$20:$E$44,MATCH($E136,'9_UK_Vol_Input'!$A$20:$A$44,0)),"")</f>
        <v/>
      </c>
      <c r="L136" s="39">
        <f>IFERROR(INDEX('9_UK_Vol_Input'!$D$5:$D$15,MATCH($C136,'9_UK_Vol_Input'!$A$5:$A$15,0)),"")</f>
        <v/>
      </c>
      <c r="M136" s="40">
        <f>IFERROR(INDEX('9_UK_Vol_Input'!$E$5:$E$15,MATCH($C136,'9_UK_Vol_Input'!$A$5:$A$15,0)),"")</f>
        <v/>
      </c>
      <c r="N136" s="22">
        <f>IF(F136&lt;&gt;"",F136/(1+G136),IF(H136&lt;&gt;"",H136/(1+I136),IF(J136&lt;&gt;"",J136/(1+K136),IF(L136&lt;&gt;"",L136/(1+M136),""))))</f>
        <v/>
      </c>
      <c r="O136" s="36">
        <f>IFERROR(INDEX('7_UK_Beta_Input'!$D$127:$D$289,MATCH($A136,'7_UK_Beta_Input'!$A$127:$A$289,0)),"")</f>
        <v/>
      </c>
      <c r="P136" s="36">
        <f>IFERROR(INDEX('7_UK_Beta_Input'!$D$49:$D$122,MATCH($D136,'7_UK_Beta_Input'!$A$49:$A$122,0)),"")</f>
        <v/>
      </c>
      <c r="Q136" s="36">
        <f>IFERROR(INDEX('7_UK_Beta_Input'!$D$20:$D$44,MATCH($E136,'7_UK_Beta_Input'!$A$20:$A$44,0)),"")</f>
        <v/>
      </c>
      <c r="R136" s="36">
        <f>IFERROR(INDEX('7_UK_Beta_Input'!$D$5:$D$15,MATCH($C136,'7_UK_Beta_Input'!$A$5:$A$15,0)),"")</f>
        <v/>
      </c>
      <c r="S136" s="22">
        <f>IF(O136&lt;&gt;"",O136*'6_Credit_Bridge_Assumptions'!$B$8,IF(P136&lt;&gt;"",P136*'6_Credit_Bridge_Assumptions'!$B$8,IF(Q136&lt;&gt;"",Q136*'6_Credit_Bridge_Assumptions'!$B$8,IF(R136&lt;&gt;"",R136*'6_Credit_Bridge_Assumptions'!$B$8,""))))</f>
        <v/>
      </c>
      <c r="T136" s="22">
        <f>IF(N136&lt;&gt;"",N136,S136)</f>
        <v/>
      </c>
    </row>
    <row r="137">
      <c r="A137" s="6" t="n">
        <v>50201020</v>
      </c>
      <c r="B137" s="6" t="inlineStr">
        <is>
          <t>Broadcasting</t>
        </is>
      </c>
      <c r="C137" s="6" t="n">
        <v>50</v>
      </c>
      <c r="D137" s="6" t="n">
        <v>502010</v>
      </c>
      <c r="E137" s="6" t="n">
        <v>5020</v>
      </c>
      <c r="F137" s="39">
        <f>IFERROR(INDEX('9_UK_Vol_Input'!$D$127:$D$289,MATCH($A137,'9_UK_Vol_Input'!$A$127:$A$289,0)),"")</f>
        <v/>
      </c>
      <c r="G137" s="40">
        <f>IFERROR(INDEX('9_UK_Vol_Input'!$E$127:$E$289,MATCH($A137,'9_UK_Vol_Input'!$A$127:$A$289,0)),"")</f>
        <v/>
      </c>
      <c r="H137" s="39">
        <f>IFERROR(INDEX('9_UK_Vol_Input'!$D$49:$D$122,MATCH($D137,'9_UK_Vol_Input'!$A$49:$A$122,0)),"")</f>
        <v/>
      </c>
      <c r="I137" s="40">
        <f>IFERROR(INDEX('9_UK_Vol_Input'!$E$49:$E$122,MATCH($D137,'9_UK_Vol_Input'!$A$49:$A$122,0)),"")</f>
        <v/>
      </c>
      <c r="J137" s="39">
        <f>IFERROR(INDEX('9_UK_Vol_Input'!$D$20:$D$44,MATCH($E137,'9_UK_Vol_Input'!$A$20:$A$44,0)),"")</f>
        <v/>
      </c>
      <c r="K137" s="40">
        <f>IFERROR(INDEX('9_UK_Vol_Input'!$E$20:$E$44,MATCH($E137,'9_UK_Vol_Input'!$A$20:$A$44,0)),"")</f>
        <v/>
      </c>
      <c r="L137" s="39">
        <f>IFERROR(INDEX('9_UK_Vol_Input'!$D$5:$D$15,MATCH($C137,'9_UK_Vol_Input'!$A$5:$A$15,0)),"")</f>
        <v/>
      </c>
      <c r="M137" s="40">
        <f>IFERROR(INDEX('9_UK_Vol_Input'!$E$5:$E$15,MATCH($C137,'9_UK_Vol_Input'!$A$5:$A$15,0)),"")</f>
        <v/>
      </c>
      <c r="N137" s="22">
        <f>IF(F137&lt;&gt;"",F137/(1+G137),IF(H137&lt;&gt;"",H137/(1+I137),IF(J137&lt;&gt;"",J137/(1+K137),IF(L137&lt;&gt;"",L137/(1+M137),""))))</f>
        <v/>
      </c>
      <c r="O137" s="36">
        <f>IFERROR(INDEX('7_UK_Beta_Input'!$D$127:$D$289,MATCH($A137,'7_UK_Beta_Input'!$A$127:$A$289,0)),"")</f>
        <v/>
      </c>
      <c r="P137" s="36">
        <f>IFERROR(INDEX('7_UK_Beta_Input'!$D$49:$D$122,MATCH($D137,'7_UK_Beta_Input'!$A$49:$A$122,0)),"")</f>
        <v/>
      </c>
      <c r="Q137" s="36">
        <f>IFERROR(INDEX('7_UK_Beta_Input'!$D$20:$D$44,MATCH($E137,'7_UK_Beta_Input'!$A$20:$A$44,0)),"")</f>
        <v/>
      </c>
      <c r="R137" s="36">
        <f>IFERROR(INDEX('7_UK_Beta_Input'!$D$5:$D$15,MATCH($C137,'7_UK_Beta_Input'!$A$5:$A$15,0)),"")</f>
        <v/>
      </c>
      <c r="S137" s="22">
        <f>IF(O137&lt;&gt;"",O137*'6_Credit_Bridge_Assumptions'!$B$8,IF(P137&lt;&gt;"",P137*'6_Credit_Bridge_Assumptions'!$B$8,IF(Q137&lt;&gt;"",Q137*'6_Credit_Bridge_Assumptions'!$B$8,IF(R137&lt;&gt;"",R137*'6_Credit_Bridge_Assumptions'!$B$8,""))))</f>
        <v/>
      </c>
      <c r="T137" s="22">
        <f>IF(N137&lt;&gt;"",N137,S137)</f>
        <v/>
      </c>
    </row>
    <row r="138">
      <c r="A138" s="6" t="n">
        <v>50201030</v>
      </c>
      <c r="B138" s="6" t="inlineStr">
        <is>
          <t>Cable &amp; Satellite</t>
        </is>
      </c>
      <c r="C138" s="6" t="n">
        <v>50</v>
      </c>
      <c r="D138" s="6" t="n">
        <v>502010</v>
      </c>
      <c r="E138" s="6" t="n">
        <v>5020</v>
      </c>
      <c r="F138" s="39">
        <f>IFERROR(INDEX('9_UK_Vol_Input'!$D$127:$D$289,MATCH($A138,'9_UK_Vol_Input'!$A$127:$A$289,0)),"")</f>
        <v/>
      </c>
      <c r="G138" s="40">
        <f>IFERROR(INDEX('9_UK_Vol_Input'!$E$127:$E$289,MATCH($A138,'9_UK_Vol_Input'!$A$127:$A$289,0)),"")</f>
        <v/>
      </c>
      <c r="H138" s="39">
        <f>IFERROR(INDEX('9_UK_Vol_Input'!$D$49:$D$122,MATCH($D138,'9_UK_Vol_Input'!$A$49:$A$122,0)),"")</f>
        <v/>
      </c>
      <c r="I138" s="40">
        <f>IFERROR(INDEX('9_UK_Vol_Input'!$E$49:$E$122,MATCH($D138,'9_UK_Vol_Input'!$A$49:$A$122,0)),"")</f>
        <v/>
      </c>
      <c r="J138" s="39">
        <f>IFERROR(INDEX('9_UK_Vol_Input'!$D$20:$D$44,MATCH($E138,'9_UK_Vol_Input'!$A$20:$A$44,0)),"")</f>
        <v/>
      </c>
      <c r="K138" s="40">
        <f>IFERROR(INDEX('9_UK_Vol_Input'!$E$20:$E$44,MATCH($E138,'9_UK_Vol_Input'!$A$20:$A$44,0)),"")</f>
        <v/>
      </c>
      <c r="L138" s="39">
        <f>IFERROR(INDEX('9_UK_Vol_Input'!$D$5:$D$15,MATCH($C138,'9_UK_Vol_Input'!$A$5:$A$15,0)),"")</f>
        <v/>
      </c>
      <c r="M138" s="40">
        <f>IFERROR(INDEX('9_UK_Vol_Input'!$E$5:$E$15,MATCH($C138,'9_UK_Vol_Input'!$A$5:$A$15,0)),"")</f>
        <v/>
      </c>
      <c r="N138" s="22">
        <f>IF(F138&lt;&gt;"",F138/(1+G138),IF(H138&lt;&gt;"",H138/(1+I138),IF(J138&lt;&gt;"",J138/(1+K138),IF(L138&lt;&gt;"",L138/(1+M138),""))))</f>
        <v/>
      </c>
      <c r="O138" s="36">
        <f>IFERROR(INDEX('7_UK_Beta_Input'!$D$127:$D$289,MATCH($A138,'7_UK_Beta_Input'!$A$127:$A$289,0)),"")</f>
        <v/>
      </c>
      <c r="P138" s="36">
        <f>IFERROR(INDEX('7_UK_Beta_Input'!$D$49:$D$122,MATCH($D138,'7_UK_Beta_Input'!$A$49:$A$122,0)),"")</f>
        <v/>
      </c>
      <c r="Q138" s="36">
        <f>IFERROR(INDEX('7_UK_Beta_Input'!$D$20:$D$44,MATCH($E138,'7_UK_Beta_Input'!$A$20:$A$44,0)),"")</f>
        <v/>
      </c>
      <c r="R138" s="36">
        <f>IFERROR(INDEX('7_UK_Beta_Input'!$D$5:$D$15,MATCH($C138,'7_UK_Beta_Input'!$A$5:$A$15,0)),"")</f>
        <v/>
      </c>
      <c r="S138" s="22">
        <f>IF(O138&lt;&gt;"",O138*'6_Credit_Bridge_Assumptions'!$B$8,IF(P138&lt;&gt;"",P138*'6_Credit_Bridge_Assumptions'!$B$8,IF(Q138&lt;&gt;"",Q138*'6_Credit_Bridge_Assumptions'!$B$8,IF(R138&lt;&gt;"",R138*'6_Credit_Bridge_Assumptions'!$B$8,""))))</f>
        <v/>
      </c>
      <c r="T138" s="22">
        <f>IF(N138&lt;&gt;"",N138,S138)</f>
        <v/>
      </c>
    </row>
    <row r="139">
      <c r="A139" s="6" t="n">
        <v>50201040</v>
      </c>
      <c r="B139" s="6" t="inlineStr">
        <is>
          <t>Publishing</t>
        </is>
      </c>
      <c r="C139" s="6" t="n">
        <v>50</v>
      </c>
      <c r="D139" s="6" t="n">
        <v>502010</v>
      </c>
      <c r="E139" s="6" t="n">
        <v>5020</v>
      </c>
      <c r="F139" s="39">
        <f>IFERROR(INDEX('9_UK_Vol_Input'!$D$127:$D$289,MATCH($A139,'9_UK_Vol_Input'!$A$127:$A$289,0)),"")</f>
        <v/>
      </c>
      <c r="G139" s="40">
        <f>IFERROR(INDEX('9_UK_Vol_Input'!$E$127:$E$289,MATCH($A139,'9_UK_Vol_Input'!$A$127:$A$289,0)),"")</f>
        <v/>
      </c>
      <c r="H139" s="39">
        <f>IFERROR(INDEX('9_UK_Vol_Input'!$D$49:$D$122,MATCH($D139,'9_UK_Vol_Input'!$A$49:$A$122,0)),"")</f>
        <v/>
      </c>
      <c r="I139" s="40">
        <f>IFERROR(INDEX('9_UK_Vol_Input'!$E$49:$E$122,MATCH($D139,'9_UK_Vol_Input'!$A$49:$A$122,0)),"")</f>
        <v/>
      </c>
      <c r="J139" s="39">
        <f>IFERROR(INDEX('9_UK_Vol_Input'!$D$20:$D$44,MATCH($E139,'9_UK_Vol_Input'!$A$20:$A$44,0)),"")</f>
        <v/>
      </c>
      <c r="K139" s="40">
        <f>IFERROR(INDEX('9_UK_Vol_Input'!$E$20:$E$44,MATCH($E139,'9_UK_Vol_Input'!$A$20:$A$44,0)),"")</f>
        <v/>
      </c>
      <c r="L139" s="39">
        <f>IFERROR(INDEX('9_UK_Vol_Input'!$D$5:$D$15,MATCH($C139,'9_UK_Vol_Input'!$A$5:$A$15,0)),"")</f>
        <v/>
      </c>
      <c r="M139" s="40">
        <f>IFERROR(INDEX('9_UK_Vol_Input'!$E$5:$E$15,MATCH($C139,'9_UK_Vol_Input'!$A$5:$A$15,0)),"")</f>
        <v/>
      </c>
      <c r="N139" s="22">
        <f>IF(F139&lt;&gt;"",F139/(1+G139),IF(H139&lt;&gt;"",H139/(1+I139),IF(J139&lt;&gt;"",J139/(1+K139),IF(L139&lt;&gt;"",L139/(1+M139),""))))</f>
        <v/>
      </c>
      <c r="O139" s="36">
        <f>IFERROR(INDEX('7_UK_Beta_Input'!$D$127:$D$289,MATCH($A139,'7_UK_Beta_Input'!$A$127:$A$289,0)),"")</f>
        <v/>
      </c>
      <c r="P139" s="36">
        <f>IFERROR(INDEX('7_UK_Beta_Input'!$D$49:$D$122,MATCH($D139,'7_UK_Beta_Input'!$A$49:$A$122,0)),"")</f>
        <v/>
      </c>
      <c r="Q139" s="36">
        <f>IFERROR(INDEX('7_UK_Beta_Input'!$D$20:$D$44,MATCH($E139,'7_UK_Beta_Input'!$A$20:$A$44,0)),"")</f>
        <v/>
      </c>
      <c r="R139" s="36">
        <f>IFERROR(INDEX('7_UK_Beta_Input'!$D$5:$D$15,MATCH($C139,'7_UK_Beta_Input'!$A$5:$A$15,0)),"")</f>
        <v/>
      </c>
      <c r="S139" s="22">
        <f>IF(O139&lt;&gt;"",O139*'6_Credit_Bridge_Assumptions'!$B$8,IF(P139&lt;&gt;"",P139*'6_Credit_Bridge_Assumptions'!$B$8,IF(Q139&lt;&gt;"",Q139*'6_Credit_Bridge_Assumptions'!$B$8,IF(R139&lt;&gt;"",R139*'6_Credit_Bridge_Assumptions'!$B$8,""))))</f>
        <v/>
      </c>
      <c r="T139" s="22">
        <f>IF(N139&lt;&gt;"",N139,S139)</f>
        <v/>
      </c>
    </row>
    <row r="140">
      <c r="A140" s="6" t="n">
        <v>50202010</v>
      </c>
      <c r="B140" s="6" t="inlineStr">
        <is>
          <t>Movies &amp; Entertainment</t>
        </is>
      </c>
      <c r="C140" s="6" t="n">
        <v>50</v>
      </c>
      <c r="D140" s="6" t="n">
        <v>502020</v>
      </c>
      <c r="E140" s="6" t="n">
        <v>5020</v>
      </c>
      <c r="F140" s="39">
        <f>IFERROR(INDEX('9_UK_Vol_Input'!$D$127:$D$289,MATCH($A140,'9_UK_Vol_Input'!$A$127:$A$289,0)),"")</f>
        <v/>
      </c>
      <c r="G140" s="40">
        <f>IFERROR(INDEX('9_UK_Vol_Input'!$E$127:$E$289,MATCH($A140,'9_UK_Vol_Input'!$A$127:$A$289,0)),"")</f>
        <v/>
      </c>
      <c r="H140" s="39">
        <f>IFERROR(INDEX('9_UK_Vol_Input'!$D$49:$D$122,MATCH($D140,'9_UK_Vol_Input'!$A$49:$A$122,0)),"")</f>
        <v/>
      </c>
      <c r="I140" s="40">
        <f>IFERROR(INDEX('9_UK_Vol_Input'!$E$49:$E$122,MATCH($D140,'9_UK_Vol_Input'!$A$49:$A$122,0)),"")</f>
        <v/>
      </c>
      <c r="J140" s="39">
        <f>IFERROR(INDEX('9_UK_Vol_Input'!$D$20:$D$44,MATCH($E140,'9_UK_Vol_Input'!$A$20:$A$44,0)),"")</f>
        <v/>
      </c>
      <c r="K140" s="40">
        <f>IFERROR(INDEX('9_UK_Vol_Input'!$E$20:$E$44,MATCH($E140,'9_UK_Vol_Input'!$A$20:$A$44,0)),"")</f>
        <v/>
      </c>
      <c r="L140" s="39">
        <f>IFERROR(INDEX('9_UK_Vol_Input'!$D$5:$D$15,MATCH($C140,'9_UK_Vol_Input'!$A$5:$A$15,0)),"")</f>
        <v/>
      </c>
      <c r="M140" s="40">
        <f>IFERROR(INDEX('9_UK_Vol_Input'!$E$5:$E$15,MATCH($C140,'9_UK_Vol_Input'!$A$5:$A$15,0)),"")</f>
        <v/>
      </c>
      <c r="N140" s="22">
        <f>IF(F140&lt;&gt;"",F140/(1+G140),IF(H140&lt;&gt;"",H140/(1+I140),IF(J140&lt;&gt;"",J140/(1+K140),IF(L140&lt;&gt;"",L140/(1+M140),""))))</f>
        <v/>
      </c>
      <c r="O140" s="36">
        <f>IFERROR(INDEX('7_UK_Beta_Input'!$D$127:$D$289,MATCH($A140,'7_UK_Beta_Input'!$A$127:$A$289,0)),"")</f>
        <v/>
      </c>
      <c r="P140" s="36">
        <f>IFERROR(INDEX('7_UK_Beta_Input'!$D$49:$D$122,MATCH($D140,'7_UK_Beta_Input'!$A$49:$A$122,0)),"")</f>
        <v/>
      </c>
      <c r="Q140" s="36">
        <f>IFERROR(INDEX('7_UK_Beta_Input'!$D$20:$D$44,MATCH($E140,'7_UK_Beta_Input'!$A$20:$A$44,0)),"")</f>
        <v/>
      </c>
      <c r="R140" s="36">
        <f>IFERROR(INDEX('7_UK_Beta_Input'!$D$5:$D$15,MATCH($C140,'7_UK_Beta_Input'!$A$5:$A$15,0)),"")</f>
        <v/>
      </c>
      <c r="S140" s="22">
        <f>IF(O140&lt;&gt;"",O140*'6_Credit_Bridge_Assumptions'!$B$8,IF(P140&lt;&gt;"",P140*'6_Credit_Bridge_Assumptions'!$B$8,IF(Q140&lt;&gt;"",Q140*'6_Credit_Bridge_Assumptions'!$B$8,IF(R140&lt;&gt;"",R140*'6_Credit_Bridge_Assumptions'!$B$8,""))))</f>
        <v/>
      </c>
      <c r="T140" s="22">
        <f>IF(N140&lt;&gt;"",N140,S140)</f>
        <v/>
      </c>
    </row>
    <row r="141">
      <c r="A141" s="6" t="n">
        <v>50202020</v>
      </c>
      <c r="B141" s="6" t="inlineStr">
        <is>
          <t>Interactive Home Entertainment</t>
        </is>
      </c>
      <c r="C141" s="6" t="n">
        <v>50</v>
      </c>
      <c r="D141" s="6" t="n">
        <v>502020</v>
      </c>
      <c r="E141" s="6" t="n">
        <v>5020</v>
      </c>
      <c r="F141" s="39">
        <f>IFERROR(INDEX('9_UK_Vol_Input'!$D$127:$D$289,MATCH($A141,'9_UK_Vol_Input'!$A$127:$A$289,0)),"")</f>
        <v/>
      </c>
      <c r="G141" s="40">
        <f>IFERROR(INDEX('9_UK_Vol_Input'!$E$127:$E$289,MATCH($A141,'9_UK_Vol_Input'!$A$127:$A$289,0)),"")</f>
        <v/>
      </c>
      <c r="H141" s="39">
        <f>IFERROR(INDEX('9_UK_Vol_Input'!$D$49:$D$122,MATCH($D141,'9_UK_Vol_Input'!$A$49:$A$122,0)),"")</f>
        <v/>
      </c>
      <c r="I141" s="40">
        <f>IFERROR(INDEX('9_UK_Vol_Input'!$E$49:$E$122,MATCH($D141,'9_UK_Vol_Input'!$A$49:$A$122,0)),"")</f>
        <v/>
      </c>
      <c r="J141" s="39">
        <f>IFERROR(INDEX('9_UK_Vol_Input'!$D$20:$D$44,MATCH($E141,'9_UK_Vol_Input'!$A$20:$A$44,0)),"")</f>
        <v/>
      </c>
      <c r="K141" s="40">
        <f>IFERROR(INDEX('9_UK_Vol_Input'!$E$20:$E$44,MATCH($E141,'9_UK_Vol_Input'!$A$20:$A$44,0)),"")</f>
        <v/>
      </c>
      <c r="L141" s="39">
        <f>IFERROR(INDEX('9_UK_Vol_Input'!$D$5:$D$15,MATCH($C141,'9_UK_Vol_Input'!$A$5:$A$15,0)),"")</f>
        <v/>
      </c>
      <c r="M141" s="40">
        <f>IFERROR(INDEX('9_UK_Vol_Input'!$E$5:$E$15,MATCH($C141,'9_UK_Vol_Input'!$A$5:$A$15,0)),"")</f>
        <v/>
      </c>
      <c r="N141" s="22">
        <f>IF(F141&lt;&gt;"",F141/(1+G141),IF(H141&lt;&gt;"",H141/(1+I141),IF(J141&lt;&gt;"",J141/(1+K141),IF(L141&lt;&gt;"",L141/(1+M141),""))))</f>
        <v/>
      </c>
      <c r="O141" s="36">
        <f>IFERROR(INDEX('7_UK_Beta_Input'!$D$127:$D$289,MATCH($A141,'7_UK_Beta_Input'!$A$127:$A$289,0)),"")</f>
        <v/>
      </c>
      <c r="P141" s="36">
        <f>IFERROR(INDEX('7_UK_Beta_Input'!$D$49:$D$122,MATCH($D141,'7_UK_Beta_Input'!$A$49:$A$122,0)),"")</f>
        <v/>
      </c>
      <c r="Q141" s="36">
        <f>IFERROR(INDEX('7_UK_Beta_Input'!$D$20:$D$44,MATCH($E141,'7_UK_Beta_Input'!$A$20:$A$44,0)),"")</f>
        <v/>
      </c>
      <c r="R141" s="36">
        <f>IFERROR(INDEX('7_UK_Beta_Input'!$D$5:$D$15,MATCH($C141,'7_UK_Beta_Input'!$A$5:$A$15,0)),"")</f>
        <v/>
      </c>
      <c r="S141" s="22">
        <f>IF(O141&lt;&gt;"",O141*'6_Credit_Bridge_Assumptions'!$B$8,IF(P141&lt;&gt;"",P141*'6_Credit_Bridge_Assumptions'!$B$8,IF(Q141&lt;&gt;"",Q141*'6_Credit_Bridge_Assumptions'!$B$8,IF(R141&lt;&gt;"",R141*'6_Credit_Bridge_Assumptions'!$B$8,""))))</f>
        <v/>
      </c>
      <c r="T141" s="22">
        <f>IF(N141&lt;&gt;"",N141,S141)</f>
        <v/>
      </c>
    </row>
    <row r="142">
      <c r="A142" s="6" t="n">
        <v>50203010</v>
      </c>
      <c r="B142" s="6" t="inlineStr">
        <is>
          <t>Interactive Media &amp; Services</t>
        </is>
      </c>
      <c r="C142" s="6" t="n">
        <v>50</v>
      </c>
      <c r="D142" s="6" t="n">
        <v>502030</v>
      </c>
      <c r="E142" s="6" t="n">
        <v>5020</v>
      </c>
      <c r="F142" s="39">
        <f>IFERROR(INDEX('9_UK_Vol_Input'!$D$127:$D$289,MATCH($A142,'9_UK_Vol_Input'!$A$127:$A$289,0)),"")</f>
        <v/>
      </c>
      <c r="G142" s="40">
        <f>IFERROR(INDEX('9_UK_Vol_Input'!$E$127:$E$289,MATCH($A142,'9_UK_Vol_Input'!$A$127:$A$289,0)),"")</f>
        <v/>
      </c>
      <c r="H142" s="39">
        <f>IFERROR(INDEX('9_UK_Vol_Input'!$D$49:$D$122,MATCH($D142,'9_UK_Vol_Input'!$A$49:$A$122,0)),"")</f>
        <v/>
      </c>
      <c r="I142" s="40">
        <f>IFERROR(INDEX('9_UK_Vol_Input'!$E$49:$E$122,MATCH($D142,'9_UK_Vol_Input'!$A$49:$A$122,0)),"")</f>
        <v/>
      </c>
      <c r="J142" s="39">
        <f>IFERROR(INDEX('9_UK_Vol_Input'!$D$20:$D$44,MATCH($E142,'9_UK_Vol_Input'!$A$20:$A$44,0)),"")</f>
        <v/>
      </c>
      <c r="K142" s="40">
        <f>IFERROR(INDEX('9_UK_Vol_Input'!$E$20:$E$44,MATCH($E142,'9_UK_Vol_Input'!$A$20:$A$44,0)),"")</f>
        <v/>
      </c>
      <c r="L142" s="39">
        <f>IFERROR(INDEX('9_UK_Vol_Input'!$D$5:$D$15,MATCH($C142,'9_UK_Vol_Input'!$A$5:$A$15,0)),"")</f>
        <v/>
      </c>
      <c r="M142" s="40">
        <f>IFERROR(INDEX('9_UK_Vol_Input'!$E$5:$E$15,MATCH($C142,'9_UK_Vol_Input'!$A$5:$A$15,0)),"")</f>
        <v/>
      </c>
      <c r="N142" s="22">
        <f>IF(F142&lt;&gt;"",F142/(1+G142),IF(H142&lt;&gt;"",H142/(1+I142),IF(J142&lt;&gt;"",J142/(1+K142),IF(L142&lt;&gt;"",L142/(1+M142),""))))</f>
        <v/>
      </c>
      <c r="O142" s="36">
        <f>IFERROR(INDEX('7_UK_Beta_Input'!$D$127:$D$289,MATCH($A142,'7_UK_Beta_Input'!$A$127:$A$289,0)),"")</f>
        <v/>
      </c>
      <c r="P142" s="36">
        <f>IFERROR(INDEX('7_UK_Beta_Input'!$D$49:$D$122,MATCH($D142,'7_UK_Beta_Input'!$A$49:$A$122,0)),"")</f>
        <v/>
      </c>
      <c r="Q142" s="36">
        <f>IFERROR(INDEX('7_UK_Beta_Input'!$D$20:$D$44,MATCH($E142,'7_UK_Beta_Input'!$A$20:$A$44,0)),"")</f>
        <v/>
      </c>
      <c r="R142" s="36">
        <f>IFERROR(INDEX('7_UK_Beta_Input'!$D$5:$D$15,MATCH($C142,'7_UK_Beta_Input'!$A$5:$A$15,0)),"")</f>
        <v/>
      </c>
      <c r="S142" s="22">
        <f>IF(O142&lt;&gt;"",O142*'6_Credit_Bridge_Assumptions'!$B$8,IF(P142&lt;&gt;"",P142*'6_Credit_Bridge_Assumptions'!$B$8,IF(Q142&lt;&gt;"",Q142*'6_Credit_Bridge_Assumptions'!$B$8,IF(R142&lt;&gt;"",R142*'6_Credit_Bridge_Assumptions'!$B$8,""))))</f>
        <v/>
      </c>
      <c r="T142" s="22">
        <f>IF(N142&lt;&gt;"",N142,S142)</f>
        <v/>
      </c>
    </row>
    <row r="143">
      <c r="A143" s="6" t="n">
        <v>55101010</v>
      </c>
      <c r="B143" s="6" t="inlineStr">
        <is>
          <t>Electric Utilities</t>
        </is>
      </c>
      <c r="C143" s="6" t="n">
        <v>55</v>
      </c>
      <c r="D143" s="6" t="n">
        <v>551010</v>
      </c>
      <c r="E143" s="6" t="n">
        <v>5510</v>
      </c>
      <c r="F143" s="39">
        <f>IFERROR(INDEX('9_UK_Vol_Input'!$D$127:$D$289,MATCH($A143,'9_UK_Vol_Input'!$A$127:$A$289,0)),"")</f>
        <v/>
      </c>
      <c r="G143" s="40">
        <f>IFERROR(INDEX('9_UK_Vol_Input'!$E$127:$E$289,MATCH($A143,'9_UK_Vol_Input'!$A$127:$A$289,0)),"")</f>
        <v/>
      </c>
      <c r="H143" s="39">
        <f>IFERROR(INDEX('9_UK_Vol_Input'!$D$49:$D$122,MATCH($D143,'9_UK_Vol_Input'!$A$49:$A$122,0)),"")</f>
        <v/>
      </c>
      <c r="I143" s="40">
        <f>IFERROR(INDEX('9_UK_Vol_Input'!$E$49:$E$122,MATCH($D143,'9_UK_Vol_Input'!$A$49:$A$122,0)),"")</f>
        <v/>
      </c>
      <c r="J143" s="39">
        <f>IFERROR(INDEX('9_UK_Vol_Input'!$D$20:$D$44,MATCH($E143,'9_UK_Vol_Input'!$A$20:$A$44,0)),"")</f>
        <v/>
      </c>
      <c r="K143" s="40">
        <f>IFERROR(INDEX('9_UK_Vol_Input'!$E$20:$E$44,MATCH($E143,'9_UK_Vol_Input'!$A$20:$A$44,0)),"")</f>
        <v/>
      </c>
      <c r="L143" s="39">
        <f>IFERROR(INDEX('9_UK_Vol_Input'!$D$5:$D$15,MATCH($C143,'9_UK_Vol_Input'!$A$5:$A$15,0)),"")</f>
        <v/>
      </c>
      <c r="M143" s="40">
        <f>IFERROR(INDEX('9_UK_Vol_Input'!$E$5:$E$15,MATCH($C143,'9_UK_Vol_Input'!$A$5:$A$15,0)),"")</f>
        <v/>
      </c>
      <c r="N143" s="22">
        <f>IF(F143&lt;&gt;"",F143/(1+G143),IF(H143&lt;&gt;"",H143/(1+I143),IF(J143&lt;&gt;"",J143/(1+K143),IF(L143&lt;&gt;"",L143/(1+M143),""))))</f>
        <v/>
      </c>
      <c r="O143" s="36">
        <f>IFERROR(INDEX('7_UK_Beta_Input'!$D$127:$D$289,MATCH($A143,'7_UK_Beta_Input'!$A$127:$A$289,0)),"")</f>
        <v/>
      </c>
      <c r="P143" s="36">
        <f>IFERROR(INDEX('7_UK_Beta_Input'!$D$49:$D$122,MATCH($D143,'7_UK_Beta_Input'!$A$49:$A$122,0)),"")</f>
        <v/>
      </c>
      <c r="Q143" s="36">
        <f>IFERROR(INDEX('7_UK_Beta_Input'!$D$20:$D$44,MATCH($E143,'7_UK_Beta_Input'!$A$20:$A$44,0)),"")</f>
        <v/>
      </c>
      <c r="R143" s="36">
        <f>IFERROR(INDEX('7_UK_Beta_Input'!$D$5:$D$15,MATCH($C143,'7_UK_Beta_Input'!$A$5:$A$15,0)),"")</f>
        <v/>
      </c>
      <c r="S143" s="22">
        <f>IF(O143&lt;&gt;"",O143*'6_Credit_Bridge_Assumptions'!$B$8,IF(P143&lt;&gt;"",P143*'6_Credit_Bridge_Assumptions'!$B$8,IF(Q143&lt;&gt;"",Q143*'6_Credit_Bridge_Assumptions'!$B$8,IF(R143&lt;&gt;"",R143*'6_Credit_Bridge_Assumptions'!$B$8,""))))</f>
        <v/>
      </c>
      <c r="T143" s="22">
        <f>IF(N143&lt;&gt;"",N143,S143)</f>
        <v/>
      </c>
    </row>
    <row r="144">
      <c r="A144" s="6" t="n">
        <v>55102010</v>
      </c>
      <c r="B144" s="6" t="inlineStr">
        <is>
          <t>Gas Utilities</t>
        </is>
      </c>
      <c r="C144" s="6" t="n">
        <v>55</v>
      </c>
      <c r="D144" s="6" t="n">
        <v>551020</v>
      </c>
      <c r="E144" s="6" t="n">
        <v>5510</v>
      </c>
      <c r="F144" s="39">
        <f>IFERROR(INDEX('9_UK_Vol_Input'!$D$127:$D$289,MATCH($A144,'9_UK_Vol_Input'!$A$127:$A$289,0)),"")</f>
        <v/>
      </c>
      <c r="G144" s="40">
        <f>IFERROR(INDEX('9_UK_Vol_Input'!$E$127:$E$289,MATCH($A144,'9_UK_Vol_Input'!$A$127:$A$289,0)),"")</f>
        <v/>
      </c>
      <c r="H144" s="39">
        <f>IFERROR(INDEX('9_UK_Vol_Input'!$D$49:$D$122,MATCH($D144,'9_UK_Vol_Input'!$A$49:$A$122,0)),"")</f>
        <v/>
      </c>
      <c r="I144" s="40">
        <f>IFERROR(INDEX('9_UK_Vol_Input'!$E$49:$E$122,MATCH($D144,'9_UK_Vol_Input'!$A$49:$A$122,0)),"")</f>
        <v/>
      </c>
      <c r="J144" s="39">
        <f>IFERROR(INDEX('9_UK_Vol_Input'!$D$20:$D$44,MATCH($E144,'9_UK_Vol_Input'!$A$20:$A$44,0)),"")</f>
        <v/>
      </c>
      <c r="K144" s="40">
        <f>IFERROR(INDEX('9_UK_Vol_Input'!$E$20:$E$44,MATCH($E144,'9_UK_Vol_Input'!$A$20:$A$44,0)),"")</f>
        <v/>
      </c>
      <c r="L144" s="39">
        <f>IFERROR(INDEX('9_UK_Vol_Input'!$D$5:$D$15,MATCH($C144,'9_UK_Vol_Input'!$A$5:$A$15,0)),"")</f>
        <v/>
      </c>
      <c r="M144" s="40">
        <f>IFERROR(INDEX('9_UK_Vol_Input'!$E$5:$E$15,MATCH($C144,'9_UK_Vol_Input'!$A$5:$A$15,0)),"")</f>
        <v/>
      </c>
      <c r="N144" s="22">
        <f>IF(F144&lt;&gt;"",F144/(1+G144),IF(H144&lt;&gt;"",H144/(1+I144),IF(J144&lt;&gt;"",J144/(1+K144),IF(L144&lt;&gt;"",L144/(1+M144),""))))</f>
        <v/>
      </c>
      <c r="O144" s="36">
        <f>IFERROR(INDEX('7_UK_Beta_Input'!$D$127:$D$289,MATCH($A144,'7_UK_Beta_Input'!$A$127:$A$289,0)),"")</f>
        <v/>
      </c>
      <c r="P144" s="36">
        <f>IFERROR(INDEX('7_UK_Beta_Input'!$D$49:$D$122,MATCH($D144,'7_UK_Beta_Input'!$A$49:$A$122,0)),"")</f>
        <v/>
      </c>
      <c r="Q144" s="36">
        <f>IFERROR(INDEX('7_UK_Beta_Input'!$D$20:$D$44,MATCH($E144,'7_UK_Beta_Input'!$A$20:$A$44,0)),"")</f>
        <v/>
      </c>
      <c r="R144" s="36">
        <f>IFERROR(INDEX('7_UK_Beta_Input'!$D$5:$D$15,MATCH($C144,'7_UK_Beta_Input'!$A$5:$A$15,0)),"")</f>
        <v/>
      </c>
      <c r="S144" s="22">
        <f>IF(O144&lt;&gt;"",O144*'6_Credit_Bridge_Assumptions'!$B$8,IF(P144&lt;&gt;"",P144*'6_Credit_Bridge_Assumptions'!$B$8,IF(Q144&lt;&gt;"",Q144*'6_Credit_Bridge_Assumptions'!$B$8,IF(R144&lt;&gt;"",R144*'6_Credit_Bridge_Assumptions'!$B$8,""))))</f>
        <v/>
      </c>
      <c r="T144" s="22">
        <f>IF(N144&lt;&gt;"",N144,S144)</f>
        <v/>
      </c>
    </row>
    <row r="145">
      <c r="A145" s="6" t="n">
        <v>55103010</v>
      </c>
      <c r="B145" s="6" t="inlineStr">
        <is>
          <t>Multi-Utilities</t>
        </is>
      </c>
      <c r="C145" s="6" t="n">
        <v>55</v>
      </c>
      <c r="D145" s="6" t="n">
        <v>551030</v>
      </c>
      <c r="E145" s="6" t="n">
        <v>5510</v>
      </c>
      <c r="F145" s="39">
        <f>IFERROR(INDEX('9_UK_Vol_Input'!$D$127:$D$289,MATCH($A145,'9_UK_Vol_Input'!$A$127:$A$289,0)),"")</f>
        <v/>
      </c>
      <c r="G145" s="40">
        <f>IFERROR(INDEX('9_UK_Vol_Input'!$E$127:$E$289,MATCH($A145,'9_UK_Vol_Input'!$A$127:$A$289,0)),"")</f>
        <v/>
      </c>
      <c r="H145" s="39">
        <f>IFERROR(INDEX('9_UK_Vol_Input'!$D$49:$D$122,MATCH($D145,'9_UK_Vol_Input'!$A$49:$A$122,0)),"")</f>
        <v/>
      </c>
      <c r="I145" s="40">
        <f>IFERROR(INDEX('9_UK_Vol_Input'!$E$49:$E$122,MATCH($D145,'9_UK_Vol_Input'!$A$49:$A$122,0)),"")</f>
        <v/>
      </c>
      <c r="J145" s="39">
        <f>IFERROR(INDEX('9_UK_Vol_Input'!$D$20:$D$44,MATCH($E145,'9_UK_Vol_Input'!$A$20:$A$44,0)),"")</f>
        <v/>
      </c>
      <c r="K145" s="40">
        <f>IFERROR(INDEX('9_UK_Vol_Input'!$E$20:$E$44,MATCH($E145,'9_UK_Vol_Input'!$A$20:$A$44,0)),"")</f>
        <v/>
      </c>
      <c r="L145" s="39">
        <f>IFERROR(INDEX('9_UK_Vol_Input'!$D$5:$D$15,MATCH($C145,'9_UK_Vol_Input'!$A$5:$A$15,0)),"")</f>
        <v/>
      </c>
      <c r="M145" s="40">
        <f>IFERROR(INDEX('9_UK_Vol_Input'!$E$5:$E$15,MATCH($C145,'9_UK_Vol_Input'!$A$5:$A$15,0)),"")</f>
        <v/>
      </c>
      <c r="N145" s="22">
        <f>IF(F145&lt;&gt;"",F145/(1+G145),IF(H145&lt;&gt;"",H145/(1+I145),IF(J145&lt;&gt;"",J145/(1+K145),IF(L145&lt;&gt;"",L145/(1+M145),""))))</f>
        <v/>
      </c>
      <c r="O145" s="36">
        <f>IFERROR(INDEX('7_UK_Beta_Input'!$D$127:$D$289,MATCH($A145,'7_UK_Beta_Input'!$A$127:$A$289,0)),"")</f>
        <v/>
      </c>
      <c r="P145" s="36">
        <f>IFERROR(INDEX('7_UK_Beta_Input'!$D$49:$D$122,MATCH($D145,'7_UK_Beta_Input'!$A$49:$A$122,0)),"")</f>
        <v/>
      </c>
      <c r="Q145" s="36">
        <f>IFERROR(INDEX('7_UK_Beta_Input'!$D$20:$D$44,MATCH($E145,'7_UK_Beta_Input'!$A$20:$A$44,0)),"")</f>
        <v/>
      </c>
      <c r="R145" s="36">
        <f>IFERROR(INDEX('7_UK_Beta_Input'!$D$5:$D$15,MATCH($C145,'7_UK_Beta_Input'!$A$5:$A$15,0)),"")</f>
        <v/>
      </c>
      <c r="S145" s="22">
        <f>IF(O145&lt;&gt;"",O145*'6_Credit_Bridge_Assumptions'!$B$8,IF(P145&lt;&gt;"",P145*'6_Credit_Bridge_Assumptions'!$B$8,IF(Q145&lt;&gt;"",Q145*'6_Credit_Bridge_Assumptions'!$B$8,IF(R145&lt;&gt;"",R145*'6_Credit_Bridge_Assumptions'!$B$8,""))))</f>
        <v/>
      </c>
      <c r="T145" s="22">
        <f>IF(N145&lt;&gt;"",N145,S145)</f>
        <v/>
      </c>
    </row>
    <row r="146">
      <c r="A146" s="6" t="n">
        <v>55104010</v>
      </c>
      <c r="B146" s="6" t="inlineStr">
        <is>
          <t>Water Utilities</t>
        </is>
      </c>
      <c r="C146" s="6" t="n">
        <v>55</v>
      </c>
      <c r="D146" s="6" t="n">
        <v>551040</v>
      </c>
      <c r="E146" s="6" t="n">
        <v>5510</v>
      </c>
      <c r="F146" s="39">
        <f>IFERROR(INDEX('9_UK_Vol_Input'!$D$127:$D$289,MATCH($A146,'9_UK_Vol_Input'!$A$127:$A$289,0)),"")</f>
        <v/>
      </c>
      <c r="G146" s="40">
        <f>IFERROR(INDEX('9_UK_Vol_Input'!$E$127:$E$289,MATCH($A146,'9_UK_Vol_Input'!$A$127:$A$289,0)),"")</f>
        <v/>
      </c>
      <c r="H146" s="39">
        <f>IFERROR(INDEX('9_UK_Vol_Input'!$D$49:$D$122,MATCH($D146,'9_UK_Vol_Input'!$A$49:$A$122,0)),"")</f>
        <v/>
      </c>
      <c r="I146" s="40">
        <f>IFERROR(INDEX('9_UK_Vol_Input'!$E$49:$E$122,MATCH($D146,'9_UK_Vol_Input'!$A$49:$A$122,0)),"")</f>
        <v/>
      </c>
      <c r="J146" s="39">
        <f>IFERROR(INDEX('9_UK_Vol_Input'!$D$20:$D$44,MATCH($E146,'9_UK_Vol_Input'!$A$20:$A$44,0)),"")</f>
        <v/>
      </c>
      <c r="K146" s="40">
        <f>IFERROR(INDEX('9_UK_Vol_Input'!$E$20:$E$44,MATCH($E146,'9_UK_Vol_Input'!$A$20:$A$44,0)),"")</f>
        <v/>
      </c>
      <c r="L146" s="39">
        <f>IFERROR(INDEX('9_UK_Vol_Input'!$D$5:$D$15,MATCH($C146,'9_UK_Vol_Input'!$A$5:$A$15,0)),"")</f>
        <v/>
      </c>
      <c r="M146" s="40">
        <f>IFERROR(INDEX('9_UK_Vol_Input'!$E$5:$E$15,MATCH($C146,'9_UK_Vol_Input'!$A$5:$A$15,0)),"")</f>
        <v/>
      </c>
      <c r="N146" s="22">
        <f>IF(F146&lt;&gt;"",F146/(1+G146),IF(H146&lt;&gt;"",H146/(1+I146),IF(J146&lt;&gt;"",J146/(1+K146),IF(L146&lt;&gt;"",L146/(1+M146),""))))</f>
        <v/>
      </c>
      <c r="O146" s="36">
        <f>IFERROR(INDEX('7_UK_Beta_Input'!$D$127:$D$289,MATCH($A146,'7_UK_Beta_Input'!$A$127:$A$289,0)),"")</f>
        <v/>
      </c>
      <c r="P146" s="36">
        <f>IFERROR(INDEX('7_UK_Beta_Input'!$D$49:$D$122,MATCH($D146,'7_UK_Beta_Input'!$A$49:$A$122,0)),"")</f>
        <v/>
      </c>
      <c r="Q146" s="36">
        <f>IFERROR(INDEX('7_UK_Beta_Input'!$D$20:$D$44,MATCH($E146,'7_UK_Beta_Input'!$A$20:$A$44,0)),"")</f>
        <v/>
      </c>
      <c r="R146" s="36">
        <f>IFERROR(INDEX('7_UK_Beta_Input'!$D$5:$D$15,MATCH($C146,'7_UK_Beta_Input'!$A$5:$A$15,0)),"")</f>
        <v/>
      </c>
      <c r="S146" s="22">
        <f>IF(O146&lt;&gt;"",O146*'6_Credit_Bridge_Assumptions'!$B$8,IF(P146&lt;&gt;"",P146*'6_Credit_Bridge_Assumptions'!$B$8,IF(Q146&lt;&gt;"",Q146*'6_Credit_Bridge_Assumptions'!$B$8,IF(R146&lt;&gt;"",R146*'6_Credit_Bridge_Assumptions'!$B$8,""))))</f>
        <v/>
      </c>
      <c r="T146" s="22">
        <f>IF(N146&lt;&gt;"",N146,S146)</f>
        <v/>
      </c>
    </row>
    <row r="147">
      <c r="A147" s="6" t="n">
        <v>55105010</v>
      </c>
      <c r="B147" s="6" t="inlineStr">
        <is>
          <t>Independent Power Producers &amp; Energy Traders</t>
        </is>
      </c>
      <c r="C147" s="6" t="n">
        <v>55</v>
      </c>
      <c r="D147" s="6" t="n">
        <v>551050</v>
      </c>
      <c r="E147" s="6" t="n">
        <v>5510</v>
      </c>
      <c r="F147" s="39">
        <f>IFERROR(INDEX('9_UK_Vol_Input'!$D$127:$D$289,MATCH($A147,'9_UK_Vol_Input'!$A$127:$A$289,0)),"")</f>
        <v/>
      </c>
      <c r="G147" s="40">
        <f>IFERROR(INDEX('9_UK_Vol_Input'!$E$127:$E$289,MATCH($A147,'9_UK_Vol_Input'!$A$127:$A$289,0)),"")</f>
        <v/>
      </c>
      <c r="H147" s="39">
        <f>IFERROR(INDEX('9_UK_Vol_Input'!$D$49:$D$122,MATCH($D147,'9_UK_Vol_Input'!$A$49:$A$122,0)),"")</f>
        <v/>
      </c>
      <c r="I147" s="40">
        <f>IFERROR(INDEX('9_UK_Vol_Input'!$E$49:$E$122,MATCH($D147,'9_UK_Vol_Input'!$A$49:$A$122,0)),"")</f>
        <v/>
      </c>
      <c r="J147" s="39">
        <f>IFERROR(INDEX('9_UK_Vol_Input'!$D$20:$D$44,MATCH($E147,'9_UK_Vol_Input'!$A$20:$A$44,0)),"")</f>
        <v/>
      </c>
      <c r="K147" s="40">
        <f>IFERROR(INDEX('9_UK_Vol_Input'!$E$20:$E$44,MATCH($E147,'9_UK_Vol_Input'!$A$20:$A$44,0)),"")</f>
        <v/>
      </c>
      <c r="L147" s="39">
        <f>IFERROR(INDEX('9_UK_Vol_Input'!$D$5:$D$15,MATCH($C147,'9_UK_Vol_Input'!$A$5:$A$15,0)),"")</f>
        <v/>
      </c>
      <c r="M147" s="40">
        <f>IFERROR(INDEX('9_UK_Vol_Input'!$E$5:$E$15,MATCH($C147,'9_UK_Vol_Input'!$A$5:$A$15,0)),"")</f>
        <v/>
      </c>
      <c r="N147" s="22">
        <f>IF(F147&lt;&gt;"",F147/(1+G147),IF(H147&lt;&gt;"",H147/(1+I147),IF(J147&lt;&gt;"",J147/(1+K147),IF(L147&lt;&gt;"",L147/(1+M147),""))))</f>
        <v/>
      </c>
      <c r="O147" s="36">
        <f>IFERROR(INDEX('7_UK_Beta_Input'!$D$127:$D$289,MATCH($A147,'7_UK_Beta_Input'!$A$127:$A$289,0)),"")</f>
        <v/>
      </c>
      <c r="P147" s="36">
        <f>IFERROR(INDEX('7_UK_Beta_Input'!$D$49:$D$122,MATCH($D147,'7_UK_Beta_Input'!$A$49:$A$122,0)),"")</f>
        <v/>
      </c>
      <c r="Q147" s="36">
        <f>IFERROR(INDEX('7_UK_Beta_Input'!$D$20:$D$44,MATCH($E147,'7_UK_Beta_Input'!$A$20:$A$44,0)),"")</f>
        <v/>
      </c>
      <c r="R147" s="36">
        <f>IFERROR(INDEX('7_UK_Beta_Input'!$D$5:$D$15,MATCH($C147,'7_UK_Beta_Input'!$A$5:$A$15,0)),"")</f>
        <v/>
      </c>
      <c r="S147" s="22">
        <f>IF(O147&lt;&gt;"",O147*'6_Credit_Bridge_Assumptions'!$B$8,IF(P147&lt;&gt;"",P147*'6_Credit_Bridge_Assumptions'!$B$8,IF(Q147&lt;&gt;"",Q147*'6_Credit_Bridge_Assumptions'!$B$8,IF(R147&lt;&gt;"",R147*'6_Credit_Bridge_Assumptions'!$B$8,""))))</f>
        <v/>
      </c>
      <c r="T147" s="22">
        <f>IF(N147&lt;&gt;"",N147,S147)</f>
        <v/>
      </c>
    </row>
    <row r="148">
      <c r="A148" s="6" t="n">
        <v>55105020</v>
      </c>
      <c r="B148" s="6" t="inlineStr">
        <is>
          <t>Renewable Electricity</t>
        </is>
      </c>
      <c r="C148" s="6" t="n">
        <v>55</v>
      </c>
      <c r="D148" s="6" t="n">
        <v>551050</v>
      </c>
      <c r="E148" s="6" t="n">
        <v>5510</v>
      </c>
      <c r="F148" s="39">
        <f>IFERROR(INDEX('9_UK_Vol_Input'!$D$127:$D$289,MATCH($A148,'9_UK_Vol_Input'!$A$127:$A$289,0)),"")</f>
        <v/>
      </c>
      <c r="G148" s="40">
        <f>IFERROR(INDEX('9_UK_Vol_Input'!$E$127:$E$289,MATCH($A148,'9_UK_Vol_Input'!$A$127:$A$289,0)),"")</f>
        <v/>
      </c>
      <c r="H148" s="39">
        <f>IFERROR(INDEX('9_UK_Vol_Input'!$D$49:$D$122,MATCH($D148,'9_UK_Vol_Input'!$A$49:$A$122,0)),"")</f>
        <v/>
      </c>
      <c r="I148" s="40">
        <f>IFERROR(INDEX('9_UK_Vol_Input'!$E$49:$E$122,MATCH($D148,'9_UK_Vol_Input'!$A$49:$A$122,0)),"")</f>
        <v/>
      </c>
      <c r="J148" s="39">
        <f>IFERROR(INDEX('9_UK_Vol_Input'!$D$20:$D$44,MATCH($E148,'9_UK_Vol_Input'!$A$20:$A$44,0)),"")</f>
        <v/>
      </c>
      <c r="K148" s="40">
        <f>IFERROR(INDEX('9_UK_Vol_Input'!$E$20:$E$44,MATCH($E148,'9_UK_Vol_Input'!$A$20:$A$44,0)),"")</f>
        <v/>
      </c>
      <c r="L148" s="39">
        <f>IFERROR(INDEX('9_UK_Vol_Input'!$D$5:$D$15,MATCH($C148,'9_UK_Vol_Input'!$A$5:$A$15,0)),"")</f>
        <v/>
      </c>
      <c r="M148" s="40">
        <f>IFERROR(INDEX('9_UK_Vol_Input'!$E$5:$E$15,MATCH($C148,'9_UK_Vol_Input'!$A$5:$A$15,0)),"")</f>
        <v/>
      </c>
      <c r="N148" s="22">
        <f>IF(F148&lt;&gt;"",F148/(1+G148),IF(H148&lt;&gt;"",H148/(1+I148),IF(J148&lt;&gt;"",J148/(1+K148),IF(L148&lt;&gt;"",L148/(1+M148),""))))</f>
        <v/>
      </c>
      <c r="O148" s="36">
        <f>IFERROR(INDEX('7_UK_Beta_Input'!$D$127:$D$289,MATCH($A148,'7_UK_Beta_Input'!$A$127:$A$289,0)),"")</f>
        <v/>
      </c>
      <c r="P148" s="36">
        <f>IFERROR(INDEX('7_UK_Beta_Input'!$D$49:$D$122,MATCH($D148,'7_UK_Beta_Input'!$A$49:$A$122,0)),"")</f>
        <v/>
      </c>
      <c r="Q148" s="36">
        <f>IFERROR(INDEX('7_UK_Beta_Input'!$D$20:$D$44,MATCH($E148,'7_UK_Beta_Input'!$A$20:$A$44,0)),"")</f>
        <v/>
      </c>
      <c r="R148" s="36">
        <f>IFERROR(INDEX('7_UK_Beta_Input'!$D$5:$D$15,MATCH($C148,'7_UK_Beta_Input'!$A$5:$A$15,0)),"")</f>
        <v/>
      </c>
      <c r="S148" s="22">
        <f>IF(O148&lt;&gt;"",O148*'6_Credit_Bridge_Assumptions'!$B$8,IF(P148&lt;&gt;"",P148*'6_Credit_Bridge_Assumptions'!$B$8,IF(Q148&lt;&gt;"",Q148*'6_Credit_Bridge_Assumptions'!$B$8,IF(R148&lt;&gt;"",R148*'6_Credit_Bridge_Assumptions'!$B$8,""))))</f>
        <v/>
      </c>
      <c r="T148" s="22">
        <f>IF(N148&lt;&gt;"",N148,S148)</f>
        <v/>
      </c>
    </row>
    <row r="149">
      <c r="A149" s="6" t="n">
        <v>60101010</v>
      </c>
      <c r="B149" s="6" t="inlineStr">
        <is>
          <t>Diversified REITs*</t>
        </is>
      </c>
      <c r="C149" s="6" t="n">
        <v>60</v>
      </c>
      <c r="D149" s="6" t="n">
        <v>601010</v>
      </c>
      <c r="E149" s="6" t="n">
        <v>6010</v>
      </c>
      <c r="F149" s="39">
        <f>IFERROR(INDEX('9_UK_Vol_Input'!$D$127:$D$289,MATCH($A149,'9_UK_Vol_Input'!$A$127:$A$289,0)),"")</f>
        <v/>
      </c>
      <c r="G149" s="40">
        <f>IFERROR(INDEX('9_UK_Vol_Input'!$E$127:$E$289,MATCH($A149,'9_UK_Vol_Input'!$A$127:$A$289,0)),"")</f>
        <v/>
      </c>
      <c r="H149" s="39">
        <f>IFERROR(INDEX('9_UK_Vol_Input'!$D$49:$D$122,MATCH($D149,'9_UK_Vol_Input'!$A$49:$A$122,0)),"")</f>
        <v/>
      </c>
      <c r="I149" s="40">
        <f>IFERROR(INDEX('9_UK_Vol_Input'!$E$49:$E$122,MATCH($D149,'9_UK_Vol_Input'!$A$49:$A$122,0)),"")</f>
        <v/>
      </c>
      <c r="J149" s="39">
        <f>IFERROR(INDEX('9_UK_Vol_Input'!$D$20:$D$44,MATCH($E149,'9_UK_Vol_Input'!$A$20:$A$44,0)),"")</f>
        <v/>
      </c>
      <c r="K149" s="40">
        <f>IFERROR(INDEX('9_UK_Vol_Input'!$E$20:$E$44,MATCH($E149,'9_UK_Vol_Input'!$A$20:$A$44,0)),"")</f>
        <v/>
      </c>
      <c r="L149" s="39">
        <f>IFERROR(INDEX('9_UK_Vol_Input'!$D$5:$D$15,MATCH($C149,'9_UK_Vol_Input'!$A$5:$A$15,0)),"")</f>
        <v/>
      </c>
      <c r="M149" s="40">
        <f>IFERROR(INDEX('9_UK_Vol_Input'!$E$5:$E$15,MATCH($C149,'9_UK_Vol_Input'!$A$5:$A$15,0)),"")</f>
        <v/>
      </c>
      <c r="N149" s="22">
        <f>IF(F149&lt;&gt;"",F149/(1+G149),IF(H149&lt;&gt;"",H149/(1+I149),IF(J149&lt;&gt;"",J149/(1+K149),IF(L149&lt;&gt;"",L149/(1+M149),""))))</f>
        <v/>
      </c>
      <c r="O149" s="36">
        <f>IFERROR(INDEX('7_UK_Beta_Input'!$D$127:$D$289,MATCH($A149,'7_UK_Beta_Input'!$A$127:$A$289,0)),"")</f>
        <v/>
      </c>
      <c r="P149" s="36">
        <f>IFERROR(INDEX('7_UK_Beta_Input'!$D$49:$D$122,MATCH($D149,'7_UK_Beta_Input'!$A$49:$A$122,0)),"")</f>
        <v/>
      </c>
      <c r="Q149" s="36">
        <f>IFERROR(INDEX('7_UK_Beta_Input'!$D$20:$D$44,MATCH($E149,'7_UK_Beta_Input'!$A$20:$A$44,0)),"")</f>
        <v/>
      </c>
      <c r="R149" s="36">
        <f>IFERROR(INDEX('7_UK_Beta_Input'!$D$5:$D$15,MATCH($C149,'7_UK_Beta_Input'!$A$5:$A$15,0)),"")</f>
        <v/>
      </c>
      <c r="S149" s="22">
        <f>IF(O149&lt;&gt;"",O149*'6_Credit_Bridge_Assumptions'!$B$8,IF(P149&lt;&gt;"",P149*'6_Credit_Bridge_Assumptions'!$B$8,IF(Q149&lt;&gt;"",Q149*'6_Credit_Bridge_Assumptions'!$B$8,IF(R149&lt;&gt;"",R149*'6_Credit_Bridge_Assumptions'!$B$8,""))))</f>
        <v/>
      </c>
      <c r="T149" s="22">
        <f>IF(N149&lt;&gt;"",N149,S149)</f>
        <v/>
      </c>
    </row>
    <row r="150">
      <c r="A150" s="6" t="n">
        <v>60102510</v>
      </c>
      <c r="B150" s="6" t="inlineStr">
        <is>
          <t>Industrial REITs*</t>
        </is>
      </c>
      <c r="C150" s="6" t="n">
        <v>60</v>
      </c>
      <c r="D150" s="6" t="n">
        <v>601025</v>
      </c>
      <c r="E150" s="6" t="n">
        <v>6010</v>
      </c>
      <c r="F150" s="39">
        <f>IFERROR(INDEX('9_UK_Vol_Input'!$D$127:$D$289,MATCH($A150,'9_UK_Vol_Input'!$A$127:$A$289,0)),"")</f>
        <v/>
      </c>
      <c r="G150" s="40">
        <f>IFERROR(INDEX('9_UK_Vol_Input'!$E$127:$E$289,MATCH($A150,'9_UK_Vol_Input'!$A$127:$A$289,0)),"")</f>
        <v/>
      </c>
      <c r="H150" s="39">
        <f>IFERROR(INDEX('9_UK_Vol_Input'!$D$49:$D$122,MATCH($D150,'9_UK_Vol_Input'!$A$49:$A$122,0)),"")</f>
        <v/>
      </c>
      <c r="I150" s="40">
        <f>IFERROR(INDEX('9_UK_Vol_Input'!$E$49:$E$122,MATCH($D150,'9_UK_Vol_Input'!$A$49:$A$122,0)),"")</f>
        <v/>
      </c>
      <c r="J150" s="39">
        <f>IFERROR(INDEX('9_UK_Vol_Input'!$D$20:$D$44,MATCH($E150,'9_UK_Vol_Input'!$A$20:$A$44,0)),"")</f>
        <v/>
      </c>
      <c r="K150" s="40">
        <f>IFERROR(INDEX('9_UK_Vol_Input'!$E$20:$E$44,MATCH($E150,'9_UK_Vol_Input'!$A$20:$A$44,0)),"")</f>
        <v/>
      </c>
      <c r="L150" s="39">
        <f>IFERROR(INDEX('9_UK_Vol_Input'!$D$5:$D$15,MATCH($C150,'9_UK_Vol_Input'!$A$5:$A$15,0)),"")</f>
        <v/>
      </c>
      <c r="M150" s="40">
        <f>IFERROR(INDEX('9_UK_Vol_Input'!$E$5:$E$15,MATCH($C150,'9_UK_Vol_Input'!$A$5:$A$15,0)),"")</f>
        <v/>
      </c>
      <c r="N150" s="22">
        <f>IF(F150&lt;&gt;"",F150/(1+G150),IF(H150&lt;&gt;"",H150/(1+I150),IF(J150&lt;&gt;"",J150/(1+K150),IF(L150&lt;&gt;"",L150/(1+M150),""))))</f>
        <v/>
      </c>
      <c r="O150" s="36">
        <f>IFERROR(INDEX('7_UK_Beta_Input'!$D$127:$D$289,MATCH($A150,'7_UK_Beta_Input'!$A$127:$A$289,0)),"")</f>
        <v/>
      </c>
      <c r="P150" s="36">
        <f>IFERROR(INDEX('7_UK_Beta_Input'!$D$49:$D$122,MATCH($D150,'7_UK_Beta_Input'!$A$49:$A$122,0)),"")</f>
        <v/>
      </c>
      <c r="Q150" s="36">
        <f>IFERROR(INDEX('7_UK_Beta_Input'!$D$20:$D$44,MATCH($E150,'7_UK_Beta_Input'!$A$20:$A$44,0)),"")</f>
        <v/>
      </c>
      <c r="R150" s="36">
        <f>IFERROR(INDEX('7_UK_Beta_Input'!$D$5:$D$15,MATCH($C150,'7_UK_Beta_Input'!$A$5:$A$15,0)),"")</f>
        <v/>
      </c>
      <c r="S150" s="22">
        <f>IF(O150&lt;&gt;"",O150*'6_Credit_Bridge_Assumptions'!$B$8,IF(P150&lt;&gt;"",P150*'6_Credit_Bridge_Assumptions'!$B$8,IF(Q150&lt;&gt;"",Q150*'6_Credit_Bridge_Assumptions'!$B$8,IF(R150&lt;&gt;"",R150*'6_Credit_Bridge_Assumptions'!$B$8,""))))</f>
        <v/>
      </c>
      <c r="T150" s="22">
        <f>IF(N150&lt;&gt;"",N150,S150)</f>
        <v/>
      </c>
    </row>
    <row r="151">
      <c r="A151" s="6" t="n">
        <v>60103010</v>
      </c>
      <c r="B151" s="6" t="inlineStr">
        <is>
          <t>Hotel &amp; Resort REITs*</t>
        </is>
      </c>
      <c r="C151" s="6" t="n">
        <v>60</v>
      </c>
      <c r="D151" s="6" t="n">
        <v>601030</v>
      </c>
      <c r="E151" s="6" t="n">
        <v>6010</v>
      </c>
      <c r="F151" s="39">
        <f>IFERROR(INDEX('9_UK_Vol_Input'!$D$127:$D$289,MATCH($A151,'9_UK_Vol_Input'!$A$127:$A$289,0)),"")</f>
        <v/>
      </c>
      <c r="G151" s="40">
        <f>IFERROR(INDEX('9_UK_Vol_Input'!$E$127:$E$289,MATCH($A151,'9_UK_Vol_Input'!$A$127:$A$289,0)),"")</f>
        <v/>
      </c>
      <c r="H151" s="39">
        <f>IFERROR(INDEX('9_UK_Vol_Input'!$D$49:$D$122,MATCH($D151,'9_UK_Vol_Input'!$A$49:$A$122,0)),"")</f>
        <v/>
      </c>
      <c r="I151" s="40">
        <f>IFERROR(INDEX('9_UK_Vol_Input'!$E$49:$E$122,MATCH($D151,'9_UK_Vol_Input'!$A$49:$A$122,0)),"")</f>
        <v/>
      </c>
      <c r="J151" s="39">
        <f>IFERROR(INDEX('9_UK_Vol_Input'!$D$20:$D$44,MATCH($E151,'9_UK_Vol_Input'!$A$20:$A$44,0)),"")</f>
        <v/>
      </c>
      <c r="K151" s="40">
        <f>IFERROR(INDEX('9_UK_Vol_Input'!$E$20:$E$44,MATCH($E151,'9_UK_Vol_Input'!$A$20:$A$44,0)),"")</f>
        <v/>
      </c>
      <c r="L151" s="39">
        <f>IFERROR(INDEX('9_UK_Vol_Input'!$D$5:$D$15,MATCH($C151,'9_UK_Vol_Input'!$A$5:$A$15,0)),"")</f>
        <v/>
      </c>
      <c r="M151" s="40">
        <f>IFERROR(INDEX('9_UK_Vol_Input'!$E$5:$E$15,MATCH($C151,'9_UK_Vol_Input'!$A$5:$A$15,0)),"")</f>
        <v/>
      </c>
      <c r="N151" s="22">
        <f>IF(F151&lt;&gt;"",F151/(1+G151),IF(H151&lt;&gt;"",H151/(1+I151),IF(J151&lt;&gt;"",J151/(1+K151),IF(L151&lt;&gt;"",L151/(1+M151),""))))</f>
        <v/>
      </c>
      <c r="O151" s="36">
        <f>IFERROR(INDEX('7_UK_Beta_Input'!$D$127:$D$289,MATCH($A151,'7_UK_Beta_Input'!$A$127:$A$289,0)),"")</f>
        <v/>
      </c>
      <c r="P151" s="36">
        <f>IFERROR(INDEX('7_UK_Beta_Input'!$D$49:$D$122,MATCH($D151,'7_UK_Beta_Input'!$A$49:$A$122,0)),"")</f>
        <v/>
      </c>
      <c r="Q151" s="36">
        <f>IFERROR(INDEX('7_UK_Beta_Input'!$D$20:$D$44,MATCH($E151,'7_UK_Beta_Input'!$A$20:$A$44,0)),"")</f>
        <v/>
      </c>
      <c r="R151" s="36">
        <f>IFERROR(INDEX('7_UK_Beta_Input'!$D$5:$D$15,MATCH($C151,'7_UK_Beta_Input'!$A$5:$A$15,0)),"")</f>
        <v/>
      </c>
      <c r="S151" s="22">
        <f>IF(O151&lt;&gt;"",O151*'6_Credit_Bridge_Assumptions'!$B$8,IF(P151&lt;&gt;"",P151*'6_Credit_Bridge_Assumptions'!$B$8,IF(Q151&lt;&gt;"",Q151*'6_Credit_Bridge_Assumptions'!$B$8,IF(R151&lt;&gt;"",R151*'6_Credit_Bridge_Assumptions'!$B$8,""))))</f>
        <v/>
      </c>
      <c r="T151" s="22">
        <f>IF(N151&lt;&gt;"",N151,S151)</f>
        <v/>
      </c>
    </row>
    <row r="152">
      <c r="A152" s="6" t="n">
        <v>60104010</v>
      </c>
      <c r="B152" s="6" t="inlineStr">
        <is>
          <t>Office REITs*</t>
        </is>
      </c>
      <c r="C152" s="6" t="n">
        <v>60</v>
      </c>
      <c r="D152" s="6" t="n">
        <v>601040</v>
      </c>
      <c r="E152" s="6" t="n">
        <v>6010</v>
      </c>
      <c r="F152" s="39">
        <f>IFERROR(INDEX('9_UK_Vol_Input'!$D$127:$D$289,MATCH($A152,'9_UK_Vol_Input'!$A$127:$A$289,0)),"")</f>
        <v/>
      </c>
      <c r="G152" s="40">
        <f>IFERROR(INDEX('9_UK_Vol_Input'!$E$127:$E$289,MATCH($A152,'9_UK_Vol_Input'!$A$127:$A$289,0)),"")</f>
        <v/>
      </c>
      <c r="H152" s="39">
        <f>IFERROR(INDEX('9_UK_Vol_Input'!$D$49:$D$122,MATCH($D152,'9_UK_Vol_Input'!$A$49:$A$122,0)),"")</f>
        <v/>
      </c>
      <c r="I152" s="40">
        <f>IFERROR(INDEX('9_UK_Vol_Input'!$E$49:$E$122,MATCH($D152,'9_UK_Vol_Input'!$A$49:$A$122,0)),"")</f>
        <v/>
      </c>
      <c r="J152" s="39">
        <f>IFERROR(INDEX('9_UK_Vol_Input'!$D$20:$D$44,MATCH($E152,'9_UK_Vol_Input'!$A$20:$A$44,0)),"")</f>
        <v/>
      </c>
      <c r="K152" s="40">
        <f>IFERROR(INDEX('9_UK_Vol_Input'!$E$20:$E$44,MATCH($E152,'9_UK_Vol_Input'!$A$20:$A$44,0)),"")</f>
        <v/>
      </c>
      <c r="L152" s="39">
        <f>IFERROR(INDEX('9_UK_Vol_Input'!$D$5:$D$15,MATCH($C152,'9_UK_Vol_Input'!$A$5:$A$15,0)),"")</f>
        <v/>
      </c>
      <c r="M152" s="40">
        <f>IFERROR(INDEX('9_UK_Vol_Input'!$E$5:$E$15,MATCH($C152,'9_UK_Vol_Input'!$A$5:$A$15,0)),"")</f>
        <v/>
      </c>
      <c r="N152" s="22">
        <f>IF(F152&lt;&gt;"",F152/(1+G152),IF(H152&lt;&gt;"",H152/(1+I152),IF(J152&lt;&gt;"",J152/(1+K152),IF(L152&lt;&gt;"",L152/(1+M152),""))))</f>
        <v/>
      </c>
      <c r="O152" s="36">
        <f>IFERROR(INDEX('7_UK_Beta_Input'!$D$127:$D$289,MATCH($A152,'7_UK_Beta_Input'!$A$127:$A$289,0)),"")</f>
        <v/>
      </c>
      <c r="P152" s="36">
        <f>IFERROR(INDEX('7_UK_Beta_Input'!$D$49:$D$122,MATCH($D152,'7_UK_Beta_Input'!$A$49:$A$122,0)),"")</f>
        <v/>
      </c>
      <c r="Q152" s="36">
        <f>IFERROR(INDEX('7_UK_Beta_Input'!$D$20:$D$44,MATCH($E152,'7_UK_Beta_Input'!$A$20:$A$44,0)),"")</f>
        <v/>
      </c>
      <c r="R152" s="36">
        <f>IFERROR(INDEX('7_UK_Beta_Input'!$D$5:$D$15,MATCH($C152,'7_UK_Beta_Input'!$A$5:$A$15,0)),"")</f>
        <v/>
      </c>
      <c r="S152" s="22">
        <f>IF(O152&lt;&gt;"",O152*'6_Credit_Bridge_Assumptions'!$B$8,IF(P152&lt;&gt;"",P152*'6_Credit_Bridge_Assumptions'!$B$8,IF(Q152&lt;&gt;"",Q152*'6_Credit_Bridge_Assumptions'!$B$8,IF(R152&lt;&gt;"",R152*'6_Credit_Bridge_Assumptions'!$B$8,""))))</f>
        <v/>
      </c>
      <c r="T152" s="22">
        <f>IF(N152&lt;&gt;"",N152,S152)</f>
        <v/>
      </c>
    </row>
    <row r="153">
      <c r="A153" s="6" t="n">
        <v>60105010</v>
      </c>
      <c r="B153" s="6" t="inlineStr">
        <is>
          <t>Health Care REITs*</t>
        </is>
      </c>
      <c r="C153" s="6" t="n">
        <v>60</v>
      </c>
      <c r="D153" s="6" t="n">
        <v>601050</v>
      </c>
      <c r="E153" s="6" t="n">
        <v>6010</v>
      </c>
      <c r="F153" s="39">
        <f>IFERROR(INDEX('9_UK_Vol_Input'!$D$127:$D$289,MATCH($A153,'9_UK_Vol_Input'!$A$127:$A$289,0)),"")</f>
        <v/>
      </c>
      <c r="G153" s="40">
        <f>IFERROR(INDEX('9_UK_Vol_Input'!$E$127:$E$289,MATCH($A153,'9_UK_Vol_Input'!$A$127:$A$289,0)),"")</f>
        <v/>
      </c>
      <c r="H153" s="39">
        <f>IFERROR(INDEX('9_UK_Vol_Input'!$D$49:$D$122,MATCH($D153,'9_UK_Vol_Input'!$A$49:$A$122,0)),"")</f>
        <v/>
      </c>
      <c r="I153" s="40">
        <f>IFERROR(INDEX('9_UK_Vol_Input'!$E$49:$E$122,MATCH($D153,'9_UK_Vol_Input'!$A$49:$A$122,0)),"")</f>
        <v/>
      </c>
      <c r="J153" s="39">
        <f>IFERROR(INDEX('9_UK_Vol_Input'!$D$20:$D$44,MATCH($E153,'9_UK_Vol_Input'!$A$20:$A$44,0)),"")</f>
        <v/>
      </c>
      <c r="K153" s="40">
        <f>IFERROR(INDEX('9_UK_Vol_Input'!$E$20:$E$44,MATCH($E153,'9_UK_Vol_Input'!$A$20:$A$44,0)),"")</f>
        <v/>
      </c>
      <c r="L153" s="39">
        <f>IFERROR(INDEX('9_UK_Vol_Input'!$D$5:$D$15,MATCH($C153,'9_UK_Vol_Input'!$A$5:$A$15,0)),"")</f>
        <v/>
      </c>
      <c r="M153" s="40">
        <f>IFERROR(INDEX('9_UK_Vol_Input'!$E$5:$E$15,MATCH($C153,'9_UK_Vol_Input'!$A$5:$A$15,0)),"")</f>
        <v/>
      </c>
      <c r="N153" s="22">
        <f>IF(F153&lt;&gt;"",F153/(1+G153),IF(H153&lt;&gt;"",H153/(1+I153),IF(J153&lt;&gt;"",J153/(1+K153),IF(L153&lt;&gt;"",L153/(1+M153),""))))</f>
        <v/>
      </c>
      <c r="O153" s="36">
        <f>IFERROR(INDEX('7_UK_Beta_Input'!$D$127:$D$289,MATCH($A153,'7_UK_Beta_Input'!$A$127:$A$289,0)),"")</f>
        <v/>
      </c>
      <c r="P153" s="36">
        <f>IFERROR(INDEX('7_UK_Beta_Input'!$D$49:$D$122,MATCH($D153,'7_UK_Beta_Input'!$A$49:$A$122,0)),"")</f>
        <v/>
      </c>
      <c r="Q153" s="36">
        <f>IFERROR(INDEX('7_UK_Beta_Input'!$D$20:$D$44,MATCH($E153,'7_UK_Beta_Input'!$A$20:$A$44,0)),"")</f>
        <v/>
      </c>
      <c r="R153" s="36">
        <f>IFERROR(INDEX('7_UK_Beta_Input'!$D$5:$D$15,MATCH($C153,'7_UK_Beta_Input'!$A$5:$A$15,0)),"")</f>
        <v/>
      </c>
      <c r="S153" s="22">
        <f>IF(O153&lt;&gt;"",O153*'6_Credit_Bridge_Assumptions'!$B$8,IF(P153&lt;&gt;"",P153*'6_Credit_Bridge_Assumptions'!$B$8,IF(Q153&lt;&gt;"",Q153*'6_Credit_Bridge_Assumptions'!$B$8,IF(R153&lt;&gt;"",R153*'6_Credit_Bridge_Assumptions'!$B$8,""))))</f>
        <v/>
      </c>
      <c r="T153" s="22">
        <f>IF(N153&lt;&gt;"",N153,S153)</f>
        <v/>
      </c>
    </row>
    <row r="154">
      <c r="A154" s="6" t="n">
        <v>60106010</v>
      </c>
      <c r="B154" s="6" t="inlineStr">
        <is>
          <t>Multi-Family Residential REITs*</t>
        </is>
      </c>
      <c r="C154" s="6" t="n">
        <v>60</v>
      </c>
      <c r="D154" s="6" t="n">
        <v>601060</v>
      </c>
      <c r="E154" s="6" t="n">
        <v>6010</v>
      </c>
      <c r="F154" s="39">
        <f>IFERROR(INDEX('9_UK_Vol_Input'!$D$127:$D$289,MATCH($A154,'9_UK_Vol_Input'!$A$127:$A$289,0)),"")</f>
        <v/>
      </c>
      <c r="G154" s="40">
        <f>IFERROR(INDEX('9_UK_Vol_Input'!$E$127:$E$289,MATCH($A154,'9_UK_Vol_Input'!$A$127:$A$289,0)),"")</f>
        <v/>
      </c>
      <c r="H154" s="39">
        <f>IFERROR(INDEX('9_UK_Vol_Input'!$D$49:$D$122,MATCH($D154,'9_UK_Vol_Input'!$A$49:$A$122,0)),"")</f>
        <v/>
      </c>
      <c r="I154" s="40">
        <f>IFERROR(INDEX('9_UK_Vol_Input'!$E$49:$E$122,MATCH($D154,'9_UK_Vol_Input'!$A$49:$A$122,0)),"")</f>
        <v/>
      </c>
      <c r="J154" s="39">
        <f>IFERROR(INDEX('9_UK_Vol_Input'!$D$20:$D$44,MATCH($E154,'9_UK_Vol_Input'!$A$20:$A$44,0)),"")</f>
        <v/>
      </c>
      <c r="K154" s="40">
        <f>IFERROR(INDEX('9_UK_Vol_Input'!$E$20:$E$44,MATCH($E154,'9_UK_Vol_Input'!$A$20:$A$44,0)),"")</f>
        <v/>
      </c>
      <c r="L154" s="39">
        <f>IFERROR(INDEX('9_UK_Vol_Input'!$D$5:$D$15,MATCH($C154,'9_UK_Vol_Input'!$A$5:$A$15,0)),"")</f>
        <v/>
      </c>
      <c r="M154" s="40">
        <f>IFERROR(INDEX('9_UK_Vol_Input'!$E$5:$E$15,MATCH($C154,'9_UK_Vol_Input'!$A$5:$A$15,0)),"")</f>
        <v/>
      </c>
      <c r="N154" s="22">
        <f>IF(F154&lt;&gt;"",F154/(1+G154),IF(H154&lt;&gt;"",H154/(1+I154),IF(J154&lt;&gt;"",J154/(1+K154),IF(L154&lt;&gt;"",L154/(1+M154),""))))</f>
        <v/>
      </c>
      <c r="O154" s="36">
        <f>IFERROR(INDEX('7_UK_Beta_Input'!$D$127:$D$289,MATCH($A154,'7_UK_Beta_Input'!$A$127:$A$289,0)),"")</f>
        <v/>
      </c>
      <c r="P154" s="36">
        <f>IFERROR(INDEX('7_UK_Beta_Input'!$D$49:$D$122,MATCH($D154,'7_UK_Beta_Input'!$A$49:$A$122,0)),"")</f>
        <v/>
      </c>
      <c r="Q154" s="36">
        <f>IFERROR(INDEX('7_UK_Beta_Input'!$D$20:$D$44,MATCH($E154,'7_UK_Beta_Input'!$A$20:$A$44,0)),"")</f>
        <v/>
      </c>
      <c r="R154" s="36">
        <f>IFERROR(INDEX('7_UK_Beta_Input'!$D$5:$D$15,MATCH($C154,'7_UK_Beta_Input'!$A$5:$A$15,0)),"")</f>
        <v/>
      </c>
      <c r="S154" s="22">
        <f>IF(O154&lt;&gt;"",O154*'6_Credit_Bridge_Assumptions'!$B$8,IF(P154&lt;&gt;"",P154*'6_Credit_Bridge_Assumptions'!$B$8,IF(Q154&lt;&gt;"",Q154*'6_Credit_Bridge_Assumptions'!$B$8,IF(R154&lt;&gt;"",R154*'6_Credit_Bridge_Assumptions'!$B$8,""))))</f>
        <v/>
      </c>
      <c r="T154" s="22">
        <f>IF(N154&lt;&gt;"",N154,S154)</f>
        <v/>
      </c>
    </row>
    <row r="155">
      <c r="A155" s="6" t="n">
        <v>60106020</v>
      </c>
      <c r="B155" s="6" t="inlineStr">
        <is>
          <t>Single-Family Residential REITs*</t>
        </is>
      </c>
      <c r="C155" s="6" t="n">
        <v>60</v>
      </c>
      <c r="D155" s="6" t="n">
        <v>601060</v>
      </c>
      <c r="E155" s="6" t="n">
        <v>6010</v>
      </c>
      <c r="F155" s="39">
        <f>IFERROR(INDEX('9_UK_Vol_Input'!$D$127:$D$289,MATCH($A155,'9_UK_Vol_Input'!$A$127:$A$289,0)),"")</f>
        <v/>
      </c>
      <c r="G155" s="40">
        <f>IFERROR(INDEX('9_UK_Vol_Input'!$E$127:$E$289,MATCH($A155,'9_UK_Vol_Input'!$A$127:$A$289,0)),"")</f>
        <v/>
      </c>
      <c r="H155" s="39">
        <f>IFERROR(INDEX('9_UK_Vol_Input'!$D$49:$D$122,MATCH($D155,'9_UK_Vol_Input'!$A$49:$A$122,0)),"")</f>
        <v/>
      </c>
      <c r="I155" s="40">
        <f>IFERROR(INDEX('9_UK_Vol_Input'!$E$49:$E$122,MATCH($D155,'9_UK_Vol_Input'!$A$49:$A$122,0)),"")</f>
        <v/>
      </c>
      <c r="J155" s="39">
        <f>IFERROR(INDEX('9_UK_Vol_Input'!$D$20:$D$44,MATCH($E155,'9_UK_Vol_Input'!$A$20:$A$44,0)),"")</f>
        <v/>
      </c>
      <c r="K155" s="40">
        <f>IFERROR(INDEX('9_UK_Vol_Input'!$E$20:$E$44,MATCH($E155,'9_UK_Vol_Input'!$A$20:$A$44,0)),"")</f>
        <v/>
      </c>
      <c r="L155" s="39">
        <f>IFERROR(INDEX('9_UK_Vol_Input'!$D$5:$D$15,MATCH($C155,'9_UK_Vol_Input'!$A$5:$A$15,0)),"")</f>
        <v/>
      </c>
      <c r="M155" s="40">
        <f>IFERROR(INDEX('9_UK_Vol_Input'!$E$5:$E$15,MATCH($C155,'9_UK_Vol_Input'!$A$5:$A$15,0)),"")</f>
        <v/>
      </c>
      <c r="N155" s="22">
        <f>IF(F155&lt;&gt;"",F155/(1+G155),IF(H155&lt;&gt;"",H155/(1+I155),IF(J155&lt;&gt;"",J155/(1+K155),IF(L155&lt;&gt;"",L155/(1+M155),""))))</f>
        <v/>
      </c>
      <c r="O155" s="36">
        <f>IFERROR(INDEX('7_UK_Beta_Input'!$D$127:$D$289,MATCH($A155,'7_UK_Beta_Input'!$A$127:$A$289,0)),"")</f>
        <v/>
      </c>
      <c r="P155" s="36">
        <f>IFERROR(INDEX('7_UK_Beta_Input'!$D$49:$D$122,MATCH($D155,'7_UK_Beta_Input'!$A$49:$A$122,0)),"")</f>
        <v/>
      </c>
      <c r="Q155" s="36">
        <f>IFERROR(INDEX('7_UK_Beta_Input'!$D$20:$D$44,MATCH($E155,'7_UK_Beta_Input'!$A$20:$A$44,0)),"")</f>
        <v/>
      </c>
      <c r="R155" s="36">
        <f>IFERROR(INDEX('7_UK_Beta_Input'!$D$5:$D$15,MATCH($C155,'7_UK_Beta_Input'!$A$5:$A$15,0)),"")</f>
        <v/>
      </c>
      <c r="S155" s="22">
        <f>IF(O155&lt;&gt;"",O155*'6_Credit_Bridge_Assumptions'!$B$8,IF(P155&lt;&gt;"",P155*'6_Credit_Bridge_Assumptions'!$B$8,IF(Q155&lt;&gt;"",Q155*'6_Credit_Bridge_Assumptions'!$B$8,IF(R155&lt;&gt;"",R155*'6_Credit_Bridge_Assumptions'!$B$8,""))))</f>
        <v/>
      </c>
      <c r="T155" s="22">
        <f>IF(N155&lt;&gt;"",N155,S155)</f>
        <v/>
      </c>
    </row>
    <row r="156">
      <c r="A156" s="6" t="n">
        <v>60107010</v>
      </c>
      <c r="B156" s="6" t="inlineStr">
        <is>
          <t>Retail REITs*</t>
        </is>
      </c>
      <c r="C156" s="6" t="n">
        <v>60</v>
      </c>
      <c r="D156" s="6" t="n">
        <v>601070</v>
      </c>
      <c r="E156" s="6" t="n">
        <v>6010</v>
      </c>
      <c r="F156" s="39">
        <f>IFERROR(INDEX('9_UK_Vol_Input'!$D$127:$D$289,MATCH($A156,'9_UK_Vol_Input'!$A$127:$A$289,0)),"")</f>
        <v/>
      </c>
      <c r="G156" s="40">
        <f>IFERROR(INDEX('9_UK_Vol_Input'!$E$127:$E$289,MATCH($A156,'9_UK_Vol_Input'!$A$127:$A$289,0)),"")</f>
        <v/>
      </c>
      <c r="H156" s="39">
        <f>IFERROR(INDEX('9_UK_Vol_Input'!$D$49:$D$122,MATCH($D156,'9_UK_Vol_Input'!$A$49:$A$122,0)),"")</f>
        <v/>
      </c>
      <c r="I156" s="40">
        <f>IFERROR(INDEX('9_UK_Vol_Input'!$E$49:$E$122,MATCH($D156,'9_UK_Vol_Input'!$A$49:$A$122,0)),"")</f>
        <v/>
      </c>
      <c r="J156" s="39">
        <f>IFERROR(INDEX('9_UK_Vol_Input'!$D$20:$D$44,MATCH($E156,'9_UK_Vol_Input'!$A$20:$A$44,0)),"")</f>
        <v/>
      </c>
      <c r="K156" s="40">
        <f>IFERROR(INDEX('9_UK_Vol_Input'!$E$20:$E$44,MATCH($E156,'9_UK_Vol_Input'!$A$20:$A$44,0)),"")</f>
        <v/>
      </c>
      <c r="L156" s="39">
        <f>IFERROR(INDEX('9_UK_Vol_Input'!$D$5:$D$15,MATCH($C156,'9_UK_Vol_Input'!$A$5:$A$15,0)),"")</f>
        <v/>
      </c>
      <c r="M156" s="40">
        <f>IFERROR(INDEX('9_UK_Vol_Input'!$E$5:$E$15,MATCH($C156,'9_UK_Vol_Input'!$A$5:$A$15,0)),"")</f>
        <v/>
      </c>
      <c r="N156" s="22">
        <f>IF(F156&lt;&gt;"",F156/(1+G156),IF(H156&lt;&gt;"",H156/(1+I156),IF(J156&lt;&gt;"",J156/(1+K156),IF(L156&lt;&gt;"",L156/(1+M156),""))))</f>
        <v/>
      </c>
      <c r="O156" s="36">
        <f>IFERROR(INDEX('7_UK_Beta_Input'!$D$127:$D$289,MATCH($A156,'7_UK_Beta_Input'!$A$127:$A$289,0)),"")</f>
        <v/>
      </c>
      <c r="P156" s="36">
        <f>IFERROR(INDEX('7_UK_Beta_Input'!$D$49:$D$122,MATCH($D156,'7_UK_Beta_Input'!$A$49:$A$122,0)),"")</f>
        <v/>
      </c>
      <c r="Q156" s="36">
        <f>IFERROR(INDEX('7_UK_Beta_Input'!$D$20:$D$44,MATCH($E156,'7_UK_Beta_Input'!$A$20:$A$44,0)),"")</f>
        <v/>
      </c>
      <c r="R156" s="36">
        <f>IFERROR(INDEX('7_UK_Beta_Input'!$D$5:$D$15,MATCH($C156,'7_UK_Beta_Input'!$A$5:$A$15,0)),"")</f>
        <v/>
      </c>
      <c r="S156" s="22">
        <f>IF(O156&lt;&gt;"",O156*'6_Credit_Bridge_Assumptions'!$B$8,IF(P156&lt;&gt;"",P156*'6_Credit_Bridge_Assumptions'!$B$8,IF(Q156&lt;&gt;"",Q156*'6_Credit_Bridge_Assumptions'!$B$8,IF(R156&lt;&gt;"",R156*'6_Credit_Bridge_Assumptions'!$B$8,""))))</f>
        <v/>
      </c>
      <c r="T156" s="22">
        <f>IF(N156&lt;&gt;"",N156,S156)</f>
        <v/>
      </c>
    </row>
    <row r="157">
      <c r="A157" s="6" t="n">
        <v>60108010</v>
      </c>
      <c r="B157" s="6" t="inlineStr">
        <is>
          <t>Other Specialized REITs*</t>
        </is>
      </c>
      <c r="C157" s="6" t="n">
        <v>60</v>
      </c>
      <c r="D157" s="6" t="n">
        <v>601080</v>
      </c>
      <c r="E157" s="6" t="n">
        <v>6010</v>
      </c>
      <c r="F157" s="39">
        <f>IFERROR(INDEX('9_UK_Vol_Input'!$D$127:$D$289,MATCH($A157,'9_UK_Vol_Input'!$A$127:$A$289,0)),"")</f>
        <v/>
      </c>
      <c r="G157" s="40">
        <f>IFERROR(INDEX('9_UK_Vol_Input'!$E$127:$E$289,MATCH($A157,'9_UK_Vol_Input'!$A$127:$A$289,0)),"")</f>
        <v/>
      </c>
      <c r="H157" s="39">
        <f>IFERROR(INDEX('9_UK_Vol_Input'!$D$49:$D$122,MATCH($D157,'9_UK_Vol_Input'!$A$49:$A$122,0)),"")</f>
        <v/>
      </c>
      <c r="I157" s="40">
        <f>IFERROR(INDEX('9_UK_Vol_Input'!$E$49:$E$122,MATCH($D157,'9_UK_Vol_Input'!$A$49:$A$122,0)),"")</f>
        <v/>
      </c>
      <c r="J157" s="39">
        <f>IFERROR(INDEX('9_UK_Vol_Input'!$D$20:$D$44,MATCH($E157,'9_UK_Vol_Input'!$A$20:$A$44,0)),"")</f>
        <v/>
      </c>
      <c r="K157" s="40">
        <f>IFERROR(INDEX('9_UK_Vol_Input'!$E$20:$E$44,MATCH($E157,'9_UK_Vol_Input'!$A$20:$A$44,0)),"")</f>
        <v/>
      </c>
      <c r="L157" s="39">
        <f>IFERROR(INDEX('9_UK_Vol_Input'!$D$5:$D$15,MATCH($C157,'9_UK_Vol_Input'!$A$5:$A$15,0)),"")</f>
        <v/>
      </c>
      <c r="M157" s="40">
        <f>IFERROR(INDEX('9_UK_Vol_Input'!$E$5:$E$15,MATCH($C157,'9_UK_Vol_Input'!$A$5:$A$15,0)),"")</f>
        <v/>
      </c>
      <c r="N157" s="22">
        <f>IF(F157&lt;&gt;"",F157/(1+G157),IF(H157&lt;&gt;"",H157/(1+I157),IF(J157&lt;&gt;"",J157/(1+K157),IF(L157&lt;&gt;"",L157/(1+M157),""))))</f>
        <v/>
      </c>
      <c r="O157" s="36">
        <f>IFERROR(INDEX('7_UK_Beta_Input'!$D$127:$D$289,MATCH($A157,'7_UK_Beta_Input'!$A$127:$A$289,0)),"")</f>
        <v/>
      </c>
      <c r="P157" s="36">
        <f>IFERROR(INDEX('7_UK_Beta_Input'!$D$49:$D$122,MATCH($D157,'7_UK_Beta_Input'!$A$49:$A$122,0)),"")</f>
        <v/>
      </c>
      <c r="Q157" s="36">
        <f>IFERROR(INDEX('7_UK_Beta_Input'!$D$20:$D$44,MATCH($E157,'7_UK_Beta_Input'!$A$20:$A$44,0)),"")</f>
        <v/>
      </c>
      <c r="R157" s="36">
        <f>IFERROR(INDEX('7_UK_Beta_Input'!$D$5:$D$15,MATCH($C157,'7_UK_Beta_Input'!$A$5:$A$15,0)),"")</f>
        <v/>
      </c>
      <c r="S157" s="22">
        <f>IF(O157&lt;&gt;"",O157*'6_Credit_Bridge_Assumptions'!$B$8,IF(P157&lt;&gt;"",P157*'6_Credit_Bridge_Assumptions'!$B$8,IF(Q157&lt;&gt;"",Q157*'6_Credit_Bridge_Assumptions'!$B$8,IF(R157&lt;&gt;"",R157*'6_Credit_Bridge_Assumptions'!$B$8,""))))</f>
        <v/>
      </c>
      <c r="T157" s="22">
        <f>IF(N157&lt;&gt;"",N157,S157)</f>
        <v/>
      </c>
    </row>
    <row r="158">
      <c r="A158" s="6" t="n">
        <v>60108020</v>
      </c>
      <c r="B158" s="6" t="inlineStr">
        <is>
          <t>Self-Storage REITs*</t>
        </is>
      </c>
      <c r="C158" s="6" t="n">
        <v>60</v>
      </c>
      <c r="D158" s="6" t="n">
        <v>601080</v>
      </c>
      <c r="E158" s="6" t="n">
        <v>6010</v>
      </c>
      <c r="F158" s="39">
        <f>IFERROR(INDEX('9_UK_Vol_Input'!$D$127:$D$289,MATCH($A158,'9_UK_Vol_Input'!$A$127:$A$289,0)),"")</f>
        <v/>
      </c>
      <c r="G158" s="40">
        <f>IFERROR(INDEX('9_UK_Vol_Input'!$E$127:$E$289,MATCH($A158,'9_UK_Vol_Input'!$A$127:$A$289,0)),"")</f>
        <v/>
      </c>
      <c r="H158" s="39">
        <f>IFERROR(INDEX('9_UK_Vol_Input'!$D$49:$D$122,MATCH($D158,'9_UK_Vol_Input'!$A$49:$A$122,0)),"")</f>
        <v/>
      </c>
      <c r="I158" s="40">
        <f>IFERROR(INDEX('9_UK_Vol_Input'!$E$49:$E$122,MATCH($D158,'9_UK_Vol_Input'!$A$49:$A$122,0)),"")</f>
        <v/>
      </c>
      <c r="J158" s="39">
        <f>IFERROR(INDEX('9_UK_Vol_Input'!$D$20:$D$44,MATCH($E158,'9_UK_Vol_Input'!$A$20:$A$44,0)),"")</f>
        <v/>
      </c>
      <c r="K158" s="40">
        <f>IFERROR(INDEX('9_UK_Vol_Input'!$E$20:$E$44,MATCH($E158,'9_UK_Vol_Input'!$A$20:$A$44,0)),"")</f>
        <v/>
      </c>
      <c r="L158" s="39">
        <f>IFERROR(INDEX('9_UK_Vol_Input'!$D$5:$D$15,MATCH($C158,'9_UK_Vol_Input'!$A$5:$A$15,0)),"")</f>
        <v/>
      </c>
      <c r="M158" s="40">
        <f>IFERROR(INDEX('9_UK_Vol_Input'!$E$5:$E$15,MATCH($C158,'9_UK_Vol_Input'!$A$5:$A$15,0)),"")</f>
        <v/>
      </c>
      <c r="N158" s="22">
        <f>IF(F158&lt;&gt;"",F158/(1+G158),IF(H158&lt;&gt;"",H158/(1+I158),IF(J158&lt;&gt;"",J158/(1+K158),IF(L158&lt;&gt;"",L158/(1+M158),""))))</f>
        <v/>
      </c>
      <c r="O158" s="36">
        <f>IFERROR(INDEX('7_UK_Beta_Input'!$D$127:$D$289,MATCH($A158,'7_UK_Beta_Input'!$A$127:$A$289,0)),"")</f>
        <v/>
      </c>
      <c r="P158" s="36">
        <f>IFERROR(INDEX('7_UK_Beta_Input'!$D$49:$D$122,MATCH($D158,'7_UK_Beta_Input'!$A$49:$A$122,0)),"")</f>
        <v/>
      </c>
      <c r="Q158" s="36">
        <f>IFERROR(INDEX('7_UK_Beta_Input'!$D$20:$D$44,MATCH($E158,'7_UK_Beta_Input'!$A$20:$A$44,0)),"")</f>
        <v/>
      </c>
      <c r="R158" s="36">
        <f>IFERROR(INDEX('7_UK_Beta_Input'!$D$5:$D$15,MATCH($C158,'7_UK_Beta_Input'!$A$5:$A$15,0)),"")</f>
        <v/>
      </c>
      <c r="S158" s="22">
        <f>IF(O158&lt;&gt;"",O158*'6_Credit_Bridge_Assumptions'!$B$8,IF(P158&lt;&gt;"",P158*'6_Credit_Bridge_Assumptions'!$B$8,IF(Q158&lt;&gt;"",Q158*'6_Credit_Bridge_Assumptions'!$B$8,IF(R158&lt;&gt;"",R158*'6_Credit_Bridge_Assumptions'!$B$8,""))))</f>
        <v/>
      </c>
      <c r="T158" s="22">
        <f>IF(N158&lt;&gt;"",N158,S158)</f>
        <v/>
      </c>
    </row>
    <row r="159">
      <c r="A159" s="6" t="n">
        <v>60108030</v>
      </c>
      <c r="B159" s="6" t="inlineStr">
        <is>
          <t>Telecom Tower REITs*</t>
        </is>
      </c>
      <c r="C159" s="6" t="n">
        <v>60</v>
      </c>
      <c r="D159" s="6" t="n">
        <v>601080</v>
      </c>
      <c r="E159" s="6" t="n">
        <v>6010</v>
      </c>
      <c r="F159" s="39">
        <f>IFERROR(INDEX('9_UK_Vol_Input'!$D$127:$D$289,MATCH($A159,'9_UK_Vol_Input'!$A$127:$A$289,0)),"")</f>
        <v/>
      </c>
      <c r="G159" s="40">
        <f>IFERROR(INDEX('9_UK_Vol_Input'!$E$127:$E$289,MATCH($A159,'9_UK_Vol_Input'!$A$127:$A$289,0)),"")</f>
        <v/>
      </c>
      <c r="H159" s="39">
        <f>IFERROR(INDEX('9_UK_Vol_Input'!$D$49:$D$122,MATCH($D159,'9_UK_Vol_Input'!$A$49:$A$122,0)),"")</f>
        <v/>
      </c>
      <c r="I159" s="40">
        <f>IFERROR(INDEX('9_UK_Vol_Input'!$E$49:$E$122,MATCH($D159,'9_UK_Vol_Input'!$A$49:$A$122,0)),"")</f>
        <v/>
      </c>
      <c r="J159" s="39">
        <f>IFERROR(INDEX('9_UK_Vol_Input'!$D$20:$D$44,MATCH($E159,'9_UK_Vol_Input'!$A$20:$A$44,0)),"")</f>
        <v/>
      </c>
      <c r="K159" s="40">
        <f>IFERROR(INDEX('9_UK_Vol_Input'!$E$20:$E$44,MATCH($E159,'9_UK_Vol_Input'!$A$20:$A$44,0)),"")</f>
        <v/>
      </c>
      <c r="L159" s="39">
        <f>IFERROR(INDEX('9_UK_Vol_Input'!$D$5:$D$15,MATCH($C159,'9_UK_Vol_Input'!$A$5:$A$15,0)),"")</f>
        <v/>
      </c>
      <c r="M159" s="40">
        <f>IFERROR(INDEX('9_UK_Vol_Input'!$E$5:$E$15,MATCH($C159,'9_UK_Vol_Input'!$A$5:$A$15,0)),"")</f>
        <v/>
      </c>
      <c r="N159" s="22">
        <f>IF(F159&lt;&gt;"",F159/(1+G159),IF(H159&lt;&gt;"",H159/(1+I159),IF(J159&lt;&gt;"",J159/(1+K159),IF(L159&lt;&gt;"",L159/(1+M159),""))))</f>
        <v/>
      </c>
      <c r="O159" s="36">
        <f>IFERROR(INDEX('7_UK_Beta_Input'!$D$127:$D$289,MATCH($A159,'7_UK_Beta_Input'!$A$127:$A$289,0)),"")</f>
        <v/>
      </c>
      <c r="P159" s="36">
        <f>IFERROR(INDEX('7_UK_Beta_Input'!$D$49:$D$122,MATCH($D159,'7_UK_Beta_Input'!$A$49:$A$122,0)),"")</f>
        <v/>
      </c>
      <c r="Q159" s="36">
        <f>IFERROR(INDEX('7_UK_Beta_Input'!$D$20:$D$44,MATCH($E159,'7_UK_Beta_Input'!$A$20:$A$44,0)),"")</f>
        <v/>
      </c>
      <c r="R159" s="36">
        <f>IFERROR(INDEX('7_UK_Beta_Input'!$D$5:$D$15,MATCH($C159,'7_UK_Beta_Input'!$A$5:$A$15,0)),"")</f>
        <v/>
      </c>
      <c r="S159" s="22">
        <f>IF(O159&lt;&gt;"",O159*'6_Credit_Bridge_Assumptions'!$B$8,IF(P159&lt;&gt;"",P159*'6_Credit_Bridge_Assumptions'!$B$8,IF(Q159&lt;&gt;"",Q159*'6_Credit_Bridge_Assumptions'!$B$8,IF(R159&lt;&gt;"",R159*'6_Credit_Bridge_Assumptions'!$B$8,""))))</f>
        <v/>
      </c>
      <c r="T159" s="22">
        <f>IF(N159&lt;&gt;"",N159,S159)</f>
        <v/>
      </c>
    </row>
    <row r="160">
      <c r="A160" s="6" t="n">
        <v>60108040</v>
      </c>
      <c r="B160" s="6" t="inlineStr">
        <is>
          <t>Timber REITs*</t>
        </is>
      </c>
      <c r="C160" s="6" t="n">
        <v>60</v>
      </c>
      <c r="D160" s="6" t="n">
        <v>601080</v>
      </c>
      <c r="E160" s="6" t="n">
        <v>6010</v>
      </c>
      <c r="F160" s="39">
        <f>IFERROR(INDEX('9_UK_Vol_Input'!$D$127:$D$289,MATCH($A160,'9_UK_Vol_Input'!$A$127:$A$289,0)),"")</f>
        <v/>
      </c>
      <c r="G160" s="40">
        <f>IFERROR(INDEX('9_UK_Vol_Input'!$E$127:$E$289,MATCH($A160,'9_UK_Vol_Input'!$A$127:$A$289,0)),"")</f>
        <v/>
      </c>
      <c r="H160" s="39">
        <f>IFERROR(INDEX('9_UK_Vol_Input'!$D$49:$D$122,MATCH($D160,'9_UK_Vol_Input'!$A$49:$A$122,0)),"")</f>
        <v/>
      </c>
      <c r="I160" s="40">
        <f>IFERROR(INDEX('9_UK_Vol_Input'!$E$49:$E$122,MATCH($D160,'9_UK_Vol_Input'!$A$49:$A$122,0)),"")</f>
        <v/>
      </c>
      <c r="J160" s="39">
        <f>IFERROR(INDEX('9_UK_Vol_Input'!$D$20:$D$44,MATCH($E160,'9_UK_Vol_Input'!$A$20:$A$44,0)),"")</f>
        <v/>
      </c>
      <c r="K160" s="40">
        <f>IFERROR(INDEX('9_UK_Vol_Input'!$E$20:$E$44,MATCH($E160,'9_UK_Vol_Input'!$A$20:$A$44,0)),"")</f>
        <v/>
      </c>
      <c r="L160" s="39">
        <f>IFERROR(INDEX('9_UK_Vol_Input'!$D$5:$D$15,MATCH($C160,'9_UK_Vol_Input'!$A$5:$A$15,0)),"")</f>
        <v/>
      </c>
      <c r="M160" s="40">
        <f>IFERROR(INDEX('9_UK_Vol_Input'!$E$5:$E$15,MATCH($C160,'9_UK_Vol_Input'!$A$5:$A$15,0)),"")</f>
        <v/>
      </c>
      <c r="N160" s="22">
        <f>IF(F160&lt;&gt;"",F160/(1+G160),IF(H160&lt;&gt;"",H160/(1+I160),IF(J160&lt;&gt;"",J160/(1+K160),IF(L160&lt;&gt;"",L160/(1+M160),""))))</f>
        <v/>
      </c>
      <c r="O160" s="36">
        <f>IFERROR(INDEX('7_UK_Beta_Input'!$D$127:$D$289,MATCH($A160,'7_UK_Beta_Input'!$A$127:$A$289,0)),"")</f>
        <v/>
      </c>
      <c r="P160" s="36">
        <f>IFERROR(INDEX('7_UK_Beta_Input'!$D$49:$D$122,MATCH($D160,'7_UK_Beta_Input'!$A$49:$A$122,0)),"")</f>
        <v/>
      </c>
      <c r="Q160" s="36">
        <f>IFERROR(INDEX('7_UK_Beta_Input'!$D$20:$D$44,MATCH($E160,'7_UK_Beta_Input'!$A$20:$A$44,0)),"")</f>
        <v/>
      </c>
      <c r="R160" s="36">
        <f>IFERROR(INDEX('7_UK_Beta_Input'!$D$5:$D$15,MATCH($C160,'7_UK_Beta_Input'!$A$5:$A$15,0)),"")</f>
        <v/>
      </c>
      <c r="S160" s="22">
        <f>IF(O160&lt;&gt;"",O160*'6_Credit_Bridge_Assumptions'!$B$8,IF(P160&lt;&gt;"",P160*'6_Credit_Bridge_Assumptions'!$B$8,IF(Q160&lt;&gt;"",Q160*'6_Credit_Bridge_Assumptions'!$B$8,IF(R160&lt;&gt;"",R160*'6_Credit_Bridge_Assumptions'!$B$8,""))))</f>
        <v/>
      </c>
      <c r="T160" s="22">
        <f>IF(N160&lt;&gt;"",N160,S160)</f>
        <v/>
      </c>
    </row>
    <row r="161">
      <c r="A161" s="6" t="n">
        <v>60108050</v>
      </c>
      <c r="B161" s="6" t="inlineStr">
        <is>
          <t>Data Center REITs*</t>
        </is>
      </c>
      <c r="C161" s="6" t="n">
        <v>60</v>
      </c>
      <c r="D161" s="6" t="n">
        <v>601080</v>
      </c>
      <c r="E161" s="6" t="n">
        <v>6010</v>
      </c>
      <c r="F161" s="39">
        <f>IFERROR(INDEX('9_UK_Vol_Input'!$D$127:$D$289,MATCH($A161,'9_UK_Vol_Input'!$A$127:$A$289,0)),"")</f>
        <v/>
      </c>
      <c r="G161" s="40">
        <f>IFERROR(INDEX('9_UK_Vol_Input'!$E$127:$E$289,MATCH($A161,'9_UK_Vol_Input'!$A$127:$A$289,0)),"")</f>
        <v/>
      </c>
      <c r="H161" s="39">
        <f>IFERROR(INDEX('9_UK_Vol_Input'!$D$49:$D$122,MATCH($D161,'9_UK_Vol_Input'!$A$49:$A$122,0)),"")</f>
        <v/>
      </c>
      <c r="I161" s="40">
        <f>IFERROR(INDEX('9_UK_Vol_Input'!$E$49:$E$122,MATCH($D161,'9_UK_Vol_Input'!$A$49:$A$122,0)),"")</f>
        <v/>
      </c>
      <c r="J161" s="39">
        <f>IFERROR(INDEX('9_UK_Vol_Input'!$D$20:$D$44,MATCH($E161,'9_UK_Vol_Input'!$A$20:$A$44,0)),"")</f>
        <v/>
      </c>
      <c r="K161" s="40">
        <f>IFERROR(INDEX('9_UK_Vol_Input'!$E$20:$E$44,MATCH($E161,'9_UK_Vol_Input'!$A$20:$A$44,0)),"")</f>
        <v/>
      </c>
      <c r="L161" s="39">
        <f>IFERROR(INDEX('9_UK_Vol_Input'!$D$5:$D$15,MATCH($C161,'9_UK_Vol_Input'!$A$5:$A$15,0)),"")</f>
        <v/>
      </c>
      <c r="M161" s="40">
        <f>IFERROR(INDEX('9_UK_Vol_Input'!$E$5:$E$15,MATCH($C161,'9_UK_Vol_Input'!$A$5:$A$15,0)),"")</f>
        <v/>
      </c>
      <c r="N161" s="22">
        <f>IF(F161&lt;&gt;"",F161/(1+G161),IF(H161&lt;&gt;"",H161/(1+I161),IF(J161&lt;&gt;"",J161/(1+K161),IF(L161&lt;&gt;"",L161/(1+M161),""))))</f>
        <v/>
      </c>
      <c r="O161" s="36">
        <f>IFERROR(INDEX('7_UK_Beta_Input'!$D$127:$D$289,MATCH($A161,'7_UK_Beta_Input'!$A$127:$A$289,0)),"")</f>
        <v/>
      </c>
      <c r="P161" s="36">
        <f>IFERROR(INDEX('7_UK_Beta_Input'!$D$49:$D$122,MATCH($D161,'7_UK_Beta_Input'!$A$49:$A$122,0)),"")</f>
        <v/>
      </c>
      <c r="Q161" s="36">
        <f>IFERROR(INDEX('7_UK_Beta_Input'!$D$20:$D$44,MATCH($E161,'7_UK_Beta_Input'!$A$20:$A$44,0)),"")</f>
        <v/>
      </c>
      <c r="R161" s="36">
        <f>IFERROR(INDEX('7_UK_Beta_Input'!$D$5:$D$15,MATCH($C161,'7_UK_Beta_Input'!$A$5:$A$15,0)),"")</f>
        <v/>
      </c>
      <c r="S161" s="22">
        <f>IF(O161&lt;&gt;"",O161*'6_Credit_Bridge_Assumptions'!$B$8,IF(P161&lt;&gt;"",P161*'6_Credit_Bridge_Assumptions'!$B$8,IF(Q161&lt;&gt;"",Q161*'6_Credit_Bridge_Assumptions'!$B$8,IF(R161&lt;&gt;"",R161*'6_Credit_Bridge_Assumptions'!$B$8,""))))</f>
        <v/>
      </c>
      <c r="T161" s="22">
        <f>IF(N161&lt;&gt;"",N161,S161)</f>
        <v/>
      </c>
    </row>
    <row r="162">
      <c r="A162" s="6" t="n">
        <v>60201010</v>
      </c>
      <c r="B162" s="6" t="inlineStr">
        <is>
          <t>Diversified Real Estate Activities</t>
        </is>
      </c>
      <c r="C162" s="6" t="n">
        <v>60</v>
      </c>
      <c r="D162" s="6" t="n">
        <v>602010</v>
      </c>
      <c r="E162" s="6" t="n">
        <v>6020</v>
      </c>
      <c r="F162" s="39">
        <f>IFERROR(INDEX('9_UK_Vol_Input'!$D$127:$D$289,MATCH($A162,'9_UK_Vol_Input'!$A$127:$A$289,0)),"")</f>
        <v/>
      </c>
      <c r="G162" s="40">
        <f>IFERROR(INDEX('9_UK_Vol_Input'!$E$127:$E$289,MATCH($A162,'9_UK_Vol_Input'!$A$127:$A$289,0)),"")</f>
        <v/>
      </c>
      <c r="H162" s="39">
        <f>IFERROR(INDEX('9_UK_Vol_Input'!$D$49:$D$122,MATCH($D162,'9_UK_Vol_Input'!$A$49:$A$122,0)),"")</f>
        <v/>
      </c>
      <c r="I162" s="40">
        <f>IFERROR(INDEX('9_UK_Vol_Input'!$E$49:$E$122,MATCH($D162,'9_UK_Vol_Input'!$A$49:$A$122,0)),"")</f>
        <v/>
      </c>
      <c r="J162" s="39">
        <f>IFERROR(INDEX('9_UK_Vol_Input'!$D$20:$D$44,MATCH($E162,'9_UK_Vol_Input'!$A$20:$A$44,0)),"")</f>
        <v/>
      </c>
      <c r="K162" s="40">
        <f>IFERROR(INDEX('9_UK_Vol_Input'!$E$20:$E$44,MATCH($E162,'9_UK_Vol_Input'!$A$20:$A$44,0)),"")</f>
        <v/>
      </c>
      <c r="L162" s="39">
        <f>IFERROR(INDEX('9_UK_Vol_Input'!$D$5:$D$15,MATCH($C162,'9_UK_Vol_Input'!$A$5:$A$15,0)),"")</f>
        <v/>
      </c>
      <c r="M162" s="40">
        <f>IFERROR(INDEX('9_UK_Vol_Input'!$E$5:$E$15,MATCH($C162,'9_UK_Vol_Input'!$A$5:$A$15,0)),"")</f>
        <v/>
      </c>
      <c r="N162" s="22">
        <f>IF(F162&lt;&gt;"",F162/(1+G162),IF(H162&lt;&gt;"",H162/(1+I162),IF(J162&lt;&gt;"",J162/(1+K162),IF(L162&lt;&gt;"",L162/(1+M162),""))))</f>
        <v/>
      </c>
      <c r="O162" s="36">
        <f>IFERROR(INDEX('7_UK_Beta_Input'!$D$127:$D$289,MATCH($A162,'7_UK_Beta_Input'!$A$127:$A$289,0)),"")</f>
        <v/>
      </c>
      <c r="P162" s="36">
        <f>IFERROR(INDEX('7_UK_Beta_Input'!$D$49:$D$122,MATCH($D162,'7_UK_Beta_Input'!$A$49:$A$122,0)),"")</f>
        <v/>
      </c>
      <c r="Q162" s="36">
        <f>IFERROR(INDEX('7_UK_Beta_Input'!$D$20:$D$44,MATCH($E162,'7_UK_Beta_Input'!$A$20:$A$44,0)),"")</f>
        <v/>
      </c>
      <c r="R162" s="36">
        <f>IFERROR(INDEX('7_UK_Beta_Input'!$D$5:$D$15,MATCH($C162,'7_UK_Beta_Input'!$A$5:$A$15,0)),"")</f>
        <v/>
      </c>
      <c r="S162" s="22">
        <f>IF(O162&lt;&gt;"",O162*'6_Credit_Bridge_Assumptions'!$B$8,IF(P162&lt;&gt;"",P162*'6_Credit_Bridge_Assumptions'!$B$8,IF(Q162&lt;&gt;"",Q162*'6_Credit_Bridge_Assumptions'!$B$8,IF(R162&lt;&gt;"",R162*'6_Credit_Bridge_Assumptions'!$B$8,""))))</f>
        <v/>
      </c>
      <c r="T162" s="22">
        <f>IF(N162&lt;&gt;"",N162,S162)</f>
        <v/>
      </c>
    </row>
    <row r="163">
      <c r="A163" s="6" t="n">
        <v>60201020</v>
      </c>
      <c r="B163" s="6" t="inlineStr">
        <is>
          <t>Real Estate Operating Companies</t>
        </is>
      </c>
      <c r="C163" s="6" t="n">
        <v>60</v>
      </c>
      <c r="D163" s="6" t="n">
        <v>602010</v>
      </c>
      <c r="E163" s="6" t="n">
        <v>6020</v>
      </c>
      <c r="F163" s="39">
        <f>IFERROR(INDEX('9_UK_Vol_Input'!$D$127:$D$289,MATCH($A163,'9_UK_Vol_Input'!$A$127:$A$289,0)),"")</f>
        <v/>
      </c>
      <c r="G163" s="40">
        <f>IFERROR(INDEX('9_UK_Vol_Input'!$E$127:$E$289,MATCH($A163,'9_UK_Vol_Input'!$A$127:$A$289,0)),"")</f>
        <v/>
      </c>
      <c r="H163" s="39">
        <f>IFERROR(INDEX('9_UK_Vol_Input'!$D$49:$D$122,MATCH($D163,'9_UK_Vol_Input'!$A$49:$A$122,0)),"")</f>
        <v/>
      </c>
      <c r="I163" s="40">
        <f>IFERROR(INDEX('9_UK_Vol_Input'!$E$49:$E$122,MATCH($D163,'9_UK_Vol_Input'!$A$49:$A$122,0)),"")</f>
        <v/>
      </c>
      <c r="J163" s="39">
        <f>IFERROR(INDEX('9_UK_Vol_Input'!$D$20:$D$44,MATCH($E163,'9_UK_Vol_Input'!$A$20:$A$44,0)),"")</f>
        <v/>
      </c>
      <c r="K163" s="40">
        <f>IFERROR(INDEX('9_UK_Vol_Input'!$E$20:$E$44,MATCH($E163,'9_UK_Vol_Input'!$A$20:$A$44,0)),"")</f>
        <v/>
      </c>
      <c r="L163" s="39">
        <f>IFERROR(INDEX('9_UK_Vol_Input'!$D$5:$D$15,MATCH($C163,'9_UK_Vol_Input'!$A$5:$A$15,0)),"")</f>
        <v/>
      </c>
      <c r="M163" s="40">
        <f>IFERROR(INDEX('9_UK_Vol_Input'!$E$5:$E$15,MATCH($C163,'9_UK_Vol_Input'!$A$5:$A$15,0)),"")</f>
        <v/>
      </c>
      <c r="N163" s="22">
        <f>IF(F163&lt;&gt;"",F163/(1+G163),IF(H163&lt;&gt;"",H163/(1+I163),IF(J163&lt;&gt;"",J163/(1+K163),IF(L163&lt;&gt;"",L163/(1+M163),""))))</f>
        <v/>
      </c>
      <c r="O163" s="36">
        <f>IFERROR(INDEX('7_UK_Beta_Input'!$D$127:$D$289,MATCH($A163,'7_UK_Beta_Input'!$A$127:$A$289,0)),"")</f>
        <v/>
      </c>
      <c r="P163" s="36">
        <f>IFERROR(INDEX('7_UK_Beta_Input'!$D$49:$D$122,MATCH($D163,'7_UK_Beta_Input'!$A$49:$A$122,0)),"")</f>
        <v/>
      </c>
      <c r="Q163" s="36">
        <f>IFERROR(INDEX('7_UK_Beta_Input'!$D$20:$D$44,MATCH($E163,'7_UK_Beta_Input'!$A$20:$A$44,0)),"")</f>
        <v/>
      </c>
      <c r="R163" s="36">
        <f>IFERROR(INDEX('7_UK_Beta_Input'!$D$5:$D$15,MATCH($C163,'7_UK_Beta_Input'!$A$5:$A$15,0)),"")</f>
        <v/>
      </c>
      <c r="S163" s="22">
        <f>IF(O163&lt;&gt;"",O163*'6_Credit_Bridge_Assumptions'!$B$8,IF(P163&lt;&gt;"",P163*'6_Credit_Bridge_Assumptions'!$B$8,IF(Q163&lt;&gt;"",Q163*'6_Credit_Bridge_Assumptions'!$B$8,IF(R163&lt;&gt;"",R163*'6_Credit_Bridge_Assumptions'!$B$8,""))))</f>
        <v/>
      </c>
      <c r="T163" s="22">
        <f>IF(N163&lt;&gt;"",N163,S163)</f>
        <v/>
      </c>
    </row>
    <row r="164">
      <c r="A164" s="6" t="n">
        <v>60201030</v>
      </c>
      <c r="B164" s="6" t="inlineStr">
        <is>
          <t>Real Estate Development</t>
        </is>
      </c>
      <c r="C164" s="6" t="n">
        <v>60</v>
      </c>
      <c r="D164" s="6" t="n">
        <v>602010</v>
      </c>
      <c r="E164" s="6" t="n">
        <v>6020</v>
      </c>
      <c r="F164" s="39">
        <f>IFERROR(INDEX('9_UK_Vol_Input'!$D$127:$D$289,MATCH($A164,'9_UK_Vol_Input'!$A$127:$A$289,0)),"")</f>
        <v/>
      </c>
      <c r="G164" s="40">
        <f>IFERROR(INDEX('9_UK_Vol_Input'!$E$127:$E$289,MATCH($A164,'9_UK_Vol_Input'!$A$127:$A$289,0)),"")</f>
        <v/>
      </c>
      <c r="H164" s="39">
        <f>IFERROR(INDEX('9_UK_Vol_Input'!$D$49:$D$122,MATCH($D164,'9_UK_Vol_Input'!$A$49:$A$122,0)),"")</f>
        <v/>
      </c>
      <c r="I164" s="40">
        <f>IFERROR(INDEX('9_UK_Vol_Input'!$E$49:$E$122,MATCH($D164,'9_UK_Vol_Input'!$A$49:$A$122,0)),"")</f>
        <v/>
      </c>
      <c r="J164" s="39">
        <f>IFERROR(INDEX('9_UK_Vol_Input'!$D$20:$D$44,MATCH($E164,'9_UK_Vol_Input'!$A$20:$A$44,0)),"")</f>
        <v/>
      </c>
      <c r="K164" s="40">
        <f>IFERROR(INDEX('9_UK_Vol_Input'!$E$20:$E$44,MATCH($E164,'9_UK_Vol_Input'!$A$20:$A$44,0)),"")</f>
        <v/>
      </c>
      <c r="L164" s="39">
        <f>IFERROR(INDEX('9_UK_Vol_Input'!$D$5:$D$15,MATCH($C164,'9_UK_Vol_Input'!$A$5:$A$15,0)),"")</f>
        <v/>
      </c>
      <c r="M164" s="40">
        <f>IFERROR(INDEX('9_UK_Vol_Input'!$E$5:$E$15,MATCH($C164,'9_UK_Vol_Input'!$A$5:$A$15,0)),"")</f>
        <v/>
      </c>
      <c r="N164" s="22">
        <f>IF(F164&lt;&gt;"",F164/(1+G164),IF(H164&lt;&gt;"",H164/(1+I164),IF(J164&lt;&gt;"",J164/(1+K164),IF(L164&lt;&gt;"",L164/(1+M164),""))))</f>
        <v/>
      </c>
      <c r="O164" s="36">
        <f>IFERROR(INDEX('7_UK_Beta_Input'!$D$127:$D$289,MATCH($A164,'7_UK_Beta_Input'!$A$127:$A$289,0)),"")</f>
        <v/>
      </c>
      <c r="P164" s="36">
        <f>IFERROR(INDEX('7_UK_Beta_Input'!$D$49:$D$122,MATCH($D164,'7_UK_Beta_Input'!$A$49:$A$122,0)),"")</f>
        <v/>
      </c>
      <c r="Q164" s="36">
        <f>IFERROR(INDEX('7_UK_Beta_Input'!$D$20:$D$44,MATCH($E164,'7_UK_Beta_Input'!$A$20:$A$44,0)),"")</f>
        <v/>
      </c>
      <c r="R164" s="36">
        <f>IFERROR(INDEX('7_UK_Beta_Input'!$D$5:$D$15,MATCH($C164,'7_UK_Beta_Input'!$A$5:$A$15,0)),"")</f>
        <v/>
      </c>
      <c r="S164" s="22">
        <f>IF(O164&lt;&gt;"",O164*'6_Credit_Bridge_Assumptions'!$B$8,IF(P164&lt;&gt;"",P164*'6_Credit_Bridge_Assumptions'!$B$8,IF(Q164&lt;&gt;"",Q164*'6_Credit_Bridge_Assumptions'!$B$8,IF(R164&lt;&gt;"",R164*'6_Credit_Bridge_Assumptions'!$B$8,""))))</f>
        <v/>
      </c>
      <c r="T164" s="22">
        <f>IF(N164&lt;&gt;"",N164,S164)</f>
        <v/>
      </c>
    </row>
    <row r="165">
      <c r="A165" s="6" t="n">
        <v>60201040</v>
      </c>
      <c r="B165" s="6" t="inlineStr">
        <is>
          <t>Real Estate Services</t>
        </is>
      </c>
      <c r="C165" s="6" t="n">
        <v>60</v>
      </c>
      <c r="D165" s="6" t="n">
        <v>602010</v>
      </c>
      <c r="E165" s="6" t="n">
        <v>6020</v>
      </c>
      <c r="F165" s="39">
        <f>IFERROR(INDEX('9_UK_Vol_Input'!$D$127:$D$289,MATCH($A165,'9_UK_Vol_Input'!$A$127:$A$289,0)),"")</f>
        <v/>
      </c>
      <c r="G165" s="40">
        <f>IFERROR(INDEX('9_UK_Vol_Input'!$E$127:$E$289,MATCH($A165,'9_UK_Vol_Input'!$A$127:$A$289,0)),"")</f>
        <v/>
      </c>
      <c r="H165" s="39">
        <f>IFERROR(INDEX('9_UK_Vol_Input'!$D$49:$D$122,MATCH($D165,'9_UK_Vol_Input'!$A$49:$A$122,0)),"")</f>
        <v/>
      </c>
      <c r="I165" s="40">
        <f>IFERROR(INDEX('9_UK_Vol_Input'!$E$49:$E$122,MATCH($D165,'9_UK_Vol_Input'!$A$49:$A$122,0)),"")</f>
        <v/>
      </c>
      <c r="J165" s="39">
        <f>IFERROR(INDEX('9_UK_Vol_Input'!$D$20:$D$44,MATCH($E165,'9_UK_Vol_Input'!$A$20:$A$44,0)),"")</f>
        <v/>
      </c>
      <c r="K165" s="40">
        <f>IFERROR(INDEX('9_UK_Vol_Input'!$E$20:$E$44,MATCH($E165,'9_UK_Vol_Input'!$A$20:$A$44,0)),"")</f>
        <v/>
      </c>
      <c r="L165" s="39">
        <f>IFERROR(INDEX('9_UK_Vol_Input'!$D$5:$D$15,MATCH($C165,'9_UK_Vol_Input'!$A$5:$A$15,0)),"")</f>
        <v/>
      </c>
      <c r="M165" s="40">
        <f>IFERROR(INDEX('9_UK_Vol_Input'!$E$5:$E$15,MATCH($C165,'9_UK_Vol_Input'!$A$5:$A$15,0)),"")</f>
        <v/>
      </c>
      <c r="N165" s="22">
        <f>IF(F165&lt;&gt;"",F165/(1+G165),IF(H165&lt;&gt;"",H165/(1+I165),IF(J165&lt;&gt;"",J165/(1+K165),IF(L165&lt;&gt;"",L165/(1+M165),""))))</f>
        <v/>
      </c>
      <c r="O165" s="36">
        <f>IFERROR(INDEX('7_UK_Beta_Input'!$D$127:$D$289,MATCH($A165,'7_UK_Beta_Input'!$A$127:$A$289,0)),"")</f>
        <v/>
      </c>
      <c r="P165" s="36">
        <f>IFERROR(INDEX('7_UK_Beta_Input'!$D$49:$D$122,MATCH($D165,'7_UK_Beta_Input'!$A$49:$A$122,0)),"")</f>
        <v/>
      </c>
      <c r="Q165" s="36">
        <f>IFERROR(INDEX('7_UK_Beta_Input'!$D$20:$D$44,MATCH($E165,'7_UK_Beta_Input'!$A$20:$A$44,0)),"")</f>
        <v/>
      </c>
      <c r="R165" s="36">
        <f>IFERROR(INDEX('7_UK_Beta_Input'!$D$5:$D$15,MATCH($C165,'7_UK_Beta_Input'!$A$5:$A$15,0)),"")</f>
        <v/>
      </c>
      <c r="S165" s="22">
        <f>IF(O165&lt;&gt;"",O165*'6_Credit_Bridge_Assumptions'!$B$8,IF(P165&lt;&gt;"",P165*'6_Credit_Bridge_Assumptions'!$B$8,IF(Q165&lt;&gt;"",Q165*'6_Credit_Bridge_Assumptions'!$B$8,IF(R165&lt;&gt;"",R165*'6_Credit_Bridge_Assumptions'!$B$8,""))))</f>
        <v/>
      </c>
      <c r="T165" s="22">
        <f>IF(N165&lt;&gt;"",N165,S165)</f>
        <v/>
      </c>
    </row>
  </sheetData>
  <mergeCells count="1">
    <mergeCell ref="A1:T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11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40" customHeight="1">
      <c r="A1" t="inlineStr">
        <is>
          <t>STEP 11 — bottom-up Merton distance-to-default PD, collateral-coverage LGD, and Expected Loss, baseline vs stressed. Pulls Stressed EV, Net Debt, Stressed LTV from 3_Scenario_Engine, and Asset Vol (Sigma Used, primary real-vol-based, cross-checked against beta) from 10_GICS_Asset_Vol via each deal's own Sub-Industry code.</t>
        </is>
      </c>
    </row>
    <row r="2" ht="34" customHeight="1">
      <c r="A2" s="5" t="inlineStr">
        <is>
          <t>Deal Name</t>
        </is>
      </c>
      <c r="B2" s="5" t="inlineStr">
        <is>
          <t>Sub-Ind
Code</t>
        </is>
      </c>
      <c r="C2" s="5" t="inlineStr">
        <is>
          <t>Asset Vol
(sigma)</t>
        </is>
      </c>
      <c r="D2" s="5" t="inlineStr">
        <is>
          <t>Net Debt
(F)</t>
        </is>
      </c>
      <c r="E2" s="5" t="inlineStr">
        <is>
          <t>Baseline EV
(V0)</t>
        </is>
      </c>
      <c r="F2" s="5" t="inlineStr">
        <is>
          <t>Stressed EV
(V1)</t>
        </is>
      </c>
      <c r="G2" s="5" t="inlineStr">
        <is>
          <t>Baseline DD</t>
        </is>
      </c>
      <c r="H2" s="5" t="inlineStr">
        <is>
          <t>Baseline PD</t>
        </is>
      </c>
      <c r="I2" s="5" t="inlineStr">
        <is>
          <t>Stressed DD</t>
        </is>
      </c>
      <c r="J2" s="5" t="inlineStr">
        <is>
          <t>Stressed PD</t>
        </is>
      </c>
      <c r="K2" s="5" t="inlineStr">
        <is>
          <t>Delta PD</t>
        </is>
      </c>
      <c r="L2" s="5" t="inlineStr">
        <is>
          <t>Stressed
Leverage (x)</t>
        </is>
      </c>
      <c r="M2" s="5" t="inlineStr">
        <is>
          <t>Implied
Rating</t>
        </is>
      </c>
      <c r="N2" s="5" t="inlineStr">
        <is>
          <t>S&amp;P Cross-Check
PD (real)</t>
        </is>
      </c>
      <c r="O2" s="5" t="inlineStr">
        <is>
          <t>Merton vs S&amp;P
Gap (pp)</t>
        </is>
      </c>
      <c r="P2" s="5" t="inlineStr">
        <is>
          <t>Stressed LTV</t>
        </is>
      </c>
      <c r="Q2" s="5" t="inlineStr">
        <is>
          <t>Stressed
LGD</t>
        </is>
      </c>
      <c r="R2" s="5" t="inlineStr">
        <is>
          <t>Current LTV
(baseline)</t>
        </is>
      </c>
      <c r="S2" s="5" t="inlineStr">
        <is>
          <t>Baseline
LGD</t>
        </is>
      </c>
      <c r="T2" s="5" t="inlineStr">
        <is>
          <t>EAD
(Invested)</t>
        </is>
      </c>
      <c r="U2" s="5" t="inlineStr">
        <is>
          <t>EL Baseline
($m)</t>
        </is>
      </c>
      <c r="V2" s="5" t="inlineStr">
        <is>
          <t>EL Stressed
($m)</t>
        </is>
      </c>
      <c r="W2" s="5" t="inlineStr">
        <is>
          <t>Delta EL
($m)</t>
        </is>
      </c>
    </row>
    <row r="3">
      <c r="A3" s="21">
        <f>'3_Scenario_Engine'!A3</f>
        <v/>
      </c>
      <c r="B3" s="21">
        <f>'3_Scenario_Engine'!B3</f>
        <v/>
      </c>
      <c r="C3" s="22">
        <f>INDEX('10_GICS_Asset_Vol'!$T$3:$T$165,MATCH(B3,'10_GICS_Asset_Vol'!$A$3:$A$165,0))</f>
        <v/>
      </c>
      <c r="D3" s="24">
        <f>'3_Scenario_Engine'!J3</f>
        <v/>
      </c>
      <c r="E3" s="24">
        <f>'2_Deal_Tape'!S4</f>
        <v/>
      </c>
      <c r="F3" s="24">
        <f>'3_Scenario_Engine'!AF3</f>
        <v/>
      </c>
      <c r="G3" s="41">
        <f>(LN(E3/D3)+('6_Credit_Bridge_Assumptions'!$B$5-C3^2/2)*'6_Credit_Bridge_Assumptions'!$B$4)/(C3*SQRT('6_Credit_Bridge_Assumptions'!$B$4))</f>
        <v/>
      </c>
      <c r="H3" s="27">
        <f>NORMSDIST(-G3)</f>
        <v/>
      </c>
      <c r="I3" s="41">
        <f>(LN(F3/D3)+('6_Credit_Bridge_Assumptions'!$B$5-C3^2/2)*'6_Credit_Bridge_Assumptions'!$B$4)/(C3*SQRT('6_Credit_Bridge_Assumptions'!$B$4))</f>
        <v/>
      </c>
      <c r="J3" s="27">
        <f>NORMSDIST(-I3)</f>
        <v/>
      </c>
      <c r="K3" s="27">
        <f>J3-H3</f>
        <v/>
      </c>
      <c r="L3" s="25">
        <f>'3_Scenario_Engine'!Z3</f>
        <v/>
      </c>
      <c r="M3" s="21">
        <f>IF(L3&lt;'6_Credit_Bridge_Assumptions'!$B$15,"BB",IF(L3&lt;'6_Credit_Bridge_Assumptions'!$B$16,"B","CCC/C"))</f>
        <v/>
      </c>
      <c r="N3" s="27">
        <f>IF(L3&lt;'6_Credit_Bridge_Assumptions'!$B$15,'6_Credit_Bridge_Assumptions'!$B$17,IF(L3&lt;'6_Credit_Bridge_Assumptions'!$B$16,'6_Credit_Bridge_Assumptions'!$B$18,'6_Credit_Bridge_Assumptions'!$B$19))</f>
        <v/>
      </c>
      <c r="O3" s="41">
        <f>(J3-N3)*100</f>
        <v/>
      </c>
      <c r="P3" s="22">
        <f>'3_Scenario_Engine'!AG3</f>
        <v/>
      </c>
      <c r="Q3" s="22">
        <f>IF(P3&lt;=1,'6_Credit_Bridge_Assumptions'!$B$11,MIN('6_Credit_Bridge_Assumptions'!$B$12,MAX('6_Credit_Bridge_Assumptions'!$B$11,1-1/P3)))</f>
        <v/>
      </c>
      <c r="R3" s="22">
        <f>'2_Deal_Tape'!U4</f>
        <v/>
      </c>
      <c r="S3" s="22">
        <f>IF(R3&lt;=1,'6_Credit_Bridge_Assumptions'!$B$11,MIN('6_Credit_Bridge_Assumptions'!$B$12,MAX('6_Credit_Bridge_Assumptions'!$B$11,1-1/R3)))</f>
        <v/>
      </c>
      <c r="T3" s="24">
        <f>'3_Scenario_Engine'!U3</f>
        <v/>
      </c>
      <c r="U3" s="24">
        <f>H3*S3*T3</f>
        <v/>
      </c>
      <c r="V3" s="24">
        <f>J3*Q3*T3</f>
        <v/>
      </c>
      <c r="W3" s="24">
        <f>V3-U3</f>
        <v/>
      </c>
    </row>
    <row r="4">
      <c r="A4" s="21">
        <f>'3_Scenario_Engine'!A4</f>
        <v/>
      </c>
      <c r="B4" s="21">
        <f>'3_Scenario_Engine'!B4</f>
        <v/>
      </c>
      <c r="C4" s="22">
        <f>INDEX('10_GICS_Asset_Vol'!$T$3:$T$165,MATCH(B4,'10_GICS_Asset_Vol'!$A$3:$A$165,0))</f>
        <v/>
      </c>
      <c r="D4" s="24">
        <f>'3_Scenario_Engine'!J4</f>
        <v/>
      </c>
      <c r="E4" s="24">
        <f>'2_Deal_Tape'!S5</f>
        <v/>
      </c>
      <c r="F4" s="24">
        <f>'3_Scenario_Engine'!AF4</f>
        <v/>
      </c>
      <c r="G4" s="41">
        <f>(LN(E4/D4)+('6_Credit_Bridge_Assumptions'!$B$5-C4^2/2)*'6_Credit_Bridge_Assumptions'!$B$4)/(C4*SQRT('6_Credit_Bridge_Assumptions'!$B$4))</f>
        <v/>
      </c>
      <c r="H4" s="27">
        <f>NORMSDIST(-G4)</f>
        <v/>
      </c>
      <c r="I4" s="41">
        <f>(LN(F4/D4)+('6_Credit_Bridge_Assumptions'!$B$5-C4^2/2)*'6_Credit_Bridge_Assumptions'!$B$4)/(C4*SQRT('6_Credit_Bridge_Assumptions'!$B$4))</f>
        <v/>
      </c>
      <c r="J4" s="27">
        <f>NORMSDIST(-I4)</f>
        <v/>
      </c>
      <c r="K4" s="27">
        <f>J4-H4</f>
        <v/>
      </c>
      <c r="L4" s="25">
        <f>'3_Scenario_Engine'!Z4</f>
        <v/>
      </c>
      <c r="M4" s="21">
        <f>IF(L4&lt;'6_Credit_Bridge_Assumptions'!$B$15,"BB",IF(L4&lt;'6_Credit_Bridge_Assumptions'!$B$16,"B","CCC/C"))</f>
        <v/>
      </c>
      <c r="N4" s="27">
        <f>IF(L4&lt;'6_Credit_Bridge_Assumptions'!$B$15,'6_Credit_Bridge_Assumptions'!$B$17,IF(L4&lt;'6_Credit_Bridge_Assumptions'!$B$16,'6_Credit_Bridge_Assumptions'!$B$18,'6_Credit_Bridge_Assumptions'!$B$19))</f>
        <v/>
      </c>
      <c r="O4" s="41">
        <f>(J4-N4)*100</f>
        <v/>
      </c>
      <c r="P4" s="22">
        <f>'3_Scenario_Engine'!AG4</f>
        <v/>
      </c>
      <c r="Q4" s="22">
        <f>IF(P4&lt;=1,'6_Credit_Bridge_Assumptions'!$B$11,MIN('6_Credit_Bridge_Assumptions'!$B$12,MAX('6_Credit_Bridge_Assumptions'!$B$11,1-1/P4)))</f>
        <v/>
      </c>
      <c r="R4" s="22">
        <f>'2_Deal_Tape'!U5</f>
        <v/>
      </c>
      <c r="S4" s="22">
        <f>IF(R4&lt;=1,'6_Credit_Bridge_Assumptions'!$B$11,MIN('6_Credit_Bridge_Assumptions'!$B$12,MAX('6_Credit_Bridge_Assumptions'!$B$11,1-1/R4)))</f>
        <v/>
      </c>
      <c r="T4" s="24">
        <f>'3_Scenario_Engine'!U4</f>
        <v/>
      </c>
      <c r="U4" s="24">
        <f>H4*S4*T4</f>
        <v/>
      </c>
      <c r="V4" s="24">
        <f>J4*Q4*T4</f>
        <v/>
      </c>
      <c r="W4" s="24">
        <f>V4-U4</f>
        <v/>
      </c>
    </row>
    <row r="5">
      <c r="A5" s="21">
        <f>'3_Scenario_Engine'!A5</f>
        <v/>
      </c>
      <c r="B5" s="21">
        <f>'3_Scenario_Engine'!B5</f>
        <v/>
      </c>
      <c r="C5" s="22">
        <f>INDEX('10_GICS_Asset_Vol'!$T$3:$T$165,MATCH(B5,'10_GICS_Asset_Vol'!$A$3:$A$165,0))</f>
        <v/>
      </c>
      <c r="D5" s="24">
        <f>'3_Scenario_Engine'!J5</f>
        <v/>
      </c>
      <c r="E5" s="24">
        <f>'2_Deal_Tape'!S6</f>
        <v/>
      </c>
      <c r="F5" s="24">
        <f>'3_Scenario_Engine'!AF5</f>
        <v/>
      </c>
      <c r="G5" s="41">
        <f>(LN(E5/D5)+('6_Credit_Bridge_Assumptions'!$B$5-C5^2/2)*'6_Credit_Bridge_Assumptions'!$B$4)/(C5*SQRT('6_Credit_Bridge_Assumptions'!$B$4))</f>
        <v/>
      </c>
      <c r="H5" s="27">
        <f>NORMSDIST(-G5)</f>
        <v/>
      </c>
      <c r="I5" s="41">
        <f>(LN(F5/D5)+('6_Credit_Bridge_Assumptions'!$B$5-C5^2/2)*'6_Credit_Bridge_Assumptions'!$B$4)/(C5*SQRT('6_Credit_Bridge_Assumptions'!$B$4))</f>
        <v/>
      </c>
      <c r="J5" s="27">
        <f>NORMSDIST(-I5)</f>
        <v/>
      </c>
      <c r="K5" s="27">
        <f>J5-H5</f>
        <v/>
      </c>
      <c r="L5" s="25">
        <f>'3_Scenario_Engine'!Z5</f>
        <v/>
      </c>
      <c r="M5" s="21">
        <f>IF(L5&lt;'6_Credit_Bridge_Assumptions'!$B$15,"BB",IF(L5&lt;'6_Credit_Bridge_Assumptions'!$B$16,"B","CCC/C"))</f>
        <v/>
      </c>
      <c r="N5" s="27">
        <f>IF(L5&lt;'6_Credit_Bridge_Assumptions'!$B$15,'6_Credit_Bridge_Assumptions'!$B$17,IF(L5&lt;'6_Credit_Bridge_Assumptions'!$B$16,'6_Credit_Bridge_Assumptions'!$B$18,'6_Credit_Bridge_Assumptions'!$B$19))</f>
        <v/>
      </c>
      <c r="O5" s="41">
        <f>(J5-N5)*100</f>
        <v/>
      </c>
      <c r="P5" s="22">
        <f>'3_Scenario_Engine'!AG5</f>
        <v/>
      </c>
      <c r="Q5" s="22">
        <f>IF(P5&lt;=1,'6_Credit_Bridge_Assumptions'!$B$11,MIN('6_Credit_Bridge_Assumptions'!$B$12,MAX('6_Credit_Bridge_Assumptions'!$B$11,1-1/P5)))</f>
        <v/>
      </c>
      <c r="R5" s="22">
        <f>'2_Deal_Tape'!U6</f>
        <v/>
      </c>
      <c r="S5" s="22">
        <f>IF(R5&lt;=1,'6_Credit_Bridge_Assumptions'!$B$11,MIN('6_Credit_Bridge_Assumptions'!$B$12,MAX('6_Credit_Bridge_Assumptions'!$B$11,1-1/R5)))</f>
        <v/>
      </c>
      <c r="T5" s="24">
        <f>'3_Scenario_Engine'!U5</f>
        <v/>
      </c>
      <c r="U5" s="24">
        <f>H5*S5*T5</f>
        <v/>
      </c>
      <c r="V5" s="24">
        <f>J5*Q5*T5</f>
        <v/>
      </c>
      <c r="W5" s="24">
        <f>V5-U5</f>
        <v/>
      </c>
    </row>
    <row r="6">
      <c r="A6" s="21">
        <f>'3_Scenario_Engine'!A6</f>
        <v/>
      </c>
      <c r="B6" s="21">
        <f>'3_Scenario_Engine'!B6</f>
        <v/>
      </c>
      <c r="C6" s="22">
        <f>INDEX('10_GICS_Asset_Vol'!$T$3:$T$165,MATCH(B6,'10_GICS_Asset_Vol'!$A$3:$A$165,0))</f>
        <v/>
      </c>
      <c r="D6" s="24">
        <f>'3_Scenario_Engine'!J6</f>
        <v/>
      </c>
      <c r="E6" s="24">
        <f>'2_Deal_Tape'!S7</f>
        <v/>
      </c>
      <c r="F6" s="24">
        <f>'3_Scenario_Engine'!AF6</f>
        <v/>
      </c>
      <c r="G6" s="41">
        <f>(LN(E6/D6)+('6_Credit_Bridge_Assumptions'!$B$5-C6^2/2)*'6_Credit_Bridge_Assumptions'!$B$4)/(C6*SQRT('6_Credit_Bridge_Assumptions'!$B$4))</f>
        <v/>
      </c>
      <c r="H6" s="27">
        <f>NORMSDIST(-G6)</f>
        <v/>
      </c>
      <c r="I6" s="41">
        <f>(LN(F6/D6)+('6_Credit_Bridge_Assumptions'!$B$5-C6^2/2)*'6_Credit_Bridge_Assumptions'!$B$4)/(C6*SQRT('6_Credit_Bridge_Assumptions'!$B$4))</f>
        <v/>
      </c>
      <c r="J6" s="27">
        <f>NORMSDIST(-I6)</f>
        <v/>
      </c>
      <c r="K6" s="27">
        <f>J6-H6</f>
        <v/>
      </c>
      <c r="L6" s="25">
        <f>'3_Scenario_Engine'!Z6</f>
        <v/>
      </c>
      <c r="M6" s="21">
        <f>IF(L6&lt;'6_Credit_Bridge_Assumptions'!$B$15,"BB",IF(L6&lt;'6_Credit_Bridge_Assumptions'!$B$16,"B","CCC/C"))</f>
        <v/>
      </c>
      <c r="N6" s="27">
        <f>IF(L6&lt;'6_Credit_Bridge_Assumptions'!$B$15,'6_Credit_Bridge_Assumptions'!$B$17,IF(L6&lt;'6_Credit_Bridge_Assumptions'!$B$16,'6_Credit_Bridge_Assumptions'!$B$18,'6_Credit_Bridge_Assumptions'!$B$19))</f>
        <v/>
      </c>
      <c r="O6" s="41">
        <f>(J6-N6)*100</f>
        <v/>
      </c>
      <c r="P6" s="22">
        <f>'3_Scenario_Engine'!AG6</f>
        <v/>
      </c>
      <c r="Q6" s="22">
        <f>IF(P6&lt;=1,'6_Credit_Bridge_Assumptions'!$B$11,MIN('6_Credit_Bridge_Assumptions'!$B$12,MAX('6_Credit_Bridge_Assumptions'!$B$11,1-1/P6)))</f>
        <v/>
      </c>
      <c r="R6" s="22">
        <f>'2_Deal_Tape'!U7</f>
        <v/>
      </c>
      <c r="S6" s="22">
        <f>IF(R6&lt;=1,'6_Credit_Bridge_Assumptions'!$B$11,MIN('6_Credit_Bridge_Assumptions'!$B$12,MAX('6_Credit_Bridge_Assumptions'!$B$11,1-1/R6)))</f>
        <v/>
      </c>
      <c r="T6" s="24">
        <f>'3_Scenario_Engine'!U6</f>
        <v/>
      </c>
      <c r="U6" s="24">
        <f>H6*S6*T6</f>
        <v/>
      </c>
      <c r="V6" s="24">
        <f>J6*Q6*T6</f>
        <v/>
      </c>
      <c r="W6" s="24">
        <f>V6-U6</f>
        <v/>
      </c>
    </row>
    <row r="7">
      <c r="A7" s="21">
        <f>'3_Scenario_Engine'!A7</f>
        <v/>
      </c>
      <c r="B7" s="21">
        <f>'3_Scenario_Engine'!B7</f>
        <v/>
      </c>
      <c r="C7" s="22">
        <f>INDEX('10_GICS_Asset_Vol'!$T$3:$T$165,MATCH(B7,'10_GICS_Asset_Vol'!$A$3:$A$165,0))</f>
        <v/>
      </c>
      <c r="D7" s="24">
        <f>'3_Scenario_Engine'!J7</f>
        <v/>
      </c>
      <c r="E7" s="24">
        <f>'2_Deal_Tape'!S8</f>
        <v/>
      </c>
      <c r="F7" s="24">
        <f>'3_Scenario_Engine'!AF7</f>
        <v/>
      </c>
      <c r="G7" s="41">
        <f>(LN(E7/D7)+('6_Credit_Bridge_Assumptions'!$B$5-C7^2/2)*'6_Credit_Bridge_Assumptions'!$B$4)/(C7*SQRT('6_Credit_Bridge_Assumptions'!$B$4))</f>
        <v/>
      </c>
      <c r="H7" s="27">
        <f>NORMSDIST(-G7)</f>
        <v/>
      </c>
      <c r="I7" s="41">
        <f>(LN(F7/D7)+('6_Credit_Bridge_Assumptions'!$B$5-C7^2/2)*'6_Credit_Bridge_Assumptions'!$B$4)/(C7*SQRT('6_Credit_Bridge_Assumptions'!$B$4))</f>
        <v/>
      </c>
      <c r="J7" s="27">
        <f>NORMSDIST(-I7)</f>
        <v/>
      </c>
      <c r="K7" s="27">
        <f>J7-H7</f>
        <v/>
      </c>
      <c r="L7" s="25">
        <f>'3_Scenario_Engine'!Z7</f>
        <v/>
      </c>
      <c r="M7" s="21">
        <f>IF(L7&lt;'6_Credit_Bridge_Assumptions'!$B$15,"BB",IF(L7&lt;'6_Credit_Bridge_Assumptions'!$B$16,"B","CCC/C"))</f>
        <v/>
      </c>
      <c r="N7" s="27">
        <f>IF(L7&lt;'6_Credit_Bridge_Assumptions'!$B$15,'6_Credit_Bridge_Assumptions'!$B$17,IF(L7&lt;'6_Credit_Bridge_Assumptions'!$B$16,'6_Credit_Bridge_Assumptions'!$B$18,'6_Credit_Bridge_Assumptions'!$B$19))</f>
        <v/>
      </c>
      <c r="O7" s="41">
        <f>(J7-N7)*100</f>
        <v/>
      </c>
      <c r="P7" s="22">
        <f>'3_Scenario_Engine'!AG7</f>
        <v/>
      </c>
      <c r="Q7" s="22">
        <f>IF(P7&lt;=1,'6_Credit_Bridge_Assumptions'!$B$11,MIN('6_Credit_Bridge_Assumptions'!$B$12,MAX('6_Credit_Bridge_Assumptions'!$B$11,1-1/P7)))</f>
        <v/>
      </c>
      <c r="R7" s="22">
        <f>'2_Deal_Tape'!U8</f>
        <v/>
      </c>
      <c r="S7" s="22">
        <f>IF(R7&lt;=1,'6_Credit_Bridge_Assumptions'!$B$11,MIN('6_Credit_Bridge_Assumptions'!$B$12,MAX('6_Credit_Bridge_Assumptions'!$B$11,1-1/R7)))</f>
        <v/>
      </c>
      <c r="T7" s="24">
        <f>'3_Scenario_Engine'!U7</f>
        <v/>
      </c>
      <c r="U7" s="24">
        <f>H7*S7*T7</f>
        <v/>
      </c>
      <c r="V7" s="24">
        <f>J7*Q7*T7</f>
        <v/>
      </c>
      <c r="W7" s="24">
        <f>V7-U7</f>
        <v/>
      </c>
    </row>
    <row r="8">
      <c r="A8" s="21">
        <f>'3_Scenario_Engine'!A8</f>
        <v/>
      </c>
      <c r="B8" s="21">
        <f>'3_Scenario_Engine'!B8</f>
        <v/>
      </c>
      <c r="C8" s="22">
        <f>INDEX('10_GICS_Asset_Vol'!$T$3:$T$165,MATCH(B8,'10_GICS_Asset_Vol'!$A$3:$A$165,0))</f>
        <v/>
      </c>
      <c r="D8" s="24">
        <f>'3_Scenario_Engine'!J8</f>
        <v/>
      </c>
      <c r="E8" s="24">
        <f>'2_Deal_Tape'!S9</f>
        <v/>
      </c>
      <c r="F8" s="24">
        <f>'3_Scenario_Engine'!AF8</f>
        <v/>
      </c>
      <c r="G8" s="41">
        <f>(LN(E8/D8)+('6_Credit_Bridge_Assumptions'!$B$5-C8^2/2)*'6_Credit_Bridge_Assumptions'!$B$4)/(C8*SQRT('6_Credit_Bridge_Assumptions'!$B$4))</f>
        <v/>
      </c>
      <c r="H8" s="27">
        <f>NORMSDIST(-G8)</f>
        <v/>
      </c>
      <c r="I8" s="41">
        <f>(LN(F8/D8)+('6_Credit_Bridge_Assumptions'!$B$5-C8^2/2)*'6_Credit_Bridge_Assumptions'!$B$4)/(C8*SQRT('6_Credit_Bridge_Assumptions'!$B$4))</f>
        <v/>
      </c>
      <c r="J8" s="27">
        <f>NORMSDIST(-I8)</f>
        <v/>
      </c>
      <c r="K8" s="27">
        <f>J8-H8</f>
        <v/>
      </c>
      <c r="L8" s="25">
        <f>'3_Scenario_Engine'!Z8</f>
        <v/>
      </c>
      <c r="M8" s="21">
        <f>IF(L8&lt;'6_Credit_Bridge_Assumptions'!$B$15,"BB",IF(L8&lt;'6_Credit_Bridge_Assumptions'!$B$16,"B","CCC/C"))</f>
        <v/>
      </c>
      <c r="N8" s="27">
        <f>IF(L8&lt;'6_Credit_Bridge_Assumptions'!$B$15,'6_Credit_Bridge_Assumptions'!$B$17,IF(L8&lt;'6_Credit_Bridge_Assumptions'!$B$16,'6_Credit_Bridge_Assumptions'!$B$18,'6_Credit_Bridge_Assumptions'!$B$19))</f>
        <v/>
      </c>
      <c r="O8" s="41">
        <f>(J8-N8)*100</f>
        <v/>
      </c>
      <c r="P8" s="22">
        <f>'3_Scenario_Engine'!AG8</f>
        <v/>
      </c>
      <c r="Q8" s="22">
        <f>IF(P8&lt;=1,'6_Credit_Bridge_Assumptions'!$B$11,MIN('6_Credit_Bridge_Assumptions'!$B$12,MAX('6_Credit_Bridge_Assumptions'!$B$11,1-1/P8)))</f>
        <v/>
      </c>
      <c r="R8" s="22">
        <f>'2_Deal_Tape'!U9</f>
        <v/>
      </c>
      <c r="S8" s="22">
        <f>IF(R8&lt;=1,'6_Credit_Bridge_Assumptions'!$B$11,MIN('6_Credit_Bridge_Assumptions'!$B$12,MAX('6_Credit_Bridge_Assumptions'!$B$11,1-1/R8)))</f>
        <v/>
      </c>
      <c r="T8" s="24">
        <f>'3_Scenario_Engine'!U8</f>
        <v/>
      </c>
      <c r="U8" s="24">
        <f>H8*S8*T8</f>
        <v/>
      </c>
      <c r="V8" s="24">
        <f>J8*Q8*T8</f>
        <v/>
      </c>
      <c r="W8" s="24">
        <f>V8-U8</f>
        <v/>
      </c>
    </row>
    <row r="9">
      <c r="A9" s="21">
        <f>'3_Scenario_Engine'!A9</f>
        <v/>
      </c>
      <c r="B9" s="21">
        <f>'3_Scenario_Engine'!B9</f>
        <v/>
      </c>
      <c r="C9" s="22">
        <f>INDEX('10_GICS_Asset_Vol'!$T$3:$T$165,MATCH(B9,'10_GICS_Asset_Vol'!$A$3:$A$165,0))</f>
        <v/>
      </c>
      <c r="D9" s="24">
        <f>'3_Scenario_Engine'!J9</f>
        <v/>
      </c>
      <c r="E9" s="24">
        <f>'2_Deal_Tape'!S10</f>
        <v/>
      </c>
      <c r="F9" s="24">
        <f>'3_Scenario_Engine'!AF9</f>
        <v/>
      </c>
      <c r="G9" s="41">
        <f>(LN(E9/D9)+('6_Credit_Bridge_Assumptions'!$B$5-C9^2/2)*'6_Credit_Bridge_Assumptions'!$B$4)/(C9*SQRT('6_Credit_Bridge_Assumptions'!$B$4))</f>
        <v/>
      </c>
      <c r="H9" s="27">
        <f>NORMSDIST(-G9)</f>
        <v/>
      </c>
      <c r="I9" s="41">
        <f>(LN(F9/D9)+('6_Credit_Bridge_Assumptions'!$B$5-C9^2/2)*'6_Credit_Bridge_Assumptions'!$B$4)/(C9*SQRT('6_Credit_Bridge_Assumptions'!$B$4))</f>
        <v/>
      </c>
      <c r="J9" s="27">
        <f>NORMSDIST(-I9)</f>
        <v/>
      </c>
      <c r="K9" s="27">
        <f>J9-H9</f>
        <v/>
      </c>
      <c r="L9" s="25">
        <f>'3_Scenario_Engine'!Z9</f>
        <v/>
      </c>
      <c r="M9" s="21">
        <f>IF(L9&lt;'6_Credit_Bridge_Assumptions'!$B$15,"BB",IF(L9&lt;'6_Credit_Bridge_Assumptions'!$B$16,"B","CCC/C"))</f>
        <v/>
      </c>
      <c r="N9" s="27">
        <f>IF(L9&lt;'6_Credit_Bridge_Assumptions'!$B$15,'6_Credit_Bridge_Assumptions'!$B$17,IF(L9&lt;'6_Credit_Bridge_Assumptions'!$B$16,'6_Credit_Bridge_Assumptions'!$B$18,'6_Credit_Bridge_Assumptions'!$B$19))</f>
        <v/>
      </c>
      <c r="O9" s="41">
        <f>(J9-N9)*100</f>
        <v/>
      </c>
      <c r="P9" s="22">
        <f>'3_Scenario_Engine'!AG9</f>
        <v/>
      </c>
      <c r="Q9" s="22">
        <f>IF(P9&lt;=1,'6_Credit_Bridge_Assumptions'!$B$11,MIN('6_Credit_Bridge_Assumptions'!$B$12,MAX('6_Credit_Bridge_Assumptions'!$B$11,1-1/P9)))</f>
        <v/>
      </c>
      <c r="R9" s="22">
        <f>'2_Deal_Tape'!U10</f>
        <v/>
      </c>
      <c r="S9" s="22">
        <f>IF(R9&lt;=1,'6_Credit_Bridge_Assumptions'!$B$11,MIN('6_Credit_Bridge_Assumptions'!$B$12,MAX('6_Credit_Bridge_Assumptions'!$B$11,1-1/R9)))</f>
        <v/>
      </c>
      <c r="T9" s="24">
        <f>'3_Scenario_Engine'!U9</f>
        <v/>
      </c>
      <c r="U9" s="24">
        <f>H9*S9*T9</f>
        <v/>
      </c>
      <c r="V9" s="24">
        <f>J9*Q9*T9</f>
        <v/>
      </c>
      <c r="W9" s="24">
        <f>V9-U9</f>
        <v/>
      </c>
    </row>
    <row r="10">
      <c r="A10" s="21">
        <f>'3_Scenario_Engine'!A10</f>
        <v/>
      </c>
      <c r="B10" s="21">
        <f>'3_Scenario_Engine'!B10</f>
        <v/>
      </c>
      <c r="C10" s="22">
        <f>INDEX('10_GICS_Asset_Vol'!$T$3:$T$165,MATCH(B10,'10_GICS_Asset_Vol'!$A$3:$A$165,0))</f>
        <v/>
      </c>
      <c r="D10" s="24">
        <f>'3_Scenario_Engine'!J10</f>
        <v/>
      </c>
      <c r="E10" s="24">
        <f>'2_Deal_Tape'!S11</f>
        <v/>
      </c>
      <c r="F10" s="24">
        <f>'3_Scenario_Engine'!AF10</f>
        <v/>
      </c>
      <c r="G10" s="41">
        <f>(LN(E10/D10)+('6_Credit_Bridge_Assumptions'!$B$5-C10^2/2)*'6_Credit_Bridge_Assumptions'!$B$4)/(C10*SQRT('6_Credit_Bridge_Assumptions'!$B$4))</f>
        <v/>
      </c>
      <c r="H10" s="27">
        <f>NORMSDIST(-G10)</f>
        <v/>
      </c>
      <c r="I10" s="41">
        <f>(LN(F10/D10)+('6_Credit_Bridge_Assumptions'!$B$5-C10^2/2)*'6_Credit_Bridge_Assumptions'!$B$4)/(C10*SQRT('6_Credit_Bridge_Assumptions'!$B$4))</f>
        <v/>
      </c>
      <c r="J10" s="27">
        <f>NORMSDIST(-I10)</f>
        <v/>
      </c>
      <c r="K10" s="27">
        <f>J10-H10</f>
        <v/>
      </c>
      <c r="L10" s="25">
        <f>'3_Scenario_Engine'!Z10</f>
        <v/>
      </c>
      <c r="M10" s="21">
        <f>IF(L10&lt;'6_Credit_Bridge_Assumptions'!$B$15,"BB",IF(L10&lt;'6_Credit_Bridge_Assumptions'!$B$16,"B","CCC/C"))</f>
        <v/>
      </c>
      <c r="N10" s="27">
        <f>IF(L10&lt;'6_Credit_Bridge_Assumptions'!$B$15,'6_Credit_Bridge_Assumptions'!$B$17,IF(L10&lt;'6_Credit_Bridge_Assumptions'!$B$16,'6_Credit_Bridge_Assumptions'!$B$18,'6_Credit_Bridge_Assumptions'!$B$19))</f>
        <v/>
      </c>
      <c r="O10" s="41">
        <f>(J10-N10)*100</f>
        <v/>
      </c>
      <c r="P10" s="22">
        <f>'3_Scenario_Engine'!AG10</f>
        <v/>
      </c>
      <c r="Q10" s="22">
        <f>IF(P10&lt;=1,'6_Credit_Bridge_Assumptions'!$B$11,MIN('6_Credit_Bridge_Assumptions'!$B$12,MAX('6_Credit_Bridge_Assumptions'!$B$11,1-1/P10)))</f>
        <v/>
      </c>
      <c r="R10" s="22">
        <f>'2_Deal_Tape'!U11</f>
        <v/>
      </c>
      <c r="S10" s="22">
        <f>IF(R10&lt;=1,'6_Credit_Bridge_Assumptions'!$B$11,MIN('6_Credit_Bridge_Assumptions'!$B$12,MAX('6_Credit_Bridge_Assumptions'!$B$11,1-1/R10)))</f>
        <v/>
      </c>
      <c r="T10" s="24">
        <f>'3_Scenario_Engine'!U10</f>
        <v/>
      </c>
      <c r="U10" s="24">
        <f>H10*S10*T10</f>
        <v/>
      </c>
      <c r="V10" s="24">
        <f>J10*Q10*T10</f>
        <v/>
      </c>
      <c r="W10" s="24">
        <f>V10-U10</f>
        <v/>
      </c>
    </row>
    <row r="11">
      <c r="A11" s="21">
        <f>'3_Scenario_Engine'!A11</f>
        <v/>
      </c>
      <c r="B11" s="21">
        <f>'3_Scenario_Engine'!B11</f>
        <v/>
      </c>
      <c r="C11" s="22">
        <f>INDEX('10_GICS_Asset_Vol'!$T$3:$T$165,MATCH(B11,'10_GICS_Asset_Vol'!$A$3:$A$165,0))</f>
        <v/>
      </c>
      <c r="D11" s="24">
        <f>'3_Scenario_Engine'!J11</f>
        <v/>
      </c>
      <c r="E11" s="24">
        <f>'2_Deal_Tape'!S12</f>
        <v/>
      </c>
      <c r="F11" s="24">
        <f>'3_Scenario_Engine'!AF11</f>
        <v/>
      </c>
      <c r="G11" s="41">
        <f>(LN(E11/D11)+('6_Credit_Bridge_Assumptions'!$B$5-C11^2/2)*'6_Credit_Bridge_Assumptions'!$B$4)/(C11*SQRT('6_Credit_Bridge_Assumptions'!$B$4))</f>
        <v/>
      </c>
      <c r="H11" s="27">
        <f>NORMSDIST(-G11)</f>
        <v/>
      </c>
      <c r="I11" s="41">
        <f>(LN(F11/D11)+('6_Credit_Bridge_Assumptions'!$B$5-C11^2/2)*'6_Credit_Bridge_Assumptions'!$B$4)/(C11*SQRT('6_Credit_Bridge_Assumptions'!$B$4))</f>
        <v/>
      </c>
      <c r="J11" s="27">
        <f>NORMSDIST(-I11)</f>
        <v/>
      </c>
      <c r="K11" s="27">
        <f>J11-H11</f>
        <v/>
      </c>
      <c r="L11" s="25">
        <f>'3_Scenario_Engine'!Z11</f>
        <v/>
      </c>
      <c r="M11" s="21">
        <f>IF(L11&lt;'6_Credit_Bridge_Assumptions'!$B$15,"BB",IF(L11&lt;'6_Credit_Bridge_Assumptions'!$B$16,"B","CCC/C"))</f>
        <v/>
      </c>
      <c r="N11" s="27">
        <f>IF(L11&lt;'6_Credit_Bridge_Assumptions'!$B$15,'6_Credit_Bridge_Assumptions'!$B$17,IF(L11&lt;'6_Credit_Bridge_Assumptions'!$B$16,'6_Credit_Bridge_Assumptions'!$B$18,'6_Credit_Bridge_Assumptions'!$B$19))</f>
        <v/>
      </c>
      <c r="O11" s="41">
        <f>(J11-N11)*100</f>
        <v/>
      </c>
      <c r="P11" s="22">
        <f>'3_Scenario_Engine'!AG11</f>
        <v/>
      </c>
      <c r="Q11" s="22">
        <f>IF(P11&lt;=1,'6_Credit_Bridge_Assumptions'!$B$11,MIN('6_Credit_Bridge_Assumptions'!$B$12,MAX('6_Credit_Bridge_Assumptions'!$B$11,1-1/P11)))</f>
        <v/>
      </c>
      <c r="R11" s="22">
        <f>'2_Deal_Tape'!U12</f>
        <v/>
      </c>
      <c r="S11" s="22">
        <f>IF(R11&lt;=1,'6_Credit_Bridge_Assumptions'!$B$11,MIN('6_Credit_Bridge_Assumptions'!$B$12,MAX('6_Credit_Bridge_Assumptions'!$B$11,1-1/R11)))</f>
        <v/>
      </c>
      <c r="T11" s="24">
        <f>'3_Scenario_Engine'!U11</f>
        <v/>
      </c>
      <c r="U11" s="24">
        <f>H11*S11*T11</f>
        <v/>
      </c>
      <c r="V11" s="24">
        <f>J11*Q11*T11</f>
        <v/>
      </c>
      <c r="W11" s="24">
        <f>V11-U11</f>
        <v/>
      </c>
    </row>
    <row r="12">
      <c r="A12" s="21">
        <f>'3_Scenario_Engine'!A12</f>
        <v/>
      </c>
      <c r="B12" s="21">
        <f>'3_Scenario_Engine'!B12</f>
        <v/>
      </c>
      <c r="C12" s="22">
        <f>INDEX('10_GICS_Asset_Vol'!$T$3:$T$165,MATCH(B12,'10_GICS_Asset_Vol'!$A$3:$A$165,0))</f>
        <v/>
      </c>
      <c r="D12" s="24">
        <f>'3_Scenario_Engine'!J12</f>
        <v/>
      </c>
      <c r="E12" s="24">
        <f>'2_Deal_Tape'!S13</f>
        <v/>
      </c>
      <c r="F12" s="24">
        <f>'3_Scenario_Engine'!AF12</f>
        <v/>
      </c>
      <c r="G12" s="41">
        <f>(LN(E12/D12)+('6_Credit_Bridge_Assumptions'!$B$5-C12^2/2)*'6_Credit_Bridge_Assumptions'!$B$4)/(C12*SQRT('6_Credit_Bridge_Assumptions'!$B$4))</f>
        <v/>
      </c>
      <c r="H12" s="27">
        <f>NORMSDIST(-G12)</f>
        <v/>
      </c>
      <c r="I12" s="41">
        <f>(LN(F12/D12)+('6_Credit_Bridge_Assumptions'!$B$5-C12^2/2)*'6_Credit_Bridge_Assumptions'!$B$4)/(C12*SQRT('6_Credit_Bridge_Assumptions'!$B$4))</f>
        <v/>
      </c>
      <c r="J12" s="27">
        <f>NORMSDIST(-I12)</f>
        <v/>
      </c>
      <c r="K12" s="27">
        <f>J12-H12</f>
        <v/>
      </c>
      <c r="L12" s="25">
        <f>'3_Scenario_Engine'!Z12</f>
        <v/>
      </c>
      <c r="M12" s="21">
        <f>IF(L12&lt;'6_Credit_Bridge_Assumptions'!$B$15,"BB",IF(L12&lt;'6_Credit_Bridge_Assumptions'!$B$16,"B","CCC/C"))</f>
        <v/>
      </c>
      <c r="N12" s="27">
        <f>IF(L12&lt;'6_Credit_Bridge_Assumptions'!$B$15,'6_Credit_Bridge_Assumptions'!$B$17,IF(L12&lt;'6_Credit_Bridge_Assumptions'!$B$16,'6_Credit_Bridge_Assumptions'!$B$18,'6_Credit_Bridge_Assumptions'!$B$19))</f>
        <v/>
      </c>
      <c r="O12" s="41">
        <f>(J12-N12)*100</f>
        <v/>
      </c>
      <c r="P12" s="22">
        <f>'3_Scenario_Engine'!AG12</f>
        <v/>
      </c>
      <c r="Q12" s="22">
        <f>IF(P12&lt;=1,'6_Credit_Bridge_Assumptions'!$B$11,MIN('6_Credit_Bridge_Assumptions'!$B$12,MAX('6_Credit_Bridge_Assumptions'!$B$11,1-1/P12)))</f>
        <v/>
      </c>
      <c r="R12" s="22">
        <f>'2_Deal_Tape'!U13</f>
        <v/>
      </c>
      <c r="S12" s="22">
        <f>IF(R12&lt;=1,'6_Credit_Bridge_Assumptions'!$B$11,MIN('6_Credit_Bridge_Assumptions'!$B$12,MAX('6_Credit_Bridge_Assumptions'!$B$11,1-1/R12)))</f>
        <v/>
      </c>
      <c r="T12" s="24">
        <f>'3_Scenario_Engine'!U12</f>
        <v/>
      </c>
      <c r="U12" s="24">
        <f>H12*S12*T12</f>
        <v/>
      </c>
      <c r="V12" s="24">
        <f>J12*Q12*T12</f>
        <v/>
      </c>
      <c r="W12" s="24">
        <f>V12-U12</f>
        <v/>
      </c>
    </row>
    <row r="13">
      <c r="A13" s="21">
        <f>'3_Scenario_Engine'!A13</f>
        <v/>
      </c>
      <c r="B13" s="21">
        <f>'3_Scenario_Engine'!B13</f>
        <v/>
      </c>
      <c r="C13" s="22">
        <f>INDEX('10_GICS_Asset_Vol'!$T$3:$T$165,MATCH(B13,'10_GICS_Asset_Vol'!$A$3:$A$165,0))</f>
        <v/>
      </c>
      <c r="D13" s="24">
        <f>'3_Scenario_Engine'!J13</f>
        <v/>
      </c>
      <c r="E13" s="24">
        <f>'2_Deal_Tape'!S14</f>
        <v/>
      </c>
      <c r="F13" s="24">
        <f>'3_Scenario_Engine'!AF13</f>
        <v/>
      </c>
      <c r="G13" s="41">
        <f>(LN(E13/D13)+('6_Credit_Bridge_Assumptions'!$B$5-C13^2/2)*'6_Credit_Bridge_Assumptions'!$B$4)/(C13*SQRT('6_Credit_Bridge_Assumptions'!$B$4))</f>
        <v/>
      </c>
      <c r="H13" s="27">
        <f>NORMSDIST(-G13)</f>
        <v/>
      </c>
      <c r="I13" s="41">
        <f>(LN(F13/D13)+('6_Credit_Bridge_Assumptions'!$B$5-C13^2/2)*'6_Credit_Bridge_Assumptions'!$B$4)/(C13*SQRT('6_Credit_Bridge_Assumptions'!$B$4))</f>
        <v/>
      </c>
      <c r="J13" s="27">
        <f>NORMSDIST(-I13)</f>
        <v/>
      </c>
      <c r="K13" s="27">
        <f>J13-H13</f>
        <v/>
      </c>
      <c r="L13" s="25">
        <f>'3_Scenario_Engine'!Z13</f>
        <v/>
      </c>
      <c r="M13" s="21">
        <f>IF(L13&lt;'6_Credit_Bridge_Assumptions'!$B$15,"BB",IF(L13&lt;'6_Credit_Bridge_Assumptions'!$B$16,"B","CCC/C"))</f>
        <v/>
      </c>
      <c r="N13" s="27">
        <f>IF(L13&lt;'6_Credit_Bridge_Assumptions'!$B$15,'6_Credit_Bridge_Assumptions'!$B$17,IF(L13&lt;'6_Credit_Bridge_Assumptions'!$B$16,'6_Credit_Bridge_Assumptions'!$B$18,'6_Credit_Bridge_Assumptions'!$B$19))</f>
        <v/>
      </c>
      <c r="O13" s="41">
        <f>(J13-N13)*100</f>
        <v/>
      </c>
      <c r="P13" s="22">
        <f>'3_Scenario_Engine'!AG13</f>
        <v/>
      </c>
      <c r="Q13" s="22">
        <f>IF(P13&lt;=1,'6_Credit_Bridge_Assumptions'!$B$11,MIN('6_Credit_Bridge_Assumptions'!$B$12,MAX('6_Credit_Bridge_Assumptions'!$B$11,1-1/P13)))</f>
        <v/>
      </c>
      <c r="R13" s="22">
        <f>'2_Deal_Tape'!U14</f>
        <v/>
      </c>
      <c r="S13" s="22">
        <f>IF(R13&lt;=1,'6_Credit_Bridge_Assumptions'!$B$11,MIN('6_Credit_Bridge_Assumptions'!$B$12,MAX('6_Credit_Bridge_Assumptions'!$B$11,1-1/R13)))</f>
        <v/>
      </c>
      <c r="T13" s="24">
        <f>'3_Scenario_Engine'!U13</f>
        <v/>
      </c>
      <c r="U13" s="24">
        <f>H13*S13*T13</f>
        <v/>
      </c>
      <c r="V13" s="24">
        <f>J13*Q13*T13</f>
        <v/>
      </c>
      <c r="W13" s="24">
        <f>V13-U13</f>
        <v/>
      </c>
    </row>
    <row r="14">
      <c r="A14" s="21">
        <f>'3_Scenario_Engine'!A14</f>
        <v/>
      </c>
      <c r="B14" s="21">
        <f>'3_Scenario_Engine'!B14</f>
        <v/>
      </c>
      <c r="C14" s="22">
        <f>INDEX('10_GICS_Asset_Vol'!$T$3:$T$165,MATCH(B14,'10_GICS_Asset_Vol'!$A$3:$A$165,0))</f>
        <v/>
      </c>
      <c r="D14" s="24">
        <f>'3_Scenario_Engine'!J14</f>
        <v/>
      </c>
      <c r="E14" s="24">
        <f>'2_Deal_Tape'!S15</f>
        <v/>
      </c>
      <c r="F14" s="24">
        <f>'3_Scenario_Engine'!AF14</f>
        <v/>
      </c>
      <c r="G14" s="41">
        <f>(LN(E14/D14)+('6_Credit_Bridge_Assumptions'!$B$5-C14^2/2)*'6_Credit_Bridge_Assumptions'!$B$4)/(C14*SQRT('6_Credit_Bridge_Assumptions'!$B$4))</f>
        <v/>
      </c>
      <c r="H14" s="27">
        <f>NORMSDIST(-G14)</f>
        <v/>
      </c>
      <c r="I14" s="41">
        <f>(LN(F14/D14)+('6_Credit_Bridge_Assumptions'!$B$5-C14^2/2)*'6_Credit_Bridge_Assumptions'!$B$4)/(C14*SQRT('6_Credit_Bridge_Assumptions'!$B$4))</f>
        <v/>
      </c>
      <c r="J14" s="27">
        <f>NORMSDIST(-I14)</f>
        <v/>
      </c>
      <c r="K14" s="27">
        <f>J14-H14</f>
        <v/>
      </c>
      <c r="L14" s="25">
        <f>'3_Scenario_Engine'!Z14</f>
        <v/>
      </c>
      <c r="M14" s="21">
        <f>IF(L14&lt;'6_Credit_Bridge_Assumptions'!$B$15,"BB",IF(L14&lt;'6_Credit_Bridge_Assumptions'!$B$16,"B","CCC/C"))</f>
        <v/>
      </c>
      <c r="N14" s="27">
        <f>IF(L14&lt;'6_Credit_Bridge_Assumptions'!$B$15,'6_Credit_Bridge_Assumptions'!$B$17,IF(L14&lt;'6_Credit_Bridge_Assumptions'!$B$16,'6_Credit_Bridge_Assumptions'!$B$18,'6_Credit_Bridge_Assumptions'!$B$19))</f>
        <v/>
      </c>
      <c r="O14" s="41">
        <f>(J14-N14)*100</f>
        <v/>
      </c>
      <c r="P14" s="22">
        <f>'3_Scenario_Engine'!AG14</f>
        <v/>
      </c>
      <c r="Q14" s="22">
        <f>IF(P14&lt;=1,'6_Credit_Bridge_Assumptions'!$B$11,MIN('6_Credit_Bridge_Assumptions'!$B$12,MAX('6_Credit_Bridge_Assumptions'!$B$11,1-1/P14)))</f>
        <v/>
      </c>
      <c r="R14" s="22">
        <f>'2_Deal_Tape'!U15</f>
        <v/>
      </c>
      <c r="S14" s="22">
        <f>IF(R14&lt;=1,'6_Credit_Bridge_Assumptions'!$B$11,MIN('6_Credit_Bridge_Assumptions'!$B$12,MAX('6_Credit_Bridge_Assumptions'!$B$11,1-1/R14)))</f>
        <v/>
      </c>
      <c r="T14" s="24">
        <f>'3_Scenario_Engine'!U14</f>
        <v/>
      </c>
      <c r="U14" s="24">
        <f>H14*S14*T14</f>
        <v/>
      </c>
      <c r="V14" s="24">
        <f>J14*Q14*T14</f>
        <v/>
      </c>
      <c r="W14" s="24">
        <f>V14-U14</f>
        <v/>
      </c>
    </row>
    <row r="15">
      <c r="A15" s="21">
        <f>'3_Scenario_Engine'!A15</f>
        <v/>
      </c>
      <c r="B15" s="21">
        <f>'3_Scenario_Engine'!B15</f>
        <v/>
      </c>
      <c r="C15" s="22">
        <f>INDEX('10_GICS_Asset_Vol'!$T$3:$T$165,MATCH(B15,'10_GICS_Asset_Vol'!$A$3:$A$165,0))</f>
        <v/>
      </c>
      <c r="D15" s="24">
        <f>'3_Scenario_Engine'!J15</f>
        <v/>
      </c>
      <c r="E15" s="24">
        <f>'2_Deal_Tape'!S16</f>
        <v/>
      </c>
      <c r="F15" s="24">
        <f>'3_Scenario_Engine'!AF15</f>
        <v/>
      </c>
      <c r="G15" s="41">
        <f>(LN(E15/D15)+('6_Credit_Bridge_Assumptions'!$B$5-C15^2/2)*'6_Credit_Bridge_Assumptions'!$B$4)/(C15*SQRT('6_Credit_Bridge_Assumptions'!$B$4))</f>
        <v/>
      </c>
      <c r="H15" s="27">
        <f>NORMSDIST(-G15)</f>
        <v/>
      </c>
      <c r="I15" s="41">
        <f>(LN(F15/D15)+('6_Credit_Bridge_Assumptions'!$B$5-C15^2/2)*'6_Credit_Bridge_Assumptions'!$B$4)/(C15*SQRT('6_Credit_Bridge_Assumptions'!$B$4))</f>
        <v/>
      </c>
      <c r="J15" s="27">
        <f>NORMSDIST(-I15)</f>
        <v/>
      </c>
      <c r="K15" s="27">
        <f>J15-H15</f>
        <v/>
      </c>
      <c r="L15" s="25">
        <f>'3_Scenario_Engine'!Z15</f>
        <v/>
      </c>
      <c r="M15" s="21">
        <f>IF(L15&lt;'6_Credit_Bridge_Assumptions'!$B$15,"BB",IF(L15&lt;'6_Credit_Bridge_Assumptions'!$B$16,"B","CCC/C"))</f>
        <v/>
      </c>
      <c r="N15" s="27">
        <f>IF(L15&lt;'6_Credit_Bridge_Assumptions'!$B$15,'6_Credit_Bridge_Assumptions'!$B$17,IF(L15&lt;'6_Credit_Bridge_Assumptions'!$B$16,'6_Credit_Bridge_Assumptions'!$B$18,'6_Credit_Bridge_Assumptions'!$B$19))</f>
        <v/>
      </c>
      <c r="O15" s="41">
        <f>(J15-N15)*100</f>
        <v/>
      </c>
      <c r="P15" s="22">
        <f>'3_Scenario_Engine'!AG15</f>
        <v/>
      </c>
      <c r="Q15" s="22">
        <f>IF(P15&lt;=1,'6_Credit_Bridge_Assumptions'!$B$11,MIN('6_Credit_Bridge_Assumptions'!$B$12,MAX('6_Credit_Bridge_Assumptions'!$B$11,1-1/P15)))</f>
        <v/>
      </c>
      <c r="R15" s="22">
        <f>'2_Deal_Tape'!U16</f>
        <v/>
      </c>
      <c r="S15" s="22">
        <f>IF(R15&lt;=1,'6_Credit_Bridge_Assumptions'!$B$11,MIN('6_Credit_Bridge_Assumptions'!$B$12,MAX('6_Credit_Bridge_Assumptions'!$B$11,1-1/R15)))</f>
        <v/>
      </c>
      <c r="T15" s="24">
        <f>'3_Scenario_Engine'!U15</f>
        <v/>
      </c>
      <c r="U15" s="24">
        <f>H15*S15*T15</f>
        <v/>
      </c>
      <c r="V15" s="24">
        <f>J15*Q15*T15</f>
        <v/>
      </c>
      <c r="W15" s="24">
        <f>V15-U15</f>
        <v/>
      </c>
    </row>
    <row r="16">
      <c r="A16" s="21">
        <f>'3_Scenario_Engine'!A16</f>
        <v/>
      </c>
      <c r="B16" s="21">
        <f>'3_Scenario_Engine'!B16</f>
        <v/>
      </c>
      <c r="C16" s="22">
        <f>INDEX('10_GICS_Asset_Vol'!$T$3:$T$165,MATCH(B16,'10_GICS_Asset_Vol'!$A$3:$A$165,0))</f>
        <v/>
      </c>
      <c r="D16" s="24">
        <f>'3_Scenario_Engine'!J16</f>
        <v/>
      </c>
      <c r="E16" s="24">
        <f>'2_Deal_Tape'!S17</f>
        <v/>
      </c>
      <c r="F16" s="24">
        <f>'3_Scenario_Engine'!AF16</f>
        <v/>
      </c>
      <c r="G16" s="41">
        <f>(LN(E16/D16)+('6_Credit_Bridge_Assumptions'!$B$5-C16^2/2)*'6_Credit_Bridge_Assumptions'!$B$4)/(C16*SQRT('6_Credit_Bridge_Assumptions'!$B$4))</f>
        <v/>
      </c>
      <c r="H16" s="27">
        <f>NORMSDIST(-G16)</f>
        <v/>
      </c>
      <c r="I16" s="41">
        <f>(LN(F16/D16)+('6_Credit_Bridge_Assumptions'!$B$5-C16^2/2)*'6_Credit_Bridge_Assumptions'!$B$4)/(C16*SQRT('6_Credit_Bridge_Assumptions'!$B$4))</f>
        <v/>
      </c>
      <c r="J16" s="27">
        <f>NORMSDIST(-I16)</f>
        <v/>
      </c>
      <c r="K16" s="27">
        <f>J16-H16</f>
        <v/>
      </c>
      <c r="L16" s="25">
        <f>'3_Scenario_Engine'!Z16</f>
        <v/>
      </c>
      <c r="M16" s="21">
        <f>IF(L16&lt;'6_Credit_Bridge_Assumptions'!$B$15,"BB",IF(L16&lt;'6_Credit_Bridge_Assumptions'!$B$16,"B","CCC/C"))</f>
        <v/>
      </c>
      <c r="N16" s="27">
        <f>IF(L16&lt;'6_Credit_Bridge_Assumptions'!$B$15,'6_Credit_Bridge_Assumptions'!$B$17,IF(L16&lt;'6_Credit_Bridge_Assumptions'!$B$16,'6_Credit_Bridge_Assumptions'!$B$18,'6_Credit_Bridge_Assumptions'!$B$19))</f>
        <v/>
      </c>
      <c r="O16" s="41">
        <f>(J16-N16)*100</f>
        <v/>
      </c>
      <c r="P16" s="22">
        <f>'3_Scenario_Engine'!AG16</f>
        <v/>
      </c>
      <c r="Q16" s="22">
        <f>IF(P16&lt;=1,'6_Credit_Bridge_Assumptions'!$B$11,MIN('6_Credit_Bridge_Assumptions'!$B$12,MAX('6_Credit_Bridge_Assumptions'!$B$11,1-1/P16)))</f>
        <v/>
      </c>
      <c r="R16" s="22">
        <f>'2_Deal_Tape'!U17</f>
        <v/>
      </c>
      <c r="S16" s="22">
        <f>IF(R16&lt;=1,'6_Credit_Bridge_Assumptions'!$B$11,MIN('6_Credit_Bridge_Assumptions'!$B$12,MAX('6_Credit_Bridge_Assumptions'!$B$11,1-1/R16)))</f>
        <v/>
      </c>
      <c r="T16" s="24">
        <f>'3_Scenario_Engine'!U16</f>
        <v/>
      </c>
      <c r="U16" s="24">
        <f>H16*S16*T16</f>
        <v/>
      </c>
      <c r="V16" s="24">
        <f>J16*Q16*T16</f>
        <v/>
      </c>
      <c r="W16" s="24">
        <f>V16-U16</f>
        <v/>
      </c>
    </row>
    <row r="17">
      <c r="A17" s="21">
        <f>'3_Scenario_Engine'!A17</f>
        <v/>
      </c>
      <c r="B17" s="21">
        <f>'3_Scenario_Engine'!B17</f>
        <v/>
      </c>
      <c r="C17" s="22">
        <f>INDEX('10_GICS_Asset_Vol'!$T$3:$T$165,MATCH(B17,'10_GICS_Asset_Vol'!$A$3:$A$165,0))</f>
        <v/>
      </c>
      <c r="D17" s="24">
        <f>'3_Scenario_Engine'!J17</f>
        <v/>
      </c>
      <c r="E17" s="24">
        <f>'2_Deal_Tape'!S18</f>
        <v/>
      </c>
      <c r="F17" s="24">
        <f>'3_Scenario_Engine'!AF17</f>
        <v/>
      </c>
      <c r="G17" s="41">
        <f>(LN(E17/D17)+('6_Credit_Bridge_Assumptions'!$B$5-C17^2/2)*'6_Credit_Bridge_Assumptions'!$B$4)/(C17*SQRT('6_Credit_Bridge_Assumptions'!$B$4))</f>
        <v/>
      </c>
      <c r="H17" s="27">
        <f>NORMSDIST(-G17)</f>
        <v/>
      </c>
      <c r="I17" s="41">
        <f>(LN(F17/D17)+('6_Credit_Bridge_Assumptions'!$B$5-C17^2/2)*'6_Credit_Bridge_Assumptions'!$B$4)/(C17*SQRT('6_Credit_Bridge_Assumptions'!$B$4))</f>
        <v/>
      </c>
      <c r="J17" s="27">
        <f>NORMSDIST(-I17)</f>
        <v/>
      </c>
      <c r="K17" s="27">
        <f>J17-H17</f>
        <v/>
      </c>
      <c r="L17" s="25">
        <f>'3_Scenario_Engine'!Z17</f>
        <v/>
      </c>
      <c r="M17" s="21">
        <f>IF(L17&lt;'6_Credit_Bridge_Assumptions'!$B$15,"BB",IF(L17&lt;'6_Credit_Bridge_Assumptions'!$B$16,"B","CCC/C"))</f>
        <v/>
      </c>
      <c r="N17" s="27">
        <f>IF(L17&lt;'6_Credit_Bridge_Assumptions'!$B$15,'6_Credit_Bridge_Assumptions'!$B$17,IF(L17&lt;'6_Credit_Bridge_Assumptions'!$B$16,'6_Credit_Bridge_Assumptions'!$B$18,'6_Credit_Bridge_Assumptions'!$B$19))</f>
        <v/>
      </c>
      <c r="O17" s="41">
        <f>(J17-N17)*100</f>
        <v/>
      </c>
      <c r="P17" s="22">
        <f>'3_Scenario_Engine'!AG17</f>
        <v/>
      </c>
      <c r="Q17" s="22">
        <f>IF(P17&lt;=1,'6_Credit_Bridge_Assumptions'!$B$11,MIN('6_Credit_Bridge_Assumptions'!$B$12,MAX('6_Credit_Bridge_Assumptions'!$B$11,1-1/P17)))</f>
        <v/>
      </c>
      <c r="R17" s="22">
        <f>'2_Deal_Tape'!U18</f>
        <v/>
      </c>
      <c r="S17" s="22">
        <f>IF(R17&lt;=1,'6_Credit_Bridge_Assumptions'!$B$11,MIN('6_Credit_Bridge_Assumptions'!$B$12,MAX('6_Credit_Bridge_Assumptions'!$B$11,1-1/R17)))</f>
        <v/>
      </c>
      <c r="T17" s="24">
        <f>'3_Scenario_Engine'!U17</f>
        <v/>
      </c>
      <c r="U17" s="24">
        <f>H17*S17*T17</f>
        <v/>
      </c>
      <c r="V17" s="24">
        <f>J17*Q17*T17</f>
        <v/>
      </c>
      <c r="W17" s="24">
        <f>V17-U17</f>
        <v/>
      </c>
    </row>
    <row r="18">
      <c r="A18" s="21">
        <f>'3_Scenario_Engine'!A18</f>
        <v/>
      </c>
      <c r="B18" s="21">
        <f>'3_Scenario_Engine'!B18</f>
        <v/>
      </c>
      <c r="C18" s="22">
        <f>INDEX('10_GICS_Asset_Vol'!$T$3:$T$165,MATCH(B18,'10_GICS_Asset_Vol'!$A$3:$A$165,0))</f>
        <v/>
      </c>
      <c r="D18" s="24">
        <f>'3_Scenario_Engine'!J18</f>
        <v/>
      </c>
      <c r="E18" s="24">
        <f>'2_Deal_Tape'!S19</f>
        <v/>
      </c>
      <c r="F18" s="24">
        <f>'3_Scenario_Engine'!AF18</f>
        <v/>
      </c>
      <c r="G18" s="41">
        <f>(LN(E18/D18)+('6_Credit_Bridge_Assumptions'!$B$5-C18^2/2)*'6_Credit_Bridge_Assumptions'!$B$4)/(C18*SQRT('6_Credit_Bridge_Assumptions'!$B$4))</f>
        <v/>
      </c>
      <c r="H18" s="27">
        <f>NORMSDIST(-G18)</f>
        <v/>
      </c>
      <c r="I18" s="41">
        <f>(LN(F18/D18)+('6_Credit_Bridge_Assumptions'!$B$5-C18^2/2)*'6_Credit_Bridge_Assumptions'!$B$4)/(C18*SQRT('6_Credit_Bridge_Assumptions'!$B$4))</f>
        <v/>
      </c>
      <c r="J18" s="27">
        <f>NORMSDIST(-I18)</f>
        <v/>
      </c>
      <c r="K18" s="27">
        <f>J18-H18</f>
        <v/>
      </c>
      <c r="L18" s="25">
        <f>'3_Scenario_Engine'!Z18</f>
        <v/>
      </c>
      <c r="M18" s="21">
        <f>IF(L18&lt;'6_Credit_Bridge_Assumptions'!$B$15,"BB",IF(L18&lt;'6_Credit_Bridge_Assumptions'!$B$16,"B","CCC/C"))</f>
        <v/>
      </c>
      <c r="N18" s="27">
        <f>IF(L18&lt;'6_Credit_Bridge_Assumptions'!$B$15,'6_Credit_Bridge_Assumptions'!$B$17,IF(L18&lt;'6_Credit_Bridge_Assumptions'!$B$16,'6_Credit_Bridge_Assumptions'!$B$18,'6_Credit_Bridge_Assumptions'!$B$19))</f>
        <v/>
      </c>
      <c r="O18" s="41">
        <f>(J18-N18)*100</f>
        <v/>
      </c>
      <c r="P18" s="22">
        <f>'3_Scenario_Engine'!AG18</f>
        <v/>
      </c>
      <c r="Q18" s="22">
        <f>IF(P18&lt;=1,'6_Credit_Bridge_Assumptions'!$B$11,MIN('6_Credit_Bridge_Assumptions'!$B$12,MAX('6_Credit_Bridge_Assumptions'!$B$11,1-1/P18)))</f>
        <v/>
      </c>
      <c r="R18" s="22">
        <f>'2_Deal_Tape'!U19</f>
        <v/>
      </c>
      <c r="S18" s="22">
        <f>IF(R18&lt;=1,'6_Credit_Bridge_Assumptions'!$B$11,MIN('6_Credit_Bridge_Assumptions'!$B$12,MAX('6_Credit_Bridge_Assumptions'!$B$11,1-1/R18)))</f>
        <v/>
      </c>
      <c r="T18" s="24">
        <f>'3_Scenario_Engine'!U18</f>
        <v/>
      </c>
      <c r="U18" s="24">
        <f>H18*S18*T18</f>
        <v/>
      </c>
      <c r="V18" s="24">
        <f>J18*Q18*T18</f>
        <v/>
      </c>
      <c r="W18" s="24">
        <f>V18-U18</f>
        <v/>
      </c>
    </row>
    <row r="19">
      <c r="A19" s="21">
        <f>'3_Scenario_Engine'!A19</f>
        <v/>
      </c>
      <c r="B19" s="21">
        <f>'3_Scenario_Engine'!B19</f>
        <v/>
      </c>
      <c r="C19" s="22">
        <f>INDEX('10_GICS_Asset_Vol'!$T$3:$T$165,MATCH(B19,'10_GICS_Asset_Vol'!$A$3:$A$165,0))</f>
        <v/>
      </c>
      <c r="D19" s="24">
        <f>'3_Scenario_Engine'!J19</f>
        <v/>
      </c>
      <c r="E19" s="24">
        <f>'2_Deal_Tape'!S20</f>
        <v/>
      </c>
      <c r="F19" s="24">
        <f>'3_Scenario_Engine'!AF19</f>
        <v/>
      </c>
      <c r="G19" s="41">
        <f>(LN(E19/D19)+('6_Credit_Bridge_Assumptions'!$B$5-C19^2/2)*'6_Credit_Bridge_Assumptions'!$B$4)/(C19*SQRT('6_Credit_Bridge_Assumptions'!$B$4))</f>
        <v/>
      </c>
      <c r="H19" s="27">
        <f>NORMSDIST(-G19)</f>
        <v/>
      </c>
      <c r="I19" s="41">
        <f>(LN(F19/D19)+('6_Credit_Bridge_Assumptions'!$B$5-C19^2/2)*'6_Credit_Bridge_Assumptions'!$B$4)/(C19*SQRT('6_Credit_Bridge_Assumptions'!$B$4))</f>
        <v/>
      </c>
      <c r="J19" s="27">
        <f>NORMSDIST(-I19)</f>
        <v/>
      </c>
      <c r="K19" s="27">
        <f>J19-H19</f>
        <v/>
      </c>
      <c r="L19" s="25">
        <f>'3_Scenario_Engine'!Z19</f>
        <v/>
      </c>
      <c r="M19" s="21">
        <f>IF(L19&lt;'6_Credit_Bridge_Assumptions'!$B$15,"BB",IF(L19&lt;'6_Credit_Bridge_Assumptions'!$B$16,"B","CCC/C"))</f>
        <v/>
      </c>
      <c r="N19" s="27">
        <f>IF(L19&lt;'6_Credit_Bridge_Assumptions'!$B$15,'6_Credit_Bridge_Assumptions'!$B$17,IF(L19&lt;'6_Credit_Bridge_Assumptions'!$B$16,'6_Credit_Bridge_Assumptions'!$B$18,'6_Credit_Bridge_Assumptions'!$B$19))</f>
        <v/>
      </c>
      <c r="O19" s="41">
        <f>(J19-N19)*100</f>
        <v/>
      </c>
      <c r="P19" s="22">
        <f>'3_Scenario_Engine'!AG19</f>
        <v/>
      </c>
      <c r="Q19" s="22">
        <f>IF(P19&lt;=1,'6_Credit_Bridge_Assumptions'!$B$11,MIN('6_Credit_Bridge_Assumptions'!$B$12,MAX('6_Credit_Bridge_Assumptions'!$B$11,1-1/P19)))</f>
        <v/>
      </c>
      <c r="R19" s="22">
        <f>'2_Deal_Tape'!U20</f>
        <v/>
      </c>
      <c r="S19" s="22">
        <f>IF(R19&lt;=1,'6_Credit_Bridge_Assumptions'!$B$11,MIN('6_Credit_Bridge_Assumptions'!$B$12,MAX('6_Credit_Bridge_Assumptions'!$B$11,1-1/R19)))</f>
        <v/>
      </c>
      <c r="T19" s="24">
        <f>'3_Scenario_Engine'!U19</f>
        <v/>
      </c>
      <c r="U19" s="24">
        <f>H19*S19*T19</f>
        <v/>
      </c>
      <c r="V19" s="24">
        <f>J19*Q19*T19</f>
        <v/>
      </c>
      <c r="W19" s="24">
        <f>V19-U19</f>
        <v/>
      </c>
    </row>
    <row r="20">
      <c r="A20" s="21">
        <f>'3_Scenario_Engine'!A20</f>
        <v/>
      </c>
      <c r="B20" s="21">
        <f>'3_Scenario_Engine'!B20</f>
        <v/>
      </c>
      <c r="C20" s="22">
        <f>INDEX('10_GICS_Asset_Vol'!$T$3:$T$165,MATCH(B20,'10_GICS_Asset_Vol'!$A$3:$A$165,0))</f>
        <v/>
      </c>
      <c r="D20" s="24">
        <f>'3_Scenario_Engine'!J20</f>
        <v/>
      </c>
      <c r="E20" s="24">
        <f>'2_Deal_Tape'!S21</f>
        <v/>
      </c>
      <c r="F20" s="24">
        <f>'3_Scenario_Engine'!AF20</f>
        <v/>
      </c>
      <c r="G20" s="41">
        <f>(LN(E20/D20)+('6_Credit_Bridge_Assumptions'!$B$5-C20^2/2)*'6_Credit_Bridge_Assumptions'!$B$4)/(C20*SQRT('6_Credit_Bridge_Assumptions'!$B$4))</f>
        <v/>
      </c>
      <c r="H20" s="27">
        <f>NORMSDIST(-G20)</f>
        <v/>
      </c>
      <c r="I20" s="41">
        <f>(LN(F20/D20)+('6_Credit_Bridge_Assumptions'!$B$5-C20^2/2)*'6_Credit_Bridge_Assumptions'!$B$4)/(C20*SQRT('6_Credit_Bridge_Assumptions'!$B$4))</f>
        <v/>
      </c>
      <c r="J20" s="27">
        <f>NORMSDIST(-I20)</f>
        <v/>
      </c>
      <c r="K20" s="27">
        <f>J20-H20</f>
        <v/>
      </c>
      <c r="L20" s="25">
        <f>'3_Scenario_Engine'!Z20</f>
        <v/>
      </c>
      <c r="M20" s="21">
        <f>IF(L20&lt;'6_Credit_Bridge_Assumptions'!$B$15,"BB",IF(L20&lt;'6_Credit_Bridge_Assumptions'!$B$16,"B","CCC/C"))</f>
        <v/>
      </c>
      <c r="N20" s="27">
        <f>IF(L20&lt;'6_Credit_Bridge_Assumptions'!$B$15,'6_Credit_Bridge_Assumptions'!$B$17,IF(L20&lt;'6_Credit_Bridge_Assumptions'!$B$16,'6_Credit_Bridge_Assumptions'!$B$18,'6_Credit_Bridge_Assumptions'!$B$19))</f>
        <v/>
      </c>
      <c r="O20" s="41">
        <f>(J20-N20)*100</f>
        <v/>
      </c>
      <c r="P20" s="22">
        <f>'3_Scenario_Engine'!AG20</f>
        <v/>
      </c>
      <c r="Q20" s="22">
        <f>IF(P20&lt;=1,'6_Credit_Bridge_Assumptions'!$B$11,MIN('6_Credit_Bridge_Assumptions'!$B$12,MAX('6_Credit_Bridge_Assumptions'!$B$11,1-1/P20)))</f>
        <v/>
      </c>
      <c r="R20" s="22">
        <f>'2_Deal_Tape'!U21</f>
        <v/>
      </c>
      <c r="S20" s="22">
        <f>IF(R20&lt;=1,'6_Credit_Bridge_Assumptions'!$B$11,MIN('6_Credit_Bridge_Assumptions'!$B$12,MAX('6_Credit_Bridge_Assumptions'!$B$11,1-1/R20)))</f>
        <v/>
      </c>
      <c r="T20" s="24">
        <f>'3_Scenario_Engine'!U20</f>
        <v/>
      </c>
      <c r="U20" s="24">
        <f>H20*S20*T20</f>
        <v/>
      </c>
      <c r="V20" s="24">
        <f>J20*Q20*T20</f>
        <v/>
      </c>
      <c r="W20" s="24">
        <f>V20-U20</f>
        <v/>
      </c>
    </row>
    <row r="21">
      <c r="A21" s="21">
        <f>'3_Scenario_Engine'!A21</f>
        <v/>
      </c>
      <c r="B21" s="21">
        <f>'3_Scenario_Engine'!B21</f>
        <v/>
      </c>
      <c r="C21" s="22">
        <f>INDEX('10_GICS_Asset_Vol'!$T$3:$T$165,MATCH(B21,'10_GICS_Asset_Vol'!$A$3:$A$165,0))</f>
        <v/>
      </c>
      <c r="D21" s="24">
        <f>'3_Scenario_Engine'!J21</f>
        <v/>
      </c>
      <c r="E21" s="24">
        <f>'2_Deal_Tape'!S22</f>
        <v/>
      </c>
      <c r="F21" s="24">
        <f>'3_Scenario_Engine'!AF21</f>
        <v/>
      </c>
      <c r="G21" s="41">
        <f>(LN(E21/D21)+('6_Credit_Bridge_Assumptions'!$B$5-C21^2/2)*'6_Credit_Bridge_Assumptions'!$B$4)/(C21*SQRT('6_Credit_Bridge_Assumptions'!$B$4))</f>
        <v/>
      </c>
      <c r="H21" s="27">
        <f>NORMSDIST(-G21)</f>
        <v/>
      </c>
      <c r="I21" s="41">
        <f>(LN(F21/D21)+('6_Credit_Bridge_Assumptions'!$B$5-C21^2/2)*'6_Credit_Bridge_Assumptions'!$B$4)/(C21*SQRT('6_Credit_Bridge_Assumptions'!$B$4))</f>
        <v/>
      </c>
      <c r="J21" s="27">
        <f>NORMSDIST(-I21)</f>
        <v/>
      </c>
      <c r="K21" s="27">
        <f>J21-H21</f>
        <v/>
      </c>
      <c r="L21" s="25">
        <f>'3_Scenario_Engine'!Z21</f>
        <v/>
      </c>
      <c r="M21" s="21">
        <f>IF(L21&lt;'6_Credit_Bridge_Assumptions'!$B$15,"BB",IF(L21&lt;'6_Credit_Bridge_Assumptions'!$B$16,"B","CCC/C"))</f>
        <v/>
      </c>
      <c r="N21" s="27">
        <f>IF(L21&lt;'6_Credit_Bridge_Assumptions'!$B$15,'6_Credit_Bridge_Assumptions'!$B$17,IF(L21&lt;'6_Credit_Bridge_Assumptions'!$B$16,'6_Credit_Bridge_Assumptions'!$B$18,'6_Credit_Bridge_Assumptions'!$B$19))</f>
        <v/>
      </c>
      <c r="O21" s="41">
        <f>(J21-N21)*100</f>
        <v/>
      </c>
      <c r="P21" s="22">
        <f>'3_Scenario_Engine'!AG21</f>
        <v/>
      </c>
      <c r="Q21" s="22">
        <f>IF(P21&lt;=1,'6_Credit_Bridge_Assumptions'!$B$11,MIN('6_Credit_Bridge_Assumptions'!$B$12,MAX('6_Credit_Bridge_Assumptions'!$B$11,1-1/P21)))</f>
        <v/>
      </c>
      <c r="R21" s="22">
        <f>'2_Deal_Tape'!U22</f>
        <v/>
      </c>
      <c r="S21" s="22">
        <f>IF(R21&lt;=1,'6_Credit_Bridge_Assumptions'!$B$11,MIN('6_Credit_Bridge_Assumptions'!$B$12,MAX('6_Credit_Bridge_Assumptions'!$B$11,1-1/R21)))</f>
        <v/>
      </c>
      <c r="T21" s="24">
        <f>'3_Scenario_Engine'!U21</f>
        <v/>
      </c>
      <c r="U21" s="24">
        <f>H21*S21*T21</f>
        <v/>
      </c>
      <c r="V21" s="24">
        <f>J21*Q21*T21</f>
        <v/>
      </c>
      <c r="W21" s="24">
        <f>V21-U21</f>
        <v/>
      </c>
    </row>
    <row r="22">
      <c r="A22" s="21">
        <f>'3_Scenario_Engine'!A22</f>
        <v/>
      </c>
      <c r="B22" s="21">
        <f>'3_Scenario_Engine'!B22</f>
        <v/>
      </c>
      <c r="C22" s="22">
        <f>INDEX('10_GICS_Asset_Vol'!$T$3:$T$165,MATCH(B22,'10_GICS_Asset_Vol'!$A$3:$A$165,0))</f>
        <v/>
      </c>
      <c r="D22" s="24">
        <f>'3_Scenario_Engine'!J22</f>
        <v/>
      </c>
      <c r="E22" s="24">
        <f>'2_Deal_Tape'!S23</f>
        <v/>
      </c>
      <c r="F22" s="24">
        <f>'3_Scenario_Engine'!AF22</f>
        <v/>
      </c>
      <c r="G22" s="41">
        <f>(LN(E22/D22)+('6_Credit_Bridge_Assumptions'!$B$5-C22^2/2)*'6_Credit_Bridge_Assumptions'!$B$4)/(C22*SQRT('6_Credit_Bridge_Assumptions'!$B$4))</f>
        <v/>
      </c>
      <c r="H22" s="27">
        <f>NORMSDIST(-G22)</f>
        <v/>
      </c>
      <c r="I22" s="41">
        <f>(LN(F22/D22)+('6_Credit_Bridge_Assumptions'!$B$5-C22^2/2)*'6_Credit_Bridge_Assumptions'!$B$4)/(C22*SQRT('6_Credit_Bridge_Assumptions'!$B$4))</f>
        <v/>
      </c>
      <c r="J22" s="27">
        <f>NORMSDIST(-I22)</f>
        <v/>
      </c>
      <c r="K22" s="27">
        <f>J22-H22</f>
        <v/>
      </c>
      <c r="L22" s="25">
        <f>'3_Scenario_Engine'!Z22</f>
        <v/>
      </c>
      <c r="M22" s="21">
        <f>IF(L22&lt;'6_Credit_Bridge_Assumptions'!$B$15,"BB",IF(L22&lt;'6_Credit_Bridge_Assumptions'!$B$16,"B","CCC/C"))</f>
        <v/>
      </c>
      <c r="N22" s="27">
        <f>IF(L22&lt;'6_Credit_Bridge_Assumptions'!$B$15,'6_Credit_Bridge_Assumptions'!$B$17,IF(L22&lt;'6_Credit_Bridge_Assumptions'!$B$16,'6_Credit_Bridge_Assumptions'!$B$18,'6_Credit_Bridge_Assumptions'!$B$19))</f>
        <v/>
      </c>
      <c r="O22" s="41">
        <f>(J22-N22)*100</f>
        <v/>
      </c>
      <c r="P22" s="22">
        <f>'3_Scenario_Engine'!AG22</f>
        <v/>
      </c>
      <c r="Q22" s="22">
        <f>IF(P22&lt;=1,'6_Credit_Bridge_Assumptions'!$B$11,MIN('6_Credit_Bridge_Assumptions'!$B$12,MAX('6_Credit_Bridge_Assumptions'!$B$11,1-1/P22)))</f>
        <v/>
      </c>
      <c r="R22" s="22">
        <f>'2_Deal_Tape'!U23</f>
        <v/>
      </c>
      <c r="S22" s="22">
        <f>IF(R22&lt;=1,'6_Credit_Bridge_Assumptions'!$B$11,MIN('6_Credit_Bridge_Assumptions'!$B$12,MAX('6_Credit_Bridge_Assumptions'!$B$11,1-1/R22)))</f>
        <v/>
      </c>
      <c r="T22" s="24">
        <f>'3_Scenario_Engine'!U22</f>
        <v/>
      </c>
      <c r="U22" s="24">
        <f>H22*S22*T22</f>
        <v/>
      </c>
      <c r="V22" s="24">
        <f>J22*Q22*T22</f>
        <v/>
      </c>
      <c r="W22" s="24">
        <f>V22-U22</f>
        <v/>
      </c>
    </row>
    <row r="23">
      <c r="A23" s="21">
        <f>'3_Scenario_Engine'!A23</f>
        <v/>
      </c>
      <c r="B23" s="21">
        <f>'3_Scenario_Engine'!B23</f>
        <v/>
      </c>
      <c r="C23" s="22">
        <f>INDEX('10_GICS_Asset_Vol'!$T$3:$T$165,MATCH(B23,'10_GICS_Asset_Vol'!$A$3:$A$165,0))</f>
        <v/>
      </c>
      <c r="D23" s="24">
        <f>'3_Scenario_Engine'!J23</f>
        <v/>
      </c>
      <c r="E23" s="24">
        <f>'2_Deal_Tape'!S24</f>
        <v/>
      </c>
      <c r="F23" s="24">
        <f>'3_Scenario_Engine'!AF23</f>
        <v/>
      </c>
      <c r="G23" s="41">
        <f>(LN(E23/D23)+('6_Credit_Bridge_Assumptions'!$B$5-C23^2/2)*'6_Credit_Bridge_Assumptions'!$B$4)/(C23*SQRT('6_Credit_Bridge_Assumptions'!$B$4))</f>
        <v/>
      </c>
      <c r="H23" s="27">
        <f>NORMSDIST(-G23)</f>
        <v/>
      </c>
      <c r="I23" s="41">
        <f>(LN(F23/D23)+('6_Credit_Bridge_Assumptions'!$B$5-C23^2/2)*'6_Credit_Bridge_Assumptions'!$B$4)/(C23*SQRT('6_Credit_Bridge_Assumptions'!$B$4))</f>
        <v/>
      </c>
      <c r="J23" s="27">
        <f>NORMSDIST(-I23)</f>
        <v/>
      </c>
      <c r="K23" s="27">
        <f>J23-H23</f>
        <v/>
      </c>
      <c r="L23" s="25">
        <f>'3_Scenario_Engine'!Z23</f>
        <v/>
      </c>
      <c r="M23" s="21">
        <f>IF(L23&lt;'6_Credit_Bridge_Assumptions'!$B$15,"BB",IF(L23&lt;'6_Credit_Bridge_Assumptions'!$B$16,"B","CCC/C"))</f>
        <v/>
      </c>
      <c r="N23" s="27">
        <f>IF(L23&lt;'6_Credit_Bridge_Assumptions'!$B$15,'6_Credit_Bridge_Assumptions'!$B$17,IF(L23&lt;'6_Credit_Bridge_Assumptions'!$B$16,'6_Credit_Bridge_Assumptions'!$B$18,'6_Credit_Bridge_Assumptions'!$B$19))</f>
        <v/>
      </c>
      <c r="O23" s="41">
        <f>(J23-N23)*100</f>
        <v/>
      </c>
      <c r="P23" s="22">
        <f>'3_Scenario_Engine'!AG23</f>
        <v/>
      </c>
      <c r="Q23" s="22">
        <f>IF(P23&lt;=1,'6_Credit_Bridge_Assumptions'!$B$11,MIN('6_Credit_Bridge_Assumptions'!$B$12,MAX('6_Credit_Bridge_Assumptions'!$B$11,1-1/P23)))</f>
        <v/>
      </c>
      <c r="R23" s="22">
        <f>'2_Deal_Tape'!U24</f>
        <v/>
      </c>
      <c r="S23" s="22">
        <f>IF(R23&lt;=1,'6_Credit_Bridge_Assumptions'!$B$11,MIN('6_Credit_Bridge_Assumptions'!$B$12,MAX('6_Credit_Bridge_Assumptions'!$B$11,1-1/R23)))</f>
        <v/>
      </c>
      <c r="T23" s="24">
        <f>'3_Scenario_Engine'!U23</f>
        <v/>
      </c>
      <c r="U23" s="24">
        <f>H23*S23*T23</f>
        <v/>
      </c>
      <c r="V23" s="24">
        <f>J23*Q23*T23</f>
        <v/>
      </c>
      <c r="W23" s="24">
        <f>V23-U23</f>
        <v/>
      </c>
    </row>
    <row r="24">
      <c r="A24" s="21">
        <f>'3_Scenario_Engine'!A24</f>
        <v/>
      </c>
      <c r="B24" s="21">
        <f>'3_Scenario_Engine'!B24</f>
        <v/>
      </c>
      <c r="C24" s="22">
        <f>INDEX('10_GICS_Asset_Vol'!$T$3:$T$165,MATCH(B24,'10_GICS_Asset_Vol'!$A$3:$A$165,0))</f>
        <v/>
      </c>
      <c r="D24" s="24">
        <f>'3_Scenario_Engine'!J24</f>
        <v/>
      </c>
      <c r="E24" s="24">
        <f>'2_Deal_Tape'!S25</f>
        <v/>
      </c>
      <c r="F24" s="24">
        <f>'3_Scenario_Engine'!AF24</f>
        <v/>
      </c>
      <c r="G24" s="41">
        <f>(LN(E24/D24)+('6_Credit_Bridge_Assumptions'!$B$5-C24^2/2)*'6_Credit_Bridge_Assumptions'!$B$4)/(C24*SQRT('6_Credit_Bridge_Assumptions'!$B$4))</f>
        <v/>
      </c>
      <c r="H24" s="27">
        <f>NORMSDIST(-G24)</f>
        <v/>
      </c>
      <c r="I24" s="41">
        <f>(LN(F24/D24)+('6_Credit_Bridge_Assumptions'!$B$5-C24^2/2)*'6_Credit_Bridge_Assumptions'!$B$4)/(C24*SQRT('6_Credit_Bridge_Assumptions'!$B$4))</f>
        <v/>
      </c>
      <c r="J24" s="27">
        <f>NORMSDIST(-I24)</f>
        <v/>
      </c>
      <c r="K24" s="27">
        <f>J24-H24</f>
        <v/>
      </c>
      <c r="L24" s="25">
        <f>'3_Scenario_Engine'!Z24</f>
        <v/>
      </c>
      <c r="M24" s="21">
        <f>IF(L24&lt;'6_Credit_Bridge_Assumptions'!$B$15,"BB",IF(L24&lt;'6_Credit_Bridge_Assumptions'!$B$16,"B","CCC/C"))</f>
        <v/>
      </c>
      <c r="N24" s="27">
        <f>IF(L24&lt;'6_Credit_Bridge_Assumptions'!$B$15,'6_Credit_Bridge_Assumptions'!$B$17,IF(L24&lt;'6_Credit_Bridge_Assumptions'!$B$16,'6_Credit_Bridge_Assumptions'!$B$18,'6_Credit_Bridge_Assumptions'!$B$19))</f>
        <v/>
      </c>
      <c r="O24" s="41">
        <f>(J24-N24)*100</f>
        <v/>
      </c>
      <c r="P24" s="22">
        <f>'3_Scenario_Engine'!AG24</f>
        <v/>
      </c>
      <c r="Q24" s="22">
        <f>IF(P24&lt;=1,'6_Credit_Bridge_Assumptions'!$B$11,MIN('6_Credit_Bridge_Assumptions'!$B$12,MAX('6_Credit_Bridge_Assumptions'!$B$11,1-1/P24)))</f>
        <v/>
      </c>
      <c r="R24" s="22">
        <f>'2_Deal_Tape'!U25</f>
        <v/>
      </c>
      <c r="S24" s="22">
        <f>IF(R24&lt;=1,'6_Credit_Bridge_Assumptions'!$B$11,MIN('6_Credit_Bridge_Assumptions'!$B$12,MAX('6_Credit_Bridge_Assumptions'!$B$11,1-1/R24)))</f>
        <v/>
      </c>
      <c r="T24" s="24">
        <f>'3_Scenario_Engine'!U24</f>
        <v/>
      </c>
      <c r="U24" s="24">
        <f>H24*S24*T24</f>
        <v/>
      </c>
      <c r="V24" s="24">
        <f>J24*Q24*T24</f>
        <v/>
      </c>
      <c r="W24" s="24">
        <f>V24-U24</f>
        <v/>
      </c>
    </row>
    <row r="25">
      <c r="A25" s="21">
        <f>'3_Scenario_Engine'!A25</f>
        <v/>
      </c>
      <c r="B25" s="21">
        <f>'3_Scenario_Engine'!B25</f>
        <v/>
      </c>
      <c r="C25" s="22">
        <f>INDEX('10_GICS_Asset_Vol'!$T$3:$T$165,MATCH(B25,'10_GICS_Asset_Vol'!$A$3:$A$165,0))</f>
        <v/>
      </c>
      <c r="D25" s="24">
        <f>'3_Scenario_Engine'!J25</f>
        <v/>
      </c>
      <c r="E25" s="24">
        <f>'2_Deal_Tape'!S26</f>
        <v/>
      </c>
      <c r="F25" s="24">
        <f>'3_Scenario_Engine'!AF25</f>
        <v/>
      </c>
      <c r="G25" s="41">
        <f>(LN(E25/D25)+('6_Credit_Bridge_Assumptions'!$B$5-C25^2/2)*'6_Credit_Bridge_Assumptions'!$B$4)/(C25*SQRT('6_Credit_Bridge_Assumptions'!$B$4))</f>
        <v/>
      </c>
      <c r="H25" s="27">
        <f>NORMSDIST(-G25)</f>
        <v/>
      </c>
      <c r="I25" s="41">
        <f>(LN(F25/D25)+('6_Credit_Bridge_Assumptions'!$B$5-C25^2/2)*'6_Credit_Bridge_Assumptions'!$B$4)/(C25*SQRT('6_Credit_Bridge_Assumptions'!$B$4))</f>
        <v/>
      </c>
      <c r="J25" s="27">
        <f>NORMSDIST(-I25)</f>
        <v/>
      </c>
      <c r="K25" s="27">
        <f>J25-H25</f>
        <v/>
      </c>
      <c r="L25" s="25">
        <f>'3_Scenario_Engine'!Z25</f>
        <v/>
      </c>
      <c r="M25" s="21">
        <f>IF(L25&lt;'6_Credit_Bridge_Assumptions'!$B$15,"BB",IF(L25&lt;'6_Credit_Bridge_Assumptions'!$B$16,"B","CCC/C"))</f>
        <v/>
      </c>
      <c r="N25" s="27">
        <f>IF(L25&lt;'6_Credit_Bridge_Assumptions'!$B$15,'6_Credit_Bridge_Assumptions'!$B$17,IF(L25&lt;'6_Credit_Bridge_Assumptions'!$B$16,'6_Credit_Bridge_Assumptions'!$B$18,'6_Credit_Bridge_Assumptions'!$B$19))</f>
        <v/>
      </c>
      <c r="O25" s="41">
        <f>(J25-N25)*100</f>
        <v/>
      </c>
      <c r="P25" s="22">
        <f>'3_Scenario_Engine'!AG25</f>
        <v/>
      </c>
      <c r="Q25" s="22">
        <f>IF(P25&lt;=1,'6_Credit_Bridge_Assumptions'!$B$11,MIN('6_Credit_Bridge_Assumptions'!$B$12,MAX('6_Credit_Bridge_Assumptions'!$B$11,1-1/P25)))</f>
        <v/>
      </c>
      <c r="R25" s="22">
        <f>'2_Deal_Tape'!U26</f>
        <v/>
      </c>
      <c r="S25" s="22">
        <f>IF(R25&lt;=1,'6_Credit_Bridge_Assumptions'!$B$11,MIN('6_Credit_Bridge_Assumptions'!$B$12,MAX('6_Credit_Bridge_Assumptions'!$B$11,1-1/R25)))</f>
        <v/>
      </c>
      <c r="T25" s="24">
        <f>'3_Scenario_Engine'!U25</f>
        <v/>
      </c>
      <c r="U25" s="24">
        <f>H25*S25*T25</f>
        <v/>
      </c>
      <c r="V25" s="24">
        <f>J25*Q25*T25</f>
        <v/>
      </c>
      <c r="W25" s="24">
        <f>V25-U25</f>
        <v/>
      </c>
    </row>
    <row r="26">
      <c r="A26" s="21">
        <f>'3_Scenario_Engine'!A26</f>
        <v/>
      </c>
      <c r="B26" s="21">
        <f>'3_Scenario_Engine'!B26</f>
        <v/>
      </c>
      <c r="C26" s="22">
        <f>INDEX('10_GICS_Asset_Vol'!$T$3:$T$165,MATCH(B26,'10_GICS_Asset_Vol'!$A$3:$A$165,0))</f>
        <v/>
      </c>
      <c r="D26" s="24">
        <f>'3_Scenario_Engine'!J26</f>
        <v/>
      </c>
      <c r="E26" s="24">
        <f>'2_Deal_Tape'!S27</f>
        <v/>
      </c>
      <c r="F26" s="24">
        <f>'3_Scenario_Engine'!AF26</f>
        <v/>
      </c>
      <c r="G26" s="41">
        <f>(LN(E26/D26)+('6_Credit_Bridge_Assumptions'!$B$5-C26^2/2)*'6_Credit_Bridge_Assumptions'!$B$4)/(C26*SQRT('6_Credit_Bridge_Assumptions'!$B$4))</f>
        <v/>
      </c>
      <c r="H26" s="27">
        <f>NORMSDIST(-G26)</f>
        <v/>
      </c>
      <c r="I26" s="41">
        <f>(LN(F26/D26)+('6_Credit_Bridge_Assumptions'!$B$5-C26^2/2)*'6_Credit_Bridge_Assumptions'!$B$4)/(C26*SQRT('6_Credit_Bridge_Assumptions'!$B$4))</f>
        <v/>
      </c>
      <c r="J26" s="27">
        <f>NORMSDIST(-I26)</f>
        <v/>
      </c>
      <c r="K26" s="27">
        <f>J26-H26</f>
        <v/>
      </c>
      <c r="L26" s="25">
        <f>'3_Scenario_Engine'!Z26</f>
        <v/>
      </c>
      <c r="M26" s="21">
        <f>IF(L26&lt;'6_Credit_Bridge_Assumptions'!$B$15,"BB",IF(L26&lt;'6_Credit_Bridge_Assumptions'!$B$16,"B","CCC/C"))</f>
        <v/>
      </c>
      <c r="N26" s="27">
        <f>IF(L26&lt;'6_Credit_Bridge_Assumptions'!$B$15,'6_Credit_Bridge_Assumptions'!$B$17,IF(L26&lt;'6_Credit_Bridge_Assumptions'!$B$16,'6_Credit_Bridge_Assumptions'!$B$18,'6_Credit_Bridge_Assumptions'!$B$19))</f>
        <v/>
      </c>
      <c r="O26" s="41">
        <f>(J26-N26)*100</f>
        <v/>
      </c>
      <c r="P26" s="22">
        <f>'3_Scenario_Engine'!AG26</f>
        <v/>
      </c>
      <c r="Q26" s="22">
        <f>IF(P26&lt;=1,'6_Credit_Bridge_Assumptions'!$B$11,MIN('6_Credit_Bridge_Assumptions'!$B$12,MAX('6_Credit_Bridge_Assumptions'!$B$11,1-1/P26)))</f>
        <v/>
      </c>
      <c r="R26" s="22">
        <f>'2_Deal_Tape'!U27</f>
        <v/>
      </c>
      <c r="S26" s="22">
        <f>IF(R26&lt;=1,'6_Credit_Bridge_Assumptions'!$B$11,MIN('6_Credit_Bridge_Assumptions'!$B$12,MAX('6_Credit_Bridge_Assumptions'!$B$11,1-1/R26)))</f>
        <v/>
      </c>
      <c r="T26" s="24">
        <f>'3_Scenario_Engine'!U26</f>
        <v/>
      </c>
      <c r="U26" s="24">
        <f>H26*S26*T26</f>
        <v/>
      </c>
      <c r="V26" s="24">
        <f>J26*Q26*T26</f>
        <v/>
      </c>
      <c r="W26" s="24">
        <f>V26-U26</f>
        <v/>
      </c>
    </row>
    <row r="27">
      <c r="A27" s="21">
        <f>'3_Scenario_Engine'!A27</f>
        <v/>
      </c>
      <c r="B27" s="21">
        <f>'3_Scenario_Engine'!B27</f>
        <v/>
      </c>
      <c r="C27" s="22">
        <f>INDEX('10_GICS_Asset_Vol'!$T$3:$T$165,MATCH(B27,'10_GICS_Asset_Vol'!$A$3:$A$165,0))</f>
        <v/>
      </c>
      <c r="D27" s="24">
        <f>'3_Scenario_Engine'!J27</f>
        <v/>
      </c>
      <c r="E27" s="24">
        <f>'2_Deal_Tape'!S28</f>
        <v/>
      </c>
      <c r="F27" s="24">
        <f>'3_Scenario_Engine'!AF27</f>
        <v/>
      </c>
      <c r="G27" s="41">
        <f>(LN(E27/D27)+('6_Credit_Bridge_Assumptions'!$B$5-C27^2/2)*'6_Credit_Bridge_Assumptions'!$B$4)/(C27*SQRT('6_Credit_Bridge_Assumptions'!$B$4))</f>
        <v/>
      </c>
      <c r="H27" s="27">
        <f>NORMSDIST(-G27)</f>
        <v/>
      </c>
      <c r="I27" s="41">
        <f>(LN(F27/D27)+('6_Credit_Bridge_Assumptions'!$B$5-C27^2/2)*'6_Credit_Bridge_Assumptions'!$B$4)/(C27*SQRT('6_Credit_Bridge_Assumptions'!$B$4))</f>
        <v/>
      </c>
      <c r="J27" s="27">
        <f>NORMSDIST(-I27)</f>
        <v/>
      </c>
      <c r="K27" s="27">
        <f>J27-H27</f>
        <v/>
      </c>
      <c r="L27" s="25">
        <f>'3_Scenario_Engine'!Z27</f>
        <v/>
      </c>
      <c r="M27" s="21">
        <f>IF(L27&lt;'6_Credit_Bridge_Assumptions'!$B$15,"BB",IF(L27&lt;'6_Credit_Bridge_Assumptions'!$B$16,"B","CCC/C"))</f>
        <v/>
      </c>
      <c r="N27" s="27">
        <f>IF(L27&lt;'6_Credit_Bridge_Assumptions'!$B$15,'6_Credit_Bridge_Assumptions'!$B$17,IF(L27&lt;'6_Credit_Bridge_Assumptions'!$B$16,'6_Credit_Bridge_Assumptions'!$B$18,'6_Credit_Bridge_Assumptions'!$B$19))</f>
        <v/>
      </c>
      <c r="O27" s="41">
        <f>(J27-N27)*100</f>
        <v/>
      </c>
      <c r="P27" s="22">
        <f>'3_Scenario_Engine'!AG27</f>
        <v/>
      </c>
      <c r="Q27" s="22">
        <f>IF(P27&lt;=1,'6_Credit_Bridge_Assumptions'!$B$11,MIN('6_Credit_Bridge_Assumptions'!$B$12,MAX('6_Credit_Bridge_Assumptions'!$B$11,1-1/P27)))</f>
        <v/>
      </c>
      <c r="R27" s="22">
        <f>'2_Deal_Tape'!U28</f>
        <v/>
      </c>
      <c r="S27" s="22">
        <f>IF(R27&lt;=1,'6_Credit_Bridge_Assumptions'!$B$11,MIN('6_Credit_Bridge_Assumptions'!$B$12,MAX('6_Credit_Bridge_Assumptions'!$B$11,1-1/R27)))</f>
        <v/>
      </c>
      <c r="T27" s="24">
        <f>'3_Scenario_Engine'!U27</f>
        <v/>
      </c>
      <c r="U27" s="24">
        <f>H27*S27*T27</f>
        <v/>
      </c>
      <c r="V27" s="24">
        <f>J27*Q27*T27</f>
        <v/>
      </c>
      <c r="W27" s="24">
        <f>V27-U27</f>
        <v/>
      </c>
    </row>
    <row r="28">
      <c r="A28" s="21">
        <f>'3_Scenario_Engine'!A28</f>
        <v/>
      </c>
      <c r="B28" s="21">
        <f>'3_Scenario_Engine'!B28</f>
        <v/>
      </c>
      <c r="C28" s="22">
        <f>INDEX('10_GICS_Asset_Vol'!$T$3:$T$165,MATCH(B28,'10_GICS_Asset_Vol'!$A$3:$A$165,0))</f>
        <v/>
      </c>
      <c r="D28" s="24">
        <f>'3_Scenario_Engine'!J28</f>
        <v/>
      </c>
      <c r="E28" s="24">
        <f>'2_Deal_Tape'!S29</f>
        <v/>
      </c>
      <c r="F28" s="24">
        <f>'3_Scenario_Engine'!AF28</f>
        <v/>
      </c>
      <c r="G28" s="41">
        <f>(LN(E28/D28)+('6_Credit_Bridge_Assumptions'!$B$5-C28^2/2)*'6_Credit_Bridge_Assumptions'!$B$4)/(C28*SQRT('6_Credit_Bridge_Assumptions'!$B$4))</f>
        <v/>
      </c>
      <c r="H28" s="27">
        <f>NORMSDIST(-G28)</f>
        <v/>
      </c>
      <c r="I28" s="41">
        <f>(LN(F28/D28)+('6_Credit_Bridge_Assumptions'!$B$5-C28^2/2)*'6_Credit_Bridge_Assumptions'!$B$4)/(C28*SQRT('6_Credit_Bridge_Assumptions'!$B$4))</f>
        <v/>
      </c>
      <c r="J28" s="27">
        <f>NORMSDIST(-I28)</f>
        <v/>
      </c>
      <c r="K28" s="27">
        <f>J28-H28</f>
        <v/>
      </c>
      <c r="L28" s="25">
        <f>'3_Scenario_Engine'!Z28</f>
        <v/>
      </c>
      <c r="M28" s="21">
        <f>IF(L28&lt;'6_Credit_Bridge_Assumptions'!$B$15,"BB",IF(L28&lt;'6_Credit_Bridge_Assumptions'!$B$16,"B","CCC/C"))</f>
        <v/>
      </c>
      <c r="N28" s="27">
        <f>IF(L28&lt;'6_Credit_Bridge_Assumptions'!$B$15,'6_Credit_Bridge_Assumptions'!$B$17,IF(L28&lt;'6_Credit_Bridge_Assumptions'!$B$16,'6_Credit_Bridge_Assumptions'!$B$18,'6_Credit_Bridge_Assumptions'!$B$19))</f>
        <v/>
      </c>
      <c r="O28" s="41">
        <f>(J28-N28)*100</f>
        <v/>
      </c>
      <c r="P28" s="22">
        <f>'3_Scenario_Engine'!AG28</f>
        <v/>
      </c>
      <c r="Q28" s="22">
        <f>IF(P28&lt;=1,'6_Credit_Bridge_Assumptions'!$B$11,MIN('6_Credit_Bridge_Assumptions'!$B$12,MAX('6_Credit_Bridge_Assumptions'!$B$11,1-1/P28)))</f>
        <v/>
      </c>
      <c r="R28" s="22">
        <f>'2_Deal_Tape'!U29</f>
        <v/>
      </c>
      <c r="S28" s="22">
        <f>IF(R28&lt;=1,'6_Credit_Bridge_Assumptions'!$B$11,MIN('6_Credit_Bridge_Assumptions'!$B$12,MAX('6_Credit_Bridge_Assumptions'!$B$11,1-1/R28)))</f>
        <v/>
      </c>
      <c r="T28" s="24">
        <f>'3_Scenario_Engine'!U28</f>
        <v/>
      </c>
      <c r="U28" s="24">
        <f>H28*S28*T28</f>
        <v/>
      </c>
      <c r="V28" s="24">
        <f>J28*Q28*T28</f>
        <v/>
      </c>
      <c r="W28" s="24">
        <f>V28-U28</f>
        <v/>
      </c>
    </row>
    <row r="29">
      <c r="A29" s="21">
        <f>'3_Scenario_Engine'!A29</f>
        <v/>
      </c>
      <c r="B29" s="21">
        <f>'3_Scenario_Engine'!B29</f>
        <v/>
      </c>
      <c r="C29" s="22">
        <f>INDEX('10_GICS_Asset_Vol'!$T$3:$T$165,MATCH(B29,'10_GICS_Asset_Vol'!$A$3:$A$165,0))</f>
        <v/>
      </c>
      <c r="D29" s="24">
        <f>'3_Scenario_Engine'!J29</f>
        <v/>
      </c>
      <c r="E29" s="24">
        <f>'2_Deal_Tape'!S30</f>
        <v/>
      </c>
      <c r="F29" s="24">
        <f>'3_Scenario_Engine'!AF29</f>
        <v/>
      </c>
      <c r="G29" s="41">
        <f>(LN(E29/D29)+('6_Credit_Bridge_Assumptions'!$B$5-C29^2/2)*'6_Credit_Bridge_Assumptions'!$B$4)/(C29*SQRT('6_Credit_Bridge_Assumptions'!$B$4))</f>
        <v/>
      </c>
      <c r="H29" s="27">
        <f>NORMSDIST(-G29)</f>
        <v/>
      </c>
      <c r="I29" s="41">
        <f>(LN(F29/D29)+('6_Credit_Bridge_Assumptions'!$B$5-C29^2/2)*'6_Credit_Bridge_Assumptions'!$B$4)/(C29*SQRT('6_Credit_Bridge_Assumptions'!$B$4))</f>
        <v/>
      </c>
      <c r="J29" s="27">
        <f>NORMSDIST(-I29)</f>
        <v/>
      </c>
      <c r="K29" s="27">
        <f>J29-H29</f>
        <v/>
      </c>
      <c r="L29" s="25">
        <f>'3_Scenario_Engine'!Z29</f>
        <v/>
      </c>
      <c r="M29" s="21">
        <f>IF(L29&lt;'6_Credit_Bridge_Assumptions'!$B$15,"BB",IF(L29&lt;'6_Credit_Bridge_Assumptions'!$B$16,"B","CCC/C"))</f>
        <v/>
      </c>
      <c r="N29" s="27">
        <f>IF(L29&lt;'6_Credit_Bridge_Assumptions'!$B$15,'6_Credit_Bridge_Assumptions'!$B$17,IF(L29&lt;'6_Credit_Bridge_Assumptions'!$B$16,'6_Credit_Bridge_Assumptions'!$B$18,'6_Credit_Bridge_Assumptions'!$B$19))</f>
        <v/>
      </c>
      <c r="O29" s="41">
        <f>(J29-N29)*100</f>
        <v/>
      </c>
      <c r="P29" s="22">
        <f>'3_Scenario_Engine'!AG29</f>
        <v/>
      </c>
      <c r="Q29" s="22">
        <f>IF(P29&lt;=1,'6_Credit_Bridge_Assumptions'!$B$11,MIN('6_Credit_Bridge_Assumptions'!$B$12,MAX('6_Credit_Bridge_Assumptions'!$B$11,1-1/P29)))</f>
        <v/>
      </c>
      <c r="R29" s="22">
        <f>'2_Deal_Tape'!U30</f>
        <v/>
      </c>
      <c r="S29" s="22">
        <f>IF(R29&lt;=1,'6_Credit_Bridge_Assumptions'!$B$11,MIN('6_Credit_Bridge_Assumptions'!$B$12,MAX('6_Credit_Bridge_Assumptions'!$B$11,1-1/R29)))</f>
        <v/>
      </c>
      <c r="T29" s="24">
        <f>'3_Scenario_Engine'!U29</f>
        <v/>
      </c>
      <c r="U29" s="24">
        <f>H29*S29*T29</f>
        <v/>
      </c>
      <c r="V29" s="24">
        <f>J29*Q29*T29</f>
        <v/>
      </c>
      <c r="W29" s="24">
        <f>V29-U29</f>
        <v/>
      </c>
    </row>
    <row r="30">
      <c r="A30" s="21">
        <f>'3_Scenario_Engine'!A30</f>
        <v/>
      </c>
      <c r="B30" s="21">
        <f>'3_Scenario_Engine'!B30</f>
        <v/>
      </c>
      <c r="C30" s="22">
        <f>INDEX('10_GICS_Asset_Vol'!$T$3:$T$165,MATCH(B30,'10_GICS_Asset_Vol'!$A$3:$A$165,0))</f>
        <v/>
      </c>
      <c r="D30" s="24">
        <f>'3_Scenario_Engine'!J30</f>
        <v/>
      </c>
      <c r="E30" s="24">
        <f>'2_Deal_Tape'!S31</f>
        <v/>
      </c>
      <c r="F30" s="24">
        <f>'3_Scenario_Engine'!AF30</f>
        <v/>
      </c>
      <c r="G30" s="41">
        <f>(LN(E30/D30)+('6_Credit_Bridge_Assumptions'!$B$5-C30^2/2)*'6_Credit_Bridge_Assumptions'!$B$4)/(C30*SQRT('6_Credit_Bridge_Assumptions'!$B$4))</f>
        <v/>
      </c>
      <c r="H30" s="27">
        <f>NORMSDIST(-G30)</f>
        <v/>
      </c>
      <c r="I30" s="41">
        <f>(LN(F30/D30)+('6_Credit_Bridge_Assumptions'!$B$5-C30^2/2)*'6_Credit_Bridge_Assumptions'!$B$4)/(C30*SQRT('6_Credit_Bridge_Assumptions'!$B$4))</f>
        <v/>
      </c>
      <c r="J30" s="27">
        <f>NORMSDIST(-I30)</f>
        <v/>
      </c>
      <c r="K30" s="27">
        <f>J30-H30</f>
        <v/>
      </c>
      <c r="L30" s="25">
        <f>'3_Scenario_Engine'!Z30</f>
        <v/>
      </c>
      <c r="M30" s="21">
        <f>IF(L30&lt;'6_Credit_Bridge_Assumptions'!$B$15,"BB",IF(L30&lt;'6_Credit_Bridge_Assumptions'!$B$16,"B","CCC/C"))</f>
        <v/>
      </c>
      <c r="N30" s="27">
        <f>IF(L30&lt;'6_Credit_Bridge_Assumptions'!$B$15,'6_Credit_Bridge_Assumptions'!$B$17,IF(L30&lt;'6_Credit_Bridge_Assumptions'!$B$16,'6_Credit_Bridge_Assumptions'!$B$18,'6_Credit_Bridge_Assumptions'!$B$19))</f>
        <v/>
      </c>
      <c r="O30" s="41">
        <f>(J30-N30)*100</f>
        <v/>
      </c>
      <c r="P30" s="22">
        <f>'3_Scenario_Engine'!AG30</f>
        <v/>
      </c>
      <c r="Q30" s="22">
        <f>IF(P30&lt;=1,'6_Credit_Bridge_Assumptions'!$B$11,MIN('6_Credit_Bridge_Assumptions'!$B$12,MAX('6_Credit_Bridge_Assumptions'!$B$11,1-1/P30)))</f>
        <v/>
      </c>
      <c r="R30" s="22">
        <f>'2_Deal_Tape'!U31</f>
        <v/>
      </c>
      <c r="S30" s="22">
        <f>IF(R30&lt;=1,'6_Credit_Bridge_Assumptions'!$B$11,MIN('6_Credit_Bridge_Assumptions'!$B$12,MAX('6_Credit_Bridge_Assumptions'!$B$11,1-1/R30)))</f>
        <v/>
      </c>
      <c r="T30" s="24">
        <f>'3_Scenario_Engine'!U30</f>
        <v/>
      </c>
      <c r="U30" s="24">
        <f>H30*S30*T30</f>
        <v/>
      </c>
      <c r="V30" s="24">
        <f>J30*Q30*T30</f>
        <v/>
      </c>
      <c r="W30" s="24">
        <f>V30-U30</f>
        <v/>
      </c>
    </row>
    <row r="31">
      <c r="A31" s="21">
        <f>'3_Scenario_Engine'!A31</f>
        <v/>
      </c>
      <c r="B31" s="21">
        <f>'3_Scenario_Engine'!B31</f>
        <v/>
      </c>
      <c r="C31" s="22">
        <f>INDEX('10_GICS_Asset_Vol'!$T$3:$T$165,MATCH(B31,'10_GICS_Asset_Vol'!$A$3:$A$165,0))</f>
        <v/>
      </c>
      <c r="D31" s="24">
        <f>'3_Scenario_Engine'!J31</f>
        <v/>
      </c>
      <c r="E31" s="24">
        <f>'2_Deal_Tape'!S32</f>
        <v/>
      </c>
      <c r="F31" s="24">
        <f>'3_Scenario_Engine'!AF31</f>
        <v/>
      </c>
      <c r="G31" s="41">
        <f>(LN(E31/D31)+('6_Credit_Bridge_Assumptions'!$B$5-C31^2/2)*'6_Credit_Bridge_Assumptions'!$B$4)/(C31*SQRT('6_Credit_Bridge_Assumptions'!$B$4))</f>
        <v/>
      </c>
      <c r="H31" s="27">
        <f>NORMSDIST(-G31)</f>
        <v/>
      </c>
      <c r="I31" s="41">
        <f>(LN(F31/D31)+('6_Credit_Bridge_Assumptions'!$B$5-C31^2/2)*'6_Credit_Bridge_Assumptions'!$B$4)/(C31*SQRT('6_Credit_Bridge_Assumptions'!$B$4))</f>
        <v/>
      </c>
      <c r="J31" s="27">
        <f>NORMSDIST(-I31)</f>
        <v/>
      </c>
      <c r="K31" s="27">
        <f>J31-H31</f>
        <v/>
      </c>
      <c r="L31" s="25">
        <f>'3_Scenario_Engine'!Z31</f>
        <v/>
      </c>
      <c r="M31" s="21">
        <f>IF(L31&lt;'6_Credit_Bridge_Assumptions'!$B$15,"BB",IF(L31&lt;'6_Credit_Bridge_Assumptions'!$B$16,"B","CCC/C"))</f>
        <v/>
      </c>
      <c r="N31" s="27">
        <f>IF(L31&lt;'6_Credit_Bridge_Assumptions'!$B$15,'6_Credit_Bridge_Assumptions'!$B$17,IF(L31&lt;'6_Credit_Bridge_Assumptions'!$B$16,'6_Credit_Bridge_Assumptions'!$B$18,'6_Credit_Bridge_Assumptions'!$B$19))</f>
        <v/>
      </c>
      <c r="O31" s="41">
        <f>(J31-N31)*100</f>
        <v/>
      </c>
      <c r="P31" s="22">
        <f>'3_Scenario_Engine'!AG31</f>
        <v/>
      </c>
      <c r="Q31" s="22">
        <f>IF(P31&lt;=1,'6_Credit_Bridge_Assumptions'!$B$11,MIN('6_Credit_Bridge_Assumptions'!$B$12,MAX('6_Credit_Bridge_Assumptions'!$B$11,1-1/P31)))</f>
        <v/>
      </c>
      <c r="R31" s="22">
        <f>'2_Deal_Tape'!U32</f>
        <v/>
      </c>
      <c r="S31" s="22">
        <f>IF(R31&lt;=1,'6_Credit_Bridge_Assumptions'!$B$11,MIN('6_Credit_Bridge_Assumptions'!$B$12,MAX('6_Credit_Bridge_Assumptions'!$B$11,1-1/R31)))</f>
        <v/>
      </c>
      <c r="T31" s="24">
        <f>'3_Scenario_Engine'!U31</f>
        <v/>
      </c>
      <c r="U31" s="24">
        <f>H31*S31*T31</f>
        <v/>
      </c>
      <c r="V31" s="24">
        <f>J31*Q31*T31</f>
        <v/>
      </c>
      <c r="W31" s="24">
        <f>V31-U31</f>
        <v/>
      </c>
    </row>
    <row r="32">
      <c r="A32" s="21">
        <f>'3_Scenario_Engine'!A32</f>
        <v/>
      </c>
      <c r="B32" s="21">
        <f>'3_Scenario_Engine'!B32</f>
        <v/>
      </c>
      <c r="C32" s="22">
        <f>INDEX('10_GICS_Asset_Vol'!$T$3:$T$165,MATCH(B32,'10_GICS_Asset_Vol'!$A$3:$A$165,0))</f>
        <v/>
      </c>
      <c r="D32" s="24">
        <f>'3_Scenario_Engine'!J32</f>
        <v/>
      </c>
      <c r="E32" s="24">
        <f>'2_Deal_Tape'!S33</f>
        <v/>
      </c>
      <c r="F32" s="24">
        <f>'3_Scenario_Engine'!AF32</f>
        <v/>
      </c>
      <c r="G32" s="41">
        <f>(LN(E32/D32)+('6_Credit_Bridge_Assumptions'!$B$5-C32^2/2)*'6_Credit_Bridge_Assumptions'!$B$4)/(C32*SQRT('6_Credit_Bridge_Assumptions'!$B$4))</f>
        <v/>
      </c>
      <c r="H32" s="27">
        <f>NORMSDIST(-G32)</f>
        <v/>
      </c>
      <c r="I32" s="41">
        <f>(LN(F32/D32)+('6_Credit_Bridge_Assumptions'!$B$5-C32^2/2)*'6_Credit_Bridge_Assumptions'!$B$4)/(C32*SQRT('6_Credit_Bridge_Assumptions'!$B$4))</f>
        <v/>
      </c>
      <c r="J32" s="27">
        <f>NORMSDIST(-I32)</f>
        <v/>
      </c>
      <c r="K32" s="27">
        <f>J32-H32</f>
        <v/>
      </c>
      <c r="L32" s="25">
        <f>'3_Scenario_Engine'!Z32</f>
        <v/>
      </c>
      <c r="M32" s="21">
        <f>IF(L32&lt;'6_Credit_Bridge_Assumptions'!$B$15,"BB",IF(L32&lt;'6_Credit_Bridge_Assumptions'!$B$16,"B","CCC/C"))</f>
        <v/>
      </c>
      <c r="N32" s="27">
        <f>IF(L32&lt;'6_Credit_Bridge_Assumptions'!$B$15,'6_Credit_Bridge_Assumptions'!$B$17,IF(L32&lt;'6_Credit_Bridge_Assumptions'!$B$16,'6_Credit_Bridge_Assumptions'!$B$18,'6_Credit_Bridge_Assumptions'!$B$19))</f>
        <v/>
      </c>
      <c r="O32" s="41">
        <f>(J32-N32)*100</f>
        <v/>
      </c>
      <c r="P32" s="22">
        <f>'3_Scenario_Engine'!AG32</f>
        <v/>
      </c>
      <c r="Q32" s="22">
        <f>IF(P32&lt;=1,'6_Credit_Bridge_Assumptions'!$B$11,MIN('6_Credit_Bridge_Assumptions'!$B$12,MAX('6_Credit_Bridge_Assumptions'!$B$11,1-1/P32)))</f>
        <v/>
      </c>
      <c r="R32" s="22">
        <f>'2_Deal_Tape'!U33</f>
        <v/>
      </c>
      <c r="S32" s="22">
        <f>IF(R32&lt;=1,'6_Credit_Bridge_Assumptions'!$B$11,MIN('6_Credit_Bridge_Assumptions'!$B$12,MAX('6_Credit_Bridge_Assumptions'!$B$11,1-1/R32)))</f>
        <v/>
      </c>
      <c r="T32" s="24">
        <f>'3_Scenario_Engine'!U32</f>
        <v/>
      </c>
      <c r="U32" s="24">
        <f>H32*S32*T32</f>
        <v/>
      </c>
      <c r="V32" s="24">
        <f>J32*Q32*T32</f>
        <v/>
      </c>
      <c r="W32" s="24">
        <f>V32-U32</f>
        <v/>
      </c>
    </row>
  </sheetData>
  <mergeCells count="1">
    <mergeCell ref="A1:W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1" customWidth="1" min="19" max="19"/>
    <col width="11" customWidth="1" min="20" max="20"/>
    <col width="11" customWidth="1" min="21" max="21"/>
    <col width="13" customWidth="1" min="22" max="22"/>
    <col width="13" customWidth="1" min="23" max="23"/>
    <col width="13" customWidth="1" min="24" max="24"/>
    <col width="13" customWidth="1" min="25" max="25"/>
    <col width="15" customWidth="1" min="26" max="26"/>
    <col width="20" customWidth="1" min="27" max="27"/>
  </cols>
  <sheetData>
    <row r="1" ht="66" customHeight="1">
      <c r="A1" t="inlineStr">
        <is>
          <t>STEP 12 — THREE top-down spread bases, all feeding the same spread-duration MTM formula. (1) Credit-derived: EL-implied spread x Risk Premium Multiplier. (2) Exogenous: original GICS-level input, unchanged. (3) NEW — Spread-cascade-adjusted: the SAME exogenous input, rescaled by a REAL (dummy) RelSpread ratio from 8_UK_Spread_Input — this deal's GICS position's own default-risk spread relative to its sector, cascaded through Industry and Industry Group (columns S-Z), same telescoping mechanic as the beta cascade used in UK_Shock_Propagation_RealData_Only.xlsx. Every lookup is single-cell (deal's Sector/Industry/IG code resolved once each in columns S-U, then reused) — no nested lookups.</t>
        </is>
      </c>
    </row>
    <row r="2" ht="34" customHeight="1">
      <c r="A2" s="5" t="inlineStr">
        <is>
          <t>Deal Name</t>
        </is>
      </c>
      <c r="B2" s="5" t="inlineStr">
        <is>
          <t>Sub-Ind
Code</t>
        </is>
      </c>
      <c r="C2" s="5" t="inlineStr">
        <is>
          <t>Delta PD
(from sheet 11)</t>
        </is>
      </c>
      <c r="D2" s="5" t="inlineStr">
        <is>
          <t>Stressed LGD
(from sheet 11)</t>
        </is>
      </c>
      <c r="E2" s="5" t="inlineStr">
        <is>
          <t>EL-Implied
Spread (bps)</t>
        </is>
      </c>
      <c r="F2" s="5" t="inlineStr">
        <is>
          <t>Stressed
Leverage (x)</t>
        </is>
      </c>
      <c r="G2" s="5" t="inlineStr">
        <is>
          <t>Risk Premium
Multiplier</t>
        </is>
      </c>
      <c r="H2" s="5" t="inlineStr">
        <is>
          <t>Credit-Derived
Spread (bps)</t>
        </is>
      </c>
      <c r="I2" s="5" t="inlineStr">
        <is>
          <t>Spread
Duration</t>
        </is>
      </c>
      <c r="J2" s="5" t="inlineStr">
        <is>
          <t>Invested
Amount</t>
        </is>
      </c>
      <c r="K2" s="5" t="inlineStr">
        <is>
          <t>Price Impact %
(credit-derived)</t>
        </is>
      </c>
      <c r="L2" s="5" t="inlineStr">
        <is>
          <t>MTM $
(credit-derived)</t>
        </is>
      </c>
      <c r="M2" s="5" t="inlineStr">
        <is>
          <t>Exogenous SWES
Spread (bps)</t>
        </is>
      </c>
      <c r="N2" s="5" t="inlineStr">
        <is>
          <t>Exogenous MTM $
(3_Scenario_Engine)</t>
        </is>
      </c>
      <c r="O2" s="5" t="inlineStr">
        <is>
          <t>Gap: credit-derived
minus exogenous ($m)</t>
        </is>
      </c>
      <c r="P2" s="5" t="inlineStr">
        <is>
          <t>Bottom-Up Delta EL
($m, from sheet 11)</t>
        </is>
      </c>
      <c r="Q2" s="5" t="inlineStr">
        <is>
          <t>Bottom-Up Delta EL
(% of invested)</t>
        </is>
      </c>
      <c r="R2" s="5" t="inlineStr">
        <is>
          <t>SAME-BASIS GAP: |Top-Down %|
minus Bottom-Up % (pp)</t>
        </is>
      </c>
      <c r="S2" s="5" t="inlineStr">
        <is>
          <t>Deal's Sector
Code</t>
        </is>
      </c>
      <c r="T2" s="5" t="inlineStr">
        <is>
          <t>Deal's Industry
Code</t>
        </is>
      </c>
      <c r="U2" s="5" t="inlineStr">
        <is>
          <t>Deal's IG
Code</t>
        </is>
      </c>
      <c r="V2" s="5" t="inlineStr">
        <is>
          <t>Sector
Spread bps</t>
        </is>
      </c>
      <c r="W2" s="5" t="inlineStr">
        <is>
          <t>IG
Spread bps</t>
        </is>
      </c>
      <c r="X2" s="5" t="inlineStr">
        <is>
          <t>Industry
Spread bps</t>
        </is>
      </c>
      <c r="Y2" s="5" t="inlineStr">
        <is>
          <t>Sub-Ind
Spread bps</t>
        </is>
      </c>
      <c r="Z2" s="5" t="inlineStr">
        <is>
          <t>RelSpread
L2 x L3 x L4</t>
        </is>
      </c>
      <c r="AA2" s="5" t="inlineStr">
        <is>
          <t>Spread-Cascade-Adjusted
MTM $ (dummy)</t>
        </is>
      </c>
    </row>
    <row r="3">
      <c r="A3" s="21">
        <f>'3_Scenario_Engine'!A3</f>
        <v/>
      </c>
      <c r="B3" s="21">
        <f>'3_Scenario_Engine'!B3</f>
        <v/>
      </c>
      <c r="C3" s="21">
        <f>'11_Credit_Risk_Engine'!K3</f>
        <v/>
      </c>
      <c r="D3" s="21">
        <f>'11_Credit_Risk_Engine'!Q3</f>
        <v/>
      </c>
      <c r="E3" s="26">
        <f>C3*D3*10000</f>
        <v/>
      </c>
      <c r="F3" s="25">
        <f>'3_Scenario_Engine'!Z3</f>
        <v/>
      </c>
      <c r="G3" s="25">
        <f>IF(F3&lt;'6_Credit_Bridge_Assumptions'!$B$15,'6_Credit_Bridge_Assumptions'!$B$22,IF(F3&lt;'6_Credit_Bridge_Assumptions'!$B$16,'6_Credit_Bridge_Assumptions'!$B$23,'6_Credit_Bridge_Assumptions'!$B$24))</f>
        <v/>
      </c>
      <c r="H3" s="26">
        <f>E3*G3</f>
        <v/>
      </c>
      <c r="I3" s="41">
        <f>'3_Scenario_Engine'!T3</f>
        <v/>
      </c>
      <c r="J3" s="24">
        <f>'3_Scenario_Engine'!U3</f>
        <v/>
      </c>
      <c r="K3" s="27">
        <f>-I3*(H3/10000)</f>
        <v/>
      </c>
      <c r="L3" s="24">
        <f>J3*K3</f>
        <v/>
      </c>
      <c r="M3" s="26">
        <f>'3_Scenario_Engine'!F3</f>
        <v/>
      </c>
      <c r="N3" s="24">
        <f>'3_Scenario_Engine'!AQ3</f>
        <v/>
      </c>
      <c r="O3" s="24">
        <f>L3-N3</f>
        <v/>
      </c>
      <c r="P3" s="24">
        <f>'11_Credit_Risk_Engine'!W3</f>
        <v/>
      </c>
      <c r="Q3" s="27">
        <f>P3/J3</f>
        <v/>
      </c>
      <c r="R3" s="41">
        <f>(ABS(K3)-Q3)*100</f>
        <v/>
      </c>
      <c r="S3" s="23">
        <f>INDEX('10_GICS_Asset_Vol'!$C$3:$C$165,MATCH(B3,'10_GICS_Asset_Vol'!$A$3:$A$165,0))</f>
        <v/>
      </c>
      <c r="T3" s="23">
        <f>INDEX('10_GICS_Asset_Vol'!$D$3:$D$165,MATCH(B3,'10_GICS_Asset_Vol'!$A$3:$A$165,0))</f>
        <v/>
      </c>
      <c r="U3" s="23">
        <f>INDEX('10_GICS_Asset_Vol'!$E$3:$E$165,MATCH(B3,'10_GICS_Asset_Vol'!$A$3:$A$165,0))</f>
        <v/>
      </c>
      <c r="V3" s="23">
        <f>INDEX('8_UK_Spread_Input'!$D$5:$D$15,MATCH(S3,'8_UK_Spread_Input'!$A$5:$A$15,0))</f>
        <v/>
      </c>
      <c r="W3" s="23">
        <f>INDEX('8_UK_Spread_Input'!$D$20:$D$44,MATCH(U3,'8_UK_Spread_Input'!$A$20:$A$44,0))</f>
        <v/>
      </c>
      <c r="X3" s="23">
        <f>INDEX('8_UK_Spread_Input'!$D$49:$D$122,MATCH(T3,'8_UK_Spread_Input'!$A$49:$A$122,0))</f>
        <v/>
      </c>
      <c r="Y3" s="23">
        <f>INDEX('8_UK_Spread_Input'!$D$127:$D$289,MATCH(B3,'8_UK_Spread_Input'!$A$127:$A$289,0))</f>
        <v/>
      </c>
      <c r="Z3" s="41">
        <f>(W3/V3)*(X3/W3)*(Y3/X3)</f>
        <v/>
      </c>
      <c r="AA3" s="24">
        <f>J3*(-I3*((M3*Z3)/10000))</f>
        <v/>
      </c>
    </row>
    <row r="4">
      <c r="A4" s="21">
        <f>'3_Scenario_Engine'!A4</f>
        <v/>
      </c>
      <c r="B4" s="21">
        <f>'3_Scenario_Engine'!B4</f>
        <v/>
      </c>
      <c r="C4" s="21">
        <f>'11_Credit_Risk_Engine'!K4</f>
        <v/>
      </c>
      <c r="D4" s="21">
        <f>'11_Credit_Risk_Engine'!Q4</f>
        <v/>
      </c>
      <c r="E4" s="26">
        <f>C4*D4*10000</f>
        <v/>
      </c>
      <c r="F4" s="25">
        <f>'3_Scenario_Engine'!Z4</f>
        <v/>
      </c>
      <c r="G4" s="25">
        <f>IF(F4&lt;'6_Credit_Bridge_Assumptions'!$B$15,'6_Credit_Bridge_Assumptions'!$B$22,IF(F4&lt;'6_Credit_Bridge_Assumptions'!$B$16,'6_Credit_Bridge_Assumptions'!$B$23,'6_Credit_Bridge_Assumptions'!$B$24))</f>
        <v/>
      </c>
      <c r="H4" s="26">
        <f>E4*G4</f>
        <v/>
      </c>
      <c r="I4" s="41">
        <f>'3_Scenario_Engine'!T4</f>
        <v/>
      </c>
      <c r="J4" s="24">
        <f>'3_Scenario_Engine'!U4</f>
        <v/>
      </c>
      <c r="K4" s="27">
        <f>-I4*(H4/10000)</f>
        <v/>
      </c>
      <c r="L4" s="24">
        <f>J4*K4</f>
        <v/>
      </c>
      <c r="M4" s="26">
        <f>'3_Scenario_Engine'!F4</f>
        <v/>
      </c>
      <c r="N4" s="24">
        <f>'3_Scenario_Engine'!AQ4</f>
        <v/>
      </c>
      <c r="O4" s="24">
        <f>L4-N4</f>
        <v/>
      </c>
      <c r="P4" s="24">
        <f>'11_Credit_Risk_Engine'!W4</f>
        <v/>
      </c>
      <c r="Q4" s="27">
        <f>P4/J4</f>
        <v/>
      </c>
      <c r="R4" s="41">
        <f>(ABS(K4)-Q4)*100</f>
        <v/>
      </c>
      <c r="S4" s="23">
        <f>INDEX('10_GICS_Asset_Vol'!$C$3:$C$165,MATCH(B4,'10_GICS_Asset_Vol'!$A$3:$A$165,0))</f>
        <v/>
      </c>
      <c r="T4" s="23">
        <f>INDEX('10_GICS_Asset_Vol'!$D$3:$D$165,MATCH(B4,'10_GICS_Asset_Vol'!$A$3:$A$165,0))</f>
        <v/>
      </c>
      <c r="U4" s="23">
        <f>INDEX('10_GICS_Asset_Vol'!$E$3:$E$165,MATCH(B4,'10_GICS_Asset_Vol'!$A$3:$A$165,0))</f>
        <v/>
      </c>
      <c r="V4" s="23">
        <f>INDEX('8_UK_Spread_Input'!$D$5:$D$15,MATCH(S4,'8_UK_Spread_Input'!$A$5:$A$15,0))</f>
        <v/>
      </c>
      <c r="W4" s="23">
        <f>INDEX('8_UK_Spread_Input'!$D$20:$D$44,MATCH(U4,'8_UK_Spread_Input'!$A$20:$A$44,0))</f>
        <v/>
      </c>
      <c r="X4" s="23">
        <f>INDEX('8_UK_Spread_Input'!$D$49:$D$122,MATCH(T4,'8_UK_Spread_Input'!$A$49:$A$122,0))</f>
        <v/>
      </c>
      <c r="Y4" s="23">
        <f>INDEX('8_UK_Spread_Input'!$D$127:$D$289,MATCH(B4,'8_UK_Spread_Input'!$A$127:$A$289,0))</f>
        <v/>
      </c>
      <c r="Z4" s="41">
        <f>(W4/V4)*(X4/W4)*(Y4/X4)</f>
        <v/>
      </c>
      <c r="AA4" s="24">
        <f>J4*(-I4*((M4*Z4)/10000))</f>
        <v/>
      </c>
    </row>
    <row r="5">
      <c r="A5" s="21">
        <f>'3_Scenario_Engine'!A5</f>
        <v/>
      </c>
      <c r="B5" s="21">
        <f>'3_Scenario_Engine'!B5</f>
        <v/>
      </c>
      <c r="C5" s="21">
        <f>'11_Credit_Risk_Engine'!K5</f>
        <v/>
      </c>
      <c r="D5" s="21">
        <f>'11_Credit_Risk_Engine'!Q5</f>
        <v/>
      </c>
      <c r="E5" s="26">
        <f>C5*D5*10000</f>
        <v/>
      </c>
      <c r="F5" s="25">
        <f>'3_Scenario_Engine'!Z5</f>
        <v/>
      </c>
      <c r="G5" s="25">
        <f>IF(F5&lt;'6_Credit_Bridge_Assumptions'!$B$15,'6_Credit_Bridge_Assumptions'!$B$22,IF(F5&lt;'6_Credit_Bridge_Assumptions'!$B$16,'6_Credit_Bridge_Assumptions'!$B$23,'6_Credit_Bridge_Assumptions'!$B$24))</f>
        <v/>
      </c>
      <c r="H5" s="26">
        <f>E5*G5</f>
        <v/>
      </c>
      <c r="I5" s="41">
        <f>'3_Scenario_Engine'!T5</f>
        <v/>
      </c>
      <c r="J5" s="24">
        <f>'3_Scenario_Engine'!U5</f>
        <v/>
      </c>
      <c r="K5" s="27">
        <f>-I5*(H5/10000)</f>
        <v/>
      </c>
      <c r="L5" s="24">
        <f>J5*K5</f>
        <v/>
      </c>
      <c r="M5" s="26">
        <f>'3_Scenario_Engine'!F5</f>
        <v/>
      </c>
      <c r="N5" s="24">
        <f>'3_Scenario_Engine'!AQ5</f>
        <v/>
      </c>
      <c r="O5" s="24">
        <f>L5-N5</f>
        <v/>
      </c>
      <c r="P5" s="24">
        <f>'11_Credit_Risk_Engine'!W5</f>
        <v/>
      </c>
      <c r="Q5" s="27">
        <f>P5/J5</f>
        <v/>
      </c>
      <c r="R5" s="41">
        <f>(ABS(K5)-Q5)*100</f>
        <v/>
      </c>
      <c r="S5" s="23">
        <f>INDEX('10_GICS_Asset_Vol'!$C$3:$C$165,MATCH(B5,'10_GICS_Asset_Vol'!$A$3:$A$165,0))</f>
        <v/>
      </c>
      <c r="T5" s="23">
        <f>INDEX('10_GICS_Asset_Vol'!$D$3:$D$165,MATCH(B5,'10_GICS_Asset_Vol'!$A$3:$A$165,0))</f>
        <v/>
      </c>
      <c r="U5" s="23">
        <f>INDEX('10_GICS_Asset_Vol'!$E$3:$E$165,MATCH(B5,'10_GICS_Asset_Vol'!$A$3:$A$165,0))</f>
        <v/>
      </c>
      <c r="V5" s="23">
        <f>INDEX('8_UK_Spread_Input'!$D$5:$D$15,MATCH(S5,'8_UK_Spread_Input'!$A$5:$A$15,0))</f>
        <v/>
      </c>
      <c r="W5" s="23">
        <f>INDEX('8_UK_Spread_Input'!$D$20:$D$44,MATCH(U5,'8_UK_Spread_Input'!$A$20:$A$44,0))</f>
        <v/>
      </c>
      <c r="X5" s="23">
        <f>INDEX('8_UK_Spread_Input'!$D$49:$D$122,MATCH(T5,'8_UK_Spread_Input'!$A$49:$A$122,0))</f>
        <v/>
      </c>
      <c r="Y5" s="23">
        <f>INDEX('8_UK_Spread_Input'!$D$127:$D$289,MATCH(B5,'8_UK_Spread_Input'!$A$127:$A$289,0))</f>
        <v/>
      </c>
      <c r="Z5" s="41">
        <f>(W5/V5)*(X5/W5)*(Y5/X5)</f>
        <v/>
      </c>
      <c r="AA5" s="24">
        <f>J5*(-I5*((M5*Z5)/10000))</f>
        <v/>
      </c>
    </row>
    <row r="6">
      <c r="A6" s="21">
        <f>'3_Scenario_Engine'!A6</f>
        <v/>
      </c>
      <c r="B6" s="21">
        <f>'3_Scenario_Engine'!B6</f>
        <v/>
      </c>
      <c r="C6" s="21">
        <f>'11_Credit_Risk_Engine'!K6</f>
        <v/>
      </c>
      <c r="D6" s="21">
        <f>'11_Credit_Risk_Engine'!Q6</f>
        <v/>
      </c>
      <c r="E6" s="26">
        <f>C6*D6*10000</f>
        <v/>
      </c>
      <c r="F6" s="25">
        <f>'3_Scenario_Engine'!Z6</f>
        <v/>
      </c>
      <c r="G6" s="25">
        <f>IF(F6&lt;'6_Credit_Bridge_Assumptions'!$B$15,'6_Credit_Bridge_Assumptions'!$B$22,IF(F6&lt;'6_Credit_Bridge_Assumptions'!$B$16,'6_Credit_Bridge_Assumptions'!$B$23,'6_Credit_Bridge_Assumptions'!$B$24))</f>
        <v/>
      </c>
      <c r="H6" s="26">
        <f>E6*G6</f>
        <v/>
      </c>
      <c r="I6" s="41">
        <f>'3_Scenario_Engine'!T6</f>
        <v/>
      </c>
      <c r="J6" s="24">
        <f>'3_Scenario_Engine'!U6</f>
        <v/>
      </c>
      <c r="K6" s="27">
        <f>-I6*(H6/10000)</f>
        <v/>
      </c>
      <c r="L6" s="24">
        <f>J6*K6</f>
        <v/>
      </c>
      <c r="M6" s="26">
        <f>'3_Scenario_Engine'!F6</f>
        <v/>
      </c>
      <c r="N6" s="24">
        <f>'3_Scenario_Engine'!AQ6</f>
        <v/>
      </c>
      <c r="O6" s="24">
        <f>L6-N6</f>
        <v/>
      </c>
      <c r="P6" s="24">
        <f>'11_Credit_Risk_Engine'!W6</f>
        <v/>
      </c>
      <c r="Q6" s="27">
        <f>P6/J6</f>
        <v/>
      </c>
      <c r="R6" s="41">
        <f>(ABS(K6)-Q6)*100</f>
        <v/>
      </c>
      <c r="S6" s="23">
        <f>INDEX('10_GICS_Asset_Vol'!$C$3:$C$165,MATCH(B6,'10_GICS_Asset_Vol'!$A$3:$A$165,0))</f>
        <v/>
      </c>
      <c r="T6" s="23">
        <f>INDEX('10_GICS_Asset_Vol'!$D$3:$D$165,MATCH(B6,'10_GICS_Asset_Vol'!$A$3:$A$165,0))</f>
        <v/>
      </c>
      <c r="U6" s="23">
        <f>INDEX('10_GICS_Asset_Vol'!$E$3:$E$165,MATCH(B6,'10_GICS_Asset_Vol'!$A$3:$A$165,0))</f>
        <v/>
      </c>
      <c r="V6" s="23">
        <f>INDEX('8_UK_Spread_Input'!$D$5:$D$15,MATCH(S6,'8_UK_Spread_Input'!$A$5:$A$15,0))</f>
        <v/>
      </c>
      <c r="W6" s="23">
        <f>INDEX('8_UK_Spread_Input'!$D$20:$D$44,MATCH(U6,'8_UK_Spread_Input'!$A$20:$A$44,0))</f>
        <v/>
      </c>
      <c r="X6" s="23">
        <f>INDEX('8_UK_Spread_Input'!$D$49:$D$122,MATCH(T6,'8_UK_Spread_Input'!$A$49:$A$122,0))</f>
        <v/>
      </c>
      <c r="Y6" s="23">
        <f>INDEX('8_UK_Spread_Input'!$D$127:$D$289,MATCH(B6,'8_UK_Spread_Input'!$A$127:$A$289,0))</f>
        <v/>
      </c>
      <c r="Z6" s="41">
        <f>(W6/V6)*(X6/W6)*(Y6/X6)</f>
        <v/>
      </c>
      <c r="AA6" s="24">
        <f>J6*(-I6*((M6*Z6)/10000))</f>
        <v/>
      </c>
    </row>
    <row r="7">
      <c r="A7" s="21">
        <f>'3_Scenario_Engine'!A7</f>
        <v/>
      </c>
      <c r="B7" s="21">
        <f>'3_Scenario_Engine'!B7</f>
        <v/>
      </c>
      <c r="C7" s="21">
        <f>'11_Credit_Risk_Engine'!K7</f>
        <v/>
      </c>
      <c r="D7" s="21">
        <f>'11_Credit_Risk_Engine'!Q7</f>
        <v/>
      </c>
      <c r="E7" s="26">
        <f>C7*D7*10000</f>
        <v/>
      </c>
      <c r="F7" s="25">
        <f>'3_Scenario_Engine'!Z7</f>
        <v/>
      </c>
      <c r="G7" s="25">
        <f>IF(F7&lt;'6_Credit_Bridge_Assumptions'!$B$15,'6_Credit_Bridge_Assumptions'!$B$22,IF(F7&lt;'6_Credit_Bridge_Assumptions'!$B$16,'6_Credit_Bridge_Assumptions'!$B$23,'6_Credit_Bridge_Assumptions'!$B$24))</f>
        <v/>
      </c>
      <c r="H7" s="26">
        <f>E7*G7</f>
        <v/>
      </c>
      <c r="I7" s="41">
        <f>'3_Scenario_Engine'!T7</f>
        <v/>
      </c>
      <c r="J7" s="24">
        <f>'3_Scenario_Engine'!U7</f>
        <v/>
      </c>
      <c r="K7" s="27">
        <f>-I7*(H7/10000)</f>
        <v/>
      </c>
      <c r="L7" s="24">
        <f>J7*K7</f>
        <v/>
      </c>
      <c r="M7" s="26">
        <f>'3_Scenario_Engine'!F7</f>
        <v/>
      </c>
      <c r="N7" s="24">
        <f>'3_Scenario_Engine'!AQ7</f>
        <v/>
      </c>
      <c r="O7" s="24">
        <f>L7-N7</f>
        <v/>
      </c>
      <c r="P7" s="24">
        <f>'11_Credit_Risk_Engine'!W7</f>
        <v/>
      </c>
      <c r="Q7" s="27">
        <f>P7/J7</f>
        <v/>
      </c>
      <c r="R7" s="41">
        <f>(ABS(K7)-Q7)*100</f>
        <v/>
      </c>
      <c r="S7" s="23">
        <f>INDEX('10_GICS_Asset_Vol'!$C$3:$C$165,MATCH(B7,'10_GICS_Asset_Vol'!$A$3:$A$165,0))</f>
        <v/>
      </c>
      <c r="T7" s="23">
        <f>INDEX('10_GICS_Asset_Vol'!$D$3:$D$165,MATCH(B7,'10_GICS_Asset_Vol'!$A$3:$A$165,0))</f>
        <v/>
      </c>
      <c r="U7" s="23">
        <f>INDEX('10_GICS_Asset_Vol'!$E$3:$E$165,MATCH(B7,'10_GICS_Asset_Vol'!$A$3:$A$165,0))</f>
        <v/>
      </c>
      <c r="V7" s="23">
        <f>INDEX('8_UK_Spread_Input'!$D$5:$D$15,MATCH(S7,'8_UK_Spread_Input'!$A$5:$A$15,0))</f>
        <v/>
      </c>
      <c r="W7" s="23">
        <f>INDEX('8_UK_Spread_Input'!$D$20:$D$44,MATCH(U7,'8_UK_Spread_Input'!$A$20:$A$44,0))</f>
        <v/>
      </c>
      <c r="X7" s="23">
        <f>INDEX('8_UK_Spread_Input'!$D$49:$D$122,MATCH(T7,'8_UK_Spread_Input'!$A$49:$A$122,0))</f>
        <v/>
      </c>
      <c r="Y7" s="23">
        <f>INDEX('8_UK_Spread_Input'!$D$127:$D$289,MATCH(B7,'8_UK_Spread_Input'!$A$127:$A$289,0))</f>
        <v/>
      </c>
      <c r="Z7" s="41">
        <f>(W7/V7)*(X7/W7)*(Y7/X7)</f>
        <v/>
      </c>
      <c r="AA7" s="24">
        <f>J7*(-I7*((M7*Z7)/10000))</f>
        <v/>
      </c>
    </row>
    <row r="8">
      <c r="A8" s="21">
        <f>'3_Scenario_Engine'!A8</f>
        <v/>
      </c>
      <c r="B8" s="21">
        <f>'3_Scenario_Engine'!B8</f>
        <v/>
      </c>
      <c r="C8" s="21">
        <f>'11_Credit_Risk_Engine'!K8</f>
        <v/>
      </c>
      <c r="D8" s="21">
        <f>'11_Credit_Risk_Engine'!Q8</f>
        <v/>
      </c>
      <c r="E8" s="26">
        <f>C8*D8*10000</f>
        <v/>
      </c>
      <c r="F8" s="25">
        <f>'3_Scenario_Engine'!Z8</f>
        <v/>
      </c>
      <c r="G8" s="25">
        <f>IF(F8&lt;'6_Credit_Bridge_Assumptions'!$B$15,'6_Credit_Bridge_Assumptions'!$B$22,IF(F8&lt;'6_Credit_Bridge_Assumptions'!$B$16,'6_Credit_Bridge_Assumptions'!$B$23,'6_Credit_Bridge_Assumptions'!$B$24))</f>
        <v/>
      </c>
      <c r="H8" s="26">
        <f>E8*G8</f>
        <v/>
      </c>
      <c r="I8" s="41">
        <f>'3_Scenario_Engine'!T8</f>
        <v/>
      </c>
      <c r="J8" s="24">
        <f>'3_Scenario_Engine'!U8</f>
        <v/>
      </c>
      <c r="K8" s="27">
        <f>-I8*(H8/10000)</f>
        <v/>
      </c>
      <c r="L8" s="24">
        <f>J8*K8</f>
        <v/>
      </c>
      <c r="M8" s="26">
        <f>'3_Scenario_Engine'!F8</f>
        <v/>
      </c>
      <c r="N8" s="24">
        <f>'3_Scenario_Engine'!AQ8</f>
        <v/>
      </c>
      <c r="O8" s="24">
        <f>L8-N8</f>
        <v/>
      </c>
      <c r="P8" s="24">
        <f>'11_Credit_Risk_Engine'!W8</f>
        <v/>
      </c>
      <c r="Q8" s="27">
        <f>P8/J8</f>
        <v/>
      </c>
      <c r="R8" s="41">
        <f>(ABS(K8)-Q8)*100</f>
        <v/>
      </c>
      <c r="S8" s="23">
        <f>INDEX('10_GICS_Asset_Vol'!$C$3:$C$165,MATCH(B8,'10_GICS_Asset_Vol'!$A$3:$A$165,0))</f>
        <v/>
      </c>
      <c r="T8" s="23">
        <f>INDEX('10_GICS_Asset_Vol'!$D$3:$D$165,MATCH(B8,'10_GICS_Asset_Vol'!$A$3:$A$165,0))</f>
        <v/>
      </c>
      <c r="U8" s="23">
        <f>INDEX('10_GICS_Asset_Vol'!$E$3:$E$165,MATCH(B8,'10_GICS_Asset_Vol'!$A$3:$A$165,0))</f>
        <v/>
      </c>
      <c r="V8" s="23">
        <f>INDEX('8_UK_Spread_Input'!$D$5:$D$15,MATCH(S8,'8_UK_Spread_Input'!$A$5:$A$15,0))</f>
        <v/>
      </c>
      <c r="W8" s="23">
        <f>INDEX('8_UK_Spread_Input'!$D$20:$D$44,MATCH(U8,'8_UK_Spread_Input'!$A$20:$A$44,0))</f>
        <v/>
      </c>
      <c r="X8" s="23">
        <f>INDEX('8_UK_Spread_Input'!$D$49:$D$122,MATCH(T8,'8_UK_Spread_Input'!$A$49:$A$122,0))</f>
        <v/>
      </c>
      <c r="Y8" s="23">
        <f>INDEX('8_UK_Spread_Input'!$D$127:$D$289,MATCH(B8,'8_UK_Spread_Input'!$A$127:$A$289,0))</f>
        <v/>
      </c>
      <c r="Z8" s="41">
        <f>(W8/V8)*(X8/W8)*(Y8/X8)</f>
        <v/>
      </c>
      <c r="AA8" s="24">
        <f>J8*(-I8*((M8*Z8)/10000))</f>
        <v/>
      </c>
    </row>
    <row r="9">
      <c r="A9" s="21">
        <f>'3_Scenario_Engine'!A9</f>
        <v/>
      </c>
      <c r="B9" s="21">
        <f>'3_Scenario_Engine'!B9</f>
        <v/>
      </c>
      <c r="C9" s="21">
        <f>'11_Credit_Risk_Engine'!K9</f>
        <v/>
      </c>
      <c r="D9" s="21">
        <f>'11_Credit_Risk_Engine'!Q9</f>
        <v/>
      </c>
      <c r="E9" s="26">
        <f>C9*D9*10000</f>
        <v/>
      </c>
      <c r="F9" s="25">
        <f>'3_Scenario_Engine'!Z9</f>
        <v/>
      </c>
      <c r="G9" s="25">
        <f>IF(F9&lt;'6_Credit_Bridge_Assumptions'!$B$15,'6_Credit_Bridge_Assumptions'!$B$22,IF(F9&lt;'6_Credit_Bridge_Assumptions'!$B$16,'6_Credit_Bridge_Assumptions'!$B$23,'6_Credit_Bridge_Assumptions'!$B$24))</f>
        <v/>
      </c>
      <c r="H9" s="26">
        <f>E9*G9</f>
        <v/>
      </c>
      <c r="I9" s="41">
        <f>'3_Scenario_Engine'!T9</f>
        <v/>
      </c>
      <c r="J9" s="24">
        <f>'3_Scenario_Engine'!U9</f>
        <v/>
      </c>
      <c r="K9" s="27">
        <f>-I9*(H9/10000)</f>
        <v/>
      </c>
      <c r="L9" s="24">
        <f>J9*K9</f>
        <v/>
      </c>
      <c r="M9" s="26">
        <f>'3_Scenario_Engine'!F9</f>
        <v/>
      </c>
      <c r="N9" s="24">
        <f>'3_Scenario_Engine'!AQ9</f>
        <v/>
      </c>
      <c r="O9" s="24">
        <f>L9-N9</f>
        <v/>
      </c>
      <c r="P9" s="24">
        <f>'11_Credit_Risk_Engine'!W9</f>
        <v/>
      </c>
      <c r="Q9" s="27">
        <f>P9/J9</f>
        <v/>
      </c>
      <c r="R9" s="41">
        <f>(ABS(K9)-Q9)*100</f>
        <v/>
      </c>
      <c r="S9" s="23">
        <f>INDEX('10_GICS_Asset_Vol'!$C$3:$C$165,MATCH(B9,'10_GICS_Asset_Vol'!$A$3:$A$165,0))</f>
        <v/>
      </c>
      <c r="T9" s="23">
        <f>INDEX('10_GICS_Asset_Vol'!$D$3:$D$165,MATCH(B9,'10_GICS_Asset_Vol'!$A$3:$A$165,0))</f>
        <v/>
      </c>
      <c r="U9" s="23">
        <f>INDEX('10_GICS_Asset_Vol'!$E$3:$E$165,MATCH(B9,'10_GICS_Asset_Vol'!$A$3:$A$165,0))</f>
        <v/>
      </c>
      <c r="V9" s="23">
        <f>INDEX('8_UK_Spread_Input'!$D$5:$D$15,MATCH(S9,'8_UK_Spread_Input'!$A$5:$A$15,0))</f>
        <v/>
      </c>
      <c r="W9" s="23">
        <f>INDEX('8_UK_Spread_Input'!$D$20:$D$44,MATCH(U9,'8_UK_Spread_Input'!$A$20:$A$44,0))</f>
        <v/>
      </c>
      <c r="X9" s="23">
        <f>INDEX('8_UK_Spread_Input'!$D$49:$D$122,MATCH(T9,'8_UK_Spread_Input'!$A$49:$A$122,0))</f>
        <v/>
      </c>
      <c r="Y9" s="23">
        <f>INDEX('8_UK_Spread_Input'!$D$127:$D$289,MATCH(B9,'8_UK_Spread_Input'!$A$127:$A$289,0))</f>
        <v/>
      </c>
      <c r="Z9" s="41">
        <f>(W9/V9)*(X9/W9)*(Y9/X9)</f>
        <v/>
      </c>
      <c r="AA9" s="24">
        <f>J9*(-I9*((M9*Z9)/10000))</f>
        <v/>
      </c>
    </row>
    <row r="10">
      <c r="A10" s="21">
        <f>'3_Scenario_Engine'!A10</f>
        <v/>
      </c>
      <c r="B10" s="21">
        <f>'3_Scenario_Engine'!B10</f>
        <v/>
      </c>
      <c r="C10" s="21">
        <f>'11_Credit_Risk_Engine'!K10</f>
        <v/>
      </c>
      <c r="D10" s="21">
        <f>'11_Credit_Risk_Engine'!Q10</f>
        <v/>
      </c>
      <c r="E10" s="26">
        <f>C10*D10*10000</f>
        <v/>
      </c>
      <c r="F10" s="25">
        <f>'3_Scenario_Engine'!Z10</f>
        <v/>
      </c>
      <c r="G10" s="25">
        <f>IF(F10&lt;'6_Credit_Bridge_Assumptions'!$B$15,'6_Credit_Bridge_Assumptions'!$B$22,IF(F10&lt;'6_Credit_Bridge_Assumptions'!$B$16,'6_Credit_Bridge_Assumptions'!$B$23,'6_Credit_Bridge_Assumptions'!$B$24))</f>
        <v/>
      </c>
      <c r="H10" s="26">
        <f>E10*G10</f>
        <v/>
      </c>
      <c r="I10" s="41">
        <f>'3_Scenario_Engine'!T10</f>
        <v/>
      </c>
      <c r="J10" s="24">
        <f>'3_Scenario_Engine'!U10</f>
        <v/>
      </c>
      <c r="K10" s="27">
        <f>-I10*(H10/10000)</f>
        <v/>
      </c>
      <c r="L10" s="24">
        <f>J10*K10</f>
        <v/>
      </c>
      <c r="M10" s="26">
        <f>'3_Scenario_Engine'!F10</f>
        <v/>
      </c>
      <c r="N10" s="24">
        <f>'3_Scenario_Engine'!AQ10</f>
        <v/>
      </c>
      <c r="O10" s="24">
        <f>L10-N10</f>
        <v/>
      </c>
      <c r="P10" s="24">
        <f>'11_Credit_Risk_Engine'!W10</f>
        <v/>
      </c>
      <c r="Q10" s="27">
        <f>P10/J10</f>
        <v/>
      </c>
      <c r="R10" s="41">
        <f>(ABS(K10)-Q10)*100</f>
        <v/>
      </c>
      <c r="S10" s="23">
        <f>INDEX('10_GICS_Asset_Vol'!$C$3:$C$165,MATCH(B10,'10_GICS_Asset_Vol'!$A$3:$A$165,0))</f>
        <v/>
      </c>
      <c r="T10" s="23">
        <f>INDEX('10_GICS_Asset_Vol'!$D$3:$D$165,MATCH(B10,'10_GICS_Asset_Vol'!$A$3:$A$165,0))</f>
        <v/>
      </c>
      <c r="U10" s="23">
        <f>INDEX('10_GICS_Asset_Vol'!$E$3:$E$165,MATCH(B10,'10_GICS_Asset_Vol'!$A$3:$A$165,0))</f>
        <v/>
      </c>
      <c r="V10" s="23">
        <f>INDEX('8_UK_Spread_Input'!$D$5:$D$15,MATCH(S10,'8_UK_Spread_Input'!$A$5:$A$15,0))</f>
        <v/>
      </c>
      <c r="W10" s="23">
        <f>INDEX('8_UK_Spread_Input'!$D$20:$D$44,MATCH(U10,'8_UK_Spread_Input'!$A$20:$A$44,0))</f>
        <v/>
      </c>
      <c r="X10" s="23">
        <f>INDEX('8_UK_Spread_Input'!$D$49:$D$122,MATCH(T10,'8_UK_Spread_Input'!$A$49:$A$122,0))</f>
        <v/>
      </c>
      <c r="Y10" s="23">
        <f>INDEX('8_UK_Spread_Input'!$D$127:$D$289,MATCH(B10,'8_UK_Spread_Input'!$A$127:$A$289,0))</f>
        <v/>
      </c>
      <c r="Z10" s="41">
        <f>(W10/V10)*(X10/W10)*(Y10/X10)</f>
        <v/>
      </c>
      <c r="AA10" s="24">
        <f>J10*(-I10*((M10*Z10)/10000))</f>
        <v/>
      </c>
    </row>
    <row r="11">
      <c r="A11" s="21">
        <f>'3_Scenario_Engine'!A11</f>
        <v/>
      </c>
      <c r="B11" s="21">
        <f>'3_Scenario_Engine'!B11</f>
        <v/>
      </c>
      <c r="C11" s="21">
        <f>'11_Credit_Risk_Engine'!K11</f>
        <v/>
      </c>
      <c r="D11" s="21">
        <f>'11_Credit_Risk_Engine'!Q11</f>
        <v/>
      </c>
      <c r="E11" s="26">
        <f>C11*D11*10000</f>
        <v/>
      </c>
      <c r="F11" s="25">
        <f>'3_Scenario_Engine'!Z11</f>
        <v/>
      </c>
      <c r="G11" s="25">
        <f>IF(F11&lt;'6_Credit_Bridge_Assumptions'!$B$15,'6_Credit_Bridge_Assumptions'!$B$22,IF(F11&lt;'6_Credit_Bridge_Assumptions'!$B$16,'6_Credit_Bridge_Assumptions'!$B$23,'6_Credit_Bridge_Assumptions'!$B$24))</f>
        <v/>
      </c>
      <c r="H11" s="26">
        <f>E11*G11</f>
        <v/>
      </c>
      <c r="I11" s="41">
        <f>'3_Scenario_Engine'!T11</f>
        <v/>
      </c>
      <c r="J11" s="24">
        <f>'3_Scenario_Engine'!U11</f>
        <v/>
      </c>
      <c r="K11" s="27">
        <f>-I11*(H11/10000)</f>
        <v/>
      </c>
      <c r="L11" s="24">
        <f>J11*K11</f>
        <v/>
      </c>
      <c r="M11" s="26">
        <f>'3_Scenario_Engine'!F11</f>
        <v/>
      </c>
      <c r="N11" s="24">
        <f>'3_Scenario_Engine'!AQ11</f>
        <v/>
      </c>
      <c r="O11" s="24">
        <f>L11-N11</f>
        <v/>
      </c>
      <c r="P11" s="24">
        <f>'11_Credit_Risk_Engine'!W11</f>
        <v/>
      </c>
      <c r="Q11" s="27">
        <f>P11/J11</f>
        <v/>
      </c>
      <c r="R11" s="41">
        <f>(ABS(K11)-Q11)*100</f>
        <v/>
      </c>
      <c r="S11" s="23">
        <f>INDEX('10_GICS_Asset_Vol'!$C$3:$C$165,MATCH(B11,'10_GICS_Asset_Vol'!$A$3:$A$165,0))</f>
        <v/>
      </c>
      <c r="T11" s="23">
        <f>INDEX('10_GICS_Asset_Vol'!$D$3:$D$165,MATCH(B11,'10_GICS_Asset_Vol'!$A$3:$A$165,0))</f>
        <v/>
      </c>
      <c r="U11" s="23">
        <f>INDEX('10_GICS_Asset_Vol'!$E$3:$E$165,MATCH(B11,'10_GICS_Asset_Vol'!$A$3:$A$165,0))</f>
        <v/>
      </c>
      <c r="V11" s="23">
        <f>INDEX('8_UK_Spread_Input'!$D$5:$D$15,MATCH(S11,'8_UK_Spread_Input'!$A$5:$A$15,0))</f>
        <v/>
      </c>
      <c r="W11" s="23">
        <f>INDEX('8_UK_Spread_Input'!$D$20:$D$44,MATCH(U11,'8_UK_Spread_Input'!$A$20:$A$44,0))</f>
        <v/>
      </c>
      <c r="X11" s="23">
        <f>INDEX('8_UK_Spread_Input'!$D$49:$D$122,MATCH(T11,'8_UK_Spread_Input'!$A$49:$A$122,0))</f>
        <v/>
      </c>
      <c r="Y11" s="23">
        <f>INDEX('8_UK_Spread_Input'!$D$127:$D$289,MATCH(B11,'8_UK_Spread_Input'!$A$127:$A$289,0))</f>
        <v/>
      </c>
      <c r="Z11" s="41">
        <f>(W11/V11)*(X11/W11)*(Y11/X11)</f>
        <v/>
      </c>
      <c r="AA11" s="24">
        <f>J11*(-I11*((M11*Z11)/10000))</f>
        <v/>
      </c>
    </row>
    <row r="12">
      <c r="A12" s="21">
        <f>'3_Scenario_Engine'!A12</f>
        <v/>
      </c>
      <c r="B12" s="21">
        <f>'3_Scenario_Engine'!B12</f>
        <v/>
      </c>
      <c r="C12" s="21">
        <f>'11_Credit_Risk_Engine'!K12</f>
        <v/>
      </c>
      <c r="D12" s="21">
        <f>'11_Credit_Risk_Engine'!Q12</f>
        <v/>
      </c>
      <c r="E12" s="26">
        <f>C12*D12*10000</f>
        <v/>
      </c>
      <c r="F12" s="25">
        <f>'3_Scenario_Engine'!Z12</f>
        <v/>
      </c>
      <c r="G12" s="25">
        <f>IF(F12&lt;'6_Credit_Bridge_Assumptions'!$B$15,'6_Credit_Bridge_Assumptions'!$B$22,IF(F12&lt;'6_Credit_Bridge_Assumptions'!$B$16,'6_Credit_Bridge_Assumptions'!$B$23,'6_Credit_Bridge_Assumptions'!$B$24))</f>
        <v/>
      </c>
      <c r="H12" s="26">
        <f>E12*G12</f>
        <v/>
      </c>
      <c r="I12" s="41">
        <f>'3_Scenario_Engine'!T12</f>
        <v/>
      </c>
      <c r="J12" s="24">
        <f>'3_Scenario_Engine'!U12</f>
        <v/>
      </c>
      <c r="K12" s="27">
        <f>-I12*(H12/10000)</f>
        <v/>
      </c>
      <c r="L12" s="24">
        <f>J12*K12</f>
        <v/>
      </c>
      <c r="M12" s="26">
        <f>'3_Scenario_Engine'!F12</f>
        <v/>
      </c>
      <c r="N12" s="24">
        <f>'3_Scenario_Engine'!AQ12</f>
        <v/>
      </c>
      <c r="O12" s="24">
        <f>L12-N12</f>
        <v/>
      </c>
      <c r="P12" s="24">
        <f>'11_Credit_Risk_Engine'!W12</f>
        <v/>
      </c>
      <c r="Q12" s="27">
        <f>P12/J12</f>
        <v/>
      </c>
      <c r="R12" s="41">
        <f>(ABS(K12)-Q12)*100</f>
        <v/>
      </c>
      <c r="S12" s="23">
        <f>INDEX('10_GICS_Asset_Vol'!$C$3:$C$165,MATCH(B12,'10_GICS_Asset_Vol'!$A$3:$A$165,0))</f>
        <v/>
      </c>
      <c r="T12" s="23">
        <f>INDEX('10_GICS_Asset_Vol'!$D$3:$D$165,MATCH(B12,'10_GICS_Asset_Vol'!$A$3:$A$165,0))</f>
        <v/>
      </c>
      <c r="U12" s="23">
        <f>INDEX('10_GICS_Asset_Vol'!$E$3:$E$165,MATCH(B12,'10_GICS_Asset_Vol'!$A$3:$A$165,0))</f>
        <v/>
      </c>
      <c r="V12" s="23">
        <f>INDEX('8_UK_Spread_Input'!$D$5:$D$15,MATCH(S12,'8_UK_Spread_Input'!$A$5:$A$15,0))</f>
        <v/>
      </c>
      <c r="W12" s="23">
        <f>INDEX('8_UK_Spread_Input'!$D$20:$D$44,MATCH(U12,'8_UK_Spread_Input'!$A$20:$A$44,0))</f>
        <v/>
      </c>
      <c r="X12" s="23">
        <f>INDEX('8_UK_Spread_Input'!$D$49:$D$122,MATCH(T12,'8_UK_Spread_Input'!$A$49:$A$122,0))</f>
        <v/>
      </c>
      <c r="Y12" s="23">
        <f>INDEX('8_UK_Spread_Input'!$D$127:$D$289,MATCH(B12,'8_UK_Spread_Input'!$A$127:$A$289,0))</f>
        <v/>
      </c>
      <c r="Z12" s="41">
        <f>(W12/V12)*(X12/W12)*(Y12/X12)</f>
        <v/>
      </c>
      <c r="AA12" s="24">
        <f>J12*(-I12*((M12*Z12)/10000))</f>
        <v/>
      </c>
    </row>
    <row r="13">
      <c r="A13" s="21">
        <f>'3_Scenario_Engine'!A13</f>
        <v/>
      </c>
      <c r="B13" s="21">
        <f>'3_Scenario_Engine'!B13</f>
        <v/>
      </c>
      <c r="C13" s="21">
        <f>'11_Credit_Risk_Engine'!K13</f>
        <v/>
      </c>
      <c r="D13" s="21">
        <f>'11_Credit_Risk_Engine'!Q13</f>
        <v/>
      </c>
      <c r="E13" s="26">
        <f>C13*D13*10000</f>
        <v/>
      </c>
      <c r="F13" s="25">
        <f>'3_Scenario_Engine'!Z13</f>
        <v/>
      </c>
      <c r="G13" s="25">
        <f>IF(F13&lt;'6_Credit_Bridge_Assumptions'!$B$15,'6_Credit_Bridge_Assumptions'!$B$22,IF(F13&lt;'6_Credit_Bridge_Assumptions'!$B$16,'6_Credit_Bridge_Assumptions'!$B$23,'6_Credit_Bridge_Assumptions'!$B$24))</f>
        <v/>
      </c>
      <c r="H13" s="26">
        <f>E13*G13</f>
        <v/>
      </c>
      <c r="I13" s="41">
        <f>'3_Scenario_Engine'!T13</f>
        <v/>
      </c>
      <c r="J13" s="24">
        <f>'3_Scenario_Engine'!U13</f>
        <v/>
      </c>
      <c r="K13" s="27">
        <f>-I13*(H13/10000)</f>
        <v/>
      </c>
      <c r="L13" s="24">
        <f>J13*K13</f>
        <v/>
      </c>
      <c r="M13" s="26">
        <f>'3_Scenario_Engine'!F13</f>
        <v/>
      </c>
      <c r="N13" s="24">
        <f>'3_Scenario_Engine'!AQ13</f>
        <v/>
      </c>
      <c r="O13" s="24">
        <f>L13-N13</f>
        <v/>
      </c>
      <c r="P13" s="24">
        <f>'11_Credit_Risk_Engine'!W13</f>
        <v/>
      </c>
      <c r="Q13" s="27">
        <f>P13/J13</f>
        <v/>
      </c>
      <c r="R13" s="41">
        <f>(ABS(K13)-Q13)*100</f>
        <v/>
      </c>
      <c r="S13" s="23">
        <f>INDEX('10_GICS_Asset_Vol'!$C$3:$C$165,MATCH(B13,'10_GICS_Asset_Vol'!$A$3:$A$165,0))</f>
        <v/>
      </c>
      <c r="T13" s="23">
        <f>INDEX('10_GICS_Asset_Vol'!$D$3:$D$165,MATCH(B13,'10_GICS_Asset_Vol'!$A$3:$A$165,0))</f>
        <v/>
      </c>
      <c r="U13" s="23">
        <f>INDEX('10_GICS_Asset_Vol'!$E$3:$E$165,MATCH(B13,'10_GICS_Asset_Vol'!$A$3:$A$165,0))</f>
        <v/>
      </c>
      <c r="V13" s="23">
        <f>INDEX('8_UK_Spread_Input'!$D$5:$D$15,MATCH(S13,'8_UK_Spread_Input'!$A$5:$A$15,0))</f>
        <v/>
      </c>
      <c r="W13" s="23">
        <f>INDEX('8_UK_Spread_Input'!$D$20:$D$44,MATCH(U13,'8_UK_Spread_Input'!$A$20:$A$44,0))</f>
        <v/>
      </c>
      <c r="X13" s="23">
        <f>INDEX('8_UK_Spread_Input'!$D$49:$D$122,MATCH(T13,'8_UK_Spread_Input'!$A$49:$A$122,0))</f>
        <v/>
      </c>
      <c r="Y13" s="23">
        <f>INDEX('8_UK_Spread_Input'!$D$127:$D$289,MATCH(B13,'8_UK_Spread_Input'!$A$127:$A$289,0))</f>
        <v/>
      </c>
      <c r="Z13" s="41">
        <f>(W13/V13)*(X13/W13)*(Y13/X13)</f>
        <v/>
      </c>
      <c r="AA13" s="24">
        <f>J13*(-I13*((M13*Z13)/10000))</f>
        <v/>
      </c>
    </row>
    <row r="14">
      <c r="A14" s="21">
        <f>'3_Scenario_Engine'!A14</f>
        <v/>
      </c>
      <c r="B14" s="21">
        <f>'3_Scenario_Engine'!B14</f>
        <v/>
      </c>
      <c r="C14" s="21">
        <f>'11_Credit_Risk_Engine'!K14</f>
        <v/>
      </c>
      <c r="D14" s="21">
        <f>'11_Credit_Risk_Engine'!Q14</f>
        <v/>
      </c>
      <c r="E14" s="26">
        <f>C14*D14*10000</f>
        <v/>
      </c>
      <c r="F14" s="25">
        <f>'3_Scenario_Engine'!Z14</f>
        <v/>
      </c>
      <c r="G14" s="25">
        <f>IF(F14&lt;'6_Credit_Bridge_Assumptions'!$B$15,'6_Credit_Bridge_Assumptions'!$B$22,IF(F14&lt;'6_Credit_Bridge_Assumptions'!$B$16,'6_Credit_Bridge_Assumptions'!$B$23,'6_Credit_Bridge_Assumptions'!$B$24))</f>
        <v/>
      </c>
      <c r="H14" s="26">
        <f>E14*G14</f>
        <v/>
      </c>
      <c r="I14" s="41">
        <f>'3_Scenario_Engine'!T14</f>
        <v/>
      </c>
      <c r="J14" s="24">
        <f>'3_Scenario_Engine'!U14</f>
        <v/>
      </c>
      <c r="K14" s="27">
        <f>-I14*(H14/10000)</f>
        <v/>
      </c>
      <c r="L14" s="24">
        <f>J14*K14</f>
        <v/>
      </c>
      <c r="M14" s="26">
        <f>'3_Scenario_Engine'!F14</f>
        <v/>
      </c>
      <c r="N14" s="24">
        <f>'3_Scenario_Engine'!AQ14</f>
        <v/>
      </c>
      <c r="O14" s="24">
        <f>L14-N14</f>
        <v/>
      </c>
      <c r="P14" s="24">
        <f>'11_Credit_Risk_Engine'!W14</f>
        <v/>
      </c>
      <c r="Q14" s="27">
        <f>P14/J14</f>
        <v/>
      </c>
      <c r="R14" s="41">
        <f>(ABS(K14)-Q14)*100</f>
        <v/>
      </c>
      <c r="S14" s="23">
        <f>INDEX('10_GICS_Asset_Vol'!$C$3:$C$165,MATCH(B14,'10_GICS_Asset_Vol'!$A$3:$A$165,0))</f>
        <v/>
      </c>
      <c r="T14" s="23">
        <f>INDEX('10_GICS_Asset_Vol'!$D$3:$D$165,MATCH(B14,'10_GICS_Asset_Vol'!$A$3:$A$165,0))</f>
        <v/>
      </c>
      <c r="U14" s="23">
        <f>INDEX('10_GICS_Asset_Vol'!$E$3:$E$165,MATCH(B14,'10_GICS_Asset_Vol'!$A$3:$A$165,0))</f>
        <v/>
      </c>
      <c r="V14" s="23">
        <f>INDEX('8_UK_Spread_Input'!$D$5:$D$15,MATCH(S14,'8_UK_Spread_Input'!$A$5:$A$15,0))</f>
        <v/>
      </c>
      <c r="W14" s="23">
        <f>INDEX('8_UK_Spread_Input'!$D$20:$D$44,MATCH(U14,'8_UK_Spread_Input'!$A$20:$A$44,0))</f>
        <v/>
      </c>
      <c r="X14" s="23">
        <f>INDEX('8_UK_Spread_Input'!$D$49:$D$122,MATCH(T14,'8_UK_Spread_Input'!$A$49:$A$122,0))</f>
        <v/>
      </c>
      <c r="Y14" s="23">
        <f>INDEX('8_UK_Spread_Input'!$D$127:$D$289,MATCH(B14,'8_UK_Spread_Input'!$A$127:$A$289,0))</f>
        <v/>
      </c>
      <c r="Z14" s="41">
        <f>(W14/V14)*(X14/W14)*(Y14/X14)</f>
        <v/>
      </c>
      <c r="AA14" s="24">
        <f>J14*(-I14*((M14*Z14)/10000))</f>
        <v/>
      </c>
    </row>
    <row r="15">
      <c r="A15" s="21">
        <f>'3_Scenario_Engine'!A15</f>
        <v/>
      </c>
      <c r="B15" s="21">
        <f>'3_Scenario_Engine'!B15</f>
        <v/>
      </c>
      <c r="C15" s="21">
        <f>'11_Credit_Risk_Engine'!K15</f>
        <v/>
      </c>
      <c r="D15" s="21">
        <f>'11_Credit_Risk_Engine'!Q15</f>
        <v/>
      </c>
      <c r="E15" s="26">
        <f>C15*D15*10000</f>
        <v/>
      </c>
      <c r="F15" s="25">
        <f>'3_Scenario_Engine'!Z15</f>
        <v/>
      </c>
      <c r="G15" s="25">
        <f>IF(F15&lt;'6_Credit_Bridge_Assumptions'!$B$15,'6_Credit_Bridge_Assumptions'!$B$22,IF(F15&lt;'6_Credit_Bridge_Assumptions'!$B$16,'6_Credit_Bridge_Assumptions'!$B$23,'6_Credit_Bridge_Assumptions'!$B$24))</f>
        <v/>
      </c>
      <c r="H15" s="26">
        <f>E15*G15</f>
        <v/>
      </c>
      <c r="I15" s="41">
        <f>'3_Scenario_Engine'!T15</f>
        <v/>
      </c>
      <c r="J15" s="24">
        <f>'3_Scenario_Engine'!U15</f>
        <v/>
      </c>
      <c r="K15" s="27">
        <f>-I15*(H15/10000)</f>
        <v/>
      </c>
      <c r="L15" s="24">
        <f>J15*K15</f>
        <v/>
      </c>
      <c r="M15" s="26">
        <f>'3_Scenario_Engine'!F15</f>
        <v/>
      </c>
      <c r="N15" s="24">
        <f>'3_Scenario_Engine'!AQ15</f>
        <v/>
      </c>
      <c r="O15" s="24">
        <f>L15-N15</f>
        <v/>
      </c>
      <c r="P15" s="24">
        <f>'11_Credit_Risk_Engine'!W15</f>
        <v/>
      </c>
      <c r="Q15" s="27">
        <f>P15/J15</f>
        <v/>
      </c>
      <c r="R15" s="41">
        <f>(ABS(K15)-Q15)*100</f>
        <v/>
      </c>
      <c r="S15" s="23">
        <f>INDEX('10_GICS_Asset_Vol'!$C$3:$C$165,MATCH(B15,'10_GICS_Asset_Vol'!$A$3:$A$165,0))</f>
        <v/>
      </c>
      <c r="T15" s="23">
        <f>INDEX('10_GICS_Asset_Vol'!$D$3:$D$165,MATCH(B15,'10_GICS_Asset_Vol'!$A$3:$A$165,0))</f>
        <v/>
      </c>
      <c r="U15" s="23">
        <f>INDEX('10_GICS_Asset_Vol'!$E$3:$E$165,MATCH(B15,'10_GICS_Asset_Vol'!$A$3:$A$165,0))</f>
        <v/>
      </c>
      <c r="V15" s="23">
        <f>INDEX('8_UK_Spread_Input'!$D$5:$D$15,MATCH(S15,'8_UK_Spread_Input'!$A$5:$A$15,0))</f>
        <v/>
      </c>
      <c r="W15" s="23">
        <f>INDEX('8_UK_Spread_Input'!$D$20:$D$44,MATCH(U15,'8_UK_Spread_Input'!$A$20:$A$44,0))</f>
        <v/>
      </c>
      <c r="X15" s="23">
        <f>INDEX('8_UK_Spread_Input'!$D$49:$D$122,MATCH(T15,'8_UK_Spread_Input'!$A$49:$A$122,0))</f>
        <v/>
      </c>
      <c r="Y15" s="23">
        <f>INDEX('8_UK_Spread_Input'!$D$127:$D$289,MATCH(B15,'8_UK_Spread_Input'!$A$127:$A$289,0))</f>
        <v/>
      </c>
      <c r="Z15" s="41">
        <f>(W15/V15)*(X15/W15)*(Y15/X15)</f>
        <v/>
      </c>
      <c r="AA15" s="24">
        <f>J15*(-I15*((M15*Z15)/10000))</f>
        <v/>
      </c>
    </row>
    <row r="16">
      <c r="A16" s="21">
        <f>'3_Scenario_Engine'!A16</f>
        <v/>
      </c>
      <c r="B16" s="21">
        <f>'3_Scenario_Engine'!B16</f>
        <v/>
      </c>
      <c r="C16" s="21">
        <f>'11_Credit_Risk_Engine'!K16</f>
        <v/>
      </c>
      <c r="D16" s="21">
        <f>'11_Credit_Risk_Engine'!Q16</f>
        <v/>
      </c>
      <c r="E16" s="26">
        <f>C16*D16*10000</f>
        <v/>
      </c>
      <c r="F16" s="25">
        <f>'3_Scenario_Engine'!Z16</f>
        <v/>
      </c>
      <c r="G16" s="25">
        <f>IF(F16&lt;'6_Credit_Bridge_Assumptions'!$B$15,'6_Credit_Bridge_Assumptions'!$B$22,IF(F16&lt;'6_Credit_Bridge_Assumptions'!$B$16,'6_Credit_Bridge_Assumptions'!$B$23,'6_Credit_Bridge_Assumptions'!$B$24))</f>
        <v/>
      </c>
      <c r="H16" s="26">
        <f>E16*G16</f>
        <v/>
      </c>
      <c r="I16" s="41">
        <f>'3_Scenario_Engine'!T16</f>
        <v/>
      </c>
      <c r="J16" s="24">
        <f>'3_Scenario_Engine'!U16</f>
        <v/>
      </c>
      <c r="K16" s="27">
        <f>-I16*(H16/10000)</f>
        <v/>
      </c>
      <c r="L16" s="24">
        <f>J16*K16</f>
        <v/>
      </c>
      <c r="M16" s="26">
        <f>'3_Scenario_Engine'!F16</f>
        <v/>
      </c>
      <c r="N16" s="24">
        <f>'3_Scenario_Engine'!AQ16</f>
        <v/>
      </c>
      <c r="O16" s="24">
        <f>L16-N16</f>
        <v/>
      </c>
      <c r="P16" s="24">
        <f>'11_Credit_Risk_Engine'!W16</f>
        <v/>
      </c>
      <c r="Q16" s="27">
        <f>P16/J16</f>
        <v/>
      </c>
      <c r="R16" s="41">
        <f>(ABS(K16)-Q16)*100</f>
        <v/>
      </c>
      <c r="S16" s="23">
        <f>INDEX('10_GICS_Asset_Vol'!$C$3:$C$165,MATCH(B16,'10_GICS_Asset_Vol'!$A$3:$A$165,0))</f>
        <v/>
      </c>
      <c r="T16" s="23">
        <f>INDEX('10_GICS_Asset_Vol'!$D$3:$D$165,MATCH(B16,'10_GICS_Asset_Vol'!$A$3:$A$165,0))</f>
        <v/>
      </c>
      <c r="U16" s="23">
        <f>INDEX('10_GICS_Asset_Vol'!$E$3:$E$165,MATCH(B16,'10_GICS_Asset_Vol'!$A$3:$A$165,0))</f>
        <v/>
      </c>
      <c r="V16" s="23">
        <f>INDEX('8_UK_Spread_Input'!$D$5:$D$15,MATCH(S16,'8_UK_Spread_Input'!$A$5:$A$15,0))</f>
        <v/>
      </c>
      <c r="W16" s="23">
        <f>INDEX('8_UK_Spread_Input'!$D$20:$D$44,MATCH(U16,'8_UK_Spread_Input'!$A$20:$A$44,0))</f>
        <v/>
      </c>
      <c r="X16" s="23">
        <f>INDEX('8_UK_Spread_Input'!$D$49:$D$122,MATCH(T16,'8_UK_Spread_Input'!$A$49:$A$122,0))</f>
        <v/>
      </c>
      <c r="Y16" s="23">
        <f>INDEX('8_UK_Spread_Input'!$D$127:$D$289,MATCH(B16,'8_UK_Spread_Input'!$A$127:$A$289,0))</f>
        <v/>
      </c>
      <c r="Z16" s="41">
        <f>(W16/V16)*(X16/W16)*(Y16/X16)</f>
        <v/>
      </c>
      <c r="AA16" s="24">
        <f>J16*(-I16*((M16*Z16)/10000))</f>
        <v/>
      </c>
    </row>
    <row r="17">
      <c r="A17" s="21">
        <f>'3_Scenario_Engine'!A17</f>
        <v/>
      </c>
      <c r="B17" s="21">
        <f>'3_Scenario_Engine'!B17</f>
        <v/>
      </c>
      <c r="C17" s="21">
        <f>'11_Credit_Risk_Engine'!K17</f>
        <v/>
      </c>
      <c r="D17" s="21">
        <f>'11_Credit_Risk_Engine'!Q17</f>
        <v/>
      </c>
      <c r="E17" s="26">
        <f>C17*D17*10000</f>
        <v/>
      </c>
      <c r="F17" s="25">
        <f>'3_Scenario_Engine'!Z17</f>
        <v/>
      </c>
      <c r="G17" s="25">
        <f>IF(F17&lt;'6_Credit_Bridge_Assumptions'!$B$15,'6_Credit_Bridge_Assumptions'!$B$22,IF(F17&lt;'6_Credit_Bridge_Assumptions'!$B$16,'6_Credit_Bridge_Assumptions'!$B$23,'6_Credit_Bridge_Assumptions'!$B$24))</f>
        <v/>
      </c>
      <c r="H17" s="26">
        <f>E17*G17</f>
        <v/>
      </c>
      <c r="I17" s="41">
        <f>'3_Scenario_Engine'!T17</f>
        <v/>
      </c>
      <c r="J17" s="24">
        <f>'3_Scenario_Engine'!U17</f>
        <v/>
      </c>
      <c r="K17" s="27">
        <f>-I17*(H17/10000)</f>
        <v/>
      </c>
      <c r="L17" s="24">
        <f>J17*K17</f>
        <v/>
      </c>
      <c r="M17" s="26">
        <f>'3_Scenario_Engine'!F17</f>
        <v/>
      </c>
      <c r="N17" s="24">
        <f>'3_Scenario_Engine'!AQ17</f>
        <v/>
      </c>
      <c r="O17" s="24">
        <f>L17-N17</f>
        <v/>
      </c>
      <c r="P17" s="24">
        <f>'11_Credit_Risk_Engine'!W17</f>
        <v/>
      </c>
      <c r="Q17" s="27">
        <f>P17/J17</f>
        <v/>
      </c>
      <c r="R17" s="41">
        <f>(ABS(K17)-Q17)*100</f>
        <v/>
      </c>
      <c r="S17" s="23">
        <f>INDEX('10_GICS_Asset_Vol'!$C$3:$C$165,MATCH(B17,'10_GICS_Asset_Vol'!$A$3:$A$165,0))</f>
        <v/>
      </c>
      <c r="T17" s="23">
        <f>INDEX('10_GICS_Asset_Vol'!$D$3:$D$165,MATCH(B17,'10_GICS_Asset_Vol'!$A$3:$A$165,0))</f>
        <v/>
      </c>
      <c r="U17" s="23">
        <f>INDEX('10_GICS_Asset_Vol'!$E$3:$E$165,MATCH(B17,'10_GICS_Asset_Vol'!$A$3:$A$165,0))</f>
        <v/>
      </c>
      <c r="V17" s="23">
        <f>INDEX('8_UK_Spread_Input'!$D$5:$D$15,MATCH(S17,'8_UK_Spread_Input'!$A$5:$A$15,0))</f>
        <v/>
      </c>
      <c r="W17" s="23">
        <f>INDEX('8_UK_Spread_Input'!$D$20:$D$44,MATCH(U17,'8_UK_Spread_Input'!$A$20:$A$44,0))</f>
        <v/>
      </c>
      <c r="X17" s="23">
        <f>INDEX('8_UK_Spread_Input'!$D$49:$D$122,MATCH(T17,'8_UK_Spread_Input'!$A$49:$A$122,0))</f>
        <v/>
      </c>
      <c r="Y17" s="23">
        <f>INDEX('8_UK_Spread_Input'!$D$127:$D$289,MATCH(B17,'8_UK_Spread_Input'!$A$127:$A$289,0))</f>
        <v/>
      </c>
      <c r="Z17" s="41">
        <f>(W17/V17)*(X17/W17)*(Y17/X17)</f>
        <v/>
      </c>
      <c r="AA17" s="24">
        <f>J17*(-I17*((M17*Z17)/10000))</f>
        <v/>
      </c>
    </row>
    <row r="18">
      <c r="A18" s="21">
        <f>'3_Scenario_Engine'!A18</f>
        <v/>
      </c>
      <c r="B18" s="21">
        <f>'3_Scenario_Engine'!B18</f>
        <v/>
      </c>
      <c r="C18" s="21">
        <f>'11_Credit_Risk_Engine'!K18</f>
        <v/>
      </c>
      <c r="D18" s="21">
        <f>'11_Credit_Risk_Engine'!Q18</f>
        <v/>
      </c>
      <c r="E18" s="26">
        <f>C18*D18*10000</f>
        <v/>
      </c>
      <c r="F18" s="25">
        <f>'3_Scenario_Engine'!Z18</f>
        <v/>
      </c>
      <c r="G18" s="25">
        <f>IF(F18&lt;'6_Credit_Bridge_Assumptions'!$B$15,'6_Credit_Bridge_Assumptions'!$B$22,IF(F18&lt;'6_Credit_Bridge_Assumptions'!$B$16,'6_Credit_Bridge_Assumptions'!$B$23,'6_Credit_Bridge_Assumptions'!$B$24))</f>
        <v/>
      </c>
      <c r="H18" s="26">
        <f>E18*G18</f>
        <v/>
      </c>
      <c r="I18" s="41">
        <f>'3_Scenario_Engine'!T18</f>
        <v/>
      </c>
      <c r="J18" s="24">
        <f>'3_Scenario_Engine'!U18</f>
        <v/>
      </c>
      <c r="K18" s="27">
        <f>-I18*(H18/10000)</f>
        <v/>
      </c>
      <c r="L18" s="24">
        <f>J18*K18</f>
        <v/>
      </c>
      <c r="M18" s="26">
        <f>'3_Scenario_Engine'!F18</f>
        <v/>
      </c>
      <c r="N18" s="24">
        <f>'3_Scenario_Engine'!AQ18</f>
        <v/>
      </c>
      <c r="O18" s="24">
        <f>L18-N18</f>
        <v/>
      </c>
      <c r="P18" s="24">
        <f>'11_Credit_Risk_Engine'!W18</f>
        <v/>
      </c>
      <c r="Q18" s="27">
        <f>P18/J18</f>
        <v/>
      </c>
      <c r="R18" s="41">
        <f>(ABS(K18)-Q18)*100</f>
        <v/>
      </c>
      <c r="S18" s="23">
        <f>INDEX('10_GICS_Asset_Vol'!$C$3:$C$165,MATCH(B18,'10_GICS_Asset_Vol'!$A$3:$A$165,0))</f>
        <v/>
      </c>
      <c r="T18" s="23">
        <f>INDEX('10_GICS_Asset_Vol'!$D$3:$D$165,MATCH(B18,'10_GICS_Asset_Vol'!$A$3:$A$165,0))</f>
        <v/>
      </c>
      <c r="U18" s="23">
        <f>INDEX('10_GICS_Asset_Vol'!$E$3:$E$165,MATCH(B18,'10_GICS_Asset_Vol'!$A$3:$A$165,0))</f>
        <v/>
      </c>
      <c r="V18" s="23">
        <f>INDEX('8_UK_Spread_Input'!$D$5:$D$15,MATCH(S18,'8_UK_Spread_Input'!$A$5:$A$15,0))</f>
        <v/>
      </c>
      <c r="W18" s="23">
        <f>INDEX('8_UK_Spread_Input'!$D$20:$D$44,MATCH(U18,'8_UK_Spread_Input'!$A$20:$A$44,0))</f>
        <v/>
      </c>
      <c r="X18" s="23">
        <f>INDEX('8_UK_Spread_Input'!$D$49:$D$122,MATCH(T18,'8_UK_Spread_Input'!$A$49:$A$122,0))</f>
        <v/>
      </c>
      <c r="Y18" s="23">
        <f>INDEX('8_UK_Spread_Input'!$D$127:$D$289,MATCH(B18,'8_UK_Spread_Input'!$A$127:$A$289,0))</f>
        <v/>
      </c>
      <c r="Z18" s="41">
        <f>(W18/V18)*(X18/W18)*(Y18/X18)</f>
        <v/>
      </c>
      <c r="AA18" s="24">
        <f>J18*(-I18*((M18*Z18)/10000))</f>
        <v/>
      </c>
    </row>
    <row r="19">
      <c r="A19" s="21">
        <f>'3_Scenario_Engine'!A19</f>
        <v/>
      </c>
      <c r="B19" s="21">
        <f>'3_Scenario_Engine'!B19</f>
        <v/>
      </c>
      <c r="C19" s="21">
        <f>'11_Credit_Risk_Engine'!K19</f>
        <v/>
      </c>
      <c r="D19" s="21">
        <f>'11_Credit_Risk_Engine'!Q19</f>
        <v/>
      </c>
      <c r="E19" s="26">
        <f>C19*D19*10000</f>
        <v/>
      </c>
      <c r="F19" s="25">
        <f>'3_Scenario_Engine'!Z19</f>
        <v/>
      </c>
      <c r="G19" s="25">
        <f>IF(F19&lt;'6_Credit_Bridge_Assumptions'!$B$15,'6_Credit_Bridge_Assumptions'!$B$22,IF(F19&lt;'6_Credit_Bridge_Assumptions'!$B$16,'6_Credit_Bridge_Assumptions'!$B$23,'6_Credit_Bridge_Assumptions'!$B$24))</f>
        <v/>
      </c>
      <c r="H19" s="26">
        <f>E19*G19</f>
        <v/>
      </c>
      <c r="I19" s="41">
        <f>'3_Scenario_Engine'!T19</f>
        <v/>
      </c>
      <c r="J19" s="24">
        <f>'3_Scenario_Engine'!U19</f>
        <v/>
      </c>
      <c r="K19" s="27">
        <f>-I19*(H19/10000)</f>
        <v/>
      </c>
      <c r="L19" s="24">
        <f>J19*K19</f>
        <v/>
      </c>
      <c r="M19" s="26">
        <f>'3_Scenario_Engine'!F19</f>
        <v/>
      </c>
      <c r="N19" s="24">
        <f>'3_Scenario_Engine'!AQ19</f>
        <v/>
      </c>
      <c r="O19" s="24">
        <f>L19-N19</f>
        <v/>
      </c>
      <c r="P19" s="24">
        <f>'11_Credit_Risk_Engine'!W19</f>
        <v/>
      </c>
      <c r="Q19" s="27">
        <f>P19/J19</f>
        <v/>
      </c>
      <c r="R19" s="41">
        <f>(ABS(K19)-Q19)*100</f>
        <v/>
      </c>
      <c r="S19" s="23">
        <f>INDEX('10_GICS_Asset_Vol'!$C$3:$C$165,MATCH(B19,'10_GICS_Asset_Vol'!$A$3:$A$165,0))</f>
        <v/>
      </c>
      <c r="T19" s="23">
        <f>INDEX('10_GICS_Asset_Vol'!$D$3:$D$165,MATCH(B19,'10_GICS_Asset_Vol'!$A$3:$A$165,0))</f>
        <v/>
      </c>
      <c r="U19" s="23">
        <f>INDEX('10_GICS_Asset_Vol'!$E$3:$E$165,MATCH(B19,'10_GICS_Asset_Vol'!$A$3:$A$165,0))</f>
        <v/>
      </c>
      <c r="V19" s="23">
        <f>INDEX('8_UK_Spread_Input'!$D$5:$D$15,MATCH(S19,'8_UK_Spread_Input'!$A$5:$A$15,0))</f>
        <v/>
      </c>
      <c r="W19" s="23">
        <f>INDEX('8_UK_Spread_Input'!$D$20:$D$44,MATCH(U19,'8_UK_Spread_Input'!$A$20:$A$44,0))</f>
        <v/>
      </c>
      <c r="X19" s="23">
        <f>INDEX('8_UK_Spread_Input'!$D$49:$D$122,MATCH(T19,'8_UK_Spread_Input'!$A$49:$A$122,0))</f>
        <v/>
      </c>
      <c r="Y19" s="23">
        <f>INDEX('8_UK_Spread_Input'!$D$127:$D$289,MATCH(B19,'8_UK_Spread_Input'!$A$127:$A$289,0))</f>
        <v/>
      </c>
      <c r="Z19" s="41">
        <f>(W19/V19)*(X19/W19)*(Y19/X19)</f>
        <v/>
      </c>
      <c r="AA19" s="24">
        <f>J19*(-I19*((M19*Z19)/10000))</f>
        <v/>
      </c>
    </row>
    <row r="20">
      <c r="A20" s="21">
        <f>'3_Scenario_Engine'!A20</f>
        <v/>
      </c>
      <c r="B20" s="21">
        <f>'3_Scenario_Engine'!B20</f>
        <v/>
      </c>
      <c r="C20" s="21">
        <f>'11_Credit_Risk_Engine'!K20</f>
        <v/>
      </c>
      <c r="D20" s="21">
        <f>'11_Credit_Risk_Engine'!Q20</f>
        <v/>
      </c>
      <c r="E20" s="26">
        <f>C20*D20*10000</f>
        <v/>
      </c>
      <c r="F20" s="25">
        <f>'3_Scenario_Engine'!Z20</f>
        <v/>
      </c>
      <c r="G20" s="25">
        <f>IF(F20&lt;'6_Credit_Bridge_Assumptions'!$B$15,'6_Credit_Bridge_Assumptions'!$B$22,IF(F20&lt;'6_Credit_Bridge_Assumptions'!$B$16,'6_Credit_Bridge_Assumptions'!$B$23,'6_Credit_Bridge_Assumptions'!$B$24))</f>
        <v/>
      </c>
      <c r="H20" s="26">
        <f>E20*G20</f>
        <v/>
      </c>
      <c r="I20" s="41">
        <f>'3_Scenario_Engine'!T20</f>
        <v/>
      </c>
      <c r="J20" s="24">
        <f>'3_Scenario_Engine'!U20</f>
        <v/>
      </c>
      <c r="K20" s="27">
        <f>-I20*(H20/10000)</f>
        <v/>
      </c>
      <c r="L20" s="24">
        <f>J20*K20</f>
        <v/>
      </c>
      <c r="M20" s="26">
        <f>'3_Scenario_Engine'!F20</f>
        <v/>
      </c>
      <c r="N20" s="24">
        <f>'3_Scenario_Engine'!AQ20</f>
        <v/>
      </c>
      <c r="O20" s="24">
        <f>L20-N20</f>
        <v/>
      </c>
      <c r="P20" s="24">
        <f>'11_Credit_Risk_Engine'!W20</f>
        <v/>
      </c>
      <c r="Q20" s="27">
        <f>P20/J20</f>
        <v/>
      </c>
      <c r="R20" s="41">
        <f>(ABS(K20)-Q20)*100</f>
        <v/>
      </c>
      <c r="S20" s="23">
        <f>INDEX('10_GICS_Asset_Vol'!$C$3:$C$165,MATCH(B20,'10_GICS_Asset_Vol'!$A$3:$A$165,0))</f>
        <v/>
      </c>
      <c r="T20" s="23">
        <f>INDEX('10_GICS_Asset_Vol'!$D$3:$D$165,MATCH(B20,'10_GICS_Asset_Vol'!$A$3:$A$165,0))</f>
        <v/>
      </c>
      <c r="U20" s="23">
        <f>INDEX('10_GICS_Asset_Vol'!$E$3:$E$165,MATCH(B20,'10_GICS_Asset_Vol'!$A$3:$A$165,0))</f>
        <v/>
      </c>
      <c r="V20" s="23">
        <f>INDEX('8_UK_Spread_Input'!$D$5:$D$15,MATCH(S20,'8_UK_Spread_Input'!$A$5:$A$15,0))</f>
        <v/>
      </c>
      <c r="W20" s="23">
        <f>INDEX('8_UK_Spread_Input'!$D$20:$D$44,MATCH(U20,'8_UK_Spread_Input'!$A$20:$A$44,0))</f>
        <v/>
      </c>
      <c r="X20" s="23">
        <f>INDEX('8_UK_Spread_Input'!$D$49:$D$122,MATCH(T20,'8_UK_Spread_Input'!$A$49:$A$122,0))</f>
        <v/>
      </c>
      <c r="Y20" s="23">
        <f>INDEX('8_UK_Spread_Input'!$D$127:$D$289,MATCH(B20,'8_UK_Spread_Input'!$A$127:$A$289,0))</f>
        <v/>
      </c>
      <c r="Z20" s="41">
        <f>(W20/V20)*(X20/W20)*(Y20/X20)</f>
        <v/>
      </c>
      <c r="AA20" s="24">
        <f>J20*(-I20*((M20*Z20)/10000))</f>
        <v/>
      </c>
    </row>
    <row r="21">
      <c r="A21" s="21">
        <f>'3_Scenario_Engine'!A21</f>
        <v/>
      </c>
      <c r="B21" s="21">
        <f>'3_Scenario_Engine'!B21</f>
        <v/>
      </c>
      <c r="C21" s="21">
        <f>'11_Credit_Risk_Engine'!K21</f>
        <v/>
      </c>
      <c r="D21" s="21">
        <f>'11_Credit_Risk_Engine'!Q21</f>
        <v/>
      </c>
      <c r="E21" s="26">
        <f>C21*D21*10000</f>
        <v/>
      </c>
      <c r="F21" s="25">
        <f>'3_Scenario_Engine'!Z21</f>
        <v/>
      </c>
      <c r="G21" s="25">
        <f>IF(F21&lt;'6_Credit_Bridge_Assumptions'!$B$15,'6_Credit_Bridge_Assumptions'!$B$22,IF(F21&lt;'6_Credit_Bridge_Assumptions'!$B$16,'6_Credit_Bridge_Assumptions'!$B$23,'6_Credit_Bridge_Assumptions'!$B$24))</f>
        <v/>
      </c>
      <c r="H21" s="26">
        <f>E21*G21</f>
        <v/>
      </c>
      <c r="I21" s="41">
        <f>'3_Scenario_Engine'!T21</f>
        <v/>
      </c>
      <c r="J21" s="24">
        <f>'3_Scenario_Engine'!U21</f>
        <v/>
      </c>
      <c r="K21" s="27">
        <f>-I21*(H21/10000)</f>
        <v/>
      </c>
      <c r="L21" s="24">
        <f>J21*K21</f>
        <v/>
      </c>
      <c r="M21" s="26">
        <f>'3_Scenario_Engine'!F21</f>
        <v/>
      </c>
      <c r="N21" s="24">
        <f>'3_Scenario_Engine'!AQ21</f>
        <v/>
      </c>
      <c r="O21" s="24">
        <f>L21-N21</f>
        <v/>
      </c>
      <c r="P21" s="24">
        <f>'11_Credit_Risk_Engine'!W21</f>
        <v/>
      </c>
      <c r="Q21" s="27">
        <f>P21/J21</f>
        <v/>
      </c>
      <c r="R21" s="41">
        <f>(ABS(K21)-Q21)*100</f>
        <v/>
      </c>
      <c r="S21" s="23">
        <f>INDEX('10_GICS_Asset_Vol'!$C$3:$C$165,MATCH(B21,'10_GICS_Asset_Vol'!$A$3:$A$165,0))</f>
        <v/>
      </c>
      <c r="T21" s="23">
        <f>INDEX('10_GICS_Asset_Vol'!$D$3:$D$165,MATCH(B21,'10_GICS_Asset_Vol'!$A$3:$A$165,0))</f>
        <v/>
      </c>
      <c r="U21" s="23">
        <f>INDEX('10_GICS_Asset_Vol'!$E$3:$E$165,MATCH(B21,'10_GICS_Asset_Vol'!$A$3:$A$165,0))</f>
        <v/>
      </c>
      <c r="V21" s="23">
        <f>INDEX('8_UK_Spread_Input'!$D$5:$D$15,MATCH(S21,'8_UK_Spread_Input'!$A$5:$A$15,0))</f>
        <v/>
      </c>
      <c r="W21" s="23">
        <f>INDEX('8_UK_Spread_Input'!$D$20:$D$44,MATCH(U21,'8_UK_Spread_Input'!$A$20:$A$44,0))</f>
        <v/>
      </c>
      <c r="X21" s="23">
        <f>INDEX('8_UK_Spread_Input'!$D$49:$D$122,MATCH(T21,'8_UK_Spread_Input'!$A$49:$A$122,0))</f>
        <v/>
      </c>
      <c r="Y21" s="23">
        <f>INDEX('8_UK_Spread_Input'!$D$127:$D$289,MATCH(B21,'8_UK_Spread_Input'!$A$127:$A$289,0))</f>
        <v/>
      </c>
      <c r="Z21" s="41">
        <f>(W21/V21)*(X21/W21)*(Y21/X21)</f>
        <v/>
      </c>
      <c r="AA21" s="24">
        <f>J21*(-I21*((M21*Z21)/10000))</f>
        <v/>
      </c>
    </row>
    <row r="22">
      <c r="A22" s="21">
        <f>'3_Scenario_Engine'!A22</f>
        <v/>
      </c>
      <c r="B22" s="21">
        <f>'3_Scenario_Engine'!B22</f>
        <v/>
      </c>
      <c r="C22" s="21">
        <f>'11_Credit_Risk_Engine'!K22</f>
        <v/>
      </c>
      <c r="D22" s="21">
        <f>'11_Credit_Risk_Engine'!Q22</f>
        <v/>
      </c>
      <c r="E22" s="26">
        <f>C22*D22*10000</f>
        <v/>
      </c>
      <c r="F22" s="25">
        <f>'3_Scenario_Engine'!Z22</f>
        <v/>
      </c>
      <c r="G22" s="25">
        <f>IF(F22&lt;'6_Credit_Bridge_Assumptions'!$B$15,'6_Credit_Bridge_Assumptions'!$B$22,IF(F22&lt;'6_Credit_Bridge_Assumptions'!$B$16,'6_Credit_Bridge_Assumptions'!$B$23,'6_Credit_Bridge_Assumptions'!$B$24))</f>
        <v/>
      </c>
      <c r="H22" s="26">
        <f>E22*G22</f>
        <v/>
      </c>
      <c r="I22" s="41">
        <f>'3_Scenario_Engine'!T22</f>
        <v/>
      </c>
      <c r="J22" s="24">
        <f>'3_Scenario_Engine'!U22</f>
        <v/>
      </c>
      <c r="K22" s="27">
        <f>-I22*(H22/10000)</f>
        <v/>
      </c>
      <c r="L22" s="24">
        <f>J22*K22</f>
        <v/>
      </c>
      <c r="M22" s="26">
        <f>'3_Scenario_Engine'!F22</f>
        <v/>
      </c>
      <c r="N22" s="24">
        <f>'3_Scenario_Engine'!AQ22</f>
        <v/>
      </c>
      <c r="O22" s="24">
        <f>L22-N22</f>
        <v/>
      </c>
      <c r="P22" s="24">
        <f>'11_Credit_Risk_Engine'!W22</f>
        <v/>
      </c>
      <c r="Q22" s="27">
        <f>P22/J22</f>
        <v/>
      </c>
      <c r="R22" s="41">
        <f>(ABS(K22)-Q22)*100</f>
        <v/>
      </c>
      <c r="S22" s="23">
        <f>INDEX('10_GICS_Asset_Vol'!$C$3:$C$165,MATCH(B22,'10_GICS_Asset_Vol'!$A$3:$A$165,0))</f>
        <v/>
      </c>
      <c r="T22" s="23">
        <f>INDEX('10_GICS_Asset_Vol'!$D$3:$D$165,MATCH(B22,'10_GICS_Asset_Vol'!$A$3:$A$165,0))</f>
        <v/>
      </c>
      <c r="U22" s="23">
        <f>INDEX('10_GICS_Asset_Vol'!$E$3:$E$165,MATCH(B22,'10_GICS_Asset_Vol'!$A$3:$A$165,0))</f>
        <v/>
      </c>
      <c r="V22" s="23">
        <f>INDEX('8_UK_Spread_Input'!$D$5:$D$15,MATCH(S22,'8_UK_Spread_Input'!$A$5:$A$15,0))</f>
        <v/>
      </c>
      <c r="W22" s="23">
        <f>INDEX('8_UK_Spread_Input'!$D$20:$D$44,MATCH(U22,'8_UK_Spread_Input'!$A$20:$A$44,0))</f>
        <v/>
      </c>
      <c r="X22" s="23">
        <f>INDEX('8_UK_Spread_Input'!$D$49:$D$122,MATCH(T22,'8_UK_Spread_Input'!$A$49:$A$122,0))</f>
        <v/>
      </c>
      <c r="Y22" s="23">
        <f>INDEX('8_UK_Spread_Input'!$D$127:$D$289,MATCH(B22,'8_UK_Spread_Input'!$A$127:$A$289,0))</f>
        <v/>
      </c>
      <c r="Z22" s="41">
        <f>(W22/V22)*(X22/W22)*(Y22/X22)</f>
        <v/>
      </c>
      <c r="AA22" s="24">
        <f>J22*(-I22*((M22*Z22)/10000))</f>
        <v/>
      </c>
    </row>
    <row r="23">
      <c r="A23" s="21">
        <f>'3_Scenario_Engine'!A23</f>
        <v/>
      </c>
      <c r="B23" s="21">
        <f>'3_Scenario_Engine'!B23</f>
        <v/>
      </c>
      <c r="C23" s="21">
        <f>'11_Credit_Risk_Engine'!K23</f>
        <v/>
      </c>
      <c r="D23" s="21">
        <f>'11_Credit_Risk_Engine'!Q23</f>
        <v/>
      </c>
      <c r="E23" s="26">
        <f>C23*D23*10000</f>
        <v/>
      </c>
      <c r="F23" s="25">
        <f>'3_Scenario_Engine'!Z23</f>
        <v/>
      </c>
      <c r="G23" s="25">
        <f>IF(F23&lt;'6_Credit_Bridge_Assumptions'!$B$15,'6_Credit_Bridge_Assumptions'!$B$22,IF(F23&lt;'6_Credit_Bridge_Assumptions'!$B$16,'6_Credit_Bridge_Assumptions'!$B$23,'6_Credit_Bridge_Assumptions'!$B$24))</f>
        <v/>
      </c>
      <c r="H23" s="26">
        <f>E23*G23</f>
        <v/>
      </c>
      <c r="I23" s="41">
        <f>'3_Scenario_Engine'!T23</f>
        <v/>
      </c>
      <c r="J23" s="24">
        <f>'3_Scenario_Engine'!U23</f>
        <v/>
      </c>
      <c r="K23" s="27">
        <f>-I23*(H23/10000)</f>
        <v/>
      </c>
      <c r="L23" s="24">
        <f>J23*K23</f>
        <v/>
      </c>
      <c r="M23" s="26">
        <f>'3_Scenario_Engine'!F23</f>
        <v/>
      </c>
      <c r="N23" s="24">
        <f>'3_Scenario_Engine'!AQ23</f>
        <v/>
      </c>
      <c r="O23" s="24">
        <f>L23-N23</f>
        <v/>
      </c>
      <c r="P23" s="24">
        <f>'11_Credit_Risk_Engine'!W23</f>
        <v/>
      </c>
      <c r="Q23" s="27">
        <f>P23/J23</f>
        <v/>
      </c>
      <c r="R23" s="41">
        <f>(ABS(K23)-Q23)*100</f>
        <v/>
      </c>
      <c r="S23" s="23">
        <f>INDEX('10_GICS_Asset_Vol'!$C$3:$C$165,MATCH(B23,'10_GICS_Asset_Vol'!$A$3:$A$165,0))</f>
        <v/>
      </c>
      <c r="T23" s="23">
        <f>INDEX('10_GICS_Asset_Vol'!$D$3:$D$165,MATCH(B23,'10_GICS_Asset_Vol'!$A$3:$A$165,0))</f>
        <v/>
      </c>
      <c r="U23" s="23">
        <f>INDEX('10_GICS_Asset_Vol'!$E$3:$E$165,MATCH(B23,'10_GICS_Asset_Vol'!$A$3:$A$165,0))</f>
        <v/>
      </c>
      <c r="V23" s="23">
        <f>INDEX('8_UK_Spread_Input'!$D$5:$D$15,MATCH(S23,'8_UK_Spread_Input'!$A$5:$A$15,0))</f>
        <v/>
      </c>
      <c r="W23" s="23">
        <f>INDEX('8_UK_Spread_Input'!$D$20:$D$44,MATCH(U23,'8_UK_Spread_Input'!$A$20:$A$44,0))</f>
        <v/>
      </c>
      <c r="X23" s="23">
        <f>INDEX('8_UK_Spread_Input'!$D$49:$D$122,MATCH(T23,'8_UK_Spread_Input'!$A$49:$A$122,0))</f>
        <v/>
      </c>
      <c r="Y23" s="23">
        <f>INDEX('8_UK_Spread_Input'!$D$127:$D$289,MATCH(B23,'8_UK_Spread_Input'!$A$127:$A$289,0))</f>
        <v/>
      </c>
      <c r="Z23" s="41">
        <f>(W23/V23)*(X23/W23)*(Y23/X23)</f>
        <v/>
      </c>
      <c r="AA23" s="24">
        <f>J23*(-I23*((M23*Z23)/10000))</f>
        <v/>
      </c>
    </row>
    <row r="24">
      <c r="A24" s="21">
        <f>'3_Scenario_Engine'!A24</f>
        <v/>
      </c>
      <c r="B24" s="21">
        <f>'3_Scenario_Engine'!B24</f>
        <v/>
      </c>
      <c r="C24" s="21">
        <f>'11_Credit_Risk_Engine'!K24</f>
        <v/>
      </c>
      <c r="D24" s="21">
        <f>'11_Credit_Risk_Engine'!Q24</f>
        <v/>
      </c>
      <c r="E24" s="26">
        <f>C24*D24*10000</f>
        <v/>
      </c>
      <c r="F24" s="25">
        <f>'3_Scenario_Engine'!Z24</f>
        <v/>
      </c>
      <c r="G24" s="25">
        <f>IF(F24&lt;'6_Credit_Bridge_Assumptions'!$B$15,'6_Credit_Bridge_Assumptions'!$B$22,IF(F24&lt;'6_Credit_Bridge_Assumptions'!$B$16,'6_Credit_Bridge_Assumptions'!$B$23,'6_Credit_Bridge_Assumptions'!$B$24))</f>
        <v/>
      </c>
      <c r="H24" s="26">
        <f>E24*G24</f>
        <v/>
      </c>
      <c r="I24" s="41">
        <f>'3_Scenario_Engine'!T24</f>
        <v/>
      </c>
      <c r="J24" s="24">
        <f>'3_Scenario_Engine'!U24</f>
        <v/>
      </c>
      <c r="K24" s="27">
        <f>-I24*(H24/10000)</f>
        <v/>
      </c>
      <c r="L24" s="24">
        <f>J24*K24</f>
        <v/>
      </c>
      <c r="M24" s="26">
        <f>'3_Scenario_Engine'!F24</f>
        <v/>
      </c>
      <c r="N24" s="24">
        <f>'3_Scenario_Engine'!AQ24</f>
        <v/>
      </c>
      <c r="O24" s="24">
        <f>L24-N24</f>
        <v/>
      </c>
      <c r="P24" s="24">
        <f>'11_Credit_Risk_Engine'!W24</f>
        <v/>
      </c>
      <c r="Q24" s="27">
        <f>P24/J24</f>
        <v/>
      </c>
      <c r="R24" s="41">
        <f>(ABS(K24)-Q24)*100</f>
        <v/>
      </c>
      <c r="S24" s="23">
        <f>INDEX('10_GICS_Asset_Vol'!$C$3:$C$165,MATCH(B24,'10_GICS_Asset_Vol'!$A$3:$A$165,0))</f>
        <v/>
      </c>
      <c r="T24" s="23">
        <f>INDEX('10_GICS_Asset_Vol'!$D$3:$D$165,MATCH(B24,'10_GICS_Asset_Vol'!$A$3:$A$165,0))</f>
        <v/>
      </c>
      <c r="U24" s="23">
        <f>INDEX('10_GICS_Asset_Vol'!$E$3:$E$165,MATCH(B24,'10_GICS_Asset_Vol'!$A$3:$A$165,0))</f>
        <v/>
      </c>
      <c r="V24" s="23">
        <f>INDEX('8_UK_Spread_Input'!$D$5:$D$15,MATCH(S24,'8_UK_Spread_Input'!$A$5:$A$15,0))</f>
        <v/>
      </c>
      <c r="W24" s="23">
        <f>INDEX('8_UK_Spread_Input'!$D$20:$D$44,MATCH(U24,'8_UK_Spread_Input'!$A$20:$A$44,0))</f>
        <v/>
      </c>
      <c r="X24" s="23">
        <f>INDEX('8_UK_Spread_Input'!$D$49:$D$122,MATCH(T24,'8_UK_Spread_Input'!$A$49:$A$122,0))</f>
        <v/>
      </c>
      <c r="Y24" s="23">
        <f>INDEX('8_UK_Spread_Input'!$D$127:$D$289,MATCH(B24,'8_UK_Spread_Input'!$A$127:$A$289,0))</f>
        <v/>
      </c>
      <c r="Z24" s="41">
        <f>(W24/V24)*(X24/W24)*(Y24/X24)</f>
        <v/>
      </c>
      <c r="AA24" s="24">
        <f>J24*(-I24*((M24*Z24)/10000))</f>
        <v/>
      </c>
    </row>
    <row r="25">
      <c r="A25" s="21">
        <f>'3_Scenario_Engine'!A25</f>
        <v/>
      </c>
      <c r="B25" s="21">
        <f>'3_Scenario_Engine'!B25</f>
        <v/>
      </c>
      <c r="C25" s="21">
        <f>'11_Credit_Risk_Engine'!K25</f>
        <v/>
      </c>
      <c r="D25" s="21">
        <f>'11_Credit_Risk_Engine'!Q25</f>
        <v/>
      </c>
      <c r="E25" s="26">
        <f>C25*D25*10000</f>
        <v/>
      </c>
      <c r="F25" s="25">
        <f>'3_Scenario_Engine'!Z25</f>
        <v/>
      </c>
      <c r="G25" s="25">
        <f>IF(F25&lt;'6_Credit_Bridge_Assumptions'!$B$15,'6_Credit_Bridge_Assumptions'!$B$22,IF(F25&lt;'6_Credit_Bridge_Assumptions'!$B$16,'6_Credit_Bridge_Assumptions'!$B$23,'6_Credit_Bridge_Assumptions'!$B$24))</f>
        <v/>
      </c>
      <c r="H25" s="26">
        <f>E25*G25</f>
        <v/>
      </c>
      <c r="I25" s="41">
        <f>'3_Scenario_Engine'!T25</f>
        <v/>
      </c>
      <c r="J25" s="24">
        <f>'3_Scenario_Engine'!U25</f>
        <v/>
      </c>
      <c r="K25" s="27">
        <f>-I25*(H25/10000)</f>
        <v/>
      </c>
      <c r="L25" s="24">
        <f>J25*K25</f>
        <v/>
      </c>
      <c r="M25" s="26">
        <f>'3_Scenario_Engine'!F25</f>
        <v/>
      </c>
      <c r="N25" s="24">
        <f>'3_Scenario_Engine'!AQ25</f>
        <v/>
      </c>
      <c r="O25" s="24">
        <f>L25-N25</f>
        <v/>
      </c>
      <c r="P25" s="24">
        <f>'11_Credit_Risk_Engine'!W25</f>
        <v/>
      </c>
      <c r="Q25" s="27">
        <f>P25/J25</f>
        <v/>
      </c>
      <c r="R25" s="41">
        <f>(ABS(K25)-Q25)*100</f>
        <v/>
      </c>
      <c r="S25" s="23">
        <f>INDEX('10_GICS_Asset_Vol'!$C$3:$C$165,MATCH(B25,'10_GICS_Asset_Vol'!$A$3:$A$165,0))</f>
        <v/>
      </c>
      <c r="T25" s="23">
        <f>INDEX('10_GICS_Asset_Vol'!$D$3:$D$165,MATCH(B25,'10_GICS_Asset_Vol'!$A$3:$A$165,0))</f>
        <v/>
      </c>
      <c r="U25" s="23">
        <f>INDEX('10_GICS_Asset_Vol'!$E$3:$E$165,MATCH(B25,'10_GICS_Asset_Vol'!$A$3:$A$165,0))</f>
        <v/>
      </c>
      <c r="V25" s="23">
        <f>INDEX('8_UK_Spread_Input'!$D$5:$D$15,MATCH(S25,'8_UK_Spread_Input'!$A$5:$A$15,0))</f>
        <v/>
      </c>
      <c r="W25" s="23">
        <f>INDEX('8_UK_Spread_Input'!$D$20:$D$44,MATCH(U25,'8_UK_Spread_Input'!$A$20:$A$44,0))</f>
        <v/>
      </c>
      <c r="X25" s="23">
        <f>INDEX('8_UK_Spread_Input'!$D$49:$D$122,MATCH(T25,'8_UK_Spread_Input'!$A$49:$A$122,0))</f>
        <v/>
      </c>
      <c r="Y25" s="23">
        <f>INDEX('8_UK_Spread_Input'!$D$127:$D$289,MATCH(B25,'8_UK_Spread_Input'!$A$127:$A$289,0))</f>
        <v/>
      </c>
      <c r="Z25" s="41">
        <f>(W25/V25)*(X25/W25)*(Y25/X25)</f>
        <v/>
      </c>
      <c r="AA25" s="24">
        <f>J25*(-I25*((M25*Z25)/10000))</f>
        <v/>
      </c>
    </row>
    <row r="26">
      <c r="A26" s="21">
        <f>'3_Scenario_Engine'!A26</f>
        <v/>
      </c>
      <c r="B26" s="21">
        <f>'3_Scenario_Engine'!B26</f>
        <v/>
      </c>
      <c r="C26" s="21">
        <f>'11_Credit_Risk_Engine'!K26</f>
        <v/>
      </c>
      <c r="D26" s="21">
        <f>'11_Credit_Risk_Engine'!Q26</f>
        <v/>
      </c>
      <c r="E26" s="26">
        <f>C26*D26*10000</f>
        <v/>
      </c>
      <c r="F26" s="25">
        <f>'3_Scenario_Engine'!Z26</f>
        <v/>
      </c>
      <c r="G26" s="25">
        <f>IF(F26&lt;'6_Credit_Bridge_Assumptions'!$B$15,'6_Credit_Bridge_Assumptions'!$B$22,IF(F26&lt;'6_Credit_Bridge_Assumptions'!$B$16,'6_Credit_Bridge_Assumptions'!$B$23,'6_Credit_Bridge_Assumptions'!$B$24))</f>
        <v/>
      </c>
      <c r="H26" s="26">
        <f>E26*G26</f>
        <v/>
      </c>
      <c r="I26" s="41">
        <f>'3_Scenario_Engine'!T26</f>
        <v/>
      </c>
      <c r="J26" s="24">
        <f>'3_Scenario_Engine'!U26</f>
        <v/>
      </c>
      <c r="K26" s="27">
        <f>-I26*(H26/10000)</f>
        <v/>
      </c>
      <c r="L26" s="24">
        <f>J26*K26</f>
        <v/>
      </c>
      <c r="M26" s="26">
        <f>'3_Scenario_Engine'!F26</f>
        <v/>
      </c>
      <c r="N26" s="24">
        <f>'3_Scenario_Engine'!AQ26</f>
        <v/>
      </c>
      <c r="O26" s="24">
        <f>L26-N26</f>
        <v/>
      </c>
      <c r="P26" s="24">
        <f>'11_Credit_Risk_Engine'!W26</f>
        <v/>
      </c>
      <c r="Q26" s="27">
        <f>P26/J26</f>
        <v/>
      </c>
      <c r="R26" s="41">
        <f>(ABS(K26)-Q26)*100</f>
        <v/>
      </c>
      <c r="S26" s="23">
        <f>INDEX('10_GICS_Asset_Vol'!$C$3:$C$165,MATCH(B26,'10_GICS_Asset_Vol'!$A$3:$A$165,0))</f>
        <v/>
      </c>
      <c r="T26" s="23">
        <f>INDEX('10_GICS_Asset_Vol'!$D$3:$D$165,MATCH(B26,'10_GICS_Asset_Vol'!$A$3:$A$165,0))</f>
        <v/>
      </c>
      <c r="U26" s="23">
        <f>INDEX('10_GICS_Asset_Vol'!$E$3:$E$165,MATCH(B26,'10_GICS_Asset_Vol'!$A$3:$A$165,0))</f>
        <v/>
      </c>
      <c r="V26" s="23">
        <f>INDEX('8_UK_Spread_Input'!$D$5:$D$15,MATCH(S26,'8_UK_Spread_Input'!$A$5:$A$15,0))</f>
        <v/>
      </c>
      <c r="W26" s="23">
        <f>INDEX('8_UK_Spread_Input'!$D$20:$D$44,MATCH(U26,'8_UK_Spread_Input'!$A$20:$A$44,0))</f>
        <v/>
      </c>
      <c r="X26" s="23">
        <f>INDEX('8_UK_Spread_Input'!$D$49:$D$122,MATCH(T26,'8_UK_Spread_Input'!$A$49:$A$122,0))</f>
        <v/>
      </c>
      <c r="Y26" s="23">
        <f>INDEX('8_UK_Spread_Input'!$D$127:$D$289,MATCH(B26,'8_UK_Spread_Input'!$A$127:$A$289,0))</f>
        <v/>
      </c>
      <c r="Z26" s="41">
        <f>(W26/V26)*(X26/W26)*(Y26/X26)</f>
        <v/>
      </c>
      <c r="AA26" s="24">
        <f>J26*(-I26*((M26*Z26)/10000))</f>
        <v/>
      </c>
    </row>
    <row r="27">
      <c r="A27" s="21">
        <f>'3_Scenario_Engine'!A27</f>
        <v/>
      </c>
      <c r="B27" s="21">
        <f>'3_Scenario_Engine'!B27</f>
        <v/>
      </c>
      <c r="C27" s="21">
        <f>'11_Credit_Risk_Engine'!K27</f>
        <v/>
      </c>
      <c r="D27" s="21">
        <f>'11_Credit_Risk_Engine'!Q27</f>
        <v/>
      </c>
      <c r="E27" s="26">
        <f>C27*D27*10000</f>
        <v/>
      </c>
      <c r="F27" s="25">
        <f>'3_Scenario_Engine'!Z27</f>
        <v/>
      </c>
      <c r="G27" s="25">
        <f>IF(F27&lt;'6_Credit_Bridge_Assumptions'!$B$15,'6_Credit_Bridge_Assumptions'!$B$22,IF(F27&lt;'6_Credit_Bridge_Assumptions'!$B$16,'6_Credit_Bridge_Assumptions'!$B$23,'6_Credit_Bridge_Assumptions'!$B$24))</f>
        <v/>
      </c>
      <c r="H27" s="26">
        <f>E27*G27</f>
        <v/>
      </c>
      <c r="I27" s="41">
        <f>'3_Scenario_Engine'!T27</f>
        <v/>
      </c>
      <c r="J27" s="24">
        <f>'3_Scenario_Engine'!U27</f>
        <v/>
      </c>
      <c r="K27" s="27">
        <f>-I27*(H27/10000)</f>
        <v/>
      </c>
      <c r="L27" s="24">
        <f>J27*K27</f>
        <v/>
      </c>
      <c r="M27" s="26">
        <f>'3_Scenario_Engine'!F27</f>
        <v/>
      </c>
      <c r="N27" s="24">
        <f>'3_Scenario_Engine'!AQ27</f>
        <v/>
      </c>
      <c r="O27" s="24">
        <f>L27-N27</f>
        <v/>
      </c>
      <c r="P27" s="24">
        <f>'11_Credit_Risk_Engine'!W27</f>
        <v/>
      </c>
      <c r="Q27" s="27">
        <f>P27/J27</f>
        <v/>
      </c>
      <c r="R27" s="41">
        <f>(ABS(K27)-Q27)*100</f>
        <v/>
      </c>
      <c r="S27" s="23">
        <f>INDEX('10_GICS_Asset_Vol'!$C$3:$C$165,MATCH(B27,'10_GICS_Asset_Vol'!$A$3:$A$165,0))</f>
        <v/>
      </c>
      <c r="T27" s="23">
        <f>INDEX('10_GICS_Asset_Vol'!$D$3:$D$165,MATCH(B27,'10_GICS_Asset_Vol'!$A$3:$A$165,0))</f>
        <v/>
      </c>
      <c r="U27" s="23">
        <f>INDEX('10_GICS_Asset_Vol'!$E$3:$E$165,MATCH(B27,'10_GICS_Asset_Vol'!$A$3:$A$165,0))</f>
        <v/>
      </c>
      <c r="V27" s="23">
        <f>INDEX('8_UK_Spread_Input'!$D$5:$D$15,MATCH(S27,'8_UK_Spread_Input'!$A$5:$A$15,0))</f>
        <v/>
      </c>
      <c r="W27" s="23">
        <f>INDEX('8_UK_Spread_Input'!$D$20:$D$44,MATCH(U27,'8_UK_Spread_Input'!$A$20:$A$44,0))</f>
        <v/>
      </c>
      <c r="X27" s="23">
        <f>INDEX('8_UK_Spread_Input'!$D$49:$D$122,MATCH(T27,'8_UK_Spread_Input'!$A$49:$A$122,0))</f>
        <v/>
      </c>
      <c r="Y27" s="23">
        <f>INDEX('8_UK_Spread_Input'!$D$127:$D$289,MATCH(B27,'8_UK_Spread_Input'!$A$127:$A$289,0))</f>
        <v/>
      </c>
      <c r="Z27" s="41">
        <f>(W27/V27)*(X27/W27)*(Y27/X27)</f>
        <v/>
      </c>
      <c r="AA27" s="24">
        <f>J27*(-I27*((M27*Z27)/10000))</f>
        <v/>
      </c>
    </row>
    <row r="28">
      <c r="A28" s="21">
        <f>'3_Scenario_Engine'!A28</f>
        <v/>
      </c>
      <c r="B28" s="21">
        <f>'3_Scenario_Engine'!B28</f>
        <v/>
      </c>
      <c r="C28" s="21">
        <f>'11_Credit_Risk_Engine'!K28</f>
        <v/>
      </c>
      <c r="D28" s="21">
        <f>'11_Credit_Risk_Engine'!Q28</f>
        <v/>
      </c>
      <c r="E28" s="26">
        <f>C28*D28*10000</f>
        <v/>
      </c>
      <c r="F28" s="25">
        <f>'3_Scenario_Engine'!Z28</f>
        <v/>
      </c>
      <c r="G28" s="25">
        <f>IF(F28&lt;'6_Credit_Bridge_Assumptions'!$B$15,'6_Credit_Bridge_Assumptions'!$B$22,IF(F28&lt;'6_Credit_Bridge_Assumptions'!$B$16,'6_Credit_Bridge_Assumptions'!$B$23,'6_Credit_Bridge_Assumptions'!$B$24))</f>
        <v/>
      </c>
      <c r="H28" s="26">
        <f>E28*G28</f>
        <v/>
      </c>
      <c r="I28" s="41">
        <f>'3_Scenario_Engine'!T28</f>
        <v/>
      </c>
      <c r="J28" s="24">
        <f>'3_Scenario_Engine'!U28</f>
        <v/>
      </c>
      <c r="K28" s="27">
        <f>-I28*(H28/10000)</f>
        <v/>
      </c>
      <c r="L28" s="24">
        <f>J28*K28</f>
        <v/>
      </c>
      <c r="M28" s="26">
        <f>'3_Scenario_Engine'!F28</f>
        <v/>
      </c>
      <c r="N28" s="24">
        <f>'3_Scenario_Engine'!AQ28</f>
        <v/>
      </c>
      <c r="O28" s="24">
        <f>L28-N28</f>
        <v/>
      </c>
      <c r="P28" s="24">
        <f>'11_Credit_Risk_Engine'!W28</f>
        <v/>
      </c>
      <c r="Q28" s="27">
        <f>P28/J28</f>
        <v/>
      </c>
      <c r="R28" s="41">
        <f>(ABS(K28)-Q28)*100</f>
        <v/>
      </c>
      <c r="S28" s="23">
        <f>INDEX('10_GICS_Asset_Vol'!$C$3:$C$165,MATCH(B28,'10_GICS_Asset_Vol'!$A$3:$A$165,0))</f>
        <v/>
      </c>
      <c r="T28" s="23">
        <f>INDEX('10_GICS_Asset_Vol'!$D$3:$D$165,MATCH(B28,'10_GICS_Asset_Vol'!$A$3:$A$165,0))</f>
        <v/>
      </c>
      <c r="U28" s="23">
        <f>INDEX('10_GICS_Asset_Vol'!$E$3:$E$165,MATCH(B28,'10_GICS_Asset_Vol'!$A$3:$A$165,0))</f>
        <v/>
      </c>
      <c r="V28" s="23">
        <f>INDEX('8_UK_Spread_Input'!$D$5:$D$15,MATCH(S28,'8_UK_Spread_Input'!$A$5:$A$15,0))</f>
        <v/>
      </c>
      <c r="W28" s="23">
        <f>INDEX('8_UK_Spread_Input'!$D$20:$D$44,MATCH(U28,'8_UK_Spread_Input'!$A$20:$A$44,0))</f>
        <v/>
      </c>
      <c r="X28" s="23">
        <f>INDEX('8_UK_Spread_Input'!$D$49:$D$122,MATCH(T28,'8_UK_Spread_Input'!$A$49:$A$122,0))</f>
        <v/>
      </c>
      <c r="Y28" s="23">
        <f>INDEX('8_UK_Spread_Input'!$D$127:$D$289,MATCH(B28,'8_UK_Spread_Input'!$A$127:$A$289,0))</f>
        <v/>
      </c>
      <c r="Z28" s="41">
        <f>(W28/V28)*(X28/W28)*(Y28/X28)</f>
        <v/>
      </c>
      <c r="AA28" s="24">
        <f>J28*(-I28*((M28*Z28)/10000))</f>
        <v/>
      </c>
    </row>
    <row r="29">
      <c r="A29" s="21">
        <f>'3_Scenario_Engine'!A29</f>
        <v/>
      </c>
      <c r="B29" s="21">
        <f>'3_Scenario_Engine'!B29</f>
        <v/>
      </c>
      <c r="C29" s="21">
        <f>'11_Credit_Risk_Engine'!K29</f>
        <v/>
      </c>
      <c r="D29" s="21">
        <f>'11_Credit_Risk_Engine'!Q29</f>
        <v/>
      </c>
      <c r="E29" s="26">
        <f>C29*D29*10000</f>
        <v/>
      </c>
      <c r="F29" s="25">
        <f>'3_Scenario_Engine'!Z29</f>
        <v/>
      </c>
      <c r="G29" s="25">
        <f>IF(F29&lt;'6_Credit_Bridge_Assumptions'!$B$15,'6_Credit_Bridge_Assumptions'!$B$22,IF(F29&lt;'6_Credit_Bridge_Assumptions'!$B$16,'6_Credit_Bridge_Assumptions'!$B$23,'6_Credit_Bridge_Assumptions'!$B$24))</f>
        <v/>
      </c>
      <c r="H29" s="26">
        <f>E29*G29</f>
        <v/>
      </c>
      <c r="I29" s="41">
        <f>'3_Scenario_Engine'!T29</f>
        <v/>
      </c>
      <c r="J29" s="24">
        <f>'3_Scenario_Engine'!U29</f>
        <v/>
      </c>
      <c r="K29" s="27">
        <f>-I29*(H29/10000)</f>
        <v/>
      </c>
      <c r="L29" s="24">
        <f>J29*K29</f>
        <v/>
      </c>
      <c r="M29" s="26">
        <f>'3_Scenario_Engine'!F29</f>
        <v/>
      </c>
      <c r="N29" s="24">
        <f>'3_Scenario_Engine'!AQ29</f>
        <v/>
      </c>
      <c r="O29" s="24">
        <f>L29-N29</f>
        <v/>
      </c>
      <c r="P29" s="24">
        <f>'11_Credit_Risk_Engine'!W29</f>
        <v/>
      </c>
      <c r="Q29" s="27">
        <f>P29/J29</f>
        <v/>
      </c>
      <c r="R29" s="41">
        <f>(ABS(K29)-Q29)*100</f>
        <v/>
      </c>
      <c r="S29" s="23">
        <f>INDEX('10_GICS_Asset_Vol'!$C$3:$C$165,MATCH(B29,'10_GICS_Asset_Vol'!$A$3:$A$165,0))</f>
        <v/>
      </c>
      <c r="T29" s="23">
        <f>INDEX('10_GICS_Asset_Vol'!$D$3:$D$165,MATCH(B29,'10_GICS_Asset_Vol'!$A$3:$A$165,0))</f>
        <v/>
      </c>
      <c r="U29" s="23">
        <f>INDEX('10_GICS_Asset_Vol'!$E$3:$E$165,MATCH(B29,'10_GICS_Asset_Vol'!$A$3:$A$165,0))</f>
        <v/>
      </c>
      <c r="V29" s="23">
        <f>INDEX('8_UK_Spread_Input'!$D$5:$D$15,MATCH(S29,'8_UK_Spread_Input'!$A$5:$A$15,0))</f>
        <v/>
      </c>
      <c r="W29" s="23">
        <f>INDEX('8_UK_Spread_Input'!$D$20:$D$44,MATCH(U29,'8_UK_Spread_Input'!$A$20:$A$44,0))</f>
        <v/>
      </c>
      <c r="X29" s="23">
        <f>INDEX('8_UK_Spread_Input'!$D$49:$D$122,MATCH(T29,'8_UK_Spread_Input'!$A$49:$A$122,0))</f>
        <v/>
      </c>
      <c r="Y29" s="23">
        <f>INDEX('8_UK_Spread_Input'!$D$127:$D$289,MATCH(B29,'8_UK_Spread_Input'!$A$127:$A$289,0))</f>
        <v/>
      </c>
      <c r="Z29" s="41">
        <f>(W29/V29)*(X29/W29)*(Y29/X29)</f>
        <v/>
      </c>
      <c r="AA29" s="24">
        <f>J29*(-I29*((M29*Z29)/10000))</f>
        <v/>
      </c>
    </row>
    <row r="30">
      <c r="A30" s="21">
        <f>'3_Scenario_Engine'!A30</f>
        <v/>
      </c>
      <c r="B30" s="21">
        <f>'3_Scenario_Engine'!B30</f>
        <v/>
      </c>
      <c r="C30" s="21">
        <f>'11_Credit_Risk_Engine'!K30</f>
        <v/>
      </c>
      <c r="D30" s="21">
        <f>'11_Credit_Risk_Engine'!Q30</f>
        <v/>
      </c>
      <c r="E30" s="26">
        <f>C30*D30*10000</f>
        <v/>
      </c>
      <c r="F30" s="25">
        <f>'3_Scenario_Engine'!Z30</f>
        <v/>
      </c>
      <c r="G30" s="25">
        <f>IF(F30&lt;'6_Credit_Bridge_Assumptions'!$B$15,'6_Credit_Bridge_Assumptions'!$B$22,IF(F30&lt;'6_Credit_Bridge_Assumptions'!$B$16,'6_Credit_Bridge_Assumptions'!$B$23,'6_Credit_Bridge_Assumptions'!$B$24))</f>
        <v/>
      </c>
      <c r="H30" s="26">
        <f>E30*G30</f>
        <v/>
      </c>
      <c r="I30" s="41">
        <f>'3_Scenario_Engine'!T30</f>
        <v/>
      </c>
      <c r="J30" s="24">
        <f>'3_Scenario_Engine'!U30</f>
        <v/>
      </c>
      <c r="K30" s="27">
        <f>-I30*(H30/10000)</f>
        <v/>
      </c>
      <c r="L30" s="24">
        <f>J30*K30</f>
        <v/>
      </c>
      <c r="M30" s="26">
        <f>'3_Scenario_Engine'!F30</f>
        <v/>
      </c>
      <c r="N30" s="24">
        <f>'3_Scenario_Engine'!AQ30</f>
        <v/>
      </c>
      <c r="O30" s="24">
        <f>L30-N30</f>
        <v/>
      </c>
      <c r="P30" s="24">
        <f>'11_Credit_Risk_Engine'!W30</f>
        <v/>
      </c>
      <c r="Q30" s="27">
        <f>P30/J30</f>
        <v/>
      </c>
      <c r="R30" s="41">
        <f>(ABS(K30)-Q30)*100</f>
        <v/>
      </c>
      <c r="S30" s="23">
        <f>INDEX('10_GICS_Asset_Vol'!$C$3:$C$165,MATCH(B30,'10_GICS_Asset_Vol'!$A$3:$A$165,0))</f>
        <v/>
      </c>
      <c r="T30" s="23">
        <f>INDEX('10_GICS_Asset_Vol'!$D$3:$D$165,MATCH(B30,'10_GICS_Asset_Vol'!$A$3:$A$165,0))</f>
        <v/>
      </c>
      <c r="U30" s="23">
        <f>INDEX('10_GICS_Asset_Vol'!$E$3:$E$165,MATCH(B30,'10_GICS_Asset_Vol'!$A$3:$A$165,0))</f>
        <v/>
      </c>
      <c r="V30" s="23">
        <f>INDEX('8_UK_Spread_Input'!$D$5:$D$15,MATCH(S30,'8_UK_Spread_Input'!$A$5:$A$15,0))</f>
        <v/>
      </c>
      <c r="W30" s="23">
        <f>INDEX('8_UK_Spread_Input'!$D$20:$D$44,MATCH(U30,'8_UK_Spread_Input'!$A$20:$A$44,0))</f>
        <v/>
      </c>
      <c r="X30" s="23">
        <f>INDEX('8_UK_Spread_Input'!$D$49:$D$122,MATCH(T30,'8_UK_Spread_Input'!$A$49:$A$122,0))</f>
        <v/>
      </c>
      <c r="Y30" s="23">
        <f>INDEX('8_UK_Spread_Input'!$D$127:$D$289,MATCH(B30,'8_UK_Spread_Input'!$A$127:$A$289,0))</f>
        <v/>
      </c>
      <c r="Z30" s="41">
        <f>(W30/V30)*(X30/W30)*(Y30/X30)</f>
        <v/>
      </c>
      <c r="AA30" s="24">
        <f>J30*(-I30*((M30*Z30)/10000))</f>
        <v/>
      </c>
    </row>
    <row r="31">
      <c r="A31" s="21">
        <f>'3_Scenario_Engine'!A31</f>
        <v/>
      </c>
      <c r="B31" s="21">
        <f>'3_Scenario_Engine'!B31</f>
        <v/>
      </c>
      <c r="C31" s="21">
        <f>'11_Credit_Risk_Engine'!K31</f>
        <v/>
      </c>
      <c r="D31" s="21">
        <f>'11_Credit_Risk_Engine'!Q31</f>
        <v/>
      </c>
      <c r="E31" s="26">
        <f>C31*D31*10000</f>
        <v/>
      </c>
      <c r="F31" s="25">
        <f>'3_Scenario_Engine'!Z31</f>
        <v/>
      </c>
      <c r="G31" s="25">
        <f>IF(F31&lt;'6_Credit_Bridge_Assumptions'!$B$15,'6_Credit_Bridge_Assumptions'!$B$22,IF(F31&lt;'6_Credit_Bridge_Assumptions'!$B$16,'6_Credit_Bridge_Assumptions'!$B$23,'6_Credit_Bridge_Assumptions'!$B$24))</f>
        <v/>
      </c>
      <c r="H31" s="26">
        <f>E31*G31</f>
        <v/>
      </c>
      <c r="I31" s="41">
        <f>'3_Scenario_Engine'!T31</f>
        <v/>
      </c>
      <c r="J31" s="24">
        <f>'3_Scenario_Engine'!U31</f>
        <v/>
      </c>
      <c r="K31" s="27">
        <f>-I31*(H31/10000)</f>
        <v/>
      </c>
      <c r="L31" s="24">
        <f>J31*K31</f>
        <v/>
      </c>
      <c r="M31" s="26">
        <f>'3_Scenario_Engine'!F31</f>
        <v/>
      </c>
      <c r="N31" s="24">
        <f>'3_Scenario_Engine'!AQ31</f>
        <v/>
      </c>
      <c r="O31" s="24">
        <f>L31-N31</f>
        <v/>
      </c>
      <c r="P31" s="24">
        <f>'11_Credit_Risk_Engine'!W31</f>
        <v/>
      </c>
      <c r="Q31" s="27">
        <f>P31/J31</f>
        <v/>
      </c>
      <c r="R31" s="41">
        <f>(ABS(K31)-Q31)*100</f>
        <v/>
      </c>
      <c r="S31" s="23">
        <f>INDEX('10_GICS_Asset_Vol'!$C$3:$C$165,MATCH(B31,'10_GICS_Asset_Vol'!$A$3:$A$165,0))</f>
        <v/>
      </c>
      <c r="T31" s="23">
        <f>INDEX('10_GICS_Asset_Vol'!$D$3:$D$165,MATCH(B31,'10_GICS_Asset_Vol'!$A$3:$A$165,0))</f>
        <v/>
      </c>
      <c r="U31" s="23">
        <f>INDEX('10_GICS_Asset_Vol'!$E$3:$E$165,MATCH(B31,'10_GICS_Asset_Vol'!$A$3:$A$165,0))</f>
        <v/>
      </c>
      <c r="V31" s="23">
        <f>INDEX('8_UK_Spread_Input'!$D$5:$D$15,MATCH(S31,'8_UK_Spread_Input'!$A$5:$A$15,0))</f>
        <v/>
      </c>
      <c r="W31" s="23">
        <f>INDEX('8_UK_Spread_Input'!$D$20:$D$44,MATCH(U31,'8_UK_Spread_Input'!$A$20:$A$44,0))</f>
        <v/>
      </c>
      <c r="X31" s="23">
        <f>INDEX('8_UK_Spread_Input'!$D$49:$D$122,MATCH(T31,'8_UK_Spread_Input'!$A$49:$A$122,0))</f>
        <v/>
      </c>
      <c r="Y31" s="23">
        <f>INDEX('8_UK_Spread_Input'!$D$127:$D$289,MATCH(B31,'8_UK_Spread_Input'!$A$127:$A$289,0))</f>
        <v/>
      </c>
      <c r="Z31" s="41">
        <f>(W31/V31)*(X31/W31)*(Y31/X31)</f>
        <v/>
      </c>
      <c r="AA31" s="24">
        <f>J31*(-I31*((M31*Z31)/10000))</f>
        <v/>
      </c>
    </row>
    <row r="32">
      <c r="A32" s="21">
        <f>'3_Scenario_Engine'!A32</f>
        <v/>
      </c>
      <c r="B32" s="21">
        <f>'3_Scenario_Engine'!B32</f>
        <v/>
      </c>
      <c r="C32" s="21">
        <f>'11_Credit_Risk_Engine'!K32</f>
        <v/>
      </c>
      <c r="D32" s="21">
        <f>'11_Credit_Risk_Engine'!Q32</f>
        <v/>
      </c>
      <c r="E32" s="26">
        <f>C32*D32*10000</f>
        <v/>
      </c>
      <c r="F32" s="25">
        <f>'3_Scenario_Engine'!Z32</f>
        <v/>
      </c>
      <c r="G32" s="25">
        <f>IF(F32&lt;'6_Credit_Bridge_Assumptions'!$B$15,'6_Credit_Bridge_Assumptions'!$B$22,IF(F32&lt;'6_Credit_Bridge_Assumptions'!$B$16,'6_Credit_Bridge_Assumptions'!$B$23,'6_Credit_Bridge_Assumptions'!$B$24))</f>
        <v/>
      </c>
      <c r="H32" s="26">
        <f>E32*G32</f>
        <v/>
      </c>
      <c r="I32" s="41">
        <f>'3_Scenario_Engine'!T32</f>
        <v/>
      </c>
      <c r="J32" s="24">
        <f>'3_Scenario_Engine'!U32</f>
        <v/>
      </c>
      <c r="K32" s="27">
        <f>-I32*(H32/10000)</f>
        <v/>
      </c>
      <c r="L32" s="24">
        <f>J32*K32</f>
        <v/>
      </c>
      <c r="M32" s="26">
        <f>'3_Scenario_Engine'!F32</f>
        <v/>
      </c>
      <c r="N32" s="24">
        <f>'3_Scenario_Engine'!AQ32</f>
        <v/>
      </c>
      <c r="O32" s="24">
        <f>L32-N32</f>
        <v/>
      </c>
      <c r="P32" s="24">
        <f>'11_Credit_Risk_Engine'!W32</f>
        <v/>
      </c>
      <c r="Q32" s="27">
        <f>P32/J32</f>
        <v/>
      </c>
      <c r="R32" s="41">
        <f>(ABS(K32)-Q32)*100</f>
        <v/>
      </c>
      <c r="S32" s="23">
        <f>INDEX('10_GICS_Asset_Vol'!$C$3:$C$165,MATCH(B32,'10_GICS_Asset_Vol'!$A$3:$A$165,0))</f>
        <v/>
      </c>
      <c r="T32" s="23">
        <f>INDEX('10_GICS_Asset_Vol'!$D$3:$D$165,MATCH(B32,'10_GICS_Asset_Vol'!$A$3:$A$165,0))</f>
        <v/>
      </c>
      <c r="U32" s="23">
        <f>INDEX('10_GICS_Asset_Vol'!$E$3:$E$165,MATCH(B32,'10_GICS_Asset_Vol'!$A$3:$A$165,0))</f>
        <v/>
      </c>
      <c r="V32" s="23">
        <f>INDEX('8_UK_Spread_Input'!$D$5:$D$15,MATCH(S32,'8_UK_Spread_Input'!$A$5:$A$15,0))</f>
        <v/>
      </c>
      <c r="W32" s="23">
        <f>INDEX('8_UK_Spread_Input'!$D$20:$D$44,MATCH(U32,'8_UK_Spread_Input'!$A$20:$A$44,0))</f>
        <v/>
      </c>
      <c r="X32" s="23">
        <f>INDEX('8_UK_Spread_Input'!$D$49:$D$122,MATCH(T32,'8_UK_Spread_Input'!$A$49:$A$122,0))</f>
        <v/>
      </c>
      <c r="Y32" s="23">
        <f>INDEX('8_UK_Spread_Input'!$D$127:$D$289,MATCH(B32,'8_UK_Spread_Input'!$A$127:$A$289,0))</f>
        <v/>
      </c>
      <c r="Z32" s="41">
        <f>(W32/V32)*(X32/W32)*(Y32/X32)</f>
        <v/>
      </c>
      <c r="AA32" s="24">
        <f>J32*(-I32*((M32*Z32)/10000))</f>
        <v/>
      </c>
    </row>
  </sheetData>
  <mergeCells count="1">
    <mergeCell ref="A1:AA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  <col width="24" customWidth="1" min="5" max="5"/>
  </cols>
  <sheetData>
    <row r="1" ht="28" customHeight="1">
      <c r="A1" s="1" t="inlineStr">
        <is>
          <t>STEP 13 — bottom-up and THREE top-down bases, shown side by side on the SAME basis (stress loss, $m and % of invested), plus sensitivity and rating cross-check.</t>
        </is>
      </c>
    </row>
    <row r="3" ht="30" customHeight="1">
      <c r="A3" s="29" t="inlineStr">
        <is>
          <t>SIDE-BY-SIDE — same portfolio, same SWES scenario, same units (stress loss). Bottom-up is an accounting/fundamental EL view; the three top-down bases are mark-to-market views — read together, not forced to equal each other (see 5_CreditBridge_ReadMe).</t>
        </is>
      </c>
    </row>
    <row r="5" ht="32" customHeight="1">
      <c r="A5" s="5" t="inlineStr">
        <is>
          <t>Metric</t>
        </is>
      </c>
      <c r="B5" s="5" t="inlineStr">
        <is>
          <t>BOTTOM-UP
(Merton PD x LGD x EAD)</t>
        </is>
      </c>
      <c r="C5" s="5" t="inlineStr">
        <is>
          <t>TOP-DOWN
(Credit-Derived Spread)</t>
        </is>
      </c>
      <c r="D5" s="5" t="inlineStr">
        <is>
          <t>TOP-DOWN
(Exogenous SWES Spread)</t>
        </is>
      </c>
      <c r="E5" s="5" t="inlineStr">
        <is>
          <t>TOP-DOWN
(Spread-Cascade-Adjusted, dummy)</t>
        </is>
      </c>
    </row>
    <row r="6" ht="20" customHeight="1">
      <c r="A6" s="30" t="inlineStr">
        <is>
          <t>Stress loss ($m)</t>
        </is>
      </c>
      <c r="B6" s="24">
        <f>SUM('11_Credit_Risk_Engine'!$W$3:$W$32)</f>
        <v/>
      </c>
      <c r="C6" s="24">
        <f>ABS(SUM('12_TopDown_Spread_Engine'!$L$3:$L$32))</f>
        <v/>
      </c>
      <c r="D6" s="24">
        <f>ABS(SUM('12_TopDown_Spread_Engine'!$N$3:$N$32))</f>
        <v/>
      </c>
      <c r="E6" s="24">
        <f>ABS(SUM('12_TopDown_Spread_Engine'!$AA$3:$AA$32))</f>
        <v/>
      </c>
    </row>
    <row r="7" ht="20" customHeight="1">
      <c r="A7" s="30" t="inlineStr">
        <is>
          <t>Stress loss (% of invested)</t>
        </is>
      </c>
      <c r="B7" s="27">
        <f>SUM('11_Credit_Risk_Engine'!$W$3:$W$32)/SUM('12_TopDown_Spread_Engine'!$J$3:$J$32)</f>
        <v/>
      </c>
      <c r="C7" s="27">
        <f>ABS(SUM('12_TopDown_Spread_Engine'!$L$3:$L$32))/SUM('12_TopDown_Spread_Engine'!$J$3:$J$32)</f>
        <v/>
      </c>
      <c r="D7" s="27">
        <f>ABS(SUM('12_TopDown_Spread_Engine'!$N$3:$N$32))/SUM('12_TopDown_Spread_Engine'!$J$3:$J$32)</f>
        <v/>
      </c>
      <c r="E7" s="27">
        <f>ABS(SUM('12_TopDown_Spread_Engine'!$AA$3:$AA$32))/SUM('12_TopDown_Spread_Engine'!$J$3:$J$32)</f>
        <v/>
      </c>
    </row>
    <row r="8" ht="20" customHeight="1">
      <c r="A8" s="30" t="inlineStr">
        <is>
          <t>Ratio to bottom-up (x)</t>
        </is>
      </c>
      <c r="B8" s="25">
        <f>1</f>
        <v/>
      </c>
      <c r="C8" s="25">
        <f>ABS(SUM('12_TopDown_Spread_Engine'!$L$3:$L$32))/SUM('11_Credit_Risk_Engine'!$W$3:$W$32)</f>
        <v/>
      </c>
      <c r="D8" s="25">
        <f>ABS(SUM('12_TopDown_Spread_Engine'!$N$3:$N$32))/SUM('11_Credit_Risk_Engine'!$W$3:$W$32)</f>
        <v/>
      </c>
      <c r="E8" s="25">
        <f>ABS(SUM('12_TopDown_Spread_Engine'!$AA$3:$AA$32))/SUM('11_Credit_Risk_Engine'!$W$3:$W$32)</f>
        <v/>
      </c>
    </row>
    <row r="10">
      <c r="A10" s="30" t="inlineStr">
        <is>
          <t>Total invested at cost ($m)</t>
        </is>
      </c>
      <c r="B10" s="24">
        <f>SUM('12_TopDown_Spread_Engine'!$J$3:$J$32)</f>
        <v/>
      </c>
    </row>
    <row r="12">
      <c r="A12" s="29" t="inlineStr">
        <is>
          <t>SENSITIVITY — portfolio credit-derived MTM at a FLAT Risk Premium Multiplier (overrides the rating-band table)</t>
        </is>
      </c>
    </row>
    <row r="13">
      <c r="A13" s="30" t="inlineStr">
        <is>
          <t>MTM at 1.0x (≈ pure actuarial expected loss)</t>
        </is>
      </c>
      <c r="B13" s="24">
        <f>-SUMPRODUCT('12_TopDown_Spread_Engine'!$I$3:$I$32,'12_TopDown_Spread_Engine'!$E$3:$E$32)/10000*1.0</f>
        <v/>
      </c>
    </row>
    <row r="14">
      <c r="A14" s="30" t="inlineStr">
        <is>
          <t>MTM at 1.5x</t>
        </is>
      </c>
      <c r="B14" s="24">
        <f>-SUMPRODUCT('12_TopDown_Spread_Engine'!$I$3:$I$32,'12_TopDown_Spread_Engine'!$E$3:$E$32)/10000*1.5</f>
        <v/>
      </c>
    </row>
    <row r="15">
      <c r="A15" s="30" t="inlineStr">
        <is>
          <t>MTM at 2.0x</t>
        </is>
      </c>
      <c r="B15" s="24">
        <f>-SUMPRODUCT('12_TopDown_Spread_Engine'!$I$3:$I$32,'12_TopDown_Spread_Engine'!$E$3:$E$32)/10000*2.0</f>
        <v/>
      </c>
    </row>
    <row r="16">
      <c r="A16" s="30" t="inlineStr">
        <is>
          <t>MTM at 2.5x</t>
        </is>
      </c>
      <c r="B16" s="24">
        <f>-SUMPRODUCT('12_TopDown_Spread_Engine'!$I$3:$I$32,'12_TopDown_Spread_Engine'!$E$3:$E$32)/10000*2.5</f>
        <v/>
      </c>
    </row>
    <row r="17">
      <c r="A17" s="30" t="inlineStr">
        <is>
          <t>MTM at 3.0x</t>
        </is>
      </c>
      <c r="B17" s="24">
        <f>-SUMPRODUCT('12_TopDown_Spread_Engine'!$I$3:$I$32,'12_TopDown_Spread_Engine'!$E$3:$E$32)/10000*3.0</f>
        <v/>
      </c>
    </row>
    <row r="18">
      <c r="A18" s="30" t="inlineStr"/>
      <c r="B18" s="21" t="n"/>
    </row>
    <row r="19">
      <c r="A19" s="29" t="inlineStr">
        <is>
          <t>RATING CROSS-CHECK — invested-weighted Merton stressed PD vs S&amp;P Global long-run average, by implied rating</t>
        </is>
      </c>
    </row>
    <row r="20">
      <c r="A20" s="30" t="inlineStr">
        <is>
          <t>BB — # deals / invested-wtd Merton PD / S&amp;P benchmark PD</t>
        </is>
      </c>
      <c r="B20" s="21">
        <f>COUNTIF('11_Credit_Risk_Engine'!$M$3:$M$32,"BB")&amp;"  /  "&amp;TEXT(SUMPRODUCT(('11_Credit_Risk_Engine'!$M$3:$M$32="BB")*'11_Credit_Risk_Engine'!$J$3:$J$32*'11_Credit_Risk_Engine'!$T$3:$T$32)/MAX(1,SUMPRODUCT(('11_Credit_Risk_Engine'!$M$3:$M$32="BB")*'11_Credit_Risk_Engine'!$T$3:$T$32)),"0.00%")&amp;"  /  "&amp;TEXT('6_Credit_Bridge_Assumptions'!$B$17,"0.00%")</f>
        <v/>
      </c>
    </row>
    <row r="21">
      <c r="A21" s="30" t="inlineStr">
        <is>
          <t>B — # deals / invested-wtd Merton PD / S&amp;P benchmark PD</t>
        </is>
      </c>
      <c r="B21" s="21">
        <f>COUNTIF('11_Credit_Risk_Engine'!$M$3:$M$32,"B")&amp;"  /  "&amp;TEXT(SUMPRODUCT(('11_Credit_Risk_Engine'!$M$3:$M$32="B")*'11_Credit_Risk_Engine'!$J$3:$J$32*'11_Credit_Risk_Engine'!$T$3:$T$32)/MAX(1,SUMPRODUCT(('11_Credit_Risk_Engine'!$M$3:$M$32="B")*'11_Credit_Risk_Engine'!$T$3:$T$32)),"0.00%")&amp;"  /  "&amp;TEXT('6_Credit_Bridge_Assumptions'!$B$18,"0.00%")</f>
        <v/>
      </c>
    </row>
    <row r="22">
      <c r="A22" s="30" t="inlineStr">
        <is>
          <t>CCC/C — # deals / invested-wtd Merton PD / S&amp;P benchmark PD</t>
        </is>
      </c>
      <c r="B22" s="21">
        <f>COUNTIF('11_Credit_Risk_Engine'!$M$3:$M$32,"CCC/C")&amp;"  /  "&amp;TEXT(SUMPRODUCT(('11_Credit_Risk_Engine'!$M$3:$M$32="CCC/C")*'11_Credit_Risk_Engine'!$J$3:$J$32*'11_Credit_Risk_Engine'!$T$3:$T$32)/MAX(1,SUMPRODUCT(('11_Credit_Risk_Engine'!$M$3:$M$32="CCC/C")*'11_Credit_Risk_Engine'!$T$3:$T$32)),"0.00%")&amp;"  /  "&amp;TEXT('6_Credit_Bridge_Assumptions'!$B$19,"0.00%")</f>
        <v/>
      </c>
    </row>
    <row r="24">
      <c r="A24" s="31" t="inlineStr">
        <is>
          <t>Rating cross-check cells are text concatenations (count / invested-weighted Merton PD / S&amp;P benchmark PD) for quick eyeballing — pull the three components apart into separate cells if you want them chartable.</t>
        </is>
      </c>
    </row>
  </sheetData>
  <mergeCells count="4">
    <mergeCell ref="A19:E19"/>
    <mergeCell ref="A1:E1"/>
    <mergeCell ref="A12:E1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2026-08-12T06:13:25Z</dcterms:created>
  <dcterms:modified xmlns:dcterms="http://purl.org/dc/terms/" xmlns:xsi="http://www.w3.org/2001/XMLSchema-instance" xsi:type="dcterms:W3CDTF">2026-08-12T06:13:26Z</dcterms:modified>
</cp:coreProperties>
</file>