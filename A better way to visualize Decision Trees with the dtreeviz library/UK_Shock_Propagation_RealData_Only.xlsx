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GICS_Structure" sheetId="2" state="visible" r:id="rId2"/>
    <sheet xmlns:r="http://schemas.openxmlformats.org/officeDocument/2006/relationships" name="2_UK_Bloomberg_Data" sheetId="3" state="visible" r:id="rId3"/>
    <sheet xmlns:r="http://schemas.openxmlformats.org/officeDocument/2006/relationships" name="3_UK_L1_Input" sheetId="4" state="visible" r:id="rId4"/>
    <sheet xmlns:r="http://schemas.openxmlformats.org/officeDocument/2006/relationships" name="4_UK_Beta_Input" sheetId="5" state="visible" r:id="rId5"/>
    <sheet xmlns:r="http://schemas.openxmlformats.org/officeDocument/2006/relationships" name="5_UK_DefaultRisk_Input" sheetId="6" state="visible" r:id="rId6"/>
    <sheet xmlns:r="http://schemas.openxmlformats.org/officeDocument/2006/relationships" name="6_Cascade_Engine" sheetId="7" state="visible" r:id="rId7"/>
    <sheet xmlns:r="http://schemas.openxmlformats.org/officeDocument/2006/relationships" name="7_Control_Check" sheetId="8" state="visible" r:id="rId8"/>
    <sheet xmlns:r="http://schemas.openxmlformats.org/officeDocument/2006/relationships" name="8_Output"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1F4E79"/>
      <sz val="14"/>
    </font>
    <font>
      <i val="1"/>
      <color rgb="00555555"/>
      <sz val="11"/>
    </font>
    <font>
      <sz val="10"/>
    </font>
    <font>
      <b val="1"/>
      <color rgb="001F4E79"/>
      <sz val="11"/>
    </font>
    <font>
      <b val="1"/>
      <color rgb="00FFFFFF"/>
    </font>
    <font>
      <i val="1"/>
      <color rgb="00666666"/>
      <sz val="9"/>
    </font>
    <font>
      <i val="1"/>
      <color rgb="00C00000"/>
      <sz val="8.5"/>
    </font>
    <font>
      <b val="1"/>
      <color rgb="008a6d1a"/>
    </font>
    <font>
      <color rgb="00375623"/>
      <sz val="9"/>
    </font>
    <font>
      <color rgb="00C00000"/>
      <sz val="9"/>
    </font>
    <font>
      <b val="1"/>
      <color rgb="001F4E79"/>
      <sz val="10.5"/>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0" fillId="0" borderId="1" pivotButton="0" quotePrefix="0" xfId="0"/>
    <xf numFmtId="0" fontId="0" fillId="3" borderId="1" pivotButton="0" quotePrefix="0" xfId="0"/>
    <xf numFmtId="3" fontId="0" fillId="3" borderId="1" pivotButton="0" quotePrefix="0" xfId="0"/>
    <xf numFmtId="2" fontId="0" fillId="3" borderId="1" pivotButton="0" quotePrefix="0" xfId="0"/>
    <xf numFmtId="0" fontId="7" fillId="0" borderId="1" pivotButton="0" quotePrefix="0" xfId="0"/>
    <xf numFmtId="0" fontId="8" fillId="0" borderId="0" pivotButton="0" quotePrefix="0" xfId="0"/>
    <xf numFmtId="164" fontId="0" fillId="4" borderId="1" pivotButton="0" quotePrefix="0" xfId="0"/>
    <xf numFmtId="2" fontId="0" fillId="5" borderId="1" pivotButton="0" quotePrefix="0" xfId="0"/>
    <xf numFmtId="1" fontId="0" fillId="5" borderId="1" pivotButton="0" quotePrefix="0" xfId="0"/>
    <xf numFmtId="2" fontId="0" fillId="6" borderId="1" pivotButton="0" quotePrefix="0" xfId="0"/>
    <xf numFmtId="164" fontId="0" fillId="6" borderId="1" pivotButton="0" quotePrefix="0" xfId="0"/>
    <xf numFmtId="0" fontId="9" fillId="0" borderId="1" pivotButton="0" quotePrefix="0" xfId="0"/>
    <xf numFmtId="0" fontId="10" fillId="0" borderId="1" pivotButton="0" quotePrefix="0" xfId="0"/>
    <xf numFmtId="0" fontId="11" fillId="0" borderId="0" pivotButton="0" quotePrefix="0" xfId="0"/>
    <xf numFmtId="164" fontId="0" fillId="0" borderId="1" pivotButton="0" quotePrefix="0" xfId="0"/>
    <xf numFmtId="1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6"/>
  <sheetViews>
    <sheetView showGridLines="0" workbookViewId="0">
      <selection activeCell="A1" sqref="A1"/>
    </sheetView>
  </sheetViews>
  <sheetFormatPr baseColWidth="8" defaultRowHeight="15" outlineLevelCol="0"/>
  <cols>
    <col width="112" customWidth="1" min="1" max="1"/>
  </cols>
  <sheetData>
    <row r="1">
      <c r="A1" s="1" t="inlineStr">
        <is>
          <t>UK GICS SHOCK PROPAGATION — REAL DATA + BETA CASCADE + SPREAD CASCADE (DUMMY, FORMULA-READY)</t>
        </is>
      </c>
    </row>
    <row r="2">
      <c r="A2" s="2" t="inlineStr">
        <is>
          <t>Extends UK_Shock_Propagation_RealData_Only.xlsx. All beta/spread values in 4_UK_Beta_Input and 5_UK_DefaultRisk_Input are DUMMY PLACEHOLDERS — overwrite with real data, everything downstream recalculates automatically.</t>
        </is>
      </c>
    </row>
    <row r="4">
      <c r="A4" s="3" t="inlineStr"/>
    </row>
    <row r="5">
      <c r="A5" s="4" t="inlineStr">
        <is>
          <t>WHAT'S NEW</t>
        </is>
      </c>
    </row>
    <row r="6">
      <c r="A6" s="3" t="inlineStr">
        <is>
          <t>4_UK_Beta_Input — a paste zone holding an UNLEVERED beta value at EACH of the four GICS levels</t>
        </is>
      </c>
    </row>
    <row r="7">
      <c r="A7" s="3" t="inlineStr">
        <is>
          <t>(Sector, Industry Group, Industry, Sub-Industry) independently. This matches how Bloomberg's EQS 'Total by</t>
        </is>
      </c>
    </row>
    <row r="8">
      <c r="A8" s="3" t="inlineStr">
        <is>
          <t>Group' can aggregate a field at any of these four groupings directly on the terminal — paste in real averages</t>
        </is>
      </c>
    </row>
    <row r="9">
      <c r="A9" s="3" t="inlineStr">
        <is>
          <t>at whichever level(s) you pull them, no Excel rollup step needed. ALL VALUES ARE DUMMY RIGHT NOW (a varied,</t>
        </is>
      </c>
    </row>
    <row r="10">
      <c r="A10" s="3" t="inlineStr">
        <is>
          <t>clearly-synthetic placeholder pattern — 0.70/0.85/1.00/1.15/1.30, decorrelated across levels by a hash rather</t>
        </is>
      </c>
    </row>
    <row r="11">
      <c r="A11" s="3" t="inlineStr">
        <is>
          <t>than a naive mod-cycle, since GICS codes are nested numeric prefixes and a naive cycle would collide across</t>
        </is>
      </c>
    </row>
    <row r="12">
      <c r="A12" s="3" t="inlineStr">
        <is>
          <t>all four levels for many codes — so the formula chain is verifiable today, not trivially multiplying by 1.0).</t>
        </is>
      </c>
    </row>
    <row r="13">
      <c r="A13" s="3" t="inlineStr"/>
    </row>
    <row r="14">
      <c r="A14" s="3" t="inlineStr">
        <is>
          <t>5_UK_DefaultRisk_Input — same structure, one level down: Bloomberg issuer default-risk spread (bps, e.g. a</t>
        </is>
      </c>
    </row>
    <row r="15">
      <c r="A15" s="3" t="inlineStr">
        <is>
          <t>DRSK-implied CDS-equivalent spread) at all four GICS levels, DUMMY for now. Used as a THIRD EV/EBITDA basis</t>
        </is>
      </c>
    </row>
    <row r="16">
      <c r="A16" s="3" t="inlineStr">
        <is>
          <t>only (not Revenue — see below for why), the same telescoping cascade as beta.</t>
        </is>
      </c>
    </row>
    <row r="17">
      <c r="A17" s="3" t="inlineStr"/>
    </row>
    <row r="18">
      <c r="A18" s="4" t="inlineStr">
        <is>
          <t>WHY UNLEVERED BETA, NOT ADJUSTED/LEVERED — AND WHY SPREAD ISN'T USED FOR REVENUE EITHER</t>
        </is>
      </c>
    </row>
    <row r="19">
      <c r="A19" s="3" t="inlineStr">
        <is>
          <t>Revenue and EV/EBITDA are pre-financing, operating-level metrics. Levered (equity) beta is inflated by each</t>
        </is>
      </c>
    </row>
    <row r="20">
      <c r="A20" s="3" t="inlineStr">
        <is>
          <t>company's own debt, so using it to differentiate an operating shock would let financing choice (an accident of</t>
        </is>
      </c>
    </row>
    <row r="21">
      <c r="A21" s="3" t="inlineStr">
        <is>
          <t>capital structure, unrelated to genuine business cyclicality) contaminate the comparison. Unlevering removes</t>
        </is>
      </c>
    </row>
    <row r="22">
      <c r="A22" s="3" t="inlineStr">
        <is>
          <t>that. This is exactly consistent with what Damodaran's 'unlevered beta corrected for cash' field was already</t>
        </is>
      </c>
    </row>
    <row r="23">
      <c r="A23" s="3" t="inlineStr">
        <is>
          <t>doing before it was removed for being US-specific — same concept, now meant to be sourced from real UK data.</t>
        </is>
      </c>
    </row>
    <row r="24">
      <c r="A24" s="3" t="inlineStr">
        <is>
          <t>A credit spread has the SAME contamination problem as levered beta, for the same reason: it reflects an</t>
        </is>
      </c>
    </row>
    <row r="25">
      <c r="A25" s="3" t="inlineStr">
        <is>
          <t>issuer's overall default risk, which is a function of BOTH business risk AND financial leverage combined —</t>
        </is>
      </c>
    </row>
    <row r="26">
      <c r="A26" s="3" t="inlineStr">
        <is>
          <t>there's no clean 'unlevered spread' analogue the way Hamada unlevering works for beta. So spread is used ONLY</t>
        </is>
      </c>
    </row>
    <row r="27">
      <c r="A27" s="3" t="inlineStr">
        <is>
          <t>for EV/EBITDA (where it's a direct, natural discount-rate/risk-premium signal, consistent with the Gordon-</t>
        </is>
      </c>
    </row>
    <row r="28">
      <c r="A28" s="3" t="inlineStr">
        <is>
          <t>growth logic RelMultiple already uses), never for Revenue.</t>
        </is>
      </c>
    </row>
    <row r="29">
      <c r="A29" s="3" t="inlineStr"/>
    </row>
    <row r="30">
      <c r="A30" s="4" t="inlineStr">
        <is>
          <t>THE CASCADE (same telescoping structure for both beta and spread, each sourced independently at each level</t>
        </is>
      </c>
    </row>
    <row r="31">
      <c r="A31" s="3" t="inlineStr">
        <is>
          <t>rather than rolled up from Sub-Industry alone):</t>
        </is>
      </c>
    </row>
    <row r="32">
      <c r="A32" s="3" t="inlineStr">
        <is>
          <t xml:space="preserve">  RelX_L2 = IndustryGroupX / SectorX      RelX_L3 = IndustryX / IndustryGroupX      RelX_L4 = SubIndustryX / IndustryX</t>
        </is>
      </c>
    </row>
    <row r="33">
      <c r="A33" s="3" t="inlineStr">
        <is>
          <t xml:space="preserve">  Shock_L4 = Shock_L1 (PRA SWES sector input) x RelX_L2 x RelX_L3 x RelX_L4   (X = beta or spread)</t>
        </is>
      </c>
    </row>
    <row r="34">
      <c r="A34" s="3" t="inlineStr">
        <is>
          <t>This telescopes to Shock_L1 x (SubIndustryX / SectorX) — algebraically the intermediate levels cancel, but</t>
        </is>
      </c>
    </row>
    <row r="35">
      <c r="A35" s="3" t="inlineStr">
        <is>
          <t>keeping them as separate, independently-sourced inputs means you are not forced to derive Industry and</t>
        </is>
      </c>
    </row>
    <row r="36">
      <c r="A36" s="3" t="inlineStr">
        <is>
          <t>Industry Group figures by rolling up Sub-Industry data in Excel if you'd rather pull them directly from BBG.</t>
        </is>
      </c>
    </row>
    <row r="37">
      <c r="A37" s="3" t="inlineStr"/>
    </row>
    <row r="38">
      <c r="A38" s="4" t="inlineStr">
        <is>
          <t>WHERE EACH CASCADE IS USED</t>
        </is>
      </c>
    </row>
    <row r="39">
      <c r="A39" s="3" t="inlineStr">
        <is>
          <t>Revenue: a NEW column ('Revenue Shock — Beta Cascade') sits ALONGSIDE the existing flat pass-through column,</t>
        </is>
      </c>
    </row>
    <row r="40">
      <c r="A40" s="3" t="inlineStr">
        <is>
          <t>not replacing it — so once real beta is in, you can compare both and decide which you trust more per sector.</t>
        </is>
      </c>
    </row>
    <row r="41">
      <c r="A41" s="3" t="inlineStr">
        <is>
          <t>EV/EBITDA: THREE bases shown side by side — (1) real Bloomberg RelMultiple (Revenue- or Equal-weighted), the</t>
        </is>
      </c>
    </row>
    <row r="42">
      <c r="A42" s="3" t="inlineStr">
        <is>
          <t>primary basis where real data exists; (2) beta cascade, now the FALLBACK for the 38/163 sub-industries with no</t>
        </is>
      </c>
    </row>
    <row r="43">
      <c r="A43" s="3" t="inlineStr">
        <is>
          <t>real multiple (replacing the old flat-shock fallback — a differentiated estimate, once real beta is in, is a</t>
        </is>
      </c>
    </row>
    <row r="44">
      <c r="A44" s="3" t="inlineStr">
        <is>
          <t>strict improvement over an undifferentiated one); (3) spread cascade, a fully independent third estimate for</t>
        </is>
      </c>
    </row>
    <row r="45">
      <c r="A45" s="3" t="inlineStr">
        <is>
          <t>cross-checking, not currently wired as anyone's fallback. Source column tracks which basis produced (1) vs (2).</t>
        </is>
      </c>
    </row>
    <row r="46">
      <c r="A46" s="3" t="inlineStr"/>
    </row>
    <row r="47">
      <c r="A47" s="4" t="inlineStr">
        <is>
          <t>SHEET GUIDE</t>
        </is>
      </c>
    </row>
    <row r="48">
      <c r="A48" s="3" t="inlineStr">
        <is>
          <t>1_GICS_Structure         163 sub-industries, GICS hierarchy (reference)</t>
        </is>
      </c>
    </row>
    <row r="49">
      <c r="A49" s="3" t="inlineStr">
        <is>
          <t>2_UK_Bloomberg_Data      139 sub-industries: market cap, revenue, EV/EBITDA. Real data, values only.</t>
        </is>
      </c>
    </row>
    <row r="50">
      <c r="A50" s="3" t="inlineStr">
        <is>
          <t>3_UK_L1_Input              PASTE ZONE: PRA SWES Level-1 (sector) UK shocks, Year 1</t>
        </is>
      </c>
    </row>
    <row r="51">
      <c r="A51" s="3" t="inlineStr">
        <is>
          <t>4_UK_Beta_Input           PASTE ZONE: unlevered beta, all 4 GICS levels. DUMMY — replace with real data.</t>
        </is>
      </c>
    </row>
    <row r="52">
      <c r="A52" s="3" t="inlineStr">
        <is>
          <t>5_UK_DefaultRisk_Input  PASTE ZONE: issuer default-risk spread bps, all 4 GICS levels. DUMMY — replace.</t>
        </is>
      </c>
    </row>
    <row r="53">
      <c r="A53" s="3" t="inlineStr">
        <is>
          <t>6_Cascade_Engine          163 rows: real-data EV/EBITDA (both weighting bases) + beta-cascade fallback +</t>
        </is>
      </c>
    </row>
    <row r="54">
      <c r="A54" s="3" t="inlineStr">
        <is>
          <t xml:space="preserve">                            spread cascade + revenue (flat pass-through AND beta-cascade), all side by side</t>
        </is>
      </c>
    </row>
    <row r="55">
      <c r="A55" s="3" t="inlineStr">
        <is>
          <t>7_Control_Check            reconciliation: does each basis's sector rollup reconstruct the L1 input</t>
        </is>
      </c>
    </row>
    <row r="56">
      <c r="A56" s="3" t="inlineStr">
        <is>
          <t>8_Output                    clean flat table for lookup against a loan tape's GICS sub-industry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5"/>
  <sheetViews>
    <sheetView showGridLines="0" workbookViewId="0">
      <pane ySplit="2" topLeftCell="A3" activePane="bottomLeft" state="frozen"/>
      <selection pane="bottomLeft" activeCell="A1" sqref="A1"/>
    </sheetView>
  </sheetViews>
  <sheetFormatPr baseColWidth="8" defaultRowHeight="15" outlineLevelCol="0"/>
  <cols>
    <col width="10" customWidth="1" min="1" max="1"/>
    <col width="22" customWidth="1" min="2" max="2"/>
    <col width="8" customWidth="1" min="3" max="3"/>
    <col width="26" customWidth="1" min="4" max="4"/>
    <col width="10" customWidth="1" min="5" max="5"/>
    <col width="34" customWidth="1" min="6" max="6"/>
    <col width="12" customWidth="1" min="7" max="7"/>
    <col width="34" customWidth="1" min="8" max="8"/>
  </cols>
  <sheetData>
    <row r="1">
      <c r="A1" s="5" t="inlineStr">
        <is>
          <t>Reference sheet, GICS hierarchy for context/navigation and for the beta-cascade parent lookups on 5_Cascade_Engine.</t>
        </is>
      </c>
    </row>
    <row r="2">
      <c r="A2" s="6" t="inlineStr">
        <is>
          <t>Sector Code</t>
        </is>
      </c>
      <c r="B2" s="6" t="inlineStr">
        <is>
          <t>Sector</t>
        </is>
      </c>
      <c r="C2" s="6" t="inlineStr">
        <is>
          <t>IG Code</t>
        </is>
      </c>
      <c r="D2" s="6" t="inlineStr">
        <is>
          <t>Industry Group</t>
        </is>
      </c>
      <c r="E2" s="6" t="inlineStr">
        <is>
          <t>Industry Code</t>
        </is>
      </c>
      <c r="F2" s="6" t="inlineStr">
        <is>
          <t>Industry</t>
        </is>
      </c>
      <c r="G2" s="6" t="inlineStr">
        <is>
          <t>Sub-Ind Code</t>
        </is>
      </c>
      <c r="H2" s="6" t="inlineStr">
        <is>
          <t>Sub-Industry</t>
        </is>
      </c>
    </row>
    <row r="3">
      <c r="A3" s="7" t="n">
        <v>10</v>
      </c>
      <c r="B3" s="7" t="inlineStr">
        <is>
          <t>Energy</t>
        </is>
      </c>
      <c r="C3" s="7" t="n">
        <v>1010</v>
      </c>
      <c r="D3" s="7" t="inlineStr">
        <is>
          <t>Energy</t>
        </is>
      </c>
      <c r="E3" s="7" t="n">
        <v>101010</v>
      </c>
      <c r="F3" s="7" t="inlineStr">
        <is>
          <t>Energy Equipment &amp; Services</t>
        </is>
      </c>
      <c r="G3" s="7" t="n">
        <v>10101010</v>
      </c>
      <c r="H3" s="7" t="inlineStr">
        <is>
          <t>Oil &amp; Gas Drilling</t>
        </is>
      </c>
    </row>
    <row r="4">
      <c r="A4" s="7" t="n">
        <v>10</v>
      </c>
      <c r="B4" s="7" t="inlineStr">
        <is>
          <t>Energy</t>
        </is>
      </c>
      <c r="C4" s="7" t="n">
        <v>1010</v>
      </c>
      <c r="D4" s="7" t="inlineStr">
        <is>
          <t>Energy</t>
        </is>
      </c>
      <c r="E4" s="7" t="n">
        <v>101010</v>
      </c>
      <c r="F4" s="7" t="inlineStr">
        <is>
          <t>Energy Equipment &amp; Services</t>
        </is>
      </c>
      <c r="G4" s="7" t="n">
        <v>10101020</v>
      </c>
      <c r="H4" s="7" t="inlineStr">
        <is>
          <t>Oil &amp; Gas Equipment &amp; Services</t>
        </is>
      </c>
    </row>
    <row r="5">
      <c r="A5" s="7" t="n">
        <v>10</v>
      </c>
      <c r="B5" s="7" t="inlineStr">
        <is>
          <t>Energy</t>
        </is>
      </c>
      <c r="C5" s="7" t="n">
        <v>1010</v>
      </c>
      <c r="D5" s="7" t="inlineStr">
        <is>
          <t>Energy</t>
        </is>
      </c>
      <c r="E5" s="7" t="n">
        <v>101020</v>
      </c>
      <c r="F5" s="7" t="inlineStr">
        <is>
          <t>Oil, Gas &amp; Consumable Fuels</t>
        </is>
      </c>
      <c r="G5" s="7" t="n">
        <v>10102010</v>
      </c>
      <c r="H5" s="7" t="inlineStr">
        <is>
          <t>Integrated Oil &amp; Gas</t>
        </is>
      </c>
    </row>
    <row r="6">
      <c r="A6" s="7" t="n">
        <v>10</v>
      </c>
      <c r="B6" s="7" t="inlineStr">
        <is>
          <t>Energy</t>
        </is>
      </c>
      <c r="C6" s="7" t="n">
        <v>1010</v>
      </c>
      <c r="D6" s="7" t="inlineStr">
        <is>
          <t>Energy</t>
        </is>
      </c>
      <c r="E6" s="7" t="n">
        <v>101020</v>
      </c>
      <c r="F6" s="7" t="inlineStr">
        <is>
          <t>Oil, Gas &amp; Consumable Fuels</t>
        </is>
      </c>
      <c r="G6" s="7" t="n">
        <v>10102020</v>
      </c>
      <c r="H6" s="7" t="inlineStr">
        <is>
          <t>Oil &amp; Gas Exploration &amp; Production</t>
        </is>
      </c>
    </row>
    <row r="7">
      <c r="A7" s="7" t="n">
        <v>10</v>
      </c>
      <c r="B7" s="7" t="inlineStr">
        <is>
          <t>Energy</t>
        </is>
      </c>
      <c r="C7" s="7" t="n">
        <v>1010</v>
      </c>
      <c r="D7" s="7" t="inlineStr">
        <is>
          <t>Energy</t>
        </is>
      </c>
      <c r="E7" s="7" t="n">
        <v>101020</v>
      </c>
      <c r="F7" s="7" t="inlineStr">
        <is>
          <t>Oil, Gas &amp; Consumable Fuels</t>
        </is>
      </c>
      <c r="G7" s="7" t="n">
        <v>10102030</v>
      </c>
      <c r="H7" s="7" t="inlineStr">
        <is>
          <t>Oil &amp; Gas Refining &amp; Marketing</t>
        </is>
      </c>
    </row>
    <row r="8">
      <c r="A8" s="7" t="n">
        <v>10</v>
      </c>
      <c r="B8" s="7" t="inlineStr">
        <is>
          <t>Energy</t>
        </is>
      </c>
      <c r="C8" s="7" t="n">
        <v>1010</v>
      </c>
      <c r="D8" s="7" t="inlineStr">
        <is>
          <t>Energy</t>
        </is>
      </c>
      <c r="E8" s="7" t="n">
        <v>101020</v>
      </c>
      <c r="F8" s="7" t="inlineStr">
        <is>
          <t>Oil, Gas &amp; Consumable Fuels</t>
        </is>
      </c>
      <c r="G8" s="7" t="n">
        <v>10102040</v>
      </c>
      <c r="H8" s="7" t="inlineStr">
        <is>
          <t>Oil &amp; Gas Storage &amp; Transportation</t>
        </is>
      </c>
    </row>
    <row r="9">
      <c r="A9" s="7" t="n">
        <v>10</v>
      </c>
      <c r="B9" s="7" t="inlineStr">
        <is>
          <t>Energy</t>
        </is>
      </c>
      <c r="C9" s="7" t="n">
        <v>1010</v>
      </c>
      <c r="D9" s="7" t="inlineStr">
        <is>
          <t>Energy</t>
        </is>
      </c>
      <c r="E9" s="7" t="n">
        <v>101020</v>
      </c>
      <c r="F9" s="7" t="inlineStr">
        <is>
          <t>Oil, Gas &amp; Consumable Fuels</t>
        </is>
      </c>
      <c r="G9" s="7" t="n">
        <v>10102050</v>
      </c>
      <c r="H9" s="7" t="inlineStr">
        <is>
          <t>Coal &amp; Consumable Fuels</t>
        </is>
      </c>
    </row>
    <row r="10">
      <c r="A10" s="7" t="n">
        <v>15</v>
      </c>
      <c r="B10" s="7" t="inlineStr">
        <is>
          <t>Materials</t>
        </is>
      </c>
      <c r="C10" s="7" t="n">
        <v>1510</v>
      </c>
      <c r="D10" s="7" t="inlineStr">
        <is>
          <t>Materials</t>
        </is>
      </c>
      <c r="E10" s="7" t="n">
        <v>151010</v>
      </c>
      <c r="F10" s="7" t="inlineStr">
        <is>
          <t>Chemicals</t>
        </is>
      </c>
      <c r="G10" s="7" t="n">
        <v>15101010</v>
      </c>
      <c r="H10" s="7" t="inlineStr">
        <is>
          <t>Commodity Chemicals</t>
        </is>
      </c>
    </row>
    <row r="11">
      <c r="A11" s="7" t="n">
        <v>15</v>
      </c>
      <c r="B11" s="7" t="inlineStr">
        <is>
          <t>Materials</t>
        </is>
      </c>
      <c r="C11" s="7" t="n">
        <v>1510</v>
      </c>
      <c r="D11" s="7" t="inlineStr">
        <is>
          <t>Materials</t>
        </is>
      </c>
      <c r="E11" s="7" t="n">
        <v>151010</v>
      </c>
      <c r="F11" s="7" t="inlineStr">
        <is>
          <t>Chemicals</t>
        </is>
      </c>
      <c r="G11" s="7" t="n">
        <v>15101020</v>
      </c>
      <c r="H11" s="7" t="inlineStr">
        <is>
          <t>Diversified Chemicals</t>
        </is>
      </c>
    </row>
    <row r="12">
      <c r="A12" s="7" t="n">
        <v>15</v>
      </c>
      <c r="B12" s="7" t="inlineStr">
        <is>
          <t>Materials</t>
        </is>
      </c>
      <c r="C12" s="7" t="n">
        <v>1510</v>
      </c>
      <c r="D12" s="7" t="inlineStr">
        <is>
          <t>Materials</t>
        </is>
      </c>
      <c r="E12" s="7" t="n">
        <v>151010</v>
      </c>
      <c r="F12" s="7" t="inlineStr">
        <is>
          <t>Chemicals</t>
        </is>
      </c>
      <c r="G12" s="7" t="n">
        <v>15101030</v>
      </c>
      <c r="H12" s="7" t="inlineStr">
        <is>
          <t>Fertilizers &amp; Agricultural Chemicals</t>
        </is>
      </c>
    </row>
    <row r="13">
      <c r="A13" s="7" t="n">
        <v>15</v>
      </c>
      <c r="B13" s="7" t="inlineStr">
        <is>
          <t>Materials</t>
        </is>
      </c>
      <c r="C13" s="7" t="n">
        <v>1510</v>
      </c>
      <c r="D13" s="7" t="inlineStr">
        <is>
          <t>Materials</t>
        </is>
      </c>
      <c r="E13" s="7" t="n">
        <v>151010</v>
      </c>
      <c r="F13" s="7" t="inlineStr">
        <is>
          <t>Chemicals</t>
        </is>
      </c>
      <c r="G13" s="7" t="n">
        <v>15101040</v>
      </c>
      <c r="H13" s="7" t="inlineStr">
        <is>
          <t>Industrial Gases</t>
        </is>
      </c>
    </row>
    <row r="14">
      <c r="A14" s="7" t="n">
        <v>15</v>
      </c>
      <c r="B14" s="7" t="inlineStr">
        <is>
          <t>Materials</t>
        </is>
      </c>
      <c r="C14" s="7" t="n">
        <v>1510</v>
      </c>
      <c r="D14" s="7" t="inlineStr">
        <is>
          <t>Materials</t>
        </is>
      </c>
      <c r="E14" s="7" t="n">
        <v>151010</v>
      </c>
      <c r="F14" s="7" t="inlineStr">
        <is>
          <t>Chemicals</t>
        </is>
      </c>
      <c r="G14" s="7" t="n">
        <v>15101050</v>
      </c>
      <c r="H14" s="7" t="inlineStr">
        <is>
          <t>Specialty Chemicals</t>
        </is>
      </c>
    </row>
    <row r="15">
      <c r="A15" s="7" t="n">
        <v>15</v>
      </c>
      <c r="B15" s="7" t="inlineStr">
        <is>
          <t>Materials</t>
        </is>
      </c>
      <c r="C15" s="7" t="n">
        <v>1510</v>
      </c>
      <c r="D15" s="7" t="inlineStr">
        <is>
          <t>Materials</t>
        </is>
      </c>
      <c r="E15" s="7" t="n">
        <v>151020</v>
      </c>
      <c r="F15" s="7" t="inlineStr">
        <is>
          <t>Construction Materials</t>
        </is>
      </c>
      <c r="G15" s="7" t="n">
        <v>15102010</v>
      </c>
      <c r="H15" s="7" t="inlineStr">
        <is>
          <t>Construction Materials</t>
        </is>
      </c>
    </row>
    <row r="16">
      <c r="A16" s="7" t="n">
        <v>15</v>
      </c>
      <c r="B16" s="7" t="inlineStr">
        <is>
          <t>Materials</t>
        </is>
      </c>
      <c r="C16" s="7" t="n">
        <v>1510</v>
      </c>
      <c r="D16" s="7" t="inlineStr">
        <is>
          <t>Materials</t>
        </is>
      </c>
      <c r="E16" s="7" t="n">
        <v>151030</v>
      </c>
      <c r="F16" s="7" t="inlineStr">
        <is>
          <t>Containers &amp; Packaging</t>
        </is>
      </c>
      <c r="G16" s="7" t="n">
        <v>15103010</v>
      </c>
      <c r="H16" s="7" t="inlineStr">
        <is>
          <t>Metal, Glass &amp; Plastic Containers</t>
        </is>
      </c>
    </row>
    <row r="17">
      <c r="A17" s="7" t="n">
        <v>15</v>
      </c>
      <c r="B17" s="7" t="inlineStr">
        <is>
          <t>Materials</t>
        </is>
      </c>
      <c r="C17" s="7" t="n">
        <v>1510</v>
      </c>
      <c r="D17" s="7" t="inlineStr">
        <is>
          <t>Materials</t>
        </is>
      </c>
      <c r="E17" s="7" t="n">
        <v>151030</v>
      </c>
      <c r="F17" s="7" t="inlineStr">
        <is>
          <t>Containers &amp; Packaging</t>
        </is>
      </c>
      <c r="G17" s="7" t="n">
        <v>15103020</v>
      </c>
      <c r="H17" s="7" t="inlineStr">
        <is>
          <t>Paper &amp; Plastic Packaging Products &amp; Materials</t>
        </is>
      </c>
    </row>
    <row r="18">
      <c r="A18" s="7" t="n">
        <v>15</v>
      </c>
      <c r="B18" s="7" t="inlineStr">
        <is>
          <t>Materials</t>
        </is>
      </c>
      <c r="C18" s="7" t="n">
        <v>1510</v>
      </c>
      <c r="D18" s="7" t="inlineStr">
        <is>
          <t>Materials</t>
        </is>
      </c>
      <c r="E18" s="7" t="n">
        <v>151040</v>
      </c>
      <c r="F18" s="7" t="inlineStr">
        <is>
          <t>Metals &amp; Mining</t>
        </is>
      </c>
      <c r="G18" s="7" t="n">
        <v>15104010</v>
      </c>
      <c r="H18" s="7" t="inlineStr">
        <is>
          <t>Aluminum</t>
        </is>
      </c>
    </row>
    <row r="19">
      <c r="A19" s="7" t="n">
        <v>15</v>
      </c>
      <c r="B19" s="7" t="inlineStr">
        <is>
          <t>Materials</t>
        </is>
      </c>
      <c r="C19" s="7" t="n">
        <v>1510</v>
      </c>
      <c r="D19" s="7" t="inlineStr">
        <is>
          <t>Materials</t>
        </is>
      </c>
      <c r="E19" s="7" t="n">
        <v>151040</v>
      </c>
      <c r="F19" s="7" t="inlineStr">
        <is>
          <t>Metals &amp; Mining</t>
        </is>
      </c>
      <c r="G19" s="7" t="n">
        <v>15104020</v>
      </c>
      <c r="H19" s="7" t="inlineStr">
        <is>
          <t>Diversified Metals &amp; Mining</t>
        </is>
      </c>
    </row>
    <row r="20">
      <c r="A20" s="7" t="n">
        <v>15</v>
      </c>
      <c r="B20" s="7" t="inlineStr">
        <is>
          <t>Materials</t>
        </is>
      </c>
      <c r="C20" s="7" t="n">
        <v>1510</v>
      </c>
      <c r="D20" s="7" t="inlineStr">
        <is>
          <t>Materials</t>
        </is>
      </c>
      <c r="E20" s="7" t="n">
        <v>151040</v>
      </c>
      <c r="F20" s="7" t="inlineStr">
        <is>
          <t>Metals &amp; Mining</t>
        </is>
      </c>
      <c r="G20" s="7" t="n">
        <v>15104025</v>
      </c>
      <c r="H20" s="7" t="inlineStr">
        <is>
          <t>Copper</t>
        </is>
      </c>
    </row>
    <row r="21">
      <c r="A21" s="7" t="n">
        <v>15</v>
      </c>
      <c r="B21" s="7" t="inlineStr">
        <is>
          <t>Materials</t>
        </is>
      </c>
      <c r="C21" s="7" t="n">
        <v>1510</v>
      </c>
      <c r="D21" s="7" t="inlineStr">
        <is>
          <t>Materials</t>
        </is>
      </c>
      <c r="E21" s="7" t="n">
        <v>151040</v>
      </c>
      <c r="F21" s="7" t="inlineStr">
        <is>
          <t>Metals &amp; Mining</t>
        </is>
      </c>
      <c r="G21" s="7" t="n">
        <v>15104030</v>
      </c>
      <c r="H21" s="7" t="inlineStr">
        <is>
          <t>Gold</t>
        </is>
      </c>
    </row>
    <row r="22">
      <c r="A22" s="7" t="n">
        <v>15</v>
      </c>
      <c r="B22" s="7" t="inlineStr">
        <is>
          <t>Materials</t>
        </is>
      </c>
      <c r="C22" s="7" t="n">
        <v>1510</v>
      </c>
      <c r="D22" s="7" t="inlineStr">
        <is>
          <t>Materials</t>
        </is>
      </c>
      <c r="E22" s="7" t="n">
        <v>151040</v>
      </c>
      <c r="F22" s="7" t="inlineStr">
        <is>
          <t>Metals &amp; Mining</t>
        </is>
      </c>
      <c r="G22" s="7" t="n">
        <v>15104040</v>
      </c>
      <c r="H22" s="7" t="inlineStr">
        <is>
          <t>Precious Metals &amp; Minerals</t>
        </is>
      </c>
    </row>
    <row r="23">
      <c r="A23" s="7" t="n">
        <v>15</v>
      </c>
      <c r="B23" s="7" t="inlineStr">
        <is>
          <t>Materials</t>
        </is>
      </c>
      <c r="C23" s="7" t="n">
        <v>1510</v>
      </c>
      <c r="D23" s="7" t="inlineStr">
        <is>
          <t>Materials</t>
        </is>
      </c>
      <c r="E23" s="7" t="n">
        <v>151040</v>
      </c>
      <c r="F23" s="7" t="inlineStr">
        <is>
          <t>Metals &amp; Mining</t>
        </is>
      </c>
      <c r="G23" s="7" t="n">
        <v>15104045</v>
      </c>
      <c r="H23" s="7" t="inlineStr">
        <is>
          <t>Silver</t>
        </is>
      </c>
    </row>
    <row r="24">
      <c r="A24" s="7" t="n">
        <v>15</v>
      </c>
      <c r="B24" s="7" t="inlineStr">
        <is>
          <t>Materials</t>
        </is>
      </c>
      <c r="C24" s="7" t="n">
        <v>1510</v>
      </c>
      <c r="D24" s="7" t="inlineStr">
        <is>
          <t>Materials</t>
        </is>
      </c>
      <c r="E24" s="7" t="n">
        <v>151040</v>
      </c>
      <c r="F24" s="7" t="inlineStr">
        <is>
          <t>Metals &amp; Mining</t>
        </is>
      </c>
      <c r="G24" s="7" t="n">
        <v>15104050</v>
      </c>
      <c r="H24" s="7" t="inlineStr">
        <is>
          <t>Steel</t>
        </is>
      </c>
    </row>
    <row r="25">
      <c r="A25" s="7" t="n">
        <v>15</v>
      </c>
      <c r="B25" s="7" t="inlineStr">
        <is>
          <t>Materials</t>
        </is>
      </c>
      <c r="C25" s="7" t="n">
        <v>1510</v>
      </c>
      <c r="D25" s="7" t="inlineStr">
        <is>
          <t>Materials</t>
        </is>
      </c>
      <c r="E25" s="7" t="n">
        <v>151050</v>
      </c>
      <c r="F25" s="7" t="inlineStr">
        <is>
          <t>Paper &amp; Forest Products</t>
        </is>
      </c>
      <c r="G25" s="7" t="n">
        <v>15105010</v>
      </c>
      <c r="H25" s="7" t="inlineStr">
        <is>
          <t>Forest Products</t>
        </is>
      </c>
    </row>
    <row r="26">
      <c r="A26" s="7" t="n">
        <v>15</v>
      </c>
      <c r="B26" s="7" t="inlineStr">
        <is>
          <t>Materials</t>
        </is>
      </c>
      <c r="C26" s="7" t="n">
        <v>1510</v>
      </c>
      <c r="D26" s="7" t="inlineStr">
        <is>
          <t>Materials</t>
        </is>
      </c>
      <c r="E26" s="7" t="n">
        <v>151050</v>
      </c>
      <c r="F26" s="7" t="inlineStr">
        <is>
          <t>Paper &amp; Forest Products</t>
        </is>
      </c>
      <c r="G26" s="7" t="n">
        <v>15105020</v>
      </c>
      <c r="H26" s="7" t="inlineStr">
        <is>
          <t>Paper Products</t>
        </is>
      </c>
    </row>
    <row r="27">
      <c r="A27" s="7" t="n">
        <v>20</v>
      </c>
      <c r="B27" s="7" t="inlineStr">
        <is>
          <t>Industrials</t>
        </is>
      </c>
      <c r="C27" s="7" t="n">
        <v>2010</v>
      </c>
      <c r="D27" s="7" t="inlineStr">
        <is>
          <t>Capital Goods</t>
        </is>
      </c>
      <c r="E27" s="7" t="n">
        <v>201010</v>
      </c>
      <c r="F27" s="7" t="inlineStr">
        <is>
          <t>Aerospace &amp; Defense</t>
        </is>
      </c>
      <c r="G27" s="7" t="n">
        <v>20101010</v>
      </c>
      <c r="H27" s="7" t="inlineStr">
        <is>
          <t>Aerospace &amp; Defense</t>
        </is>
      </c>
    </row>
    <row r="28">
      <c r="A28" s="7" t="n">
        <v>20</v>
      </c>
      <c r="B28" s="7" t="inlineStr">
        <is>
          <t>Industrials</t>
        </is>
      </c>
      <c r="C28" s="7" t="n">
        <v>2010</v>
      </c>
      <c r="D28" s="7" t="inlineStr">
        <is>
          <t>Capital Goods</t>
        </is>
      </c>
      <c r="E28" s="7" t="n">
        <v>201020</v>
      </c>
      <c r="F28" s="7" t="inlineStr">
        <is>
          <t>Building Products</t>
        </is>
      </c>
      <c r="G28" s="7" t="n">
        <v>20102010</v>
      </c>
      <c r="H28" s="7" t="inlineStr">
        <is>
          <t>Building Products</t>
        </is>
      </c>
    </row>
    <row r="29">
      <c r="A29" s="7" t="n">
        <v>20</v>
      </c>
      <c r="B29" s="7" t="inlineStr">
        <is>
          <t>Industrials</t>
        </is>
      </c>
      <c r="C29" s="7" t="n">
        <v>2010</v>
      </c>
      <c r="D29" s="7" t="inlineStr">
        <is>
          <t>Capital Goods</t>
        </is>
      </c>
      <c r="E29" s="7" t="n">
        <v>201030</v>
      </c>
      <c r="F29" s="7" t="inlineStr">
        <is>
          <t>Construction &amp; Engineering</t>
        </is>
      </c>
      <c r="G29" s="7" t="n">
        <v>20103010</v>
      </c>
      <c r="H29" s="7" t="inlineStr">
        <is>
          <t>Construction &amp; Engineering</t>
        </is>
      </c>
    </row>
    <row r="30">
      <c r="A30" s="7" t="n">
        <v>20</v>
      </c>
      <c r="B30" s="7" t="inlineStr">
        <is>
          <t>Industrials</t>
        </is>
      </c>
      <c r="C30" s="7" t="n">
        <v>2010</v>
      </c>
      <c r="D30" s="7" t="inlineStr">
        <is>
          <t>Capital Goods</t>
        </is>
      </c>
      <c r="E30" s="7" t="n">
        <v>201040</v>
      </c>
      <c r="F30" s="7" t="inlineStr">
        <is>
          <t>Electrical Equipment</t>
        </is>
      </c>
      <c r="G30" s="7" t="n">
        <v>20104010</v>
      </c>
      <c r="H30" s="7" t="inlineStr">
        <is>
          <t>Electrical Components &amp; Equipment</t>
        </is>
      </c>
    </row>
    <row r="31">
      <c r="A31" s="7" t="n">
        <v>20</v>
      </c>
      <c r="B31" s="7" t="inlineStr">
        <is>
          <t>Industrials</t>
        </is>
      </c>
      <c r="C31" s="7" t="n">
        <v>2010</v>
      </c>
      <c r="D31" s="7" t="inlineStr">
        <is>
          <t>Capital Goods</t>
        </is>
      </c>
      <c r="E31" s="7" t="n">
        <v>201040</v>
      </c>
      <c r="F31" s="7" t="inlineStr">
        <is>
          <t>Electrical Equipment</t>
        </is>
      </c>
      <c r="G31" s="7" t="n">
        <v>20104020</v>
      </c>
      <c r="H31" s="7" t="inlineStr">
        <is>
          <t>Heavy Electrical Equipment</t>
        </is>
      </c>
    </row>
    <row r="32">
      <c r="A32" s="7" t="n">
        <v>20</v>
      </c>
      <c r="B32" s="7" t="inlineStr">
        <is>
          <t>Industrials</t>
        </is>
      </c>
      <c r="C32" s="7" t="n">
        <v>2010</v>
      </c>
      <c r="D32" s="7" t="inlineStr">
        <is>
          <t>Capital Goods</t>
        </is>
      </c>
      <c r="E32" s="7" t="n">
        <v>201050</v>
      </c>
      <c r="F32" s="7" t="inlineStr">
        <is>
          <t>Industrial Conglomerates</t>
        </is>
      </c>
      <c r="G32" s="7" t="n">
        <v>20105010</v>
      </c>
      <c r="H32" s="7" t="inlineStr">
        <is>
          <t>Industrial Conglomerates</t>
        </is>
      </c>
    </row>
    <row r="33">
      <c r="A33" s="7" t="n">
        <v>20</v>
      </c>
      <c r="B33" s="7" t="inlineStr">
        <is>
          <t>Industrials</t>
        </is>
      </c>
      <c r="C33" s="7" t="n">
        <v>2010</v>
      </c>
      <c r="D33" s="7" t="inlineStr">
        <is>
          <t>Capital Goods</t>
        </is>
      </c>
      <c r="E33" s="7" t="n">
        <v>201060</v>
      </c>
      <c r="F33" s="7" t="inlineStr">
        <is>
          <t>Machinery</t>
        </is>
      </c>
      <c r="G33" s="7" t="n">
        <v>20106010</v>
      </c>
      <c r="H33" s="7" t="inlineStr">
        <is>
          <t>Construction Machinery &amp; Heavy Transportation Equipment</t>
        </is>
      </c>
    </row>
    <row r="34">
      <c r="A34" s="7" t="n">
        <v>20</v>
      </c>
      <c r="B34" s="7" t="inlineStr">
        <is>
          <t>Industrials</t>
        </is>
      </c>
      <c r="C34" s="7" t="n">
        <v>2010</v>
      </c>
      <c r="D34" s="7" t="inlineStr">
        <is>
          <t>Capital Goods</t>
        </is>
      </c>
      <c r="E34" s="7" t="n">
        <v>201060</v>
      </c>
      <c r="F34" s="7" t="inlineStr">
        <is>
          <t>Machinery</t>
        </is>
      </c>
      <c r="G34" s="7" t="n">
        <v>20106015</v>
      </c>
      <c r="H34" s="7" t="inlineStr">
        <is>
          <t>Agricultural &amp; Farm Machinery</t>
        </is>
      </c>
    </row>
    <row r="35">
      <c r="A35" s="7" t="n">
        <v>20</v>
      </c>
      <c r="B35" s="7" t="inlineStr">
        <is>
          <t>Industrials</t>
        </is>
      </c>
      <c r="C35" s="7" t="n">
        <v>2010</v>
      </c>
      <c r="D35" s="7" t="inlineStr">
        <is>
          <t>Capital Goods</t>
        </is>
      </c>
      <c r="E35" s="7" t="n">
        <v>201060</v>
      </c>
      <c r="F35" s="7" t="inlineStr">
        <is>
          <t>Machinery</t>
        </is>
      </c>
      <c r="G35" s="7" t="n">
        <v>20106020</v>
      </c>
      <c r="H35" s="7" t="inlineStr">
        <is>
          <t>Industrial Machinery &amp; Supplies &amp; Components</t>
        </is>
      </c>
    </row>
    <row r="36">
      <c r="A36" s="7" t="n">
        <v>20</v>
      </c>
      <c r="B36" s="7" t="inlineStr">
        <is>
          <t>Industrials</t>
        </is>
      </c>
      <c r="C36" s="7" t="n">
        <v>2010</v>
      </c>
      <c r="D36" s="7" t="inlineStr">
        <is>
          <t>Capital Goods</t>
        </is>
      </c>
      <c r="E36" s="7" t="n">
        <v>201070</v>
      </c>
      <c r="F36" s="7" t="inlineStr">
        <is>
          <t>Trading Companies &amp; Distributors</t>
        </is>
      </c>
      <c r="G36" s="7" t="n">
        <v>20107010</v>
      </c>
      <c r="H36" s="7" t="inlineStr">
        <is>
          <t>Trading Companies &amp; Distributors</t>
        </is>
      </c>
    </row>
    <row r="37">
      <c r="A37" s="7" t="n">
        <v>20</v>
      </c>
      <c r="B37" s="7" t="inlineStr">
        <is>
          <t>Industrials</t>
        </is>
      </c>
      <c r="C37" s="7" t="n">
        <v>2020</v>
      </c>
      <c r="D37" s="7" t="inlineStr">
        <is>
          <t>Commercial  &amp; Professional Services</t>
        </is>
      </c>
      <c r="E37" s="7" t="n">
        <v>202010</v>
      </c>
      <c r="F37" s="7" t="inlineStr">
        <is>
          <t>Commercial Services &amp; Supplies</t>
        </is>
      </c>
      <c r="G37" s="7" t="n">
        <v>20201010</v>
      </c>
      <c r="H37" s="7" t="inlineStr">
        <is>
          <t>Commercial Printing</t>
        </is>
      </c>
    </row>
    <row r="38">
      <c r="A38" s="7" t="n">
        <v>20</v>
      </c>
      <c r="B38" s="7" t="inlineStr">
        <is>
          <t>Industrials</t>
        </is>
      </c>
      <c r="C38" s="7" t="n">
        <v>2020</v>
      </c>
      <c r="D38" s="7" t="inlineStr">
        <is>
          <t>Commercial  &amp; Professional Services</t>
        </is>
      </c>
      <c r="E38" s="7" t="n">
        <v>202010</v>
      </c>
      <c r="F38" s="7" t="inlineStr">
        <is>
          <t>Commercial Services &amp; Supplies</t>
        </is>
      </c>
      <c r="G38" s="7" t="n">
        <v>20201050</v>
      </c>
      <c r="H38" s="7" t="inlineStr">
        <is>
          <t>Environmental &amp; Facilities Services</t>
        </is>
      </c>
    </row>
    <row r="39">
      <c r="A39" s="7" t="n">
        <v>20</v>
      </c>
      <c r="B39" s="7" t="inlineStr">
        <is>
          <t>Industrials</t>
        </is>
      </c>
      <c r="C39" s="7" t="n">
        <v>2020</v>
      </c>
      <c r="D39" s="7" t="inlineStr">
        <is>
          <t>Commercial  &amp; Professional Services</t>
        </is>
      </c>
      <c r="E39" s="7" t="n">
        <v>202010</v>
      </c>
      <c r="F39" s="7" t="inlineStr">
        <is>
          <t>Commercial Services &amp; Supplies</t>
        </is>
      </c>
      <c r="G39" s="7" t="n">
        <v>20201060</v>
      </c>
      <c r="H39" s="7" t="inlineStr">
        <is>
          <t>Office Services &amp; Supplies</t>
        </is>
      </c>
    </row>
    <row r="40">
      <c r="A40" s="7" t="n">
        <v>20</v>
      </c>
      <c r="B40" s="7" t="inlineStr">
        <is>
          <t>Industrials</t>
        </is>
      </c>
      <c r="C40" s="7" t="n">
        <v>2020</v>
      </c>
      <c r="D40" s="7" t="inlineStr">
        <is>
          <t>Commercial  &amp; Professional Services</t>
        </is>
      </c>
      <c r="E40" s="7" t="n">
        <v>202010</v>
      </c>
      <c r="F40" s="7" t="inlineStr">
        <is>
          <t>Commercial Services &amp; Supplies</t>
        </is>
      </c>
      <c r="G40" s="7" t="n">
        <v>20201070</v>
      </c>
      <c r="H40" s="7" t="inlineStr">
        <is>
          <t>Diversified Support Services</t>
        </is>
      </c>
    </row>
    <row r="41">
      <c r="A41" s="7" t="n">
        <v>20</v>
      </c>
      <c r="B41" s="7" t="inlineStr">
        <is>
          <t>Industrials</t>
        </is>
      </c>
      <c r="C41" s="7" t="n">
        <v>2020</v>
      </c>
      <c r="D41" s="7" t="inlineStr">
        <is>
          <t>Commercial  &amp; Professional Services</t>
        </is>
      </c>
      <c r="E41" s="7" t="n">
        <v>202010</v>
      </c>
      <c r="F41" s="7" t="inlineStr">
        <is>
          <t>Commercial Services &amp; Supplies</t>
        </is>
      </c>
      <c r="G41" s="7" t="n">
        <v>20201080</v>
      </c>
      <c r="H41" s="7" t="inlineStr">
        <is>
          <t>Security &amp; Alarm Services</t>
        </is>
      </c>
    </row>
    <row r="42">
      <c r="A42" s="7" t="n">
        <v>20</v>
      </c>
      <c r="B42" s="7" t="inlineStr">
        <is>
          <t>Industrials</t>
        </is>
      </c>
      <c r="C42" s="7" t="n">
        <v>2020</v>
      </c>
      <c r="D42" s="7" t="inlineStr">
        <is>
          <t>Commercial  &amp; Professional Services</t>
        </is>
      </c>
      <c r="E42" s="7" t="n">
        <v>202020</v>
      </c>
      <c r="F42" s="7" t="inlineStr">
        <is>
          <t>Professional Services</t>
        </is>
      </c>
      <c r="G42" s="7" t="n">
        <v>20202010</v>
      </c>
      <c r="H42" s="7" t="inlineStr">
        <is>
          <t>Human Resource &amp; Employment Services</t>
        </is>
      </c>
    </row>
    <row r="43">
      <c r="A43" s="7" t="n">
        <v>20</v>
      </c>
      <c r="B43" s="7" t="inlineStr">
        <is>
          <t>Industrials</t>
        </is>
      </c>
      <c r="C43" s="7" t="n">
        <v>2020</v>
      </c>
      <c r="D43" s="7" t="inlineStr">
        <is>
          <t>Commercial  &amp; Professional Services</t>
        </is>
      </c>
      <c r="E43" s="7" t="n">
        <v>202020</v>
      </c>
      <c r="F43" s="7" t="inlineStr">
        <is>
          <t>Professional Services</t>
        </is>
      </c>
      <c r="G43" s="7" t="n">
        <v>20202020</v>
      </c>
      <c r="H43" s="7" t="inlineStr">
        <is>
          <t>Research &amp; Consulting Services</t>
        </is>
      </c>
    </row>
    <row r="44">
      <c r="A44" s="7" t="n">
        <v>20</v>
      </c>
      <c r="B44" s="7" t="inlineStr">
        <is>
          <t>Industrials</t>
        </is>
      </c>
      <c r="C44" s="7" t="n">
        <v>2020</v>
      </c>
      <c r="D44" s="7" t="inlineStr">
        <is>
          <t>Commercial  &amp; Professional Services</t>
        </is>
      </c>
      <c r="E44" s="7" t="n">
        <v>202020</v>
      </c>
      <c r="F44" s="7" t="inlineStr">
        <is>
          <t>Professional Services</t>
        </is>
      </c>
      <c r="G44" s="7" t="n">
        <v>20202030</v>
      </c>
      <c r="H44" s="7" t="inlineStr">
        <is>
          <t>Data Processing &amp; Outsourced Services</t>
        </is>
      </c>
    </row>
    <row r="45">
      <c r="A45" s="7" t="n">
        <v>20</v>
      </c>
      <c r="B45" s="7" t="inlineStr">
        <is>
          <t>Industrials</t>
        </is>
      </c>
      <c r="C45" s="7" t="n">
        <v>2030</v>
      </c>
      <c r="D45" s="7" t="inlineStr">
        <is>
          <t>Transportation</t>
        </is>
      </c>
      <c r="E45" s="7" t="n">
        <v>203010</v>
      </c>
      <c r="F45" s="7" t="inlineStr">
        <is>
          <t>Air Freight &amp; Logistics</t>
        </is>
      </c>
      <c r="G45" s="7" t="n">
        <v>20301010</v>
      </c>
      <c r="H45" s="7" t="inlineStr">
        <is>
          <t>Air Freight &amp; Logistics</t>
        </is>
      </c>
    </row>
    <row r="46">
      <c r="A46" s="7" t="n">
        <v>20</v>
      </c>
      <c r="B46" s="7" t="inlineStr">
        <is>
          <t>Industrials</t>
        </is>
      </c>
      <c r="C46" s="7" t="n">
        <v>2030</v>
      </c>
      <c r="D46" s="7" t="inlineStr">
        <is>
          <t>Transportation</t>
        </is>
      </c>
      <c r="E46" s="7" t="n">
        <v>203020</v>
      </c>
      <c r="F46" s="7" t="inlineStr">
        <is>
          <t>Passenger Airlines</t>
        </is>
      </c>
      <c r="G46" s="7" t="n">
        <v>20302010</v>
      </c>
      <c r="H46" s="7" t="inlineStr">
        <is>
          <t>Passenger Airlines</t>
        </is>
      </c>
    </row>
    <row r="47">
      <c r="A47" s="7" t="n">
        <v>20</v>
      </c>
      <c r="B47" s="7" t="inlineStr">
        <is>
          <t>Industrials</t>
        </is>
      </c>
      <c r="C47" s="7" t="n">
        <v>2030</v>
      </c>
      <c r="D47" s="7" t="inlineStr">
        <is>
          <t>Transportation</t>
        </is>
      </c>
      <c r="E47" s="7" t="n">
        <v>203030</v>
      </c>
      <c r="F47" s="7" t="inlineStr">
        <is>
          <t>Marine Transportation</t>
        </is>
      </c>
      <c r="G47" s="7" t="n">
        <v>20303010</v>
      </c>
      <c r="H47" s="7" t="inlineStr">
        <is>
          <t>Marine Transportation</t>
        </is>
      </c>
    </row>
    <row r="48">
      <c r="A48" s="7" t="n">
        <v>20</v>
      </c>
      <c r="B48" s="7" t="inlineStr">
        <is>
          <t>Industrials</t>
        </is>
      </c>
      <c r="C48" s="7" t="n">
        <v>2030</v>
      </c>
      <c r="D48" s="7" t="inlineStr">
        <is>
          <t>Transportation</t>
        </is>
      </c>
      <c r="E48" s="7" t="n">
        <v>203040</v>
      </c>
      <c r="F48" s="7" t="inlineStr">
        <is>
          <t>Ground Transportation</t>
        </is>
      </c>
      <c r="G48" s="7" t="n">
        <v>20304010</v>
      </c>
      <c r="H48" s="7" t="inlineStr">
        <is>
          <t>Rail Transportation</t>
        </is>
      </c>
    </row>
    <row r="49">
      <c r="A49" s="7" t="n">
        <v>20</v>
      </c>
      <c r="B49" s="7" t="inlineStr">
        <is>
          <t>Industrials</t>
        </is>
      </c>
      <c r="C49" s="7" t="n">
        <v>2030</v>
      </c>
      <c r="D49" s="7" t="inlineStr">
        <is>
          <t>Transportation</t>
        </is>
      </c>
      <c r="E49" s="7" t="n">
        <v>203040</v>
      </c>
      <c r="F49" s="7" t="inlineStr">
        <is>
          <t>Ground Transportation</t>
        </is>
      </c>
      <c r="G49" s="7" t="n">
        <v>20304030</v>
      </c>
      <c r="H49" s="7" t="inlineStr">
        <is>
          <t>Cargo Ground Transportation</t>
        </is>
      </c>
    </row>
    <row r="50">
      <c r="A50" s="7" t="n">
        <v>20</v>
      </c>
      <c r="B50" s="7" t="inlineStr">
        <is>
          <t>Industrials</t>
        </is>
      </c>
      <c r="C50" s="7" t="n">
        <v>2030</v>
      </c>
      <c r="D50" s="7" t="inlineStr">
        <is>
          <t>Transportation</t>
        </is>
      </c>
      <c r="E50" s="7" t="n">
        <v>203040</v>
      </c>
      <c r="F50" s="7" t="inlineStr">
        <is>
          <t>Ground Transportation</t>
        </is>
      </c>
      <c r="G50" s="7" t="n">
        <v>20304040</v>
      </c>
      <c r="H50" s="7" t="inlineStr">
        <is>
          <t>Passenger Ground Transportation</t>
        </is>
      </c>
    </row>
    <row r="51">
      <c r="A51" s="7" t="n">
        <v>20</v>
      </c>
      <c r="B51" s="7" t="inlineStr">
        <is>
          <t>Industrials</t>
        </is>
      </c>
      <c r="C51" s="7" t="n">
        <v>2030</v>
      </c>
      <c r="D51" s="7" t="inlineStr">
        <is>
          <t>Transportation</t>
        </is>
      </c>
      <c r="E51" s="7" t="n">
        <v>203050</v>
      </c>
      <c r="F51" s="7" t="inlineStr">
        <is>
          <t>Transportation Infrastructure</t>
        </is>
      </c>
      <c r="G51" s="7" t="n">
        <v>20305010</v>
      </c>
      <c r="H51" s="7" t="inlineStr">
        <is>
          <t>Airport Services</t>
        </is>
      </c>
    </row>
    <row r="52">
      <c r="A52" s="7" t="n">
        <v>20</v>
      </c>
      <c r="B52" s="7" t="inlineStr">
        <is>
          <t>Industrials</t>
        </is>
      </c>
      <c r="C52" s="7" t="n">
        <v>2030</v>
      </c>
      <c r="D52" s="7" t="inlineStr">
        <is>
          <t>Transportation</t>
        </is>
      </c>
      <c r="E52" s="7" t="n">
        <v>203050</v>
      </c>
      <c r="F52" s="7" t="inlineStr">
        <is>
          <t>Transportation Infrastructure</t>
        </is>
      </c>
      <c r="G52" s="7" t="n">
        <v>20305020</v>
      </c>
      <c r="H52" s="7" t="inlineStr">
        <is>
          <t>Highways &amp; Railtracks</t>
        </is>
      </c>
    </row>
    <row r="53">
      <c r="A53" s="7" t="n">
        <v>20</v>
      </c>
      <c r="B53" s="7" t="inlineStr">
        <is>
          <t>Industrials</t>
        </is>
      </c>
      <c r="C53" s="7" t="n">
        <v>2030</v>
      </c>
      <c r="D53" s="7" t="inlineStr">
        <is>
          <t>Transportation</t>
        </is>
      </c>
      <c r="E53" s="7" t="n">
        <v>203050</v>
      </c>
      <c r="F53" s="7" t="inlineStr">
        <is>
          <t>Transportation Infrastructure</t>
        </is>
      </c>
      <c r="G53" s="7" t="n">
        <v>20305030</v>
      </c>
      <c r="H53" s="7" t="inlineStr">
        <is>
          <t>Marine Ports &amp; Services</t>
        </is>
      </c>
    </row>
    <row r="54">
      <c r="A54" s="7" t="n">
        <v>25</v>
      </c>
      <c r="B54" s="7" t="inlineStr">
        <is>
          <t>Consumer Discretionary</t>
        </is>
      </c>
      <c r="C54" s="7" t="n">
        <v>2510</v>
      </c>
      <c r="D54" s="7" t="inlineStr">
        <is>
          <t>Automobiles &amp; Components</t>
        </is>
      </c>
      <c r="E54" s="7" t="n">
        <v>251010</v>
      </c>
      <c r="F54" s="7" t="inlineStr">
        <is>
          <t>Automobile Components</t>
        </is>
      </c>
      <c r="G54" s="7" t="n">
        <v>25101010</v>
      </c>
      <c r="H54" s="7" t="inlineStr">
        <is>
          <t>Automotive Parts &amp; Equipment</t>
        </is>
      </c>
    </row>
    <row r="55">
      <c r="A55" s="7" t="n">
        <v>25</v>
      </c>
      <c r="B55" s="7" t="inlineStr">
        <is>
          <t>Consumer Discretionary</t>
        </is>
      </c>
      <c r="C55" s="7" t="n">
        <v>2510</v>
      </c>
      <c r="D55" s="7" t="inlineStr">
        <is>
          <t>Automobiles &amp; Components</t>
        </is>
      </c>
      <c r="E55" s="7" t="n">
        <v>251010</v>
      </c>
      <c r="F55" s="7" t="inlineStr">
        <is>
          <t>Automobile Components</t>
        </is>
      </c>
      <c r="G55" s="7" t="n">
        <v>25101020</v>
      </c>
      <c r="H55" s="7" t="inlineStr">
        <is>
          <t>Tires &amp; Rubber</t>
        </is>
      </c>
    </row>
    <row r="56">
      <c r="A56" s="7" t="n">
        <v>25</v>
      </c>
      <c r="B56" s="7" t="inlineStr">
        <is>
          <t>Consumer Discretionary</t>
        </is>
      </c>
      <c r="C56" s="7" t="n">
        <v>2510</v>
      </c>
      <c r="D56" s="7" t="inlineStr">
        <is>
          <t>Automobiles &amp; Components</t>
        </is>
      </c>
      <c r="E56" s="7" t="n">
        <v>251020</v>
      </c>
      <c r="F56" s="7" t="inlineStr">
        <is>
          <t>Automobiles</t>
        </is>
      </c>
      <c r="G56" s="7" t="n">
        <v>25102010</v>
      </c>
      <c r="H56" s="7" t="inlineStr">
        <is>
          <t>Automobile Manufacturers</t>
        </is>
      </c>
    </row>
    <row r="57">
      <c r="A57" s="7" t="n">
        <v>25</v>
      </c>
      <c r="B57" s="7" t="inlineStr">
        <is>
          <t>Consumer Discretionary</t>
        </is>
      </c>
      <c r="C57" s="7" t="n">
        <v>2510</v>
      </c>
      <c r="D57" s="7" t="inlineStr">
        <is>
          <t>Automobiles &amp; Components</t>
        </is>
      </c>
      <c r="E57" s="7" t="n">
        <v>251020</v>
      </c>
      <c r="F57" s="7" t="inlineStr">
        <is>
          <t>Automobiles</t>
        </is>
      </c>
      <c r="G57" s="7" t="n">
        <v>25102020</v>
      </c>
      <c r="H57" s="7" t="inlineStr">
        <is>
          <t>Motorcycle Manufacturers</t>
        </is>
      </c>
    </row>
    <row r="58">
      <c r="A58" s="7" t="n">
        <v>25</v>
      </c>
      <c r="B58" s="7" t="inlineStr">
        <is>
          <t>Consumer Discretionary</t>
        </is>
      </c>
      <c r="C58" s="7" t="n">
        <v>2520</v>
      </c>
      <c r="D58" s="7" t="inlineStr">
        <is>
          <t>Consumer Durables &amp; Apparel</t>
        </is>
      </c>
      <c r="E58" s="7" t="n">
        <v>252010</v>
      </c>
      <c r="F58" s="7" t="inlineStr">
        <is>
          <t>Household Durables</t>
        </is>
      </c>
      <c r="G58" s="7" t="n">
        <v>25201010</v>
      </c>
      <c r="H58" s="7" t="inlineStr">
        <is>
          <t>Consumer Electronics</t>
        </is>
      </c>
    </row>
    <row r="59">
      <c r="A59" s="7" t="n">
        <v>25</v>
      </c>
      <c r="B59" s="7" t="inlineStr">
        <is>
          <t>Consumer Discretionary</t>
        </is>
      </c>
      <c r="C59" s="7" t="n">
        <v>2520</v>
      </c>
      <c r="D59" s="7" t="inlineStr">
        <is>
          <t>Consumer Durables &amp; Apparel</t>
        </is>
      </c>
      <c r="E59" s="7" t="n">
        <v>252010</v>
      </c>
      <c r="F59" s="7" t="inlineStr">
        <is>
          <t>Household Durables</t>
        </is>
      </c>
      <c r="G59" s="7" t="n">
        <v>25201020</v>
      </c>
      <c r="H59" s="7" t="inlineStr">
        <is>
          <t>Home Furnishings</t>
        </is>
      </c>
    </row>
    <row r="60">
      <c r="A60" s="7" t="n">
        <v>25</v>
      </c>
      <c r="B60" s="7" t="inlineStr">
        <is>
          <t>Consumer Discretionary</t>
        </is>
      </c>
      <c r="C60" s="7" t="n">
        <v>2520</v>
      </c>
      <c r="D60" s="7" t="inlineStr">
        <is>
          <t>Consumer Durables &amp; Apparel</t>
        </is>
      </c>
      <c r="E60" s="7" t="n">
        <v>252010</v>
      </c>
      <c r="F60" s="7" t="inlineStr">
        <is>
          <t>Household Durables</t>
        </is>
      </c>
      <c r="G60" s="7" t="n">
        <v>25201030</v>
      </c>
      <c r="H60" s="7" t="inlineStr">
        <is>
          <t>Homebuilding</t>
        </is>
      </c>
    </row>
    <row r="61">
      <c r="A61" s="7" t="n">
        <v>25</v>
      </c>
      <c r="B61" s="7" t="inlineStr">
        <is>
          <t>Consumer Discretionary</t>
        </is>
      </c>
      <c r="C61" s="7" t="n">
        <v>2520</v>
      </c>
      <c r="D61" s="7" t="inlineStr">
        <is>
          <t>Consumer Durables &amp; Apparel</t>
        </is>
      </c>
      <c r="E61" s="7" t="n">
        <v>252010</v>
      </c>
      <c r="F61" s="7" t="inlineStr">
        <is>
          <t>Household Durables</t>
        </is>
      </c>
      <c r="G61" s="7" t="n">
        <v>25201040</v>
      </c>
      <c r="H61" s="7" t="inlineStr">
        <is>
          <t>Household Appliances</t>
        </is>
      </c>
    </row>
    <row r="62">
      <c r="A62" s="7" t="n">
        <v>25</v>
      </c>
      <c r="B62" s="7" t="inlineStr">
        <is>
          <t>Consumer Discretionary</t>
        </is>
      </c>
      <c r="C62" s="7" t="n">
        <v>2520</v>
      </c>
      <c r="D62" s="7" t="inlineStr">
        <is>
          <t>Consumer Durables &amp; Apparel</t>
        </is>
      </c>
      <c r="E62" s="7" t="n">
        <v>252010</v>
      </c>
      <c r="F62" s="7" t="inlineStr">
        <is>
          <t>Household Durables</t>
        </is>
      </c>
      <c r="G62" s="7" t="n">
        <v>25201050</v>
      </c>
      <c r="H62" s="7" t="inlineStr">
        <is>
          <t>Housewares &amp; Specialties</t>
        </is>
      </c>
    </row>
    <row r="63">
      <c r="A63" s="7" t="n">
        <v>25</v>
      </c>
      <c r="B63" s="7" t="inlineStr">
        <is>
          <t>Consumer Discretionary</t>
        </is>
      </c>
      <c r="C63" s="7" t="n">
        <v>2520</v>
      </c>
      <c r="D63" s="7" t="inlineStr">
        <is>
          <t>Consumer Durables &amp; Apparel</t>
        </is>
      </c>
      <c r="E63" s="7" t="n">
        <v>252020</v>
      </c>
      <c r="F63" s="7" t="inlineStr">
        <is>
          <t>Leisure Products</t>
        </is>
      </c>
      <c r="G63" s="7" t="n">
        <v>25202010</v>
      </c>
      <c r="H63" s="7" t="inlineStr">
        <is>
          <t>Leisure Products</t>
        </is>
      </c>
    </row>
    <row r="64">
      <c r="A64" s="7" t="n">
        <v>25</v>
      </c>
      <c r="B64" s="7" t="inlineStr">
        <is>
          <t>Consumer Discretionary</t>
        </is>
      </c>
      <c r="C64" s="7" t="n">
        <v>2520</v>
      </c>
      <c r="D64" s="7" t="inlineStr">
        <is>
          <t>Consumer Durables &amp; Apparel</t>
        </is>
      </c>
      <c r="E64" s="7" t="n">
        <v>252030</v>
      </c>
      <c r="F64" s="7" t="inlineStr">
        <is>
          <t>Textiles, Apparel &amp; Luxury Goods</t>
        </is>
      </c>
      <c r="G64" s="7" t="n">
        <v>25203010</v>
      </c>
      <c r="H64" s="7" t="inlineStr">
        <is>
          <t>Apparel, Accessories &amp; Luxury Goods</t>
        </is>
      </c>
    </row>
    <row r="65">
      <c r="A65" s="7" t="n">
        <v>25</v>
      </c>
      <c r="B65" s="7" t="inlineStr">
        <is>
          <t>Consumer Discretionary</t>
        </is>
      </c>
      <c r="C65" s="7" t="n">
        <v>2520</v>
      </c>
      <c r="D65" s="7" t="inlineStr">
        <is>
          <t>Consumer Durables &amp; Apparel</t>
        </is>
      </c>
      <c r="E65" s="7" t="n">
        <v>252030</v>
      </c>
      <c r="F65" s="7" t="inlineStr">
        <is>
          <t>Textiles, Apparel &amp; Luxury Goods</t>
        </is>
      </c>
      <c r="G65" s="7" t="n">
        <v>25203020</v>
      </c>
      <c r="H65" s="7" t="inlineStr">
        <is>
          <t>Footwear</t>
        </is>
      </c>
    </row>
    <row r="66">
      <c r="A66" s="7" t="n">
        <v>25</v>
      </c>
      <c r="B66" s="7" t="inlineStr">
        <is>
          <t>Consumer Discretionary</t>
        </is>
      </c>
      <c r="C66" s="7" t="n">
        <v>2520</v>
      </c>
      <c r="D66" s="7" t="inlineStr">
        <is>
          <t>Consumer Durables &amp; Apparel</t>
        </is>
      </c>
      <c r="E66" s="7" t="n">
        <v>252030</v>
      </c>
      <c r="F66" s="7" t="inlineStr">
        <is>
          <t>Textiles, Apparel &amp; Luxury Goods</t>
        </is>
      </c>
      <c r="G66" s="7" t="n">
        <v>25203030</v>
      </c>
      <c r="H66" s="7" t="inlineStr">
        <is>
          <t>Textiles</t>
        </is>
      </c>
    </row>
    <row r="67">
      <c r="A67" s="7" t="n">
        <v>25</v>
      </c>
      <c r="B67" s="7" t="inlineStr">
        <is>
          <t>Consumer Discretionary</t>
        </is>
      </c>
      <c r="C67" s="7" t="n">
        <v>2530</v>
      </c>
      <c r="D67" s="7" t="inlineStr">
        <is>
          <t>Consumer Services</t>
        </is>
      </c>
      <c r="E67" s="7" t="n">
        <v>253010</v>
      </c>
      <c r="F67" s="7" t="inlineStr">
        <is>
          <t>Hotels, Restaurants &amp; Leisure</t>
        </is>
      </c>
      <c r="G67" s="7" t="n">
        <v>25301010</v>
      </c>
      <c r="H67" s="7" t="inlineStr">
        <is>
          <t>Casinos &amp; Gaming</t>
        </is>
      </c>
    </row>
    <row r="68">
      <c r="A68" s="7" t="n">
        <v>25</v>
      </c>
      <c r="B68" s="7" t="inlineStr">
        <is>
          <t>Consumer Discretionary</t>
        </is>
      </c>
      <c r="C68" s="7" t="n">
        <v>2530</v>
      </c>
      <c r="D68" s="7" t="inlineStr">
        <is>
          <t>Consumer Services</t>
        </is>
      </c>
      <c r="E68" s="7" t="n">
        <v>253010</v>
      </c>
      <c r="F68" s="7" t="inlineStr">
        <is>
          <t>Hotels, Restaurants &amp; Leisure</t>
        </is>
      </c>
      <c r="G68" s="7" t="n">
        <v>25301020</v>
      </c>
      <c r="H68" s="7" t="inlineStr">
        <is>
          <t>Hotels, Resorts &amp; Cruise Lines</t>
        </is>
      </c>
    </row>
    <row r="69">
      <c r="A69" s="7" t="n">
        <v>25</v>
      </c>
      <c r="B69" s="7" t="inlineStr">
        <is>
          <t>Consumer Discretionary</t>
        </is>
      </c>
      <c r="C69" s="7" t="n">
        <v>2530</v>
      </c>
      <c r="D69" s="7" t="inlineStr">
        <is>
          <t>Consumer Services</t>
        </is>
      </c>
      <c r="E69" s="7" t="n">
        <v>253010</v>
      </c>
      <c r="F69" s="7" t="inlineStr">
        <is>
          <t>Hotels, Restaurants &amp; Leisure</t>
        </is>
      </c>
      <c r="G69" s="7" t="n">
        <v>25301030</v>
      </c>
      <c r="H69" s="7" t="inlineStr">
        <is>
          <t>Leisure Facilities</t>
        </is>
      </c>
    </row>
    <row r="70">
      <c r="A70" s="7" t="n">
        <v>25</v>
      </c>
      <c r="B70" s="7" t="inlineStr">
        <is>
          <t>Consumer Discretionary</t>
        </is>
      </c>
      <c r="C70" s="7" t="n">
        <v>2530</v>
      </c>
      <c r="D70" s="7" t="inlineStr">
        <is>
          <t>Consumer Services</t>
        </is>
      </c>
      <c r="E70" s="7" t="n">
        <v>253010</v>
      </c>
      <c r="F70" s="7" t="inlineStr">
        <is>
          <t>Hotels, Restaurants &amp; Leisure</t>
        </is>
      </c>
      <c r="G70" s="7" t="n">
        <v>25301040</v>
      </c>
      <c r="H70" s="7" t="inlineStr">
        <is>
          <t>Restaurants</t>
        </is>
      </c>
    </row>
    <row r="71">
      <c r="A71" s="7" t="n">
        <v>25</v>
      </c>
      <c r="B71" s="7" t="inlineStr">
        <is>
          <t>Consumer Discretionary</t>
        </is>
      </c>
      <c r="C71" s="7" t="n">
        <v>2530</v>
      </c>
      <c r="D71" s="7" t="inlineStr">
        <is>
          <t>Consumer Services</t>
        </is>
      </c>
      <c r="E71" s="7" t="n">
        <v>253020</v>
      </c>
      <c r="F71" s="7" t="inlineStr">
        <is>
          <t>Diversified Consumer Services</t>
        </is>
      </c>
      <c r="G71" s="7" t="n">
        <v>25302010</v>
      </c>
      <c r="H71" s="7" t="inlineStr">
        <is>
          <t>Education Services</t>
        </is>
      </c>
    </row>
    <row r="72">
      <c r="A72" s="7" t="n">
        <v>25</v>
      </c>
      <c r="B72" s="7" t="inlineStr">
        <is>
          <t>Consumer Discretionary</t>
        </is>
      </c>
      <c r="C72" s="7" t="n">
        <v>2530</v>
      </c>
      <c r="D72" s="7" t="inlineStr">
        <is>
          <t>Consumer Services</t>
        </is>
      </c>
      <c r="E72" s="7" t="n">
        <v>253020</v>
      </c>
      <c r="F72" s="7" t="inlineStr">
        <is>
          <t>Diversified Consumer Services</t>
        </is>
      </c>
      <c r="G72" s="7" t="n">
        <v>25302020</v>
      </c>
      <c r="H72" s="7" t="inlineStr">
        <is>
          <t>Specialized Consumer Services</t>
        </is>
      </c>
    </row>
    <row r="73">
      <c r="A73" s="7" t="n">
        <v>25</v>
      </c>
      <c r="B73" s="7" t="inlineStr">
        <is>
          <t>Consumer Discretionary</t>
        </is>
      </c>
      <c r="C73" s="7" t="n">
        <v>2550</v>
      </c>
      <c r="D73" s="7" t="inlineStr">
        <is>
          <t>Consumer Discretionary Distribution &amp; Retail</t>
        </is>
      </c>
      <c r="E73" s="7" t="n">
        <v>255010</v>
      </c>
      <c r="F73" s="7" t="inlineStr">
        <is>
          <t>Distributors</t>
        </is>
      </c>
      <c r="G73" s="7" t="n">
        <v>25501010</v>
      </c>
      <c r="H73" s="7" t="inlineStr">
        <is>
          <t>Distributors</t>
        </is>
      </c>
    </row>
    <row r="74">
      <c r="A74" s="7" t="n">
        <v>25</v>
      </c>
      <c r="B74" s="7" t="inlineStr">
        <is>
          <t>Consumer Discretionary</t>
        </is>
      </c>
      <c r="C74" s="7" t="n">
        <v>2550</v>
      </c>
      <c r="D74" s="7" t="inlineStr">
        <is>
          <t>Consumer Discretionary Distribution &amp; Retail</t>
        </is>
      </c>
      <c r="E74" s="7" t="n">
        <v>255030</v>
      </c>
      <c r="F74" s="7" t="inlineStr">
        <is>
          <t>Broadline Retail</t>
        </is>
      </c>
      <c r="G74" s="7" t="n">
        <v>25503030</v>
      </c>
      <c r="H74" s="7" t="inlineStr">
        <is>
          <t>Broadline Retail</t>
        </is>
      </c>
    </row>
    <row r="75">
      <c r="A75" s="7" t="n">
        <v>25</v>
      </c>
      <c r="B75" s="7" t="inlineStr">
        <is>
          <t>Consumer Discretionary</t>
        </is>
      </c>
      <c r="C75" s="7" t="n">
        <v>2550</v>
      </c>
      <c r="D75" s="7" t="inlineStr">
        <is>
          <t>Consumer Discretionary Distribution &amp; Retail</t>
        </is>
      </c>
      <c r="E75" s="7" t="n">
        <v>255040</v>
      </c>
      <c r="F75" s="7" t="inlineStr">
        <is>
          <t>Specialty Retail</t>
        </is>
      </c>
      <c r="G75" s="7" t="n">
        <v>25504010</v>
      </c>
      <c r="H75" s="7" t="inlineStr">
        <is>
          <t>Apparel Retail</t>
        </is>
      </c>
    </row>
    <row r="76">
      <c r="A76" s="7" t="n">
        <v>25</v>
      </c>
      <c r="B76" s="7" t="inlineStr">
        <is>
          <t>Consumer Discretionary</t>
        </is>
      </c>
      <c r="C76" s="7" t="n">
        <v>2550</v>
      </c>
      <c r="D76" s="7" t="inlineStr">
        <is>
          <t>Consumer Discretionary Distribution &amp; Retail</t>
        </is>
      </c>
      <c r="E76" s="7" t="n">
        <v>255040</v>
      </c>
      <c r="F76" s="7" t="inlineStr">
        <is>
          <t>Specialty Retail</t>
        </is>
      </c>
      <c r="G76" s="7" t="n">
        <v>25504020</v>
      </c>
      <c r="H76" s="7" t="inlineStr">
        <is>
          <t>Computer &amp; Electronics Retail</t>
        </is>
      </c>
    </row>
    <row r="77">
      <c r="A77" s="7" t="n">
        <v>25</v>
      </c>
      <c r="B77" s="7" t="inlineStr">
        <is>
          <t>Consumer Discretionary</t>
        </is>
      </c>
      <c r="C77" s="7" t="n">
        <v>2550</v>
      </c>
      <c r="D77" s="7" t="inlineStr">
        <is>
          <t>Consumer Discretionary Distribution &amp; Retail</t>
        </is>
      </c>
      <c r="E77" s="7" t="n">
        <v>255040</v>
      </c>
      <c r="F77" s="7" t="inlineStr">
        <is>
          <t>Specialty Retail</t>
        </is>
      </c>
      <c r="G77" s="7" t="n">
        <v>25504030</v>
      </c>
      <c r="H77" s="7" t="inlineStr">
        <is>
          <t>Home Improvement Retail</t>
        </is>
      </c>
    </row>
    <row r="78">
      <c r="A78" s="7" t="n">
        <v>25</v>
      </c>
      <c r="B78" s="7" t="inlineStr">
        <is>
          <t>Consumer Discretionary</t>
        </is>
      </c>
      <c r="C78" s="7" t="n">
        <v>2550</v>
      </c>
      <c r="D78" s="7" t="inlineStr">
        <is>
          <t>Consumer Discretionary Distribution &amp; Retail</t>
        </is>
      </c>
      <c r="E78" s="7" t="n">
        <v>255040</v>
      </c>
      <c r="F78" s="7" t="inlineStr">
        <is>
          <t>Specialty Retail</t>
        </is>
      </c>
      <c r="G78" s="7" t="n">
        <v>25504040</v>
      </c>
      <c r="H78" s="7" t="inlineStr">
        <is>
          <t>Other Specialty Retail</t>
        </is>
      </c>
    </row>
    <row r="79">
      <c r="A79" s="7" t="n">
        <v>25</v>
      </c>
      <c r="B79" s="7" t="inlineStr">
        <is>
          <t>Consumer Discretionary</t>
        </is>
      </c>
      <c r="C79" s="7" t="n">
        <v>2550</v>
      </c>
      <c r="D79" s="7" t="inlineStr">
        <is>
          <t>Consumer Discretionary Distribution &amp; Retail</t>
        </is>
      </c>
      <c r="E79" s="7" t="n">
        <v>255040</v>
      </c>
      <c r="F79" s="7" t="inlineStr">
        <is>
          <t>Specialty Retail</t>
        </is>
      </c>
      <c r="G79" s="7" t="n">
        <v>25504050</v>
      </c>
      <c r="H79" s="7" t="inlineStr">
        <is>
          <t>Automotive Retail</t>
        </is>
      </c>
    </row>
    <row r="80">
      <c r="A80" s="7" t="n">
        <v>25</v>
      </c>
      <c r="B80" s="7" t="inlineStr">
        <is>
          <t>Consumer Discretionary</t>
        </is>
      </c>
      <c r="C80" s="7" t="n">
        <v>2550</v>
      </c>
      <c r="D80" s="7" t="inlineStr">
        <is>
          <t>Consumer Discretionary Distribution &amp; Retail</t>
        </is>
      </c>
      <c r="E80" s="7" t="n">
        <v>255040</v>
      </c>
      <c r="F80" s="7" t="inlineStr">
        <is>
          <t>Specialty Retail</t>
        </is>
      </c>
      <c r="G80" s="7" t="n">
        <v>25504060</v>
      </c>
      <c r="H80" s="7" t="inlineStr">
        <is>
          <t>Homefurnishing Retail</t>
        </is>
      </c>
    </row>
    <row r="81">
      <c r="A81" s="7" t="n">
        <v>30</v>
      </c>
      <c r="B81" s="7" t="inlineStr">
        <is>
          <t>Consumer Staples</t>
        </is>
      </c>
      <c r="C81" s="7" t="n">
        <v>3010</v>
      </c>
      <c r="D81" s="7" t="inlineStr">
        <is>
          <t>Consumer Staples Distribution &amp; Retail</t>
        </is>
      </c>
      <c r="E81" s="7" t="n">
        <v>301010</v>
      </c>
      <c r="F81" s="7" t="inlineStr">
        <is>
          <t>Consumer Staples Distribution &amp; Retail</t>
        </is>
      </c>
      <c r="G81" s="7" t="n">
        <v>30101010</v>
      </c>
      <c r="H81" s="7" t="inlineStr">
        <is>
          <t>Drug Retail</t>
        </is>
      </c>
    </row>
    <row r="82">
      <c r="A82" s="7" t="n">
        <v>30</v>
      </c>
      <c r="B82" s="7" t="inlineStr">
        <is>
          <t>Consumer Staples</t>
        </is>
      </c>
      <c r="C82" s="7" t="n">
        <v>3010</v>
      </c>
      <c r="D82" s="7" t="inlineStr">
        <is>
          <t>Consumer Staples Distribution &amp; Retail</t>
        </is>
      </c>
      <c r="E82" s="7" t="n">
        <v>301010</v>
      </c>
      <c r="F82" s="7" t="inlineStr">
        <is>
          <t>Consumer Staples Distribution &amp; Retail</t>
        </is>
      </c>
      <c r="G82" s="7" t="n">
        <v>30101020</v>
      </c>
      <c r="H82" s="7" t="inlineStr">
        <is>
          <t>Food Distributors</t>
        </is>
      </c>
    </row>
    <row r="83">
      <c r="A83" s="7" t="n">
        <v>30</v>
      </c>
      <c r="B83" s="7" t="inlineStr">
        <is>
          <t>Consumer Staples</t>
        </is>
      </c>
      <c r="C83" s="7" t="n">
        <v>3010</v>
      </c>
      <c r="D83" s="7" t="inlineStr">
        <is>
          <t>Consumer Staples Distribution &amp; Retail</t>
        </is>
      </c>
      <c r="E83" s="7" t="n">
        <v>301010</v>
      </c>
      <c r="F83" s="7" t="inlineStr">
        <is>
          <t>Consumer Staples Distribution &amp; Retail</t>
        </is>
      </c>
      <c r="G83" s="7" t="n">
        <v>30101030</v>
      </c>
      <c r="H83" s="7" t="inlineStr">
        <is>
          <t>Food Retail</t>
        </is>
      </c>
    </row>
    <row r="84">
      <c r="A84" s="7" t="n">
        <v>30</v>
      </c>
      <c r="B84" s="7" t="inlineStr">
        <is>
          <t>Consumer Staples</t>
        </is>
      </c>
      <c r="C84" s="7" t="n">
        <v>3010</v>
      </c>
      <c r="D84" s="7" t="inlineStr">
        <is>
          <t>Consumer Staples Distribution &amp; Retail</t>
        </is>
      </c>
      <c r="E84" s="7" t="n">
        <v>301010</v>
      </c>
      <c r="F84" s="7" t="inlineStr">
        <is>
          <t>Consumer Staples Distribution &amp; Retail</t>
        </is>
      </c>
      <c r="G84" s="7" t="n">
        <v>30101040</v>
      </c>
      <c r="H84" s="7" t="inlineStr">
        <is>
          <t>Consumer Staples Merchandise Retail</t>
        </is>
      </c>
    </row>
    <row r="85">
      <c r="A85" s="7" t="n">
        <v>30</v>
      </c>
      <c r="B85" s="7" t="inlineStr">
        <is>
          <t>Consumer Staples</t>
        </is>
      </c>
      <c r="C85" s="7" t="n">
        <v>3020</v>
      </c>
      <c r="D85" s="7" t="inlineStr">
        <is>
          <t>Food, Beverage &amp; Tobacco</t>
        </is>
      </c>
      <c r="E85" s="7" t="n">
        <v>302010</v>
      </c>
      <c r="F85" s="7" t="inlineStr">
        <is>
          <t>Beverages</t>
        </is>
      </c>
      <c r="G85" s="7" t="n">
        <v>30201010</v>
      </c>
      <c r="H85" s="7" t="inlineStr">
        <is>
          <t>Brewers</t>
        </is>
      </c>
    </row>
    <row r="86">
      <c r="A86" s="7" t="n">
        <v>30</v>
      </c>
      <c r="B86" s="7" t="inlineStr">
        <is>
          <t>Consumer Staples</t>
        </is>
      </c>
      <c r="C86" s="7" t="n">
        <v>3020</v>
      </c>
      <c r="D86" s="7" t="inlineStr">
        <is>
          <t>Food, Beverage &amp; Tobacco</t>
        </is>
      </c>
      <c r="E86" s="7" t="n">
        <v>302010</v>
      </c>
      <c r="F86" s="7" t="inlineStr">
        <is>
          <t>Beverages</t>
        </is>
      </c>
      <c r="G86" s="7" t="n">
        <v>30201020</v>
      </c>
      <c r="H86" s="7" t="inlineStr">
        <is>
          <t>Distillers &amp; Vintners</t>
        </is>
      </c>
    </row>
    <row r="87">
      <c r="A87" s="7" t="n">
        <v>30</v>
      </c>
      <c r="B87" s="7" t="inlineStr">
        <is>
          <t>Consumer Staples</t>
        </is>
      </c>
      <c r="C87" s="7" t="n">
        <v>3020</v>
      </c>
      <c r="D87" s="7" t="inlineStr">
        <is>
          <t>Food, Beverage &amp; Tobacco</t>
        </is>
      </c>
      <c r="E87" s="7" t="n">
        <v>302010</v>
      </c>
      <c r="F87" s="7" t="inlineStr">
        <is>
          <t>Beverages</t>
        </is>
      </c>
      <c r="G87" s="7" t="n">
        <v>30201030</v>
      </c>
      <c r="H87" s="7" t="inlineStr">
        <is>
          <t>Soft Drinks &amp; Non-alcoholic Beverages</t>
        </is>
      </c>
    </row>
    <row r="88">
      <c r="A88" s="7" t="n">
        <v>30</v>
      </c>
      <c r="B88" s="7" t="inlineStr">
        <is>
          <t>Consumer Staples</t>
        </is>
      </c>
      <c r="C88" s="7" t="n">
        <v>3020</v>
      </c>
      <c r="D88" s="7" t="inlineStr">
        <is>
          <t>Food, Beverage &amp; Tobacco</t>
        </is>
      </c>
      <c r="E88" s="7" t="n">
        <v>302020</v>
      </c>
      <c r="F88" s="7" t="inlineStr">
        <is>
          <t>Food Products</t>
        </is>
      </c>
      <c r="G88" s="7" t="n">
        <v>30202010</v>
      </c>
      <c r="H88" s="7" t="inlineStr">
        <is>
          <t>Agricultural Products &amp; Services</t>
        </is>
      </c>
    </row>
    <row r="89">
      <c r="A89" s="7" t="n">
        <v>30</v>
      </c>
      <c r="B89" s="7" t="inlineStr">
        <is>
          <t>Consumer Staples</t>
        </is>
      </c>
      <c r="C89" s="7" t="n">
        <v>3020</v>
      </c>
      <c r="D89" s="7" t="inlineStr">
        <is>
          <t>Food, Beverage &amp; Tobacco</t>
        </is>
      </c>
      <c r="E89" s="7" t="n">
        <v>302020</v>
      </c>
      <c r="F89" s="7" t="inlineStr">
        <is>
          <t>Food Products</t>
        </is>
      </c>
      <c r="G89" s="7" t="n">
        <v>30202030</v>
      </c>
      <c r="H89" s="7" t="inlineStr">
        <is>
          <t>Packaged Foods &amp; Meats</t>
        </is>
      </c>
    </row>
    <row r="90">
      <c r="A90" s="7" t="n">
        <v>30</v>
      </c>
      <c r="B90" s="7" t="inlineStr">
        <is>
          <t>Consumer Staples</t>
        </is>
      </c>
      <c r="C90" s="7" t="n">
        <v>3020</v>
      </c>
      <c r="D90" s="7" t="inlineStr">
        <is>
          <t>Food, Beverage &amp; Tobacco</t>
        </is>
      </c>
      <c r="E90" s="7" t="n">
        <v>302030</v>
      </c>
      <c r="F90" s="7" t="inlineStr">
        <is>
          <t>Tobacco</t>
        </is>
      </c>
      <c r="G90" s="7" t="n">
        <v>30203010</v>
      </c>
      <c r="H90" s="7" t="inlineStr">
        <is>
          <t>Tobacco</t>
        </is>
      </c>
    </row>
    <row r="91">
      <c r="A91" s="7" t="n">
        <v>30</v>
      </c>
      <c r="B91" s="7" t="inlineStr">
        <is>
          <t>Consumer Staples</t>
        </is>
      </c>
      <c r="C91" s="7" t="n">
        <v>3030</v>
      </c>
      <c r="D91" s="7" t="inlineStr">
        <is>
          <t>Household &amp; Personal Products</t>
        </is>
      </c>
      <c r="E91" s="7" t="n">
        <v>303010</v>
      </c>
      <c r="F91" s="7" t="inlineStr">
        <is>
          <t>Household Products</t>
        </is>
      </c>
      <c r="G91" s="7" t="n">
        <v>30301010</v>
      </c>
      <c r="H91" s="7" t="inlineStr">
        <is>
          <t>Household Products</t>
        </is>
      </c>
    </row>
    <row r="92">
      <c r="A92" s="7" t="n">
        <v>30</v>
      </c>
      <c r="B92" s="7" t="inlineStr">
        <is>
          <t>Consumer Staples</t>
        </is>
      </c>
      <c r="C92" s="7" t="n">
        <v>3030</v>
      </c>
      <c r="D92" s="7" t="inlineStr">
        <is>
          <t>Household &amp; Personal Products</t>
        </is>
      </c>
      <c r="E92" s="7" t="n">
        <v>303020</v>
      </c>
      <c r="F92" s="7" t="inlineStr">
        <is>
          <t>Personal Care Products</t>
        </is>
      </c>
      <c r="G92" s="7" t="n">
        <v>30302010</v>
      </c>
      <c r="H92" s="7" t="inlineStr">
        <is>
          <t>Personal Care Products</t>
        </is>
      </c>
    </row>
    <row r="93">
      <c r="A93" s="7" t="n">
        <v>35</v>
      </c>
      <c r="B93" s="7" t="inlineStr">
        <is>
          <t>Health Care</t>
        </is>
      </c>
      <c r="C93" s="7" t="n">
        <v>3510</v>
      </c>
      <c r="D93" s="7" t="inlineStr">
        <is>
          <t>Health Care Equipment &amp; Services</t>
        </is>
      </c>
      <c r="E93" s="7" t="n">
        <v>351010</v>
      </c>
      <c r="F93" s="7" t="inlineStr">
        <is>
          <t>Health Care Equipment &amp; Supplies</t>
        </is>
      </c>
      <c r="G93" s="7" t="n">
        <v>35101010</v>
      </c>
      <c r="H93" s="7" t="inlineStr">
        <is>
          <t>Health Care Equipment</t>
        </is>
      </c>
    </row>
    <row r="94">
      <c r="A94" s="7" t="n">
        <v>35</v>
      </c>
      <c r="B94" s="7" t="inlineStr">
        <is>
          <t>Health Care</t>
        </is>
      </c>
      <c r="C94" s="7" t="n">
        <v>3510</v>
      </c>
      <c r="D94" s="7" t="inlineStr">
        <is>
          <t>Health Care Equipment &amp; Services</t>
        </is>
      </c>
      <c r="E94" s="7" t="n">
        <v>351010</v>
      </c>
      <c r="F94" s="7" t="inlineStr">
        <is>
          <t>Health Care Equipment &amp; Supplies</t>
        </is>
      </c>
      <c r="G94" s="7" t="n">
        <v>35101020</v>
      </c>
      <c r="H94" s="7" t="inlineStr">
        <is>
          <t>Health Care Supplies</t>
        </is>
      </c>
    </row>
    <row r="95">
      <c r="A95" s="7" t="n">
        <v>35</v>
      </c>
      <c r="B95" s="7" t="inlineStr">
        <is>
          <t>Health Care</t>
        </is>
      </c>
      <c r="C95" s="7" t="n">
        <v>3510</v>
      </c>
      <c r="D95" s="7" t="inlineStr">
        <is>
          <t>Health Care Equipment &amp; Services</t>
        </is>
      </c>
      <c r="E95" s="7" t="n">
        <v>351020</v>
      </c>
      <c r="F95" s="7" t="inlineStr">
        <is>
          <t>Health Care Providers &amp; Services</t>
        </is>
      </c>
      <c r="G95" s="7" t="n">
        <v>35102010</v>
      </c>
      <c r="H95" s="7" t="inlineStr">
        <is>
          <t>Health Care Distributors</t>
        </is>
      </c>
    </row>
    <row r="96">
      <c r="A96" s="7" t="n">
        <v>35</v>
      </c>
      <c r="B96" s="7" t="inlineStr">
        <is>
          <t>Health Care</t>
        </is>
      </c>
      <c r="C96" s="7" t="n">
        <v>3510</v>
      </c>
      <c r="D96" s="7" t="inlineStr">
        <is>
          <t>Health Care Equipment &amp; Services</t>
        </is>
      </c>
      <c r="E96" s="7" t="n">
        <v>351020</v>
      </c>
      <c r="F96" s="7" t="inlineStr">
        <is>
          <t>Health Care Providers &amp; Services</t>
        </is>
      </c>
      <c r="G96" s="7" t="n">
        <v>35102015</v>
      </c>
      <c r="H96" s="7" t="inlineStr">
        <is>
          <t>Health Care Services</t>
        </is>
      </c>
    </row>
    <row r="97">
      <c r="A97" s="7" t="n">
        <v>35</v>
      </c>
      <c r="B97" s="7" t="inlineStr">
        <is>
          <t>Health Care</t>
        </is>
      </c>
      <c r="C97" s="7" t="n">
        <v>3510</v>
      </c>
      <c r="D97" s="7" t="inlineStr">
        <is>
          <t>Health Care Equipment &amp; Services</t>
        </is>
      </c>
      <c r="E97" s="7" t="n">
        <v>351020</v>
      </c>
      <c r="F97" s="7" t="inlineStr">
        <is>
          <t>Health Care Providers &amp; Services</t>
        </is>
      </c>
      <c r="G97" s="7" t="n">
        <v>35102020</v>
      </c>
      <c r="H97" s="7" t="inlineStr">
        <is>
          <t>Health Care Facilities</t>
        </is>
      </c>
    </row>
    <row r="98">
      <c r="A98" s="7" t="n">
        <v>35</v>
      </c>
      <c r="B98" s="7" t="inlineStr">
        <is>
          <t>Health Care</t>
        </is>
      </c>
      <c r="C98" s="7" t="n">
        <v>3510</v>
      </c>
      <c r="D98" s="7" t="inlineStr">
        <is>
          <t>Health Care Equipment &amp; Services</t>
        </is>
      </c>
      <c r="E98" s="7" t="n">
        <v>351020</v>
      </c>
      <c r="F98" s="7" t="inlineStr">
        <is>
          <t>Health Care Providers &amp; Services</t>
        </is>
      </c>
      <c r="G98" s="7" t="n">
        <v>35102030</v>
      </c>
      <c r="H98" s="7" t="inlineStr">
        <is>
          <t>Managed Health Care</t>
        </is>
      </c>
    </row>
    <row r="99">
      <c r="A99" s="7" t="n">
        <v>35</v>
      </c>
      <c r="B99" s="7" t="inlineStr">
        <is>
          <t>Health Care</t>
        </is>
      </c>
      <c r="C99" s="7" t="n">
        <v>3510</v>
      </c>
      <c r="D99" s="7" t="inlineStr">
        <is>
          <t>Health Care Equipment &amp; Services</t>
        </is>
      </c>
      <c r="E99" s="7" t="n">
        <v>351030</v>
      </c>
      <c r="F99" s="7" t="inlineStr">
        <is>
          <t>Health Care Technology</t>
        </is>
      </c>
      <c r="G99" s="7" t="n">
        <v>35103010</v>
      </c>
      <c r="H99" s="7" t="inlineStr">
        <is>
          <t>Health Care Technology</t>
        </is>
      </c>
    </row>
    <row r="100">
      <c r="A100" s="7" t="n">
        <v>35</v>
      </c>
      <c r="B100" s="7" t="inlineStr">
        <is>
          <t>Health Care</t>
        </is>
      </c>
      <c r="C100" s="7" t="n">
        <v>3520</v>
      </c>
      <c r="D100" s="7" t="inlineStr">
        <is>
          <t>Pharmaceuticals, Biotechnology &amp; Life Sciences</t>
        </is>
      </c>
      <c r="E100" s="7" t="n">
        <v>352010</v>
      </c>
      <c r="F100" s="7" t="inlineStr">
        <is>
          <t>Biotechnology</t>
        </is>
      </c>
      <c r="G100" s="7" t="n">
        <v>35201010</v>
      </c>
      <c r="H100" s="7" t="inlineStr">
        <is>
          <t>Biotechnology</t>
        </is>
      </c>
    </row>
    <row r="101">
      <c r="A101" s="7" t="n">
        <v>35</v>
      </c>
      <c r="B101" s="7" t="inlineStr">
        <is>
          <t>Health Care</t>
        </is>
      </c>
      <c r="C101" s="7" t="n">
        <v>3520</v>
      </c>
      <c r="D101" s="7" t="inlineStr">
        <is>
          <t>Pharmaceuticals, Biotechnology &amp; Life Sciences</t>
        </is>
      </c>
      <c r="E101" s="7" t="n">
        <v>352020</v>
      </c>
      <c r="F101" s="7" t="inlineStr">
        <is>
          <t>Pharmaceuticals</t>
        </is>
      </c>
      <c r="G101" s="7" t="n">
        <v>35202010</v>
      </c>
      <c r="H101" s="7" t="inlineStr">
        <is>
          <t>Pharmaceuticals</t>
        </is>
      </c>
    </row>
    <row r="102">
      <c r="A102" s="7" t="n">
        <v>35</v>
      </c>
      <c r="B102" s="7" t="inlineStr">
        <is>
          <t>Health Care</t>
        </is>
      </c>
      <c r="C102" s="7" t="n">
        <v>3520</v>
      </c>
      <c r="D102" s="7" t="inlineStr">
        <is>
          <t>Pharmaceuticals, Biotechnology &amp; Life Sciences</t>
        </is>
      </c>
      <c r="E102" s="7" t="n">
        <v>352030</v>
      </c>
      <c r="F102" s="7" t="inlineStr">
        <is>
          <t>Life Sciences Tools &amp; Services</t>
        </is>
      </c>
      <c r="G102" s="7" t="n">
        <v>35203010</v>
      </c>
      <c r="H102" s="7" t="inlineStr">
        <is>
          <t>Life Sciences Tools &amp; Services</t>
        </is>
      </c>
    </row>
    <row r="103">
      <c r="A103" s="7" t="n">
        <v>40</v>
      </c>
      <c r="B103" s="7" t="inlineStr">
        <is>
          <t>Financials</t>
        </is>
      </c>
      <c r="C103" s="7" t="n">
        <v>4010</v>
      </c>
      <c r="D103" s="7" t="inlineStr">
        <is>
          <t>Banks</t>
        </is>
      </c>
      <c r="E103" s="7" t="n">
        <v>401010</v>
      </c>
      <c r="F103" s="7" t="inlineStr">
        <is>
          <t>Banks</t>
        </is>
      </c>
      <c r="G103" s="7" t="n">
        <v>40101010</v>
      </c>
      <c r="H103" s="7" t="inlineStr">
        <is>
          <t>Diversified Banks</t>
        </is>
      </c>
    </row>
    <row r="104">
      <c r="A104" s="7" t="n">
        <v>40</v>
      </c>
      <c r="B104" s="7" t="inlineStr">
        <is>
          <t>Financials</t>
        </is>
      </c>
      <c r="C104" s="7" t="n">
        <v>4010</v>
      </c>
      <c r="D104" s="7" t="inlineStr">
        <is>
          <t>Banks</t>
        </is>
      </c>
      <c r="E104" s="7" t="n">
        <v>401010</v>
      </c>
      <c r="F104" s="7" t="inlineStr">
        <is>
          <t>Banks</t>
        </is>
      </c>
      <c r="G104" s="7" t="n">
        <v>40101015</v>
      </c>
      <c r="H104" s="7" t="inlineStr">
        <is>
          <t>Regional Banks</t>
        </is>
      </c>
    </row>
    <row r="105">
      <c r="A105" s="7" t="n">
        <v>40</v>
      </c>
      <c r="B105" s="7" t="inlineStr">
        <is>
          <t>Financials</t>
        </is>
      </c>
      <c r="C105" s="7" t="n">
        <v>4020</v>
      </c>
      <c r="D105" s="7" t="inlineStr">
        <is>
          <t>Financial Services</t>
        </is>
      </c>
      <c r="E105" s="7" t="n">
        <v>402010</v>
      </c>
      <c r="F105" s="7" t="inlineStr">
        <is>
          <t>Financial Services</t>
        </is>
      </c>
      <c r="G105" s="7" t="n">
        <v>40201020</v>
      </c>
      <c r="H105" s="7" t="inlineStr">
        <is>
          <t>Diversified Financial Services</t>
        </is>
      </c>
    </row>
    <row r="106">
      <c r="A106" s="7" t="n">
        <v>40</v>
      </c>
      <c r="B106" s="7" t="inlineStr">
        <is>
          <t>Financials</t>
        </is>
      </c>
      <c r="C106" s="7" t="n">
        <v>4020</v>
      </c>
      <c r="D106" s="7" t="inlineStr">
        <is>
          <t>Financial Services</t>
        </is>
      </c>
      <c r="E106" s="7" t="n">
        <v>402010</v>
      </c>
      <c r="F106" s="7" t="inlineStr">
        <is>
          <t>Financial Services</t>
        </is>
      </c>
      <c r="G106" s="7" t="n">
        <v>40201030</v>
      </c>
      <c r="H106" s="7" t="inlineStr">
        <is>
          <t>Multi-Sector Holdings</t>
        </is>
      </c>
    </row>
    <row r="107">
      <c r="A107" s="7" t="n">
        <v>40</v>
      </c>
      <c r="B107" s="7" t="inlineStr">
        <is>
          <t>Financials</t>
        </is>
      </c>
      <c r="C107" s="7" t="n">
        <v>4020</v>
      </c>
      <c r="D107" s="7" t="inlineStr">
        <is>
          <t>Financial Services</t>
        </is>
      </c>
      <c r="E107" s="7" t="n">
        <v>402010</v>
      </c>
      <c r="F107" s="7" t="inlineStr">
        <is>
          <t>Financial Services</t>
        </is>
      </c>
      <c r="G107" s="7" t="n">
        <v>40201040</v>
      </c>
      <c r="H107" s="7" t="inlineStr">
        <is>
          <t>Specialized Finance</t>
        </is>
      </c>
    </row>
    <row r="108">
      <c r="A108" s="7" t="n">
        <v>40</v>
      </c>
      <c r="B108" s="7" t="inlineStr">
        <is>
          <t>Financials</t>
        </is>
      </c>
      <c r="C108" s="7" t="n">
        <v>4020</v>
      </c>
      <c r="D108" s="7" t="inlineStr">
        <is>
          <t>Financial Services</t>
        </is>
      </c>
      <c r="E108" s="7" t="n">
        <v>402010</v>
      </c>
      <c r="F108" s="7" t="inlineStr">
        <is>
          <t>Financial Services</t>
        </is>
      </c>
      <c r="G108" s="7" t="n">
        <v>40201050</v>
      </c>
      <c r="H108" s="7" t="inlineStr">
        <is>
          <t>Commercial &amp; Residential Mortgage Finance</t>
        </is>
      </c>
    </row>
    <row r="109">
      <c r="A109" s="7" t="n">
        <v>40</v>
      </c>
      <c r="B109" s="7" t="inlineStr">
        <is>
          <t>Financials</t>
        </is>
      </c>
      <c r="C109" s="7" t="n">
        <v>4020</v>
      </c>
      <c r="D109" s="7" t="inlineStr">
        <is>
          <t>Financial Services</t>
        </is>
      </c>
      <c r="E109" s="7" t="n">
        <v>402010</v>
      </c>
      <c r="F109" s="7" t="inlineStr">
        <is>
          <t>Financial Services</t>
        </is>
      </c>
      <c r="G109" s="7" t="n">
        <v>40201060</v>
      </c>
      <c r="H109" s="7" t="inlineStr">
        <is>
          <t>Transaction &amp; Payment Processing Services</t>
        </is>
      </c>
    </row>
    <row r="110">
      <c r="A110" s="7" t="n">
        <v>40</v>
      </c>
      <c r="B110" s="7" t="inlineStr">
        <is>
          <t>Financials</t>
        </is>
      </c>
      <c r="C110" s="7" t="n">
        <v>4020</v>
      </c>
      <c r="D110" s="7" t="inlineStr">
        <is>
          <t>Financial Services</t>
        </is>
      </c>
      <c r="E110" s="7" t="n">
        <v>402020</v>
      </c>
      <c r="F110" s="7" t="inlineStr">
        <is>
          <t>Consumer Finance</t>
        </is>
      </c>
      <c r="G110" s="7" t="n">
        <v>40202010</v>
      </c>
      <c r="H110" s="7" t="inlineStr">
        <is>
          <t>Consumer Finance</t>
        </is>
      </c>
    </row>
    <row r="111">
      <c r="A111" s="7" t="n">
        <v>40</v>
      </c>
      <c r="B111" s="7" t="inlineStr">
        <is>
          <t>Financials</t>
        </is>
      </c>
      <c r="C111" s="7" t="n">
        <v>4020</v>
      </c>
      <c r="D111" s="7" t="inlineStr">
        <is>
          <t>Financial Services</t>
        </is>
      </c>
      <c r="E111" s="7" t="n">
        <v>402030</v>
      </c>
      <c r="F111" s="7" t="inlineStr">
        <is>
          <t>Capital Markets</t>
        </is>
      </c>
      <c r="G111" s="7" t="n">
        <v>40203010</v>
      </c>
      <c r="H111" s="7" t="inlineStr">
        <is>
          <t>Asset Management &amp; Custody Banks</t>
        </is>
      </c>
    </row>
    <row r="112">
      <c r="A112" s="7" t="n">
        <v>40</v>
      </c>
      <c r="B112" s="7" t="inlineStr">
        <is>
          <t>Financials</t>
        </is>
      </c>
      <c r="C112" s="7" t="n">
        <v>4020</v>
      </c>
      <c r="D112" s="7" t="inlineStr">
        <is>
          <t>Financial Services</t>
        </is>
      </c>
      <c r="E112" s="7" t="n">
        <v>402030</v>
      </c>
      <c r="F112" s="7" t="inlineStr">
        <is>
          <t>Capital Markets</t>
        </is>
      </c>
      <c r="G112" s="7" t="n">
        <v>40203020</v>
      </c>
      <c r="H112" s="7" t="inlineStr">
        <is>
          <t>Investment Banking &amp; Brokerage</t>
        </is>
      </c>
    </row>
    <row r="113">
      <c r="A113" s="7" t="n">
        <v>40</v>
      </c>
      <c r="B113" s="7" t="inlineStr">
        <is>
          <t>Financials</t>
        </is>
      </c>
      <c r="C113" s="7" t="n">
        <v>4020</v>
      </c>
      <c r="D113" s="7" t="inlineStr">
        <is>
          <t>Financial Services</t>
        </is>
      </c>
      <c r="E113" s="7" t="n">
        <v>402030</v>
      </c>
      <c r="F113" s="7" t="inlineStr">
        <is>
          <t>Capital Markets</t>
        </is>
      </c>
      <c r="G113" s="7" t="n">
        <v>40203030</v>
      </c>
      <c r="H113" s="7" t="inlineStr">
        <is>
          <t>Diversified Capital Markets</t>
        </is>
      </c>
    </row>
    <row r="114">
      <c r="A114" s="7" t="n">
        <v>40</v>
      </c>
      <c r="B114" s="7" t="inlineStr">
        <is>
          <t>Financials</t>
        </is>
      </c>
      <c r="C114" s="7" t="n">
        <v>4020</v>
      </c>
      <c r="D114" s="7" t="inlineStr">
        <is>
          <t>Financial Services</t>
        </is>
      </c>
      <c r="E114" s="7" t="n">
        <v>402030</v>
      </c>
      <c r="F114" s="7" t="inlineStr">
        <is>
          <t>Capital Markets</t>
        </is>
      </c>
      <c r="G114" s="7" t="n">
        <v>40203040</v>
      </c>
      <c r="H114" s="7" t="inlineStr">
        <is>
          <t>Financial Exchanges &amp; Data</t>
        </is>
      </c>
    </row>
    <row r="115">
      <c r="A115" s="7" t="n">
        <v>40</v>
      </c>
      <c r="B115" s="7" t="inlineStr">
        <is>
          <t>Financials</t>
        </is>
      </c>
      <c r="C115" s="7" t="n">
        <v>4020</v>
      </c>
      <c r="D115" s="7" t="inlineStr">
        <is>
          <t>Financial Services</t>
        </is>
      </c>
      <c r="E115" s="7" t="n">
        <v>402040</v>
      </c>
      <c r="F115" s="7" t="inlineStr">
        <is>
          <t>Mortgage Real Estate Investment Trusts (REITs)</t>
        </is>
      </c>
      <c r="G115" s="7" t="n">
        <v>40204010</v>
      </c>
      <c r="H115" s="7" t="inlineStr">
        <is>
          <t>Mortgage REITs*</t>
        </is>
      </c>
    </row>
    <row r="116">
      <c r="A116" s="7" t="n">
        <v>40</v>
      </c>
      <c r="B116" s="7" t="inlineStr">
        <is>
          <t>Financials</t>
        </is>
      </c>
      <c r="C116" s="7" t="n">
        <v>4030</v>
      </c>
      <c r="D116" s="7" t="inlineStr">
        <is>
          <t>Insurance</t>
        </is>
      </c>
      <c r="E116" s="7" t="n">
        <v>403010</v>
      </c>
      <c r="F116" s="7" t="inlineStr">
        <is>
          <t>Insurance</t>
        </is>
      </c>
      <c r="G116" s="7" t="n">
        <v>40301010</v>
      </c>
      <c r="H116" s="7" t="inlineStr">
        <is>
          <t>Insurance Brokers</t>
        </is>
      </c>
    </row>
    <row r="117">
      <c r="A117" s="7" t="n">
        <v>40</v>
      </c>
      <c r="B117" s="7" t="inlineStr">
        <is>
          <t>Financials</t>
        </is>
      </c>
      <c r="C117" s="7" t="n">
        <v>4030</v>
      </c>
      <c r="D117" s="7" t="inlineStr">
        <is>
          <t>Insurance</t>
        </is>
      </c>
      <c r="E117" s="7" t="n">
        <v>403010</v>
      </c>
      <c r="F117" s="7" t="inlineStr">
        <is>
          <t>Insurance</t>
        </is>
      </c>
      <c r="G117" s="7" t="n">
        <v>40301020</v>
      </c>
      <c r="H117" s="7" t="inlineStr">
        <is>
          <t>Life &amp; Health Insurance</t>
        </is>
      </c>
    </row>
    <row r="118">
      <c r="A118" s="7" t="n">
        <v>40</v>
      </c>
      <c r="B118" s="7" t="inlineStr">
        <is>
          <t>Financials</t>
        </is>
      </c>
      <c r="C118" s="7" t="n">
        <v>4030</v>
      </c>
      <c r="D118" s="7" t="inlineStr">
        <is>
          <t>Insurance</t>
        </is>
      </c>
      <c r="E118" s="7" t="n">
        <v>403010</v>
      </c>
      <c r="F118" s="7" t="inlineStr">
        <is>
          <t>Insurance</t>
        </is>
      </c>
      <c r="G118" s="7" t="n">
        <v>40301030</v>
      </c>
      <c r="H118" s="7" t="inlineStr">
        <is>
          <t>Multi-line Insurance</t>
        </is>
      </c>
    </row>
    <row r="119">
      <c r="A119" s="7" t="n">
        <v>40</v>
      </c>
      <c r="B119" s="7" t="inlineStr">
        <is>
          <t>Financials</t>
        </is>
      </c>
      <c r="C119" s="7" t="n">
        <v>4030</v>
      </c>
      <c r="D119" s="7" t="inlineStr">
        <is>
          <t>Insurance</t>
        </is>
      </c>
      <c r="E119" s="7" t="n">
        <v>403010</v>
      </c>
      <c r="F119" s="7" t="inlineStr">
        <is>
          <t>Insurance</t>
        </is>
      </c>
      <c r="G119" s="7" t="n">
        <v>40301040</v>
      </c>
      <c r="H119" s="7" t="inlineStr">
        <is>
          <t>Property &amp; Casualty Insurance</t>
        </is>
      </c>
    </row>
    <row r="120">
      <c r="A120" s="7" t="n">
        <v>40</v>
      </c>
      <c r="B120" s="7" t="inlineStr">
        <is>
          <t>Financials</t>
        </is>
      </c>
      <c r="C120" s="7" t="n">
        <v>4030</v>
      </c>
      <c r="D120" s="7" t="inlineStr">
        <is>
          <t>Insurance</t>
        </is>
      </c>
      <c r="E120" s="7" t="n">
        <v>403010</v>
      </c>
      <c r="F120" s="7" t="inlineStr">
        <is>
          <t>Insurance</t>
        </is>
      </c>
      <c r="G120" s="7" t="n">
        <v>40301050</v>
      </c>
      <c r="H120" s="7" t="inlineStr">
        <is>
          <t>Reinsurance</t>
        </is>
      </c>
    </row>
    <row r="121">
      <c r="A121" s="7" t="n">
        <v>45</v>
      </c>
      <c r="B121" s="7" t="inlineStr">
        <is>
          <t>Information Technology</t>
        </is>
      </c>
      <c r="C121" s="7" t="n">
        <v>4510</v>
      </c>
      <c r="D121" s="7" t="inlineStr">
        <is>
          <t>Software &amp; Services</t>
        </is>
      </c>
      <c r="E121" s="7" t="n">
        <v>451020</v>
      </c>
      <c r="F121" s="7" t="inlineStr">
        <is>
          <t>IT Services</t>
        </is>
      </c>
      <c r="G121" s="7" t="n">
        <v>45102010</v>
      </c>
      <c r="H121" s="7" t="inlineStr">
        <is>
          <t>IT Consulting &amp; Other Services</t>
        </is>
      </c>
    </row>
    <row r="122">
      <c r="A122" s="7" t="n">
        <v>45</v>
      </c>
      <c r="B122" s="7" t="inlineStr">
        <is>
          <t>Information Technology</t>
        </is>
      </c>
      <c r="C122" s="7" t="n">
        <v>4510</v>
      </c>
      <c r="D122" s="7" t="inlineStr">
        <is>
          <t>Software &amp; Services</t>
        </is>
      </c>
      <c r="E122" s="7" t="n">
        <v>451020</v>
      </c>
      <c r="F122" s="7" t="inlineStr">
        <is>
          <t>IT Services</t>
        </is>
      </c>
      <c r="G122" s="7" t="n">
        <v>45102030</v>
      </c>
      <c r="H122" s="7" t="inlineStr">
        <is>
          <t>Internet Services &amp; Infrastructure</t>
        </is>
      </c>
    </row>
    <row r="123">
      <c r="A123" s="7" t="n">
        <v>45</v>
      </c>
      <c r="B123" s="7" t="inlineStr">
        <is>
          <t>Information Technology</t>
        </is>
      </c>
      <c r="C123" s="7" t="n">
        <v>4510</v>
      </c>
      <c r="D123" s="7" t="inlineStr">
        <is>
          <t>Software &amp; Services</t>
        </is>
      </c>
      <c r="E123" s="7" t="n">
        <v>451030</v>
      </c>
      <c r="F123" s="7" t="inlineStr">
        <is>
          <t>Software</t>
        </is>
      </c>
      <c r="G123" s="7" t="n">
        <v>45103010</v>
      </c>
      <c r="H123" s="7" t="inlineStr">
        <is>
          <t>Application Software</t>
        </is>
      </c>
    </row>
    <row r="124">
      <c r="A124" s="7" t="n">
        <v>45</v>
      </c>
      <c r="B124" s="7" t="inlineStr">
        <is>
          <t>Information Technology</t>
        </is>
      </c>
      <c r="C124" s="7" t="n">
        <v>4510</v>
      </c>
      <c r="D124" s="7" t="inlineStr">
        <is>
          <t>Software &amp; Services</t>
        </is>
      </c>
      <c r="E124" s="7" t="n">
        <v>451030</v>
      </c>
      <c r="F124" s="7" t="inlineStr">
        <is>
          <t>Software</t>
        </is>
      </c>
      <c r="G124" s="7" t="n">
        <v>45103020</v>
      </c>
      <c r="H124" s="7" t="inlineStr">
        <is>
          <t>Systems Software</t>
        </is>
      </c>
    </row>
    <row r="125">
      <c r="A125" s="7" t="n">
        <v>45</v>
      </c>
      <c r="B125" s="7" t="inlineStr">
        <is>
          <t>Information Technology</t>
        </is>
      </c>
      <c r="C125" s="7" t="n">
        <v>4520</v>
      </c>
      <c r="D125" s="7" t="inlineStr">
        <is>
          <t>Technology Hardware &amp; Equipment</t>
        </is>
      </c>
      <c r="E125" s="7" t="n">
        <v>452010</v>
      </c>
      <c r="F125" s="7" t="inlineStr">
        <is>
          <t>Communications Equipment</t>
        </is>
      </c>
      <c r="G125" s="7" t="n">
        <v>45201020</v>
      </c>
      <c r="H125" s="7" t="inlineStr">
        <is>
          <t>Communications Equipment</t>
        </is>
      </c>
    </row>
    <row r="126">
      <c r="A126" s="7" t="n">
        <v>45</v>
      </c>
      <c r="B126" s="7" t="inlineStr">
        <is>
          <t>Information Technology</t>
        </is>
      </c>
      <c r="C126" s="7" t="n">
        <v>4520</v>
      </c>
      <c r="D126" s="7" t="inlineStr">
        <is>
          <t>Technology Hardware &amp; Equipment</t>
        </is>
      </c>
      <c r="E126" s="7" t="n">
        <v>452020</v>
      </c>
      <c r="F126" s="7" t="inlineStr">
        <is>
          <t>Technology Hardware, Storage &amp; Peripherals</t>
        </is>
      </c>
      <c r="G126" s="7" t="n">
        <v>45202030</v>
      </c>
      <c r="H126" s="7" t="inlineStr">
        <is>
          <t>Technology Hardware, Storage &amp; Peripherals</t>
        </is>
      </c>
    </row>
    <row r="127">
      <c r="A127" s="7" t="n">
        <v>45</v>
      </c>
      <c r="B127" s="7" t="inlineStr">
        <is>
          <t>Information Technology</t>
        </is>
      </c>
      <c r="C127" s="7" t="n">
        <v>4520</v>
      </c>
      <c r="D127" s="7" t="inlineStr">
        <is>
          <t>Technology Hardware &amp; Equipment</t>
        </is>
      </c>
      <c r="E127" s="7" t="n">
        <v>452030</v>
      </c>
      <c r="F127" s="7" t="inlineStr">
        <is>
          <t>Electronic Equipment, Instruments &amp; Components</t>
        </is>
      </c>
      <c r="G127" s="7" t="n">
        <v>45203010</v>
      </c>
      <c r="H127" s="7" t="inlineStr">
        <is>
          <t>Electronic Equipment &amp; Instruments</t>
        </is>
      </c>
    </row>
    <row r="128">
      <c r="A128" s="7" t="n">
        <v>45</v>
      </c>
      <c r="B128" s="7" t="inlineStr">
        <is>
          <t>Information Technology</t>
        </is>
      </c>
      <c r="C128" s="7" t="n">
        <v>4520</v>
      </c>
      <c r="D128" s="7" t="inlineStr">
        <is>
          <t>Technology Hardware &amp; Equipment</t>
        </is>
      </c>
      <c r="E128" s="7" t="n">
        <v>452030</v>
      </c>
      <c r="F128" s="7" t="inlineStr">
        <is>
          <t>Electronic Equipment, Instruments &amp; Components</t>
        </is>
      </c>
      <c r="G128" s="7" t="n">
        <v>45203015</v>
      </c>
      <c r="H128" s="7" t="inlineStr">
        <is>
          <t>Electronic Components</t>
        </is>
      </c>
    </row>
    <row r="129">
      <c r="A129" s="7" t="n">
        <v>45</v>
      </c>
      <c r="B129" s="7" t="inlineStr">
        <is>
          <t>Information Technology</t>
        </is>
      </c>
      <c r="C129" s="7" t="n">
        <v>4520</v>
      </c>
      <c r="D129" s="7" t="inlineStr">
        <is>
          <t>Technology Hardware &amp; Equipment</t>
        </is>
      </c>
      <c r="E129" s="7" t="n">
        <v>452030</v>
      </c>
      <c r="F129" s="7" t="inlineStr">
        <is>
          <t>Electronic Equipment, Instruments &amp; Components</t>
        </is>
      </c>
      <c r="G129" s="7" t="n">
        <v>45203020</v>
      </c>
      <c r="H129" s="7" t="inlineStr">
        <is>
          <t>Electronic Manufacturing Services</t>
        </is>
      </c>
    </row>
    <row r="130">
      <c r="A130" s="7" t="n">
        <v>45</v>
      </c>
      <c r="B130" s="7" t="inlineStr">
        <is>
          <t>Information Technology</t>
        </is>
      </c>
      <c r="C130" s="7" t="n">
        <v>4520</v>
      </c>
      <c r="D130" s="7" t="inlineStr">
        <is>
          <t>Technology Hardware &amp; Equipment</t>
        </is>
      </c>
      <c r="E130" s="7" t="n">
        <v>452030</v>
      </c>
      <c r="F130" s="7" t="inlineStr">
        <is>
          <t>Electronic Equipment, Instruments &amp; Components</t>
        </is>
      </c>
      <c r="G130" s="7" t="n">
        <v>45203030</v>
      </c>
      <c r="H130" s="7" t="inlineStr">
        <is>
          <t>Technology Distributors</t>
        </is>
      </c>
    </row>
    <row r="131">
      <c r="A131" s="7" t="n">
        <v>45</v>
      </c>
      <c r="B131" s="7" t="inlineStr">
        <is>
          <t>Information Technology</t>
        </is>
      </c>
      <c r="C131" s="7" t="n">
        <v>4530</v>
      </c>
      <c r="D131" s="7" t="inlineStr">
        <is>
          <t>Semiconductors &amp; Semiconductor Equipment</t>
        </is>
      </c>
      <c r="E131" s="7" t="n">
        <v>453010</v>
      </c>
      <c r="F131" s="7" t="inlineStr">
        <is>
          <t>Semiconductors &amp; Semiconductor Equipment</t>
        </is>
      </c>
      <c r="G131" s="7" t="n">
        <v>45301010</v>
      </c>
      <c r="H131" s="7" t="inlineStr">
        <is>
          <t>Semiconductor Materials &amp; Equipment</t>
        </is>
      </c>
    </row>
    <row r="132">
      <c r="A132" s="7" t="n">
        <v>45</v>
      </c>
      <c r="B132" s="7" t="inlineStr">
        <is>
          <t>Information Technology</t>
        </is>
      </c>
      <c r="C132" s="7" t="n">
        <v>4530</v>
      </c>
      <c r="D132" s="7" t="inlineStr">
        <is>
          <t>Semiconductors &amp; Semiconductor Equipment</t>
        </is>
      </c>
      <c r="E132" s="7" t="n">
        <v>453010</v>
      </c>
      <c r="F132" s="7" t="inlineStr">
        <is>
          <t>Semiconductors &amp; Semiconductor Equipment</t>
        </is>
      </c>
      <c r="G132" s="7" t="n">
        <v>45301020</v>
      </c>
      <c r="H132" s="7" t="inlineStr">
        <is>
          <t>Semiconductors</t>
        </is>
      </c>
    </row>
    <row r="133">
      <c r="A133" s="7" t="n">
        <v>50</v>
      </c>
      <c r="B133" s="7" t="inlineStr">
        <is>
          <t>Communication Services</t>
        </is>
      </c>
      <c r="C133" s="7" t="n">
        <v>5010</v>
      </c>
      <c r="D133" s="7" t="inlineStr">
        <is>
          <t>Telecommunication Services</t>
        </is>
      </c>
      <c r="E133" s="7" t="n">
        <v>501010</v>
      </c>
      <c r="F133" s="7" t="inlineStr">
        <is>
          <t>Diversified Telecommunication Services</t>
        </is>
      </c>
      <c r="G133" s="7" t="n">
        <v>50101010</v>
      </c>
      <c r="H133" s="7" t="inlineStr">
        <is>
          <t>Alternative Carriers</t>
        </is>
      </c>
    </row>
    <row r="134">
      <c r="A134" s="7" t="n">
        <v>50</v>
      </c>
      <c r="B134" s="7" t="inlineStr">
        <is>
          <t>Communication Services</t>
        </is>
      </c>
      <c r="C134" s="7" t="n">
        <v>5010</v>
      </c>
      <c r="D134" s="7" t="inlineStr">
        <is>
          <t>Telecommunication Services</t>
        </is>
      </c>
      <c r="E134" s="7" t="n">
        <v>501010</v>
      </c>
      <c r="F134" s="7" t="inlineStr">
        <is>
          <t>Diversified Telecommunication Services</t>
        </is>
      </c>
      <c r="G134" s="7" t="n">
        <v>50101020</v>
      </c>
      <c r="H134" s="7" t="inlineStr">
        <is>
          <t>Integrated Telecommunication Services</t>
        </is>
      </c>
    </row>
    <row r="135">
      <c r="A135" s="7" t="n">
        <v>50</v>
      </c>
      <c r="B135" s="7" t="inlineStr">
        <is>
          <t>Communication Services</t>
        </is>
      </c>
      <c r="C135" s="7" t="n">
        <v>5010</v>
      </c>
      <c r="D135" s="7" t="inlineStr">
        <is>
          <t>Telecommunication Services</t>
        </is>
      </c>
      <c r="E135" s="7" t="n">
        <v>501020</v>
      </c>
      <c r="F135" s="7" t="inlineStr">
        <is>
          <t>Wireless Telecommunication Services</t>
        </is>
      </c>
      <c r="G135" s="7" t="n">
        <v>50102010</v>
      </c>
      <c r="H135" s="7" t="inlineStr">
        <is>
          <t>Wireless Telecommunication Services</t>
        </is>
      </c>
    </row>
    <row r="136">
      <c r="A136" s="7" t="n">
        <v>50</v>
      </c>
      <c r="B136" s="7" t="inlineStr">
        <is>
          <t>Communication Services</t>
        </is>
      </c>
      <c r="C136" s="7" t="n">
        <v>5020</v>
      </c>
      <c r="D136" s="7" t="inlineStr">
        <is>
          <t>Media &amp; Entertainment</t>
        </is>
      </c>
      <c r="E136" s="7" t="n">
        <v>502010</v>
      </c>
      <c r="F136" s="7" t="inlineStr">
        <is>
          <t>Media</t>
        </is>
      </c>
      <c r="G136" s="7" t="n">
        <v>50201010</v>
      </c>
      <c r="H136" s="7" t="inlineStr">
        <is>
          <t>Advertising</t>
        </is>
      </c>
    </row>
    <row r="137">
      <c r="A137" s="7" t="n">
        <v>50</v>
      </c>
      <c r="B137" s="7" t="inlineStr">
        <is>
          <t>Communication Services</t>
        </is>
      </c>
      <c r="C137" s="7" t="n">
        <v>5020</v>
      </c>
      <c r="D137" s="7" t="inlineStr">
        <is>
          <t>Media &amp; Entertainment</t>
        </is>
      </c>
      <c r="E137" s="7" t="n">
        <v>502010</v>
      </c>
      <c r="F137" s="7" t="inlineStr">
        <is>
          <t>Media</t>
        </is>
      </c>
      <c r="G137" s="7" t="n">
        <v>50201020</v>
      </c>
      <c r="H137" s="7" t="inlineStr">
        <is>
          <t>Broadcasting</t>
        </is>
      </c>
    </row>
    <row r="138">
      <c r="A138" s="7" t="n">
        <v>50</v>
      </c>
      <c r="B138" s="7" t="inlineStr">
        <is>
          <t>Communication Services</t>
        </is>
      </c>
      <c r="C138" s="7" t="n">
        <v>5020</v>
      </c>
      <c r="D138" s="7" t="inlineStr">
        <is>
          <t>Media &amp; Entertainment</t>
        </is>
      </c>
      <c r="E138" s="7" t="n">
        <v>502010</v>
      </c>
      <c r="F138" s="7" t="inlineStr">
        <is>
          <t>Media</t>
        </is>
      </c>
      <c r="G138" s="7" t="n">
        <v>50201030</v>
      </c>
      <c r="H138" s="7" t="inlineStr">
        <is>
          <t>Cable &amp; Satellite</t>
        </is>
      </c>
    </row>
    <row r="139">
      <c r="A139" s="7" t="n">
        <v>50</v>
      </c>
      <c r="B139" s="7" t="inlineStr">
        <is>
          <t>Communication Services</t>
        </is>
      </c>
      <c r="C139" s="7" t="n">
        <v>5020</v>
      </c>
      <c r="D139" s="7" t="inlineStr">
        <is>
          <t>Media &amp; Entertainment</t>
        </is>
      </c>
      <c r="E139" s="7" t="n">
        <v>502010</v>
      </c>
      <c r="F139" s="7" t="inlineStr">
        <is>
          <t>Media</t>
        </is>
      </c>
      <c r="G139" s="7" t="n">
        <v>50201040</v>
      </c>
      <c r="H139" s="7" t="inlineStr">
        <is>
          <t>Publishing</t>
        </is>
      </c>
    </row>
    <row r="140">
      <c r="A140" s="7" t="n">
        <v>50</v>
      </c>
      <c r="B140" s="7" t="inlineStr">
        <is>
          <t>Communication Services</t>
        </is>
      </c>
      <c r="C140" s="7" t="n">
        <v>5020</v>
      </c>
      <c r="D140" s="7" t="inlineStr">
        <is>
          <t>Media &amp; Entertainment</t>
        </is>
      </c>
      <c r="E140" s="7" t="n">
        <v>502020</v>
      </c>
      <c r="F140" s="7" t="inlineStr">
        <is>
          <t>Entertainment</t>
        </is>
      </c>
      <c r="G140" s="7" t="n">
        <v>50202010</v>
      </c>
      <c r="H140" s="7" t="inlineStr">
        <is>
          <t>Movies &amp; Entertainment</t>
        </is>
      </c>
    </row>
    <row r="141">
      <c r="A141" s="7" t="n">
        <v>50</v>
      </c>
      <c r="B141" s="7" t="inlineStr">
        <is>
          <t>Communication Services</t>
        </is>
      </c>
      <c r="C141" s="7" t="n">
        <v>5020</v>
      </c>
      <c r="D141" s="7" t="inlineStr">
        <is>
          <t>Media &amp; Entertainment</t>
        </is>
      </c>
      <c r="E141" s="7" t="n">
        <v>502020</v>
      </c>
      <c r="F141" s="7" t="inlineStr">
        <is>
          <t>Entertainment</t>
        </is>
      </c>
      <c r="G141" s="7" t="n">
        <v>50202020</v>
      </c>
      <c r="H141" s="7" t="inlineStr">
        <is>
          <t>Interactive Home Entertainment</t>
        </is>
      </c>
    </row>
    <row r="142">
      <c r="A142" s="7" t="n">
        <v>50</v>
      </c>
      <c r="B142" s="7" t="inlineStr">
        <is>
          <t>Communication Services</t>
        </is>
      </c>
      <c r="C142" s="7" t="n">
        <v>5020</v>
      </c>
      <c r="D142" s="7" t="inlineStr">
        <is>
          <t>Media &amp; Entertainment</t>
        </is>
      </c>
      <c r="E142" s="7" t="n">
        <v>502030</v>
      </c>
      <c r="F142" s="7" t="inlineStr">
        <is>
          <t>Interactive Media &amp; Services</t>
        </is>
      </c>
      <c r="G142" s="7" t="n">
        <v>50203010</v>
      </c>
      <c r="H142" s="7" t="inlineStr">
        <is>
          <t>Interactive Media &amp; Services</t>
        </is>
      </c>
    </row>
    <row r="143">
      <c r="A143" s="7" t="n">
        <v>55</v>
      </c>
      <c r="B143" s="7" t="inlineStr">
        <is>
          <t>Utilities</t>
        </is>
      </c>
      <c r="C143" s="7" t="n">
        <v>5510</v>
      </c>
      <c r="D143" s="7" t="inlineStr">
        <is>
          <t>Utilities</t>
        </is>
      </c>
      <c r="E143" s="7" t="n">
        <v>551010</v>
      </c>
      <c r="F143" s="7" t="inlineStr">
        <is>
          <t>Electric Utilities</t>
        </is>
      </c>
      <c r="G143" s="7" t="n">
        <v>55101010</v>
      </c>
      <c r="H143" s="7" t="inlineStr">
        <is>
          <t>Electric Utilities</t>
        </is>
      </c>
    </row>
    <row r="144">
      <c r="A144" s="7" t="n">
        <v>55</v>
      </c>
      <c r="B144" s="7" t="inlineStr">
        <is>
          <t>Utilities</t>
        </is>
      </c>
      <c r="C144" s="7" t="n">
        <v>5510</v>
      </c>
      <c r="D144" s="7" t="inlineStr">
        <is>
          <t>Utilities</t>
        </is>
      </c>
      <c r="E144" s="7" t="n">
        <v>551020</v>
      </c>
      <c r="F144" s="7" t="inlineStr">
        <is>
          <t>Gas Utilities</t>
        </is>
      </c>
      <c r="G144" s="7" t="n">
        <v>55102010</v>
      </c>
      <c r="H144" s="7" t="inlineStr">
        <is>
          <t>Gas Utilities</t>
        </is>
      </c>
    </row>
    <row r="145">
      <c r="A145" s="7" t="n">
        <v>55</v>
      </c>
      <c r="B145" s="7" t="inlineStr">
        <is>
          <t>Utilities</t>
        </is>
      </c>
      <c r="C145" s="7" t="n">
        <v>5510</v>
      </c>
      <c r="D145" s="7" t="inlineStr">
        <is>
          <t>Utilities</t>
        </is>
      </c>
      <c r="E145" s="7" t="n">
        <v>551030</v>
      </c>
      <c r="F145" s="7" t="inlineStr">
        <is>
          <t>Multi-Utilities</t>
        </is>
      </c>
      <c r="G145" s="7" t="n">
        <v>55103010</v>
      </c>
      <c r="H145" s="7" t="inlineStr">
        <is>
          <t>Multi-Utilities</t>
        </is>
      </c>
    </row>
    <row r="146">
      <c r="A146" s="7" t="n">
        <v>55</v>
      </c>
      <c r="B146" s="7" t="inlineStr">
        <is>
          <t>Utilities</t>
        </is>
      </c>
      <c r="C146" s="7" t="n">
        <v>5510</v>
      </c>
      <c r="D146" s="7" t="inlineStr">
        <is>
          <t>Utilities</t>
        </is>
      </c>
      <c r="E146" s="7" t="n">
        <v>551040</v>
      </c>
      <c r="F146" s="7" t="inlineStr">
        <is>
          <t>Water Utilities</t>
        </is>
      </c>
      <c r="G146" s="7" t="n">
        <v>55104010</v>
      </c>
      <c r="H146" s="7" t="inlineStr">
        <is>
          <t>Water Utilities</t>
        </is>
      </c>
    </row>
    <row r="147">
      <c r="A147" s="7" t="n">
        <v>55</v>
      </c>
      <c r="B147" s="7" t="inlineStr">
        <is>
          <t>Utilities</t>
        </is>
      </c>
      <c r="C147" s="7" t="n">
        <v>5510</v>
      </c>
      <c r="D147" s="7" t="inlineStr">
        <is>
          <t>Utilities</t>
        </is>
      </c>
      <c r="E147" s="7" t="n">
        <v>551050</v>
      </c>
      <c r="F147" s="7" t="inlineStr">
        <is>
          <t>Independent Power and Renewable Electricity Producers</t>
        </is>
      </c>
      <c r="G147" s="7" t="n">
        <v>55105010</v>
      </c>
      <c r="H147" s="7" t="inlineStr">
        <is>
          <t>Independent Power Producers &amp; Energy Traders</t>
        </is>
      </c>
    </row>
    <row r="148">
      <c r="A148" s="7" t="n">
        <v>55</v>
      </c>
      <c r="B148" s="7" t="inlineStr">
        <is>
          <t>Utilities</t>
        </is>
      </c>
      <c r="C148" s="7" t="n">
        <v>5510</v>
      </c>
      <c r="D148" s="7" t="inlineStr">
        <is>
          <t>Utilities</t>
        </is>
      </c>
      <c r="E148" s="7" t="n">
        <v>551050</v>
      </c>
      <c r="F148" s="7" t="inlineStr">
        <is>
          <t>Independent Power and Renewable Electricity Producers</t>
        </is>
      </c>
      <c r="G148" s="7" t="n">
        <v>55105020</v>
      </c>
      <c r="H148" s="7" t="inlineStr">
        <is>
          <t>Renewable Electricity</t>
        </is>
      </c>
    </row>
    <row r="149">
      <c r="A149" s="7" t="n">
        <v>60</v>
      </c>
      <c r="B149" s="7" t="inlineStr">
        <is>
          <t>Real Estate</t>
        </is>
      </c>
      <c r="C149" s="7" t="n">
        <v>6010</v>
      </c>
      <c r="D149" s="7" t="inlineStr">
        <is>
          <t>Equity Real Estate Investment Trusts (REITs)</t>
        </is>
      </c>
      <c r="E149" s="7" t="n">
        <v>601010</v>
      </c>
      <c r="F149" s="7" t="inlineStr">
        <is>
          <t>Diversified REITs</t>
        </is>
      </c>
      <c r="G149" s="7" t="n">
        <v>60101010</v>
      </c>
      <c r="H149" s="7" t="inlineStr">
        <is>
          <t>Diversified REITs*</t>
        </is>
      </c>
    </row>
    <row r="150">
      <c r="A150" s="7" t="n">
        <v>60</v>
      </c>
      <c r="B150" s="7" t="inlineStr">
        <is>
          <t>Real Estate</t>
        </is>
      </c>
      <c r="C150" s="7" t="n">
        <v>6010</v>
      </c>
      <c r="D150" s="7" t="inlineStr">
        <is>
          <t>Equity Real Estate Investment Trusts (REITs)</t>
        </is>
      </c>
      <c r="E150" s="7" t="n">
        <v>601025</v>
      </c>
      <c r="F150" s="7" t="inlineStr">
        <is>
          <t>Industrial REITs</t>
        </is>
      </c>
      <c r="G150" s="7" t="n">
        <v>60102510</v>
      </c>
      <c r="H150" s="7" t="inlineStr">
        <is>
          <t>Industrial REITs*</t>
        </is>
      </c>
    </row>
    <row r="151">
      <c r="A151" s="7" t="n">
        <v>60</v>
      </c>
      <c r="B151" s="7" t="inlineStr">
        <is>
          <t>Real Estate</t>
        </is>
      </c>
      <c r="C151" s="7" t="n">
        <v>6010</v>
      </c>
      <c r="D151" s="7" t="inlineStr">
        <is>
          <t>Equity Real Estate Investment Trusts (REITs)</t>
        </is>
      </c>
      <c r="E151" s="7" t="n">
        <v>601030</v>
      </c>
      <c r="F151" s="7" t="inlineStr">
        <is>
          <t>Hotel &amp; Resort REITs</t>
        </is>
      </c>
      <c r="G151" s="7" t="n">
        <v>60103010</v>
      </c>
      <c r="H151" s="7" t="inlineStr">
        <is>
          <t>Hotel &amp; Resort REITs*</t>
        </is>
      </c>
    </row>
    <row r="152">
      <c r="A152" s="7" t="n">
        <v>60</v>
      </c>
      <c r="B152" s="7" t="inlineStr">
        <is>
          <t>Real Estate</t>
        </is>
      </c>
      <c r="C152" s="7" t="n">
        <v>6010</v>
      </c>
      <c r="D152" s="7" t="inlineStr">
        <is>
          <t>Equity Real Estate Investment Trusts (REITs)</t>
        </is>
      </c>
      <c r="E152" s="7" t="n">
        <v>601040</v>
      </c>
      <c r="F152" s="7" t="inlineStr">
        <is>
          <t>Office REITs</t>
        </is>
      </c>
      <c r="G152" s="7" t="n">
        <v>60104010</v>
      </c>
      <c r="H152" s="7" t="inlineStr">
        <is>
          <t>Office REITs*</t>
        </is>
      </c>
    </row>
    <row r="153">
      <c r="A153" s="7" t="n">
        <v>60</v>
      </c>
      <c r="B153" s="7" t="inlineStr">
        <is>
          <t>Real Estate</t>
        </is>
      </c>
      <c r="C153" s="7" t="n">
        <v>6010</v>
      </c>
      <c r="D153" s="7" t="inlineStr">
        <is>
          <t>Equity Real Estate Investment Trusts (REITs)</t>
        </is>
      </c>
      <c r="E153" s="7" t="n">
        <v>601050</v>
      </c>
      <c r="F153" s="7" t="inlineStr">
        <is>
          <t>Health Care REITs</t>
        </is>
      </c>
      <c r="G153" s="7" t="n">
        <v>60105010</v>
      </c>
      <c r="H153" s="7" t="inlineStr">
        <is>
          <t>Health Care REITs*</t>
        </is>
      </c>
    </row>
    <row r="154">
      <c r="A154" s="7" t="n">
        <v>60</v>
      </c>
      <c r="B154" s="7" t="inlineStr">
        <is>
          <t>Real Estate</t>
        </is>
      </c>
      <c r="C154" s="7" t="n">
        <v>6010</v>
      </c>
      <c r="D154" s="7" t="inlineStr">
        <is>
          <t>Equity Real Estate Investment Trusts (REITs)</t>
        </is>
      </c>
      <c r="E154" s="7" t="n">
        <v>601060</v>
      </c>
      <c r="F154" s="7" t="inlineStr">
        <is>
          <t>Residential REITs</t>
        </is>
      </c>
      <c r="G154" s="7" t="n">
        <v>60106010</v>
      </c>
      <c r="H154" s="7" t="inlineStr">
        <is>
          <t>Multi-Family Residential REITs*</t>
        </is>
      </c>
    </row>
    <row r="155">
      <c r="A155" s="7" t="n">
        <v>60</v>
      </c>
      <c r="B155" s="7" t="inlineStr">
        <is>
          <t>Real Estate</t>
        </is>
      </c>
      <c r="C155" s="7" t="n">
        <v>6010</v>
      </c>
      <c r="D155" s="7" t="inlineStr">
        <is>
          <t>Equity Real Estate Investment Trusts (REITs)</t>
        </is>
      </c>
      <c r="E155" s="7" t="n">
        <v>601060</v>
      </c>
      <c r="F155" s="7" t="inlineStr">
        <is>
          <t>Residential REITs</t>
        </is>
      </c>
      <c r="G155" s="7" t="n">
        <v>60106020</v>
      </c>
      <c r="H155" s="7" t="inlineStr">
        <is>
          <t>Single-Family Residential REITs*</t>
        </is>
      </c>
    </row>
    <row r="156">
      <c r="A156" s="7" t="n">
        <v>60</v>
      </c>
      <c r="B156" s="7" t="inlineStr">
        <is>
          <t>Real Estate</t>
        </is>
      </c>
      <c r="C156" s="7" t="n">
        <v>6010</v>
      </c>
      <c r="D156" s="7" t="inlineStr">
        <is>
          <t>Equity Real Estate Investment Trusts (REITs)</t>
        </is>
      </c>
      <c r="E156" s="7" t="n">
        <v>601070</v>
      </c>
      <c r="F156" s="7" t="inlineStr">
        <is>
          <t>Retail REITs</t>
        </is>
      </c>
      <c r="G156" s="7" t="n">
        <v>60107010</v>
      </c>
      <c r="H156" s="7" t="inlineStr">
        <is>
          <t>Retail REITs*</t>
        </is>
      </c>
    </row>
    <row r="157">
      <c r="A157" s="7" t="n">
        <v>60</v>
      </c>
      <c r="B157" s="7" t="inlineStr">
        <is>
          <t>Real Estate</t>
        </is>
      </c>
      <c r="C157" s="7" t="n">
        <v>6010</v>
      </c>
      <c r="D157" s="7" t="inlineStr">
        <is>
          <t>Equity Real Estate Investment Trusts (REITs)</t>
        </is>
      </c>
      <c r="E157" s="7" t="n">
        <v>601080</v>
      </c>
      <c r="F157" s="7" t="inlineStr">
        <is>
          <t>Specialized REITs</t>
        </is>
      </c>
      <c r="G157" s="7" t="n">
        <v>60108010</v>
      </c>
      <c r="H157" s="7" t="inlineStr">
        <is>
          <t>Other Specialized REITs*</t>
        </is>
      </c>
    </row>
    <row r="158">
      <c r="A158" s="7" t="n">
        <v>60</v>
      </c>
      <c r="B158" s="7" t="inlineStr">
        <is>
          <t>Real Estate</t>
        </is>
      </c>
      <c r="C158" s="7" t="n">
        <v>6010</v>
      </c>
      <c r="D158" s="7" t="inlineStr">
        <is>
          <t>Equity Real Estate Investment Trusts (REITs)</t>
        </is>
      </c>
      <c r="E158" s="7" t="n">
        <v>601080</v>
      </c>
      <c r="F158" s="7" t="inlineStr">
        <is>
          <t>Specialized REITs</t>
        </is>
      </c>
      <c r="G158" s="7" t="n">
        <v>60108020</v>
      </c>
      <c r="H158" s="7" t="inlineStr">
        <is>
          <t>Self-Storage REITs*</t>
        </is>
      </c>
    </row>
    <row r="159">
      <c r="A159" s="7" t="n">
        <v>60</v>
      </c>
      <c r="B159" s="7" t="inlineStr">
        <is>
          <t>Real Estate</t>
        </is>
      </c>
      <c r="C159" s="7" t="n">
        <v>6010</v>
      </c>
      <c r="D159" s="7" t="inlineStr">
        <is>
          <t>Equity Real Estate Investment Trusts (REITs)</t>
        </is>
      </c>
      <c r="E159" s="7" t="n">
        <v>601080</v>
      </c>
      <c r="F159" s="7" t="inlineStr">
        <is>
          <t>Specialized REITs</t>
        </is>
      </c>
      <c r="G159" s="7" t="n">
        <v>60108030</v>
      </c>
      <c r="H159" s="7" t="inlineStr">
        <is>
          <t>Telecom Tower REITs*</t>
        </is>
      </c>
    </row>
    <row r="160">
      <c r="A160" s="7" t="n">
        <v>60</v>
      </c>
      <c r="B160" s="7" t="inlineStr">
        <is>
          <t>Real Estate</t>
        </is>
      </c>
      <c r="C160" s="7" t="n">
        <v>6010</v>
      </c>
      <c r="D160" s="7" t="inlineStr">
        <is>
          <t>Equity Real Estate Investment Trusts (REITs)</t>
        </is>
      </c>
      <c r="E160" s="7" t="n">
        <v>601080</v>
      </c>
      <c r="F160" s="7" t="inlineStr">
        <is>
          <t>Specialized REITs</t>
        </is>
      </c>
      <c r="G160" s="7" t="n">
        <v>60108040</v>
      </c>
      <c r="H160" s="7" t="inlineStr">
        <is>
          <t>Timber REITs*</t>
        </is>
      </c>
    </row>
    <row r="161">
      <c r="A161" s="7" t="n">
        <v>60</v>
      </c>
      <c r="B161" s="7" t="inlineStr">
        <is>
          <t>Real Estate</t>
        </is>
      </c>
      <c r="C161" s="7" t="n">
        <v>6010</v>
      </c>
      <c r="D161" s="7" t="inlineStr">
        <is>
          <t>Equity Real Estate Investment Trusts (REITs)</t>
        </is>
      </c>
      <c r="E161" s="7" t="n">
        <v>601080</v>
      </c>
      <c r="F161" s="7" t="inlineStr">
        <is>
          <t>Specialized REITs</t>
        </is>
      </c>
      <c r="G161" s="7" t="n">
        <v>60108050</v>
      </c>
      <c r="H161" s="7" t="inlineStr">
        <is>
          <t>Data Center REITs*</t>
        </is>
      </c>
    </row>
    <row r="162">
      <c r="A162" s="7" t="n">
        <v>60</v>
      </c>
      <c r="B162" s="7" t="inlineStr">
        <is>
          <t>Real Estate</t>
        </is>
      </c>
      <c r="C162" s="7" t="n">
        <v>6020</v>
      </c>
      <c r="D162" s="7" t="inlineStr">
        <is>
          <t>Real Estate Management &amp; Development</t>
        </is>
      </c>
      <c r="E162" s="7" t="n">
        <v>602010</v>
      </c>
      <c r="F162" s="7" t="inlineStr">
        <is>
          <t>Real Estate Management &amp; Development</t>
        </is>
      </c>
      <c r="G162" s="7" t="n">
        <v>60201010</v>
      </c>
      <c r="H162" s="7" t="inlineStr">
        <is>
          <t>Diversified Real Estate Activities</t>
        </is>
      </c>
    </row>
    <row r="163">
      <c r="A163" s="7" t="n">
        <v>60</v>
      </c>
      <c r="B163" s="7" t="inlineStr">
        <is>
          <t>Real Estate</t>
        </is>
      </c>
      <c r="C163" s="7" t="n">
        <v>6020</v>
      </c>
      <c r="D163" s="7" t="inlineStr">
        <is>
          <t>Real Estate Management &amp; Development</t>
        </is>
      </c>
      <c r="E163" s="7" t="n">
        <v>602010</v>
      </c>
      <c r="F163" s="7" t="inlineStr">
        <is>
          <t>Real Estate Management &amp; Development</t>
        </is>
      </c>
      <c r="G163" s="7" t="n">
        <v>60201020</v>
      </c>
      <c r="H163" s="7" t="inlineStr">
        <is>
          <t>Real Estate Operating Companies</t>
        </is>
      </c>
    </row>
    <row r="164">
      <c r="A164" s="7" t="n">
        <v>60</v>
      </c>
      <c r="B164" s="7" t="inlineStr">
        <is>
          <t>Real Estate</t>
        </is>
      </c>
      <c r="C164" s="7" t="n">
        <v>6020</v>
      </c>
      <c r="D164" s="7" t="inlineStr">
        <is>
          <t>Real Estate Management &amp; Development</t>
        </is>
      </c>
      <c r="E164" s="7" t="n">
        <v>602010</v>
      </c>
      <c r="F164" s="7" t="inlineStr">
        <is>
          <t>Real Estate Management &amp; Development</t>
        </is>
      </c>
      <c r="G164" s="7" t="n">
        <v>60201030</v>
      </c>
      <c r="H164" s="7" t="inlineStr">
        <is>
          <t>Real Estate Development</t>
        </is>
      </c>
    </row>
    <row r="165">
      <c r="A165" s="7" t="n">
        <v>60</v>
      </c>
      <c r="B165" s="7" t="inlineStr">
        <is>
          <t>Real Estate</t>
        </is>
      </c>
      <c r="C165" s="7" t="n">
        <v>6020</v>
      </c>
      <c r="D165" s="7" t="inlineStr">
        <is>
          <t>Real Estate Management &amp; Development</t>
        </is>
      </c>
      <c r="E165" s="7" t="n">
        <v>602010</v>
      </c>
      <c r="F165" s="7" t="inlineStr">
        <is>
          <t>Real Estate Management &amp; Development</t>
        </is>
      </c>
      <c r="G165" s="7" t="n">
        <v>60201040</v>
      </c>
      <c r="H165" s="7" t="inlineStr">
        <is>
          <t>Real Estate 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2"/>
  <sheetViews>
    <sheetView showGridLines="0" workbookViewId="0">
      <pane ySplit="3" topLeftCell="A4" activePane="bottomLeft" state="frozen"/>
      <selection pane="bottomLeft" activeCell="A1" sqref="A1"/>
    </sheetView>
  </sheetViews>
  <sheetFormatPr baseColWidth="8" defaultRowHeight="15" outlineLevelCol="0"/>
  <cols>
    <col width="12" customWidth="1" min="1" max="1"/>
    <col width="38" customWidth="1" min="2" max="2"/>
    <col width="8" customWidth="1" min="3" max="3"/>
    <col width="10" customWidth="1" min="4" max="4"/>
    <col width="16" customWidth="1" min="5" max="5"/>
    <col width="16" customWidth="1" min="6" max="6"/>
    <col width="14" customWidth="1" min="7" max="7"/>
    <col width="14" customWidth="1" min="8" max="8"/>
    <col width="14" customWidth="1" min="9" max="9"/>
    <col width="10" customWidth="1" min="10" max="10"/>
  </cols>
  <sheetData>
    <row r="1" ht="32" customHeight="1">
      <c r="A1" t="inlineStr">
        <is>
          <t>REAL DATA, VALUES ONLY. Bloomberg EQS&lt;GO&gt;, UK Refined/Investable Universe (1,298 companies), GICS Sub-Industry level, two independent exports cross-validated: 139/139 names and market caps matched exactly. Read 8 Aug 2026.</t>
        </is>
      </c>
    </row>
    <row r="3" ht="28" customHeight="1">
      <c r="A3" s="6" t="inlineStr">
        <is>
          <t>Sub-Ind Code</t>
        </is>
      </c>
      <c r="B3" s="6" t="inlineStr">
        <is>
          <t>Sub-Industry</t>
        </is>
      </c>
      <c r="C3" s="6" t="inlineStr">
        <is>
          <t>N Cos</t>
        </is>
      </c>
      <c r="D3" s="6" t="inlineStr">
        <is>
          <t>Sector Code</t>
        </is>
      </c>
      <c r="E3" s="6" t="inlineStr">
        <is>
          <t>Market Cap (GBP)</t>
        </is>
      </c>
      <c r="F3" s="6" t="inlineStr">
        <is>
          <t>Revenue T12M (GBP)</t>
        </is>
      </c>
      <c r="G3" s="6" t="inlineStr">
        <is>
          <t>Current EV/EBITDA</t>
        </is>
      </c>
      <c r="H3" s="6" t="inlineStr">
        <is>
          <t>BF EV/EBITDA</t>
        </is>
      </c>
      <c r="I3" s="6" t="inlineStr">
        <is>
          <t>Multiple Used
(outlier-corrected)</t>
        </is>
      </c>
      <c r="J3" s="6" t="inlineStr">
        <is>
          <t>Note</t>
        </is>
      </c>
    </row>
    <row r="4">
      <c r="A4" s="8" t="n">
        <v>10101010</v>
      </c>
      <c r="B4" s="8" t="inlineStr">
        <is>
          <t>Oil &amp; Gas Drilling</t>
        </is>
      </c>
      <c r="C4" s="8" t="n">
        <v>1</v>
      </c>
      <c r="D4" s="8" t="n">
        <v>10</v>
      </c>
      <c r="E4" s="9" t="n">
        <v>2270000000</v>
      </c>
      <c r="F4" s="9" t="n">
        <v>554970000</v>
      </c>
      <c r="G4" s="8" t="n"/>
      <c r="H4" s="8" t="n"/>
      <c r="I4" s="10" t="n">
        <v>3.74</v>
      </c>
      <c r="J4" s="11" t="inlineStr"/>
    </row>
    <row r="5">
      <c r="A5" s="8" t="n">
        <v>10101020</v>
      </c>
      <c r="B5" s="8" t="inlineStr">
        <is>
          <t>Oil &amp; Gas Equipment &amp; Services</t>
        </is>
      </c>
      <c r="C5" s="8" t="n">
        <v>7</v>
      </c>
      <c r="D5" s="8" t="n">
        <v>10</v>
      </c>
      <c r="E5" s="9" t="n">
        <v>18050000000</v>
      </c>
      <c r="F5" s="9" t="n">
        <v>2690000000</v>
      </c>
      <c r="G5" s="8" t="n"/>
      <c r="H5" s="8" t="n"/>
      <c r="I5" s="10" t="n">
        <v>8.220000000000001</v>
      </c>
      <c r="J5" s="11" t="inlineStr"/>
    </row>
    <row r="6">
      <c r="A6" s="8" t="n">
        <v>10102010</v>
      </c>
      <c r="B6" s="8" t="inlineStr">
        <is>
          <t>Integrated Oil &amp; Gas</t>
        </is>
      </c>
      <c r="C6" s="8" t="n">
        <v>2</v>
      </c>
      <c r="D6" s="8" t="n">
        <v>10</v>
      </c>
      <c r="E6" s="9" t="n">
        <v>131690000000</v>
      </c>
      <c r="F6" s="9" t="n">
        <v>256880000000</v>
      </c>
      <c r="G6" s="8" t="n"/>
      <c r="H6" s="8" t="n"/>
      <c r="I6" s="10" t="n">
        <v>3.39</v>
      </c>
      <c r="J6" s="11" t="inlineStr"/>
    </row>
    <row r="7">
      <c r="A7" s="8" t="n">
        <v>10102020</v>
      </c>
      <c r="B7" s="8" t="inlineStr">
        <is>
          <t>Oil &amp; Gas Exploration &amp; Production</t>
        </is>
      </c>
      <c r="C7" s="8" t="n">
        <v>48</v>
      </c>
      <c r="D7" s="8" t="n">
        <v>10</v>
      </c>
      <c r="E7" s="9" t="n">
        <v>288850000</v>
      </c>
      <c r="F7" s="9" t="n">
        <v>217770000</v>
      </c>
      <c r="G7" s="8" t="n"/>
      <c r="H7" s="8" t="n"/>
      <c r="I7" s="10" t="n">
        <v>3.17</v>
      </c>
      <c r="J7" s="11" t="inlineStr"/>
    </row>
    <row r="8">
      <c r="A8" s="8" t="n">
        <v>10102030</v>
      </c>
      <c r="B8" s="8" t="inlineStr">
        <is>
          <t>Oil &amp; Gas Refining &amp; Marketing</t>
        </is>
      </c>
      <c r="C8" s="8" t="n">
        <v>1</v>
      </c>
      <c r="D8" s="8" t="n">
        <v>10</v>
      </c>
      <c r="E8" s="9" t="n">
        <v>22750000</v>
      </c>
      <c r="F8" s="9" t="n">
        <v>87000</v>
      </c>
      <c r="G8" s="8" t="n"/>
      <c r="H8" s="8" t="n"/>
      <c r="I8" s="8" t="n"/>
      <c r="J8" s="11" t="inlineStr"/>
    </row>
    <row r="9">
      <c r="A9" s="8" t="n">
        <v>10102040</v>
      </c>
      <c r="B9" s="8" t="inlineStr">
        <is>
          <t>Oil &amp; Gas Storage &amp; Transportation</t>
        </is>
      </c>
      <c r="C9" s="8" t="n">
        <v>3</v>
      </c>
      <c r="D9" s="8" t="n">
        <v>10</v>
      </c>
      <c r="E9" s="9" t="n">
        <v>6580000000</v>
      </c>
      <c r="F9" s="9" t="n">
        <v>901710000</v>
      </c>
      <c r="G9" s="8" t="n"/>
      <c r="H9" s="8" t="n"/>
      <c r="I9" s="10" t="n">
        <v>3.94</v>
      </c>
      <c r="J9" s="11" t="inlineStr"/>
    </row>
    <row r="10">
      <c r="A10" s="8" t="n">
        <v>10102050</v>
      </c>
      <c r="B10" s="8" t="inlineStr">
        <is>
          <t>Coal &amp; Consumable Fuels</t>
        </is>
      </c>
      <c r="C10" s="8" t="n">
        <v>8</v>
      </c>
      <c r="D10" s="8" t="n">
        <v>10</v>
      </c>
      <c r="E10" s="9" t="n">
        <v>210400000</v>
      </c>
      <c r="F10" s="8" t="n"/>
      <c r="G10" s="8" t="n"/>
      <c r="H10" s="8" t="n"/>
      <c r="I10" s="10" t="n">
        <v>9.470000000000001</v>
      </c>
      <c r="J10" s="11" t="inlineStr">
        <is>
          <t>Revenue 0.00 in source — no-data</t>
        </is>
      </c>
    </row>
    <row r="11">
      <c r="A11" s="8" t="n">
        <v>15101010</v>
      </c>
      <c r="B11" s="8" t="inlineStr">
        <is>
          <t>Commodity Chemicals</t>
        </is>
      </c>
      <c r="C11" s="8" t="n">
        <v>2</v>
      </c>
      <c r="D11" s="8" t="n">
        <v>15</v>
      </c>
      <c r="E11" s="9" t="n">
        <v>266070000</v>
      </c>
      <c r="F11" s="9" t="n">
        <v>246000000</v>
      </c>
      <c r="G11" s="8" t="n"/>
      <c r="H11" s="8" t="n"/>
      <c r="I11" s="10" t="n">
        <v>5.64</v>
      </c>
      <c r="J11" s="11" t="inlineStr"/>
    </row>
    <row r="12">
      <c r="A12" s="8" t="n">
        <v>15101030</v>
      </c>
      <c r="B12" s="8" t="inlineStr">
        <is>
          <t>Fertilizers &amp; Agricultural Chemicals</t>
        </is>
      </c>
      <c r="C12" s="8" t="n">
        <v>3</v>
      </c>
      <c r="D12" s="8" t="n">
        <v>15</v>
      </c>
      <c r="E12" s="9" t="n">
        <v>20780000</v>
      </c>
      <c r="F12" s="9" t="n">
        <v>21070000</v>
      </c>
      <c r="G12" s="8" t="n"/>
      <c r="H12" s="8" t="n"/>
      <c r="I12" s="8" t="n"/>
      <c r="J12" s="11" t="inlineStr"/>
    </row>
    <row r="13">
      <c r="A13" s="8" t="n">
        <v>15101040</v>
      </c>
      <c r="B13" s="8" t="inlineStr">
        <is>
          <t>Industrial Gases</t>
        </is>
      </c>
      <c r="C13" s="8" t="n">
        <v>2</v>
      </c>
      <c r="D13" s="8" t="n">
        <v>15</v>
      </c>
      <c r="E13" s="9" t="n">
        <v>44030000</v>
      </c>
      <c r="F13" s="8" t="n"/>
      <c r="G13" s="8" t="n"/>
      <c r="H13" s="8" t="n"/>
      <c r="I13" s="8" t="n"/>
      <c r="J13" s="11" t="inlineStr">
        <is>
          <t>Revenue 0.00 in source — no-data</t>
        </is>
      </c>
    </row>
    <row r="14">
      <c r="A14" s="8" t="n">
        <v>15101050</v>
      </c>
      <c r="B14" s="8" t="inlineStr">
        <is>
          <t>Specialty Chemicals</t>
        </is>
      </c>
      <c r="C14" s="8" t="n">
        <v>13</v>
      </c>
      <c r="D14" s="8" t="n">
        <v>15</v>
      </c>
      <c r="E14" s="9" t="n">
        <v>876550000</v>
      </c>
      <c r="F14" s="9" t="n">
        <v>1590000000</v>
      </c>
      <c r="G14" s="8" t="n"/>
      <c r="H14" s="8" t="n"/>
      <c r="I14" s="10" t="n">
        <v>8.869999999999999</v>
      </c>
      <c r="J14" s="11" t="inlineStr"/>
    </row>
    <row r="15">
      <c r="A15" s="8" t="n">
        <v>15102010</v>
      </c>
      <c r="B15" s="8" t="inlineStr">
        <is>
          <t>Construction Materials</t>
        </is>
      </c>
      <c r="C15" s="8" t="n">
        <v>6</v>
      </c>
      <c r="D15" s="8" t="n">
        <v>15</v>
      </c>
      <c r="E15" s="9" t="n">
        <v>655910000</v>
      </c>
      <c r="F15" s="9" t="n">
        <v>699210000</v>
      </c>
      <c r="G15" s="8" t="n"/>
      <c r="H15" s="8" t="n"/>
      <c r="I15" s="10" t="n">
        <v>6.57</v>
      </c>
      <c r="J15" s="11" t="inlineStr"/>
    </row>
    <row r="16">
      <c r="A16" s="8" t="n">
        <v>15103010</v>
      </c>
      <c r="B16" s="8" t="inlineStr">
        <is>
          <t>Metal, Glass &amp; Plastic Containers</t>
        </is>
      </c>
      <c r="C16" s="8" t="n">
        <v>1</v>
      </c>
      <c r="D16" s="8" t="n">
        <v>15</v>
      </c>
      <c r="E16" s="9" t="n">
        <v>5110000</v>
      </c>
      <c r="F16" s="9" t="n">
        <v>33260000</v>
      </c>
      <c r="G16" s="8" t="n"/>
      <c r="H16" s="8" t="n"/>
      <c r="I16" s="8" t="n"/>
      <c r="J16" s="11" t="inlineStr"/>
    </row>
    <row r="17">
      <c r="A17" s="8" t="n">
        <v>15103020</v>
      </c>
      <c r="B17" s="8" t="inlineStr">
        <is>
          <t>Paper &amp; Plastic Packaging Products &amp; Materials</t>
        </is>
      </c>
      <c r="C17" s="8" t="n">
        <v>1</v>
      </c>
      <c r="D17" s="8" t="n">
        <v>15</v>
      </c>
      <c r="E17" s="9" t="n">
        <v>20940000</v>
      </c>
      <c r="F17" s="9" t="n">
        <v>56210000</v>
      </c>
      <c r="G17" s="8" t="n"/>
      <c r="H17" s="8" t="n"/>
      <c r="I17" s="10" t="n">
        <v>3.38</v>
      </c>
      <c r="J17" s="11" t="inlineStr"/>
    </row>
    <row r="18">
      <c r="A18" s="8" t="n">
        <v>15104020</v>
      </c>
      <c r="B18" s="8" t="inlineStr">
        <is>
          <t>Diversified Metals &amp; Mining</t>
        </is>
      </c>
      <c r="C18" s="8" t="n">
        <v>47</v>
      </c>
      <c r="D18" s="8" t="n">
        <v>15</v>
      </c>
      <c r="E18" s="9" t="n">
        <v>3860000000</v>
      </c>
      <c r="F18" s="9" t="n">
        <v>1930000000</v>
      </c>
      <c r="G18" s="8" t="n"/>
      <c r="H18" s="8" t="n"/>
      <c r="I18" s="10" t="n">
        <v>5.94</v>
      </c>
      <c r="J18" s="11" t="inlineStr"/>
    </row>
    <row r="19">
      <c r="A19" s="8" t="n">
        <v>15104025</v>
      </c>
      <c r="B19" s="8" t="inlineStr">
        <is>
          <t>Copper</t>
        </is>
      </c>
      <c r="C19" s="8" t="n">
        <v>3</v>
      </c>
      <c r="D19" s="8" t="n">
        <v>15</v>
      </c>
      <c r="E19" s="9" t="n">
        <v>98500000</v>
      </c>
      <c r="F19" s="9" t="n">
        <v>76620000</v>
      </c>
      <c r="G19" s="8" t="n"/>
      <c r="H19" s="8" t="n"/>
      <c r="I19" s="10" t="n">
        <v>1.5</v>
      </c>
      <c r="J19" s="11" t="inlineStr"/>
    </row>
    <row r="20">
      <c r="A20" s="8" t="n">
        <v>15104030</v>
      </c>
      <c r="B20" s="8" t="inlineStr">
        <is>
          <t>Gold</t>
        </is>
      </c>
      <c r="C20" s="8" t="n">
        <v>14</v>
      </c>
      <c r="D20" s="8" t="n">
        <v>15</v>
      </c>
      <c r="E20" s="9" t="n">
        <v>1430000000</v>
      </c>
      <c r="F20" s="9" t="n">
        <v>410600000</v>
      </c>
      <c r="G20" s="8" t="n"/>
      <c r="H20" s="8" t="n"/>
      <c r="I20" s="10" t="n">
        <v>4.23</v>
      </c>
      <c r="J20" s="11" t="inlineStr"/>
    </row>
    <row r="21">
      <c r="A21" s="8" t="n">
        <v>15104040</v>
      </c>
      <c r="B21" s="8" t="inlineStr">
        <is>
          <t>Precious Metals &amp; Minerals</t>
        </is>
      </c>
      <c r="C21" s="8" t="n">
        <v>6</v>
      </c>
      <c r="D21" s="8" t="n">
        <v>15</v>
      </c>
      <c r="E21" s="9" t="n">
        <v>32640000</v>
      </c>
      <c r="F21" s="9" t="n">
        <v>20970000</v>
      </c>
      <c r="G21" s="8" t="n"/>
      <c r="H21" s="8" t="n"/>
      <c r="I21" s="8" t="n"/>
      <c r="J21" s="11" t="inlineStr"/>
    </row>
    <row r="22">
      <c r="A22" s="8" t="n">
        <v>15104050</v>
      </c>
      <c r="B22" s="8" t="inlineStr">
        <is>
          <t>Steel</t>
        </is>
      </c>
      <c r="C22" s="8" t="n">
        <v>6</v>
      </c>
      <c r="D22" s="8" t="n">
        <v>15</v>
      </c>
      <c r="E22" s="9" t="n">
        <v>509320000</v>
      </c>
      <c r="F22" s="9" t="n">
        <v>229700000</v>
      </c>
      <c r="G22" s="8" t="n"/>
      <c r="H22" s="8" t="n"/>
      <c r="I22" s="10" t="n">
        <v>10.16</v>
      </c>
      <c r="J22" s="11" t="inlineStr"/>
    </row>
    <row r="23">
      <c r="A23" s="8" t="n">
        <v>15105010</v>
      </c>
      <c r="B23" s="8" t="inlineStr">
        <is>
          <t>Forest Products</t>
        </is>
      </c>
      <c r="C23" s="8" t="n">
        <v>1</v>
      </c>
      <c r="D23" s="8" t="n">
        <v>15</v>
      </c>
      <c r="E23" s="9" t="n">
        <v>170210000</v>
      </c>
      <c r="F23" s="9" t="n">
        <v>153280000</v>
      </c>
      <c r="G23" s="8" t="n"/>
      <c r="H23" s="8" t="n"/>
      <c r="I23" s="10" t="n">
        <v>9.59</v>
      </c>
      <c r="J23" s="11" t="inlineStr"/>
    </row>
    <row r="24">
      <c r="A24" s="8" t="n">
        <v>15105020</v>
      </c>
      <c r="B24" s="8" t="inlineStr">
        <is>
          <t>Paper Products</t>
        </is>
      </c>
      <c r="C24" s="8" t="n">
        <v>2</v>
      </c>
      <c r="D24" s="8" t="n">
        <v>15</v>
      </c>
      <c r="E24" s="9" t="n">
        <v>2060000000</v>
      </c>
      <c r="F24" s="9" t="n">
        <v>3920000000</v>
      </c>
      <c r="G24" s="8" t="n"/>
      <c r="H24" s="8" t="n"/>
      <c r="I24" s="10" t="n">
        <v>6.56</v>
      </c>
      <c r="J24" s="11" t="inlineStr"/>
    </row>
    <row r="25">
      <c r="A25" s="8" t="n">
        <v>20101010</v>
      </c>
      <c r="B25" s="8" t="inlineStr">
        <is>
          <t>Aerospace &amp; Defense</t>
        </is>
      </c>
      <c r="C25" s="8" t="n">
        <v>14</v>
      </c>
      <c r="D25" s="8" t="n">
        <v>20</v>
      </c>
      <c r="E25" s="9" t="n">
        <v>15250000000</v>
      </c>
      <c r="F25" s="9" t="n">
        <v>4670000000</v>
      </c>
      <c r="G25" s="8" t="n"/>
      <c r="H25" s="8" t="n"/>
      <c r="I25" s="10" t="n">
        <v>13.03</v>
      </c>
      <c r="J25" s="11" t="inlineStr"/>
    </row>
    <row r="26">
      <c r="A26" s="8" t="n">
        <v>20102010</v>
      </c>
      <c r="B26" s="8" t="inlineStr">
        <is>
          <t>Building Products</t>
        </is>
      </c>
      <c r="C26" s="8" t="n">
        <v>9</v>
      </c>
      <c r="D26" s="8" t="n">
        <v>20</v>
      </c>
      <c r="E26" s="9" t="n">
        <v>358510000</v>
      </c>
      <c r="F26" s="9" t="n">
        <v>250880000</v>
      </c>
      <c r="G26" s="8" t="n"/>
      <c r="H26" s="8" t="n"/>
      <c r="I26" s="10" t="n">
        <v>7.16</v>
      </c>
      <c r="J26" s="11" t="inlineStr"/>
    </row>
    <row r="27">
      <c r="A27" s="8" t="n">
        <v>20103010</v>
      </c>
      <c r="B27" s="8" t="inlineStr">
        <is>
          <t>Construction &amp; Engineering</t>
        </is>
      </c>
      <c r="C27" s="8" t="n">
        <v>14</v>
      </c>
      <c r="D27" s="8" t="n">
        <v>20</v>
      </c>
      <c r="E27" s="9" t="n">
        <v>850040000</v>
      </c>
      <c r="F27" s="9" t="n">
        <v>1920000000</v>
      </c>
      <c r="G27" s="8" t="n"/>
      <c r="H27" s="8" t="n"/>
      <c r="I27" s="10" t="n">
        <v>6.91</v>
      </c>
      <c r="J27" s="11" t="inlineStr"/>
    </row>
    <row r="28">
      <c r="A28" s="8" t="n">
        <v>20104010</v>
      </c>
      <c r="B28" s="8" t="inlineStr">
        <is>
          <t>Electrical Components &amp; Equipment</t>
        </is>
      </c>
      <c r="C28" s="8" t="n">
        <v>16</v>
      </c>
      <c r="D28" s="8" t="n">
        <v>20</v>
      </c>
      <c r="E28" s="9" t="n">
        <v>2040000000</v>
      </c>
      <c r="F28" s="9" t="n">
        <v>480480000</v>
      </c>
      <c r="G28" s="8" t="n"/>
      <c r="H28" s="8" t="n"/>
      <c r="I28" s="10" t="n">
        <v>9.800000000000001</v>
      </c>
      <c r="J28" s="11" t="inlineStr">
        <is>
          <t>Outlier-corrected (near-zero-EBITDA artifact) — using BF multiple</t>
        </is>
      </c>
    </row>
    <row r="29">
      <c r="A29" s="8" t="n">
        <v>20104020</v>
      </c>
      <c r="B29" s="8" t="inlineStr">
        <is>
          <t>Heavy Electrical Equipment</t>
        </is>
      </c>
      <c r="C29" s="8" t="n">
        <v>4</v>
      </c>
      <c r="D29" s="8" t="n">
        <v>20</v>
      </c>
      <c r="E29" s="9" t="n">
        <v>2180000000</v>
      </c>
      <c r="F29" s="9" t="n">
        <v>229090000</v>
      </c>
      <c r="G29" s="8" t="n"/>
      <c r="H29" s="8" t="n"/>
      <c r="I29" s="10" t="n">
        <v>38.05</v>
      </c>
      <c r="J29" s="11" t="inlineStr"/>
    </row>
    <row r="30">
      <c r="A30" s="8" t="n">
        <v>20105010</v>
      </c>
      <c r="B30" s="8" t="inlineStr">
        <is>
          <t>Industrial Conglomerates</t>
        </is>
      </c>
      <c r="C30" s="8" t="n">
        <v>2</v>
      </c>
      <c r="D30" s="8" t="n">
        <v>20</v>
      </c>
      <c r="E30" s="9" t="n">
        <v>3980000000</v>
      </c>
      <c r="F30" s="9" t="n">
        <v>1130000000</v>
      </c>
      <c r="G30" s="8" t="n"/>
      <c r="H30" s="8" t="n"/>
      <c r="I30" s="10" t="n">
        <v>12.91</v>
      </c>
      <c r="J30" s="11" t="inlineStr"/>
    </row>
    <row r="31">
      <c r="A31" s="8" t="n">
        <v>20106015</v>
      </c>
      <c r="B31" s="8" t="inlineStr">
        <is>
          <t>Agricultural &amp; Farm Machinery</t>
        </is>
      </c>
      <c r="C31" s="8" t="n">
        <v>1</v>
      </c>
      <c r="D31" s="8" t="n">
        <v>20</v>
      </c>
      <c r="E31" s="9" t="n">
        <v>13500000000</v>
      </c>
      <c r="F31" s="9" t="n">
        <v>18180000000</v>
      </c>
      <c r="G31" s="8" t="n"/>
      <c r="H31" s="8" t="n"/>
      <c r="I31" s="10" t="n">
        <v>27.38</v>
      </c>
      <c r="J31" s="11" t="inlineStr"/>
    </row>
    <row r="32">
      <c r="A32" s="8" t="n">
        <v>20106020</v>
      </c>
      <c r="B32" s="8" t="inlineStr">
        <is>
          <t>Industrial Machinery &amp; Supplies &amp; Components</t>
        </is>
      </c>
      <c r="C32" s="8" t="n">
        <v>17</v>
      </c>
      <c r="D32" s="8" t="n">
        <v>20</v>
      </c>
      <c r="E32" s="9" t="n">
        <v>2440000000</v>
      </c>
      <c r="F32" s="9" t="n">
        <v>966980000</v>
      </c>
      <c r="G32" s="8" t="n"/>
      <c r="H32" s="8" t="n"/>
      <c r="I32" s="10" t="n">
        <v>10.77</v>
      </c>
      <c r="J32" s="11" t="inlineStr"/>
    </row>
    <row r="33">
      <c r="A33" s="8" t="n">
        <v>20107010</v>
      </c>
      <c r="B33" s="8" t="inlineStr">
        <is>
          <t>Trading Companies &amp; Distributors</t>
        </is>
      </c>
      <c r="C33" s="8" t="n">
        <v>18</v>
      </c>
      <c r="D33" s="8" t="n">
        <v>20</v>
      </c>
      <c r="E33" s="9" t="n">
        <v>1790000000</v>
      </c>
      <c r="F33" s="9" t="n">
        <v>1710000000</v>
      </c>
      <c r="G33" s="8" t="n"/>
      <c r="H33" s="8" t="n"/>
      <c r="I33" s="10" t="n">
        <v>7.57</v>
      </c>
      <c r="J33" s="11" t="inlineStr"/>
    </row>
    <row r="34">
      <c r="A34" s="8" t="n">
        <v>20201010</v>
      </c>
      <c r="B34" s="8" t="inlineStr">
        <is>
          <t>Commercial Printing</t>
        </is>
      </c>
      <c r="C34" s="8" t="n">
        <v>1</v>
      </c>
      <c r="D34" s="8" t="n">
        <v>20</v>
      </c>
      <c r="E34" s="9" t="n">
        <v>62410000</v>
      </c>
      <c r="F34" s="9" t="n">
        <v>22260000</v>
      </c>
      <c r="G34" s="8" t="n"/>
      <c r="H34" s="8" t="n"/>
      <c r="I34" s="8" t="n"/>
      <c r="J34" s="11" t="inlineStr"/>
    </row>
    <row r="35">
      <c r="A35" s="8" t="n">
        <v>20201050</v>
      </c>
      <c r="B35" s="8" t="inlineStr">
        <is>
          <t>Environmental &amp; Facilities Services</t>
        </is>
      </c>
      <c r="C35" s="8" t="n">
        <v>6</v>
      </c>
      <c r="D35" s="8" t="n">
        <v>20</v>
      </c>
      <c r="E35" s="9" t="n">
        <v>2410000000</v>
      </c>
      <c r="F35" s="9" t="n">
        <v>2970000000</v>
      </c>
      <c r="G35" s="8" t="n"/>
      <c r="H35" s="8" t="n"/>
      <c r="I35" s="10" t="n">
        <v>8.34</v>
      </c>
      <c r="J35" s="11" t="inlineStr"/>
    </row>
    <row r="36">
      <c r="A36" s="8" t="n">
        <v>20201070</v>
      </c>
      <c r="B36" s="8" t="inlineStr">
        <is>
          <t>Diversified Support Services</t>
        </is>
      </c>
      <c r="C36" s="8" t="n">
        <v>10</v>
      </c>
      <c r="D36" s="8" t="n">
        <v>20</v>
      </c>
      <c r="E36" s="9" t="n">
        <v>221420000</v>
      </c>
      <c r="F36" s="9" t="n">
        <v>272250000</v>
      </c>
      <c r="G36" s="8" t="n"/>
      <c r="H36" s="8" t="n"/>
      <c r="I36" s="10" t="n">
        <v>5.61</v>
      </c>
      <c r="J36" s="11" t="inlineStr"/>
    </row>
    <row r="37">
      <c r="A37" s="8" t="n">
        <v>20201080</v>
      </c>
      <c r="B37" s="8" t="inlineStr">
        <is>
          <t>Security &amp; Alarm Services</t>
        </is>
      </c>
      <c r="C37" s="8" t="n">
        <v>1</v>
      </c>
      <c r="D37" s="8" t="n">
        <v>20</v>
      </c>
      <c r="E37" s="9" t="n">
        <v>9930000000</v>
      </c>
      <c r="F37" s="9" t="n">
        <v>13500000000</v>
      </c>
      <c r="G37" s="8" t="n"/>
      <c r="H37" s="8" t="n"/>
      <c r="I37" s="10" t="n">
        <v>8.49</v>
      </c>
      <c r="J37" s="11" t="inlineStr"/>
    </row>
    <row r="38">
      <c r="A38" s="8" t="n">
        <v>20202010</v>
      </c>
      <c r="B38" s="8" t="inlineStr">
        <is>
          <t>Human Resource &amp; Employment Services</t>
        </is>
      </c>
      <c r="C38" s="8" t="n">
        <v>10</v>
      </c>
      <c r="D38" s="8" t="n">
        <v>20</v>
      </c>
      <c r="E38" s="9" t="n">
        <v>225530000</v>
      </c>
      <c r="F38" s="9" t="n">
        <v>1210000000</v>
      </c>
      <c r="G38" s="8" t="n"/>
      <c r="H38" s="8" t="n"/>
      <c r="I38" s="10" t="n">
        <v>9.43</v>
      </c>
      <c r="J38" s="11" t="inlineStr"/>
    </row>
    <row r="39">
      <c r="A39" s="8" t="n">
        <v>20202020</v>
      </c>
      <c r="B39" s="8" t="inlineStr">
        <is>
          <t>Research &amp; Consulting Services</t>
        </is>
      </c>
      <c r="C39" s="8" t="n">
        <v>25</v>
      </c>
      <c r="D39" s="8" t="n">
        <v>20</v>
      </c>
      <c r="E39" s="9" t="n">
        <v>2380000000</v>
      </c>
      <c r="F39" s="9" t="n">
        <v>760740000</v>
      </c>
      <c r="G39" s="8" t="n"/>
      <c r="H39" s="8" t="n"/>
      <c r="I39" s="10" t="n">
        <v>7.31</v>
      </c>
      <c r="J39" s="11" t="inlineStr"/>
    </row>
    <row r="40">
      <c r="A40" s="8" t="n">
        <v>20202030</v>
      </c>
      <c r="B40" s="8" t="inlineStr">
        <is>
          <t>Data Processing &amp; Outsourced Services</t>
        </is>
      </c>
      <c r="C40" s="8" t="n">
        <v>1</v>
      </c>
      <c r="D40" s="8" t="n">
        <v>20</v>
      </c>
      <c r="E40" s="9" t="n">
        <v>318990000</v>
      </c>
      <c r="F40" s="9" t="n">
        <v>279910000</v>
      </c>
      <c r="G40" s="8" t="n"/>
      <c r="H40" s="8" t="n"/>
      <c r="I40" s="10" t="n">
        <v>6.59</v>
      </c>
      <c r="J40" s="11" t="inlineStr"/>
    </row>
    <row r="41">
      <c r="A41" s="8" t="n">
        <v>20301010</v>
      </c>
      <c r="B41" s="8" t="inlineStr">
        <is>
          <t>Air Freight &amp; Logistics</t>
        </is>
      </c>
      <c r="C41" s="8" t="n">
        <v>1</v>
      </c>
      <c r="D41" s="8" t="n">
        <v>20</v>
      </c>
      <c r="E41" s="9" t="n">
        <v>731310000</v>
      </c>
      <c r="F41" s="9" t="n">
        <v>137040000</v>
      </c>
      <c r="G41" s="8" t="n"/>
      <c r="H41" s="8" t="n"/>
      <c r="I41" s="10" t="n">
        <v>6.05</v>
      </c>
      <c r="J41" s="11" t="inlineStr"/>
    </row>
    <row r="42">
      <c r="A42" s="8" t="n">
        <v>20302010</v>
      </c>
      <c r="B42" s="8" t="inlineStr">
        <is>
          <t>Passenger Airlines</t>
        </is>
      </c>
      <c r="C42" s="8" t="n">
        <v>3</v>
      </c>
      <c r="D42" s="8" t="n">
        <v>20</v>
      </c>
      <c r="E42" s="9" t="n">
        <v>9190000000</v>
      </c>
      <c r="F42" s="9" t="n">
        <v>17130000000</v>
      </c>
      <c r="G42" s="8" t="n"/>
      <c r="H42" s="8" t="n"/>
      <c r="I42" s="10" t="n">
        <v>3.69</v>
      </c>
      <c r="J42" s="11" t="inlineStr"/>
    </row>
    <row r="43">
      <c r="A43" s="8" t="n">
        <v>20303010</v>
      </c>
      <c r="B43" s="8" t="inlineStr">
        <is>
          <t>Marine Transportation</t>
        </is>
      </c>
      <c r="C43" s="8" t="n">
        <v>3</v>
      </c>
      <c r="D43" s="8" t="n">
        <v>20</v>
      </c>
      <c r="E43" s="9" t="n">
        <v>7130000000</v>
      </c>
      <c r="F43" s="9" t="n">
        <v>1460000000</v>
      </c>
      <c r="G43" s="8" t="n"/>
      <c r="H43" s="8" t="n"/>
      <c r="I43" s="10" t="n">
        <v>6</v>
      </c>
      <c r="J43" s="11" t="inlineStr"/>
    </row>
    <row r="44">
      <c r="A44" s="8" t="n">
        <v>20304010</v>
      </c>
      <c r="B44" s="8" t="inlineStr">
        <is>
          <t>Rail Transportation</t>
        </is>
      </c>
      <c r="C44" s="8" t="n">
        <v>1</v>
      </c>
      <c r="D44" s="8" t="n">
        <v>20</v>
      </c>
      <c r="E44" s="9" t="n">
        <v>1010000000</v>
      </c>
      <c r="F44" s="9" t="n">
        <v>4750000000</v>
      </c>
      <c r="G44" s="8" t="n"/>
      <c r="H44" s="8" t="n"/>
      <c r="I44" s="10" t="n">
        <v>2.53</v>
      </c>
      <c r="J44" s="11" t="inlineStr"/>
    </row>
    <row r="45">
      <c r="A45" s="8" t="n">
        <v>20304040</v>
      </c>
      <c r="B45" s="8" t="inlineStr">
        <is>
          <t>Passenger Ground Transportation</t>
        </is>
      </c>
      <c r="C45" s="8" t="n">
        <v>2</v>
      </c>
      <c r="D45" s="8" t="n">
        <v>20</v>
      </c>
      <c r="E45" s="9" t="n">
        <v>613190000</v>
      </c>
      <c r="F45" s="9" t="n">
        <v>2300000000</v>
      </c>
      <c r="G45" s="8" t="n"/>
      <c r="H45" s="8" t="n"/>
      <c r="I45" s="10" t="n">
        <v>3.68</v>
      </c>
      <c r="J45" s="11" t="inlineStr"/>
    </row>
    <row r="46">
      <c r="A46" s="8" t="n">
        <v>20305030</v>
      </c>
      <c r="B46" s="8" t="inlineStr">
        <is>
          <t>Marine Ports &amp; Services</t>
        </is>
      </c>
      <c r="C46" s="8" t="n">
        <v>3</v>
      </c>
      <c r="D46" s="8" t="n">
        <v>20</v>
      </c>
      <c r="E46" s="9" t="n">
        <v>107990000</v>
      </c>
      <c r="F46" s="9" t="n">
        <v>180500000</v>
      </c>
      <c r="G46" s="8" t="n"/>
      <c r="H46" s="8" t="n"/>
      <c r="I46" s="10" t="n">
        <v>4.85</v>
      </c>
      <c r="J46" s="11" t="inlineStr"/>
    </row>
    <row r="47">
      <c r="A47" s="8" t="n">
        <v>25101010</v>
      </c>
      <c r="B47" s="8" t="inlineStr">
        <is>
          <t>Automotive Parts &amp; Equipment</t>
        </is>
      </c>
      <c r="C47" s="8" t="n">
        <v>10</v>
      </c>
      <c r="D47" s="8" t="n">
        <v>25</v>
      </c>
      <c r="E47" s="9" t="n">
        <v>86990000</v>
      </c>
      <c r="F47" s="9" t="n">
        <v>127580000</v>
      </c>
      <c r="G47" s="8" t="n"/>
      <c r="H47" s="8" t="n"/>
      <c r="I47" s="10" t="n">
        <v>8.119999999999999</v>
      </c>
      <c r="J47" s="11" t="inlineStr"/>
    </row>
    <row r="48">
      <c r="A48" s="8" t="n">
        <v>25102010</v>
      </c>
      <c r="B48" s="8" t="inlineStr">
        <is>
          <t>Automobile Manufacturers</t>
        </is>
      </c>
      <c r="C48" s="8" t="n">
        <v>1</v>
      </c>
      <c r="D48" s="8" t="n">
        <v>25</v>
      </c>
      <c r="E48" s="9" t="n">
        <v>357390000</v>
      </c>
      <c r="F48" s="9" t="n">
        <v>1430000000</v>
      </c>
      <c r="G48" s="8" t="n"/>
      <c r="H48" s="8" t="n"/>
      <c r="I48" s="10" t="n">
        <v>6.3</v>
      </c>
      <c r="J48" s="11" t="inlineStr"/>
    </row>
    <row r="49">
      <c r="A49" s="8" t="n">
        <v>25102020</v>
      </c>
      <c r="B49" s="8" t="inlineStr">
        <is>
          <t>Motorcycle Manufacturers</t>
        </is>
      </c>
      <c r="C49" s="8" t="n">
        <v>1</v>
      </c>
      <c r="D49" s="8" t="n">
        <v>25</v>
      </c>
      <c r="E49" s="9" t="n">
        <v>651000</v>
      </c>
      <c r="F49" s="8" t="n"/>
      <c r="G49" s="8" t="n"/>
      <c r="H49" s="8" t="n"/>
      <c r="I49" s="8" t="n"/>
      <c r="J49" s="11" t="inlineStr">
        <is>
          <t>Revenue 0.00 in source — no-data</t>
        </is>
      </c>
    </row>
    <row r="50">
      <c r="A50" s="8" t="n">
        <v>25201010</v>
      </c>
      <c r="B50" s="8" t="inlineStr">
        <is>
          <t>Consumer Electronics</t>
        </is>
      </c>
      <c r="C50" s="8" t="n">
        <v>2</v>
      </c>
      <c r="D50" s="8" t="n">
        <v>25</v>
      </c>
      <c r="E50" s="9" t="n">
        <v>117000000</v>
      </c>
      <c r="F50" s="9" t="n">
        <v>196060000</v>
      </c>
      <c r="G50" s="8" t="n"/>
      <c r="H50" s="8" t="n"/>
      <c r="I50" s="10" t="n">
        <v>7.26</v>
      </c>
      <c r="J50" s="11" t="inlineStr"/>
    </row>
    <row r="51">
      <c r="A51" s="8" t="n">
        <v>25201020</v>
      </c>
      <c r="B51" s="8" t="inlineStr">
        <is>
          <t>Home Furnishings</t>
        </is>
      </c>
      <c r="C51" s="8" t="n">
        <v>4</v>
      </c>
      <c r="D51" s="8" t="n">
        <v>25</v>
      </c>
      <c r="E51" s="9" t="n">
        <v>52820000</v>
      </c>
      <c r="F51" s="9" t="n">
        <v>321410000</v>
      </c>
      <c r="G51" s="8" t="n"/>
      <c r="H51" s="8" t="n"/>
      <c r="I51" s="10" t="n">
        <v>6.76</v>
      </c>
      <c r="J51" s="11" t="inlineStr"/>
    </row>
    <row r="52">
      <c r="A52" s="8" t="n">
        <v>25201030</v>
      </c>
      <c r="B52" s="8" t="inlineStr">
        <is>
          <t>Homebuilding</t>
        </is>
      </c>
      <c r="C52" s="8" t="n">
        <v>12</v>
      </c>
      <c r="D52" s="8" t="n">
        <v>25</v>
      </c>
      <c r="E52" s="9" t="n">
        <v>1550000000</v>
      </c>
      <c r="F52" s="9" t="n">
        <v>2020000000</v>
      </c>
      <c r="G52" s="8" t="n"/>
      <c r="H52" s="8" t="n"/>
      <c r="I52" s="10" t="n">
        <v>7.39</v>
      </c>
      <c r="J52" s="11" t="inlineStr"/>
    </row>
    <row r="53">
      <c r="A53" s="8" t="n">
        <v>25201040</v>
      </c>
      <c r="B53" s="8" t="inlineStr">
        <is>
          <t>Household Appliances</t>
        </is>
      </c>
      <c r="C53" s="8" t="n">
        <v>2</v>
      </c>
      <c r="D53" s="8" t="n">
        <v>25</v>
      </c>
      <c r="E53" s="9" t="n">
        <v>300730000</v>
      </c>
      <c r="F53" s="9" t="n">
        <v>426540000</v>
      </c>
      <c r="G53" s="8" t="n"/>
      <c r="H53" s="8" t="n"/>
      <c r="I53" s="10" t="n">
        <v>7.75</v>
      </c>
      <c r="J53" s="11" t="inlineStr"/>
    </row>
    <row r="54">
      <c r="A54" s="8" t="n">
        <v>25201050</v>
      </c>
      <c r="B54" s="8" t="inlineStr">
        <is>
          <t>Housewares &amp; Specialties</t>
        </is>
      </c>
      <c r="C54" s="8" t="n">
        <v>3</v>
      </c>
      <c r="D54" s="8" t="n">
        <v>25</v>
      </c>
      <c r="E54" s="9" t="n">
        <v>55210000</v>
      </c>
      <c r="F54" s="9" t="n">
        <v>128400000</v>
      </c>
      <c r="G54" s="8" t="n"/>
      <c r="H54" s="8" t="n"/>
      <c r="I54" s="10" t="n">
        <v>6.28</v>
      </c>
      <c r="J54" s="11" t="inlineStr"/>
    </row>
    <row r="55">
      <c r="A55" s="8" t="n">
        <v>25202010</v>
      </c>
      <c r="B55" s="8" t="inlineStr">
        <is>
          <t>Leisure Products</t>
        </is>
      </c>
      <c r="C55" s="8" t="n">
        <v>3</v>
      </c>
      <c r="D55" s="8" t="n">
        <v>25</v>
      </c>
      <c r="E55" s="9" t="n">
        <v>2100000000</v>
      </c>
      <c r="F55" s="9" t="n">
        <v>260530000</v>
      </c>
      <c r="G55" s="8" t="n"/>
      <c r="H55" s="8" t="n"/>
      <c r="I55" s="10" t="n">
        <v>11.68</v>
      </c>
      <c r="J55" s="11" t="inlineStr"/>
    </row>
    <row r="56">
      <c r="A56" s="8" t="n">
        <v>25203010</v>
      </c>
      <c r="B56" s="8" t="inlineStr">
        <is>
          <t>Apparel, Accessories &amp; Luxury Goods</t>
        </is>
      </c>
      <c r="C56" s="8" t="n">
        <v>6</v>
      </c>
      <c r="D56" s="8" t="n">
        <v>25</v>
      </c>
      <c r="E56" s="9" t="n">
        <v>1020000000</v>
      </c>
      <c r="F56" s="9" t="n">
        <v>1210000000</v>
      </c>
      <c r="G56" s="8" t="n"/>
      <c r="H56" s="8" t="n"/>
      <c r="I56" s="10" t="n">
        <v>7.24</v>
      </c>
      <c r="J56" s="11" t="inlineStr"/>
    </row>
    <row r="57">
      <c r="A57" s="8" t="n">
        <v>25203020</v>
      </c>
      <c r="B57" s="8" t="inlineStr">
        <is>
          <t>Footwear</t>
        </is>
      </c>
      <c r="C57" s="8" t="n">
        <v>2</v>
      </c>
      <c r="D57" s="8" t="n">
        <v>25</v>
      </c>
      <c r="E57" s="9" t="n">
        <v>3940000000</v>
      </c>
      <c r="F57" s="9" t="n">
        <v>1470000000</v>
      </c>
      <c r="G57" s="8" t="n"/>
      <c r="H57" s="8" t="n"/>
      <c r="I57" s="10" t="n">
        <v>7.46</v>
      </c>
      <c r="J57" s="11" t="inlineStr"/>
    </row>
    <row r="58">
      <c r="A58" s="8" t="n">
        <v>25203030</v>
      </c>
      <c r="B58" s="8" t="inlineStr">
        <is>
          <t>Textiles</t>
        </is>
      </c>
      <c r="C58" s="8" t="n">
        <v>1</v>
      </c>
      <c r="D58" s="8" t="n">
        <v>25</v>
      </c>
      <c r="E58" s="9" t="n">
        <v>1660000000</v>
      </c>
      <c r="F58" s="9" t="n">
        <v>1600000000</v>
      </c>
      <c r="G58" s="8" t="n"/>
      <c r="H58" s="8" t="n"/>
      <c r="I58" s="10" t="n">
        <v>7.15</v>
      </c>
      <c r="J58" s="11" t="inlineStr"/>
    </row>
    <row r="59">
      <c r="A59" s="8" t="n">
        <v>25301010</v>
      </c>
      <c r="B59" s="8" t="inlineStr">
        <is>
          <t>Casinos &amp; Gaming</t>
        </is>
      </c>
      <c r="C59" s="8" t="n">
        <v>5</v>
      </c>
      <c r="D59" s="8" t="n">
        <v>25</v>
      </c>
      <c r="E59" s="9" t="n">
        <v>1610000000</v>
      </c>
      <c r="F59" s="9" t="n">
        <v>1740000000</v>
      </c>
      <c r="G59" s="8" t="n"/>
      <c r="H59" s="8" t="n"/>
      <c r="I59" s="10" t="n">
        <v>7.29</v>
      </c>
      <c r="J59" s="11" t="inlineStr"/>
    </row>
    <row r="60">
      <c r="A60" s="8" t="n">
        <v>25301020</v>
      </c>
      <c r="B60" s="8" t="inlineStr">
        <is>
          <t>Hotels, Resorts &amp; Cruise Lines</t>
        </is>
      </c>
      <c r="C60" s="8" t="n">
        <v>7</v>
      </c>
      <c r="D60" s="8" t="n">
        <v>25</v>
      </c>
      <c r="E60" s="9" t="n">
        <v>4130000000</v>
      </c>
      <c r="F60" s="9" t="n">
        <v>1270000000</v>
      </c>
      <c r="G60" s="8" t="n"/>
      <c r="H60" s="8" t="n"/>
      <c r="I60" s="10" t="n">
        <v>9.210000000000001</v>
      </c>
      <c r="J60" s="11" t="inlineStr"/>
    </row>
    <row r="61">
      <c r="A61" s="8" t="n">
        <v>25301030</v>
      </c>
      <c r="B61" s="8" t="inlineStr">
        <is>
          <t>Leisure Facilities</t>
        </is>
      </c>
      <c r="C61" s="8" t="n">
        <v>4</v>
      </c>
      <c r="D61" s="8" t="n">
        <v>25</v>
      </c>
      <c r="E61" s="9" t="n">
        <v>223280000</v>
      </c>
      <c r="F61" s="9" t="n">
        <v>148090000</v>
      </c>
      <c r="G61" s="8" t="n"/>
      <c r="H61" s="8" t="n"/>
      <c r="I61" s="10" t="n">
        <v>6.4</v>
      </c>
      <c r="J61" s="11" t="inlineStr"/>
    </row>
    <row r="62">
      <c r="A62" s="8" t="n">
        <v>25301040</v>
      </c>
      <c r="B62" s="8" t="inlineStr">
        <is>
          <t>Restaurants</t>
        </is>
      </c>
      <c r="C62" s="8" t="n">
        <v>17</v>
      </c>
      <c r="D62" s="8" t="n">
        <v>25</v>
      </c>
      <c r="E62" s="9" t="n">
        <v>3710000000</v>
      </c>
      <c r="F62" s="9" t="n">
        <v>3670000000</v>
      </c>
      <c r="G62" s="8" t="n"/>
      <c r="H62" s="8" t="n"/>
      <c r="I62" s="10" t="n">
        <v>6.78</v>
      </c>
      <c r="J62" s="11" t="inlineStr"/>
    </row>
    <row r="63">
      <c r="A63" s="8" t="n">
        <v>25302010</v>
      </c>
      <c r="B63" s="8" t="inlineStr">
        <is>
          <t>Education Services</t>
        </is>
      </c>
      <c r="C63" s="8" t="n">
        <v>5</v>
      </c>
      <c r="D63" s="8" t="n">
        <v>25</v>
      </c>
      <c r="E63" s="9" t="n">
        <v>1510000000</v>
      </c>
      <c r="F63" s="9" t="n">
        <v>934250000</v>
      </c>
      <c r="G63" s="8" t="n"/>
      <c r="H63" s="8" t="n"/>
      <c r="I63" s="10" t="n">
        <v>8.85</v>
      </c>
      <c r="J63" s="11" t="inlineStr"/>
    </row>
    <row r="64">
      <c r="A64" s="8" t="n">
        <v>25302020</v>
      </c>
      <c r="B64" s="8" t="inlineStr">
        <is>
          <t>Specialized Consumer Services</t>
        </is>
      </c>
      <c r="C64" s="8" t="n">
        <v>2</v>
      </c>
      <c r="D64" s="8" t="n">
        <v>25</v>
      </c>
      <c r="E64" s="9" t="n">
        <v>505790000</v>
      </c>
      <c r="F64" s="9" t="n">
        <v>271610000</v>
      </c>
      <c r="G64" s="8" t="n"/>
      <c r="H64" s="8" t="n"/>
      <c r="I64" s="10" t="n">
        <v>6.89</v>
      </c>
      <c r="J64" s="11" t="inlineStr"/>
    </row>
    <row r="65">
      <c r="A65" s="8" t="n">
        <v>25501010</v>
      </c>
      <c r="B65" s="8" t="inlineStr">
        <is>
          <t>Distributors</t>
        </is>
      </c>
      <c r="C65" s="8" t="n">
        <v>7</v>
      </c>
      <c r="D65" s="8" t="n">
        <v>25</v>
      </c>
      <c r="E65" s="9" t="n">
        <v>490100000</v>
      </c>
      <c r="F65" s="9" t="n">
        <v>1670000000</v>
      </c>
      <c r="G65" s="8" t="n"/>
      <c r="H65" s="8" t="n"/>
      <c r="I65" s="10" t="n">
        <v>5.05</v>
      </c>
      <c r="J65" s="11" t="inlineStr"/>
    </row>
    <row r="66">
      <c r="A66" s="8" t="n">
        <v>25503030</v>
      </c>
      <c r="B66" s="8" t="inlineStr">
        <is>
          <t>Broadline Retail</t>
        </is>
      </c>
      <c r="C66" s="8" t="n">
        <v>4</v>
      </c>
      <c r="D66" s="8" t="n">
        <v>25</v>
      </c>
      <c r="E66" s="9" t="n">
        <v>12160000000</v>
      </c>
      <c r="F66" s="9" t="n">
        <v>4510000000</v>
      </c>
      <c r="G66" s="8" t="n"/>
      <c r="H66" s="8" t="n"/>
      <c r="I66" s="10" t="n">
        <v>7.87</v>
      </c>
      <c r="J66" s="11" t="inlineStr"/>
    </row>
    <row r="67">
      <c r="A67" s="8" t="n">
        <v>25504010</v>
      </c>
      <c r="B67" s="8" t="inlineStr">
        <is>
          <t>Apparel Retail</t>
        </is>
      </c>
      <c r="C67" s="8" t="n">
        <v>5</v>
      </c>
      <c r="D67" s="8" t="n">
        <v>25</v>
      </c>
      <c r="E67" s="9" t="n">
        <v>214680000</v>
      </c>
      <c r="F67" s="9" t="n">
        <v>1150000000</v>
      </c>
      <c r="G67" s="8" t="n"/>
      <c r="H67" s="8" t="n"/>
      <c r="I67" s="10" t="n">
        <v>5.56</v>
      </c>
      <c r="J67" s="11" t="inlineStr"/>
    </row>
    <row r="68">
      <c r="A68" s="8" t="n">
        <v>25504020</v>
      </c>
      <c r="B68" s="8" t="inlineStr">
        <is>
          <t>Computer &amp; Electronics Retail</t>
        </is>
      </c>
      <c r="C68" s="8" t="n">
        <v>2</v>
      </c>
      <c r="D68" s="8" t="n">
        <v>25</v>
      </c>
      <c r="E68" s="9" t="n">
        <v>1160000000</v>
      </c>
      <c r="F68" s="9" t="n">
        <v>5260000000</v>
      </c>
      <c r="G68" s="8" t="n"/>
      <c r="H68" s="8" t="n"/>
      <c r="I68" s="10" t="n">
        <v>5.19</v>
      </c>
      <c r="J68" s="11" t="inlineStr"/>
    </row>
    <row r="69">
      <c r="A69" s="8" t="n">
        <v>25504030</v>
      </c>
      <c r="B69" s="8" t="inlineStr">
        <is>
          <t>Home Improvement Retail</t>
        </is>
      </c>
      <c r="C69" s="8" t="n">
        <v>5</v>
      </c>
      <c r="D69" s="8" t="n">
        <v>25</v>
      </c>
      <c r="E69" s="9" t="n">
        <v>1250000000</v>
      </c>
      <c r="F69" s="9" t="n">
        <v>3060000000</v>
      </c>
      <c r="G69" s="8" t="n"/>
      <c r="H69" s="8" t="n"/>
      <c r="I69" s="10" t="n">
        <v>7.86</v>
      </c>
      <c r="J69" s="11" t="inlineStr"/>
    </row>
    <row r="70">
      <c r="A70" s="8" t="n">
        <v>25504040</v>
      </c>
      <c r="B70" s="8" t="inlineStr">
        <is>
          <t>Other Specialty Retail</t>
        </is>
      </c>
      <c r="C70" s="8" t="n">
        <v>12</v>
      </c>
      <c r="D70" s="8" t="n">
        <v>25</v>
      </c>
      <c r="E70" s="9" t="n">
        <v>1170000000</v>
      </c>
      <c r="F70" s="9" t="n">
        <v>2200000000</v>
      </c>
      <c r="G70" s="8" t="n"/>
      <c r="H70" s="8" t="n"/>
      <c r="I70" s="10" t="n">
        <v>5.13</v>
      </c>
      <c r="J70" s="11" t="inlineStr"/>
    </row>
    <row r="71">
      <c r="A71" s="8" t="n">
        <v>25504050</v>
      </c>
      <c r="B71" s="8" t="inlineStr">
        <is>
          <t>Automotive Retail</t>
        </is>
      </c>
      <c r="C71" s="8" t="n">
        <v>5</v>
      </c>
      <c r="D71" s="8" t="n">
        <v>25</v>
      </c>
      <c r="E71" s="9" t="n">
        <v>228880000</v>
      </c>
      <c r="F71" s="9" t="n">
        <v>1830000000</v>
      </c>
      <c r="G71" s="8" t="n"/>
      <c r="H71" s="8" t="n"/>
      <c r="I71" s="10" t="n">
        <v>3.55</v>
      </c>
      <c r="J71" s="11" t="inlineStr"/>
    </row>
    <row r="72">
      <c r="A72" s="8" t="n">
        <v>25504060</v>
      </c>
      <c r="B72" s="8" t="inlineStr">
        <is>
          <t>Homefurnishing Retail</t>
        </is>
      </c>
      <c r="C72" s="8" t="n">
        <v>3</v>
      </c>
      <c r="D72" s="8" t="n">
        <v>25</v>
      </c>
      <c r="E72" s="9" t="n">
        <v>740720000</v>
      </c>
      <c r="F72" s="9" t="n">
        <v>359370000</v>
      </c>
      <c r="G72" s="8" t="n"/>
      <c r="H72" s="8" t="n"/>
      <c r="I72" s="10" t="n">
        <v>4.6</v>
      </c>
      <c r="J72" s="11" t="inlineStr"/>
    </row>
    <row r="73">
      <c r="A73" s="8" t="n">
        <v>30101010</v>
      </c>
      <c r="B73" s="8" t="inlineStr">
        <is>
          <t>Drug Retail</t>
        </is>
      </c>
      <c r="C73" s="8" t="n">
        <v>1</v>
      </c>
      <c r="D73" s="8" t="n">
        <v>30</v>
      </c>
      <c r="E73" s="9" t="n">
        <v>55230000</v>
      </c>
      <c r="F73" s="8" t="n"/>
      <c r="G73" s="8" t="n"/>
      <c r="H73" s="8" t="n"/>
      <c r="I73" s="8" t="n"/>
      <c r="J73" s="11" t="inlineStr">
        <is>
          <t>Revenue 0.00 in source — no-data</t>
        </is>
      </c>
    </row>
    <row r="74">
      <c r="A74" s="8" t="n">
        <v>30101030</v>
      </c>
      <c r="B74" s="8" t="inlineStr">
        <is>
          <t>Food Retail</t>
        </is>
      </c>
      <c r="C74" s="8" t="n">
        <v>7</v>
      </c>
      <c r="D74" s="8" t="n">
        <v>30</v>
      </c>
      <c r="E74" s="9" t="n">
        <v>6860000000</v>
      </c>
      <c r="F74" s="9" t="n">
        <v>18100000000</v>
      </c>
      <c r="G74" s="8" t="n"/>
      <c r="H74" s="8" t="n"/>
      <c r="I74" s="10" t="n">
        <v>5.77</v>
      </c>
      <c r="J74" s="11" t="inlineStr"/>
    </row>
    <row r="75">
      <c r="A75" s="8" t="n">
        <v>30201010</v>
      </c>
      <c r="B75" s="8" t="inlineStr">
        <is>
          <t>Brewers</t>
        </is>
      </c>
      <c r="C75" s="8" t="n">
        <v>2</v>
      </c>
      <c r="D75" s="8" t="n">
        <v>30</v>
      </c>
      <c r="E75" s="9" t="n">
        <v>44350000</v>
      </c>
      <c r="F75" s="9" t="n">
        <v>113830000</v>
      </c>
      <c r="G75" s="8" t="n"/>
      <c r="H75" s="8" t="n"/>
      <c r="I75" s="10" t="n">
        <v>6.18</v>
      </c>
      <c r="J75" s="11" t="inlineStr"/>
    </row>
    <row r="76">
      <c r="A76" s="8" t="n">
        <v>30201020</v>
      </c>
      <c r="B76" s="8" t="inlineStr">
        <is>
          <t>Distillers &amp; Vintners</t>
        </is>
      </c>
      <c r="C76" s="8" t="n">
        <v>4</v>
      </c>
      <c r="D76" s="8" t="n">
        <v>30</v>
      </c>
      <c r="E76" s="9" t="n">
        <v>9990000000</v>
      </c>
      <c r="F76" s="9" t="n">
        <v>4920000000</v>
      </c>
      <c r="G76" s="8" t="n"/>
      <c r="H76" s="8" t="n"/>
      <c r="I76" s="10" t="n">
        <v>19.57</v>
      </c>
      <c r="J76" s="11" t="inlineStr"/>
    </row>
    <row r="77">
      <c r="A77" s="8" t="n">
        <v>30201030</v>
      </c>
      <c r="B77" s="8" t="inlineStr">
        <is>
          <t>Soft Drinks &amp; Non-alcoholic Beverages</t>
        </is>
      </c>
      <c r="C77" s="8" t="n">
        <v>4</v>
      </c>
      <c r="D77" s="8" t="n">
        <v>30</v>
      </c>
      <c r="E77" s="9" t="n">
        <v>12510000000</v>
      </c>
      <c r="F77" s="9" t="n">
        <v>5570000000</v>
      </c>
      <c r="G77" s="8" t="n"/>
      <c r="H77" s="8" t="n"/>
      <c r="I77" s="10" t="n">
        <v>11.96</v>
      </c>
      <c r="J77" s="11" t="inlineStr"/>
    </row>
    <row r="78">
      <c r="A78" s="8" t="n">
        <v>30202010</v>
      </c>
      <c r="B78" s="8" t="inlineStr">
        <is>
          <t>Agricultural Products &amp; Services</t>
        </is>
      </c>
      <c r="C78" s="8" t="n">
        <v>7</v>
      </c>
      <c r="D78" s="8" t="n">
        <v>30</v>
      </c>
      <c r="E78" s="9" t="n">
        <v>316950000</v>
      </c>
      <c r="F78" s="9" t="n">
        <v>700400000</v>
      </c>
      <c r="G78" s="8" t="n"/>
      <c r="H78" s="8" t="n"/>
      <c r="I78" s="10" t="n">
        <v>5.8</v>
      </c>
      <c r="J78" s="11" t="inlineStr"/>
    </row>
    <row r="79">
      <c r="A79" s="8" t="n">
        <v>30202030</v>
      </c>
      <c r="B79" s="8" t="inlineStr">
        <is>
          <t>Packaged Foods &amp; Meats</t>
        </is>
      </c>
      <c r="C79" s="8" t="n">
        <v>10</v>
      </c>
      <c r="D79" s="8" t="n">
        <v>30</v>
      </c>
      <c r="E79" s="9" t="n">
        <v>2520000000</v>
      </c>
      <c r="F79" s="9" t="n">
        <v>3470000000</v>
      </c>
      <c r="G79" s="8" t="n"/>
      <c r="H79" s="8" t="n"/>
      <c r="I79" s="10" t="n">
        <v>7.49</v>
      </c>
      <c r="J79" s="11" t="inlineStr"/>
    </row>
    <row r="80">
      <c r="A80" s="8" t="n">
        <v>30203010</v>
      </c>
      <c r="B80" s="8" t="inlineStr">
        <is>
          <t>Tobacco</t>
        </is>
      </c>
      <c r="C80" s="8" t="n">
        <v>2</v>
      </c>
      <c r="D80" s="8" t="n">
        <v>30</v>
      </c>
      <c r="E80" s="9" t="n">
        <v>58530000000</v>
      </c>
      <c r="F80" s="9" t="n">
        <v>26210000000</v>
      </c>
      <c r="G80" s="8" t="n"/>
      <c r="H80" s="8" t="n"/>
      <c r="I80" s="10" t="n">
        <v>8.57</v>
      </c>
      <c r="J80" s="11" t="inlineStr"/>
    </row>
    <row r="81">
      <c r="A81" s="8" t="n">
        <v>30301010</v>
      </c>
      <c r="B81" s="8" t="inlineStr">
        <is>
          <t>Household Products</t>
        </is>
      </c>
      <c r="C81" s="8" t="n">
        <v>2</v>
      </c>
      <c r="D81" s="8" t="n">
        <v>30</v>
      </c>
      <c r="E81" s="9" t="n">
        <v>16990000000</v>
      </c>
      <c r="F81" s="9" t="n">
        <v>7280000000</v>
      </c>
      <c r="G81" s="8" t="n"/>
      <c r="H81" s="8" t="n"/>
      <c r="I81" s="10" t="n">
        <v>8.119999999999999</v>
      </c>
      <c r="J81" s="11" t="inlineStr"/>
    </row>
    <row r="82">
      <c r="A82" s="8" t="n">
        <v>30302010</v>
      </c>
      <c r="B82" s="8" t="inlineStr">
        <is>
          <t>Personal Care Products</t>
        </is>
      </c>
      <c r="C82" s="8" t="n">
        <v>11</v>
      </c>
      <c r="D82" s="8" t="n">
        <v>30</v>
      </c>
      <c r="E82" s="9" t="n">
        <v>10240000000</v>
      </c>
      <c r="F82" s="9" t="n">
        <v>4710000000</v>
      </c>
      <c r="G82" s="8" t="n"/>
      <c r="H82" s="8" t="n"/>
      <c r="I82" s="10" t="n">
        <v>10.41</v>
      </c>
      <c r="J82" s="11" t="inlineStr"/>
    </row>
    <row r="83">
      <c r="A83" s="8" t="n">
        <v>35101010</v>
      </c>
      <c r="B83" s="8" t="inlineStr">
        <is>
          <t>Health Care Equipment</t>
        </is>
      </c>
      <c r="C83" s="8" t="n">
        <v>11</v>
      </c>
      <c r="D83" s="8" t="n">
        <v>35</v>
      </c>
      <c r="E83" s="9" t="n">
        <v>1400000000</v>
      </c>
      <c r="F83" s="9" t="n">
        <v>795190000</v>
      </c>
      <c r="G83" s="8" t="n"/>
      <c r="H83" s="8" t="n"/>
      <c r="I83" s="10" t="n">
        <v>13.59</v>
      </c>
      <c r="J83" s="11" t="inlineStr"/>
    </row>
    <row r="84">
      <c r="A84" s="8" t="n">
        <v>35101020</v>
      </c>
      <c r="B84" s="8" t="inlineStr">
        <is>
          <t>Health Care Supplies</t>
        </is>
      </c>
      <c r="C84" s="8" t="n">
        <v>8</v>
      </c>
      <c r="D84" s="8" t="n">
        <v>35</v>
      </c>
      <c r="E84" s="9" t="n">
        <v>787430000</v>
      </c>
      <c r="F84" s="9" t="n">
        <v>112670000</v>
      </c>
      <c r="G84" s="8" t="n"/>
      <c r="H84" s="8" t="n"/>
      <c r="I84" s="10" t="n">
        <v>12.07</v>
      </c>
      <c r="J84" s="11" t="inlineStr"/>
    </row>
    <row r="85">
      <c r="A85" s="8" t="n">
        <v>35102010</v>
      </c>
      <c r="B85" s="8" t="inlineStr">
        <is>
          <t>Health Care Distributors</t>
        </is>
      </c>
      <c r="C85" s="8" t="n">
        <v>1</v>
      </c>
      <c r="D85" s="8" t="n">
        <v>35</v>
      </c>
      <c r="E85" s="9" t="n">
        <v>2380000</v>
      </c>
      <c r="F85" s="9" t="n">
        <v>12420</v>
      </c>
      <c r="G85" s="8" t="n"/>
      <c r="H85" s="8" t="n"/>
      <c r="I85" s="8" t="n"/>
      <c r="J85" s="11" t="inlineStr"/>
    </row>
    <row r="86">
      <c r="A86" s="8" t="n">
        <v>35102015</v>
      </c>
      <c r="B86" s="8" t="inlineStr">
        <is>
          <t>Health Care Services</t>
        </is>
      </c>
      <c r="C86" s="8" t="n">
        <v>9</v>
      </c>
      <c r="D86" s="8" t="n">
        <v>35</v>
      </c>
      <c r="E86" s="9" t="n">
        <v>57660000</v>
      </c>
      <c r="F86" s="9" t="n">
        <v>26960000</v>
      </c>
      <c r="G86" s="8" t="n"/>
      <c r="H86" s="8" t="n"/>
      <c r="I86" s="10" t="n">
        <v>4.62</v>
      </c>
      <c r="J86" s="11" t="inlineStr"/>
    </row>
    <row r="87">
      <c r="A87" s="8" t="n">
        <v>35102020</v>
      </c>
      <c r="B87" s="8" t="inlineStr">
        <is>
          <t>Health Care Facilities</t>
        </is>
      </c>
      <c r="C87" s="8" t="n">
        <v>3</v>
      </c>
      <c r="D87" s="8" t="n">
        <v>35</v>
      </c>
      <c r="E87" s="9" t="n">
        <v>610570000</v>
      </c>
      <c r="F87" s="9" t="n">
        <v>756150000</v>
      </c>
      <c r="G87" s="8" t="n"/>
      <c r="H87" s="8" t="n"/>
      <c r="I87" s="10" t="n">
        <v>7.33</v>
      </c>
      <c r="J87" s="11" t="inlineStr"/>
    </row>
    <row r="88">
      <c r="A88" s="8" t="n">
        <v>35103010</v>
      </c>
      <c r="B88" s="8" t="inlineStr">
        <is>
          <t>Health Care Technology</t>
        </is>
      </c>
      <c r="C88" s="8" t="n">
        <v>8</v>
      </c>
      <c r="D88" s="8" t="n">
        <v>35</v>
      </c>
      <c r="E88" s="9" t="n">
        <v>82100000</v>
      </c>
      <c r="F88" s="9" t="n">
        <v>173230000</v>
      </c>
      <c r="G88" s="8" t="n"/>
      <c r="H88" s="8" t="n"/>
      <c r="I88" s="10" t="n">
        <v>8.130000000000001</v>
      </c>
      <c r="J88" s="11" t="inlineStr"/>
    </row>
    <row r="89">
      <c r="A89" s="8" t="n">
        <v>35201010</v>
      </c>
      <c r="B89" s="8" t="inlineStr">
        <is>
          <t>Biotechnology</t>
        </is>
      </c>
      <c r="C89" s="8" t="n">
        <v>35</v>
      </c>
      <c r="D89" s="8" t="n">
        <v>35</v>
      </c>
      <c r="E89" s="9" t="n">
        <v>407840000</v>
      </c>
      <c r="F89" s="9" t="n">
        <v>72750000</v>
      </c>
      <c r="G89" s="8" t="n"/>
      <c r="H89" s="8" t="n"/>
      <c r="I89" s="10" t="n">
        <v>25.22</v>
      </c>
      <c r="J89" s="11" t="inlineStr"/>
    </row>
    <row r="90">
      <c r="A90" s="8" t="n">
        <v>35202010</v>
      </c>
      <c r="B90" s="8" t="inlineStr">
        <is>
          <t>Pharmaceuticals</t>
        </is>
      </c>
      <c r="C90" s="8" t="n">
        <v>15</v>
      </c>
      <c r="D90" s="8" t="n">
        <v>35</v>
      </c>
      <c r="E90" s="9" t="n">
        <v>21460000000</v>
      </c>
      <c r="F90" s="9" t="n">
        <v>7290000000</v>
      </c>
      <c r="G90" s="8" t="n"/>
      <c r="H90" s="8" t="n"/>
      <c r="I90" s="10" t="n">
        <v>9.18</v>
      </c>
      <c r="J90" s="11" t="inlineStr"/>
    </row>
    <row r="91">
      <c r="A91" s="8" t="n">
        <v>35203010</v>
      </c>
      <c r="B91" s="8" t="inlineStr">
        <is>
          <t>Life Sciences Tools &amp; Services</t>
        </is>
      </c>
      <c r="C91" s="8" t="n">
        <v>9</v>
      </c>
      <c r="D91" s="8" t="n">
        <v>35</v>
      </c>
      <c r="E91" s="9" t="n">
        <v>162120000</v>
      </c>
      <c r="F91" s="9" t="n">
        <v>36120000</v>
      </c>
      <c r="G91" s="8" t="n"/>
      <c r="H91" s="8" t="n"/>
      <c r="I91" s="10" t="n">
        <v>16.2</v>
      </c>
      <c r="J91" s="11" t="inlineStr">
        <is>
          <t>Outlier-corrected (near-zero-EBITDA artifact) — using BF multiple</t>
        </is>
      </c>
    </row>
    <row r="92">
      <c r="A92" s="8" t="n">
        <v>40101010</v>
      </c>
      <c r="B92" s="8" t="inlineStr">
        <is>
          <t>Diversified Banks</t>
        </is>
      </c>
      <c r="C92" s="8" t="n">
        <v>9</v>
      </c>
      <c r="D92" s="8" t="n">
        <v>40</v>
      </c>
      <c r="E92" s="9" t="n">
        <v>56790000000</v>
      </c>
      <c r="F92" s="9" t="n">
        <v>28150000000</v>
      </c>
      <c r="G92" s="8" t="n"/>
      <c r="H92" s="8" t="n"/>
      <c r="I92" s="8" t="n"/>
      <c r="J92" s="11" t="inlineStr"/>
    </row>
    <row r="93">
      <c r="A93" s="8" t="n">
        <v>40101015</v>
      </c>
      <c r="B93" s="8" t="inlineStr">
        <is>
          <t>Regional Banks</t>
        </is>
      </c>
      <c r="C93" s="8" t="n">
        <v>2</v>
      </c>
      <c r="D93" s="8" t="n">
        <v>40</v>
      </c>
      <c r="E93" s="9" t="n">
        <v>1450000000</v>
      </c>
      <c r="F93" s="9" t="n">
        <v>410600000</v>
      </c>
      <c r="G93" s="8" t="n"/>
      <c r="H93" s="8" t="n"/>
      <c r="I93" s="8" t="n"/>
      <c r="J93" s="11" t="inlineStr"/>
    </row>
    <row r="94">
      <c r="A94" s="8" t="n">
        <v>40201020</v>
      </c>
      <c r="B94" s="8" t="inlineStr">
        <is>
          <t>Diversified Financial Services</t>
        </is>
      </c>
      <c r="C94" s="8" t="n">
        <v>1</v>
      </c>
      <c r="D94" s="8" t="n">
        <v>40</v>
      </c>
      <c r="E94" s="9" t="n">
        <v>8750000000</v>
      </c>
      <c r="F94" s="9" t="n">
        <v>18230000000</v>
      </c>
      <c r="G94" s="8" t="n"/>
      <c r="H94" s="8" t="n"/>
      <c r="I94" s="8" t="n"/>
      <c r="J94" s="11" t="inlineStr"/>
    </row>
    <row r="95">
      <c r="A95" s="8" t="n">
        <v>40201040</v>
      </c>
      <c r="B95" s="8" t="inlineStr">
        <is>
          <t>Specialized Finance</t>
        </is>
      </c>
      <c r="C95" s="8" t="n">
        <v>6</v>
      </c>
      <c r="D95" s="8" t="n">
        <v>40</v>
      </c>
      <c r="E95" s="9" t="n">
        <v>41070000</v>
      </c>
      <c r="F95" s="9" t="n">
        <v>41090000</v>
      </c>
      <c r="G95" s="8" t="n"/>
      <c r="H95" s="8" t="n"/>
      <c r="I95" s="10" t="n">
        <v>6.17</v>
      </c>
      <c r="J95" s="11" t="inlineStr"/>
    </row>
    <row r="96">
      <c r="A96" s="8" t="n">
        <v>40201050</v>
      </c>
      <c r="B96" s="8" t="inlineStr">
        <is>
          <t>Commercial &amp; Residential Mortgage Finance</t>
        </is>
      </c>
      <c r="C96" s="8" t="n">
        <v>6</v>
      </c>
      <c r="D96" s="8" t="n">
        <v>40</v>
      </c>
      <c r="E96" s="9" t="n">
        <v>1010000000</v>
      </c>
      <c r="F96" s="9" t="n">
        <v>3880000000</v>
      </c>
      <c r="G96" s="8" t="n"/>
      <c r="H96" s="8" t="n"/>
      <c r="I96" s="10" t="n">
        <v>5.95</v>
      </c>
      <c r="J96" s="11" t="inlineStr"/>
    </row>
    <row r="97">
      <c r="A97" s="8" t="n">
        <v>40201060</v>
      </c>
      <c r="B97" s="8" t="inlineStr">
        <is>
          <t>Transaction &amp; Payment Processing Services</t>
        </is>
      </c>
      <c r="C97" s="8" t="n">
        <v>9</v>
      </c>
      <c r="D97" s="8" t="n">
        <v>40</v>
      </c>
      <c r="E97" s="9" t="n">
        <v>2980000000</v>
      </c>
      <c r="F97" s="9" t="n">
        <v>1010000000</v>
      </c>
      <c r="G97" s="8" t="n"/>
      <c r="H97" s="8" t="n"/>
      <c r="I97" s="10" t="n">
        <v>15.31</v>
      </c>
      <c r="J97" s="11" t="inlineStr"/>
    </row>
    <row r="98">
      <c r="A98" s="8" t="n">
        <v>40202010</v>
      </c>
      <c r="B98" s="8" t="inlineStr">
        <is>
          <t>Consumer Finance</t>
        </is>
      </c>
      <c r="C98" s="8" t="n">
        <v>5</v>
      </c>
      <c r="D98" s="8" t="n">
        <v>40</v>
      </c>
      <c r="E98" s="9" t="n">
        <v>276710000</v>
      </c>
      <c r="F98" s="9" t="n">
        <v>246000000</v>
      </c>
      <c r="G98" s="8" t="n"/>
      <c r="H98" s="8" t="n"/>
      <c r="I98" s="10" t="n">
        <v>5.59</v>
      </c>
      <c r="J98" s="11" t="inlineStr"/>
    </row>
    <row r="99">
      <c r="A99" s="8" t="n">
        <v>40203010</v>
      </c>
      <c r="B99" s="8" t="inlineStr">
        <is>
          <t>Asset Management &amp; Custody Banks</t>
        </is>
      </c>
      <c r="C99" s="8" t="n">
        <v>75</v>
      </c>
      <c r="D99" s="8" t="n">
        <v>40</v>
      </c>
      <c r="E99" s="9" t="n">
        <v>1280000000</v>
      </c>
      <c r="F99" s="9" t="n">
        <v>3060000000</v>
      </c>
      <c r="G99" s="8" t="n"/>
      <c r="H99" s="8" t="n"/>
      <c r="I99" s="10" t="n">
        <v>11.61</v>
      </c>
      <c r="J99" s="11" t="inlineStr"/>
    </row>
    <row r="100">
      <c r="A100" s="8" t="n">
        <v>40203020</v>
      </c>
      <c r="B100" s="8" t="inlineStr">
        <is>
          <t>Investment Banking &amp; Brokerage</t>
        </is>
      </c>
      <c r="C100" s="8" t="n">
        <v>11</v>
      </c>
      <c r="D100" s="8" t="n">
        <v>40</v>
      </c>
      <c r="E100" s="9" t="n">
        <v>1060000000</v>
      </c>
      <c r="F100" s="9" t="n">
        <v>421470000</v>
      </c>
      <c r="G100" s="8" t="n"/>
      <c r="H100" s="8" t="n"/>
      <c r="I100" s="10" t="n">
        <v>10.49</v>
      </c>
      <c r="J100" s="11" t="inlineStr"/>
    </row>
    <row r="101">
      <c r="A101" s="8" t="n">
        <v>40203040</v>
      </c>
      <c r="B101" s="8" t="inlineStr">
        <is>
          <t>Financial Exchanges &amp; Data</t>
        </is>
      </c>
      <c r="C101" s="8" t="n">
        <v>4</v>
      </c>
      <c r="D101" s="8" t="n">
        <v>40</v>
      </c>
      <c r="E101" s="9" t="n">
        <v>12530000000</v>
      </c>
      <c r="F101" s="9" t="n">
        <v>2630000000</v>
      </c>
      <c r="G101" s="8" t="n"/>
      <c r="H101" s="8" t="n"/>
      <c r="I101" s="10" t="n">
        <v>11.47</v>
      </c>
      <c r="J101" s="11" t="inlineStr"/>
    </row>
    <row r="102">
      <c r="A102" s="8" t="n">
        <v>40301010</v>
      </c>
      <c r="B102" s="8" t="inlineStr">
        <is>
          <t>Insurance Brokers</t>
        </is>
      </c>
      <c r="C102" s="8" t="n">
        <v>2</v>
      </c>
      <c r="D102" s="8" t="n">
        <v>40</v>
      </c>
      <c r="E102" s="9" t="n">
        <v>54010000000</v>
      </c>
      <c r="F102" s="9" t="n">
        <v>13840000000</v>
      </c>
      <c r="G102" s="8" t="n"/>
      <c r="H102" s="8" t="n"/>
      <c r="I102" s="10" t="n">
        <v>13.45</v>
      </c>
      <c r="J102" s="11" t="inlineStr"/>
    </row>
    <row r="103">
      <c r="A103" s="8" t="n">
        <v>40301020</v>
      </c>
      <c r="B103" s="8" t="inlineStr">
        <is>
          <t>Life &amp; Health Insurance</t>
        </is>
      </c>
      <c r="C103" s="8" t="n">
        <v>3</v>
      </c>
      <c r="D103" s="8" t="n">
        <v>40</v>
      </c>
      <c r="E103" s="9" t="n">
        <v>9250000000</v>
      </c>
      <c r="F103" s="9" t="n">
        <v>13500000000</v>
      </c>
      <c r="G103" s="8" t="n"/>
      <c r="H103" s="8" t="n"/>
      <c r="I103" s="8" t="n"/>
      <c r="J103" s="11" t="inlineStr"/>
    </row>
    <row r="104">
      <c r="A104" s="8" t="n">
        <v>40301030</v>
      </c>
      <c r="B104" s="8" t="inlineStr">
        <is>
          <t>Multi-line Insurance</t>
        </is>
      </c>
      <c r="C104" s="8" t="n">
        <v>3</v>
      </c>
      <c r="D104" s="8" t="n">
        <v>40</v>
      </c>
      <c r="E104" s="9" t="n">
        <v>7540000000</v>
      </c>
      <c r="F104" s="9" t="n">
        <v>9240000000</v>
      </c>
      <c r="G104" s="8" t="n"/>
      <c r="H104" s="8" t="n"/>
      <c r="I104" s="10" t="n">
        <v>9.529999999999999</v>
      </c>
      <c r="J104" s="11" t="inlineStr"/>
    </row>
    <row r="105">
      <c r="A105" s="8" t="n">
        <v>40301040</v>
      </c>
      <c r="B105" s="8" t="inlineStr">
        <is>
          <t>Property &amp; Casualty Insurance</t>
        </is>
      </c>
      <c r="C105" s="8" t="n">
        <v>5</v>
      </c>
      <c r="D105" s="8" t="n">
        <v>40</v>
      </c>
      <c r="E105" s="9" t="n">
        <v>4340000000</v>
      </c>
      <c r="F105" s="9" t="n">
        <v>2690000000</v>
      </c>
      <c r="G105" s="8" t="n"/>
      <c r="H105" s="8" t="n"/>
      <c r="I105" s="8" t="n"/>
      <c r="J105" s="11" t="inlineStr"/>
    </row>
    <row r="106">
      <c r="A106" s="8" t="n">
        <v>45102010</v>
      </c>
      <c r="B106" s="8" t="inlineStr">
        <is>
          <t>IT Consulting &amp; Other Services</t>
        </is>
      </c>
      <c r="C106" s="8" t="n">
        <v>15</v>
      </c>
      <c r="D106" s="8" t="n">
        <v>45</v>
      </c>
      <c r="E106" s="9" t="n">
        <v>745840000</v>
      </c>
      <c r="F106" s="9" t="n">
        <v>845570000</v>
      </c>
      <c r="G106" s="8" t="n"/>
      <c r="H106" s="8" t="n"/>
      <c r="I106" s="10" t="n">
        <v>9.31</v>
      </c>
      <c r="J106" s="11" t="inlineStr"/>
    </row>
    <row r="107">
      <c r="A107" s="8" t="n">
        <v>45102030</v>
      </c>
      <c r="B107" s="8" t="inlineStr">
        <is>
          <t>Internet Services &amp; Infrastructure</t>
        </is>
      </c>
      <c r="C107" s="8" t="n">
        <v>7</v>
      </c>
      <c r="D107" s="8" t="n">
        <v>45</v>
      </c>
      <c r="E107" s="9" t="n">
        <v>144280000</v>
      </c>
      <c r="F107" s="9" t="n">
        <v>85470000</v>
      </c>
      <c r="G107" s="8" t="n"/>
      <c r="H107" s="8" t="n"/>
      <c r="I107" s="10" t="n">
        <v>7.59</v>
      </c>
      <c r="J107" s="11" t="inlineStr"/>
    </row>
    <row r="108">
      <c r="A108" s="8" t="n">
        <v>45103010</v>
      </c>
      <c r="B108" s="8" t="inlineStr">
        <is>
          <t>Application Software</t>
        </is>
      </c>
      <c r="C108" s="8" t="n">
        <v>49</v>
      </c>
      <c r="D108" s="8" t="n">
        <v>45</v>
      </c>
      <c r="E108" s="9" t="n">
        <v>354900000</v>
      </c>
      <c r="F108" s="9" t="n">
        <v>100060000</v>
      </c>
      <c r="G108" s="8" t="n"/>
      <c r="H108" s="8" t="n"/>
      <c r="I108" s="10" t="n">
        <v>12.1</v>
      </c>
      <c r="J108" s="11" t="inlineStr"/>
    </row>
    <row r="109">
      <c r="A109" s="8" t="n">
        <v>45103020</v>
      </c>
      <c r="B109" s="8" t="inlineStr">
        <is>
          <t>Systems Software</t>
        </is>
      </c>
      <c r="C109" s="8" t="n">
        <v>5</v>
      </c>
      <c r="D109" s="8" t="n">
        <v>45</v>
      </c>
      <c r="E109" s="9" t="n">
        <v>27190000</v>
      </c>
      <c r="F109" s="9" t="n">
        <v>14860000</v>
      </c>
      <c r="G109" s="8" t="n"/>
      <c r="H109" s="8" t="n"/>
      <c r="I109" s="10" t="n">
        <v>19.39</v>
      </c>
      <c r="J109" s="11" t="inlineStr"/>
    </row>
    <row r="110">
      <c r="A110" s="8" t="n">
        <v>45201020</v>
      </c>
      <c r="B110" s="8" t="inlineStr">
        <is>
          <t>Communications Equipment</t>
        </is>
      </c>
      <c r="C110" s="8" t="n">
        <v>4</v>
      </c>
      <c r="D110" s="8" t="n">
        <v>45</v>
      </c>
      <c r="E110" s="9" t="n">
        <v>203930000</v>
      </c>
      <c r="F110" s="9" t="n">
        <v>46790000</v>
      </c>
      <c r="G110" s="8" t="n"/>
      <c r="H110" s="8" t="n"/>
      <c r="I110" s="10" t="n">
        <v>20.73</v>
      </c>
      <c r="J110" s="11" t="inlineStr"/>
    </row>
    <row r="111">
      <c r="A111" s="8" t="n">
        <v>45202030</v>
      </c>
      <c r="B111" s="8" t="inlineStr">
        <is>
          <t>Technology Hardware, Storage &amp; Peripherals</t>
        </is>
      </c>
      <c r="C111" s="8" t="n">
        <v>3</v>
      </c>
      <c r="D111" s="8" t="n">
        <v>45</v>
      </c>
      <c r="E111" s="9" t="n">
        <v>554470000</v>
      </c>
      <c r="F111" s="9" t="n">
        <v>143870000</v>
      </c>
      <c r="G111" s="8" t="n"/>
      <c r="H111" s="8" t="n"/>
      <c r="I111" s="10" t="n">
        <v>25.1</v>
      </c>
      <c r="J111" s="11" t="inlineStr"/>
    </row>
    <row r="112">
      <c r="A112" s="8" t="n">
        <v>45203010</v>
      </c>
      <c r="B112" s="8" t="inlineStr">
        <is>
          <t>Electronic Equipment &amp; Instruments</t>
        </is>
      </c>
      <c r="C112" s="8" t="n">
        <v>15</v>
      </c>
      <c r="D112" s="8" t="n">
        <v>45</v>
      </c>
      <c r="E112" s="9" t="n">
        <v>1350000000</v>
      </c>
      <c r="F112" s="9" t="n">
        <v>1190000000</v>
      </c>
      <c r="G112" s="8" t="n"/>
      <c r="H112" s="8" t="n"/>
      <c r="I112" s="10" t="n">
        <v>10.82</v>
      </c>
      <c r="J112" s="11" t="inlineStr"/>
    </row>
    <row r="113">
      <c r="A113" s="8" t="n">
        <v>45203015</v>
      </c>
      <c r="B113" s="8" t="inlineStr">
        <is>
          <t>Electronic Components</t>
        </is>
      </c>
      <c r="C113" s="8" t="n">
        <v>2</v>
      </c>
      <c r="D113" s="8" t="n">
        <v>45</v>
      </c>
      <c r="E113" s="9" t="n">
        <v>177880000</v>
      </c>
      <c r="F113" s="9" t="n">
        <v>317770000</v>
      </c>
      <c r="G113" s="8" t="n"/>
      <c r="H113" s="8" t="n"/>
      <c r="I113" s="10" t="n">
        <v>6.98</v>
      </c>
      <c r="J113" s="11" t="inlineStr"/>
    </row>
    <row r="114">
      <c r="A114" s="8" t="n">
        <v>45203020</v>
      </c>
      <c r="B114" s="8" t="inlineStr">
        <is>
          <t>Electronic Manufacturing Services</t>
        </is>
      </c>
      <c r="C114" s="8" t="n">
        <v>1</v>
      </c>
      <c r="D114" s="8" t="n">
        <v>45</v>
      </c>
      <c r="E114" s="9" t="n">
        <v>333920000</v>
      </c>
      <c r="F114" s="9" t="n">
        <v>161480000</v>
      </c>
      <c r="G114" s="8" t="n"/>
      <c r="H114" s="8" t="n"/>
      <c r="I114" s="10" t="n">
        <v>13.61</v>
      </c>
      <c r="J114" s="11" t="inlineStr"/>
    </row>
    <row r="115">
      <c r="A115" s="8" t="n">
        <v>45203030</v>
      </c>
      <c r="B115" s="8" t="inlineStr">
        <is>
          <t>Technology Distributors</t>
        </is>
      </c>
      <c r="C115" s="8" t="n">
        <v>2</v>
      </c>
      <c r="D115" s="8" t="n">
        <v>45</v>
      </c>
      <c r="E115" s="9" t="n">
        <v>79450000</v>
      </c>
      <c r="F115" s="9" t="n">
        <v>681150000</v>
      </c>
      <c r="G115" s="8" t="n"/>
      <c r="H115" s="8" t="n"/>
      <c r="I115" s="10" t="n">
        <v>5</v>
      </c>
      <c r="J115" s="11" t="inlineStr"/>
    </row>
    <row r="116">
      <c r="A116" s="8" t="n">
        <v>45301010</v>
      </c>
      <c r="B116" s="8" t="inlineStr">
        <is>
          <t>Semiconductor Materials &amp; Equipment</t>
        </is>
      </c>
      <c r="C116" s="8" t="n">
        <v>2</v>
      </c>
      <c r="D116" s="8" t="n">
        <v>45</v>
      </c>
      <c r="E116" s="9" t="n">
        <v>42220000000</v>
      </c>
      <c r="F116" s="9" t="n">
        <v>51220000</v>
      </c>
      <c r="G116" s="8" t="n"/>
      <c r="H116" s="8" t="n"/>
      <c r="I116" s="10" t="n">
        <v>56.45</v>
      </c>
      <c r="J116" s="11" t="inlineStr"/>
    </row>
    <row r="117">
      <c r="A117" s="8" t="n">
        <v>45301020</v>
      </c>
      <c r="B117" s="8" t="inlineStr">
        <is>
          <t>Semiconductors</t>
        </is>
      </c>
      <c r="C117" s="8" t="n">
        <v>7</v>
      </c>
      <c r="D117" s="8" t="n">
        <v>45</v>
      </c>
      <c r="E117" s="9" t="n">
        <v>43150000000</v>
      </c>
      <c r="F117" s="9" t="n">
        <v>752070000</v>
      </c>
      <c r="G117" s="8" t="n"/>
      <c r="H117" s="8" t="n"/>
      <c r="I117" s="10" t="n">
        <v>43.11</v>
      </c>
      <c r="J117" s="11" t="inlineStr"/>
    </row>
    <row r="118">
      <c r="A118" s="8" t="n">
        <v>50101010</v>
      </c>
      <c r="B118" s="8" t="inlineStr">
        <is>
          <t>Alternative Carriers</t>
        </is>
      </c>
      <c r="C118" s="8" t="n">
        <v>2</v>
      </c>
      <c r="D118" s="8" t="n">
        <v>50</v>
      </c>
      <c r="E118" s="9" t="n">
        <v>2230000000</v>
      </c>
      <c r="F118" s="9" t="n">
        <v>2770000000</v>
      </c>
      <c r="G118" s="8" t="n"/>
      <c r="H118" s="8" t="n"/>
      <c r="I118" s="10" t="n">
        <v>6.31</v>
      </c>
      <c r="J118" s="11" t="inlineStr"/>
    </row>
    <row r="119">
      <c r="A119" s="8" t="n">
        <v>50101020</v>
      </c>
      <c r="B119" s="8" t="inlineStr">
        <is>
          <t>Integrated Telecommunication Services</t>
        </is>
      </c>
      <c r="C119" s="8" t="n">
        <v>5</v>
      </c>
      <c r="D119" s="8" t="n">
        <v>50</v>
      </c>
      <c r="E119" s="9" t="n">
        <v>5640000000</v>
      </c>
      <c r="F119" s="9" t="n">
        <v>5180000000</v>
      </c>
      <c r="G119" s="8" t="n"/>
      <c r="H119" s="8" t="n"/>
      <c r="I119" s="10" t="n">
        <v>5.63</v>
      </c>
      <c r="J119" s="11" t="inlineStr"/>
    </row>
    <row r="120">
      <c r="A120" s="8" t="n">
        <v>50102010</v>
      </c>
      <c r="B120" s="8" t="inlineStr">
        <is>
          <t>Wireless Telecommunication Services</t>
        </is>
      </c>
      <c r="C120" s="8" t="n">
        <v>2</v>
      </c>
      <c r="D120" s="8" t="n">
        <v>50</v>
      </c>
      <c r="E120" s="9" t="n">
        <v>19910000000</v>
      </c>
      <c r="F120" s="9" t="n">
        <v>23660000000</v>
      </c>
      <c r="G120" s="8" t="n"/>
      <c r="H120" s="8" t="n"/>
      <c r="I120" s="10" t="n">
        <v>5.13</v>
      </c>
      <c r="J120" s="11" t="inlineStr"/>
    </row>
    <row r="121">
      <c r="A121" s="8" t="n">
        <v>50201010</v>
      </c>
      <c r="B121" s="8" t="inlineStr">
        <is>
          <t>Advertising</t>
        </is>
      </c>
      <c r="C121" s="8" t="n">
        <v>20</v>
      </c>
      <c r="D121" s="8" t="n">
        <v>50</v>
      </c>
      <c r="E121" s="9" t="n">
        <v>990000000</v>
      </c>
      <c r="F121" s="9" t="n">
        <v>1100000000</v>
      </c>
      <c r="G121" s="8" t="n"/>
      <c r="H121" s="8" t="n"/>
      <c r="I121" s="10" t="n">
        <v>6.25</v>
      </c>
      <c r="J121" s="11" t="inlineStr"/>
    </row>
    <row r="122">
      <c r="A122" s="8" t="n">
        <v>50201020</v>
      </c>
      <c r="B122" s="8" t="inlineStr">
        <is>
          <t>Broadcasting</t>
        </is>
      </c>
      <c r="C122" s="8" t="n">
        <v>2</v>
      </c>
      <c r="D122" s="8" t="n">
        <v>50</v>
      </c>
      <c r="E122" s="9" t="n">
        <v>1410000000</v>
      </c>
      <c r="F122" s="9" t="n">
        <v>1850000000</v>
      </c>
      <c r="G122" s="8" t="n"/>
      <c r="H122" s="8" t="n"/>
      <c r="I122" s="10" t="n">
        <v>5.32</v>
      </c>
      <c r="J122" s="11" t="inlineStr"/>
    </row>
    <row r="123">
      <c r="A123" s="8" t="n">
        <v>50201040</v>
      </c>
      <c r="B123" s="8" t="inlineStr">
        <is>
          <t>Publishing</t>
        </is>
      </c>
      <c r="C123" s="8" t="n">
        <v>3</v>
      </c>
      <c r="D123" s="8" t="n">
        <v>50</v>
      </c>
      <c r="E123" s="9" t="n">
        <v>321130000</v>
      </c>
      <c r="F123" s="9" t="n">
        <v>2100000000</v>
      </c>
      <c r="G123" s="8" t="n"/>
      <c r="H123" s="8" t="n"/>
      <c r="I123" s="10" t="n">
        <v>4.14</v>
      </c>
      <c r="J123" s="11" t="inlineStr"/>
    </row>
    <row r="124">
      <c r="A124" s="8" t="n">
        <v>50202010</v>
      </c>
      <c r="B124" s="8" t="inlineStr">
        <is>
          <t>Movies &amp; Entertainment</t>
        </is>
      </c>
      <c r="C124" s="8" t="n">
        <v>11</v>
      </c>
      <c r="D124" s="8" t="n">
        <v>50</v>
      </c>
      <c r="E124" s="9" t="n">
        <v>378510000</v>
      </c>
      <c r="F124" s="9" t="n">
        <v>109680000</v>
      </c>
      <c r="G124" s="8" t="n"/>
      <c r="H124" s="8" t="n"/>
      <c r="I124" s="10" t="n">
        <v>5.93</v>
      </c>
      <c r="J124" s="11" t="inlineStr"/>
    </row>
    <row r="125">
      <c r="A125" s="8" t="n">
        <v>50202020</v>
      </c>
      <c r="B125" s="8" t="inlineStr">
        <is>
          <t>Interactive Home Entertainment</t>
        </is>
      </c>
      <c r="C125" s="8" t="n">
        <v>6</v>
      </c>
      <c r="D125" s="8" t="n">
        <v>50</v>
      </c>
      <c r="E125" s="9" t="n">
        <v>130160000</v>
      </c>
      <c r="F125" s="9" t="n">
        <v>62650000</v>
      </c>
      <c r="G125" s="8" t="n"/>
      <c r="H125" s="8" t="n"/>
      <c r="I125" s="10" t="n">
        <v>4.49</v>
      </c>
      <c r="J125" s="11" t="inlineStr"/>
    </row>
    <row r="126">
      <c r="A126" s="8" t="n">
        <v>50203010</v>
      </c>
      <c r="B126" s="8" t="inlineStr">
        <is>
          <t>Interactive Media &amp; Services</t>
        </is>
      </c>
      <c r="C126" s="8" t="n">
        <v>8</v>
      </c>
      <c r="D126" s="8" t="n">
        <v>50</v>
      </c>
      <c r="E126" s="9" t="n">
        <v>1250000000</v>
      </c>
      <c r="F126" s="9" t="n">
        <v>237960000</v>
      </c>
      <c r="G126" s="8" t="n"/>
      <c r="H126" s="8" t="n"/>
      <c r="I126" s="10" t="n">
        <v>14.42</v>
      </c>
      <c r="J126" s="11" t="inlineStr"/>
    </row>
    <row r="127">
      <c r="A127" s="8" t="n">
        <v>55101010</v>
      </c>
      <c r="B127" s="8" t="inlineStr">
        <is>
          <t>Electric Utilities</t>
        </is>
      </c>
      <c r="C127" s="8" t="n">
        <v>3</v>
      </c>
      <c r="D127" s="8" t="n">
        <v>55</v>
      </c>
      <c r="E127" s="9" t="n">
        <v>14560000000</v>
      </c>
      <c r="F127" s="9" t="n">
        <v>3450000000</v>
      </c>
      <c r="G127" s="8" t="n"/>
      <c r="H127" s="8" t="n"/>
      <c r="I127" s="10" t="n">
        <v>10.21</v>
      </c>
      <c r="J127" s="11" t="inlineStr"/>
    </row>
    <row r="128">
      <c r="A128" s="8" t="n">
        <v>55103010</v>
      </c>
      <c r="B128" s="8" t="inlineStr">
        <is>
          <t>Multi-Utilities</t>
        </is>
      </c>
      <c r="C128" s="8" t="n">
        <v>3</v>
      </c>
      <c r="D128" s="8" t="n">
        <v>55</v>
      </c>
      <c r="E128" s="9" t="n">
        <v>22710000000</v>
      </c>
      <c r="F128" s="9" t="n">
        <v>13060000000</v>
      </c>
      <c r="G128" s="8" t="n"/>
      <c r="H128" s="8" t="n"/>
      <c r="I128" s="10" t="n">
        <v>8.119999999999999</v>
      </c>
      <c r="J128" s="11" t="inlineStr"/>
    </row>
    <row r="129">
      <c r="A129" s="8" t="n">
        <v>55104010</v>
      </c>
      <c r="B129" s="8" t="inlineStr">
        <is>
          <t>Water Utilities</t>
        </is>
      </c>
      <c r="C129" s="8" t="n">
        <v>3</v>
      </c>
      <c r="D129" s="8" t="n">
        <v>55</v>
      </c>
      <c r="E129" s="9" t="n">
        <v>7460000000</v>
      </c>
      <c r="F129" s="9" t="n">
        <v>2250000000</v>
      </c>
      <c r="G129" s="8" t="n"/>
      <c r="H129" s="8" t="n"/>
      <c r="I129" s="10" t="n">
        <v>12.92</v>
      </c>
      <c r="J129" s="11" t="inlineStr"/>
    </row>
    <row r="130">
      <c r="A130" s="8" t="n">
        <v>55105010</v>
      </c>
      <c r="B130" s="8" t="inlineStr">
        <is>
          <t>Independent Power Producers &amp; Energy Traders</t>
        </is>
      </c>
      <c r="C130" s="8" t="n">
        <v>1</v>
      </c>
      <c r="D130" s="8" t="n">
        <v>55</v>
      </c>
      <c r="E130" s="9" t="n">
        <v>304190000</v>
      </c>
      <c r="F130" s="9" t="n">
        <v>204040000</v>
      </c>
      <c r="G130" s="8" t="n"/>
      <c r="H130" s="8" t="n"/>
      <c r="I130" s="10" t="n">
        <v>4.83</v>
      </c>
      <c r="J130" s="11" t="inlineStr"/>
    </row>
    <row r="131">
      <c r="A131" s="8" t="n">
        <v>55105020</v>
      </c>
      <c r="B131" s="8" t="inlineStr">
        <is>
          <t>Renewable Electricity</t>
        </is>
      </c>
      <c r="C131" s="8" t="n">
        <v>3</v>
      </c>
      <c r="D131" s="8" t="n">
        <v>55</v>
      </c>
      <c r="E131" s="9" t="n">
        <v>844110000</v>
      </c>
      <c r="F131" s="9" t="n">
        <v>1740000000</v>
      </c>
      <c r="G131" s="8" t="n"/>
      <c r="H131" s="8" t="n"/>
      <c r="I131" s="10" t="n">
        <v>3.84</v>
      </c>
      <c r="J131" s="11" t="inlineStr"/>
    </row>
    <row r="132">
      <c r="A132" s="8" t="n">
        <v>60101010</v>
      </c>
      <c r="B132" s="8" t="inlineStr">
        <is>
          <t>Diversified REITs*</t>
        </is>
      </c>
      <c r="C132" s="8" t="n">
        <v>13</v>
      </c>
      <c r="D132" s="8" t="n">
        <v>60</v>
      </c>
      <c r="E132" s="9" t="n">
        <v>1090000000</v>
      </c>
      <c r="F132" s="9" t="n">
        <v>147210000</v>
      </c>
      <c r="G132" s="8" t="n"/>
      <c r="H132" s="8" t="n"/>
      <c r="I132" s="10" t="n">
        <v>17.7</v>
      </c>
      <c r="J132" s="11" t="inlineStr"/>
    </row>
    <row r="133">
      <c r="A133" s="8" t="n">
        <v>60102510</v>
      </c>
      <c r="B133" s="8" t="inlineStr">
        <is>
          <t>Industrial REITs*</t>
        </is>
      </c>
      <c r="C133" s="8" t="n">
        <v>3</v>
      </c>
      <c r="D133" s="8" t="n">
        <v>60</v>
      </c>
      <c r="E133" s="9" t="n">
        <v>7360000000</v>
      </c>
      <c r="F133" s="9" t="n">
        <v>528430000</v>
      </c>
      <c r="G133" s="8" t="n"/>
      <c r="H133" s="8" t="n"/>
      <c r="I133" s="10" t="n">
        <v>21.79</v>
      </c>
      <c r="J133" s="11" t="inlineStr"/>
    </row>
    <row r="134">
      <c r="A134" s="8" t="n">
        <v>60104010</v>
      </c>
      <c r="B134" s="8" t="inlineStr">
        <is>
          <t>Office REITs*</t>
        </is>
      </c>
      <c r="C134" s="8" t="n">
        <v>7</v>
      </c>
      <c r="D134" s="8" t="n">
        <v>60</v>
      </c>
      <c r="E134" s="9" t="n">
        <v>728150000</v>
      </c>
      <c r="F134" s="9" t="n">
        <v>786290000</v>
      </c>
      <c r="G134" s="8" t="n"/>
      <c r="H134" s="8" t="n"/>
      <c r="I134" s="10" t="n">
        <v>21.47</v>
      </c>
      <c r="J134" s="11" t="inlineStr"/>
    </row>
    <row r="135">
      <c r="A135" s="8" t="n">
        <v>60105010</v>
      </c>
      <c r="B135" s="8" t="inlineStr">
        <is>
          <t>Health Care REITs*</t>
        </is>
      </c>
      <c r="C135" s="8" t="n">
        <v>2</v>
      </c>
      <c r="D135" s="8" t="n">
        <v>60</v>
      </c>
      <c r="E135" s="9" t="n">
        <v>1590000000</v>
      </c>
      <c r="F135" s="9" t="n">
        <v>220460000</v>
      </c>
      <c r="G135" s="8" t="n"/>
      <c r="H135" s="8" t="n"/>
      <c r="I135" s="10" t="n">
        <v>16.71</v>
      </c>
      <c r="J135" s="11" t="inlineStr"/>
    </row>
    <row r="136">
      <c r="A136" s="8" t="n">
        <v>60106010</v>
      </c>
      <c r="B136" s="8" t="inlineStr">
        <is>
          <t>Multi-Family Residential REITs*</t>
        </is>
      </c>
      <c r="C136" s="8" t="n">
        <v>6</v>
      </c>
      <c r="D136" s="8" t="n">
        <v>60</v>
      </c>
      <c r="E136" s="9" t="n">
        <v>754780000</v>
      </c>
      <c r="F136" s="9" t="n">
        <v>112670000</v>
      </c>
      <c r="G136" s="8" t="n"/>
      <c r="H136" s="8" t="n"/>
      <c r="I136" s="10" t="n">
        <v>18.42</v>
      </c>
      <c r="J136" s="11" t="inlineStr"/>
    </row>
    <row r="137">
      <c r="A137" s="8" t="n">
        <v>60107010</v>
      </c>
      <c r="B137" s="8" t="inlineStr">
        <is>
          <t>Retail REITs*</t>
        </is>
      </c>
      <c r="C137" s="8" t="n">
        <v>3</v>
      </c>
      <c r="D137" s="8" t="n">
        <v>60</v>
      </c>
      <c r="E137" s="9" t="n">
        <v>1240000000</v>
      </c>
      <c r="F137" s="9" t="n">
        <v>151040000</v>
      </c>
      <c r="G137" s="8" t="n"/>
      <c r="H137" s="8" t="n"/>
      <c r="I137" s="10" t="n">
        <v>17</v>
      </c>
      <c r="J137" s="11" t="inlineStr"/>
    </row>
    <row r="138">
      <c r="A138" s="8" t="n">
        <v>60108020</v>
      </c>
      <c r="B138" s="8" t="inlineStr">
        <is>
          <t>Self-Storage REITs*</t>
        </is>
      </c>
      <c r="C138" s="8" t="n">
        <v>2</v>
      </c>
      <c r="D138" s="8" t="n">
        <v>60</v>
      </c>
      <c r="E138" s="9" t="n">
        <v>1570000000</v>
      </c>
      <c r="F138" s="9" t="n">
        <v>225590000</v>
      </c>
      <c r="G138" s="8" t="n"/>
      <c r="H138" s="8" t="n"/>
      <c r="I138" s="10" t="n">
        <v>16.98</v>
      </c>
      <c r="J138" s="11" t="inlineStr"/>
    </row>
    <row r="139">
      <c r="A139" s="8" t="n">
        <v>60201010</v>
      </c>
      <c r="B139" s="8" t="inlineStr">
        <is>
          <t>Diversified Real Estate Activities</t>
        </is>
      </c>
      <c r="C139" s="8" t="n">
        <v>2</v>
      </c>
      <c r="D139" s="8" t="n">
        <v>60</v>
      </c>
      <c r="E139" s="9" t="n">
        <v>20210000</v>
      </c>
      <c r="F139" s="9" t="n">
        <v>9730000</v>
      </c>
      <c r="G139" s="8" t="n"/>
      <c r="H139" s="8" t="n"/>
      <c r="I139" s="10" t="n">
        <v>6.6</v>
      </c>
      <c r="J139" s="11" t="inlineStr"/>
    </row>
    <row r="140">
      <c r="A140" s="8" t="n">
        <v>60201020</v>
      </c>
      <c r="B140" s="8" t="inlineStr">
        <is>
          <t>Real Estate Operating Companies</t>
        </is>
      </c>
      <c r="C140" s="8" t="n">
        <v>13</v>
      </c>
      <c r="D140" s="8" t="n">
        <v>60</v>
      </c>
      <c r="E140" s="9" t="n">
        <v>59010000</v>
      </c>
      <c r="F140" s="9" t="n">
        <v>71110000</v>
      </c>
      <c r="G140" s="8" t="n"/>
      <c r="H140" s="8" t="n"/>
      <c r="I140" s="10" t="n">
        <v>8.26</v>
      </c>
      <c r="J140" s="11" t="inlineStr"/>
    </row>
    <row r="141">
      <c r="A141" s="8" t="n">
        <v>60201030</v>
      </c>
      <c r="B141" s="8" t="inlineStr">
        <is>
          <t>Real Estate Development</t>
        </is>
      </c>
      <c r="C141" s="8" t="n">
        <v>3</v>
      </c>
      <c r="D141" s="8" t="n">
        <v>60</v>
      </c>
      <c r="E141" s="9" t="n">
        <v>700240000</v>
      </c>
      <c r="F141" s="9" t="n">
        <v>699210000</v>
      </c>
      <c r="G141" s="8" t="n"/>
      <c r="H141" s="8" t="n"/>
      <c r="I141" s="10" t="n">
        <v>45.19</v>
      </c>
      <c r="J141" s="11" t="inlineStr"/>
    </row>
    <row r="142">
      <c r="A142" s="8" t="n">
        <v>60201040</v>
      </c>
      <c r="B142" s="8" t="inlineStr">
        <is>
          <t>Real Estate Services</t>
        </is>
      </c>
      <c r="C142" s="8" t="n">
        <v>5</v>
      </c>
      <c r="D142" s="8" t="n">
        <v>60</v>
      </c>
      <c r="E142" s="9" t="n">
        <v>482530000</v>
      </c>
      <c r="F142" s="9" t="n">
        <v>595940000</v>
      </c>
      <c r="G142" s="8" t="n"/>
      <c r="H142" s="8" t="n"/>
      <c r="I142" s="10" t="n">
        <v>5.38</v>
      </c>
      <c r="J142" s="11" t="inlineStr"/>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10" customWidth="1" min="1" max="1"/>
    <col width="26" customWidth="1" min="2" max="2"/>
    <col width="18" customWidth="1" min="3" max="3"/>
    <col width="20" customWidth="1" min="4" max="4"/>
  </cols>
  <sheetData>
    <row r="1" ht="20" customHeight="1">
      <c r="A1" s="12" t="inlineStr">
        <is>
          <t>STEP 3 — PASTE ZONE. PRA SWES Level-1 (GICS Sector) UK shocks, Year 1, from the BoE annex.</t>
        </is>
      </c>
    </row>
    <row r="3">
      <c r="A3" s="6" t="inlineStr">
        <is>
          <t>Sector Code</t>
        </is>
      </c>
      <c r="B3" s="6" t="inlineStr">
        <is>
          <t>GICS Sector</t>
        </is>
      </c>
      <c r="C3" s="6" t="inlineStr">
        <is>
          <t>UK Revenue
Shock %</t>
        </is>
      </c>
      <c r="D3" s="6" t="inlineStr">
        <is>
          <t>UK EV/EBITDA
Shock %</t>
        </is>
      </c>
    </row>
    <row r="4">
      <c r="A4" s="7" t="n">
        <v>10</v>
      </c>
      <c r="B4" s="7" t="inlineStr">
        <is>
          <t>Energy</t>
        </is>
      </c>
      <c r="C4" s="13" t="n">
        <v>0.08</v>
      </c>
      <c r="D4" s="13" t="n">
        <v>0</v>
      </c>
    </row>
    <row r="5">
      <c r="A5" s="7" t="n">
        <v>15</v>
      </c>
      <c r="B5" s="7" t="inlineStr">
        <is>
          <t>Materials</t>
        </is>
      </c>
      <c r="C5" s="13" t="n">
        <v>-0.05</v>
      </c>
      <c r="D5" s="13" t="n">
        <v>-0.28</v>
      </c>
    </row>
    <row r="6">
      <c r="A6" s="7" t="n">
        <v>20</v>
      </c>
      <c r="B6" s="7" t="inlineStr">
        <is>
          <t>Industrials</t>
        </is>
      </c>
      <c r="C6" s="13" t="n">
        <v>-0.1</v>
      </c>
      <c r="D6" s="13" t="n">
        <v>-0.32</v>
      </c>
    </row>
    <row r="7">
      <c r="A7" s="7" t="n">
        <v>25</v>
      </c>
      <c r="B7" s="7" t="inlineStr">
        <is>
          <t>Consumer Discretionary</t>
        </is>
      </c>
      <c r="C7" s="13" t="n">
        <v>-0.1</v>
      </c>
      <c r="D7" s="13" t="n">
        <v>-0.25</v>
      </c>
    </row>
    <row r="8">
      <c r="A8" s="7" t="n">
        <v>30</v>
      </c>
      <c r="B8" s="7" t="inlineStr">
        <is>
          <t>Consumer Staples</t>
        </is>
      </c>
      <c r="C8" s="13" t="n">
        <v>-0.05</v>
      </c>
      <c r="D8" s="13" t="n">
        <v>-0.25</v>
      </c>
    </row>
    <row r="9">
      <c r="A9" s="7" t="n">
        <v>35</v>
      </c>
      <c r="B9" s="7" t="inlineStr">
        <is>
          <t>Health Care</t>
        </is>
      </c>
      <c r="C9" s="13" t="n">
        <v>-0.05</v>
      </c>
      <c r="D9" s="13" t="n">
        <v>-0.25</v>
      </c>
    </row>
    <row r="10">
      <c r="A10" s="7" t="n">
        <v>40</v>
      </c>
      <c r="B10" s="7" t="inlineStr">
        <is>
          <t>Financials</t>
        </is>
      </c>
      <c r="C10" s="13" t="n">
        <v>-0.1</v>
      </c>
      <c r="D10" s="13" t="n">
        <v>-0.32</v>
      </c>
    </row>
    <row r="11">
      <c r="A11" s="7" t="n">
        <v>45</v>
      </c>
      <c r="B11" s="7" t="inlineStr">
        <is>
          <t>Information Technology</t>
        </is>
      </c>
      <c r="C11" s="13" t="n">
        <v>-0.1</v>
      </c>
      <c r="D11" s="13" t="n">
        <v>-0.36</v>
      </c>
    </row>
    <row r="12">
      <c r="A12" s="7" t="n">
        <v>50</v>
      </c>
      <c r="B12" s="7" t="inlineStr">
        <is>
          <t>Communication Services</t>
        </is>
      </c>
      <c r="C12" s="13" t="n">
        <v>-0.05</v>
      </c>
      <c r="D12" s="13" t="n">
        <v>-0.26</v>
      </c>
    </row>
    <row r="13">
      <c r="A13" s="7" t="n">
        <v>55</v>
      </c>
      <c r="B13" s="7" t="inlineStr">
        <is>
          <t>Utilities</t>
        </is>
      </c>
      <c r="C13" s="13" t="n">
        <v>0.02</v>
      </c>
      <c r="D13" s="13" t="n">
        <v>-0.01</v>
      </c>
    </row>
    <row r="14">
      <c r="A14" s="7" t="n">
        <v>60</v>
      </c>
      <c r="B14" s="7" t="inlineStr">
        <is>
          <t>Real Estate</t>
        </is>
      </c>
      <c r="C14" s="13" t="n">
        <v>-0.1</v>
      </c>
      <c r="D14" s="13" t="n">
        <v>-0.36</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9"/>
  <sheetViews>
    <sheetView showGridLines="0" workbookViewId="0">
      <pane ySplit="2" topLeftCell="A3" activePane="bottomLeft" state="frozen"/>
      <selection pane="bottomLeft" activeCell="A1" sqref="A1"/>
    </sheetView>
  </sheetViews>
  <sheetFormatPr baseColWidth="8" defaultRowHeight="15" outlineLevelCol="0"/>
  <cols>
    <col width="12" customWidth="1" min="1" max="1"/>
    <col width="34" customWidth="1" min="2" max="2"/>
    <col width="12" customWidth="1" min="3" max="3"/>
    <col width="12" customWidth="1" min="4" max="4"/>
  </cols>
  <sheetData>
    <row r="1" ht="44" customHeight="1">
      <c r="A1" t="inlineStr">
        <is>
          <t>PASTE ZONE — DUMMY VALUES. Unlevered beta at each of the four GICS levels independently. Replace the 'Unlevered Beta (DUMMY)' column with real data (e.g. from Bloomberg EQS 'Total by Group', or your own Hamada delevering of raw beta using each company's effective tax rate and D/E) — every downstream formula recalculates automatically. Dummy values follow a varied, clearly-synthetic pattern (0.70/0.85/1.00/1.15/1.30 cycling by code) so the cascade is verifiable now, not trivially = 1.0.</t>
        </is>
      </c>
    </row>
    <row r="3">
      <c r="A3" s="4" t="inlineStr">
        <is>
          <t>SECTOR (11)</t>
        </is>
      </c>
    </row>
    <row r="4">
      <c r="A4" s="6" t="inlineStr">
        <is>
          <t>Code</t>
        </is>
      </c>
      <c r="B4" s="6" t="inlineStr">
        <is>
          <t>Name</t>
        </is>
      </c>
      <c r="C4" s="6" t="inlineStr"/>
      <c r="D4" s="6" t="inlineStr">
        <is>
          <t>Unlevered Beta
(DUMMY)</t>
        </is>
      </c>
    </row>
    <row r="5">
      <c r="A5" s="7" t="n">
        <v>10</v>
      </c>
      <c r="B5" s="7" t="inlineStr">
        <is>
          <t>Energy</t>
        </is>
      </c>
      <c r="C5" s="7" t="n"/>
      <c r="D5" s="14" t="n">
        <v>0.7</v>
      </c>
    </row>
    <row r="6">
      <c r="A6" s="7" t="n">
        <v>15</v>
      </c>
      <c r="B6" s="7" t="inlineStr">
        <is>
          <t>Materials</t>
        </is>
      </c>
      <c r="C6" s="7" t="n"/>
      <c r="D6" s="14" t="n">
        <v>1</v>
      </c>
    </row>
    <row r="7">
      <c r="A7" s="7" t="n">
        <v>20</v>
      </c>
      <c r="B7" s="7" t="inlineStr">
        <is>
          <t>Industrials</t>
        </is>
      </c>
      <c r="C7" s="7" t="n"/>
      <c r="D7" s="14" t="n">
        <v>1.3</v>
      </c>
    </row>
    <row r="8">
      <c r="A8" s="7" t="n">
        <v>25</v>
      </c>
      <c r="B8" s="7" t="inlineStr">
        <is>
          <t>Consumer Discretionary</t>
        </is>
      </c>
      <c r="C8" s="7" t="n"/>
      <c r="D8" s="14" t="n">
        <v>0.85</v>
      </c>
    </row>
    <row r="9">
      <c r="A9" s="7" t="n">
        <v>30</v>
      </c>
      <c r="B9" s="7" t="inlineStr">
        <is>
          <t>Consumer Staples</t>
        </is>
      </c>
      <c r="C9" s="7" t="n"/>
      <c r="D9" s="14" t="n">
        <v>1.15</v>
      </c>
    </row>
    <row r="10">
      <c r="A10" s="7" t="n">
        <v>35</v>
      </c>
      <c r="B10" s="7" t="inlineStr">
        <is>
          <t>Health Care</t>
        </is>
      </c>
      <c r="C10" s="7" t="n"/>
      <c r="D10" s="14" t="n">
        <v>0.7</v>
      </c>
    </row>
    <row r="11">
      <c r="A11" s="7" t="n">
        <v>40</v>
      </c>
      <c r="B11" s="7" t="inlineStr">
        <is>
          <t>Financials</t>
        </is>
      </c>
      <c r="C11" s="7" t="n"/>
      <c r="D11" s="14" t="n">
        <v>1</v>
      </c>
    </row>
    <row r="12">
      <c r="A12" s="7" t="n">
        <v>45</v>
      </c>
      <c r="B12" s="7" t="inlineStr">
        <is>
          <t>Information Technology</t>
        </is>
      </c>
      <c r="C12" s="7" t="n"/>
      <c r="D12" s="14" t="n">
        <v>1.3</v>
      </c>
    </row>
    <row r="13">
      <c r="A13" s="7" t="n">
        <v>50</v>
      </c>
      <c r="B13" s="7" t="inlineStr">
        <is>
          <t>Communication Services</t>
        </is>
      </c>
      <c r="C13" s="7" t="n"/>
      <c r="D13" s="14" t="n">
        <v>0.85</v>
      </c>
    </row>
    <row r="14">
      <c r="A14" s="7" t="n">
        <v>55</v>
      </c>
      <c r="B14" s="7" t="inlineStr">
        <is>
          <t>Utilities</t>
        </is>
      </c>
      <c r="C14" s="7" t="n"/>
      <c r="D14" s="14" t="n">
        <v>1.15</v>
      </c>
    </row>
    <row r="15">
      <c r="A15" s="7" t="n">
        <v>60</v>
      </c>
      <c r="B15" s="7" t="inlineStr">
        <is>
          <t>Real Estate</t>
        </is>
      </c>
      <c r="C15" s="7" t="n"/>
      <c r="D15" s="14" t="n">
        <v>1.3</v>
      </c>
    </row>
    <row r="18">
      <c r="A18" s="4" t="inlineStr">
        <is>
          <t>INDUSTRY GROUP (25)</t>
        </is>
      </c>
    </row>
    <row r="19">
      <c r="A19" s="6" t="inlineStr">
        <is>
          <t>Code</t>
        </is>
      </c>
      <c r="B19" s="6" t="inlineStr">
        <is>
          <t>Name</t>
        </is>
      </c>
      <c r="C19" s="6" t="inlineStr"/>
      <c r="D19" s="6" t="inlineStr">
        <is>
          <t>Unlevered Beta
(DUMMY)</t>
        </is>
      </c>
    </row>
    <row r="20">
      <c r="A20" s="7" t="n">
        <v>1010</v>
      </c>
      <c r="B20" s="7" t="inlineStr">
        <is>
          <t>Energy</t>
        </is>
      </c>
      <c r="C20" s="7" t="n"/>
      <c r="D20" s="14" t="n">
        <v>1</v>
      </c>
    </row>
    <row r="21">
      <c r="A21" s="7" t="n">
        <v>1510</v>
      </c>
      <c r="B21" s="7" t="inlineStr">
        <is>
          <t>Materials</t>
        </is>
      </c>
      <c r="C21" s="7" t="n"/>
      <c r="D21" s="14" t="n">
        <v>1.15</v>
      </c>
    </row>
    <row r="22">
      <c r="A22" s="7" t="n">
        <v>2010</v>
      </c>
      <c r="B22" s="7" t="inlineStr">
        <is>
          <t>Capital Goods</t>
        </is>
      </c>
      <c r="C22" s="7" t="n"/>
      <c r="D22" s="14" t="n">
        <v>1.3</v>
      </c>
    </row>
    <row r="23">
      <c r="A23" s="7" t="n">
        <v>2020</v>
      </c>
      <c r="B23" s="7" t="inlineStr">
        <is>
          <t>Commercial  &amp; Professional Services</t>
        </is>
      </c>
      <c r="C23" s="7" t="n"/>
      <c r="D23" s="14" t="n">
        <v>1.15</v>
      </c>
    </row>
    <row r="24">
      <c r="A24" s="7" t="n">
        <v>2030</v>
      </c>
      <c r="B24" s="7" t="inlineStr">
        <is>
          <t>Transportation</t>
        </is>
      </c>
      <c r="C24" s="7" t="n"/>
      <c r="D24" s="14" t="n">
        <v>1</v>
      </c>
    </row>
    <row r="25">
      <c r="A25" s="7" t="n">
        <v>2510</v>
      </c>
      <c r="B25" s="7" t="inlineStr">
        <is>
          <t>Automobiles &amp; Components</t>
        </is>
      </c>
      <c r="C25" s="7" t="n"/>
      <c r="D25" s="14" t="n">
        <v>0.7</v>
      </c>
    </row>
    <row r="26">
      <c r="A26" s="7" t="n">
        <v>2520</v>
      </c>
      <c r="B26" s="7" t="inlineStr">
        <is>
          <t>Consumer Durables &amp; Apparel</t>
        </is>
      </c>
      <c r="C26" s="7" t="n"/>
      <c r="D26" s="14" t="n">
        <v>1.3</v>
      </c>
    </row>
    <row r="27">
      <c r="A27" s="7" t="n">
        <v>2530</v>
      </c>
      <c r="B27" s="7" t="inlineStr">
        <is>
          <t>Consumer Services</t>
        </is>
      </c>
      <c r="C27" s="7" t="n"/>
      <c r="D27" s="14" t="n">
        <v>1.15</v>
      </c>
    </row>
    <row r="28">
      <c r="A28" s="7" t="n">
        <v>2550</v>
      </c>
      <c r="B28" s="7" t="inlineStr">
        <is>
          <t>Consumer Discretionary Distribution &amp; Retail</t>
        </is>
      </c>
      <c r="C28" s="7" t="n"/>
      <c r="D28" s="14" t="n">
        <v>0.85</v>
      </c>
    </row>
    <row r="29">
      <c r="A29" s="7" t="n">
        <v>3010</v>
      </c>
      <c r="B29" s="7" t="inlineStr">
        <is>
          <t>Consumer Staples Distribution &amp; Retail</t>
        </is>
      </c>
      <c r="C29" s="7" t="n"/>
      <c r="D29" s="14" t="n">
        <v>0.85</v>
      </c>
    </row>
    <row r="30">
      <c r="A30" s="7" t="n">
        <v>3020</v>
      </c>
      <c r="B30" s="7" t="inlineStr">
        <is>
          <t>Food, Beverage &amp; Tobacco</t>
        </is>
      </c>
      <c r="C30" s="7" t="n"/>
      <c r="D30" s="14" t="n">
        <v>0.7</v>
      </c>
    </row>
    <row r="31">
      <c r="A31" s="7" t="n">
        <v>3030</v>
      </c>
      <c r="B31" s="7" t="inlineStr">
        <is>
          <t>Household &amp; Personal Products</t>
        </is>
      </c>
      <c r="C31" s="7" t="n"/>
      <c r="D31" s="14" t="n">
        <v>1.3</v>
      </c>
    </row>
    <row r="32">
      <c r="A32" s="7" t="n">
        <v>3510</v>
      </c>
      <c r="B32" s="7" t="inlineStr">
        <is>
          <t>Health Care Equipment &amp; Services</t>
        </is>
      </c>
      <c r="C32" s="7" t="n"/>
      <c r="D32" s="14" t="n">
        <v>1</v>
      </c>
    </row>
    <row r="33">
      <c r="A33" s="7" t="n">
        <v>3520</v>
      </c>
      <c r="B33" s="7" t="inlineStr">
        <is>
          <t>Pharmaceuticals, Biotechnology &amp; Life Sciences</t>
        </is>
      </c>
      <c r="C33" s="7" t="n"/>
      <c r="D33" s="14" t="n">
        <v>0.85</v>
      </c>
    </row>
    <row r="34">
      <c r="A34" s="7" t="n">
        <v>4010</v>
      </c>
      <c r="B34" s="7" t="inlineStr">
        <is>
          <t>Banks</t>
        </is>
      </c>
      <c r="C34" s="7" t="n"/>
      <c r="D34" s="14" t="n">
        <v>1.15</v>
      </c>
    </row>
    <row r="35">
      <c r="A35" s="7" t="n">
        <v>4020</v>
      </c>
      <c r="B35" s="7" t="inlineStr">
        <is>
          <t>Financial Services</t>
        </is>
      </c>
      <c r="C35" s="7" t="n"/>
      <c r="D35" s="14" t="n">
        <v>1</v>
      </c>
    </row>
    <row r="36">
      <c r="A36" s="7" t="n">
        <v>4030</v>
      </c>
      <c r="B36" s="7" t="inlineStr">
        <is>
          <t>Insurance</t>
        </is>
      </c>
      <c r="C36" s="7" t="n"/>
      <c r="D36" s="14" t="n">
        <v>0.85</v>
      </c>
    </row>
    <row r="37">
      <c r="A37" s="7" t="n">
        <v>4510</v>
      </c>
      <c r="B37" s="7" t="inlineStr">
        <is>
          <t>Software &amp; Services</t>
        </is>
      </c>
      <c r="C37" s="7" t="n"/>
      <c r="D37" s="14" t="n">
        <v>1.3</v>
      </c>
    </row>
    <row r="38">
      <c r="A38" s="7" t="n">
        <v>4520</v>
      </c>
      <c r="B38" s="7" t="inlineStr">
        <is>
          <t>Technology Hardware &amp; Equipment</t>
        </is>
      </c>
      <c r="C38" s="7" t="n"/>
      <c r="D38" s="14" t="n">
        <v>1.15</v>
      </c>
    </row>
    <row r="39">
      <c r="A39" s="7" t="n">
        <v>4530</v>
      </c>
      <c r="B39" s="7" t="inlineStr">
        <is>
          <t>Semiconductors &amp; Semiconductor Equipment</t>
        </is>
      </c>
      <c r="C39" s="7" t="n"/>
      <c r="D39" s="14" t="n">
        <v>1</v>
      </c>
    </row>
    <row r="40">
      <c r="A40" s="7" t="n">
        <v>5010</v>
      </c>
      <c r="B40" s="7" t="inlineStr">
        <is>
          <t>Telecommunication Services</t>
        </is>
      </c>
      <c r="C40" s="7" t="n"/>
      <c r="D40" s="14" t="n">
        <v>0.7</v>
      </c>
    </row>
    <row r="41">
      <c r="A41" s="7" t="n">
        <v>5020</v>
      </c>
      <c r="B41" s="7" t="inlineStr">
        <is>
          <t>Media &amp; Entertainment</t>
        </is>
      </c>
      <c r="C41" s="7" t="n"/>
      <c r="D41" s="14" t="n">
        <v>1.3</v>
      </c>
    </row>
    <row r="42">
      <c r="A42" s="7" t="n">
        <v>5510</v>
      </c>
      <c r="B42" s="7" t="inlineStr">
        <is>
          <t>Utilities</t>
        </is>
      </c>
      <c r="C42" s="7" t="n"/>
      <c r="D42" s="14" t="n">
        <v>0.85</v>
      </c>
    </row>
    <row r="43">
      <c r="A43" s="7" t="n">
        <v>6010</v>
      </c>
      <c r="B43" s="7" t="inlineStr">
        <is>
          <t>Equity Real Estate Investment Trusts (REITs)</t>
        </is>
      </c>
      <c r="C43" s="7" t="n"/>
      <c r="D43" s="14" t="n">
        <v>1</v>
      </c>
    </row>
    <row r="44">
      <c r="A44" s="7" t="n">
        <v>6020</v>
      </c>
      <c r="B44" s="7" t="inlineStr">
        <is>
          <t>Real Estate Management &amp; Development</t>
        </is>
      </c>
      <c r="C44" s="7" t="n"/>
      <c r="D44" s="14" t="n">
        <v>0.85</v>
      </c>
    </row>
    <row r="47">
      <c r="A47" s="4" t="inlineStr">
        <is>
          <t>INDUSTRY (74)</t>
        </is>
      </c>
    </row>
    <row r="48">
      <c r="A48" s="6" t="inlineStr">
        <is>
          <t>Code</t>
        </is>
      </c>
      <c r="B48" s="6" t="inlineStr">
        <is>
          <t>Name</t>
        </is>
      </c>
      <c r="C48" s="6" t="inlineStr"/>
      <c r="D48" s="6" t="inlineStr">
        <is>
          <t>Unlevered Beta
(DUMMY)</t>
        </is>
      </c>
    </row>
    <row r="49">
      <c r="A49" s="7" t="n">
        <v>101010</v>
      </c>
      <c r="B49" s="7" t="inlineStr">
        <is>
          <t>Energy Equipment &amp; Services</t>
        </is>
      </c>
      <c r="C49" s="7" t="n"/>
      <c r="D49" s="14" t="n">
        <v>1.3</v>
      </c>
    </row>
    <row r="50">
      <c r="A50" s="7" t="n">
        <v>101020</v>
      </c>
      <c r="B50" s="7" t="inlineStr">
        <is>
          <t>Oil, Gas &amp; Consumable Fuels</t>
        </is>
      </c>
      <c r="C50" s="7" t="n"/>
      <c r="D50" s="14" t="n">
        <v>1.15</v>
      </c>
    </row>
    <row r="51">
      <c r="A51" s="7" t="n">
        <v>151010</v>
      </c>
      <c r="B51" s="7" t="inlineStr">
        <is>
          <t>Chemicals</t>
        </is>
      </c>
      <c r="C51" s="7" t="n"/>
      <c r="D51" s="14" t="n">
        <v>1</v>
      </c>
    </row>
    <row r="52">
      <c r="A52" s="7" t="n">
        <v>151020</v>
      </c>
      <c r="B52" s="7" t="inlineStr">
        <is>
          <t>Construction Materials</t>
        </is>
      </c>
      <c r="C52" s="7" t="n"/>
      <c r="D52" s="14" t="n">
        <v>0.85</v>
      </c>
    </row>
    <row r="53">
      <c r="A53" s="7" t="n">
        <v>151030</v>
      </c>
      <c r="B53" s="7" t="inlineStr">
        <is>
          <t>Containers &amp; Packaging</t>
        </is>
      </c>
      <c r="C53" s="7" t="n"/>
      <c r="D53" s="14" t="n">
        <v>0.7</v>
      </c>
    </row>
    <row r="54">
      <c r="A54" s="7" t="n">
        <v>151040</v>
      </c>
      <c r="B54" s="7" t="inlineStr">
        <is>
          <t>Metals &amp; Mining</t>
        </is>
      </c>
      <c r="C54" s="7" t="n"/>
      <c r="D54" s="14" t="n">
        <v>1.3</v>
      </c>
    </row>
    <row r="55">
      <c r="A55" s="7" t="n">
        <v>151050</v>
      </c>
      <c r="B55" s="7" t="inlineStr">
        <is>
          <t>Paper &amp; Forest Products</t>
        </is>
      </c>
      <c r="C55" s="7" t="n"/>
      <c r="D55" s="14" t="n">
        <v>1</v>
      </c>
    </row>
    <row r="56">
      <c r="A56" s="7" t="n">
        <v>201010</v>
      </c>
      <c r="B56" s="7" t="inlineStr">
        <is>
          <t>Aerospace &amp; Defense</t>
        </is>
      </c>
      <c r="C56" s="7" t="n"/>
      <c r="D56" s="14" t="n">
        <v>0.7</v>
      </c>
    </row>
    <row r="57">
      <c r="A57" s="7" t="n">
        <v>201020</v>
      </c>
      <c r="B57" s="7" t="inlineStr">
        <is>
          <t>Building Products</t>
        </is>
      </c>
      <c r="C57" s="7" t="n"/>
      <c r="D57" s="14" t="n">
        <v>1.3</v>
      </c>
    </row>
    <row r="58">
      <c r="A58" s="7" t="n">
        <v>201030</v>
      </c>
      <c r="B58" s="7" t="inlineStr">
        <is>
          <t>Construction &amp; Engineering</t>
        </is>
      </c>
      <c r="C58" s="7" t="n"/>
      <c r="D58" s="14" t="n">
        <v>1.15</v>
      </c>
    </row>
    <row r="59">
      <c r="A59" s="7" t="n">
        <v>201040</v>
      </c>
      <c r="B59" s="7" t="inlineStr">
        <is>
          <t>Electrical Equipment</t>
        </is>
      </c>
      <c r="C59" s="7" t="n"/>
      <c r="D59" s="14" t="n">
        <v>1</v>
      </c>
    </row>
    <row r="60">
      <c r="A60" s="7" t="n">
        <v>201050</v>
      </c>
      <c r="B60" s="7" t="inlineStr">
        <is>
          <t>Industrial Conglomerates</t>
        </is>
      </c>
      <c r="C60" s="7" t="n"/>
      <c r="D60" s="14" t="n">
        <v>0.85</v>
      </c>
    </row>
    <row r="61">
      <c r="A61" s="7" t="n">
        <v>201060</v>
      </c>
      <c r="B61" s="7" t="inlineStr">
        <is>
          <t>Machinery</t>
        </is>
      </c>
      <c r="C61" s="7" t="n"/>
      <c r="D61" s="14" t="n">
        <v>0.7</v>
      </c>
    </row>
    <row r="62">
      <c r="A62" s="7" t="n">
        <v>201070</v>
      </c>
      <c r="B62" s="7" t="inlineStr">
        <is>
          <t>Trading Companies &amp; Distributors</t>
        </is>
      </c>
      <c r="C62" s="7" t="n"/>
      <c r="D62" s="14" t="n">
        <v>1.15</v>
      </c>
    </row>
    <row r="63">
      <c r="A63" s="7" t="n">
        <v>202010</v>
      </c>
      <c r="B63" s="7" t="inlineStr">
        <is>
          <t>Commercial Services &amp; Supplies</t>
        </is>
      </c>
      <c r="C63" s="7" t="n"/>
      <c r="D63" s="14" t="n">
        <v>1</v>
      </c>
    </row>
    <row r="64">
      <c r="A64" s="7" t="n">
        <v>202020</v>
      </c>
      <c r="B64" s="7" t="inlineStr">
        <is>
          <t>Professional Services</t>
        </is>
      </c>
      <c r="C64" s="7" t="n"/>
      <c r="D64" s="14" t="n">
        <v>0.85</v>
      </c>
    </row>
    <row r="65">
      <c r="A65" s="7" t="n">
        <v>203010</v>
      </c>
      <c r="B65" s="7" t="inlineStr">
        <is>
          <t>Air Freight &amp; Logistics</t>
        </is>
      </c>
      <c r="C65" s="7" t="n"/>
      <c r="D65" s="14" t="n">
        <v>1.3</v>
      </c>
    </row>
    <row r="66">
      <c r="A66" s="7" t="n">
        <v>203020</v>
      </c>
      <c r="B66" s="7" t="inlineStr">
        <is>
          <t>Passenger Airlines</t>
        </is>
      </c>
      <c r="C66" s="7" t="n"/>
      <c r="D66" s="14" t="n">
        <v>1.15</v>
      </c>
    </row>
    <row r="67">
      <c r="A67" s="7" t="n">
        <v>203030</v>
      </c>
      <c r="B67" s="7" t="inlineStr">
        <is>
          <t>Marine Transportation</t>
        </is>
      </c>
      <c r="C67" s="7" t="n"/>
      <c r="D67" s="14" t="n">
        <v>1</v>
      </c>
    </row>
    <row r="68">
      <c r="A68" s="7" t="n">
        <v>203040</v>
      </c>
      <c r="B68" s="7" t="inlineStr">
        <is>
          <t>Ground Transportation</t>
        </is>
      </c>
      <c r="C68" s="7" t="n"/>
      <c r="D68" s="14" t="n">
        <v>0.85</v>
      </c>
    </row>
    <row r="69">
      <c r="A69" s="7" t="n">
        <v>203050</v>
      </c>
      <c r="B69" s="7" t="inlineStr">
        <is>
          <t>Transportation Infrastructure</t>
        </is>
      </c>
      <c r="C69" s="7" t="n"/>
      <c r="D69" s="14" t="n">
        <v>0.7</v>
      </c>
    </row>
    <row r="70">
      <c r="A70" s="7" t="n">
        <v>251010</v>
      </c>
      <c r="B70" s="7" t="inlineStr">
        <is>
          <t>Automobile Components</t>
        </is>
      </c>
      <c r="C70" s="7" t="n"/>
      <c r="D70" s="14" t="n">
        <v>1.3</v>
      </c>
    </row>
    <row r="71">
      <c r="A71" s="7" t="n">
        <v>251020</v>
      </c>
      <c r="B71" s="7" t="inlineStr">
        <is>
          <t>Automobiles</t>
        </is>
      </c>
      <c r="C71" s="7" t="n"/>
      <c r="D71" s="14" t="n">
        <v>1.15</v>
      </c>
    </row>
    <row r="72">
      <c r="A72" s="7" t="n">
        <v>252010</v>
      </c>
      <c r="B72" s="7" t="inlineStr">
        <is>
          <t>Household Durables</t>
        </is>
      </c>
      <c r="C72" s="7" t="n"/>
      <c r="D72" s="14" t="n">
        <v>0.85</v>
      </c>
    </row>
    <row r="73">
      <c r="A73" s="7" t="n">
        <v>252020</v>
      </c>
      <c r="B73" s="7" t="inlineStr">
        <is>
          <t>Leisure Products</t>
        </is>
      </c>
      <c r="C73" s="7" t="n"/>
      <c r="D73" s="14" t="n">
        <v>0.7</v>
      </c>
    </row>
    <row r="74">
      <c r="A74" s="7" t="n">
        <v>252030</v>
      </c>
      <c r="B74" s="7" t="inlineStr">
        <is>
          <t>Textiles, Apparel &amp; Luxury Goods</t>
        </is>
      </c>
      <c r="C74" s="7" t="n"/>
      <c r="D74" s="14" t="n">
        <v>1.15</v>
      </c>
    </row>
    <row r="75">
      <c r="A75" s="7" t="n">
        <v>253010</v>
      </c>
      <c r="B75" s="7" t="inlineStr">
        <is>
          <t>Hotels, Restaurants &amp; Leisure</t>
        </is>
      </c>
      <c r="C75" s="7" t="n"/>
      <c r="D75" s="14" t="n">
        <v>1.15</v>
      </c>
    </row>
    <row r="76">
      <c r="A76" s="7" t="n">
        <v>253020</v>
      </c>
      <c r="B76" s="7" t="inlineStr">
        <is>
          <t>Diversified Consumer Services</t>
        </is>
      </c>
      <c r="C76" s="7" t="n"/>
      <c r="D76" s="14" t="n">
        <v>1</v>
      </c>
    </row>
    <row r="77">
      <c r="A77" s="7" t="n">
        <v>255010</v>
      </c>
      <c r="B77" s="7" t="inlineStr">
        <is>
          <t>Distributors</t>
        </is>
      </c>
      <c r="C77" s="7" t="n"/>
      <c r="D77" s="14" t="n">
        <v>1</v>
      </c>
    </row>
    <row r="78">
      <c r="A78" s="7" t="n">
        <v>255030</v>
      </c>
      <c r="B78" s="7" t="inlineStr">
        <is>
          <t>Broadline Retail</t>
        </is>
      </c>
      <c r="C78" s="7" t="n"/>
      <c r="D78" s="14" t="n">
        <v>1.3</v>
      </c>
    </row>
    <row r="79">
      <c r="A79" s="7" t="n">
        <v>255040</v>
      </c>
      <c r="B79" s="7" t="inlineStr">
        <is>
          <t>Specialty Retail</t>
        </is>
      </c>
      <c r="C79" s="7" t="n"/>
      <c r="D79" s="14" t="n">
        <v>1.15</v>
      </c>
    </row>
    <row r="80">
      <c r="A80" s="7" t="n">
        <v>301010</v>
      </c>
      <c r="B80" s="7" t="inlineStr">
        <is>
          <t>Consumer Staples Distribution &amp; Retail</t>
        </is>
      </c>
      <c r="C80" s="7" t="n"/>
      <c r="D80" s="14" t="n">
        <v>1</v>
      </c>
    </row>
    <row r="81">
      <c r="A81" s="7" t="n">
        <v>302010</v>
      </c>
      <c r="B81" s="7" t="inlineStr">
        <is>
          <t>Beverages</t>
        </is>
      </c>
      <c r="C81" s="7" t="n"/>
      <c r="D81" s="14" t="n">
        <v>1.3</v>
      </c>
    </row>
    <row r="82">
      <c r="A82" s="7" t="n">
        <v>302020</v>
      </c>
      <c r="B82" s="7" t="inlineStr">
        <is>
          <t>Food Products</t>
        </is>
      </c>
      <c r="C82" s="7" t="n"/>
      <c r="D82" s="14" t="n">
        <v>1.15</v>
      </c>
    </row>
    <row r="83">
      <c r="A83" s="7" t="n">
        <v>302030</v>
      </c>
      <c r="B83" s="7" t="inlineStr">
        <is>
          <t>Tobacco</t>
        </is>
      </c>
      <c r="C83" s="7" t="n"/>
      <c r="D83" s="14" t="n">
        <v>1</v>
      </c>
    </row>
    <row r="84">
      <c r="A84" s="7" t="n">
        <v>303010</v>
      </c>
      <c r="B84" s="7" t="inlineStr">
        <is>
          <t>Household Products</t>
        </is>
      </c>
      <c r="C84" s="7" t="n"/>
      <c r="D84" s="14" t="n">
        <v>0.85</v>
      </c>
    </row>
    <row r="85">
      <c r="A85" s="7" t="n">
        <v>303020</v>
      </c>
      <c r="B85" s="7" t="inlineStr">
        <is>
          <t>Personal Care Products</t>
        </is>
      </c>
      <c r="C85" s="7" t="n"/>
      <c r="D85" s="14" t="n">
        <v>0.7</v>
      </c>
    </row>
    <row r="86">
      <c r="A86" s="7" t="n">
        <v>351010</v>
      </c>
      <c r="B86" s="7" t="inlineStr">
        <is>
          <t>Health Care Equipment &amp; Supplies</t>
        </is>
      </c>
      <c r="C86" s="7" t="n"/>
      <c r="D86" s="14" t="n">
        <v>0.7</v>
      </c>
    </row>
    <row r="87">
      <c r="A87" s="7" t="n">
        <v>351020</v>
      </c>
      <c r="B87" s="7" t="inlineStr">
        <is>
          <t>Health Care Providers &amp; Services</t>
        </is>
      </c>
      <c r="C87" s="7" t="n"/>
      <c r="D87" s="14" t="n">
        <v>1.3</v>
      </c>
    </row>
    <row r="88">
      <c r="A88" s="7" t="n">
        <v>351030</v>
      </c>
      <c r="B88" s="7" t="inlineStr">
        <is>
          <t>Health Care Technology</t>
        </is>
      </c>
      <c r="C88" s="7" t="n"/>
      <c r="D88" s="14" t="n">
        <v>1.15</v>
      </c>
    </row>
    <row r="89">
      <c r="A89" s="7" t="n">
        <v>352010</v>
      </c>
      <c r="B89" s="7" t="inlineStr">
        <is>
          <t>Biotechnology</t>
        </is>
      </c>
      <c r="C89" s="7" t="n"/>
      <c r="D89" s="14" t="n">
        <v>1</v>
      </c>
    </row>
    <row r="90">
      <c r="A90" s="7" t="n">
        <v>352020</v>
      </c>
      <c r="B90" s="7" t="inlineStr">
        <is>
          <t>Pharmaceuticals</t>
        </is>
      </c>
      <c r="C90" s="7" t="n"/>
      <c r="D90" s="14" t="n">
        <v>0.85</v>
      </c>
    </row>
    <row r="91">
      <c r="A91" s="7" t="n">
        <v>352030</v>
      </c>
      <c r="B91" s="7" t="inlineStr">
        <is>
          <t>Life Sciences Tools &amp; Services</t>
        </is>
      </c>
      <c r="C91" s="7" t="n"/>
      <c r="D91" s="14" t="n">
        <v>0.7</v>
      </c>
    </row>
    <row r="92">
      <c r="A92" s="7" t="n">
        <v>401010</v>
      </c>
      <c r="B92" s="7" t="inlineStr">
        <is>
          <t>Banks</t>
        </is>
      </c>
      <c r="C92" s="7" t="n"/>
      <c r="D92" s="14" t="n">
        <v>1.3</v>
      </c>
    </row>
    <row r="93">
      <c r="A93" s="7" t="n">
        <v>402010</v>
      </c>
      <c r="B93" s="7" t="inlineStr">
        <is>
          <t>Financial Services</t>
        </is>
      </c>
      <c r="C93" s="7" t="n"/>
      <c r="D93" s="14" t="n">
        <v>0.85</v>
      </c>
    </row>
    <row r="94">
      <c r="A94" s="7" t="n">
        <v>402020</v>
      </c>
      <c r="B94" s="7" t="inlineStr">
        <is>
          <t>Consumer Finance</t>
        </is>
      </c>
      <c r="C94" s="7" t="n"/>
      <c r="D94" s="14" t="n">
        <v>1.3</v>
      </c>
    </row>
    <row r="95">
      <c r="A95" s="7" t="n">
        <v>402030</v>
      </c>
      <c r="B95" s="7" t="inlineStr">
        <is>
          <t>Capital Markets</t>
        </is>
      </c>
      <c r="C95" s="7" t="n"/>
      <c r="D95" s="14" t="n">
        <v>1.15</v>
      </c>
    </row>
    <row r="96">
      <c r="A96" s="7" t="n">
        <v>402040</v>
      </c>
      <c r="B96" s="7" t="inlineStr">
        <is>
          <t>Mortgage Real Estate Investment Trusts (REITs)</t>
        </is>
      </c>
      <c r="C96" s="7" t="n"/>
      <c r="D96" s="14" t="n">
        <v>1</v>
      </c>
    </row>
    <row r="97">
      <c r="A97" s="7" t="n">
        <v>403010</v>
      </c>
      <c r="B97" s="7" t="inlineStr">
        <is>
          <t>Insurance</t>
        </is>
      </c>
      <c r="C97" s="7" t="n"/>
      <c r="D97" s="14" t="n">
        <v>1.15</v>
      </c>
    </row>
    <row r="98">
      <c r="A98" s="7" t="n">
        <v>451020</v>
      </c>
      <c r="B98" s="7" t="inlineStr">
        <is>
          <t>IT Services</t>
        </is>
      </c>
      <c r="C98" s="7" t="n"/>
      <c r="D98" s="14" t="n">
        <v>0.85</v>
      </c>
    </row>
    <row r="99">
      <c r="A99" s="7" t="n">
        <v>451030</v>
      </c>
      <c r="B99" s="7" t="inlineStr">
        <is>
          <t>Software</t>
        </is>
      </c>
      <c r="C99" s="7" t="n"/>
      <c r="D99" s="14" t="n">
        <v>0.7</v>
      </c>
    </row>
    <row r="100">
      <c r="A100" s="7" t="n">
        <v>452010</v>
      </c>
      <c r="B100" s="7" t="inlineStr">
        <is>
          <t>Communications Equipment</t>
        </is>
      </c>
      <c r="C100" s="7" t="n"/>
      <c r="D100" s="14" t="n">
        <v>1.3</v>
      </c>
    </row>
    <row r="101">
      <c r="A101" s="7" t="n">
        <v>452020</v>
      </c>
      <c r="B101" s="7" t="inlineStr">
        <is>
          <t>Technology Hardware, Storage &amp; Peripherals</t>
        </is>
      </c>
      <c r="C101" s="7" t="n"/>
      <c r="D101" s="14" t="n">
        <v>1.15</v>
      </c>
    </row>
    <row r="102">
      <c r="A102" s="7" t="n">
        <v>452030</v>
      </c>
      <c r="B102" s="7" t="inlineStr">
        <is>
          <t>Electronic Equipment, Instruments &amp; Components</t>
        </is>
      </c>
      <c r="C102" s="7" t="n"/>
      <c r="D102" s="14" t="n">
        <v>1</v>
      </c>
    </row>
    <row r="103">
      <c r="A103" s="7" t="n">
        <v>453010</v>
      </c>
      <c r="B103" s="7" t="inlineStr">
        <is>
          <t>Semiconductors &amp; Semiconductor Equipment</t>
        </is>
      </c>
      <c r="C103" s="7" t="n"/>
      <c r="D103" s="14" t="n">
        <v>0.85</v>
      </c>
    </row>
    <row r="104">
      <c r="A104" s="7" t="n">
        <v>501010</v>
      </c>
      <c r="B104" s="7" t="inlineStr">
        <is>
          <t>Diversified Telecommunication Services</t>
        </is>
      </c>
      <c r="C104" s="7" t="n"/>
      <c r="D104" s="14" t="n">
        <v>0.7</v>
      </c>
    </row>
    <row r="105">
      <c r="A105" s="7" t="n">
        <v>501020</v>
      </c>
      <c r="B105" s="7" t="inlineStr">
        <is>
          <t>Wireless Telecommunication Services</t>
        </is>
      </c>
      <c r="C105" s="7" t="n"/>
      <c r="D105" s="14" t="n">
        <v>1.3</v>
      </c>
    </row>
    <row r="106">
      <c r="A106" s="7" t="n">
        <v>502010</v>
      </c>
      <c r="B106" s="7" t="inlineStr">
        <is>
          <t>Media</t>
        </is>
      </c>
      <c r="C106" s="7" t="n"/>
      <c r="D106" s="14" t="n">
        <v>1</v>
      </c>
    </row>
    <row r="107">
      <c r="A107" s="7" t="n">
        <v>502020</v>
      </c>
      <c r="B107" s="7" t="inlineStr">
        <is>
          <t>Entertainment</t>
        </is>
      </c>
      <c r="C107" s="7" t="n"/>
      <c r="D107" s="14" t="n">
        <v>0.85</v>
      </c>
    </row>
    <row r="108">
      <c r="A108" s="7" t="n">
        <v>502030</v>
      </c>
      <c r="B108" s="7" t="inlineStr">
        <is>
          <t>Interactive Media &amp; Services</t>
        </is>
      </c>
      <c r="C108" s="7" t="n"/>
      <c r="D108" s="14" t="n">
        <v>0.7</v>
      </c>
    </row>
    <row r="109">
      <c r="A109" s="7" t="n">
        <v>551010</v>
      </c>
      <c r="B109" s="7" t="inlineStr">
        <is>
          <t>Electric Utilities</t>
        </is>
      </c>
      <c r="C109" s="7" t="n"/>
      <c r="D109" s="14" t="n">
        <v>1.3</v>
      </c>
    </row>
    <row r="110">
      <c r="A110" s="7" t="n">
        <v>551020</v>
      </c>
      <c r="B110" s="7" t="inlineStr">
        <is>
          <t>Gas Utilities</t>
        </is>
      </c>
      <c r="C110" s="7" t="n"/>
      <c r="D110" s="14" t="n">
        <v>1</v>
      </c>
    </row>
    <row r="111">
      <c r="A111" s="7" t="n">
        <v>551030</v>
      </c>
      <c r="B111" s="7" t="inlineStr">
        <is>
          <t>Multi-Utilities</t>
        </is>
      </c>
      <c r="C111" s="7" t="n"/>
      <c r="D111" s="14" t="n">
        <v>0.85</v>
      </c>
    </row>
    <row r="112">
      <c r="A112" s="7" t="n">
        <v>551040</v>
      </c>
      <c r="B112" s="7" t="inlineStr">
        <is>
          <t>Water Utilities</t>
        </is>
      </c>
      <c r="C112" s="7" t="n"/>
      <c r="D112" s="14" t="n">
        <v>0.7</v>
      </c>
    </row>
    <row r="113">
      <c r="A113" s="7" t="n">
        <v>551050</v>
      </c>
      <c r="B113" s="7" t="inlineStr">
        <is>
          <t>Independent Power and Renewable Electricity Producers</t>
        </is>
      </c>
      <c r="C113" s="7" t="n"/>
      <c r="D113" s="14" t="n">
        <v>1.3</v>
      </c>
    </row>
    <row r="114">
      <c r="A114" s="7" t="n">
        <v>601010</v>
      </c>
      <c r="B114" s="7" t="inlineStr">
        <is>
          <t>Diversified REITs</t>
        </is>
      </c>
      <c r="C114" s="7" t="n"/>
      <c r="D114" s="14" t="n">
        <v>1</v>
      </c>
    </row>
    <row r="115">
      <c r="A115" s="7" t="n">
        <v>601025</v>
      </c>
      <c r="B115" s="7" t="inlineStr">
        <is>
          <t>Industrial REITs</t>
        </is>
      </c>
      <c r="C115" s="7" t="n"/>
      <c r="D115" s="14" t="n">
        <v>1.15</v>
      </c>
    </row>
    <row r="116">
      <c r="A116" s="7" t="n">
        <v>601030</v>
      </c>
      <c r="B116" s="7" t="inlineStr">
        <is>
          <t>Hotel &amp; Resort REITs</t>
        </is>
      </c>
      <c r="C116" s="7" t="n"/>
      <c r="D116" s="14" t="n">
        <v>0.7</v>
      </c>
    </row>
    <row r="117">
      <c r="A117" s="7" t="n">
        <v>601040</v>
      </c>
      <c r="B117" s="7" t="inlineStr">
        <is>
          <t>Office REITs</t>
        </is>
      </c>
      <c r="C117" s="7" t="n"/>
      <c r="D117" s="14" t="n">
        <v>1.15</v>
      </c>
    </row>
    <row r="118">
      <c r="A118" s="7" t="n">
        <v>601050</v>
      </c>
      <c r="B118" s="7" t="inlineStr">
        <is>
          <t>Health Care REITs</t>
        </is>
      </c>
      <c r="C118" s="7" t="n"/>
      <c r="D118" s="14" t="n">
        <v>1</v>
      </c>
    </row>
    <row r="119">
      <c r="A119" s="7" t="n">
        <v>601060</v>
      </c>
      <c r="B119" s="7" t="inlineStr">
        <is>
          <t>Residential REITs</t>
        </is>
      </c>
      <c r="C119" s="7" t="n"/>
      <c r="D119" s="14" t="n">
        <v>0.85</v>
      </c>
    </row>
    <row r="120">
      <c r="A120" s="7" t="n">
        <v>601070</v>
      </c>
      <c r="B120" s="7" t="inlineStr">
        <is>
          <t>Retail REITs</t>
        </is>
      </c>
      <c r="C120" s="7" t="n"/>
      <c r="D120" s="14" t="n">
        <v>0.7</v>
      </c>
    </row>
    <row r="121">
      <c r="A121" s="7" t="n">
        <v>601080</v>
      </c>
      <c r="B121" s="7" t="inlineStr">
        <is>
          <t>Specialized REITs</t>
        </is>
      </c>
      <c r="C121" s="7" t="n"/>
      <c r="D121" s="14" t="n">
        <v>1.3</v>
      </c>
    </row>
    <row r="122">
      <c r="A122" s="7" t="n">
        <v>602010</v>
      </c>
      <c r="B122" s="7" t="inlineStr">
        <is>
          <t>Real Estate Management &amp; Development</t>
        </is>
      </c>
      <c r="C122" s="7" t="n"/>
      <c r="D122" s="14" t="n">
        <v>1.3</v>
      </c>
    </row>
    <row r="125">
      <c r="A125" s="4" t="inlineStr">
        <is>
          <t>SUB-INDUSTRY (163)</t>
        </is>
      </c>
    </row>
    <row r="126">
      <c r="A126" s="6" t="inlineStr">
        <is>
          <t>Code</t>
        </is>
      </c>
      <c r="B126" s="6" t="inlineStr">
        <is>
          <t>Name</t>
        </is>
      </c>
      <c r="C126" s="6" t="inlineStr"/>
      <c r="D126" s="6" t="inlineStr">
        <is>
          <t>Unlevered Beta
(DUMMY)</t>
        </is>
      </c>
    </row>
    <row r="127">
      <c r="A127" s="7" t="n">
        <v>10101010</v>
      </c>
      <c r="B127" s="7" t="inlineStr">
        <is>
          <t>Oil &amp; Gas Drilling</t>
        </is>
      </c>
      <c r="C127" s="7" t="n"/>
      <c r="D127" s="14" t="n">
        <v>1.3</v>
      </c>
    </row>
    <row r="128">
      <c r="A128" s="7" t="n">
        <v>10101020</v>
      </c>
      <c r="B128" s="7" t="inlineStr">
        <is>
          <t>Oil &amp; Gas Equipment &amp; Services</t>
        </is>
      </c>
      <c r="C128" s="7" t="n"/>
      <c r="D128" s="14" t="n">
        <v>1.15</v>
      </c>
    </row>
    <row r="129">
      <c r="A129" s="7" t="n">
        <v>10102010</v>
      </c>
      <c r="B129" s="7" t="inlineStr">
        <is>
          <t>Integrated Oil &amp; Gas</t>
        </is>
      </c>
      <c r="C129" s="7" t="n"/>
      <c r="D129" s="14" t="n">
        <v>0.85</v>
      </c>
    </row>
    <row r="130">
      <c r="A130" s="7" t="n">
        <v>10102020</v>
      </c>
      <c r="B130" s="7" t="inlineStr">
        <is>
          <t>Oil &amp; Gas Exploration &amp; Production</t>
        </is>
      </c>
      <c r="C130" s="7" t="n"/>
      <c r="D130" s="14" t="n">
        <v>0.7</v>
      </c>
    </row>
    <row r="131">
      <c r="A131" s="7" t="n">
        <v>10102030</v>
      </c>
      <c r="B131" s="7" t="inlineStr">
        <is>
          <t>Oil &amp; Gas Refining &amp; Marketing</t>
        </is>
      </c>
      <c r="C131" s="7" t="n"/>
      <c r="D131" s="14" t="n">
        <v>1.3</v>
      </c>
    </row>
    <row r="132">
      <c r="A132" s="7" t="n">
        <v>10102040</v>
      </c>
      <c r="B132" s="7" t="inlineStr">
        <is>
          <t>Oil &amp; Gas Storage &amp; Transportation</t>
        </is>
      </c>
      <c r="C132" s="7" t="n"/>
      <c r="D132" s="14" t="n">
        <v>1</v>
      </c>
    </row>
    <row r="133">
      <c r="A133" s="7" t="n">
        <v>10102050</v>
      </c>
      <c r="B133" s="7" t="inlineStr">
        <is>
          <t>Coal &amp; Consumable Fuels</t>
        </is>
      </c>
      <c r="C133" s="7" t="n"/>
      <c r="D133" s="14" t="n">
        <v>0.85</v>
      </c>
    </row>
    <row r="134">
      <c r="A134" s="7" t="n">
        <v>15101010</v>
      </c>
      <c r="B134" s="7" t="inlineStr">
        <is>
          <t>Commodity Chemicals</t>
        </is>
      </c>
      <c r="C134" s="7" t="n"/>
      <c r="D134" s="14" t="n">
        <v>1.3</v>
      </c>
    </row>
    <row r="135">
      <c r="A135" s="7" t="n">
        <v>15101020</v>
      </c>
      <c r="B135" s="7" t="inlineStr">
        <is>
          <t>Diversified Chemicals</t>
        </is>
      </c>
      <c r="C135" s="7" t="n"/>
      <c r="D135" s="14" t="n">
        <v>1.15</v>
      </c>
    </row>
    <row r="136">
      <c r="A136" s="7" t="n">
        <v>15101030</v>
      </c>
      <c r="B136" s="7" t="inlineStr">
        <is>
          <t>Fertilizers &amp; Agricultural Chemicals</t>
        </is>
      </c>
      <c r="C136" s="7" t="n"/>
      <c r="D136" s="14" t="n">
        <v>1</v>
      </c>
    </row>
    <row r="137">
      <c r="A137" s="7" t="n">
        <v>15101040</v>
      </c>
      <c r="B137" s="7" t="inlineStr">
        <is>
          <t>Industrial Gases</t>
        </is>
      </c>
      <c r="C137" s="7" t="n"/>
      <c r="D137" s="14" t="n">
        <v>0.85</v>
      </c>
    </row>
    <row r="138">
      <c r="A138" s="7" t="n">
        <v>15101050</v>
      </c>
      <c r="B138" s="7" t="inlineStr">
        <is>
          <t>Specialty Chemicals</t>
        </is>
      </c>
      <c r="C138" s="7" t="n"/>
      <c r="D138" s="14" t="n">
        <v>1.3</v>
      </c>
    </row>
    <row r="139">
      <c r="A139" s="7" t="n">
        <v>15102010</v>
      </c>
      <c r="B139" s="7" t="inlineStr">
        <is>
          <t>Construction Materials</t>
        </is>
      </c>
      <c r="C139" s="7" t="n"/>
      <c r="D139" s="14" t="n">
        <v>0.85</v>
      </c>
    </row>
    <row r="140">
      <c r="A140" s="7" t="n">
        <v>15103010</v>
      </c>
      <c r="B140" s="7" t="inlineStr">
        <is>
          <t>Metal, Glass &amp; Plastic Containers</t>
        </is>
      </c>
      <c r="C140" s="7" t="n"/>
      <c r="D140" s="14" t="n">
        <v>1.15</v>
      </c>
    </row>
    <row r="141">
      <c r="A141" s="7" t="n">
        <v>15103020</v>
      </c>
      <c r="B141" s="7" t="inlineStr">
        <is>
          <t>Paper &amp; Plastic Packaging Products &amp; Materials</t>
        </is>
      </c>
      <c r="C141" s="7" t="n"/>
      <c r="D141" s="14" t="n">
        <v>1</v>
      </c>
    </row>
    <row r="142">
      <c r="A142" s="7" t="n">
        <v>15104010</v>
      </c>
      <c r="B142" s="7" t="inlineStr">
        <is>
          <t>Aluminum</t>
        </is>
      </c>
      <c r="C142" s="7" t="n"/>
      <c r="D142" s="14" t="n">
        <v>0.7</v>
      </c>
    </row>
    <row r="143">
      <c r="A143" s="7" t="n">
        <v>15104020</v>
      </c>
      <c r="B143" s="7" t="inlineStr">
        <is>
          <t>Diversified Metals &amp; Mining</t>
        </is>
      </c>
      <c r="C143" s="7" t="n"/>
      <c r="D143" s="14" t="n">
        <v>1.3</v>
      </c>
    </row>
    <row r="144">
      <c r="A144" s="7" t="n">
        <v>15104025</v>
      </c>
      <c r="B144" s="7" t="inlineStr">
        <is>
          <t>Copper</t>
        </is>
      </c>
      <c r="C144" s="7" t="n"/>
      <c r="D144" s="14" t="n">
        <v>0.85</v>
      </c>
    </row>
    <row r="145">
      <c r="A145" s="7" t="n">
        <v>15104030</v>
      </c>
      <c r="B145" s="7" t="inlineStr">
        <is>
          <t>Gold</t>
        </is>
      </c>
      <c r="C145" s="7" t="n"/>
      <c r="D145" s="14" t="n">
        <v>1.15</v>
      </c>
    </row>
    <row r="146">
      <c r="A146" s="7" t="n">
        <v>15104040</v>
      </c>
      <c r="B146" s="7" t="inlineStr">
        <is>
          <t>Precious Metals &amp; Minerals</t>
        </is>
      </c>
      <c r="C146" s="7" t="n"/>
      <c r="D146" s="14" t="n">
        <v>0.85</v>
      </c>
    </row>
    <row r="147">
      <c r="A147" s="7" t="n">
        <v>15104045</v>
      </c>
      <c r="B147" s="7" t="inlineStr">
        <is>
          <t>Silver</t>
        </is>
      </c>
      <c r="C147" s="7" t="n"/>
      <c r="D147" s="14" t="n">
        <v>1.15</v>
      </c>
    </row>
    <row r="148">
      <c r="A148" s="7" t="n">
        <v>15104050</v>
      </c>
      <c r="B148" s="7" t="inlineStr">
        <is>
          <t>Steel</t>
        </is>
      </c>
      <c r="C148" s="7" t="n"/>
      <c r="D148" s="14" t="n">
        <v>0.7</v>
      </c>
    </row>
    <row r="149">
      <c r="A149" s="7" t="n">
        <v>15105010</v>
      </c>
      <c r="B149" s="7" t="inlineStr">
        <is>
          <t>Forest Products</t>
        </is>
      </c>
      <c r="C149" s="7" t="n"/>
      <c r="D149" s="14" t="n">
        <v>1</v>
      </c>
    </row>
    <row r="150">
      <c r="A150" s="7" t="n">
        <v>15105020</v>
      </c>
      <c r="B150" s="7" t="inlineStr">
        <is>
          <t>Paper Products</t>
        </is>
      </c>
      <c r="C150" s="7" t="n"/>
      <c r="D150" s="14" t="n">
        <v>0.85</v>
      </c>
    </row>
    <row r="151">
      <c r="A151" s="7" t="n">
        <v>20101010</v>
      </c>
      <c r="B151" s="7" t="inlineStr">
        <is>
          <t>Aerospace &amp; Defense</t>
        </is>
      </c>
      <c r="C151" s="7" t="n"/>
      <c r="D151" s="14" t="n">
        <v>1.3</v>
      </c>
    </row>
    <row r="152">
      <c r="A152" s="7" t="n">
        <v>20102010</v>
      </c>
      <c r="B152" s="7" t="inlineStr">
        <is>
          <t>Building Products</t>
        </is>
      </c>
      <c r="C152" s="7" t="n"/>
      <c r="D152" s="14" t="n">
        <v>0.85</v>
      </c>
    </row>
    <row r="153">
      <c r="A153" s="7" t="n">
        <v>20103010</v>
      </c>
      <c r="B153" s="7" t="inlineStr">
        <is>
          <t>Construction &amp; Engineering</t>
        </is>
      </c>
      <c r="C153" s="7" t="n"/>
      <c r="D153" s="14" t="n">
        <v>1.15</v>
      </c>
    </row>
    <row r="154">
      <c r="A154" s="7" t="n">
        <v>20104010</v>
      </c>
      <c r="B154" s="7" t="inlineStr">
        <is>
          <t>Electrical Components &amp; Equipment</t>
        </is>
      </c>
      <c r="C154" s="7" t="n"/>
      <c r="D154" s="14" t="n">
        <v>0.7</v>
      </c>
    </row>
    <row r="155">
      <c r="A155" s="7" t="n">
        <v>20104020</v>
      </c>
      <c r="B155" s="7" t="inlineStr">
        <is>
          <t>Heavy Electrical Equipment</t>
        </is>
      </c>
      <c r="C155" s="7" t="n"/>
      <c r="D155" s="14" t="n">
        <v>1.3</v>
      </c>
    </row>
    <row r="156">
      <c r="A156" s="7" t="n">
        <v>20105010</v>
      </c>
      <c r="B156" s="7" t="inlineStr">
        <is>
          <t>Industrial Conglomerates</t>
        </is>
      </c>
      <c r="C156" s="7" t="n"/>
      <c r="D156" s="14" t="n">
        <v>1</v>
      </c>
    </row>
    <row r="157">
      <c r="A157" s="7" t="n">
        <v>20106010</v>
      </c>
      <c r="B157" s="7" t="inlineStr">
        <is>
          <t>Construction Machinery &amp; Heavy Transportation Equipment</t>
        </is>
      </c>
      <c r="C157" s="7" t="n"/>
      <c r="D157" s="14" t="n">
        <v>1.3</v>
      </c>
    </row>
    <row r="158">
      <c r="A158" s="7" t="n">
        <v>20106015</v>
      </c>
      <c r="B158" s="7" t="inlineStr">
        <is>
          <t>Agricultural &amp; Farm Machinery</t>
        </is>
      </c>
      <c r="C158" s="7" t="n"/>
      <c r="D158" s="14" t="n">
        <v>0.85</v>
      </c>
    </row>
    <row r="159">
      <c r="A159" s="7" t="n">
        <v>20106020</v>
      </c>
      <c r="B159" s="7" t="inlineStr">
        <is>
          <t>Industrial Machinery &amp; Supplies &amp; Components</t>
        </is>
      </c>
      <c r="C159" s="7" t="n"/>
      <c r="D159" s="14" t="n">
        <v>1.15</v>
      </c>
    </row>
    <row r="160">
      <c r="A160" s="7" t="n">
        <v>20107010</v>
      </c>
      <c r="B160" s="7" t="inlineStr">
        <is>
          <t>Trading Companies &amp; Distributors</t>
        </is>
      </c>
      <c r="C160" s="7" t="n"/>
      <c r="D160" s="14" t="n">
        <v>0.85</v>
      </c>
    </row>
    <row r="161">
      <c r="A161" s="7" t="n">
        <v>20201010</v>
      </c>
      <c r="B161" s="7" t="inlineStr">
        <is>
          <t>Commercial Printing</t>
        </is>
      </c>
      <c r="C161" s="7" t="n"/>
      <c r="D161" s="14" t="n">
        <v>0.85</v>
      </c>
    </row>
    <row r="162">
      <c r="A162" s="7" t="n">
        <v>20201050</v>
      </c>
      <c r="B162" s="7" t="inlineStr">
        <is>
          <t>Environmental &amp; Facilities Services</t>
        </is>
      </c>
      <c r="C162" s="7" t="n"/>
      <c r="D162" s="14" t="n">
        <v>0.85</v>
      </c>
    </row>
    <row r="163">
      <c r="A163" s="7" t="n">
        <v>20201060</v>
      </c>
      <c r="B163" s="7" t="inlineStr">
        <is>
          <t>Office Services &amp; Supplies</t>
        </is>
      </c>
      <c r="C163" s="7" t="n"/>
      <c r="D163" s="14" t="n">
        <v>0.7</v>
      </c>
    </row>
    <row r="164">
      <c r="A164" s="7" t="n">
        <v>20201070</v>
      </c>
      <c r="B164" s="7" t="inlineStr">
        <is>
          <t>Diversified Support Services</t>
        </is>
      </c>
      <c r="C164" s="7" t="n"/>
      <c r="D164" s="14" t="n">
        <v>1.3</v>
      </c>
    </row>
    <row r="165">
      <c r="A165" s="7" t="n">
        <v>20201080</v>
      </c>
      <c r="B165" s="7" t="inlineStr">
        <is>
          <t>Security &amp; Alarm Services</t>
        </is>
      </c>
      <c r="C165" s="7" t="n"/>
      <c r="D165" s="14" t="n">
        <v>1</v>
      </c>
    </row>
    <row r="166">
      <c r="A166" s="7" t="n">
        <v>20202010</v>
      </c>
      <c r="B166" s="7" t="inlineStr">
        <is>
          <t>Human Resource &amp; Employment Services</t>
        </is>
      </c>
      <c r="C166" s="7" t="n"/>
      <c r="D166" s="14" t="n">
        <v>1.15</v>
      </c>
    </row>
    <row r="167">
      <c r="A167" s="7" t="n">
        <v>20202020</v>
      </c>
      <c r="B167" s="7" t="inlineStr">
        <is>
          <t>Research &amp; Consulting Services</t>
        </is>
      </c>
      <c r="C167" s="7" t="n"/>
      <c r="D167" s="14" t="n">
        <v>1</v>
      </c>
    </row>
    <row r="168">
      <c r="A168" s="7" t="n">
        <v>20202030</v>
      </c>
      <c r="B168" s="7" t="inlineStr">
        <is>
          <t>Data Processing &amp; Outsourced Services</t>
        </is>
      </c>
      <c r="C168" s="7" t="n"/>
      <c r="D168" s="14" t="n">
        <v>0.7</v>
      </c>
    </row>
    <row r="169">
      <c r="A169" s="7" t="n">
        <v>20301010</v>
      </c>
      <c r="B169" s="7" t="inlineStr">
        <is>
          <t>Air Freight &amp; Logistics</t>
        </is>
      </c>
      <c r="C169" s="7" t="n"/>
      <c r="D169" s="14" t="n">
        <v>1</v>
      </c>
    </row>
    <row r="170">
      <c r="A170" s="7" t="n">
        <v>20302010</v>
      </c>
      <c r="B170" s="7" t="inlineStr">
        <is>
          <t>Passenger Airlines</t>
        </is>
      </c>
      <c r="C170" s="7" t="n"/>
      <c r="D170" s="14" t="n">
        <v>1.3</v>
      </c>
    </row>
    <row r="171">
      <c r="A171" s="7" t="n">
        <v>20303010</v>
      </c>
      <c r="B171" s="7" t="inlineStr">
        <is>
          <t>Marine Transportation</t>
        </is>
      </c>
      <c r="C171" s="7" t="n"/>
      <c r="D171" s="14" t="n">
        <v>0.85</v>
      </c>
    </row>
    <row r="172">
      <c r="A172" s="7" t="n">
        <v>20304010</v>
      </c>
      <c r="B172" s="7" t="inlineStr">
        <is>
          <t>Rail Transportation</t>
        </is>
      </c>
      <c r="C172" s="7" t="n"/>
      <c r="D172" s="14" t="n">
        <v>1.15</v>
      </c>
    </row>
    <row r="173">
      <c r="A173" s="7" t="n">
        <v>20304030</v>
      </c>
      <c r="B173" s="7" t="inlineStr">
        <is>
          <t>Cargo Ground Transportation</t>
        </is>
      </c>
      <c r="C173" s="7" t="n"/>
      <c r="D173" s="14" t="n">
        <v>0.85</v>
      </c>
    </row>
    <row r="174">
      <c r="A174" s="7" t="n">
        <v>20304040</v>
      </c>
      <c r="B174" s="7" t="inlineStr">
        <is>
          <t>Passenger Ground Transportation</t>
        </is>
      </c>
      <c r="C174" s="7" t="n"/>
      <c r="D174" s="14" t="n">
        <v>0.7</v>
      </c>
    </row>
    <row r="175">
      <c r="A175" s="7" t="n">
        <v>20305010</v>
      </c>
      <c r="B175" s="7" t="inlineStr">
        <is>
          <t>Airport Services</t>
        </is>
      </c>
      <c r="C175" s="7" t="n"/>
      <c r="D175" s="14" t="n">
        <v>0.7</v>
      </c>
    </row>
    <row r="176">
      <c r="A176" s="7" t="n">
        <v>20305020</v>
      </c>
      <c r="B176" s="7" t="inlineStr">
        <is>
          <t>Highways &amp; Railtracks</t>
        </is>
      </c>
      <c r="C176" s="7" t="n"/>
      <c r="D176" s="14" t="n">
        <v>1.3</v>
      </c>
    </row>
    <row r="177">
      <c r="A177" s="7" t="n">
        <v>20305030</v>
      </c>
      <c r="B177" s="7" t="inlineStr">
        <is>
          <t>Marine Ports &amp; Services</t>
        </is>
      </c>
      <c r="C177" s="7" t="n"/>
      <c r="D177" s="14" t="n">
        <v>1.15</v>
      </c>
    </row>
    <row r="178">
      <c r="A178" s="7" t="n">
        <v>25101010</v>
      </c>
      <c r="B178" s="7" t="inlineStr">
        <is>
          <t>Automotive Parts &amp; Equipment</t>
        </is>
      </c>
      <c r="C178" s="7" t="n"/>
      <c r="D178" s="14" t="n">
        <v>1.3</v>
      </c>
    </row>
    <row r="179">
      <c r="A179" s="7" t="n">
        <v>25101020</v>
      </c>
      <c r="B179" s="7" t="inlineStr">
        <is>
          <t>Tires &amp; Rubber</t>
        </is>
      </c>
      <c r="C179" s="7" t="n"/>
      <c r="D179" s="14" t="n">
        <v>1.15</v>
      </c>
    </row>
    <row r="180">
      <c r="A180" s="7" t="n">
        <v>25102010</v>
      </c>
      <c r="B180" s="7" t="inlineStr">
        <is>
          <t>Automobile Manufacturers</t>
        </is>
      </c>
      <c r="C180" s="7" t="n"/>
      <c r="D180" s="14" t="n">
        <v>0.85</v>
      </c>
    </row>
    <row r="181">
      <c r="A181" s="7" t="n">
        <v>25102020</v>
      </c>
      <c r="B181" s="7" t="inlineStr">
        <is>
          <t>Motorcycle Manufacturers</t>
        </is>
      </c>
      <c r="C181" s="7" t="n"/>
      <c r="D181" s="14" t="n">
        <v>0.7</v>
      </c>
    </row>
    <row r="182">
      <c r="A182" s="7" t="n">
        <v>25201010</v>
      </c>
      <c r="B182" s="7" t="inlineStr">
        <is>
          <t>Consumer Electronics</t>
        </is>
      </c>
      <c r="C182" s="7" t="n"/>
      <c r="D182" s="14" t="n">
        <v>0.85</v>
      </c>
    </row>
    <row r="183">
      <c r="A183" s="7" t="n">
        <v>25201020</v>
      </c>
      <c r="B183" s="7" t="inlineStr">
        <is>
          <t>Home Furnishings</t>
        </is>
      </c>
      <c r="C183" s="7" t="n"/>
      <c r="D183" s="14" t="n">
        <v>0.7</v>
      </c>
    </row>
    <row r="184">
      <c r="A184" s="7" t="n">
        <v>25201030</v>
      </c>
      <c r="B184" s="7" t="inlineStr">
        <is>
          <t>Homebuilding</t>
        </is>
      </c>
      <c r="C184" s="7" t="n"/>
      <c r="D184" s="14" t="n">
        <v>1.15</v>
      </c>
    </row>
    <row r="185">
      <c r="A185" s="7" t="n">
        <v>25201040</v>
      </c>
      <c r="B185" s="7" t="inlineStr">
        <is>
          <t>Household Appliances</t>
        </is>
      </c>
      <c r="C185" s="7" t="n"/>
      <c r="D185" s="14" t="n">
        <v>1</v>
      </c>
    </row>
    <row r="186">
      <c r="A186" s="7" t="n">
        <v>25201050</v>
      </c>
      <c r="B186" s="7" t="inlineStr">
        <is>
          <t>Housewares &amp; Specialties</t>
        </is>
      </c>
      <c r="C186" s="7" t="n"/>
      <c r="D186" s="14" t="n">
        <v>0.85</v>
      </c>
    </row>
    <row r="187">
      <c r="A187" s="7" t="n">
        <v>25202010</v>
      </c>
      <c r="B187" s="7" t="inlineStr">
        <is>
          <t>Leisure Products</t>
        </is>
      </c>
      <c r="C187" s="7" t="n"/>
      <c r="D187" s="14" t="n">
        <v>1.15</v>
      </c>
    </row>
    <row r="188">
      <c r="A188" s="7" t="n">
        <v>25203010</v>
      </c>
      <c r="B188" s="7" t="inlineStr">
        <is>
          <t>Apparel, Accessories &amp; Luxury Goods</t>
        </is>
      </c>
      <c r="C188" s="7" t="n"/>
      <c r="D188" s="14" t="n">
        <v>0.7</v>
      </c>
    </row>
    <row r="189">
      <c r="A189" s="7" t="n">
        <v>25203020</v>
      </c>
      <c r="B189" s="7" t="inlineStr">
        <is>
          <t>Footwear</t>
        </is>
      </c>
      <c r="C189" s="7" t="n"/>
      <c r="D189" s="14" t="n">
        <v>1.3</v>
      </c>
    </row>
    <row r="190">
      <c r="A190" s="7" t="n">
        <v>25203030</v>
      </c>
      <c r="B190" s="7" t="inlineStr">
        <is>
          <t>Textiles</t>
        </is>
      </c>
      <c r="C190" s="7" t="n"/>
      <c r="D190" s="14" t="n">
        <v>1</v>
      </c>
    </row>
    <row r="191">
      <c r="A191" s="7" t="n">
        <v>25301010</v>
      </c>
      <c r="B191" s="7" t="inlineStr">
        <is>
          <t>Casinos &amp; Gaming</t>
        </is>
      </c>
      <c r="C191" s="7" t="n"/>
      <c r="D191" s="14" t="n">
        <v>1</v>
      </c>
    </row>
    <row r="192">
      <c r="A192" s="7" t="n">
        <v>25301020</v>
      </c>
      <c r="B192" s="7" t="inlineStr">
        <is>
          <t>Hotels, Resorts &amp; Cruise Lines</t>
        </is>
      </c>
      <c r="C192" s="7" t="n"/>
      <c r="D192" s="14" t="n">
        <v>0.85</v>
      </c>
    </row>
    <row r="193">
      <c r="A193" s="7" t="n">
        <v>25301030</v>
      </c>
      <c r="B193" s="7" t="inlineStr">
        <is>
          <t>Leisure Facilities</t>
        </is>
      </c>
      <c r="C193" s="7" t="n"/>
      <c r="D193" s="14" t="n">
        <v>0.7</v>
      </c>
    </row>
    <row r="194">
      <c r="A194" s="7" t="n">
        <v>25301040</v>
      </c>
      <c r="B194" s="7" t="inlineStr">
        <is>
          <t>Restaurants</t>
        </is>
      </c>
      <c r="C194" s="7" t="n"/>
      <c r="D194" s="14" t="n">
        <v>1.3</v>
      </c>
    </row>
    <row r="195">
      <c r="A195" s="7" t="n">
        <v>25302010</v>
      </c>
      <c r="B195" s="7" t="inlineStr">
        <is>
          <t>Education Services</t>
        </is>
      </c>
      <c r="C195" s="7" t="n"/>
      <c r="D195" s="14" t="n">
        <v>1.3</v>
      </c>
    </row>
    <row r="196">
      <c r="A196" s="7" t="n">
        <v>25302020</v>
      </c>
      <c r="B196" s="7" t="inlineStr">
        <is>
          <t>Specialized Consumer Services</t>
        </is>
      </c>
      <c r="C196" s="7" t="n"/>
      <c r="D196" s="14" t="n">
        <v>1.15</v>
      </c>
    </row>
    <row r="197">
      <c r="A197" s="7" t="n">
        <v>25501010</v>
      </c>
      <c r="B197" s="7" t="inlineStr">
        <is>
          <t>Distributors</t>
        </is>
      </c>
      <c r="C197" s="7" t="n"/>
      <c r="D197" s="14" t="n">
        <v>0.85</v>
      </c>
    </row>
    <row r="198">
      <c r="A198" s="7" t="n">
        <v>25503030</v>
      </c>
      <c r="B198" s="7" t="inlineStr">
        <is>
          <t>Broadline Retail</t>
        </is>
      </c>
      <c r="C198" s="7" t="n"/>
      <c r="D198" s="14" t="n">
        <v>1</v>
      </c>
    </row>
    <row r="199">
      <c r="A199" s="7" t="n">
        <v>25504010</v>
      </c>
      <c r="B199" s="7" t="inlineStr">
        <is>
          <t>Apparel Retail</t>
        </is>
      </c>
      <c r="C199" s="7" t="n"/>
      <c r="D199" s="14" t="n">
        <v>1</v>
      </c>
    </row>
    <row r="200">
      <c r="A200" s="7" t="n">
        <v>25504020</v>
      </c>
      <c r="B200" s="7" t="inlineStr">
        <is>
          <t>Computer &amp; Electronics Retail</t>
        </is>
      </c>
      <c r="C200" s="7" t="n"/>
      <c r="D200" s="14" t="n">
        <v>0.7</v>
      </c>
    </row>
    <row r="201">
      <c r="A201" s="7" t="n">
        <v>25504030</v>
      </c>
      <c r="B201" s="7" t="inlineStr">
        <is>
          <t>Home Improvement Retail</t>
        </is>
      </c>
      <c r="C201" s="7" t="n"/>
      <c r="D201" s="14" t="n">
        <v>1.3</v>
      </c>
    </row>
    <row r="202">
      <c r="A202" s="7" t="n">
        <v>25504040</v>
      </c>
      <c r="B202" s="7" t="inlineStr">
        <is>
          <t>Other Specialty Retail</t>
        </is>
      </c>
      <c r="C202" s="7" t="n"/>
      <c r="D202" s="14" t="n">
        <v>1.15</v>
      </c>
    </row>
    <row r="203">
      <c r="A203" s="7" t="n">
        <v>25504050</v>
      </c>
      <c r="B203" s="7" t="inlineStr">
        <is>
          <t>Automotive Retail</t>
        </is>
      </c>
      <c r="C203" s="7" t="n"/>
      <c r="D203" s="14" t="n">
        <v>1</v>
      </c>
    </row>
    <row r="204">
      <c r="A204" s="7" t="n">
        <v>25504060</v>
      </c>
      <c r="B204" s="7" t="inlineStr">
        <is>
          <t>Homefurnishing Retail</t>
        </is>
      </c>
      <c r="C204" s="7" t="n"/>
      <c r="D204" s="14" t="n">
        <v>0.85</v>
      </c>
    </row>
    <row r="205">
      <c r="A205" s="7" t="n">
        <v>30101010</v>
      </c>
      <c r="B205" s="7" t="inlineStr">
        <is>
          <t>Drug Retail</t>
        </is>
      </c>
      <c r="C205" s="7" t="n"/>
      <c r="D205" s="14" t="n">
        <v>1.3</v>
      </c>
    </row>
    <row r="206">
      <c r="A206" s="7" t="n">
        <v>30101020</v>
      </c>
      <c r="B206" s="7" t="inlineStr">
        <is>
          <t>Food Distributors</t>
        </is>
      </c>
      <c r="C206" s="7" t="n"/>
      <c r="D206" s="14" t="n">
        <v>1.15</v>
      </c>
    </row>
    <row r="207">
      <c r="A207" s="7" t="n">
        <v>30101030</v>
      </c>
      <c r="B207" s="7" t="inlineStr">
        <is>
          <t>Food Retail</t>
        </is>
      </c>
      <c r="C207" s="7" t="n"/>
      <c r="D207" s="14" t="n">
        <v>1</v>
      </c>
    </row>
    <row r="208">
      <c r="A208" s="7" t="n">
        <v>30101040</v>
      </c>
      <c r="B208" s="7" t="inlineStr">
        <is>
          <t>Consumer Staples Merchandise Retail</t>
        </is>
      </c>
      <c r="C208" s="7" t="n"/>
      <c r="D208" s="14" t="n">
        <v>0.85</v>
      </c>
    </row>
    <row r="209">
      <c r="A209" s="7" t="n">
        <v>30201010</v>
      </c>
      <c r="B209" s="7" t="inlineStr">
        <is>
          <t>Brewers</t>
        </is>
      </c>
      <c r="C209" s="7" t="n"/>
      <c r="D209" s="14" t="n">
        <v>0.85</v>
      </c>
    </row>
    <row r="210">
      <c r="A210" s="7" t="n">
        <v>30201020</v>
      </c>
      <c r="B210" s="7" t="inlineStr">
        <is>
          <t>Distillers &amp; Vintners</t>
        </is>
      </c>
      <c r="C210" s="7" t="n"/>
      <c r="D210" s="14" t="n">
        <v>0.7</v>
      </c>
    </row>
    <row r="211">
      <c r="A211" s="7" t="n">
        <v>30201030</v>
      </c>
      <c r="B211" s="7" t="inlineStr">
        <is>
          <t>Soft Drinks &amp; Non-alcoholic Beverages</t>
        </is>
      </c>
      <c r="C211" s="7" t="n"/>
      <c r="D211" s="14" t="n">
        <v>1.3</v>
      </c>
    </row>
    <row r="212">
      <c r="A212" s="7" t="n">
        <v>30202010</v>
      </c>
      <c r="B212" s="7" t="inlineStr">
        <is>
          <t>Agricultural Products &amp; Services</t>
        </is>
      </c>
      <c r="C212" s="7" t="n"/>
      <c r="D212" s="14" t="n">
        <v>1.15</v>
      </c>
    </row>
    <row r="213">
      <c r="A213" s="7" t="n">
        <v>30202030</v>
      </c>
      <c r="B213" s="7" t="inlineStr">
        <is>
          <t>Packaged Foods &amp; Meats</t>
        </is>
      </c>
      <c r="C213" s="7" t="n"/>
      <c r="D213" s="14" t="n">
        <v>0.7</v>
      </c>
    </row>
    <row r="214">
      <c r="A214" s="7" t="n">
        <v>30203010</v>
      </c>
      <c r="B214" s="7" t="inlineStr">
        <is>
          <t>Tobacco</t>
        </is>
      </c>
      <c r="C214" s="7" t="n"/>
      <c r="D214" s="14" t="n">
        <v>0.7</v>
      </c>
    </row>
    <row r="215">
      <c r="A215" s="7" t="n">
        <v>30301010</v>
      </c>
      <c r="B215" s="7" t="inlineStr">
        <is>
          <t>Household Products</t>
        </is>
      </c>
      <c r="C215" s="7" t="n"/>
      <c r="D215" s="14" t="n">
        <v>1</v>
      </c>
    </row>
    <row r="216">
      <c r="A216" s="7" t="n">
        <v>30302010</v>
      </c>
      <c r="B216" s="7" t="inlineStr">
        <is>
          <t>Personal Care Products</t>
        </is>
      </c>
      <c r="C216" s="7" t="n"/>
      <c r="D216" s="14" t="n">
        <v>1.3</v>
      </c>
    </row>
    <row r="217">
      <c r="A217" s="7" t="n">
        <v>35101010</v>
      </c>
      <c r="B217" s="7" t="inlineStr">
        <is>
          <t>Health Care Equipment</t>
        </is>
      </c>
      <c r="C217" s="7" t="n"/>
      <c r="D217" s="14" t="n">
        <v>1.3</v>
      </c>
    </row>
    <row r="218">
      <c r="A218" s="7" t="n">
        <v>35101020</v>
      </c>
      <c r="B218" s="7" t="inlineStr">
        <is>
          <t>Health Care Supplies</t>
        </is>
      </c>
      <c r="C218" s="7" t="n"/>
      <c r="D218" s="14" t="n">
        <v>1.15</v>
      </c>
    </row>
    <row r="219">
      <c r="A219" s="7" t="n">
        <v>35102010</v>
      </c>
      <c r="B219" s="7" t="inlineStr">
        <is>
          <t>Health Care Distributors</t>
        </is>
      </c>
      <c r="C219" s="7" t="n"/>
      <c r="D219" s="14" t="n">
        <v>0.85</v>
      </c>
    </row>
    <row r="220">
      <c r="A220" s="7" t="n">
        <v>35102015</v>
      </c>
      <c r="B220" s="7" t="inlineStr">
        <is>
          <t>Health Care Services</t>
        </is>
      </c>
      <c r="C220" s="7" t="n"/>
      <c r="D220" s="14" t="n">
        <v>1.15</v>
      </c>
    </row>
    <row r="221">
      <c r="A221" s="7" t="n">
        <v>35102020</v>
      </c>
      <c r="B221" s="7" t="inlineStr">
        <is>
          <t>Health Care Facilities</t>
        </is>
      </c>
      <c r="C221" s="7" t="n"/>
      <c r="D221" s="14" t="n">
        <v>0.7</v>
      </c>
    </row>
    <row r="222">
      <c r="A222" s="7" t="n">
        <v>35102030</v>
      </c>
      <c r="B222" s="7" t="inlineStr">
        <is>
          <t>Managed Health Care</t>
        </is>
      </c>
      <c r="C222" s="7" t="n"/>
      <c r="D222" s="14" t="n">
        <v>1.3</v>
      </c>
    </row>
    <row r="223">
      <c r="A223" s="7" t="n">
        <v>35103010</v>
      </c>
      <c r="B223" s="7" t="inlineStr">
        <is>
          <t>Health Care Technology</t>
        </is>
      </c>
      <c r="C223" s="7" t="n"/>
      <c r="D223" s="14" t="n">
        <v>1.15</v>
      </c>
    </row>
    <row r="224">
      <c r="A224" s="7" t="n">
        <v>35201010</v>
      </c>
      <c r="B224" s="7" t="inlineStr">
        <is>
          <t>Biotechnology</t>
        </is>
      </c>
      <c r="C224" s="7" t="n"/>
      <c r="D224" s="14" t="n">
        <v>0.85</v>
      </c>
    </row>
    <row r="225">
      <c r="A225" s="7" t="n">
        <v>35202010</v>
      </c>
      <c r="B225" s="7" t="inlineStr">
        <is>
          <t>Pharmaceuticals</t>
        </is>
      </c>
      <c r="C225" s="7" t="n"/>
      <c r="D225" s="14" t="n">
        <v>1.15</v>
      </c>
    </row>
    <row r="226">
      <c r="A226" s="7" t="n">
        <v>35203010</v>
      </c>
      <c r="B226" s="7" t="inlineStr">
        <is>
          <t>Life Sciences Tools &amp; Services</t>
        </is>
      </c>
      <c r="C226" s="7" t="n"/>
      <c r="D226" s="14" t="n">
        <v>0.7</v>
      </c>
    </row>
    <row r="227">
      <c r="A227" s="7" t="n">
        <v>40101010</v>
      </c>
      <c r="B227" s="7" t="inlineStr">
        <is>
          <t>Diversified Banks</t>
        </is>
      </c>
      <c r="C227" s="7" t="n"/>
      <c r="D227" s="14" t="n">
        <v>1.3</v>
      </c>
    </row>
    <row r="228">
      <c r="A228" s="7" t="n">
        <v>40101015</v>
      </c>
      <c r="B228" s="7" t="inlineStr">
        <is>
          <t>Regional Banks</t>
        </is>
      </c>
      <c r="C228" s="7" t="n"/>
      <c r="D228" s="14" t="n">
        <v>0.85</v>
      </c>
    </row>
    <row r="229">
      <c r="A229" s="7" t="n">
        <v>40201020</v>
      </c>
      <c r="B229" s="7" t="inlineStr">
        <is>
          <t>Diversified Financial Services</t>
        </is>
      </c>
      <c r="C229" s="7" t="n"/>
      <c r="D229" s="14" t="n">
        <v>0.7</v>
      </c>
    </row>
    <row r="230">
      <c r="A230" s="7" t="n">
        <v>40201030</v>
      </c>
      <c r="B230" s="7" t="inlineStr">
        <is>
          <t>Multi-Sector Holdings</t>
        </is>
      </c>
      <c r="C230" s="7" t="n"/>
      <c r="D230" s="14" t="n">
        <v>1.3</v>
      </c>
    </row>
    <row r="231">
      <c r="A231" s="7" t="n">
        <v>40201040</v>
      </c>
      <c r="B231" s="7" t="inlineStr">
        <is>
          <t>Specialized Finance</t>
        </is>
      </c>
      <c r="C231" s="7" t="n"/>
      <c r="D231" s="14" t="n">
        <v>1</v>
      </c>
    </row>
    <row r="232">
      <c r="A232" s="7" t="n">
        <v>40201050</v>
      </c>
      <c r="B232" s="7" t="inlineStr">
        <is>
          <t>Commercial &amp; Residential Mortgage Finance</t>
        </is>
      </c>
      <c r="C232" s="7" t="n"/>
      <c r="D232" s="14" t="n">
        <v>0.85</v>
      </c>
    </row>
    <row r="233">
      <c r="A233" s="7" t="n">
        <v>40201060</v>
      </c>
      <c r="B233" s="7" t="inlineStr">
        <is>
          <t>Transaction &amp; Payment Processing Services</t>
        </is>
      </c>
      <c r="C233" s="7" t="n"/>
      <c r="D233" s="14" t="n">
        <v>0.7</v>
      </c>
    </row>
    <row r="234">
      <c r="A234" s="7" t="n">
        <v>40202010</v>
      </c>
      <c r="B234" s="7" t="inlineStr">
        <is>
          <t>Consumer Finance</t>
        </is>
      </c>
      <c r="C234" s="7" t="n"/>
      <c r="D234" s="14" t="n">
        <v>1.15</v>
      </c>
    </row>
    <row r="235">
      <c r="A235" s="7" t="n">
        <v>40203010</v>
      </c>
      <c r="B235" s="7" t="inlineStr">
        <is>
          <t>Asset Management &amp; Custody Banks</t>
        </is>
      </c>
      <c r="C235" s="7" t="n"/>
      <c r="D235" s="14" t="n">
        <v>0.7</v>
      </c>
    </row>
    <row r="236">
      <c r="A236" s="7" t="n">
        <v>40203020</v>
      </c>
      <c r="B236" s="7" t="inlineStr">
        <is>
          <t>Investment Banking &amp; Brokerage</t>
        </is>
      </c>
      <c r="C236" s="7" t="n"/>
      <c r="D236" s="14" t="n">
        <v>1.3</v>
      </c>
    </row>
    <row r="237">
      <c r="A237" s="7" t="n">
        <v>40203030</v>
      </c>
      <c r="B237" s="7" t="inlineStr">
        <is>
          <t>Diversified Capital Markets</t>
        </is>
      </c>
      <c r="C237" s="7" t="n"/>
      <c r="D237" s="14" t="n">
        <v>1.15</v>
      </c>
    </row>
    <row r="238">
      <c r="A238" s="7" t="n">
        <v>40203040</v>
      </c>
      <c r="B238" s="7" t="inlineStr">
        <is>
          <t>Financial Exchanges &amp; Data</t>
        </is>
      </c>
      <c r="C238" s="7" t="n"/>
      <c r="D238" s="14" t="n">
        <v>0.85</v>
      </c>
    </row>
    <row r="239">
      <c r="A239" s="7" t="n">
        <v>40204010</v>
      </c>
      <c r="B239" s="7" t="inlineStr">
        <is>
          <t>Mortgage REITs*</t>
        </is>
      </c>
      <c r="C239" s="7" t="n"/>
      <c r="D239" s="14" t="n">
        <v>1</v>
      </c>
    </row>
    <row r="240">
      <c r="A240" s="7" t="n">
        <v>40301010</v>
      </c>
      <c r="B240" s="7" t="inlineStr">
        <is>
          <t>Insurance Brokers</t>
        </is>
      </c>
      <c r="C240" s="7" t="n"/>
      <c r="D240" s="14" t="n">
        <v>1.15</v>
      </c>
    </row>
    <row r="241">
      <c r="A241" s="7" t="n">
        <v>40301020</v>
      </c>
      <c r="B241" s="7" t="inlineStr">
        <is>
          <t>Life &amp; Health Insurance</t>
        </is>
      </c>
      <c r="C241" s="7" t="n"/>
      <c r="D241" s="14" t="n">
        <v>0.85</v>
      </c>
    </row>
    <row r="242">
      <c r="A242" s="7" t="n">
        <v>40301030</v>
      </c>
      <c r="B242" s="7" t="inlineStr">
        <is>
          <t>Multi-line Insurance</t>
        </is>
      </c>
      <c r="C242" s="7" t="n"/>
      <c r="D242" s="14" t="n">
        <v>0.7</v>
      </c>
    </row>
    <row r="243">
      <c r="A243" s="7" t="n">
        <v>40301040</v>
      </c>
      <c r="B243" s="7" t="inlineStr">
        <is>
          <t>Property &amp; Casualty Insurance</t>
        </is>
      </c>
      <c r="C243" s="7" t="n"/>
      <c r="D243" s="14" t="n">
        <v>1.3</v>
      </c>
    </row>
    <row r="244">
      <c r="A244" s="7" t="n">
        <v>40301050</v>
      </c>
      <c r="B244" s="7" t="inlineStr">
        <is>
          <t>Reinsurance</t>
        </is>
      </c>
      <c r="C244" s="7" t="n"/>
      <c r="D244" s="14" t="n">
        <v>1.15</v>
      </c>
    </row>
    <row r="245">
      <c r="A245" s="7" t="n">
        <v>45102010</v>
      </c>
      <c r="B245" s="7" t="inlineStr">
        <is>
          <t>IT Consulting &amp; Other Services</t>
        </is>
      </c>
      <c r="C245" s="7" t="n"/>
      <c r="D245" s="14" t="n">
        <v>0.85</v>
      </c>
    </row>
    <row r="246">
      <c r="A246" s="7" t="n">
        <v>45102030</v>
      </c>
      <c r="B246" s="7" t="inlineStr">
        <is>
          <t>Internet Services &amp; Infrastructure</t>
        </is>
      </c>
      <c r="C246" s="7" t="n"/>
      <c r="D246" s="14" t="n">
        <v>1.3</v>
      </c>
    </row>
    <row r="247">
      <c r="A247" s="7" t="n">
        <v>45103010</v>
      </c>
      <c r="B247" s="7" t="inlineStr">
        <is>
          <t>Application Software</t>
        </is>
      </c>
      <c r="C247" s="7" t="n"/>
      <c r="D247" s="14" t="n">
        <v>1.15</v>
      </c>
    </row>
    <row r="248">
      <c r="A248" s="7" t="n">
        <v>45103020</v>
      </c>
      <c r="B248" s="7" t="inlineStr">
        <is>
          <t>Systems Software</t>
        </is>
      </c>
      <c r="C248" s="7" t="n"/>
      <c r="D248" s="14" t="n">
        <v>1</v>
      </c>
    </row>
    <row r="249">
      <c r="A249" s="7" t="n">
        <v>45201020</v>
      </c>
      <c r="B249" s="7" t="inlineStr">
        <is>
          <t>Communications Equipment</t>
        </is>
      </c>
      <c r="C249" s="7" t="n"/>
      <c r="D249" s="14" t="n">
        <v>0.7</v>
      </c>
    </row>
    <row r="250">
      <c r="A250" s="7" t="n">
        <v>45202030</v>
      </c>
      <c r="B250" s="7" t="inlineStr">
        <is>
          <t>Technology Hardware, Storage &amp; Peripherals</t>
        </is>
      </c>
      <c r="C250" s="7" t="n"/>
      <c r="D250" s="14" t="n">
        <v>0.85</v>
      </c>
    </row>
    <row r="251">
      <c r="A251" s="7" t="n">
        <v>45203010</v>
      </c>
      <c r="B251" s="7" t="inlineStr">
        <is>
          <t>Electronic Equipment &amp; Instruments</t>
        </is>
      </c>
      <c r="C251" s="7" t="n"/>
      <c r="D251" s="14" t="n">
        <v>0.7</v>
      </c>
    </row>
    <row r="252">
      <c r="A252" s="7" t="n">
        <v>45203015</v>
      </c>
      <c r="B252" s="7" t="inlineStr">
        <is>
          <t>Electronic Components</t>
        </is>
      </c>
      <c r="C252" s="7" t="n"/>
      <c r="D252" s="14" t="n">
        <v>1</v>
      </c>
    </row>
    <row r="253">
      <c r="A253" s="7" t="n">
        <v>45203020</v>
      </c>
      <c r="B253" s="7" t="inlineStr">
        <is>
          <t>Electronic Manufacturing Services</t>
        </is>
      </c>
      <c r="C253" s="7" t="n"/>
      <c r="D253" s="14" t="n">
        <v>1.3</v>
      </c>
    </row>
    <row r="254">
      <c r="A254" s="7" t="n">
        <v>45203030</v>
      </c>
      <c r="B254" s="7" t="inlineStr">
        <is>
          <t>Technology Distributors</t>
        </is>
      </c>
      <c r="C254" s="7" t="n"/>
      <c r="D254" s="14" t="n">
        <v>1.15</v>
      </c>
    </row>
    <row r="255">
      <c r="A255" s="7" t="n">
        <v>45301010</v>
      </c>
      <c r="B255" s="7" t="inlineStr">
        <is>
          <t>Semiconductor Materials &amp; Equipment</t>
        </is>
      </c>
      <c r="C255" s="7" t="n"/>
      <c r="D255" s="14" t="n">
        <v>1.15</v>
      </c>
    </row>
    <row r="256">
      <c r="A256" s="7" t="n">
        <v>45301020</v>
      </c>
      <c r="B256" s="7" t="inlineStr">
        <is>
          <t>Semiconductors</t>
        </is>
      </c>
      <c r="C256" s="7" t="n"/>
      <c r="D256" s="14" t="n">
        <v>1</v>
      </c>
    </row>
    <row r="257">
      <c r="A257" s="7" t="n">
        <v>50101010</v>
      </c>
      <c r="B257" s="7" t="inlineStr">
        <is>
          <t>Alternative Carriers</t>
        </is>
      </c>
      <c r="C257" s="7" t="n"/>
      <c r="D257" s="14" t="n">
        <v>0.7</v>
      </c>
    </row>
    <row r="258">
      <c r="A258" s="7" t="n">
        <v>50101020</v>
      </c>
      <c r="B258" s="7" t="inlineStr">
        <is>
          <t>Integrated Telecommunication Services</t>
        </is>
      </c>
      <c r="C258" s="7" t="n"/>
      <c r="D258" s="14" t="n">
        <v>1.15</v>
      </c>
    </row>
    <row r="259">
      <c r="A259" s="7" t="n">
        <v>50102010</v>
      </c>
      <c r="B259" s="7" t="inlineStr">
        <is>
          <t>Wireless Telecommunication Services</t>
        </is>
      </c>
      <c r="C259" s="7" t="n"/>
      <c r="D259" s="14" t="n">
        <v>1</v>
      </c>
    </row>
    <row r="260">
      <c r="A260" s="7" t="n">
        <v>50201010</v>
      </c>
      <c r="B260" s="7" t="inlineStr">
        <is>
          <t>Advertising</t>
        </is>
      </c>
      <c r="C260" s="7" t="n"/>
      <c r="D260" s="14" t="n">
        <v>0.85</v>
      </c>
    </row>
    <row r="261">
      <c r="A261" s="7" t="n">
        <v>50201020</v>
      </c>
      <c r="B261" s="7" t="inlineStr">
        <is>
          <t>Broadcasting</t>
        </is>
      </c>
      <c r="C261" s="7" t="n"/>
      <c r="D261" s="14" t="n">
        <v>0.7</v>
      </c>
    </row>
    <row r="262">
      <c r="A262" s="7" t="n">
        <v>50201030</v>
      </c>
      <c r="B262" s="7" t="inlineStr">
        <is>
          <t>Cable &amp; Satellite</t>
        </is>
      </c>
      <c r="C262" s="7" t="n"/>
      <c r="D262" s="14" t="n">
        <v>1.3</v>
      </c>
    </row>
    <row r="263">
      <c r="A263" s="7" t="n">
        <v>50201040</v>
      </c>
      <c r="B263" s="7" t="inlineStr">
        <is>
          <t>Publishing</t>
        </is>
      </c>
      <c r="C263" s="7" t="n"/>
      <c r="D263" s="14" t="n">
        <v>1.15</v>
      </c>
    </row>
    <row r="264">
      <c r="A264" s="7" t="n">
        <v>50202010</v>
      </c>
      <c r="B264" s="7" t="inlineStr">
        <is>
          <t>Movies &amp; Entertainment</t>
        </is>
      </c>
      <c r="C264" s="7" t="n"/>
      <c r="D264" s="14" t="n">
        <v>1.15</v>
      </c>
    </row>
    <row r="265">
      <c r="A265" s="7" t="n">
        <v>50202020</v>
      </c>
      <c r="B265" s="7" t="inlineStr">
        <is>
          <t>Interactive Home Entertainment</t>
        </is>
      </c>
      <c r="C265" s="7" t="n"/>
      <c r="D265" s="14" t="n">
        <v>1</v>
      </c>
    </row>
    <row r="266">
      <c r="A266" s="7" t="n">
        <v>50203010</v>
      </c>
      <c r="B266" s="7" t="inlineStr">
        <is>
          <t>Interactive Media &amp; Services</t>
        </is>
      </c>
      <c r="C266" s="7" t="n"/>
      <c r="D266" s="14" t="n">
        <v>0.7</v>
      </c>
    </row>
    <row r="267">
      <c r="A267" s="7" t="n">
        <v>55101010</v>
      </c>
      <c r="B267" s="7" t="inlineStr">
        <is>
          <t>Electric Utilities</t>
        </is>
      </c>
      <c r="C267" s="7" t="n"/>
      <c r="D267" s="14" t="n">
        <v>0.7</v>
      </c>
    </row>
    <row r="268">
      <c r="A268" s="7" t="n">
        <v>55102010</v>
      </c>
      <c r="B268" s="7" t="inlineStr">
        <is>
          <t>Gas Utilities</t>
        </is>
      </c>
      <c r="C268" s="7" t="n"/>
      <c r="D268" s="14" t="n">
        <v>1</v>
      </c>
    </row>
    <row r="269">
      <c r="A269" s="7" t="n">
        <v>55103010</v>
      </c>
      <c r="B269" s="7" t="inlineStr">
        <is>
          <t>Multi-Utilities</t>
        </is>
      </c>
      <c r="C269" s="7" t="n"/>
      <c r="D269" s="14" t="n">
        <v>1.3</v>
      </c>
    </row>
    <row r="270">
      <c r="A270" s="7" t="n">
        <v>55104010</v>
      </c>
      <c r="B270" s="7" t="inlineStr">
        <is>
          <t>Water Utilities</t>
        </is>
      </c>
      <c r="C270" s="7" t="n"/>
      <c r="D270" s="14" t="n">
        <v>0.85</v>
      </c>
    </row>
    <row r="271">
      <c r="A271" s="7" t="n">
        <v>55105010</v>
      </c>
      <c r="B271" s="7" t="inlineStr">
        <is>
          <t>Independent Power Producers &amp; Energy Traders</t>
        </is>
      </c>
      <c r="C271" s="7" t="n"/>
      <c r="D271" s="14" t="n">
        <v>1</v>
      </c>
    </row>
    <row r="272">
      <c r="A272" s="7" t="n">
        <v>55105020</v>
      </c>
      <c r="B272" s="7" t="inlineStr">
        <is>
          <t>Renewable Electricity</t>
        </is>
      </c>
      <c r="C272" s="7" t="n"/>
      <c r="D272" s="14" t="n">
        <v>0.85</v>
      </c>
    </row>
    <row r="273">
      <c r="A273" s="7" t="n">
        <v>60101010</v>
      </c>
      <c r="B273" s="7" t="inlineStr">
        <is>
          <t>Diversified REITs*</t>
        </is>
      </c>
      <c r="C273" s="7" t="n"/>
      <c r="D273" s="14" t="n">
        <v>0.7</v>
      </c>
    </row>
    <row r="274">
      <c r="A274" s="7" t="n">
        <v>60102510</v>
      </c>
      <c r="B274" s="7" t="inlineStr">
        <is>
          <t>Industrial REITs*</t>
        </is>
      </c>
      <c r="C274" s="7" t="n"/>
      <c r="D274" s="14" t="n">
        <v>1.15</v>
      </c>
    </row>
    <row r="275">
      <c r="A275" s="7" t="n">
        <v>60103010</v>
      </c>
      <c r="B275" s="7" t="inlineStr">
        <is>
          <t>Hotel &amp; Resort REITs*</t>
        </is>
      </c>
      <c r="C275" s="7" t="n"/>
      <c r="D275" s="14" t="n">
        <v>1.3</v>
      </c>
    </row>
    <row r="276">
      <c r="A276" s="7" t="n">
        <v>60104010</v>
      </c>
      <c r="B276" s="7" t="inlineStr">
        <is>
          <t>Office REITs*</t>
        </is>
      </c>
      <c r="C276" s="7" t="n"/>
      <c r="D276" s="14" t="n">
        <v>0.85</v>
      </c>
    </row>
    <row r="277">
      <c r="A277" s="7" t="n">
        <v>60105010</v>
      </c>
      <c r="B277" s="7" t="inlineStr">
        <is>
          <t>Health Care REITs*</t>
        </is>
      </c>
      <c r="C277" s="7" t="n"/>
      <c r="D277" s="14" t="n">
        <v>1.15</v>
      </c>
    </row>
    <row r="278">
      <c r="A278" s="7" t="n">
        <v>60106010</v>
      </c>
      <c r="B278" s="7" t="inlineStr">
        <is>
          <t>Multi-Family Residential REITs*</t>
        </is>
      </c>
      <c r="C278" s="7" t="n"/>
      <c r="D278" s="14" t="n">
        <v>0.7</v>
      </c>
    </row>
    <row r="279">
      <c r="A279" s="7" t="n">
        <v>60106020</v>
      </c>
      <c r="B279" s="7" t="inlineStr">
        <is>
          <t>Single-Family Residential REITs*</t>
        </is>
      </c>
      <c r="C279" s="7" t="n"/>
      <c r="D279" s="14" t="n">
        <v>1.15</v>
      </c>
    </row>
    <row r="280">
      <c r="A280" s="7" t="n">
        <v>60107010</v>
      </c>
      <c r="B280" s="7" t="inlineStr">
        <is>
          <t>Retail REITs*</t>
        </is>
      </c>
      <c r="C280" s="7" t="n"/>
      <c r="D280" s="14" t="n">
        <v>0.85</v>
      </c>
    </row>
    <row r="281">
      <c r="A281" s="7" t="n">
        <v>60108010</v>
      </c>
      <c r="B281" s="7" t="inlineStr">
        <is>
          <t>Other Specialized REITs*</t>
        </is>
      </c>
      <c r="C281" s="7" t="n"/>
      <c r="D281" s="14" t="n">
        <v>1.15</v>
      </c>
    </row>
    <row r="282">
      <c r="A282" s="7" t="n">
        <v>60108020</v>
      </c>
      <c r="B282" s="7" t="inlineStr">
        <is>
          <t>Self-Storage REITs*</t>
        </is>
      </c>
      <c r="C282" s="7" t="n"/>
      <c r="D282" s="14" t="n">
        <v>1</v>
      </c>
    </row>
    <row r="283">
      <c r="A283" s="7" t="n">
        <v>60108030</v>
      </c>
      <c r="B283" s="7" t="inlineStr">
        <is>
          <t>Telecom Tower REITs*</t>
        </is>
      </c>
      <c r="C283" s="7" t="n"/>
      <c r="D283" s="14" t="n">
        <v>0.85</v>
      </c>
    </row>
    <row r="284">
      <c r="A284" s="7" t="n">
        <v>60108040</v>
      </c>
      <c r="B284" s="7" t="inlineStr">
        <is>
          <t>Timber REITs*</t>
        </is>
      </c>
      <c r="C284" s="7" t="n"/>
      <c r="D284" s="14" t="n">
        <v>0.7</v>
      </c>
    </row>
    <row r="285">
      <c r="A285" s="7" t="n">
        <v>60108050</v>
      </c>
      <c r="B285" s="7" t="inlineStr">
        <is>
          <t>Data Center REITs*</t>
        </is>
      </c>
      <c r="C285" s="7" t="n"/>
      <c r="D285" s="14" t="n">
        <v>1.3</v>
      </c>
    </row>
    <row r="286">
      <c r="A286" s="7" t="n">
        <v>60201010</v>
      </c>
      <c r="B286" s="7" t="inlineStr">
        <is>
          <t>Diversified Real Estate Activities</t>
        </is>
      </c>
      <c r="C286" s="7" t="n"/>
      <c r="D286" s="14" t="n">
        <v>0.85</v>
      </c>
    </row>
    <row r="287">
      <c r="A287" s="7" t="n">
        <v>60201020</v>
      </c>
      <c r="B287" s="7" t="inlineStr">
        <is>
          <t>Real Estate Operating Companies</t>
        </is>
      </c>
      <c r="C287" s="7" t="n"/>
      <c r="D287" s="14" t="n">
        <v>0.7</v>
      </c>
    </row>
    <row r="288">
      <c r="A288" s="7" t="n">
        <v>60201030</v>
      </c>
      <c r="B288" s="7" t="inlineStr">
        <is>
          <t>Real Estate Development</t>
        </is>
      </c>
      <c r="C288" s="7" t="n"/>
      <c r="D288" s="14" t="n">
        <v>1.3</v>
      </c>
    </row>
    <row r="289">
      <c r="A289" s="7" t="n">
        <v>60201040</v>
      </c>
      <c r="B289" s="7" t="inlineStr">
        <is>
          <t>Real Estate Services</t>
        </is>
      </c>
      <c r="C289" s="7" t="n"/>
      <c r="D289" s="14" t="n">
        <v>1.15</v>
      </c>
    </row>
  </sheetData>
  <mergeCells count="5">
    <mergeCell ref="A1:D1"/>
    <mergeCell ref="A18:D18"/>
    <mergeCell ref="A3:D3"/>
    <mergeCell ref="A125:D125"/>
    <mergeCell ref="A47:D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9"/>
  <sheetViews>
    <sheetView showGridLines="0" workbookViewId="0">
      <pane ySplit="2" topLeftCell="A3" activePane="bottomLeft" state="frozen"/>
      <selection pane="bottomLeft" activeCell="A1" sqref="A1"/>
    </sheetView>
  </sheetViews>
  <sheetFormatPr baseColWidth="8" defaultRowHeight="15" outlineLevelCol="0"/>
  <cols>
    <col width="12" customWidth="1" min="1" max="1"/>
    <col width="34" customWidth="1" min="2" max="2"/>
    <col width="12" customWidth="1" min="3" max="3"/>
    <col width="14" customWidth="1" min="4" max="4"/>
  </cols>
  <sheetData>
    <row r="1" ht="44" customHeight="1">
      <c r="A1" t="inlineStr">
        <is>
          <t>PASTE ZONE — DUMMY VALUES. Bloomberg issuer default risk spread (bps, e.g. DRSK-implied CDS-equivalent spread) at each of the four GICS levels independently, same structure as 4_UK_Beta_Input. Replace with real data when available — every downstream formula recalculates automatically. Dummy values follow a varied, clearly-synthetic pattern (120/220/320/420/520bps cycling by code, decorrelated from the beta dummy pattern) so the cascade is verifiable now, not trivially flat.</t>
        </is>
      </c>
    </row>
    <row r="3">
      <c r="A3" s="4" t="inlineStr">
        <is>
          <t>SECTOR (11)</t>
        </is>
      </c>
    </row>
    <row r="4">
      <c r="A4" s="6" t="inlineStr">
        <is>
          <t>Code</t>
        </is>
      </c>
      <c r="B4" s="6" t="inlineStr">
        <is>
          <t>Name</t>
        </is>
      </c>
      <c r="C4" s="6" t="inlineStr"/>
      <c r="D4" s="6" t="inlineStr">
        <is>
          <t>Default Risk
Spread bps (DUMMY)</t>
        </is>
      </c>
    </row>
    <row r="5">
      <c r="A5" s="7" t="n">
        <v>10</v>
      </c>
      <c r="B5" s="7" t="inlineStr">
        <is>
          <t>Energy</t>
        </is>
      </c>
      <c r="C5" s="7" t="n"/>
      <c r="D5" s="15" t="n">
        <v>220</v>
      </c>
    </row>
    <row r="6">
      <c r="A6" s="7" t="n">
        <v>15</v>
      </c>
      <c r="B6" s="7" t="inlineStr">
        <is>
          <t>Materials</t>
        </is>
      </c>
      <c r="C6" s="7" t="n"/>
      <c r="D6" s="15" t="n">
        <v>420</v>
      </c>
    </row>
    <row r="7">
      <c r="A7" s="7" t="n">
        <v>20</v>
      </c>
      <c r="B7" s="7" t="inlineStr">
        <is>
          <t>Industrials</t>
        </is>
      </c>
      <c r="C7" s="7" t="n"/>
      <c r="D7" s="15" t="n">
        <v>120</v>
      </c>
    </row>
    <row r="8">
      <c r="A8" s="7" t="n">
        <v>25</v>
      </c>
      <c r="B8" s="7" t="inlineStr">
        <is>
          <t>Consumer Discretionary</t>
        </is>
      </c>
      <c r="C8" s="7" t="n"/>
      <c r="D8" s="15" t="n">
        <v>320</v>
      </c>
    </row>
    <row r="9">
      <c r="A9" s="7" t="n">
        <v>30</v>
      </c>
      <c r="B9" s="7" t="inlineStr">
        <is>
          <t>Consumer Staples</t>
        </is>
      </c>
      <c r="C9" s="7" t="n"/>
      <c r="D9" s="15" t="n">
        <v>520</v>
      </c>
    </row>
    <row r="10">
      <c r="A10" s="7" t="n">
        <v>35</v>
      </c>
      <c r="B10" s="7" t="inlineStr">
        <is>
          <t>Health Care</t>
        </is>
      </c>
      <c r="C10" s="7" t="n"/>
      <c r="D10" s="15" t="n">
        <v>220</v>
      </c>
    </row>
    <row r="11">
      <c r="A11" s="7" t="n">
        <v>40</v>
      </c>
      <c r="B11" s="7" t="inlineStr">
        <is>
          <t>Financials</t>
        </is>
      </c>
      <c r="C11" s="7" t="n"/>
      <c r="D11" s="15" t="n">
        <v>420</v>
      </c>
    </row>
    <row r="12">
      <c r="A12" s="7" t="n">
        <v>45</v>
      </c>
      <c r="B12" s="7" t="inlineStr">
        <is>
          <t>Information Technology</t>
        </is>
      </c>
      <c r="C12" s="7" t="n"/>
      <c r="D12" s="15" t="n">
        <v>120</v>
      </c>
    </row>
    <row r="13">
      <c r="A13" s="7" t="n">
        <v>50</v>
      </c>
      <c r="B13" s="7" t="inlineStr">
        <is>
          <t>Communication Services</t>
        </is>
      </c>
      <c r="C13" s="7" t="n"/>
      <c r="D13" s="15" t="n">
        <v>320</v>
      </c>
    </row>
    <row r="14">
      <c r="A14" s="7" t="n">
        <v>55</v>
      </c>
      <c r="B14" s="7" t="inlineStr">
        <is>
          <t>Utilities</t>
        </is>
      </c>
      <c r="C14" s="7" t="n"/>
      <c r="D14" s="15" t="n">
        <v>520</v>
      </c>
    </row>
    <row r="15">
      <c r="A15" s="7" t="n">
        <v>60</v>
      </c>
      <c r="B15" s="7" t="inlineStr">
        <is>
          <t>Real Estate</t>
        </is>
      </c>
      <c r="C15" s="7" t="n"/>
      <c r="D15" s="15" t="n">
        <v>120</v>
      </c>
    </row>
    <row r="18">
      <c r="A18" s="4" t="inlineStr">
        <is>
          <t>INDUSTRY GROUP (25)</t>
        </is>
      </c>
    </row>
    <row r="19">
      <c r="A19" s="6" t="inlineStr">
        <is>
          <t>Code</t>
        </is>
      </c>
      <c r="B19" s="6" t="inlineStr">
        <is>
          <t>Name</t>
        </is>
      </c>
      <c r="C19" s="6" t="inlineStr"/>
      <c r="D19" s="6" t="inlineStr">
        <is>
          <t>Default Risk
Spread bps (DUMMY)</t>
        </is>
      </c>
    </row>
    <row r="20">
      <c r="A20" s="7" t="n">
        <v>1010</v>
      </c>
      <c r="B20" s="7" t="inlineStr">
        <is>
          <t>Energy</t>
        </is>
      </c>
      <c r="C20" s="7" t="n"/>
      <c r="D20" s="15" t="n">
        <v>420</v>
      </c>
    </row>
    <row r="21">
      <c r="A21" s="7" t="n">
        <v>1510</v>
      </c>
      <c r="B21" s="7" t="inlineStr">
        <is>
          <t>Materials</t>
        </is>
      </c>
      <c r="C21" s="7" t="n"/>
      <c r="D21" s="15" t="n">
        <v>520</v>
      </c>
    </row>
    <row r="22">
      <c r="A22" s="7" t="n">
        <v>2010</v>
      </c>
      <c r="B22" s="7" t="inlineStr">
        <is>
          <t>Capital Goods</t>
        </is>
      </c>
      <c r="C22" s="7" t="n"/>
      <c r="D22" s="15" t="n">
        <v>120</v>
      </c>
    </row>
    <row r="23">
      <c r="A23" s="7" t="n">
        <v>2020</v>
      </c>
      <c r="B23" s="7" t="inlineStr">
        <is>
          <t>Commercial  &amp; Professional Services</t>
        </is>
      </c>
      <c r="C23" s="7" t="n"/>
      <c r="D23" s="15" t="n">
        <v>520</v>
      </c>
    </row>
    <row r="24">
      <c r="A24" s="7" t="n">
        <v>2030</v>
      </c>
      <c r="B24" s="7" t="inlineStr">
        <is>
          <t>Transportation</t>
        </is>
      </c>
      <c r="C24" s="7" t="n"/>
      <c r="D24" s="15" t="n">
        <v>420</v>
      </c>
    </row>
    <row r="25">
      <c r="A25" s="7" t="n">
        <v>2510</v>
      </c>
      <c r="B25" s="7" t="inlineStr">
        <is>
          <t>Automobiles &amp; Components</t>
        </is>
      </c>
      <c r="C25" s="7" t="n"/>
      <c r="D25" s="15" t="n">
        <v>220</v>
      </c>
    </row>
    <row r="26">
      <c r="A26" s="7" t="n">
        <v>2520</v>
      </c>
      <c r="B26" s="7" t="inlineStr">
        <is>
          <t>Consumer Durables &amp; Apparel</t>
        </is>
      </c>
      <c r="C26" s="7" t="n"/>
      <c r="D26" s="15" t="n">
        <v>120</v>
      </c>
    </row>
    <row r="27">
      <c r="A27" s="7" t="n">
        <v>2530</v>
      </c>
      <c r="B27" s="7" t="inlineStr">
        <is>
          <t>Consumer Services</t>
        </is>
      </c>
      <c r="C27" s="7" t="n"/>
      <c r="D27" s="15" t="n">
        <v>520</v>
      </c>
    </row>
    <row r="28">
      <c r="A28" s="7" t="n">
        <v>2550</v>
      </c>
      <c r="B28" s="7" t="inlineStr">
        <is>
          <t>Consumer Discretionary Distribution &amp; Retail</t>
        </is>
      </c>
      <c r="C28" s="7" t="n"/>
      <c r="D28" s="15" t="n">
        <v>320</v>
      </c>
    </row>
    <row r="29">
      <c r="A29" s="7" t="n">
        <v>3010</v>
      </c>
      <c r="B29" s="7" t="inlineStr">
        <is>
          <t>Consumer Staples Distribution &amp; Retail</t>
        </is>
      </c>
      <c r="C29" s="7" t="n"/>
      <c r="D29" s="15" t="n">
        <v>320</v>
      </c>
    </row>
    <row r="30">
      <c r="A30" s="7" t="n">
        <v>3020</v>
      </c>
      <c r="B30" s="7" t="inlineStr">
        <is>
          <t>Food, Beverage &amp; Tobacco</t>
        </is>
      </c>
      <c r="C30" s="7" t="n"/>
      <c r="D30" s="15" t="n">
        <v>220</v>
      </c>
    </row>
    <row r="31">
      <c r="A31" s="7" t="n">
        <v>3030</v>
      </c>
      <c r="B31" s="7" t="inlineStr">
        <is>
          <t>Household &amp; Personal Products</t>
        </is>
      </c>
      <c r="C31" s="7" t="n"/>
      <c r="D31" s="15" t="n">
        <v>120</v>
      </c>
    </row>
    <row r="32">
      <c r="A32" s="7" t="n">
        <v>3510</v>
      </c>
      <c r="B32" s="7" t="inlineStr">
        <is>
          <t>Health Care Equipment &amp; Services</t>
        </is>
      </c>
      <c r="C32" s="7" t="n"/>
      <c r="D32" s="15" t="n">
        <v>420</v>
      </c>
    </row>
    <row r="33">
      <c r="A33" s="7" t="n">
        <v>3520</v>
      </c>
      <c r="B33" s="7" t="inlineStr">
        <is>
          <t>Pharmaceuticals, Biotechnology &amp; Life Sciences</t>
        </is>
      </c>
      <c r="C33" s="7" t="n"/>
      <c r="D33" s="15" t="n">
        <v>320</v>
      </c>
    </row>
    <row r="34">
      <c r="A34" s="7" t="n">
        <v>4010</v>
      </c>
      <c r="B34" s="7" t="inlineStr">
        <is>
          <t>Banks</t>
        </is>
      </c>
      <c r="C34" s="7" t="n"/>
      <c r="D34" s="15" t="n">
        <v>520</v>
      </c>
    </row>
    <row r="35">
      <c r="A35" s="7" t="n">
        <v>4020</v>
      </c>
      <c r="B35" s="7" t="inlineStr">
        <is>
          <t>Financial Services</t>
        </is>
      </c>
      <c r="C35" s="7" t="n"/>
      <c r="D35" s="15" t="n">
        <v>420</v>
      </c>
    </row>
    <row r="36">
      <c r="A36" s="7" t="n">
        <v>4030</v>
      </c>
      <c r="B36" s="7" t="inlineStr">
        <is>
          <t>Insurance</t>
        </is>
      </c>
      <c r="C36" s="7" t="n"/>
      <c r="D36" s="15" t="n">
        <v>320</v>
      </c>
    </row>
    <row r="37">
      <c r="A37" s="7" t="n">
        <v>4510</v>
      </c>
      <c r="B37" s="7" t="inlineStr">
        <is>
          <t>Software &amp; Services</t>
        </is>
      </c>
      <c r="C37" s="7" t="n"/>
      <c r="D37" s="15" t="n">
        <v>120</v>
      </c>
    </row>
    <row r="38">
      <c r="A38" s="7" t="n">
        <v>4520</v>
      </c>
      <c r="B38" s="7" t="inlineStr">
        <is>
          <t>Technology Hardware &amp; Equipment</t>
        </is>
      </c>
      <c r="C38" s="7" t="n"/>
      <c r="D38" s="15" t="n">
        <v>520</v>
      </c>
    </row>
    <row r="39">
      <c r="A39" s="7" t="n">
        <v>4530</v>
      </c>
      <c r="B39" s="7" t="inlineStr">
        <is>
          <t>Semiconductors &amp; Semiconductor Equipment</t>
        </is>
      </c>
      <c r="C39" s="7" t="n"/>
      <c r="D39" s="15" t="n">
        <v>420</v>
      </c>
    </row>
    <row r="40">
      <c r="A40" s="7" t="n">
        <v>5010</v>
      </c>
      <c r="B40" s="7" t="inlineStr">
        <is>
          <t>Telecommunication Services</t>
        </is>
      </c>
      <c r="C40" s="7" t="n"/>
      <c r="D40" s="15" t="n">
        <v>220</v>
      </c>
    </row>
    <row r="41">
      <c r="A41" s="7" t="n">
        <v>5020</v>
      </c>
      <c r="B41" s="7" t="inlineStr">
        <is>
          <t>Media &amp; Entertainment</t>
        </is>
      </c>
      <c r="C41" s="7" t="n"/>
      <c r="D41" s="15" t="n">
        <v>120</v>
      </c>
    </row>
    <row r="42">
      <c r="A42" s="7" t="n">
        <v>5510</v>
      </c>
      <c r="B42" s="7" t="inlineStr">
        <is>
          <t>Utilities</t>
        </is>
      </c>
      <c r="C42" s="7" t="n"/>
      <c r="D42" s="15" t="n">
        <v>320</v>
      </c>
    </row>
    <row r="43">
      <c r="A43" s="7" t="n">
        <v>6010</v>
      </c>
      <c r="B43" s="7" t="inlineStr">
        <is>
          <t>Equity Real Estate Investment Trusts (REITs)</t>
        </is>
      </c>
      <c r="C43" s="7" t="n"/>
      <c r="D43" s="15" t="n">
        <v>420</v>
      </c>
    </row>
    <row r="44">
      <c r="A44" s="7" t="n">
        <v>6020</v>
      </c>
      <c r="B44" s="7" t="inlineStr">
        <is>
          <t>Real Estate Management &amp; Development</t>
        </is>
      </c>
      <c r="C44" s="7" t="n"/>
      <c r="D44" s="15" t="n">
        <v>320</v>
      </c>
    </row>
    <row r="47">
      <c r="A47" s="4" t="inlineStr">
        <is>
          <t>INDUSTRY (74)</t>
        </is>
      </c>
    </row>
    <row r="48">
      <c r="A48" s="6" t="inlineStr">
        <is>
          <t>Code</t>
        </is>
      </c>
      <c r="B48" s="6" t="inlineStr">
        <is>
          <t>Name</t>
        </is>
      </c>
      <c r="C48" s="6" t="inlineStr"/>
      <c r="D48" s="6" t="inlineStr">
        <is>
          <t>Default Risk
Spread bps (DUMMY)</t>
        </is>
      </c>
    </row>
    <row r="49">
      <c r="A49" s="7" t="n">
        <v>101010</v>
      </c>
      <c r="B49" s="7" t="inlineStr">
        <is>
          <t>Energy Equipment &amp; Services</t>
        </is>
      </c>
      <c r="C49" s="7" t="n"/>
      <c r="D49" s="15" t="n">
        <v>120</v>
      </c>
    </row>
    <row r="50">
      <c r="A50" s="7" t="n">
        <v>101020</v>
      </c>
      <c r="B50" s="7" t="inlineStr">
        <is>
          <t>Oil, Gas &amp; Consumable Fuels</t>
        </is>
      </c>
      <c r="C50" s="7" t="n"/>
      <c r="D50" s="15" t="n">
        <v>520</v>
      </c>
    </row>
    <row r="51">
      <c r="A51" s="7" t="n">
        <v>151010</v>
      </c>
      <c r="B51" s="7" t="inlineStr">
        <is>
          <t>Chemicals</t>
        </is>
      </c>
      <c r="C51" s="7" t="n"/>
      <c r="D51" s="15" t="n">
        <v>420</v>
      </c>
    </row>
    <row r="52">
      <c r="A52" s="7" t="n">
        <v>151020</v>
      </c>
      <c r="B52" s="7" t="inlineStr">
        <is>
          <t>Construction Materials</t>
        </is>
      </c>
      <c r="C52" s="7" t="n"/>
      <c r="D52" s="15" t="n">
        <v>320</v>
      </c>
    </row>
    <row r="53">
      <c r="A53" s="7" t="n">
        <v>151030</v>
      </c>
      <c r="B53" s="7" t="inlineStr">
        <is>
          <t>Containers &amp; Packaging</t>
        </is>
      </c>
      <c r="C53" s="7" t="n"/>
      <c r="D53" s="15" t="n">
        <v>220</v>
      </c>
    </row>
    <row r="54">
      <c r="A54" s="7" t="n">
        <v>151040</v>
      </c>
      <c r="B54" s="7" t="inlineStr">
        <is>
          <t>Metals &amp; Mining</t>
        </is>
      </c>
      <c r="C54" s="7" t="n"/>
      <c r="D54" s="15" t="n">
        <v>120</v>
      </c>
    </row>
    <row r="55">
      <c r="A55" s="7" t="n">
        <v>151050</v>
      </c>
      <c r="B55" s="7" t="inlineStr">
        <is>
          <t>Paper &amp; Forest Products</t>
        </is>
      </c>
      <c r="C55" s="7" t="n"/>
      <c r="D55" s="15" t="n">
        <v>420</v>
      </c>
    </row>
    <row r="56">
      <c r="A56" s="7" t="n">
        <v>201010</v>
      </c>
      <c r="B56" s="7" t="inlineStr">
        <is>
          <t>Aerospace &amp; Defense</t>
        </is>
      </c>
      <c r="C56" s="7" t="n"/>
      <c r="D56" s="15" t="n">
        <v>220</v>
      </c>
    </row>
    <row r="57">
      <c r="A57" s="7" t="n">
        <v>201020</v>
      </c>
      <c r="B57" s="7" t="inlineStr">
        <is>
          <t>Building Products</t>
        </is>
      </c>
      <c r="C57" s="7" t="n"/>
      <c r="D57" s="15" t="n">
        <v>120</v>
      </c>
    </row>
    <row r="58">
      <c r="A58" s="7" t="n">
        <v>201030</v>
      </c>
      <c r="B58" s="7" t="inlineStr">
        <is>
          <t>Construction &amp; Engineering</t>
        </is>
      </c>
      <c r="C58" s="7" t="n"/>
      <c r="D58" s="15" t="n">
        <v>520</v>
      </c>
    </row>
    <row r="59">
      <c r="A59" s="7" t="n">
        <v>201040</v>
      </c>
      <c r="B59" s="7" t="inlineStr">
        <is>
          <t>Electrical Equipment</t>
        </is>
      </c>
      <c r="C59" s="7" t="n"/>
      <c r="D59" s="15" t="n">
        <v>420</v>
      </c>
    </row>
    <row r="60">
      <c r="A60" s="7" t="n">
        <v>201050</v>
      </c>
      <c r="B60" s="7" t="inlineStr">
        <is>
          <t>Industrial Conglomerates</t>
        </is>
      </c>
      <c r="C60" s="7" t="n"/>
      <c r="D60" s="15" t="n">
        <v>320</v>
      </c>
    </row>
    <row r="61">
      <c r="A61" s="7" t="n">
        <v>201060</v>
      </c>
      <c r="B61" s="7" t="inlineStr">
        <is>
          <t>Machinery</t>
        </is>
      </c>
      <c r="C61" s="7" t="n"/>
      <c r="D61" s="15" t="n">
        <v>220</v>
      </c>
    </row>
    <row r="62">
      <c r="A62" s="7" t="n">
        <v>201070</v>
      </c>
      <c r="B62" s="7" t="inlineStr">
        <is>
          <t>Trading Companies &amp; Distributors</t>
        </is>
      </c>
      <c r="C62" s="7" t="n"/>
      <c r="D62" s="15" t="n">
        <v>520</v>
      </c>
    </row>
    <row r="63">
      <c r="A63" s="7" t="n">
        <v>202010</v>
      </c>
      <c r="B63" s="7" t="inlineStr">
        <is>
          <t>Commercial Services &amp; Supplies</t>
        </is>
      </c>
      <c r="C63" s="7" t="n"/>
      <c r="D63" s="15" t="n">
        <v>420</v>
      </c>
    </row>
    <row r="64">
      <c r="A64" s="7" t="n">
        <v>202020</v>
      </c>
      <c r="B64" s="7" t="inlineStr">
        <is>
          <t>Professional Services</t>
        </is>
      </c>
      <c r="C64" s="7" t="n"/>
      <c r="D64" s="15" t="n">
        <v>320</v>
      </c>
    </row>
    <row r="65">
      <c r="A65" s="7" t="n">
        <v>203010</v>
      </c>
      <c r="B65" s="7" t="inlineStr">
        <is>
          <t>Air Freight &amp; Logistics</t>
        </is>
      </c>
      <c r="C65" s="7" t="n"/>
      <c r="D65" s="15" t="n">
        <v>120</v>
      </c>
    </row>
    <row r="66">
      <c r="A66" s="7" t="n">
        <v>203020</v>
      </c>
      <c r="B66" s="7" t="inlineStr">
        <is>
          <t>Passenger Airlines</t>
        </is>
      </c>
      <c r="C66" s="7" t="n"/>
      <c r="D66" s="15" t="n">
        <v>520</v>
      </c>
    </row>
    <row r="67">
      <c r="A67" s="7" t="n">
        <v>203030</v>
      </c>
      <c r="B67" s="7" t="inlineStr">
        <is>
          <t>Marine Transportation</t>
        </is>
      </c>
      <c r="C67" s="7" t="n"/>
      <c r="D67" s="15" t="n">
        <v>420</v>
      </c>
    </row>
    <row r="68">
      <c r="A68" s="7" t="n">
        <v>203040</v>
      </c>
      <c r="B68" s="7" t="inlineStr">
        <is>
          <t>Ground Transportation</t>
        </is>
      </c>
      <c r="C68" s="7" t="n"/>
      <c r="D68" s="15" t="n">
        <v>320</v>
      </c>
    </row>
    <row r="69">
      <c r="A69" s="7" t="n">
        <v>203050</v>
      </c>
      <c r="B69" s="7" t="inlineStr">
        <is>
          <t>Transportation Infrastructure</t>
        </is>
      </c>
      <c r="C69" s="7" t="n"/>
      <c r="D69" s="15" t="n">
        <v>220</v>
      </c>
    </row>
    <row r="70">
      <c r="A70" s="7" t="n">
        <v>251010</v>
      </c>
      <c r="B70" s="7" t="inlineStr">
        <is>
          <t>Automobile Components</t>
        </is>
      </c>
      <c r="C70" s="7" t="n"/>
      <c r="D70" s="15" t="n">
        <v>120</v>
      </c>
    </row>
    <row r="71">
      <c r="A71" s="7" t="n">
        <v>251020</v>
      </c>
      <c r="B71" s="7" t="inlineStr">
        <is>
          <t>Automobiles</t>
        </is>
      </c>
      <c r="C71" s="7" t="n"/>
      <c r="D71" s="15" t="n">
        <v>520</v>
      </c>
    </row>
    <row r="72">
      <c r="A72" s="7" t="n">
        <v>252010</v>
      </c>
      <c r="B72" s="7" t="inlineStr">
        <is>
          <t>Household Durables</t>
        </is>
      </c>
      <c r="C72" s="7" t="n"/>
      <c r="D72" s="15" t="n">
        <v>320</v>
      </c>
    </row>
    <row r="73">
      <c r="A73" s="7" t="n">
        <v>252020</v>
      </c>
      <c r="B73" s="7" t="inlineStr">
        <is>
          <t>Leisure Products</t>
        </is>
      </c>
      <c r="C73" s="7" t="n"/>
      <c r="D73" s="15" t="n">
        <v>220</v>
      </c>
    </row>
    <row r="74">
      <c r="A74" s="7" t="n">
        <v>252030</v>
      </c>
      <c r="B74" s="7" t="inlineStr">
        <is>
          <t>Textiles, Apparel &amp; Luxury Goods</t>
        </is>
      </c>
      <c r="C74" s="7" t="n"/>
      <c r="D74" s="15" t="n">
        <v>520</v>
      </c>
    </row>
    <row r="75">
      <c r="A75" s="7" t="n">
        <v>253010</v>
      </c>
      <c r="B75" s="7" t="inlineStr">
        <is>
          <t>Hotels, Restaurants &amp; Leisure</t>
        </is>
      </c>
      <c r="C75" s="7" t="n"/>
      <c r="D75" s="15" t="n">
        <v>520</v>
      </c>
    </row>
    <row r="76">
      <c r="A76" s="7" t="n">
        <v>253020</v>
      </c>
      <c r="B76" s="7" t="inlineStr">
        <is>
          <t>Diversified Consumer Services</t>
        </is>
      </c>
      <c r="C76" s="7" t="n"/>
      <c r="D76" s="15" t="n">
        <v>420</v>
      </c>
    </row>
    <row r="77">
      <c r="A77" s="7" t="n">
        <v>255010</v>
      </c>
      <c r="B77" s="7" t="inlineStr">
        <is>
          <t>Distributors</t>
        </is>
      </c>
      <c r="C77" s="7" t="n"/>
      <c r="D77" s="15" t="n">
        <v>420</v>
      </c>
    </row>
    <row r="78">
      <c r="A78" s="7" t="n">
        <v>255030</v>
      </c>
      <c r="B78" s="7" t="inlineStr">
        <is>
          <t>Broadline Retail</t>
        </is>
      </c>
      <c r="C78" s="7" t="n"/>
      <c r="D78" s="15" t="n">
        <v>120</v>
      </c>
    </row>
    <row r="79">
      <c r="A79" s="7" t="n">
        <v>255040</v>
      </c>
      <c r="B79" s="7" t="inlineStr">
        <is>
          <t>Specialty Retail</t>
        </is>
      </c>
      <c r="C79" s="7" t="n"/>
      <c r="D79" s="15" t="n">
        <v>520</v>
      </c>
    </row>
    <row r="80">
      <c r="A80" s="7" t="n">
        <v>301010</v>
      </c>
      <c r="B80" s="7" t="inlineStr">
        <is>
          <t>Consumer Staples Distribution &amp; Retail</t>
        </is>
      </c>
      <c r="C80" s="7" t="n"/>
      <c r="D80" s="15" t="n">
        <v>420</v>
      </c>
    </row>
    <row r="81">
      <c r="A81" s="7" t="n">
        <v>302010</v>
      </c>
      <c r="B81" s="7" t="inlineStr">
        <is>
          <t>Beverages</t>
        </is>
      </c>
      <c r="C81" s="7" t="n"/>
      <c r="D81" s="15" t="n">
        <v>120</v>
      </c>
    </row>
    <row r="82">
      <c r="A82" s="7" t="n">
        <v>302020</v>
      </c>
      <c r="B82" s="7" t="inlineStr">
        <is>
          <t>Food Products</t>
        </is>
      </c>
      <c r="C82" s="7" t="n"/>
      <c r="D82" s="15" t="n">
        <v>520</v>
      </c>
    </row>
    <row r="83">
      <c r="A83" s="7" t="n">
        <v>302030</v>
      </c>
      <c r="B83" s="7" t="inlineStr">
        <is>
          <t>Tobacco</t>
        </is>
      </c>
      <c r="C83" s="7" t="n"/>
      <c r="D83" s="15" t="n">
        <v>420</v>
      </c>
    </row>
    <row r="84">
      <c r="A84" s="7" t="n">
        <v>303010</v>
      </c>
      <c r="B84" s="7" t="inlineStr">
        <is>
          <t>Household Products</t>
        </is>
      </c>
      <c r="C84" s="7" t="n"/>
      <c r="D84" s="15" t="n">
        <v>320</v>
      </c>
    </row>
    <row r="85">
      <c r="A85" s="7" t="n">
        <v>303020</v>
      </c>
      <c r="B85" s="7" t="inlineStr">
        <is>
          <t>Personal Care Products</t>
        </is>
      </c>
      <c r="C85" s="7" t="n"/>
      <c r="D85" s="15" t="n">
        <v>220</v>
      </c>
    </row>
    <row r="86">
      <c r="A86" s="7" t="n">
        <v>351010</v>
      </c>
      <c r="B86" s="7" t="inlineStr">
        <is>
          <t>Health Care Equipment &amp; Supplies</t>
        </is>
      </c>
      <c r="C86" s="7" t="n"/>
      <c r="D86" s="15" t="n">
        <v>220</v>
      </c>
    </row>
    <row r="87">
      <c r="A87" s="7" t="n">
        <v>351020</v>
      </c>
      <c r="B87" s="7" t="inlineStr">
        <is>
          <t>Health Care Providers &amp; Services</t>
        </is>
      </c>
      <c r="C87" s="7" t="n"/>
      <c r="D87" s="15" t="n">
        <v>120</v>
      </c>
    </row>
    <row r="88">
      <c r="A88" s="7" t="n">
        <v>351030</v>
      </c>
      <c r="B88" s="7" t="inlineStr">
        <is>
          <t>Health Care Technology</t>
        </is>
      </c>
      <c r="C88" s="7" t="n"/>
      <c r="D88" s="15" t="n">
        <v>520</v>
      </c>
    </row>
    <row r="89">
      <c r="A89" s="7" t="n">
        <v>352010</v>
      </c>
      <c r="B89" s="7" t="inlineStr">
        <is>
          <t>Biotechnology</t>
        </is>
      </c>
      <c r="C89" s="7" t="n"/>
      <c r="D89" s="15" t="n">
        <v>420</v>
      </c>
    </row>
    <row r="90">
      <c r="A90" s="7" t="n">
        <v>352020</v>
      </c>
      <c r="B90" s="7" t="inlineStr">
        <is>
          <t>Pharmaceuticals</t>
        </is>
      </c>
      <c r="C90" s="7" t="n"/>
      <c r="D90" s="15" t="n">
        <v>320</v>
      </c>
    </row>
    <row r="91">
      <c r="A91" s="7" t="n">
        <v>352030</v>
      </c>
      <c r="B91" s="7" t="inlineStr">
        <is>
          <t>Life Sciences Tools &amp; Services</t>
        </is>
      </c>
      <c r="C91" s="7" t="n"/>
      <c r="D91" s="15" t="n">
        <v>220</v>
      </c>
    </row>
    <row r="92">
      <c r="A92" s="7" t="n">
        <v>401010</v>
      </c>
      <c r="B92" s="7" t="inlineStr">
        <is>
          <t>Banks</t>
        </is>
      </c>
      <c r="C92" s="7" t="n"/>
      <c r="D92" s="15" t="n">
        <v>120</v>
      </c>
    </row>
    <row r="93">
      <c r="A93" s="7" t="n">
        <v>402010</v>
      </c>
      <c r="B93" s="7" t="inlineStr">
        <is>
          <t>Financial Services</t>
        </is>
      </c>
      <c r="C93" s="7" t="n"/>
      <c r="D93" s="15" t="n">
        <v>320</v>
      </c>
    </row>
    <row r="94">
      <c r="A94" s="7" t="n">
        <v>402020</v>
      </c>
      <c r="B94" s="7" t="inlineStr">
        <is>
          <t>Consumer Finance</t>
        </is>
      </c>
      <c r="C94" s="7" t="n"/>
      <c r="D94" s="15" t="n">
        <v>120</v>
      </c>
    </row>
    <row r="95">
      <c r="A95" s="7" t="n">
        <v>402030</v>
      </c>
      <c r="B95" s="7" t="inlineStr">
        <is>
          <t>Capital Markets</t>
        </is>
      </c>
      <c r="C95" s="7" t="n"/>
      <c r="D95" s="15" t="n">
        <v>520</v>
      </c>
    </row>
    <row r="96">
      <c r="A96" s="7" t="n">
        <v>402040</v>
      </c>
      <c r="B96" s="7" t="inlineStr">
        <is>
          <t>Mortgage Real Estate Investment Trusts (REITs)</t>
        </is>
      </c>
      <c r="C96" s="7" t="n"/>
      <c r="D96" s="15" t="n">
        <v>420</v>
      </c>
    </row>
    <row r="97">
      <c r="A97" s="7" t="n">
        <v>403010</v>
      </c>
      <c r="B97" s="7" t="inlineStr">
        <is>
          <t>Insurance</t>
        </is>
      </c>
      <c r="C97" s="7" t="n"/>
      <c r="D97" s="15" t="n">
        <v>520</v>
      </c>
    </row>
    <row r="98">
      <c r="A98" s="7" t="n">
        <v>451020</v>
      </c>
      <c r="B98" s="7" t="inlineStr">
        <is>
          <t>IT Services</t>
        </is>
      </c>
      <c r="C98" s="7" t="n"/>
      <c r="D98" s="15" t="n">
        <v>320</v>
      </c>
    </row>
    <row r="99">
      <c r="A99" s="7" t="n">
        <v>451030</v>
      </c>
      <c r="B99" s="7" t="inlineStr">
        <is>
          <t>Software</t>
        </is>
      </c>
      <c r="C99" s="7" t="n"/>
      <c r="D99" s="15" t="n">
        <v>220</v>
      </c>
    </row>
    <row r="100">
      <c r="A100" s="7" t="n">
        <v>452010</v>
      </c>
      <c r="B100" s="7" t="inlineStr">
        <is>
          <t>Communications Equipment</t>
        </is>
      </c>
      <c r="C100" s="7" t="n"/>
      <c r="D100" s="15" t="n">
        <v>120</v>
      </c>
    </row>
    <row r="101">
      <c r="A101" s="7" t="n">
        <v>452020</v>
      </c>
      <c r="B101" s="7" t="inlineStr">
        <is>
          <t>Technology Hardware, Storage &amp; Peripherals</t>
        </is>
      </c>
      <c r="C101" s="7" t="n"/>
      <c r="D101" s="15" t="n">
        <v>520</v>
      </c>
    </row>
    <row r="102">
      <c r="A102" s="7" t="n">
        <v>452030</v>
      </c>
      <c r="B102" s="7" t="inlineStr">
        <is>
          <t>Electronic Equipment, Instruments &amp; Components</t>
        </is>
      </c>
      <c r="C102" s="7" t="n"/>
      <c r="D102" s="15" t="n">
        <v>420</v>
      </c>
    </row>
    <row r="103">
      <c r="A103" s="7" t="n">
        <v>453010</v>
      </c>
      <c r="B103" s="7" t="inlineStr">
        <is>
          <t>Semiconductors &amp; Semiconductor Equipment</t>
        </is>
      </c>
      <c r="C103" s="7" t="n"/>
      <c r="D103" s="15" t="n">
        <v>320</v>
      </c>
    </row>
    <row r="104">
      <c r="A104" s="7" t="n">
        <v>501010</v>
      </c>
      <c r="B104" s="7" t="inlineStr">
        <is>
          <t>Diversified Telecommunication Services</t>
        </is>
      </c>
      <c r="C104" s="7" t="n"/>
      <c r="D104" s="15" t="n">
        <v>220</v>
      </c>
    </row>
    <row r="105">
      <c r="A105" s="7" t="n">
        <v>501020</v>
      </c>
      <c r="B105" s="7" t="inlineStr">
        <is>
          <t>Wireless Telecommunication Services</t>
        </is>
      </c>
      <c r="C105" s="7" t="n"/>
      <c r="D105" s="15" t="n">
        <v>120</v>
      </c>
    </row>
    <row r="106">
      <c r="A106" s="7" t="n">
        <v>502010</v>
      </c>
      <c r="B106" s="7" t="inlineStr">
        <is>
          <t>Media</t>
        </is>
      </c>
      <c r="C106" s="7" t="n"/>
      <c r="D106" s="15" t="n">
        <v>420</v>
      </c>
    </row>
    <row r="107">
      <c r="A107" s="7" t="n">
        <v>502020</v>
      </c>
      <c r="B107" s="7" t="inlineStr">
        <is>
          <t>Entertainment</t>
        </is>
      </c>
      <c r="C107" s="7" t="n"/>
      <c r="D107" s="15" t="n">
        <v>320</v>
      </c>
    </row>
    <row r="108">
      <c r="A108" s="7" t="n">
        <v>502030</v>
      </c>
      <c r="B108" s="7" t="inlineStr">
        <is>
          <t>Interactive Media &amp; Services</t>
        </is>
      </c>
      <c r="C108" s="7" t="n"/>
      <c r="D108" s="15" t="n">
        <v>220</v>
      </c>
    </row>
    <row r="109">
      <c r="A109" s="7" t="n">
        <v>551010</v>
      </c>
      <c r="B109" s="7" t="inlineStr">
        <is>
          <t>Electric Utilities</t>
        </is>
      </c>
      <c r="C109" s="7" t="n"/>
      <c r="D109" s="15" t="n">
        <v>120</v>
      </c>
    </row>
    <row r="110">
      <c r="A110" s="7" t="n">
        <v>551020</v>
      </c>
      <c r="B110" s="7" t="inlineStr">
        <is>
          <t>Gas Utilities</t>
        </is>
      </c>
      <c r="C110" s="7" t="n"/>
      <c r="D110" s="15" t="n">
        <v>420</v>
      </c>
    </row>
    <row r="111">
      <c r="A111" s="7" t="n">
        <v>551030</v>
      </c>
      <c r="B111" s="7" t="inlineStr">
        <is>
          <t>Multi-Utilities</t>
        </is>
      </c>
      <c r="C111" s="7" t="n"/>
      <c r="D111" s="15" t="n">
        <v>320</v>
      </c>
    </row>
    <row r="112">
      <c r="A112" s="7" t="n">
        <v>551040</v>
      </c>
      <c r="B112" s="7" t="inlineStr">
        <is>
          <t>Water Utilities</t>
        </is>
      </c>
      <c r="C112" s="7" t="n"/>
      <c r="D112" s="15" t="n">
        <v>220</v>
      </c>
    </row>
    <row r="113">
      <c r="A113" s="7" t="n">
        <v>551050</v>
      </c>
      <c r="B113" s="7" t="inlineStr">
        <is>
          <t>Independent Power and Renewable Electricity Producers</t>
        </is>
      </c>
      <c r="C113" s="7" t="n"/>
      <c r="D113" s="15" t="n">
        <v>120</v>
      </c>
    </row>
    <row r="114">
      <c r="A114" s="7" t="n">
        <v>601010</v>
      </c>
      <c r="B114" s="7" t="inlineStr">
        <is>
          <t>Diversified REITs</t>
        </is>
      </c>
      <c r="C114" s="7" t="n"/>
      <c r="D114" s="15" t="n">
        <v>420</v>
      </c>
    </row>
    <row r="115">
      <c r="A115" s="7" t="n">
        <v>601025</v>
      </c>
      <c r="B115" s="7" t="inlineStr">
        <is>
          <t>Industrial REITs</t>
        </is>
      </c>
      <c r="C115" s="7" t="n"/>
      <c r="D115" s="15" t="n">
        <v>520</v>
      </c>
    </row>
    <row r="116">
      <c r="A116" s="7" t="n">
        <v>601030</v>
      </c>
      <c r="B116" s="7" t="inlineStr">
        <is>
          <t>Hotel &amp; Resort REITs</t>
        </is>
      </c>
      <c r="C116" s="7" t="n"/>
      <c r="D116" s="15" t="n">
        <v>220</v>
      </c>
    </row>
    <row r="117">
      <c r="A117" s="7" t="n">
        <v>601040</v>
      </c>
      <c r="B117" s="7" t="inlineStr">
        <is>
          <t>Office REITs</t>
        </is>
      </c>
      <c r="C117" s="7" t="n"/>
      <c r="D117" s="15" t="n">
        <v>520</v>
      </c>
    </row>
    <row r="118">
      <c r="A118" s="7" t="n">
        <v>601050</v>
      </c>
      <c r="B118" s="7" t="inlineStr">
        <is>
          <t>Health Care REITs</t>
        </is>
      </c>
      <c r="C118" s="7" t="n"/>
      <c r="D118" s="15" t="n">
        <v>420</v>
      </c>
    </row>
    <row r="119">
      <c r="A119" s="7" t="n">
        <v>601060</v>
      </c>
      <c r="B119" s="7" t="inlineStr">
        <is>
          <t>Residential REITs</t>
        </is>
      </c>
      <c r="C119" s="7" t="n"/>
      <c r="D119" s="15" t="n">
        <v>320</v>
      </c>
    </row>
    <row r="120">
      <c r="A120" s="7" t="n">
        <v>601070</v>
      </c>
      <c r="B120" s="7" t="inlineStr">
        <is>
          <t>Retail REITs</t>
        </is>
      </c>
      <c r="C120" s="7" t="n"/>
      <c r="D120" s="15" t="n">
        <v>220</v>
      </c>
    </row>
    <row r="121">
      <c r="A121" s="7" t="n">
        <v>601080</v>
      </c>
      <c r="B121" s="7" t="inlineStr">
        <is>
          <t>Specialized REITs</t>
        </is>
      </c>
      <c r="C121" s="7" t="n"/>
      <c r="D121" s="15" t="n">
        <v>120</v>
      </c>
    </row>
    <row r="122">
      <c r="A122" s="7" t="n">
        <v>602010</v>
      </c>
      <c r="B122" s="7" t="inlineStr">
        <is>
          <t>Real Estate Management &amp; Development</t>
        </is>
      </c>
      <c r="C122" s="7" t="n"/>
      <c r="D122" s="15" t="n">
        <v>120</v>
      </c>
    </row>
    <row r="125">
      <c r="A125" s="4" t="inlineStr">
        <is>
          <t>SUB-INDUSTRY (163)</t>
        </is>
      </c>
    </row>
    <row r="126">
      <c r="A126" s="6" t="inlineStr">
        <is>
          <t>Code</t>
        </is>
      </c>
      <c r="B126" s="6" t="inlineStr">
        <is>
          <t>Name</t>
        </is>
      </c>
      <c r="C126" s="6" t="inlineStr"/>
      <c r="D126" s="6" t="inlineStr">
        <is>
          <t>Default Risk
Spread bps (DUMMY)</t>
        </is>
      </c>
    </row>
    <row r="127">
      <c r="A127" s="7" t="n">
        <v>10101010</v>
      </c>
      <c r="B127" s="7" t="inlineStr">
        <is>
          <t>Oil &amp; Gas Drilling</t>
        </is>
      </c>
      <c r="C127" s="7" t="n"/>
      <c r="D127" s="15" t="n">
        <v>120</v>
      </c>
    </row>
    <row r="128">
      <c r="A128" s="7" t="n">
        <v>10101020</v>
      </c>
      <c r="B128" s="7" t="inlineStr">
        <is>
          <t>Oil &amp; Gas Equipment &amp; Services</t>
        </is>
      </c>
      <c r="C128" s="7" t="n"/>
      <c r="D128" s="15" t="n">
        <v>520</v>
      </c>
    </row>
    <row r="129">
      <c r="A129" s="7" t="n">
        <v>10102010</v>
      </c>
      <c r="B129" s="7" t="inlineStr">
        <is>
          <t>Integrated Oil &amp; Gas</t>
        </is>
      </c>
      <c r="C129" s="7" t="n"/>
      <c r="D129" s="15" t="n">
        <v>320</v>
      </c>
    </row>
    <row r="130">
      <c r="A130" s="7" t="n">
        <v>10102020</v>
      </c>
      <c r="B130" s="7" t="inlineStr">
        <is>
          <t>Oil &amp; Gas Exploration &amp; Production</t>
        </is>
      </c>
      <c r="C130" s="7" t="n"/>
      <c r="D130" s="15" t="n">
        <v>220</v>
      </c>
    </row>
    <row r="131">
      <c r="A131" s="7" t="n">
        <v>10102030</v>
      </c>
      <c r="B131" s="7" t="inlineStr">
        <is>
          <t>Oil &amp; Gas Refining &amp; Marketing</t>
        </is>
      </c>
      <c r="C131" s="7" t="n"/>
      <c r="D131" s="15" t="n">
        <v>120</v>
      </c>
    </row>
    <row r="132">
      <c r="A132" s="7" t="n">
        <v>10102040</v>
      </c>
      <c r="B132" s="7" t="inlineStr">
        <is>
          <t>Oil &amp; Gas Storage &amp; Transportation</t>
        </is>
      </c>
      <c r="C132" s="7" t="n"/>
      <c r="D132" s="15" t="n">
        <v>420</v>
      </c>
    </row>
    <row r="133">
      <c r="A133" s="7" t="n">
        <v>10102050</v>
      </c>
      <c r="B133" s="7" t="inlineStr">
        <is>
          <t>Coal &amp; Consumable Fuels</t>
        </is>
      </c>
      <c r="C133" s="7" t="n"/>
      <c r="D133" s="15" t="n">
        <v>320</v>
      </c>
    </row>
    <row r="134">
      <c r="A134" s="7" t="n">
        <v>15101010</v>
      </c>
      <c r="B134" s="7" t="inlineStr">
        <is>
          <t>Commodity Chemicals</t>
        </is>
      </c>
      <c r="C134" s="7" t="n"/>
      <c r="D134" s="15" t="n">
        <v>120</v>
      </c>
    </row>
    <row r="135">
      <c r="A135" s="7" t="n">
        <v>15101020</v>
      </c>
      <c r="B135" s="7" t="inlineStr">
        <is>
          <t>Diversified Chemicals</t>
        </is>
      </c>
      <c r="C135" s="7" t="n"/>
      <c r="D135" s="15" t="n">
        <v>520</v>
      </c>
    </row>
    <row r="136">
      <c r="A136" s="7" t="n">
        <v>15101030</v>
      </c>
      <c r="B136" s="7" t="inlineStr">
        <is>
          <t>Fertilizers &amp; Agricultural Chemicals</t>
        </is>
      </c>
      <c r="C136" s="7" t="n"/>
      <c r="D136" s="15" t="n">
        <v>420</v>
      </c>
    </row>
    <row r="137">
      <c r="A137" s="7" t="n">
        <v>15101040</v>
      </c>
      <c r="B137" s="7" t="inlineStr">
        <is>
          <t>Industrial Gases</t>
        </is>
      </c>
      <c r="C137" s="7" t="n"/>
      <c r="D137" s="15" t="n">
        <v>320</v>
      </c>
    </row>
    <row r="138">
      <c r="A138" s="7" t="n">
        <v>15101050</v>
      </c>
      <c r="B138" s="7" t="inlineStr">
        <is>
          <t>Specialty Chemicals</t>
        </is>
      </c>
      <c r="C138" s="7" t="n"/>
      <c r="D138" s="15" t="n">
        <v>120</v>
      </c>
    </row>
    <row r="139">
      <c r="A139" s="7" t="n">
        <v>15102010</v>
      </c>
      <c r="B139" s="7" t="inlineStr">
        <is>
          <t>Construction Materials</t>
        </is>
      </c>
      <c r="C139" s="7" t="n"/>
      <c r="D139" s="15" t="n">
        <v>320</v>
      </c>
    </row>
    <row r="140">
      <c r="A140" s="7" t="n">
        <v>15103010</v>
      </c>
      <c r="B140" s="7" t="inlineStr">
        <is>
          <t>Metal, Glass &amp; Plastic Containers</t>
        </is>
      </c>
      <c r="C140" s="7" t="n"/>
      <c r="D140" s="15" t="n">
        <v>520</v>
      </c>
    </row>
    <row r="141">
      <c r="A141" s="7" t="n">
        <v>15103020</v>
      </c>
      <c r="B141" s="7" t="inlineStr">
        <is>
          <t>Paper &amp; Plastic Packaging Products &amp; Materials</t>
        </is>
      </c>
      <c r="C141" s="7" t="n"/>
      <c r="D141" s="15" t="n">
        <v>420</v>
      </c>
    </row>
    <row r="142">
      <c r="A142" s="7" t="n">
        <v>15104010</v>
      </c>
      <c r="B142" s="7" t="inlineStr">
        <is>
          <t>Aluminum</t>
        </is>
      </c>
      <c r="C142" s="7" t="n"/>
      <c r="D142" s="15" t="n">
        <v>220</v>
      </c>
    </row>
    <row r="143">
      <c r="A143" s="7" t="n">
        <v>15104020</v>
      </c>
      <c r="B143" s="7" t="inlineStr">
        <is>
          <t>Diversified Metals &amp; Mining</t>
        </is>
      </c>
      <c r="C143" s="7" t="n"/>
      <c r="D143" s="15" t="n">
        <v>120</v>
      </c>
    </row>
    <row r="144">
      <c r="A144" s="7" t="n">
        <v>15104025</v>
      </c>
      <c r="B144" s="7" t="inlineStr">
        <is>
          <t>Copper</t>
        </is>
      </c>
      <c r="C144" s="7" t="n"/>
      <c r="D144" s="15" t="n">
        <v>320</v>
      </c>
    </row>
    <row r="145">
      <c r="A145" s="7" t="n">
        <v>15104030</v>
      </c>
      <c r="B145" s="7" t="inlineStr">
        <is>
          <t>Gold</t>
        </is>
      </c>
      <c r="C145" s="7" t="n"/>
      <c r="D145" s="15" t="n">
        <v>520</v>
      </c>
    </row>
    <row r="146">
      <c r="A146" s="7" t="n">
        <v>15104040</v>
      </c>
      <c r="B146" s="7" t="inlineStr">
        <is>
          <t>Precious Metals &amp; Minerals</t>
        </is>
      </c>
      <c r="C146" s="7" t="n"/>
      <c r="D146" s="15" t="n">
        <v>320</v>
      </c>
    </row>
    <row r="147">
      <c r="A147" s="7" t="n">
        <v>15104045</v>
      </c>
      <c r="B147" s="7" t="inlineStr">
        <is>
          <t>Silver</t>
        </is>
      </c>
      <c r="C147" s="7" t="n"/>
      <c r="D147" s="15" t="n">
        <v>520</v>
      </c>
    </row>
    <row r="148">
      <c r="A148" s="7" t="n">
        <v>15104050</v>
      </c>
      <c r="B148" s="7" t="inlineStr">
        <is>
          <t>Steel</t>
        </is>
      </c>
      <c r="C148" s="7" t="n"/>
      <c r="D148" s="15" t="n">
        <v>220</v>
      </c>
    </row>
    <row r="149">
      <c r="A149" s="7" t="n">
        <v>15105010</v>
      </c>
      <c r="B149" s="7" t="inlineStr">
        <is>
          <t>Forest Products</t>
        </is>
      </c>
      <c r="C149" s="7" t="n"/>
      <c r="D149" s="15" t="n">
        <v>420</v>
      </c>
    </row>
    <row r="150">
      <c r="A150" s="7" t="n">
        <v>15105020</v>
      </c>
      <c r="B150" s="7" t="inlineStr">
        <is>
          <t>Paper Products</t>
        </is>
      </c>
      <c r="C150" s="7" t="n"/>
      <c r="D150" s="15" t="n">
        <v>320</v>
      </c>
    </row>
    <row r="151">
      <c r="A151" s="7" t="n">
        <v>20101010</v>
      </c>
      <c r="B151" s="7" t="inlineStr">
        <is>
          <t>Aerospace &amp; Defense</t>
        </is>
      </c>
      <c r="C151" s="7" t="n"/>
      <c r="D151" s="15" t="n">
        <v>120</v>
      </c>
    </row>
    <row r="152">
      <c r="A152" s="7" t="n">
        <v>20102010</v>
      </c>
      <c r="B152" s="7" t="inlineStr">
        <is>
          <t>Building Products</t>
        </is>
      </c>
      <c r="C152" s="7" t="n"/>
      <c r="D152" s="15" t="n">
        <v>320</v>
      </c>
    </row>
    <row r="153">
      <c r="A153" s="7" t="n">
        <v>20103010</v>
      </c>
      <c r="B153" s="7" t="inlineStr">
        <is>
          <t>Construction &amp; Engineering</t>
        </is>
      </c>
      <c r="C153" s="7" t="n"/>
      <c r="D153" s="15" t="n">
        <v>520</v>
      </c>
    </row>
    <row r="154">
      <c r="A154" s="7" t="n">
        <v>20104010</v>
      </c>
      <c r="B154" s="7" t="inlineStr">
        <is>
          <t>Electrical Components &amp; Equipment</t>
        </is>
      </c>
      <c r="C154" s="7" t="n"/>
      <c r="D154" s="15" t="n">
        <v>220</v>
      </c>
    </row>
    <row r="155">
      <c r="A155" s="7" t="n">
        <v>20104020</v>
      </c>
      <c r="B155" s="7" t="inlineStr">
        <is>
          <t>Heavy Electrical Equipment</t>
        </is>
      </c>
      <c r="C155" s="7" t="n"/>
      <c r="D155" s="15" t="n">
        <v>120</v>
      </c>
    </row>
    <row r="156">
      <c r="A156" s="7" t="n">
        <v>20105010</v>
      </c>
      <c r="B156" s="7" t="inlineStr">
        <is>
          <t>Industrial Conglomerates</t>
        </is>
      </c>
      <c r="C156" s="7" t="n"/>
      <c r="D156" s="15" t="n">
        <v>420</v>
      </c>
    </row>
    <row r="157">
      <c r="A157" s="7" t="n">
        <v>20106010</v>
      </c>
      <c r="B157" s="7" t="inlineStr">
        <is>
          <t>Construction Machinery &amp; Heavy Transportation Equipment</t>
        </is>
      </c>
      <c r="C157" s="7" t="n"/>
      <c r="D157" s="15" t="n">
        <v>120</v>
      </c>
    </row>
    <row r="158">
      <c r="A158" s="7" t="n">
        <v>20106015</v>
      </c>
      <c r="B158" s="7" t="inlineStr">
        <is>
          <t>Agricultural &amp; Farm Machinery</t>
        </is>
      </c>
      <c r="C158" s="7" t="n"/>
      <c r="D158" s="15" t="n">
        <v>320</v>
      </c>
    </row>
    <row r="159">
      <c r="A159" s="7" t="n">
        <v>20106020</v>
      </c>
      <c r="B159" s="7" t="inlineStr">
        <is>
          <t>Industrial Machinery &amp; Supplies &amp; Components</t>
        </is>
      </c>
      <c r="C159" s="7" t="n"/>
      <c r="D159" s="15" t="n">
        <v>520</v>
      </c>
    </row>
    <row r="160">
      <c r="A160" s="7" t="n">
        <v>20107010</v>
      </c>
      <c r="B160" s="7" t="inlineStr">
        <is>
          <t>Trading Companies &amp; Distributors</t>
        </is>
      </c>
      <c r="C160" s="7" t="n"/>
      <c r="D160" s="15" t="n">
        <v>320</v>
      </c>
    </row>
    <row r="161">
      <c r="A161" s="7" t="n">
        <v>20201010</v>
      </c>
      <c r="B161" s="7" t="inlineStr">
        <is>
          <t>Commercial Printing</t>
        </is>
      </c>
      <c r="C161" s="7" t="n"/>
      <c r="D161" s="15" t="n">
        <v>320</v>
      </c>
    </row>
    <row r="162">
      <c r="A162" s="7" t="n">
        <v>20201050</v>
      </c>
      <c r="B162" s="7" t="inlineStr">
        <is>
          <t>Environmental &amp; Facilities Services</t>
        </is>
      </c>
      <c r="C162" s="7" t="n"/>
      <c r="D162" s="15" t="n">
        <v>320</v>
      </c>
    </row>
    <row r="163">
      <c r="A163" s="7" t="n">
        <v>20201060</v>
      </c>
      <c r="B163" s="7" t="inlineStr">
        <is>
          <t>Office Services &amp; Supplies</t>
        </is>
      </c>
      <c r="C163" s="7" t="n"/>
      <c r="D163" s="15" t="n">
        <v>220</v>
      </c>
    </row>
    <row r="164">
      <c r="A164" s="7" t="n">
        <v>20201070</v>
      </c>
      <c r="B164" s="7" t="inlineStr">
        <is>
          <t>Diversified Support Services</t>
        </is>
      </c>
      <c r="C164" s="7" t="n"/>
      <c r="D164" s="15" t="n">
        <v>120</v>
      </c>
    </row>
    <row r="165">
      <c r="A165" s="7" t="n">
        <v>20201080</v>
      </c>
      <c r="B165" s="7" t="inlineStr">
        <is>
          <t>Security &amp; Alarm Services</t>
        </is>
      </c>
      <c r="C165" s="7" t="n"/>
      <c r="D165" s="15" t="n">
        <v>420</v>
      </c>
    </row>
    <row r="166">
      <c r="A166" s="7" t="n">
        <v>20202010</v>
      </c>
      <c r="B166" s="7" t="inlineStr">
        <is>
          <t>Human Resource &amp; Employment Services</t>
        </is>
      </c>
      <c r="C166" s="7" t="n"/>
      <c r="D166" s="15" t="n">
        <v>520</v>
      </c>
    </row>
    <row r="167">
      <c r="A167" s="7" t="n">
        <v>20202020</v>
      </c>
      <c r="B167" s="7" t="inlineStr">
        <is>
          <t>Research &amp; Consulting Services</t>
        </is>
      </c>
      <c r="C167" s="7" t="n"/>
      <c r="D167" s="15" t="n">
        <v>420</v>
      </c>
    </row>
    <row r="168">
      <c r="A168" s="7" t="n">
        <v>20202030</v>
      </c>
      <c r="B168" s="7" t="inlineStr">
        <is>
          <t>Data Processing &amp; Outsourced Services</t>
        </is>
      </c>
      <c r="C168" s="7" t="n"/>
      <c r="D168" s="15" t="n">
        <v>220</v>
      </c>
    </row>
    <row r="169">
      <c r="A169" s="7" t="n">
        <v>20301010</v>
      </c>
      <c r="B169" s="7" t="inlineStr">
        <is>
          <t>Air Freight &amp; Logistics</t>
        </is>
      </c>
      <c r="C169" s="7" t="n"/>
      <c r="D169" s="15" t="n">
        <v>420</v>
      </c>
    </row>
    <row r="170">
      <c r="A170" s="7" t="n">
        <v>20302010</v>
      </c>
      <c r="B170" s="7" t="inlineStr">
        <is>
          <t>Passenger Airlines</t>
        </is>
      </c>
      <c r="C170" s="7" t="n"/>
      <c r="D170" s="15" t="n">
        <v>120</v>
      </c>
    </row>
    <row r="171">
      <c r="A171" s="7" t="n">
        <v>20303010</v>
      </c>
      <c r="B171" s="7" t="inlineStr">
        <is>
          <t>Marine Transportation</t>
        </is>
      </c>
      <c r="C171" s="7" t="n"/>
      <c r="D171" s="15" t="n">
        <v>320</v>
      </c>
    </row>
    <row r="172">
      <c r="A172" s="7" t="n">
        <v>20304010</v>
      </c>
      <c r="B172" s="7" t="inlineStr">
        <is>
          <t>Rail Transportation</t>
        </is>
      </c>
      <c r="C172" s="7" t="n"/>
      <c r="D172" s="15" t="n">
        <v>520</v>
      </c>
    </row>
    <row r="173">
      <c r="A173" s="7" t="n">
        <v>20304030</v>
      </c>
      <c r="B173" s="7" t="inlineStr">
        <is>
          <t>Cargo Ground Transportation</t>
        </is>
      </c>
      <c r="C173" s="7" t="n"/>
      <c r="D173" s="15" t="n">
        <v>320</v>
      </c>
    </row>
    <row r="174">
      <c r="A174" s="7" t="n">
        <v>20304040</v>
      </c>
      <c r="B174" s="7" t="inlineStr">
        <is>
          <t>Passenger Ground Transportation</t>
        </is>
      </c>
      <c r="C174" s="7" t="n"/>
      <c r="D174" s="15" t="n">
        <v>220</v>
      </c>
    </row>
    <row r="175">
      <c r="A175" s="7" t="n">
        <v>20305010</v>
      </c>
      <c r="B175" s="7" t="inlineStr">
        <is>
          <t>Airport Services</t>
        </is>
      </c>
      <c r="C175" s="7" t="n"/>
      <c r="D175" s="15" t="n">
        <v>220</v>
      </c>
    </row>
    <row r="176">
      <c r="A176" s="7" t="n">
        <v>20305020</v>
      </c>
      <c r="B176" s="7" t="inlineStr">
        <is>
          <t>Highways &amp; Railtracks</t>
        </is>
      </c>
      <c r="C176" s="7" t="n"/>
      <c r="D176" s="15" t="n">
        <v>120</v>
      </c>
    </row>
    <row r="177">
      <c r="A177" s="7" t="n">
        <v>20305030</v>
      </c>
      <c r="B177" s="7" t="inlineStr">
        <is>
          <t>Marine Ports &amp; Services</t>
        </is>
      </c>
      <c r="C177" s="7" t="n"/>
      <c r="D177" s="15" t="n">
        <v>520</v>
      </c>
    </row>
    <row r="178">
      <c r="A178" s="7" t="n">
        <v>25101010</v>
      </c>
      <c r="B178" s="7" t="inlineStr">
        <is>
          <t>Automotive Parts &amp; Equipment</t>
        </is>
      </c>
      <c r="C178" s="7" t="n"/>
      <c r="D178" s="15" t="n">
        <v>120</v>
      </c>
    </row>
    <row r="179">
      <c r="A179" s="7" t="n">
        <v>25101020</v>
      </c>
      <c r="B179" s="7" t="inlineStr">
        <is>
          <t>Tires &amp; Rubber</t>
        </is>
      </c>
      <c r="C179" s="7" t="n"/>
      <c r="D179" s="15" t="n">
        <v>520</v>
      </c>
    </row>
    <row r="180">
      <c r="A180" s="7" t="n">
        <v>25102010</v>
      </c>
      <c r="B180" s="7" t="inlineStr">
        <is>
          <t>Automobile Manufacturers</t>
        </is>
      </c>
      <c r="C180" s="7" t="n"/>
      <c r="D180" s="15" t="n">
        <v>320</v>
      </c>
    </row>
    <row r="181">
      <c r="A181" s="7" t="n">
        <v>25102020</v>
      </c>
      <c r="B181" s="7" t="inlineStr">
        <is>
          <t>Motorcycle Manufacturers</t>
        </is>
      </c>
      <c r="C181" s="7" t="n"/>
      <c r="D181" s="15" t="n">
        <v>220</v>
      </c>
    </row>
    <row r="182">
      <c r="A182" s="7" t="n">
        <v>25201010</v>
      </c>
      <c r="B182" s="7" t="inlineStr">
        <is>
          <t>Consumer Electronics</t>
        </is>
      </c>
      <c r="C182" s="7" t="n"/>
      <c r="D182" s="15" t="n">
        <v>320</v>
      </c>
    </row>
    <row r="183">
      <c r="A183" s="7" t="n">
        <v>25201020</v>
      </c>
      <c r="B183" s="7" t="inlineStr">
        <is>
          <t>Home Furnishings</t>
        </is>
      </c>
      <c r="C183" s="7" t="n"/>
      <c r="D183" s="15" t="n">
        <v>220</v>
      </c>
    </row>
    <row r="184">
      <c r="A184" s="7" t="n">
        <v>25201030</v>
      </c>
      <c r="B184" s="7" t="inlineStr">
        <is>
          <t>Homebuilding</t>
        </is>
      </c>
      <c r="C184" s="7" t="n"/>
      <c r="D184" s="15" t="n">
        <v>520</v>
      </c>
    </row>
    <row r="185">
      <c r="A185" s="7" t="n">
        <v>25201040</v>
      </c>
      <c r="B185" s="7" t="inlineStr">
        <is>
          <t>Household Appliances</t>
        </is>
      </c>
      <c r="C185" s="7" t="n"/>
      <c r="D185" s="15" t="n">
        <v>420</v>
      </c>
    </row>
    <row r="186">
      <c r="A186" s="7" t="n">
        <v>25201050</v>
      </c>
      <c r="B186" s="7" t="inlineStr">
        <is>
          <t>Housewares &amp; Specialties</t>
        </is>
      </c>
      <c r="C186" s="7" t="n"/>
      <c r="D186" s="15" t="n">
        <v>320</v>
      </c>
    </row>
    <row r="187">
      <c r="A187" s="7" t="n">
        <v>25202010</v>
      </c>
      <c r="B187" s="7" t="inlineStr">
        <is>
          <t>Leisure Products</t>
        </is>
      </c>
      <c r="C187" s="7" t="n"/>
      <c r="D187" s="15" t="n">
        <v>520</v>
      </c>
    </row>
    <row r="188">
      <c r="A188" s="7" t="n">
        <v>25203010</v>
      </c>
      <c r="B188" s="7" t="inlineStr">
        <is>
          <t>Apparel, Accessories &amp; Luxury Goods</t>
        </is>
      </c>
      <c r="C188" s="7" t="n"/>
      <c r="D188" s="15" t="n">
        <v>220</v>
      </c>
    </row>
    <row r="189">
      <c r="A189" s="7" t="n">
        <v>25203020</v>
      </c>
      <c r="B189" s="7" t="inlineStr">
        <is>
          <t>Footwear</t>
        </is>
      </c>
      <c r="C189" s="7" t="n"/>
      <c r="D189" s="15" t="n">
        <v>120</v>
      </c>
    </row>
    <row r="190">
      <c r="A190" s="7" t="n">
        <v>25203030</v>
      </c>
      <c r="B190" s="7" t="inlineStr">
        <is>
          <t>Textiles</t>
        </is>
      </c>
      <c r="C190" s="7" t="n"/>
      <c r="D190" s="15" t="n">
        <v>420</v>
      </c>
    </row>
    <row r="191">
      <c r="A191" s="7" t="n">
        <v>25301010</v>
      </c>
      <c r="B191" s="7" t="inlineStr">
        <is>
          <t>Casinos &amp; Gaming</t>
        </is>
      </c>
      <c r="C191" s="7" t="n"/>
      <c r="D191" s="15" t="n">
        <v>420</v>
      </c>
    </row>
    <row r="192">
      <c r="A192" s="7" t="n">
        <v>25301020</v>
      </c>
      <c r="B192" s="7" t="inlineStr">
        <is>
          <t>Hotels, Resorts &amp; Cruise Lines</t>
        </is>
      </c>
      <c r="C192" s="7" t="n"/>
      <c r="D192" s="15" t="n">
        <v>320</v>
      </c>
    </row>
    <row r="193">
      <c r="A193" s="7" t="n">
        <v>25301030</v>
      </c>
      <c r="B193" s="7" t="inlineStr">
        <is>
          <t>Leisure Facilities</t>
        </is>
      </c>
      <c r="C193" s="7" t="n"/>
      <c r="D193" s="15" t="n">
        <v>220</v>
      </c>
    </row>
    <row r="194">
      <c r="A194" s="7" t="n">
        <v>25301040</v>
      </c>
      <c r="B194" s="7" t="inlineStr">
        <is>
          <t>Restaurants</t>
        </is>
      </c>
      <c r="C194" s="7" t="n"/>
      <c r="D194" s="15" t="n">
        <v>120</v>
      </c>
    </row>
    <row r="195">
      <c r="A195" s="7" t="n">
        <v>25302010</v>
      </c>
      <c r="B195" s="7" t="inlineStr">
        <is>
          <t>Education Services</t>
        </is>
      </c>
      <c r="C195" s="7" t="n"/>
      <c r="D195" s="15" t="n">
        <v>120</v>
      </c>
    </row>
    <row r="196">
      <c r="A196" s="7" t="n">
        <v>25302020</v>
      </c>
      <c r="B196" s="7" t="inlineStr">
        <is>
          <t>Specialized Consumer Services</t>
        </is>
      </c>
      <c r="C196" s="7" t="n"/>
      <c r="D196" s="15" t="n">
        <v>520</v>
      </c>
    </row>
    <row r="197">
      <c r="A197" s="7" t="n">
        <v>25501010</v>
      </c>
      <c r="B197" s="7" t="inlineStr">
        <is>
          <t>Distributors</t>
        </is>
      </c>
      <c r="C197" s="7" t="n"/>
      <c r="D197" s="15" t="n">
        <v>320</v>
      </c>
    </row>
    <row r="198">
      <c r="A198" s="7" t="n">
        <v>25503030</v>
      </c>
      <c r="B198" s="7" t="inlineStr">
        <is>
          <t>Broadline Retail</t>
        </is>
      </c>
      <c r="C198" s="7" t="n"/>
      <c r="D198" s="15" t="n">
        <v>420</v>
      </c>
    </row>
    <row r="199">
      <c r="A199" s="7" t="n">
        <v>25504010</v>
      </c>
      <c r="B199" s="7" t="inlineStr">
        <is>
          <t>Apparel Retail</t>
        </is>
      </c>
      <c r="C199" s="7" t="n"/>
      <c r="D199" s="15" t="n">
        <v>420</v>
      </c>
    </row>
    <row r="200">
      <c r="A200" s="7" t="n">
        <v>25504020</v>
      </c>
      <c r="B200" s="7" t="inlineStr">
        <is>
          <t>Computer &amp; Electronics Retail</t>
        </is>
      </c>
      <c r="C200" s="7" t="n"/>
      <c r="D200" s="15" t="n">
        <v>220</v>
      </c>
    </row>
    <row r="201">
      <c r="A201" s="7" t="n">
        <v>25504030</v>
      </c>
      <c r="B201" s="7" t="inlineStr">
        <is>
          <t>Home Improvement Retail</t>
        </is>
      </c>
      <c r="C201" s="7" t="n"/>
      <c r="D201" s="15" t="n">
        <v>120</v>
      </c>
    </row>
    <row r="202">
      <c r="A202" s="7" t="n">
        <v>25504040</v>
      </c>
      <c r="B202" s="7" t="inlineStr">
        <is>
          <t>Other Specialty Retail</t>
        </is>
      </c>
      <c r="C202" s="7" t="n"/>
      <c r="D202" s="15" t="n">
        <v>520</v>
      </c>
    </row>
    <row r="203">
      <c r="A203" s="7" t="n">
        <v>25504050</v>
      </c>
      <c r="B203" s="7" t="inlineStr">
        <is>
          <t>Automotive Retail</t>
        </is>
      </c>
      <c r="C203" s="7" t="n"/>
      <c r="D203" s="15" t="n">
        <v>420</v>
      </c>
    </row>
    <row r="204">
      <c r="A204" s="7" t="n">
        <v>25504060</v>
      </c>
      <c r="B204" s="7" t="inlineStr">
        <is>
          <t>Homefurnishing Retail</t>
        </is>
      </c>
      <c r="C204" s="7" t="n"/>
      <c r="D204" s="15" t="n">
        <v>320</v>
      </c>
    </row>
    <row r="205">
      <c r="A205" s="7" t="n">
        <v>30101010</v>
      </c>
      <c r="B205" s="7" t="inlineStr">
        <is>
          <t>Drug Retail</t>
        </is>
      </c>
      <c r="C205" s="7" t="n"/>
      <c r="D205" s="15" t="n">
        <v>120</v>
      </c>
    </row>
    <row r="206">
      <c r="A206" s="7" t="n">
        <v>30101020</v>
      </c>
      <c r="B206" s="7" t="inlineStr">
        <is>
          <t>Food Distributors</t>
        </is>
      </c>
      <c r="C206" s="7" t="n"/>
      <c r="D206" s="15" t="n">
        <v>520</v>
      </c>
    </row>
    <row r="207">
      <c r="A207" s="7" t="n">
        <v>30101030</v>
      </c>
      <c r="B207" s="7" t="inlineStr">
        <is>
          <t>Food Retail</t>
        </is>
      </c>
      <c r="C207" s="7" t="n"/>
      <c r="D207" s="15" t="n">
        <v>420</v>
      </c>
    </row>
    <row r="208">
      <c r="A208" s="7" t="n">
        <v>30101040</v>
      </c>
      <c r="B208" s="7" t="inlineStr">
        <is>
          <t>Consumer Staples Merchandise Retail</t>
        </is>
      </c>
      <c r="C208" s="7" t="n"/>
      <c r="D208" s="15" t="n">
        <v>320</v>
      </c>
    </row>
    <row r="209">
      <c r="A209" s="7" t="n">
        <v>30201010</v>
      </c>
      <c r="B209" s="7" t="inlineStr">
        <is>
          <t>Brewers</t>
        </is>
      </c>
      <c r="C209" s="7" t="n"/>
      <c r="D209" s="15" t="n">
        <v>320</v>
      </c>
    </row>
    <row r="210">
      <c r="A210" s="7" t="n">
        <v>30201020</v>
      </c>
      <c r="B210" s="7" t="inlineStr">
        <is>
          <t>Distillers &amp; Vintners</t>
        </is>
      </c>
      <c r="C210" s="7" t="n"/>
      <c r="D210" s="15" t="n">
        <v>220</v>
      </c>
    </row>
    <row r="211">
      <c r="A211" s="7" t="n">
        <v>30201030</v>
      </c>
      <c r="B211" s="7" t="inlineStr">
        <is>
          <t>Soft Drinks &amp; Non-alcoholic Beverages</t>
        </is>
      </c>
      <c r="C211" s="7" t="n"/>
      <c r="D211" s="15" t="n">
        <v>120</v>
      </c>
    </row>
    <row r="212">
      <c r="A212" s="7" t="n">
        <v>30202010</v>
      </c>
      <c r="B212" s="7" t="inlineStr">
        <is>
          <t>Agricultural Products &amp; Services</t>
        </is>
      </c>
      <c r="C212" s="7" t="n"/>
      <c r="D212" s="15" t="n">
        <v>520</v>
      </c>
    </row>
    <row r="213">
      <c r="A213" s="7" t="n">
        <v>30202030</v>
      </c>
      <c r="B213" s="7" t="inlineStr">
        <is>
          <t>Packaged Foods &amp; Meats</t>
        </is>
      </c>
      <c r="C213" s="7" t="n"/>
      <c r="D213" s="15" t="n">
        <v>220</v>
      </c>
    </row>
    <row r="214">
      <c r="A214" s="7" t="n">
        <v>30203010</v>
      </c>
      <c r="B214" s="7" t="inlineStr">
        <is>
          <t>Tobacco</t>
        </is>
      </c>
      <c r="C214" s="7" t="n"/>
      <c r="D214" s="15" t="n">
        <v>220</v>
      </c>
    </row>
    <row r="215">
      <c r="A215" s="7" t="n">
        <v>30301010</v>
      </c>
      <c r="B215" s="7" t="inlineStr">
        <is>
          <t>Household Products</t>
        </is>
      </c>
      <c r="C215" s="7" t="n"/>
      <c r="D215" s="15" t="n">
        <v>420</v>
      </c>
    </row>
    <row r="216">
      <c r="A216" s="7" t="n">
        <v>30302010</v>
      </c>
      <c r="B216" s="7" t="inlineStr">
        <is>
          <t>Personal Care Products</t>
        </is>
      </c>
      <c r="C216" s="7" t="n"/>
      <c r="D216" s="15" t="n">
        <v>120</v>
      </c>
    </row>
    <row r="217">
      <c r="A217" s="7" t="n">
        <v>35101010</v>
      </c>
      <c r="B217" s="7" t="inlineStr">
        <is>
          <t>Health Care Equipment</t>
        </is>
      </c>
      <c r="C217" s="7" t="n"/>
      <c r="D217" s="15" t="n">
        <v>120</v>
      </c>
    </row>
    <row r="218">
      <c r="A218" s="7" t="n">
        <v>35101020</v>
      </c>
      <c r="B218" s="7" t="inlineStr">
        <is>
          <t>Health Care Supplies</t>
        </is>
      </c>
      <c r="C218" s="7" t="n"/>
      <c r="D218" s="15" t="n">
        <v>520</v>
      </c>
    </row>
    <row r="219">
      <c r="A219" s="7" t="n">
        <v>35102010</v>
      </c>
      <c r="B219" s="7" t="inlineStr">
        <is>
          <t>Health Care Distributors</t>
        </is>
      </c>
      <c r="C219" s="7" t="n"/>
      <c r="D219" s="15" t="n">
        <v>320</v>
      </c>
    </row>
    <row r="220">
      <c r="A220" s="7" t="n">
        <v>35102015</v>
      </c>
      <c r="B220" s="7" t="inlineStr">
        <is>
          <t>Health Care Services</t>
        </is>
      </c>
      <c r="C220" s="7" t="n"/>
      <c r="D220" s="15" t="n">
        <v>520</v>
      </c>
    </row>
    <row r="221">
      <c r="A221" s="7" t="n">
        <v>35102020</v>
      </c>
      <c r="B221" s="7" t="inlineStr">
        <is>
          <t>Health Care Facilities</t>
        </is>
      </c>
      <c r="C221" s="7" t="n"/>
      <c r="D221" s="15" t="n">
        <v>220</v>
      </c>
    </row>
    <row r="222">
      <c r="A222" s="7" t="n">
        <v>35102030</v>
      </c>
      <c r="B222" s="7" t="inlineStr">
        <is>
          <t>Managed Health Care</t>
        </is>
      </c>
      <c r="C222" s="7" t="n"/>
      <c r="D222" s="15" t="n">
        <v>120</v>
      </c>
    </row>
    <row r="223">
      <c r="A223" s="7" t="n">
        <v>35103010</v>
      </c>
      <c r="B223" s="7" t="inlineStr">
        <is>
          <t>Health Care Technology</t>
        </is>
      </c>
      <c r="C223" s="7" t="n"/>
      <c r="D223" s="15" t="n">
        <v>520</v>
      </c>
    </row>
    <row r="224">
      <c r="A224" s="7" t="n">
        <v>35201010</v>
      </c>
      <c r="B224" s="7" t="inlineStr">
        <is>
          <t>Biotechnology</t>
        </is>
      </c>
      <c r="C224" s="7" t="n"/>
      <c r="D224" s="15" t="n">
        <v>320</v>
      </c>
    </row>
    <row r="225">
      <c r="A225" s="7" t="n">
        <v>35202010</v>
      </c>
      <c r="B225" s="7" t="inlineStr">
        <is>
          <t>Pharmaceuticals</t>
        </is>
      </c>
      <c r="C225" s="7" t="n"/>
      <c r="D225" s="15" t="n">
        <v>520</v>
      </c>
    </row>
    <row r="226">
      <c r="A226" s="7" t="n">
        <v>35203010</v>
      </c>
      <c r="B226" s="7" t="inlineStr">
        <is>
          <t>Life Sciences Tools &amp; Services</t>
        </is>
      </c>
      <c r="C226" s="7" t="n"/>
      <c r="D226" s="15" t="n">
        <v>220</v>
      </c>
    </row>
    <row r="227">
      <c r="A227" s="7" t="n">
        <v>40101010</v>
      </c>
      <c r="B227" s="7" t="inlineStr">
        <is>
          <t>Diversified Banks</t>
        </is>
      </c>
      <c r="C227" s="7" t="n"/>
      <c r="D227" s="15" t="n">
        <v>120</v>
      </c>
    </row>
    <row r="228">
      <c r="A228" s="7" t="n">
        <v>40101015</v>
      </c>
      <c r="B228" s="7" t="inlineStr">
        <is>
          <t>Regional Banks</t>
        </is>
      </c>
      <c r="C228" s="7" t="n"/>
      <c r="D228" s="15" t="n">
        <v>320</v>
      </c>
    </row>
    <row r="229">
      <c r="A229" s="7" t="n">
        <v>40201020</v>
      </c>
      <c r="B229" s="7" t="inlineStr">
        <is>
          <t>Diversified Financial Services</t>
        </is>
      </c>
      <c r="C229" s="7" t="n"/>
      <c r="D229" s="15" t="n">
        <v>220</v>
      </c>
    </row>
    <row r="230">
      <c r="A230" s="7" t="n">
        <v>40201030</v>
      </c>
      <c r="B230" s="7" t="inlineStr">
        <is>
          <t>Multi-Sector Holdings</t>
        </is>
      </c>
      <c r="C230" s="7" t="n"/>
      <c r="D230" s="15" t="n">
        <v>120</v>
      </c>
    </row>
    <row r="231">
      <c r="A231" s="7" t="n">
        <v>40201040</v>
      </c>
      <c r="B231" s="7" t="inlineStr">
        <is>
          <t>Specialized Finance</t>
        </is>
      </c>
      <c r="C231" s="7" t="n"/>
      <c r="D231" s="15" t="n">
        <v>420</v>
      </c>
    </row>
    <row r="232">
      <c r="A232" s="7" t="n">
        <v>40201050</v>
      </c>
      <c r="B232" s="7" t="inlineStr">
        <is>
          <t>Commercial &amp; Residential Mortgage Finance</t>
        </is>
      </c>
      <c r="C232" s="7" t="n"/>
      <c r="D232" s="15" t="n">
        <v>320</v>
      </c>
    </row>
    <row r="233">
      <c r="A233" s="7" t="n">
        <v>40201060</v>
      </c>
      <c r="B233" s="7" t="inlineStr">
        <is>
          <t>Transaction &amp; Payment Processing Services</t>
        </is>
      </c>
      <c r="C233" s="7" t="n"/>
      <c r="D233" s="15" t="n">
        <v>220</v>
      </c>
    </row>
    <row r="234">
      <c r="A234" s="7" t="n">
        <v>40202010</v>
      </c>
      <c r="B234" s="7" t="inlineStr">
        <is>
          <t>Consumer Finance</t>
        </is>
      </c>
      <c r="C234" s="7" t="n"/>
      <c r="D234" s="15" t="n">
        <v>520</v>
      </c>
    </row>
    <row r="235">
      <c r="A235" s="7" t="n">
        <v>40203010</v>
      </c>
      <c r="B235" s="7" t="inlineStr">
        <is>
          <t>Asset Management &amp; Custody Banks</t>
        </is>
      </c>
      <c r="C235" s="7" t="n"/>
      <c r="D235" s="15" t="n">
        <v>220</v>
      </c>
    </row>
    <row r="236">
      <c r="A236" s="7" t="n">
        <v>40203020</v>
      </c>
      <c r="B236" s="7" t="inlineStr">
        <is>
          <t>Investment Banking &amp; Brokerage</t>
        </is>
      </c>
      <c r="C236" s="7" t="n"/>
      <c r="D236" s="15" t="n">
        <v>120</v>
      </c>
    </row>
    <row r="237">
      <c r="A237" s="7" t="n">
        <v>40203030</v>
      </c>
      <c r="B237" s="7" t="inlineStr">
        <is>
          <t>Diversified Capital Markets</t>
        </is>
      </c>
      <c r="C237" s="7" t="n"/>
      <c r="D237" s="15" t="n">
        <v>520</v>
      </c>
    </row>
    <row r="238">
      <c r="A238" s="7" t="n">
        <v>40203040</v>
      </c>
      <c r="B238" s="7" t="inlineStr">
        <is>
          <t>Financial Exchanges &amp; Data</t>
        </is>
      </c>
      <c r="C238" s="7" t="n"/>
      <c r="D238" s="15" t="n">
        <v>320</v>
      </c>
    </row>
    <row r="239">
      <c r="A239" s="7" t="n">
        <v>40204010</v>
      </c>
      <c r="B239" s="7" t="inlineStr">
        <is>
          <t>Mortgage REITs*</t>
        </is>
      </c>
      <c r="C239" s="7" t="n"/>
      <c r="D239" s="15" t="n">
        <v>420</v>
      </c>
    </row>
    <row r="240">
      <c r="A240" s="7" t="n">
        <v>40301010</v>
      </c>
      <c r="B240" s="7" t="inlineStr">
        <is>
          <t>Insurance Brokers</t>
        </is>
      </c>
      <c r="C240" s="7" t="n"/>
      <c r="D240" s="15" t="n">
        <v>520</v>
      </c>
    </row>
    <row r="241">
      <c r="A241" s="7" t="n">
        <v>40301020</v>
      </c>
      <c r="B241" s="7" t="inlineStr">
        <is>
          <t>Life &amp; Health Insurance</t>
        </is>
      </c>
      <c r="C241" s="7" t="n"/>
      <c r="D241" s="15" t="n">
        <v>320</v>
      </c>
    </row>
    <row r="242">
      <c r="A242" s="7" t="n">
        <v>40301030</v>
      </c>
      <c r="B242" s="7" t="inlineStr">
        <is>
          <t>Multi-line Insurance</t>
        </is>
      </c>
      <c r="C242" s="7" t="n"/>
      <c r="D242" s="15" t="n">
        <v>220</v>
      </c>
    </row>
    <row r="243">
      <c r="A243" s="7" t="n">
        <v>40301040</v>
      </c>
      <c r="B243" s="7" t="inlineStr">
        <is>
          <t>Property &amp; Casualty Insurance</t>
        </is>
      </c>
      <c r="C243" s="7" t="n"/>
      <c r="D243" s="15" t="n">
        <v>120</v>
      </c>
    </row>
    <row r="244">
      <c r="A244" s="7" t="n">
        <v>40301050</v>
      </c>
      <c r="B244" s="7" t="inlineStr">
        <is>
          <t>Reinsurance</t>
        </is>
      </c>
      <c r="C244" s="7" t="n"/>
      <c r="D244" s="15" t="n">
        <v>520</v>
      </c>
    </row>
    <row r="245">
      <c r="A245" s="7" t="n">
        <v>45102010</v>
      </c>
      <c r="B245" s="7" t="inlineStr">
        <is>
          <t>IT Consulting &amp; Other Services</t>
        </is>
      </c>
      <c r="C245" s="7" t="n"/>
      <c r="D245" s="15" t="n">
        <v>320</v>
      </c>
    </row>
    <row r="246">
      <c r="A246" s="7" t="n">
        <v>45102030</v>
      </c>
      <c r="B246" s="7" t="inlineStr">
        <is>
          <t>Internet Services &amp; Infrastructure</t>
        </is>
      </c>
      <c r="C246" s="7" t="n"/>
      <c r="D246" s="15" t="n">
        <v>120</v>
      </c>
    </row>
    <row r="247">
      <c r="A247" s="7" t="n">
        <v>45103010</v>
      </c>
      <c r="B247" s="7" t="inlineStr">
        <is>
          <t>Application Software</t>
        </is>
      </c>
      <c r="C247" s="7" t="n"/>
      <c r="D247" s="15" t="n">
        <v>520</v>
      </c>
    </row>
    <row r="248">
      <c r="A248" s="7" t="n">
        <v>45103020</v>
      </c>
      <c r="B248" s="7" t="inlineStr">
        <is>
          <t>Systems Software</t>
        </is>
      </c>
      <c r="C248" s="7" t="n"/>
      <c r="D248" s="15" t="n">
        <v>420</v>
      </c>
    </row>
    <row r="249">
      <c r="A249" s="7" t="n">
        <v>45201020</v>
      </c>
      <c r="B249" s="7" t="inlineStr">
        <is>
          <t>Communications Equipment</t>
        </is>
      </c>
      <c r="C249" s="7" t="n"/>
      <c r="D249" s="15" t="n">
        <v>220</v>
      </c>
    </row>
    <row r="250">
      <c r="A250" s="7" t="n">
        <v>45202030</v>
      </c>
      <c r="B250" s="7" t="inlineStr">
        <is>
          <t>Technology Hardware, Storage &amp; Peripherals</t>
        </is>
      </c>
      <c r="C250" s="7" t="n"/>
      <c r="D250" s="15" t="n">
        <v>320</v>
      </c>
    </row>
    <row r="251">
      <c r="A251" s="7" t="n">
        <v>45203010</v>
      </c>
      <c r="B251" s="7" t="inlineStr">
        <is>
          <t>Electronic Equipment &amp; Instruments</t>
        </is>
      </c>
      <c r="C251" s="7" t="n"/>
      <c r="D251" s="15" t="n">
        <v>220</v>
      </c>
    </row>
    <row r="252">
      <c r="A252" s="7" t="n">
        <v>45203015</v>
      </c>
      <c r="B252" s="7" t="inlineStr">
        <is>
          <t>Electronic Components</t>
        </is>
      </c>
      <c r="C252" s="7" t="n"/>
      <c r="D252" s="15" t="n">
        <v>420</v>
      </c>
    </row>
    <row r="253">
      <c r="A253" s="7" t="n">
        <v>45203020</v>
      </c>
      <c r="B253" s="7" t="inlineStr">
        <is>
          <t>Electronic Manufacturing Services</t>
        </is>
      </c>
      <c r="C253" s="7" t="n"/>
      <c r="D253" s="15" t="n">
        <v>120</v>
      </c>
    </row>
    <row r="254">
      <c r="A254" s="7" t="n">
        <v>45203030</v>
      </c>
      <c r="B254" s="7" t="inlineStr">
        <is>
          <t>Technology Distributors</t>
        </is>
      </c>
      <c r="C254" s="7" t="n"/>
      <c r="D254" s="15" t="n">
        <v>520</v>
      </c>
    </row>
    <row r="255">
      <c r="A255" s="7" t="n">
        <v>45301010</v>
      </c>
      <c r="B255" s="7" t="inlineStr">
        <is>
          <t>Semiconductor Materials &amp; Equipment</t>
        </is>
      </c>
      <c r="C255" s="7" t="n"/>
      <c r="D255" s="15" t="n">
        <v>520</v>
      </c>
    </row>
    <row r="256">
      <c r="A256" s="7" t="n">
        <v>45301020</v>
      </c>
      <c r="B256" s="7" t="inlineStr">
        <is>
          <t>Semiconductors</t>
        </is>
      </c>
      <c r="C256" s="7" t="n"/>
      <c r="D256" s="15" t="n">
        <v>420</v>
      </c>
    </row>
    <row r="257">
      <c r="A257" s="7" t="n">
        <v>50101010</v>
      </c>
      <c r="B257" s="7" t="inlineStr">
        <is>
          <t>Alternative Carriers</t>
        </is>
      </c>
      <c r="C257" s="7" t="n"/>
      <c r="D257" s="15" t="n">
        <v>220</v>
      </c>
    </row>
    <row r="258">
      <c r="A258" s="7" t="n">
        <v>50101020</v>
      </c>
      <c r="B258" s="7" t="inlineStr">
        <is>
          <t>Integrated Telecommunication Services</t>
        </is>
      </c>
      <c r="C258" s="7" t="n"/>
      <c r="D258" s="15" t="n">
        <v>520</v>
      </c>
    </row>
    <row r="259">
      <c r="A259" s="7" t="n">
        <v>50102010</v>
      </c>
      <c r="B259" s="7" t="inlineStr">
        <is>
          <t>Wireless Telecommunication Services</t>
        </is>
      </c>
      <c r="C259" s="7" t="n"/>
      <c r="D259" s="15" t="n">
        <v>420</v>
      </c>
    </row>
    <row r="260">
      <c r="A260" s="7" t="n">
        <v>50201010</v>
      </c>
      <c r="B260" s="7" t="inlineStr">
        <is>
          <t>Advertising</t>
        </is>
      </c>
      <c r="C260" s="7" t="n"/>
      <c r="D260" s="15" t="n">
        <v>320</v>
      </c>
    </row>
    <row r="261">
      <c r="A261" s="7" t="n">
        <v>50201020</v>
      </c>
      <c r="B261" s="7" t="inlineStr">
        <is>
          <t>Broadcasting</t>
        </is>
      </c>
      <c r="C261" s="7" t="n"/>
      <c r="D261" s="15" t="n">
        <v>220</v>
      </c>
    </row>
    <row r="262">
      <c r="A262" s="7" t="n">
        <v>50201030</v>
      </c>
      <c r="B262" s="7" t="inlineStr">
        <is>
          <t>Cable &amp; Satellite</t>
        </is>
      </c>
      <c r="C262" s="7" t="n"/>
      <c r="D262" s="15" t="n">
        <v>120</v>
      </c>
    </row>
    <row r="263">
      <c r="A263" s="7" t="n">
        <v>50201040</v>
      </c>
      <c r="B263" s="7" t="inlineStr">
        <is>
          <t>Publishing</t>
        </is>
      </c>
      <c r="C263" s="7" t="n"/>
      <c r="D263" s="15" t="n">
        <v>520</v>
      </c>
    </row>
    <row r="264">
      <c r="A264" s="7" t="n">
        <v>50202010</v>
      </c>
      <c r="B264" s="7" t="inlineStr">
        <is>
          <t>Movies &amp; Entertainment</t>
        </is>
      </c>
      <c r="C264" s="7" t="n"/>
      <c r="D264" s="15" t="n">
        <v>520</v>
      </c>
    </row>
    <row r="265">
      <c r="A265" s="7" t="n">
        <v>50202020</v>
      </c>
      <c r="B265" s="7" t="inlineStr">
        <is>
          <t>Interactive Home Entertainment</t>
        </is>
      </c>
      <c r="C265" s="7" t="n"/>
      <c r="D265" s="15" t="n">
        <v>420</v>
      </c>
    </row>
    <row r="266">
      <c r="A266" s="7" t="n">
        <v>50203010</v>
      </c>
      <c r="B266" s="7" t="inlineStr">
        <is>
          <t>Interactive Media &amp; Services</t>
        </is>
      </c>
      <c r="C266" s="7" t="n"/>
      <c r="D266" s="15" t="n">
        <v>220</v>
      </c>
    </row>
    <row r="267">
      <c r="A267" s="7" t="n">
        <v>55101010</v>
      </c>
      <c r="B267" s="7" t="inlineStr">
        <is>
          <t>Electric Utilities</t>
        </is>
      </c>
      <c r="C267" s="7" t="n"/>
      <c r="D267" s="15" t="n">
        <v>220</v>
      </c>
    </row>
    <row r="268">
      <c r="A268" s="7" t="n">
        <v>55102010</v>
      </c>
      <c r="B268" s="7" t="inlineStr">
        <is>
          <t>Gas Utilities</t>
        </is>
      </c>
      <c r="C268" s="7" t="n"/>
      <c r="D268" s="15" t="n">
        <v>420</v>
      </c>
    </row>
    <row r="269">
      <c r="A269" s="7" t="n">
        <v>55103010</v>
      </c>
      <c r="B269" s="7" t="inlineStr">
        <is>
          <t>Multi-Utilities</t>
        </is>
      </c>
      <c r="C269" s="7" t="n"/>
      <c r="D269" s="15" t="n">
        <v>120</v>
      </c>
    </row>
    <row r="270">
      <c r="A270" s="7" t="n">
        <v>55104010</v>
      </c>
      <c r="B270" s="7" t="inlineStr">
        <is>
          <t>Water Utilities</t>
        </is>
      </c>
      <c r="C270" s="7" t="n"/>
      <c r="D270" s="15" t="n">
        <v>320</v>
      </c>
    </row>
    <row r="271">
      <c r="A271" s="7" t="n">
        <v>55105010</v>
      </c>
      <c r="B271" s="7" t="inlineStr">
        <is>
          <t>Independent Power Producers &amp; Energy Traders</t>
        </is>
      </c>
      <c r="C271" s="7" t="n"/>
      <c r="D271" s="15" t="n">
        <v>420</v>
      </c>
    </row>
    <row r="272">
      <c r="A272" s="7" t="n">
        <v>55105020</v>
      </c>
      <c r="B272" s="7" t="inlineStr">
        <is>
          <t>Renewable Electricity</t>
        </is>
      </c>
      <c r="C272" s="7" t="n"/>
      <c r="D272" s="15" t="n">
        <v>320</v>
      </c>
    </row>
    <row r="273">
      <c r="A273" s="7" t="n">
        <v>60101010</v>
      </c>
      <c r="B273" s="7" t="inlineStr">
        <is>
          <t>Diversified REITs*</t>
        </is>
      </c>
      <c r="C273" s="7" t="n"/>
      <c r="D273" s="15" t="n">
        <v>220</v>
      </c>
    </row>
    <row r="274">
      <c r="A274" s="7" t="n">
        <v>60102510</v>
      </c>
      <c r="B274" s="7" t="inlineStr">
        <is>
          <t>Industrial REITs*</t>
        </is>
      </c>
      <c r="C274" s="7" t="n"/>
      <c r="D274" s="15" t="n">
        <v>520</v>
      </c>
    </row>
    <row r="275">
      <c r="A275" s="7" t="n">
        <v>60103010</v>
      </c>
      <c r="B275" s="7" t="inlineStr">
        <is>
          <t>Hotel &amp; Resort REITs*</t>
        </is>
      </c>
      <c r="C275" s="7" t="n"/>
      <c r="D275" s="15" t="n">
        <v>120</v>
      </c>
    </row>
    <row r="276">
      <c r="A276" s="7" t="n">
        <v>60104010</v>
      </c>
      <c r="B276" s="7" t="inlineStr">
        <is>
          <t>Office REITs*</t>
        </is>
      </c>
      <c r="C276" s="7" t="n"/>
      <c r="D276" s="15" t="n">
        <v>320</v>
      </c>
    </row>
    <row r="277">
      <c r="A277" s="7" t="n">
        <v>60105010</v>
      </c>
      <c r="B277" s="7" t="inlineStr">
        <is>
          <t>Health Care REITs*</t>
        </is>
      </c>
      <c r="C277" s="7" t="n"/>
      <c r="D277" s="15" t="n">
        <v>520</v>
      </c>
    </row>
    <row r="278">
      <c r="A278" s="7" t="n">
        <v>60106010</v>
      </c>
      <c r="B278" s="7" t="inlineStr">
        <is>
          <t>Multi-Family Residential REITs*</t>
        </is>
      </c>
      <c r="C278" s="7" t="n"/>
      <c r="D278" s="15" t="n">
        <v>220</v>
      </c>
    </row>
    <row r="279">
      <c r="A279" s="7" t="n">
        <v>60106020</v>
      </c>
      <c r="B279" s="7" t="inlineStr">
        <is>
          <t>Single-Family Residential REITs*</t>
        </is>
      </c>
      <c r="C279" s="7" t="n"/>
      <c r="D279" s="15" t="n">
        <v>520</v>
      </c>
    </row>
    <row r="280">
      <c r="A280" s="7" t="n">
        <v>60107010</v>
      </c>
      <c r="B280" s="7" t="inlineStr">
        <is>
          <t>Retail REITs*</t>
        </is>
      </c>
      <c r="C280" s="7" t="n"/>
      <c r="D280" s="15" t="n">
        <v>320</v>
      </c>
    </row>
    <row r="281">
      <c r="A281" s="7" t="n">
        <v>60108010</v>
      </c>
      <c r="B281" s="7" t="inlineStr">
        <is>
          <t>Other Specialized REITs*</t>
        </is>
      </c>
      <c r="C281" s="7" t="n"/>
      <c r="D281" s="15" t="n">
        <v>520</v>
      </c>
    </row>
    <row r="282">
      <c r="A282" s="7" t="n">
        <v>60108020</v>
      </c>
      <c r="B282" s="7" t="inlineStr">
        <is>
          <t>Self-Storage REITs*</t>
        </is>
      </c>
      <c r="C282" s="7" t="n"/>
      <c r="D282" s="15" t="n">
        <v>420</v>
      </c>
    </row>
    <row r="283">
      <c r="A283" s="7" t="n">
        <v>60108030</v>
      </c>
      <c r="B283" s="7" t="inlineStr">
        <is>
          <t>Telecom Tower REITs*</t>
        </is>
      </c>
      <c r="C283" s="7" t="n"/>
      <c r="D283" s="15" t="n">
        <v>320</v>
      </c>
    </row>
    <row r="284">
      <c r="A284" s="7" t="n">
        <v>60108040</v>
      </c>
      <c r="B284" s="7" t="inlineStr">
        <is>
          <t>Timber REITs*</t>
        </is>
      </c>
      <c r="C284" s="7" t="n"/>
      <c r="D284" s="15" t="n">
        <v>220</v>
      </c>
    </row>
    <row r="285">
      <c r="A285" s="7" t="n">
        <v>60108050</v>
      </c>
      <c r="B285" s="7" t="inlineStr">
        <is>
          <t>Data Center REITs*</t>
        </is>
      </c>
      <c r="C285" s="7" t="n"/>
      <c r="D285" s="15" t="n">
        <v>120</v>
      </c>
    </row>
    <row r="286">
      <c r="A286" s="7" t="n">
        <v>60201010</v>
      </c>
      <c r="B286" s="7" t="inlineStr">
        <is>
          <t>Diversified Real Estate Activities</t>
        </is>
      </c>
      <c r="C286" s="7" t="n"/>
      <c r="D286" s="15" t="n">
        <v>320</v>
      </c>
    </row>
    <row r="287">
      <c r="A287" s="7" t="n">
        <v>60201020</v>
      </c>
      <c r="B287" s="7" t="inlineStr">
        <is>
          <t>Real Estate Operating Companies</t>
        </is>
      </c>
      <c r="C287" s="7" t="n"/>
      <c r="D287" s="15" t="n">
        <v>220</v>
      </c>
    </row>
    <row r="288">
      <c r="A288" s="7" t="n">
        <v>60201030</v>
      </c>
      <c r="B288" s="7" t="inlineStr">
        <is>
          <t>Real Estate Development</t>
        </is>
      </c>
      <c r="C288" s="7" t="n"/>
      <c r="D288" s="15" t="n">
        <v>120</v>
      </c>
    </row>
    <row r="289">
      <c r="A289" s="7" t="n">
        <v>60201040</v>
      </c>
      <c r="B289" s="7" t="inlineStr">
        <is>
          <t>Real Estate Services</t>
        </is>
      </c>
      <c r="C289" s="7" t="n"/>
      <c r="D289" s="15" t="n">
        <v>520</v>
      </c>
    </row>
  </sheetData>
  <mergeCells count="5">
    <mergeCell ref="A1:D1"/>
    <mergeCell ref="A18:D18"/>
    <mergeCell ref="A3:D3"/>
    <mergeCell ref="A125:D125"/>
    <mergeCell ref="A47:D4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6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outlineLevelCol="0"/>
  <cols>
    <col width="10" customWidth="1" min="1" max="1"/>
    <col width="30" customWidth="1" min="2" max="2"/>
    <col width="9" customWidth="1" min="3" max="3"/>
    <col width="10" customWidth="1" min="4" max="4"/>
    <col width="10" customWidth="1" min="5" max="5"/>
    <col width="14" customWidth="1" min="6" max="6"/>
    <col width="14" customWidth="1" min="7" max="7"/>
    <col width="12" customWidth="1" min="8" max="8"/>
    <col width="14" customWidth="1" min="9" max="9"/>
    <col width="14" customWidth="1" min="10" max="10"/>
    <col width="13" customWidth="1" min="11" max="11"/>
    <col width="13" customWidth="1" min="12" max="12"/>
    <col width="13" customWidth="1" min="13" max="13"/>
    <col width="13" customWidth="1" min="14" max="14"/>
    <col width="13" customWidth="1" min="15" max="15"/>
    <col width="26" customWidth="1" min="16" max="16"/>
    <col width="17" customWidth="1" min="17" max="17"/>
    <col width="22" customWidth="1" min="18" max="18"/>
    <col width="13" customWidth="1" min="19" max="19"/>
    <col width="13" customWidth="1" min="20" max="20"/>
    <col width="13" customWidth="1" min="21" max="21"/>
    <col width="13" customWidth="1" min="22" max="22"/>
    <col width="15" customWidth="1" min="23" max="23"/>
    <col width="20" customWidth="1" min="24" max="24"/>
  </cols>
  <sheetData>
    <row r="1" ht="54" customHeight="1">
      <c r="A1" t="inlineStr">
        <is>
          <t>STEP 6 — 163 sub-industries. Columns G-L: real-data EV/EBITDA (both weighting bases). Columns M-P: beta cascade (RelBeta_L2/L3/L4, from 4_UK_Beta_Input — DUMMY until you paste real data), used as the EV/EBITDA fallback and shown as an alternative Revenue differentiator. Columns V-AA: issuer default-risk-spread cascade (from 5_UK_DefaultRisk_Input — DUMMY), a THIRD EV/EBITDA basis — used for EV/EBITDA only, not Revenue, for the same reason levered beta isn't: a credit spread embeds financing/leverage risk, not pure operating cyclicality, so it isn't the right differentiator for a pre-financing metric like revenue.</t>
        </is>
      </c>
    </row>
    <row r="2" ht="36" customHeight="1">
      <c r="A2" s="6" t="inlineStr">
        <is>
          <t>Sub-Ind
Code</t>
        </is>
      </c>
      <c r="B2" s="6" t="inlineStr">
        <is>
          <t>Sub-Industry</t>
        </is>
      </c>
      <c r="C2" s="6" t="inlineStr">
        <is>
          <t>Sector
Code</t>
        </is>
      </c>
      <c r="D2" s="6" t="inlineStr">
        <is>
          <t>Industry
Code</t>
        </is>
      </c>
      <c r="E2" s="6" t="inlineStr">
        <is>
          <t>IG
Code</t>
        </is>
      </c>
      <c r="F2" s="6" t="inlineStr">
        <is>
          <t>Real UK
Revenue</t>
        </is>
      </c>
      <c r="G2" s="6" t="inlineStr">
        <is>
          <t>Real UK
Multiple Used</t>
        </is>
      </c>
      <c r="H2" s="6" t="inlineStr">
        <is>
          <t>Sector Avg Mult
(Rev-Wtd)</t>
        </is>
      </c>
      <c r="I2" s="6" t="inlineStr">
        <is>
          <t>Sector Avg Mult
(Eq-Wtd)</t>
        </is>
      </c>
      <c r="J2" s="6" t="inlineStr">
        <is>
          <t>RelMultiple
(Rev-Wtd)</t>
        </is>
      </c>
      <c r="K2" s="6" t="inlineStr">
        <is>
          <t>RelMultiple
(Eq-Wtd)</t>
        </is>
      </c>
      <c r="L2" s="6" t="inlineStr">
        <is>
          <t>Sector
Beta</t>
        </is>
      </c>
      <c r="M2" s="6" t="inlineStr">
        <is>
          <t>IG
Beta</t>
        </is>
      </c>
      <c r="N2" s="6" t="inlineStr">
        <is>
          <t>Industry
Beta</t>
        </is>
      </c>
      <c r="O2" s="6" t="inlineStr">
        <is>
          <t>Sub-Ind
Beta</t>
        </is>
      </c>
      <c r="P2" s="6" t="inlineStr">
        <is>
          <t>RelBeta
L2 x L3 x L4</t>
        </is>
      </c>
      <c r="Q2" s="6" t="inlineStr">
        <is>
          <t>EV/EBITDA Shock
(Rev-Wtd basis)</t>
        </is>
      </c>
      <c r="R2" s="6" t="inlineStr">
        <is>
          <t>EV/EBITDA Shock
(Eq-Wtd basis)</t>
        </is>
      </c>
      <c r="S2" s="6" t="inlineStr">
        <is>
          <t>EV/EBITDA
Source</t>
        </is>
      </c>
      <c r="T2" s="6" t="inlineStr">
        <is>
          <t>Revenue Shock
(flat pass-through)</t>
        </is>
      </c>
      <c r="U2" s="6" t="inlineStr">
        <is>
          <t>Revenue Shock
(beta cascade)</t>
        </is>
      </c>
      <c r="V2" s="6" t="inlineStr">
        <is>
          <t>Sector
Spread bps</t>
        </is>
      </c>
      <c r="W2" s="6" t="inlineStr">
        <is>
          <t>IG
Spread bps</t>
        </is>
      </c>
      <c r="X2" s="6" t="inlineStr">
        <is>
          <t>Industry
Spread bps</t>
        </is>
      </c>
      <c r="Y2" s="6" t="inlineStr">
        <is>
          <t>Sub-Ind
Spread bps</t>
        </is>
      </c>
      <c r="Z2" s="6" t="inlineStr">
        <is>
          <t>RelSpread
L2 x L3 x L4</t>
        </is>
      </c>
      <c r="AA2" s="6" t="inlineStr">
        <is>
          <t>EV/EBITDA Shock
(Spread basis, dummy)</t>
        </is>
      </c>
    </row>
    <row r="3">
      <c r="A3" s="7" t="n">
        <v>10101010</v>
      </c>
      <c r="B3" s="7" t="inlineStr">
        <is>
          <t>Oil &amp; Gas Drilling</t>
        </is>
      </c>
      <c r="C3" s="7" t="n">
        <v>10</v>
      </c>
      <c r="D3" s="7" t="n">
        <v>101010</v>
      </c>
      <c r="E3" s="7" t="n">
        <v>1010</v>
      </c>
      <c r="F3" s="9" t="n">
        <v>554970000</v>
      </c>
      <c r="G3" s="10" t="n">
        <v>3.74</v>
      </c>
      <c r="H3" s="16">
        <f>IFERROR(SUMPRODUCT(($C$3:$C$165=C3)*ISNUMBER($G$3:$G$165)*ISNUMBER($F$3:$F$165)*IF(ISNUMBER($F$3:$F$165),$F$3:$F$165,0)*IF(ISNUMBER($G$3:$G$165),$G$3:$G$165,0))/SUMPRODUCT(($C$3:$C$165=C3)*ISNUMBER($G$3:$G$165)*ISNUMBER($F$3:$F$165)*IF(ISNUMBER($F$3:$F$165),$F$3:$F$165,0)),"")</f>
        <v/>
      </c>
      <c r="I3" s="16">
        <f>IFERROR(SUMPRODUCT(($C$3:$C$165=C3)*ISNUMBER($G$3:$G$165)*IF(ISNUMBER($G$3:$G$165),$G$3:$G$165,0))/SUMPRODUCT(($C$3:$C$165=C3)*ISNUMBER($G$3:$G$165)),"")</f>
        <v/>
      </c>
      <c r="J3" s="16">
        <f>IF(OR(G3="",H3=""),"",G3/H3)</f>
        <v/>
      </c>
      <c r="K3" s="16">
        <f>IF(OR(G3="",I3=""),"",G3/I3)</f>
        <v/>
      </c>
      <c r="L3" s="14">
        <f>INDEX('4_UK_Beta_Input'!$D$5:$D$15,MATCH($C3,'4_UK_Beta_Input'!$A$5:$A$15,0))</f>
        <v/>
      </c>
      <c r="M3" s="14">
        <f>INDEX('4_UK_Beta_Input'!$D$20:$D$44,MATCH($E3,'4_UK_Beta_Input'!$A$20:$A$44,0))</f>
        <v/>
      </c>
      <c r="N3" s="14">
        <f>INDEX('4_UK_Beta_Input'!$D$49:$D$122,MATCH($D3,'4_UK_Beta_Input'!$A$49:$A$122,0))</f>
        <v/>
      </c>
      <c r="O3" s="14">
        <f>INDEX('4_UK_Beta_Input'!$D$127:$D$289,MATCH($A3,'4_UK_Beta_Input'!$A$127:$A$289,0))</f>
        <v/>
      </c>
      <c r="P3" s="16">
        <f>(M3/L3)*(N3/M3)*(O3/N3)</f>
        <v/>
      </c>
      <c r="Q3" s="17">
        <f>IF(J3="",INDEX('3_UK_L1_Input'!$D$4:$D$14,MATCH($C3,'3_UK_L1_Input'!$A$4:$A$14,0))*P3,INDEX('3_UK_L1_Input'!$D$4:$D$14,MATCH($C3,'3_UK_L1_Input'!$A$4:$A$14,0))*J3)</f>
        <v/>
      </c>
      <c r="R3" s="17">
        <f>IF(K3="",INDEX('3_UK_L1_Input'!$D$4:$D$14,MATCH($C3,'3_UK_L1_Input'!$A$4:$A$14,0))*P3,INDEX('3_UK_L1_Input'!$D$4:$D$14,MATCH($C3,'3_UK_L1_Input'!$A$4:$A$14,0))*K3)</f>
        <v/>
      </c>
      <c r="S3" s="18">
        <f>IF(G3="","BETA CASCADE FALLBACK (dummy — replace with real beta)","REAL (Bloomberg UK)")</f>
        <v/>
      </c>
      <c r="T3" s="17">
        <f>INDEX('3_UK_L1_Input'!$C$4:$C$14,MATCH($C3,'3_UK_L1_Input'!$A$4:$A$14,0))</f>
        <v/>
      </c>
      <c r="U3" s="17">
        <f>INDEX('3_UK_L1_Input'!$C$4:$C$14,MATCH($C3,'3_UK_L1_Input'!$A$4:$A$14,0))*P3</f>
        <v/>
      </c>
      <c r="V3" s="15">
        <f>INDEX('5_UK_DefaultRisk_Input'!$D$5:$D$15,MATCH($C3,'5_UK_DefaultRisk_Input'!$A$5:$A$15,0))</f>
        <v/>
      </c>
      <c r="W3" s="15">
        <f>INDEX('5_UK_DefaultRisk_Input'!$D$20:$D$44,MATCH($E3,'5_UK_DefaultRisk_Input'!$A$20:$A$44,0))</f>
        <v/>
      </c>
      <c r="X3" s="15">
        <f>INDEX('5_UK_DefaultRisk_Input'!$D$49:$D$122,MATCH($D3,'5_UK_DefaultRisk_Input'!$A$49:$A$122,0))</f>
        <v/>
      </c>
      <c r="Y3" s="15">
        <f>INDEX('5_UK_DefaultRisk_Input'!$D$127:$D$289,MATCH($A3,'5_UK_DefaultRisk_Input'!$A$127:$A$289,0))</f>
        <v/>
      </c>
      <c r="Z3" s="16">
        <f>(W3/V3)*(X3/W3)*(Y3/X3)</f>
        <v/>
      </c>
      <c r="AA3" s="17">
        <f>INDEX('3_UK_L1_Input'!$D$4:$D$14,MATCH($C3,'3_UK_L1_Input'!$A$4:$A$14,0))*Z3</f>
        <v/>
      </c>
    </row>
    <row r="4">
      <c r="A4" s="7" t="n">
        <v>10101020</v>
      </c>
      <c r="B4" s="7" t="inlineStr">
        <is>
          <t>Oil &amp; Gas Equipment &amp; Services</t>
        </is>
      </c>
      <c r="C4" s="7" t="n">
        <v>10</v>
      </c>
      <c r="D4" s="7" t="n">
        <v>101010</v>
      </c>
      <c r="E4" s="7" t="n">
        <v>1010</v>
      </c>
      <c r="F4" s="9" t="n">
        <v>2690000000</v>
      </c>
      <c r="G4" s="10" t="n">
        <v>8.220000000000001</v>
      </c>
      <c r="H4" s="16">
        <f>IFERROR(SUMPRODUCT(($C$3:$C$165=C4)*ISNUMBER($G$3:$G$165)*ISNUMBER($F$3:$F$165)*IF(ISNUMBER($F$3:$F$165),$F$3:$F$165,0)*IF(ISNUMBER($G$3:$G$165),$G$3:$G$165,0))/SUMPRODUCT(($C$3:$C$165=C4)*ISNUMBER($G$3:$G$165)*ISNUMBER($F$3:$F$165)*IF(ISNUMBER($F$3:$F$165),$F$3:$F$165,0)),"")</f>
        <v/>
      </c>
      <c r="I4" s="16">
        <f>IFERROR(SUMPRODUCT(($C$3:$C$165=C4)*ISNUMBER($G$3:$G$165)*IF(ISNUMBER($G$3:$G$165),$G$3:$G$165,0))/SUMPRODUCT(($C$3:$C$165=C4)*ISNUMBER($G$3:$G$165)),"")</f>
        <v/>
      </c>
      <c r="J4" s="16">
        <f>IF(OR(G4="",H4=""),"",G4/H4)</f>
        <v/>
      </c>
      <c r="K4" s="16">
        <f>IF(OR(G4="",I4=""),"",G4/I4)</f>
        <v/>
      </c>
      <c r="L4" s="14">
        <f>INDEX('4_UK_Beta_Input'!$D$5:$D$15,MATCH($C4,'4_UK_Beta_Input'!$A$5:$A$15,0))</f>
        <v/>
      </c>
      <c r="M4" s="14">
        <f>INDEX('4_UK_Beta_Input'!$D$20:$D$44,MATCH($E4,'4_UK_Beta_Input'!$A$20:$A$44,0))</f>
        <v/>
      </c>
      <c r="N4" s="14">
        <f>INDEX('4_UK_Beta_Input'!$D$49:$D$122,MATCH($D4,'4_UK_Beta_Input'!$A$49:$A$122,0))</f>
        <v/>
      </c>
      <c r="O4" s="14">
        <f>INDEX('4_UK_Beta_Input'!$D$127:$D$289,MATCH($A4,'4_UK_Beta_Input'!$A$127:$A$289,0))</f>
        <v/>
      </c>
      <c r="P4" s="16">
        <f>(M4/L4)*(N4/M4)*(O4/N4)</f>
        <v/>
      </c>
      <c r="Q4" s="17">
        <f>IF(J4="",INDEX('3_UK_L1_Input'!$D$4:$D$14,MATCH($C4,'3_UK_L1_Input'!$A$4:$A$14,0))*P4,INDEX('3_UK_L1_Input'!$D$4:$D$14,MATCH($C4,'3_UK_L1_Input'!$A$4:$A$14,0))*J4)</f>
        <v/>
      </c>
      <c r="R4" s="17">
        <f>IF(K4="",INDEX('3_UK_L1_Input'!$D$4:$D$14,MATCH($C4,'3_UK_L1_Input'!$A$4:$A$14,0))*P4,INDEX('3_UK_L1_Input'!$D$4:$D$14,MATCH($C4,'3_UK_L1_Input'!$A$4:$A$14,0))*K4)</f>
        <v/>
      </c>
      <c r="S4" s="18">
        <f>IF(G4="","BETA CASCADE FALLBACK (dummy — replace with real beta)","REAL (Bloomberg UK)")</f>
        <v/>
      </c>
      <c r="T4" s="17">
        <f>INDEX('3_UK_L1_Input'!$C$4:$C$14,MATCH($C4,'3_UK_L1_Input'!$A$4:$A$14,0))</f>
        <v/>
      </c>
      <c r="U4" s="17">
        <f>INDEX('3_UK_L1_Input'!$C$4:$C$14,MATCH($C4,'3_UK_L1_Input'!$A$4:$A$14,0))*P4</f>
        <v/>
      </c>
      <c r="V4" s="15">
        <f>INDEX('5_UK_DefaultRisk_Input'!$D$5:$D$15,MATCH($C4,'5_UK_DefaultRisk_Input'!$A$5:$A$15,0))</f>
        <v/>
      </c>
      <c r="W4" s="15">
        <f>INDEX('5_UK_DefaultRisk_Input'!$D$20:$D$44,MATCH($E4,'5_UK_DefaultRisk_Input'!$A$20:$A$44,0))</f>
        <v/>
      </c>
      <c r="X4" s="15">
        <f>INDEX('5_UK_DefaultRisk_Input'!$D$49:$D$122,MATCH($D4,'5_UK_DefaultRisk_Input'!$A$49:$A$122,0))</f>
        <v/>
      </c>
      <c r="Y4" s="15">
        <f>INDEX('5_UK_DefaultRisk_Input'!$D$127:$D$289,MATCH($A4,'5_UK_DefaultRisk_Input'!$A$127:$A$289,0))</f>
        <v/>
      </c>
      <c r="Z4" s="16">
        <f>(W4/V4)*(X4/W4)*(Y4/X4)</f>
        <v/>
      </c>
      <c r="AA4" s="17">
        <f>INDEX('3_UK_L1_Input'!$D$4:$D$14,MATCH($C4,'3_UK_L1_Input'!$A$4:$A$14,0))*Z4</f>
        <v/>
      </c>
    </row>
    <row r="5">
      <c r="A5" s="7" t="n">
        <v>10102010</v>
      </c>
      <c r="B5" s="7" t="inlineStr">
        <is>
          <t>Integrated Oil &amp; Gas</t>
        </is>
      </c>
      <c r="C5" s="7" t="n">
        <v>10</v>
      </c>
      <c r="D5" s="7" t="n">
        <v>101020</v>
      </c>
      <c r="E5" s="7" t="n">
        <v>1010</v>
      </c>
      <c r="F5" s="9" t="n">
        <v>256880000000</v>
      </c>
      <c r="G5" s="10" t="n">
        <v>3.39</v>
      </c>
      <c r="H5" s="16">
        <f>IFERROR(SUMPRODUCT(($C$3:$C$165=C5)*ISNUMBER($G$3:$G$165)*ISNUMBER($F$3:$F$165)*IF(ISNUMBER($F$3:$F$165),$F$3:$F$165,0)*IF(ISNUMBER($G$3:$G$165),$G$3:$G$165,0))/SUMPRODUCT(($C$3:$C$165=C5)*ISNUMBER($G$3:$G$165)*ISNUMBER($F$3:$F$165)*IF(ISNUMBER($F$3:$F$165),$F$3:$F$165,0)),"")</f>
        <v/>
      </c>
      <c r="I5" s="16">
        <f>IFERROR(SUMPRODUCT(($C$3:$C$165=C5)*ISNUMBER($G$3:$G$165)*IF(ISNUMBER($G$3:$G$165),$G$3:$G$165,0))/SUMPRODUCT(($C$3:$C$165=C5)*ISNUMBER($G$3:$G$165)),"")</f>
        <v/>
      </c>
      <c r="J5" s="16">
        <f>IF(OR(G5="",H5=""),"",G5/H5)</f>
        <v/>
      </c>
      <c r="K5" s="16">
        <f>IF(OR(G5="",I5=""),"",G5/I5)</f>
        <v/>
      </c>
      <c r="L5" s="14">
        <f>INDEX('4_UK_Beta_Input'!$D$5:$D$15,MATCH($C5,'4_UK_Beta_Input'!$A$5:$A$15,0))</f>
        <v/>
      </c>
      <c r="M5" s="14">
        <f>INDEX('4_UK_Beta_Input'!$D$20:$D$44,MATCH($E5,'4_UK_Beta_Input'!$A$20:$A$44,0))</f>
        <v/>
      </c>
      <c r="N5" s="14">
        <f>INDEX('4_UK_Beta_Input'!$D$49:$D$122,MATCH($D5,'4_UK_Beta_Input'!$A$49:$A$122,0))</f>
        <v/>
      </c>
      <c r="O5" s="14">
        <f>INDEX('4_UK_Beta_Input'!$D$127:$D$289,MATCH($A5,'4_UK_Beta_Input'!$A$127:$A$289,0))</f>
        <v/>
      </c>
      <c r="P5" s="16">
        <f>(M5/L5)*(N5/M5)*(O5/N5)</f>
        <v/>
      </c>
      <c r="Q5" s="17">
        <f>IF(J5="",INDEX('3_UK_L1_Input'!$D$4:$D$14,MATCH($C5,'3_UK_L1_Input'!$A$4:$A$14,0))*P5,INDEX('3_UK_L1_Input'!$D$4:$D$14,MATCH($C5,'3_UK_L1_Input'!$A$4:$A$14,0))*J5)</f>
        <v/>
      </c>
      <c r="R5" s="17">
        <f>IF(K5="",INDEX('3_UK_L1_Input'!$D$4:$D$14,MATCH($C5,'3_UK_L1_Input'!$A$4:$A$14,0))*P5,INDEX('3_UK_L1_Input'!$D$4:$D$14,MATCH($C5,'3_UK_L1_Input'!$A$4:$A$14,0))*K5)</f>
        <v/>
      </c>
      <c r="S5" s="18">
        <f>IF(G5="","BETA CASCADE FALLBACK (dummy — replace with real beta)","REAL (Bloomberg UK)")</f>
        <v/>
      </c>
      <c r="T5" s="17">
        <f>INDEX('3_UK_L1_Input'!$C$4:$C$14,MATCH($C5,'3_UK_L1_Input'!$A$4:$A$14,0))</f>
        <v/>
      </c>
      <c r="U5" s="17">
        <f>INDEX('3_UK_L1_Input'!$C$4:$C$14,MATCH($C5,'3_UK_L1_Input'!$A$4:$A$14,0))*P5</f>
        <v/>
      </c>
      <c r="V5" s="15">
        <f>INDEX('5_UK_DefaultRisk_Input'!$D$5:$D$15,MATCH($C5,'5_UK_DefaultRisk_Input'!$A$5:$A$15,0))</f>
        <v/>
      </c>
      <c r="W5" s="15">
        <f>INDEX('5_UK_DefaultRisk_Input'!$D$20:$D$44,MATCH($E5,'5_UK_DefaultRisk_Input'!$A$20:$A$44,0))</f>
        <v/>
      </c>
      <c r="X5" s="15">
        <f>INDEX('5_UK_DefaultRisk_Input'!$D$49:$D$122,MATCH($D5,'5_UK_DefaultRisk_Input'!$A$49:$A$122,0))</f>
        <v/>
      </c>
      <c r="Y5" s="15">
        <f>INDEX('5_UK_DefaultRisk_Input'!$D$127:$D$289,MATCH($A5,'5_UK_DefaultRisk_Input'!$A$127:$A$289,0))</f>
        <v/>
      </c>
      <c r="Z5" s="16">
        <f>(W5/V5)*(X5/W5)*(Y5/X5)</f>
        <v/>
      </c>
      <c r="AA5" s="17">
        <f>INDEX('3_UK_L1_Input'!$D$4:$D$14,MATCH($C5,'3_UK_L1_Input'!$A$4:$A$14,0))*Z5</f>
        <v/>
      </c>
    </row>
    <row r="6">
      <c r="A6" s="7" t="n">
        <v>10102020</v>
      </c>
      <c r="B6" s="7" t="inlineStr">
        <is>
          <t>Oil &amp; Gas Exploration &amp; Production</t>
        </is>
      </c>
      <c r="C6" s="7" t="n">
        <v>10</v>
      </c>
      <c r="D6" s="7" t="n">
        <v>101020</v>
      </c>
      <c r="E6" s="7" t="n">
        <v>1010</v>
      </c>
      <c r="F6" s="9" t="n">
        <v>217770000</v>
      </c>
      <c r="G6" s="10" t="n">
        <v>3.17</v>
      </c>
      <c r="H6" s="16">
        <f>IFERROR(SUMPRODUCT(($C$3:$C$165=C6)*ISNUMBER($G$3:$G$165)*ISNUMBER($F$3:$F$165)*IF(ISNUMBER($F$3:$F$165),$F$3:$F$165,0)*IF(ISNUMBER($G$3:$G$165),$G$3:$G$165,0))/SUMPRODUCT(($C$3:$C$165=C6)*ISNUMBER($G$3:$G$165)*ISNUMBER($F$3:$F$165)*IF(ISNUMBER($F$3:$F$165),$F$3:$F$165,0)),"")</f>
        <v/>
      </c>
      <c r="I6" s="16">
        <f>IFERROR(SUMPRODUCT(($C$3:$C$165=C6)*ISNUMBER($G$3:$G$165)*IF(ISNUMBER($G$3:$G$165),$G$3:$G$165,0))/SUMPRODUCT(($C$3:$C$165=C6)*ISNUMBER($G$3:$G$165)),"")</f>
        <v/>
      </c>
      <c r="J6" s="16">
        <f>IF(OR(G6="",H6=""),"",G6/H6)</f>
        <v/>
      </c>
      <c r="K6" s="16">
        <f>IF(OR(G6="",I6=""),"",G6/I6)</f>
        <v/>
      </c>
      <c r="L6" s="14">
        <f>INDEX('4_UK_Beta_Input'!$D$5:$D$15,MATCH($C6,'4_UK_Beta_Input'!$A$5:$A$15,0))</f>
        <v/>
      </c>
      <c r="M6" s="14">
        <f>INDEX('4_UK_Beta_Input'!$D$20:$D$44,MATCH($E6,'4_UK_Beta_Input'!$A$20:$A$44,0))</f>
        <v/>
      </c>
      <c r="N6" s="14">
        <f>INDEX('4_UK_Beta_Input'!$D$49:$D$122,MATCH($D6,'4_UK_Beta_Input'!$A$49:$A$122,0))</f>
        <v/>
      </c>
      <c r="O6" s="14">
        <f>INDEX('4_UK_Beta_Input'!$D$127:$D$289,MATCH($A6,'4_UK_Beta_Input'!$A$127:$A$289,0))</f>
        <v/>
      </c>
      <c r="P6" s="16">
        <f>(M6/L6)*(N6/M6)*(O6/N6)</f>
        <v/>
      </c>
      <c r="Q6" s="17">
        <f>IF(J6="",INDEX('3_UK_L1_Input'!$D$4:$D$14,MATCH($C6,'3_UK_L1_Input'!$A$4:$A$14,0))*P6,INDEX('3_UK_L1_Input'!$D$4:$D$14,MATCH($C6,'3_UK_L1_Input'!$A$4:$A$14,0))*J6)</f>
        <v/>
      </c>
      <c r="R6" s="17">
        <f>IF(K6="",INDEX('3_UK_L1_Input'!$D$4:$D$14,MATCH($C6,'3_UK_L1_Input'!$A$4:$A$14,0))*P6,INDEX('3_UK_L1_Input'!$D$4:$D$14,MATCH($C6,'3_UK_L1_Input'!$A$4:$A$14,0))*K6)</f>
        <v/>
      </c>
      <c r="S6" s="18">
        <f>IF(G6="","BETA CASCADE FALLBACK (dummy — replace with real beta)","REAL (Bloomberg UK)")</f>
        <v/>
      </c>
      <c r="T6" s="17">
        <f>INDEX('3_UK_L1_Input'!$C$4:$C$14,MATCH($C6,'3_UK_L1_Input'!$A$4:$A$14,0))</f>
        <v/>
      </c>
      <c r="U6" s="17">
        <f>INDEX('3_UK_L1_Input'!$C$4:$C$14,MATCH($C6,'3_UK_L1_Input'!$A$4:$A$14,0))*P6</f>
        <v/>
      </c>
      <c r="V6" s="15">
        <f>INDEX('5_UK_DefaultRisk_Input'!$D$5:$D$15,MATCH($C6,'5_UK_DefaultRisk_Input'!$A$5:$A$15,0))</f>
        <v/>
      </c>
      <c r="W6" s="15">
        <f>INDEX('5_UK_DefaultRisk_Input'!$D$20:$D$44,MATCH($E6,'5_UK_DefaultRisk_Input'!$A$20:$A$44,0))</f>
        <v/>
      </c>
      <c r="X6" s="15">
        <f>INDEX('5_UK_DefaultRisk_Input'!$D$49:$D$122,MATCH($D6,'5_UK_DefaultRisk_Input'!$A$49:$A$122,0))</f>
        <v/>
      </c>
      <c r="Y6" s="15">
        <f>INDEX('5_UK_DefaultRisk_Input'!$D$127:$D$289,MATCH($A6,'5_UK_DefaultRisk_Input'!$A$127:$A$289,0))</f>
        <v/>
      </c>
      <c r="Z6" s="16">
        <f>(W6/V6)*(X6/W6)*(Y6/X6)</f>
        <v/>
      </c>
      <c r="AA6" s="17">
        <f>INDEX('3_UK_L1_Input'!$D$4:$D$14,MATCH($C6,'3_UK_L1_Input'!$A$4:$A$14,0))*Z6</f>
        <v/>
      </c>
    </row>
    <row r="7">
      <c r="A7" s="7" t="n">
        <v>10102030</v>
      </c>
      <c r="B7" s="7" t="inlineStr">
        <is>
          <t>Oil &amp; Gas Refining &amp; Marketing</t>
        </is>
      </c>
      <c r="C7" s="7" t="n">
        <v>10</v>
      </c>
      <c r="D7" s="7" t="n">
        <v>101020</v>
      </c>
      <c r="E7" s="7" t="n">
        <v>1010</v>
      </c>
      <c r="F7" s="9" t="n">
        <v>87000</v>
      </c>
      <c r="G7" s="8" t="n"/>
      <c r="H7" s="16">
        <f>IFERROR(SUMPRODUCT(($C$3:$C$165=C7)*ISNUMBER($G$3:$G$165)*ISNUMBER($F$3:$F$165)*IF(ISNUMBER($F$3:$F$165),$F$3:$F$165,0)*IF(ISNUMBER($G$3:$G$165),$G$3:$G$165,0))/SUMPRODUCT(($C$3:$C$165=C7)*ISNUMBER($G$3:$G$165)*ISNUMBER($F$3:$F$165)*IF(ISNUMBER($F$3:$F$165),$F$3:$F$165,0)),"")</f>
        <v/>
      </c>
      <c r="I7" s="16">
        <f>IFERROR(SUMPRODUCT(($C$3:$C$165=C7)*ISNUMBER($G$3:$G$165)*IF(ISNUMBER($G$3:$G$165),$G$3:$G$165,0))/SUMPRODUCT(($C$3:$C$165=C7)*ISNUMBER($G$3:$G$165)),"")</f>
        <v/>
      </c>
      <c r="J7" s="16">
        <f>IF(OR(G7="",H7=""),"",G7/H7)</f>
        <v/>
      </c>
      <c r="K7" s="16">
        <f>IF(OR(G7="",I7=""),"",G7/I7)</f>
        <v/>
      </c>
      <c r="L7" s="14">
        <f>INDEX('4_UK_Beta_Input'!$D$5:$D$15,MATCH($C7,'4_UK_Beta_Input'!$A$5:$A$15,0))</f>
        <v/>
      </c>
      <c r="M7" s="14">
        <f>INDEX('4_UK_Beta_Input'!$D$20:$D$44,MATCH($E7,'4_UK_Beta_Input'!$A$20:$A$44,0))</f>
        <v/>
      </c>
      <c r="N7" s="14">
        <f>INDEX('4_UK_Beta_Input'!$D$49:$D$122,MATCH($D7,'4_UK_Beta_Input'!$A$49:$A$122,0))</f>
        <v/>
      </c>
      <c r="O7" s="14">
        <f>INDEX('4_UK_Beta_Input'!$D$127:$D$289,MATCH($A7,'4_UK_Beta_Input'!$A$127:$A$289,0))</f>
        <v/>
      </c>
      <c r="P7" s="16">
        <f>(M7/L7)*(N7/M7)*(O7/N7)</f>
        <v/>
      </c>
      <c r="Q7" s="17">
        <f>IF(J7="",INDEX('3_UK_L1_Input'!$D$4:$D$14,MATCH($C7,'3_UK_L1_Input'!$A$4:$A$14,0))*P7,INDEX('3_UK_L1_Input'!$D$4:$D$14,MATCH($C7,'3_UK_L1_Input'!$A$4:$A$14,0))*J7)</f>
        <v/>
      </c>
      <c r="R7" s="17">
        <f>IF(K7="",INDEX('3_UK_L1_Input'!$D$4:$D$14,MATCH($C7,'3_UK_L1_Input'!$A$4:$A$14,0))*P7,INDEX('3_UK_L1_Input'!$D$4:$D$14,MATCH($C7,'3_UK_L1_Input'!$A$4:$A$14,0))*K7)</f>
        <v/>
      </c>
      <c r="S7" s="19">
        <f>IF(G7="","BETA CASCADE FALLBACK (dummy — replace with real beta)","REAL (Bloomberg UK)")</f>
        <v/>
      </c>
      <c r="T7" s="17">
        <f>INDEX('3_UK_L1_Input'!$C$4:$C$14,MATCH($C7,'3_UK_L1_Input'!$A$4:$A$14,0))</f>
        <v/>
      </c>
      <c r="U7" s="17">
        <f>INDEX('3_UK_L1_Input'!$C$4:$C$14,MATCH($C7,'3_UK_L1_Input'!$A$4:$A$14,0))*P7</f>
        <v/>
      </c>
      <c r="V7" s="15">
        <f>INDEX('5_UK_DefaultRisk_Input'!$D$5:$D$15,MATCH($C7,'5_UK_DefaultRisk_Input'!$A$5:$A$15,0))</f>
        <v/>
      </c>
      <c r="W7" s="15">
        <f>INDEX('5_UK_DefaultRisk_Input'!$D$20:$D$44,MATCH($E7,'5_UK_DefaultRisk_Input'!$A$20:$A$44,0))</f>
        <v/>
      </c>
      <c r="X7" s="15">
        <f>INDEX('5_UK_DefaultRisk_Input'!$D$49:$D$122,MATCH($D7,'5_UK_DefaultRisk_Input'!$A$49:$A$122,0))</f>
        <v/>
      </c>
      <c r="Y7" s="15">
        <f>INDEX('5_UK_DefaultRisk_Input'!$D$127:$D$289,MATCH($A7,'5_UK_DefaultRisk_Input'!$A$127:$A$289,0))</f>
        <v/>
      </c>
      <c r="Z7" s="16">
        <f>(W7/V7)*(X7/W7)*(Y7/X7)</f>
        <v/>
      </c>
      <c r="AA7" s="17">
        <f>INDEX('3_UK_L1_Input'!$D$4:$D$14,MATCH($C7,'3_UK_L1_Input'!$A$4:$A$14,0))*Z7</f>
        <v/>
      </c>
    </row>
    <row r="8">
      <c r="A8" s="7" t="n">
        <v>10102040</v>
      </c>
      <c r="B8" s="7" t="inlineStr">
        <is>
          <t>Oil &amp; Gas Storage &amp; Transportation</t>
        </is>
      </c>
      <c r="C8" s="7" t="n">
        <v>10</v>
      </c>
      <c r="D8" s="7" t="n">
        <v>101020</v>
      </c>
      <c r="E8" s="7" t="n">
        <v>1010</v>
      </c>
      <c r="F8" s="9" t="n">
        <v>901710000</v>
      </c>
      <c r="G8" s="10" t="n">
        <v>3.94</v>
      </c>
      <c r="H8" s="16">
        <f>IFERROR(SUMPRODUCT(($C$3:$C$165=C8)*ISNUMBER($G$3:$G$165)*ISNUMBER($F$3:$F$165)*IF(ISNUMBER($F$3:$F$165),$F$3:$F$165,0)*IF(ISNUMBER($G$3:$G$165),$G$3:$G$165,0))/SUMPRODUCT(($C$3:$C$165=C8)*ISNUMBER($G$3:$G$165)*ISNUMBER($F$3:$F$165)*IF(ISNUMBER($F$3:$F$165),$F$3:$F$165,0)),"")</f>
        <v/>
      </c>
      <c r="I8" s="16">
        <f>IFERROR(SUMPRODUCT(($C$3:$C$165=C8)*ISNUMBER($G$3:$G$165)*IF(ISNUMBER($G$3:$G$165),$G$3:$G$165,0))/SUMPRODUCT(($C$3:$C$165=C8)*ISNUMBER($G$3:$G$165)),"")</f>
        <v/>
      </c>
      <c r="J8" s="16">
        <f>IF(OR(G8="",H8=""),"",G8/H8)</f>
        <v/>
      </c>
      <c r="K8" s="16">
        <f>IF(OR(G8="",I8=""),"",G8/I8)</f>
        <v/>
      </c>
      <c r="L8" s="14">
        <f>INDEX('4_UK_Beta_Input'!$D$5:$D$15,MATCH($C8,'4_UK_Beta_Input'!$A$5:$A$15,0))</f>
        <v/>
      </c>
      <c r="M8" s="14">
        <f>INDEX('4_UK_Beta_Input'!$D$20:$D$44,MATCH($E8,'4_UK_Beta_Input'!$A$20:$A$44,0))</f>
        <v/>
      </c>
      <c r="N8" s="14">
        <f>INDEX('4_UK_Beta_Input'!$D$49:$D$122,MATCH($D8,'4_UK_Beta_Input'!$A$49:$A$122,0))</f>
        <v/>
      </c>
      <c r="O8" s="14">
        <f>INDEX('4_UK_Beta_Input'!$D$127:$D$289,MATCH($A8,'4_UK_Beta_Input'!$A$127:$A$289,0))</f>
        <v/>
      </c>
      <c r="P8" s="16">
        <f>(M8/L8)*(N8/M8)*(O8/N8)</f>
        <v/>
      </c>
      <c r="Q8" s="17">
        <f>IF(J8="",INDEX('3_UK_L1_Input'!$D$4:$D$14,MATCH($C8,'3_UK_L1_Input'!$A$4:$A$14,0))*P8,INDEX('3_UK_L1_Input'!$D$4:$D$14,MATCH($C8,'3_UK_L1_Input'!$A$4:$A$14,0))*J8)</f>
        <v/>
      </c>
      <c r="R8" s="17">
        <f>IF(K8="",INDEX('3_UK_L1_Input'!$D$4:$D$14,MATCH($C8,'3_UK_L1_Input'!$A$4:$A$14,0))*P8,INDEX('3_UK_L1_Input'!$D$4:$D$14,MATCH($C8,'3_UK_L1_Input'!$A$4:$A$14,0))*K8)</f>
        <v/>
      </c>
      <c r="S8" s="18">
        <f>IF(G8="","BETA CASCADE FALLBACK (dummy — replace with real beta)","REAL (Bloomberg UK)")</f>
        <v/>
      </c>
      <c r="T8" s="17">
        <f>INDEX('3_UK_L1_Input'!$C$4:$C$14,MATCH($C8,'3_UK_L1_Input'!$A$4:$A$14,0))</f>
        <v/>
      </c>
      <c r="U8" s="17">
        <f>INDEX('3_UK_L1_Input'!$C$4:$C$14,MATCH($C8,'3_UK_L1_Input'!$A$4:$A$14,0))*P8</f>
        <v/>
      </c>
      <c r="V8" s="15">
        <f>INDEX('5_UK_DefaultRisk_Input'!$D$5:$D$15,MATCH($C8,'5_UK_DefaultRisk_Input'!$A$5:$A$15,0))</f>
        <v/>
      </c>
      <c r="W8" s="15">
        <f>INDEX('5_UK_DefaultRisk_Input'!$D$20:$D$44,MATCH($E8,'5_UK_DefaultRisk_Input'!$A$20:$A$44,0))</f>
        <v/>
      </c>
      <c r="X8" s="15">
        <f>INDEX('5_UK_DefaultRisk_Input'!$D$49:$D$122,MATCH($D8,'5_UK_DefaultRisk_Input'!$A$49:$A$122,0))</f>
        <v/>
      </c>
      <c r="Y8" s="15">
        <f>INDEX('5_UK_DefaultRisk_Input'!$D$127:$D$289,MATCH($A8,'5_UK_DefaultRisk_Input'!$A$127:$A$289,0))</f>
        <v/>
      </c>
      <c r="Z8" s="16">
        <f>(W8/V8)*(X8/W8)*(Y8/X8)</f>
        <v/>
      </c>
      <c r="AA8" s="17">
        <f>INDEX('3_UK_L1_Input'!$D$4:$D$14,MATCH($C8,'3_UK_L1_Input'!$A$4:$A$14,0))*Z8</f>
        <v/>
      </c>
    </row>
    <row r="9">
      <c r="A9" s="7" t="n">
        <v>10102050</v>
      </c>
      <c r="B9" s="7" t="inlineStr">
        <is>
          <t>Coal &amp; Consumable Fuels</t>
        </is>
      </c>
      <c r="C9" s="7" t="n">
        <v>10</v>
      </c>
      <c r="D9" s="7" t="n">
        <v>101020</v>
      </c>
      <c r="E9" s="7" t="n">
        <v>1010</v>
      </c>
      <c r="F9" s="8" t="n"/>
      <c r="G9" s="10" t="n">
        <v>9.470000000000001</v>
      </c>
      <c r="H9" s="16">
        <f>IFERROR(SUMPRODUCT(($C$3:$C$165=C9)*ISNUMBER($G$3:$G$165)*ISNUMBER($F$3:$F$165)*IF(ISNUMBER($F$3:$F$165),$F$3:$F$165,0)*IF(ISNUMBER($G$3:$G$165),$G$3:$G$165,0))/SUMPRODUCT(($C$3:$C$165=C9)*ISNUMBER($G$3:$G$165)*ISNUMBER($F$3:$F$165)*IF(ISNUMBER($F$3:$F$165),$F$3:$F$165,0)),"")</f>
        <v/>
      </c>
      <c r="I9" s="16">
        <f>IFERROR(SUMPRODUCT(($C$3:$C$165=C9)*ISNUMBER($G$3:$G$165)*IF(ISNUMBER($G$3:$G$165),$G$3:$G$165,0))/SUMPRODUCT(($C$3:$C$165=C9)*ISNUMBER($G$3:$G$165)),"")</f>
        <v/>
      </c>
      <c r="J9" s="16">
        <f>IF(OR(G9="",H9=""),"",G9/H9)</f>
        <v/>
      </c>
      <c r="K9" s="16">
        <f>IF(OR(G9="",I9=""),"",G9/I9)</f>
        <v/>
      </c>
      <c r="L9" s="14">
        <f>INDEX('4_UK_Beta_Input'!$D$5:$D$15,MATCH($C9,'4_UK_Beta_Input'!$A$5:$A$15,0))</f>
        <v/>
      </c>
      <c r="M9" s="14">
        <f>INDEX('4_UK_Beta_Input'!$D$20:$D$44,MATCH($E9,'4_UK_Beta_Input'!$A$20:$A$44,0))</f>
        <v/>
      </c>
      <c r="N9" s="14">
        <f>INDEX('4_UK_Beta_Input'!$D$49:$D$122,MATCH($D9,'4_UK_Beta_Input'!$A$49:$A$122,0))</f>
        <v/>
      </c>
      <c r="O9" s="14">
        <f>INDEX('4_UK_Beta_Input'!$D$127:$D$289,MATCH($A9,'4_UK_Beta_Input'!$A$127:$A$289,0))</f>
        <v/>
      </c>
      <c r="P9" s="16">
        <f>(M9/L9)*(N9/M9)*(O9/N9)</f>
        <v/>
      </c>
      <c r="Q9" s="17">
        <f>IF(J9="",INDEX('3_UK_L1_Input'!$D$4:$D$14,MATCH($C9,'3_UK_L1_Input'!$A$4:$A$14,0))*P9,INDEX('3_UK_L1_Input'!$D$4:$D$14,MATCH($C9,'3_UK_L1_Input'!$A$4:$A$14,0))*J9)</f>
        <v/>
      </c>
      <c r="R9" s="17">
        <f>IF(K9="",INDEX('3_UK_L1_Input'!$D$4:$D$14,MATCH($C9,'3_UK_L1_Input'!$A$4:$A$14,0))*P9,INDEX('3_UK_L1_Input'!$D$4:$D$14,MATCH($C9,'3_UK_L1_Input'!$A$4:$A$14,0))*K9)</f>
        <v/>
      </c>
      <c r="S9" s="18">
        <f>IF(G9="","BETA CASCADE FALLBACK (dummy — replace with real beta)","REAL (Bloomberg UK)")</f>
        <v/>
      </c>
      <c r="T9" s="17">
        <f>INDEX('3_UK_L1_Input'!$C$4:$C$14,MATCH($C9,'3_UK_L1_Input'!$A$4:$A$14,0))</f>
        <v/>
      </c>
      <c r="U9" s="17">
        <f>INDEX('3_UK_L1_Input'!$C$4:$C$14,MATCH($C9,'3_UK_L1_Input'!$A$4:$A$14,0))*P9</f>
        <v/>
      </c>
      <c r="V9" s="15">
        <f>INDEX('5_UK_DefaultRisk_Input'!$D$5:$D$15,MATCH($C9,'5_UK_DefaultRisk_Input'!$A$5:$A$15,0))</f>
        <v/>
      </c>
      <c r="W9" s="15">
        <f>INDEX('5_UK_DefaultRisk_Input'!$D$20:$D$44,MATCH($E9,'5_UK_DefaultRisk_Input'!$A$20:$A$44,0))</f>
        <v/>
      </c>
      <c r="X9" s="15">
        <f>INDEX('5_UK_DefaultRisk_Input'!$D$49:$D$122,MATCH($D9,'5_UK_DefaultRisk_Input'!$A$49:$A$122,0))</f>
        <v/>
      </c>
      <c r="Y9" s="15">
        <f>INDEX('5_UK_DefaultRisk_Input'!$D$127:$D$289,MATCH($A9,'5_UK_DefaultRisk_Input'!$A$127:$A$289,0))</f>
        <v/>
      </c>
      <c r="Z9" s="16">
        <f>(W9/V9)*(X9/W9)*(Y9/X9)</f>
        <v/>
      </c>
      <c r="AA9" s="17">
        <f>INDEX('3_UK_L1_Input'!$D$4:$D$14,MATCH($C9,'3_UK_L1_Input'!$A$4:$A$14,0))*Z9</f>
        <v/>
      </c>
    </row>
    <row r="10">
      <c r="A10" s="7" t="n">
        <v>15101010</v>
      </c>
      <c r="B10" s="7" t="inlineStr">
        <is>
          <t>Commodity Chemicals</t>
        </is>
      </c>
      <c r="C10" s="7" t="n">
        <v>15</v>
      </c>
      <c r="D10" s="7" t="n">
        <v>151010</v>
      </c>
      <c r="E10" s="7" t="n">
        <v>1510</v>
      </c>
      <c r="F10" s="9" t="n">
        <v>246000000</v>
      </c>
      <c r="G10" s="10" t="n">
        <v>5.64</v>
      </c>
      <c r="H10" s="16">
        <f>IFERROR(SUMPRODUCT(($C$3:$C$165=C10)*ISNUMBER($G$3:$G$165)*ISNUMBER($F$3:$F$165)*IF(ISNUMBER($F$3:$F$165),$F$3:$F$165,0)*IF(ISNUMBER($G$3:$G$165),$G$3:$G$165,0))/SUMPRODUCT(($C$3:$C$165=C10)*ISNUMBER($G$3:$G$165)*ISNUMBER($F$3:$F$165)*IF(ISNUMBER($F$3:$F$165),$F$3:$F$165,0)),"")</f>
        <v/>
      </c>
      <c r="I10" s="16">
        <f>IFERROR(SUMPRODUCT(($C$3:$C$165=C10)*ISNUMBER($G$3:$G$165)*IF(ISNUMBER($G$3:$G$165),$G$3:$G$165,0))/SUMPRODUCT(($C$3:$C$165=C10)*ISNUMBER($G$3:$G$165)),"")</f>
        <v/>
      </c>
      <c r="J10" s="16">
        <f>IF(OR(G10="",H10=""),"",G10/H10)</f>
        <v/>
      </c>
      <c r="K10" s="16">
        <f>IF(OR(G10="",I10=""),"",G10/I10)</f>
        <v/>
      </c>
      <c r="L10" s="14">
        <f>INDEX('4_UK_Beta_Input'!$D$5:$D$15,MATCH($C10,'4_UK_Beta_Input'!$A$5:$A$15,0))</f>
        <v/>
      </c>
      <c r="M10" s="14">
        <f>INDEX('4_UK_Beta_Input'!$D$20:$D$44,MATCH($E10,'4_UK_Beta_Input'!$A$20:$A$44,0))</f>
        <v/>
      </c>
      <c r="N10" s="14">
        <f>INDEX('4_UK_Beta_Input'!$D$49:$D$122,MATCH($D10,'4_UK_Beta_Input'!$A$49:$A$122,0))</f>
        <v/>
      </c>
      <c r="O10" s="14">
        <f>INDEX('4_UK_Beta_Input'!$D$127:$D$289,MATCH($A10,'4_UK_Beta_Input'!$A$127:$A$289,0))</f>
        <v/>
      </c>
      <c r="P10" s="16">
        <f>(M10/L10)*(N10/M10)*(O10/N10)</f>
        <v/>
      </c>
      <c r="Q10" s="17">
        <f>IF(J10="",INDEX('3_UK_L1_Input'!$D$4:$D$14,MATCH($C10,'3_UK_L1_Input'!$A$4:$A$14,0))*P10,INDEX('3_UK_L1_Input'!$D$4:$D$14,MATCH($C10,'3_UK_L1_Input'!$A$4:$A$14,0))*J10)</f>
        <v/>
      </c>
      <c r="R10" s="17">
        <f>IF(K10="",INDEX('3_UK_L1_Input'!$D$4:$D$14,MATCH($C10,'3_UK_L1_Input'!$A$4:$A$14,0))*P10,INDEX('3_UK_L1_Input'!$D$4:$D$14,MATCH($C10,'3_UK_L1_Input'!$A$4:$A$14,0))*K10)</f>
        <v/>
      </c>
      <c r="S10" s="18">
        <f>IF(G10="","BETA CASCADE FALLBACK (dummy — replace with real beta)","REAL (Bloomberg UK)")</f>
        <v/>
      </c>
      <c r="T10" s="17">
        <f>INDEX('3_UK_L1_Input'!$C$4:$C$14,MATCH($C10,'3_UK_L1_Input'!$A$4:$A$14,0))</f>
        <v/>
      </c>
      <c r="U10" s="17">
        <f>INDEX('3_UK_L1_Input'!$C$4:$C$14,MATCH($C10,'3_UK_L1_Input'!$A$4:$A$14,0))*P10</f>
        <v/>
      </c>
      <c r="V10" s="15">
        <f>INDEX('5_UK_DefaultRisk_Input'!$D$5:$D$15,MATCH($C10,'5_UK_DefaultRisk_Input'!$A$5:$A$15,0))</f>
        <v/>
      </c>
      <c r="W10" s="15">
        <f>INDEX('5_UK_DefaultRisk_Input'!$D$20:$D$44,MATCH($E10,'5_UK_DefaultRisk_Input'!$A$20:$A$44,0))</f>
        <v/>
      </c>
      <c r="X10" s="15">
        <f>INDEX('5_UK_DefaultRisk_Input'!$D$49:$D$122,MATCH($D10,'5_UK_DefaultRisk_Input'!$A$49:$A$122,0))</f>
        <v/>
      </c>
      <c r="Y10" s="15">
        <f>INDEX('5_UK_DefaultRisk_Input'!$D$127:$D$289,MATCH($A10,'5_UK_DefaultRisk_Input'!$A$127:$A$289,0))</f>
        <v/>
      </c>
      <c r="Z10" s="16">
        <f>(W10/V10)*(X10/W10)*(Y10/X10)</f>
        <v/>
      </c>
      <c r="AA10" s="17">
        <f>INDEX('3_UK_L1_Input'!$D$4:$D$14,MATCH($C10,'3_UK_L1_Input'!$A$4:$A$14,0))*Z10</f>
        <v/>
      </c>
    </row>
    <row r="11">
      <c r="A11" s="7" t="n">
        <v>15101020</v>
      </c>
      <c r="B11" s="7" t="inlineStr">
        <is>
          <t>Diversified Chemicals</t>
        </is>
      </c>
      <c r="C11" s="7" t="n">
        <v>15</v>
      </c>
      <c r="D11" s="7" t="n">
        <v>151010</v>
      </c>
      <c r="E11" s="7" t="n">
        <v>1510</v>
      </c>
      <c r="F11" s="8" t="n"/>
      <c r="G11" s="8" t="n"/>
      <c r="H11" s="16">
        <f>IFERROR(SUMPRODUCT(($C$3:$C$165=C11)*ISNUMBER($G$3:$G$165)*ISNUMBER($F$3:$F$165)*IF(ISNUMBER($F$3:$F$165),$F$3:$F$165,0)*IF(ISNUMBER($G$3:$G$165),$G$3:$G$165,0))/SUMPRODUCT(($C$3:$C$165=C11)*ISNUMBER($G$3:$G$165)*ISNUMBER($F$3:$F$165)*IF(ISNUMBER($F$3:$F$165),$F$3:$F$165,0)),"")</f>
        <v/>
      </c>
      <c r="I11" s="16">
        <f>IFERROR(SUMPRODUCT(($C$3:$C$165=C11)*ISNUMBER($G$3:$G$165)*IF(ISNUMBER($G$3:$G$165),$G$3:$G$165,0))/SUMPRODUCT(($C$3:$C$165=C11)*ISNUMBER($G$3:$G$165)),"")</f>
        <v/>
      </c>
      <c r="J11" s="16">
        <f>IF(OR(G11="",H11=""),"",G11/H11)</f>
        <v/>
      </c>
      <c r="K11" s="16">
        <f>IF(OR(G11="",I11=""),"",G11/I11)</f>
        <v/>
      </c>
      <c r="L11" s="14">
        <f>INDEX('4_UK_Beta_Input'!$D$5:$D$15,MATCH($C11,'4_UK_Beta_Input'!$A$5:$A$15,0))</f>
        <v/>
      </c>
      <c r="M11" s="14">
        <f>INDEX('4_UK_Beta_Input'!$D$20:$D$44,MATCH($E11,'4_UK_Beta_Input'!$A$20:$A$44,0))</f>
        <v/>
      </c>
      <c r="N11" s="14">
        <f>INDEX('4_UK_Beta_Input'!$D$49:$D$122,MATCH($D11,'4_UK_Beta_Input'!$A$49:$A$122,0))</f>
        <v/>
      </c>
      <c r="O11" s="14">
        <f>INDEX('4_UK_Beta_Input'!$D$127:$D$289,MATCH($A11,'4_UK_Beta_Input'!$A$127:$A$289,0))</f>
        <v/>
      </c>
      <c r="P11" s="16">
        <f>(M11/L11)*(N11/M11)*(O11/N11)</f>
        <v/>
      </c>
      <c r="Q11" s="17">
        <f>IF(J11="",INDEX('3_UK_L1_Input'!$D$4:$D$14,MATCH($C11,'3_UK_L1_Input'!$A$4:$A$14,0))*P11,INDEX('3_UK_L1_Input'!$D$4:$D$14,MATCH($C11,'3_UK_L1_Input'!$A$4:$A$14,0))*J11)</f>
        <v/>
      </c>
      <c r="R11" s="17">
        <f>IF(K11="",INDEX('3_UK_L1_Input'!$D$4:$D$14,MATCH($C11,'3_UK_L1_Input'!$A$4:$A$14,0))*P11,INDEX('3_UK_L1_Input'!$D$4:$D$14,MATCH($C11,'3_UK_L1_Input'!$A$4:$A$14,0))*K11)</f>
        <v/>
      </c>
      <c r="S11" s="19">
        <f>IF(G11="","BETA CASCADE FALLBACK (dummy — replace with real beta)","REAL (Bloomberg UK)")</f>
        <v/>
      </c>
      <c r="T11" s="17">
        <f>INDEX('3_UK_L1_Input'!$C$4:$C$14,MATCH($C11,'3_UK_L1_Input'!$A$4:$A$14,0))</f>
        <v/>
      </c>
      <c r="U11" s="17">
        <f>INDEX('3_UK_L1_Input'!$C$4:$C$14,MATCH($C11,'3_UK_L1_Input'!$A$4:$A$14,0))*P11</f>
        <v/>
      </c>
      <c r="V11" s="15">
        <f>INDEX('5_UK_DefaultRisk_Input'!$D$5:$D$15,MATCH($C11,'5_UK_DefaultRisk_Input'!$A$5:$A$15,0))</f>
        <v/>
      </c>
      <c r="W11" s="15">
        <f>INDEX('5_UK_DefaultRisk_Input'!$D$20:$D$44,MATCH($E11,'5_UK_DefaultRisk_Input'!$A$20:$A$44,0))</f>
        <v/>
      </c>
      <c r="X11" s="15">
        <f>INDEX('5_UK_DefaultRisk_Input'!$D$49:$D$122,MATCH($D11,'5_UK_DefaultRisk_Input'!$A$49:$A$122,0))</f>
        <v/>
      </c>
      <c r="Y11" s="15">
        <f>INDEX('5_UK_DefaultRisk_Input'!$D$127:$D$289,MATCH($A11,'5_UK_DefaultRisk_Input'!$A$127:$A$289,0))</f>
        <v/>
      </c>
      <c r="Z11" s="16">
        <f>(W11/V11)*(X11/W11)*(Y11/X11)</f>
        <v/>
      </c>
      <c r="AA11" s="17">
        <f>INDEX('3_UK_L1_Input'!$D$4:$D$14,MATCH($C11,'3_UK_L1_Input'!$A$4:$A$14,0))*Z11</f>
        <v/>
      </c>
    </row>
    <row r="12">
      <c r="A12" s="7" t="n">
        <v>15101030</v>
      </c>
      <c r="B12" s="7" t="inlineStr">
        <is>
          <t>Fertilizers &amp; Agricultural Chemicals</t>
        </is>
      </c>
      <c r="C12" s="7" t="n">
        <v>15</v>
      </c>
      <c r="D12" s="7" t="n">
        <v>151010</v>
      </c>
      <c r="E12" s="7" t="n">
        <v>1510</v>
      </c>
      <c r="F12" s="9" t="n">
        <v>21070000</v>
      </c>
      <c r="G12" s="8" t="n"/>
      <c r="H12" s="16">
        <f>IFERROR(SUMPRODUCT(($C$3:$C$165=C12)*ISNUMBER($G$3:$G$165)*ISNUMBER($F$3:$F$165)*IF(ISNUMBER($F$3:$F$165),$F$3:$F$165,0)*IF(ISNUMBER($G$3:$G$165),$G$3:$G$165,0))/SUMPRODUCT(($C$3:$C$165=C12)*ISNUMBER($G$3:$G$165)*ISNUMBER($F$3:$F$165)*IF(ISNUMBER($F$3:$F$165),$F$3:$F$165,0)),"")</f>
        <v/>
      </c>
      <c r="I12" s="16">
        <f>IFERROR(SUMPRODUCT(($C$3:$C$165=C12)*ISNUMBER($G$3:$G$165)*IF(ISNUMBER($G$3:$G$165),$G$3:$G$165,0))/SUMPRODUCT(($C$3:$C$165=C12)*ISNUMBER($G$3:$G$165)),"")</f>
        <v/>
      </c>
      <c r="J12" s="16">
        <f>IF(OR(G12="",H12=""),"",G12/H12)</f>
        <v/>
      </c>
      <c r="K12" s="16">
        <f>IF(OR(G12="",I12=""),"",G12/I12)</f>
        <v/>
      </c>
      <c r="L12" s="14">
        <f>INDEX('4_UK_Beta_Input'!$D$5:$D$15,MATCH($C12,'4_UK_Beta_Input'!$A$5:$A$15,0))</f>
        <v/>
      </c>
      <c r="M12" s="14">
        <f>INDEX('4_UK_Beta_Input'!$D$20:$D$44,MATCH($E12,'4_UK_Beta_Input'!$A$20:$A$44,0))</f>
        <v/>
      </c>
      <c r="N12" s="14">
        <f>INDEX('4_UK_Beta_Input'!$D$49:$D$122,MATCH($D12,'4_UK_Beta_Input'!$A$49:$A$122,0))</f>
        <v/>
      </c>
      <c r="O12" s="14">
        <f>INDEX('4_UK_Beta_Input'!$D$127:$D$289,MATCH($A12,'4_UK_Beta_Input'!$A$127:$A$289,0))</f>
        <v/>
      </c>
      <c r="P12" s="16">
        <f>(M12/L12)*(N12/M12)*(O12/N12)</f>
        <v/>
      </c>
      <c r="Q12" s="17">
        <f>IF(J12="",INDEX('3_UK_L1_Input'!$D$4:$D$14,MATCH($C12,'3_UK_L1_Input'!$A$4:$A$14,0))*P12,INDEX('3_UK_L1_Input'!$D$4:$D$14,MATCH($C12,'3_UK_L1_Input'!$A$4:$A$14,0))*J12)</f>
        <v/>
      </c>
      <c r="R12" s="17">
        <f>IF(K12="",INDEX('3_UK_L1_Input'!$D$4:$D$14,MATCH($C12,'3_UK_L1_Input'!$A$4:$A$14,0))*P12,INDEX('3_UK_L1_Input'!$D$4:$D$14,MATCH($C12,'3_UK_L1_Input'!$A$4:$A$14,0))*K12)</f>
        <v/>
      </c>
      <c r="S12" s="19">
        <f>IF(G12="","BETA CASCADE FALLBACK (dummy — replace with real beta)","REAL (Bloomberg UK)")</f>
        <v/>
      </c>
      <c r="T12" s="17">
        <f>INDEX('3_UK_L1_Input'!$C$4:$C$14,MATCH($C12,'3_UK_L1_Input'!$A$4:$A$14,0))</f>
        <v/>
      </c>
      <c r="U12" s="17">
        <f>INDEX('3_UK_L1_Input'!$C$4:$C$14,MATCH($C12,'3_UK_L1_Input'!$A$4:$A$14,0))*P12</f>
        <v/>
      </c>
      <c r="V12" s="15">
        <f>INDEX('5_UK_DefaultRisk_Input'!$D$5:$D$15,MATCH($C12,'5_UK_DefaultRisk_Input'!$A$5:$A$15,0))</f>
        <v/>
      </c>
      <c r="W12" s="15">
        <f>INDEX('5_UK_DefaultRisk_Input'!$D$20:$D$44,MATCH($E12,'5_UK_DefaultRisk_Input'!$A$20:$A$44,0))</f>
        <v/>
      </c>
      <c r="X12" s="15">
        <f>INDEX('5_UK_DefaultRisk_Input'!$D$49:$D$122,MATCH($D12,'5_UK_DefaultRisk_Input'!$A$49:$A$122,0))</f>
        <v/>
      </c>
      <c r="Y12" s="15">
        <f>INDEX('5_UK_DefaultRisk_Input'!$D$127:$D$289,MATCH($A12,'5_UK_DefaultRisk_Input'!$A$127:$A$289,0))</f>
        <v/>
      </c>
      <c r="Z12" s="16">
        <f>(W12/V12)*(X12/W12)*(Y12/X12)</f>
        <v/>
      </c>
      <c r="AA12" s="17">
        <f>INDEX('3_UK_L1_Input'!$D$4:$D$14,MATCH($C12,'3_UK_L1_Input'!$A$4:$A$14,0))*Z12</f>
        <v/>
      </c>
    </row>
    <row r="13">
      <c r="A13" s="7" t="n">
        <v>15101040</v>
      </c>
      <c r="B13" s="7" t="inlineStr">
        <is>
          <t>Industrial Gases</t>
        </is>
      </c>
      <c r="C13" s="7" t="n">
        <v>15</v>
      </c>
      <c r="D13" s="7" t="n">
        <v>151010</v>
      </c>
      <c r="E13" s="7" t="n">
        <v>1510</v>
      </c>
      <c r="F13" s="8" t="n"/>
      <c r="G13" s="8" t="n"/>
      <c r="H13" s="16">
        <f>IFERROR(SUMPRODUCT(($C$3:$C$165=C13)*ISNUMBER($G$3:$G$165)*ISNUMBER($F$3:$F$165)*IF(ISNUMBER($F$3:$F$165),$F$3:$F$165,0)*IF(ISNUMBER($G$3:$G$165),$G$3:$G$165,0))/SUMPRODUCT(($C$3:$C$165=C13)*ISNUMBER($G$3:$G$165)*ISNUMBER($F$3:$F$165)*IF(ISNUMBER($F$3:$F$165),$F$3:$F$165,0)),"")</f>
        <v/>
      </c>
      <c r="I13" s="16">
        <f>IFERROR(SUMPRODUCT(($C$3:$C$165=C13)*ISNUMBER($G$3:$G$165)*IF(ISNUMBER($G$3:$G$165),$G$3:$G$165,0))/SUMPRODUCT(($C$3:$C$165=C13)*ISNUMBER($G$3:$G$165)),"")</f>
        <v/>
      </c>
      <c r="J13" s="16">
        <f>IF(OR(G13="",H13=""),"",G13/H13)</f>
        <v/>
      </c>
      <c r="K13" s="16">
        <f>IF(OR(G13="",I13=""),"",G13/I13)</f>
        <v/>
      </c>
      <c r="L13" s="14">
        <f>INDEX('4_UK_Beta_Input'!$D$5:$D$15,MATCH($C13,'4_UK_Beta_Input'!$A$5:$A$15,0))</f>
        <v/>
      </c>
      <c r="M13" s="14">
        <f>INDEX('4_UK_Beta_Input'!$D$20:$D$44,MATCH($E13,'4_UK_Beta_Input'!$A$20:$A$44,0))</f>
        <v/>
      </c>
      <c r="N13" s="14">
        <f>INDEX('4_UK_Beta_Input'!$D$49:$D$122,MATCH($D13,'4_UK_Beta_Input'!$A$49:$A$122,0))</f>
        <v/>
      </c>
      <c r="O13" s="14">
        <f>INDEX('4_UK_Beta_Input'!$D$127:$D$289,MATCH($A13,'4_UK_Beta_Input'!$A$127:$A$289,0))</f>
        <v/>
      </c>
      <c r="P13" s="16">
        <f>(M13/L13)*(N13/M13)*(O13/N13)</f>
        <v/>
      </c>
      <c r="Q13" s="17">
        <f>IF(J13="",INDEX('3_UK_L1_Input'!$D$4:$D$14,MATCH($C13,'3_UK_L1_Input'!$A$4:$A$14,0))*P13,INDEX('3_UK_L1_Input'!$D$4:$D$14,MATCH($C13,'3_UK_L1_Input'!$A$4:$A$14,0))*J13)</f>
        <v/>
      </c>
      <c r="R13" s="17">
        <f>IF(K13="",INDEX('3_UK_L1_Input'!$D$4:$D$14,MATCH($C13,'3_UK_L1_Input'!$A$4:$A$14,0))*P13,INDEX('3_UK_L1_Input'!$D$4:$D$14,MATCH($C13,'3_UK_L1_Input'!$A$4:$A$14,0))*K13)</f>
        <v/>
      </c>
      <c r="S13" s="19">
        <f>IF(G13="","BETA CASCADE FALLBACK (dummy — replace with real beta)","REAL (Bloomberg UK)")</f>
        <v/>
      </c>
      <c r="T13" s="17">
        <f>INDEX('3_UK_L1_Input'!$C$4:$C$14,MATCH($C13,'3_UK_L1_Input'!$A$4:$A$14,0))</f>
        <v/>
      </c>
      <c r="U13" s="17">
        <f>INDEX('3_UK_L1_Input'!$C$4:$C$14,MATCH($C13,'3_UK_L1_Input'!$A$4:$A$14,0))*P13</f>
        <v/>
      </c>
      <c r="V13" s="15">
        <f>INDEX('5_UK_DefaultRisk_Input'!$D$5:$D$15,MATCH($C13,'5_UK_DefaultRisk_Input'!$A$5:$A$15,0))</f>
        <v/>
      </c>
      <c r="W13" s="15">
        <f>INDEX('5_UK_DefaultRisk_Input'!$D$20:$D$44,MATCH($E13,'5_UK_DefaultRisk_Input'!$A$20:$A$44,0))</f>
        <v/>
      </c>
      <c r="X13" s="15">
        <f>INDEX('5_UK_DefaultRisk_Input'!$D$49:$D$122,MATCH($D13,'5_UK_DefaultRisk_Input'!$A$49:$A$122,0))</f>
        <v/>
      </c>
      <c r="Y13" s="15">
        <f>INDEX('5_UK_DefaultRisk_Input'!$D$127:$D$289,MATCH($A13,'5_UK_DefaultRisk_Input'!$A$127:$A$289,0))</f>
        <v/>
      </c>
      <c r="Z13" s="16">
        <f>(W13/V13)*(X13/W13)*(Y13/X13)</f>
        <v/>
      </c>
      <c r="AA13" s="17">
        <f>INDEX('3_UK_L1_Input'!$D$4:$D$14,MATCH($C13,'3_UK_L1_Input'!$A$4:$A$14,0))*Z13</f>
        <v/>
      </c>
    </row>
    <row r="14">
      <c r="A14" s="7" t="n">
        <v>15101050</v>
      </c>
      <c r="B14" s="7" t="inlineStr">
        <is>
          <t>Specialty Chemicals</t>
        </is>
      </c>
      <c r="C14" s="7" t="n">
        <v>15</v>
      </c>
      <c r="D14" s="7" t="n">
        <v>151010</v>
      </c>
      <c r="E14" s="7" t="n">
        <v>1510</v>
      </c>
      <c r="F14" s="9" t="n">
        <v>1590000000</v>
      </c>
      <c r="G14" s="10" t="n">
        <v>8.869999999999999</v>
      </c>
      <c r="H14" s="16">
        <f>IFERROR(SUMPRODUCT(($C$3:$C$165=C14)*ISNUMBER($G$3:$G$165)*ISNUMBER($F$3:$F$165)*IF(ISNUMBER($F$3:$F$165),$F$3:$F$165,0)*IF(ISNUMBER($G$3:$G$165),$G$3:$G$165,0))/SUMPRODUCT(($C$3:$C$165=C14)*ISNUMBER($G$3:$G$165)*ISNUMBER($F$3:$F$165)*IF(ISNUMBER($F$3:$F$165),$F$3:$F$165,0)),"")</f>
        <v/>
      </c>
      <c r="I14" s="16">
        <f>IFERROR(SUMPRODUCT(($C$3:$C$165=C14)*ISNUMBER($G$3:$G$165)*IF(ISNUMBER($G$3:$G$165),$G$3:$G$165,0))/SUMPRODUCT(($C$3:$C$165=C14)*ISNUMBER($G$3:$G$165)),"")</f>
        <v/>
      </c>
      <c r="J14" s="16">
        <f>IF(OR(G14="",H14=""),"",G14/H14)</f>
        <v/>
      </c>
      <c r="K14" s="16">
        <f>IF(OR(G14="",I14=""),"",G14/I14)</f>
        <v/>
      </c>
      <c r="L14" s="14">
        <f>INDEX('4_UK_Beta_Input'!$D$5:$D$15,MATCH($C14,'4_UK_Beta_Input'!$A$5:$A$15,0))</f>
        <v/>
      </c>
      <c r="M14" s="14">
        <f>INDEX('4_UK_Beta_Input'!$D$20:$D$44,MATCH($E14,'4_UK_Beta_Input'!$A$20:$A$44,0))</f>
        <v/>
      </c>
      <c r="N14" s="14">
        <f>INDEX('4_UK_Beta_Input'!$D$49:$D$122,MATCH($D14,'4_UK_Beta_Input'!$A$49:$A$122,0))</f>
        <v/>
      </c>
      <c r="O14" s="14">
        <f>INDEX('4_UK_Beta_Input'!$D$127:$D$289,MATCH($A14,'4_UK_Beta_Input'!$A$127:$A$289,0))</f>
        <v/>
      </c>
      <c r="P14" s="16">
        <f>(M14/L14)*(N14/M14)*(O14/N14)</f>
        <v/>
      </c>
      <c r="Q14" s="17">
        <f>IF(J14="",INDEX('3_UK_L1_Input'!$D$4:$D$14,MATCH($C14,'3_UK_L1_Input'!$A$4:$A$14,0))*P14,INDEX('3_UK_L1_Input'!$D$4:$D$14,MATCH($C14,'3_UK_L1_Input'!$A$4:$A$14,0))*J14)</f>
        <v/>
      </c>
      <c r="R14" s="17">
        <f>IF(K14="",INDEX('3_UK_L1_Input'!$D$4:$D$14,MATCH($C14,'3_UK_L1_Input'!$A$4:$A$14,0))*P14,INDEX('3_UK_L1_Input'!$D$4:$D$14,MATCH($C14,'3_UK_L1_Input'!$A$4:$A$14,0))*K14)</f>
        <v/>
      </c>
      <c r="S14" s="18">
        <f>IF(G14="","BETA CASCADE FALLBACK (dummy — replace with real beta)","REAL (Bloomberg UK)")</f>
        <v/>
      </c>
      <c r="T14" s="17">
        <f>INDEX('3_UK_L1_Input'!$C$4:$C$14,MATCH($C14,'3_UK_L1_Input'!$A$4:$A$14,0))</f>
        <v/>
      </c>
      <c r="U14" s="17">
        <f>INDEX('3_UK_L1_Input'!$C$4:$C$14,MATCH($C14,'3_UK_L1_Input'!$A$4:$A$14,0))*P14</f>
        <v/>
      </c>
      <c r="V14" s="15">
        <f>INDEX('5_UK_DefaultRisk_Input'!$D$5:$D$15,MATCH($C14,'5_UK_DefaultRisk_Input'!$A$5:$A$15,0))</f>
        <v/>
      </c>
      <c r="W14" s="15">
        <f>INDEX('5_UK_DefaultRisk_Input'!$D$20:$D$44,MATCH($E14,'5_UK_DefaultRisk_Input'!$A$20:$A$44,0))</f>
        <v/>
      </c>
      <c r="X14" s="15">
        <f>INDEX('5_UK_DefaultRisk_Input'!$D$49:$D$122,MATCH($D14,'5_UK_DefaultRisk_Input'!$A$49:$A$122,0))</f>
        <v/>
      </c>
      <c r="Y14" s="15">
        <f>INDEX('5_UK_DefaultRisk_Input'!$D$127:$D$289,MATCH($A14,'5_UK_DefaultRisk_Input'!$A$127:$A$289,0))</f>
        <v/>
      </c>
      <c r="Z14" s="16">
        <f>(W14/V14)*(X14/W14)*(Y14/X14)</f>
        <v/>
      </c>
      <c r="AA14" s="17">
        <f>INDEX('3_UK_L1_Input'!$D$4:$D$14,MATCH($C14,'3_UK_L1_Input'!$A$4:$A$14,0))*Z14</f>
        <v/>
      </c>
    </row>
    <row r="15">
      <c r="A15" s="7" t="n">
        <v>15102010</v>
      </c>
      <c r="B15" s="7" t="inlineStr">
        <is>
          <t>Construction Materials</t>
        </is>
      </c>
      <c r="C15" s="7" t="n">
        <v>15</v>
      </c>
      <c r="D15" s="7" t="n">
        <v>151020</v>
      </c>
      <c r="E15" s="7" t="n">
        <v>1510</v>
      </c>
      <c r="F15" s="9" t="n">
        <v>699210000</v>
      </c>
      <c r="G15" s="10" t="n">
        <v>6.57</v>
      </c>
      <c r="H15" s="16">
        <f>IFERROR(SUMPRODUCT(($C$3:$C$165=C15)*ISNUMBER($G$3:$G$165)*ISNUMBER($F$3:$F$165)*IF(ISNUMBER($F$3:$F$165),$F$3:$F$165,0)*IF(ISNUMBER($G$3:$G$165),$G$3:$G$165,0))/SUMPRODUCT(($C$3:$C$165=C15)*ISNUMBER($G$3:$G$165)*ISNUMBER($F$3:$F$165)*IF(ISNUMBER($F$3:$F$165),$F$3:$F$165,0)),"")</f>
        <v/>
      </c>
      <c r="I15" s="16">
        <f>IFERROR(SUMPRODUCT(($C$3:$C$165=C15)*ISNUMBER($G$3:$G$165)*IF(ISNUMBER($G$3:$G$165),$G$3:$G$165,0))/SUMPRODUCT(($C$3:$C$165=C15)*ISNUMBER($G$3:$G$165)),"")</f>
        <v/>
      </c>
      <c r="J15" s="16">
        <f>IF(OR(G15="",H15=""),"",G15/H15)</f>
        <v/>
      </c>
      <c r="K15" s="16">
        <f>IF(OR(G15="",I15=""),"",G15/I15)</f>
        <v/>
      </c>
      <c r="L15" s="14">
        <f>INDEX('4_UK_Beta_Input'!$D$5:$D$15,MATCH($C15,'4_UK_Beta_Input'!$A$5:$A$15,0))</f>
        <v/>
      </c>
      <c r="M15" s="14">
        <f>INDEX('4_UK_Beta_Input'!$D$20:$D$44,MATCH($E15,'4_UK_Beta_Input'!$A$20:$A$44,0))</f>
        <v/>
      </c>
      <c r="N15" s="14">
        <f>INDEX('4_UK_Beta_Input'!$D$49:$D$122,MATCH($D15,'4_UK_Beta_Input'!$A$49:$A$122,0))</f>
        <v/>
      </c>
      <c r="O15" s="14">
        <f>INDEX('4_UK_Beta_Input'!$D$127:$D$289,MATCH($A15,'4_UK_Beta_Input'!$A$127:$A$289,0))</f>
        <v/>
      </c>
      <c r="P15" s="16">
        <f>(M15/L15)*(N15/M15)*(O15/N15)</f>
        <v/>
      </c>
      <c r="Q15" s="17">
        <f>IF(J15="",INDEX('3_UK_L1_Input'!$D$4:$D$14,MATCH($C15,'3_UK_L1_Input'!$A$4:$A$14,0))*P15,INDEX('3_UK_L1_Input'!$D$4:$D$14,MATCH($C15,'3_UK_L1_Input'!$A$4:$A$14,0))*J15)</f>
        <v/>
      </c>
      <c r="R15" s="17">
        <f>IF(K15="",INDEX('3_UK_L1_Input'!$D$4:$D$14,MATCH($C15,'3_UK_L1_Input'!$A$4:$A$14,0))*P15,INDEX('3_UK_L1_Input'!$D$4:$D$14,MATCH($C15,'3_UK_L1_Input'!$A$4:$A$14,0))*K15)</f>
        <v/>
      </c>
      <c r="S15" s="18">
        <f>IF(G15="","BETA CASCADE FALLBACK (dummy — replace with real beta)","REAL (Bloomberg UK)")</f>
        <v/>
      </c>
      <c r="T15" s="17">
        <f>INDEX('3_UK_L1_Input'!$C$4:$C$14,MATCH($C15,'3_UK_L1_Input'!$A$4:$A$14,0))</f>
        <v/>
      </c>
      <c r="U15" s="17">
        <f>INDEX('3_UK_L1_Input'!$C$4:$C$14,MATCH($C15,'3_UK_L1_Input'!$A$4:$A$14,0))*P15</f>
        <v/>
      </c>
      <c r="V15" s="15">
        <f>INDEX('5_UK_DefaultRisk_Input'!$D$5:$D$15,MATCH($C15,'5_UK_DefaultRisk_Input'!$A$5:$A$15,0))</f>
        <v/>
      </c>
      <c r="W15" s="15">
        <f>INDEX('5_UK_DefaultRisk_Input'!$D$20:$D$44,MATCH($E15,'5_UK_DefaultRisk_Input'!$A$20:$A$44,0))</f>
        <v/>
      </c>
      <c r="X15" s="15">
        <f>INDEX('5_UK_DefaultRisk_Input'!$D$49:$D$122,MATCH($D15,'5_UK_DefaultRisk_Input'!$A$49:$A$122,0))</f>
        <v/>
      </c>
      <c r="Y15" s="15">
        <f>INDEX('5_UK_DefaultRisk_Input'!$D$127:$D$289,MATCH($A15,'5_UK_DefaultRisk_Input'!$A$127:$A$289,0))</f>
        <v/>
      </c>
      <c r="Z15" s="16">
        <f>(W15/V15)*(X15/W15)*(Y15/X15)</f>
        <v/>
      </c>
      <c r="AA15" s="17">
        <f>INDEX('3_UK_L1_Input'!$D$4:$D$14,MATCH($C15,'3_UK_L1_Input'!$A$4:$A$14,0))*Z15</f>
        <v/>
      </c>
    </row>
    <row r="16">
      <c r="A16" s="7" t="n">
        <v>15103010</v>
      </c>
      <c r="B16" s="7" t="inlineStr">
        <is>
          <t>Metal, Glass &amp; Plastic Containers</t>
        </is>
      </c>
      <c r="C16" s="7" t="n">
        <v>15</v>
      </c>
      <c r="D16" s="7" t="n">
        <v>151030</v>
      </c>
      <c r="E16" s="7" t="n">
        <v>1510</v>
      </c>
      <c r="F16" s="9" t="n">
        <v>33260000</v>
      </c>
      <c r="G16" s="8" t="n"/>
      <c r="H16" s="16">
        <f>IFERROR(SUMPRODUCT(($C$3:$C$165=C16)*ISNUMBER($G$3:$G$165)*ISNUMBER($F$3:$F$165)*IF(ISNUMBER($F$3:$F$165),$F$3:$F$165,0)*IF(ISNUMBER($G$3:$G$165),$G$3:$G$165,0))/SUMPRODUCT(($C$3:$C$165=C16)*ISNUMBER($G$3:$G$165)*ISNUMBER($F$3:$F$165)*IF(ISNUMBER($F$3:$F$165),$F$3:$F$165,0)),"")</f>
        <v/>
      </c>
      <c r="I16" s="16">
        <f>IFERROR(SUMPRODUCT(($C$3:$C$165=C16)*ISNUMBER($G$3:$G$165)*IF(ISNUMBER($G$3:$G$165),$G$3:$G$165,0))/SUMPRODUCT(($C$3:$C$165=C16)*ISNUMBER($G$3:$G$165)),"")</f>
        <v/>
      </c>
      <c r="J16" s="16">
        <f>IF(OR(G16="",H16=""),"",G16/H16)</f>
        <v/>
      </c>
      <c r="K16" s="16">
        <f>IF(OR(G16="",I16=""),"",G16/I16)</f>
        <v/>
      </c>
      <c r="L16" s="14">
        <f>INDEX('4_UK_Beta_Input'!$D$5:$D$15,MATCH($C16,'4_UK_Beta_Input'!$A$5:$A$15,0))</f>
        <v/>
      </c>
      <c r="M16" s="14">
        <f>INDEX('4_UK_Beta_Input'!$D$20:$D$44,MATCH($E16,'4_UK_Beta_Input'!$A$20:$A$44,0))</f>
        <v/>
      </c>
      <c r="N16" s="14">
        <f>INDEX('4_UK_Beta_Input'!$D$49:$D$122,MATCH($D16,'4_UK_Beta_Input'!$A$49:$A$122,0))</f>
        <v/>
      </c>
      <c r="O16" s="14">
        <f>INDEX('4_UK_Beta_Input'!$D$127:$D$289,MATCH($A16,'4_UK_Beta_Input'!$A$127:$A$289,0))</f>
        <v/>
      </c>
      <c r="P16" s="16">
        <f>(M16/L16)*(N16/M16)*(O16/N16)</f>
        <v/>
      </c>
      <c r="Q16" s="17">
        <f>IF(J16="",INDEX('3_UK_L1_Input'!$D$4:$D$14,MATCH($C16,'3_UK_L1_Input'!$A$4:$A$14,0))*P16,INDEX('3_UK_L1_Input'!$D$4:$D$14,MATCH($C16,'3_UK_L1_Input'!$A$4:$A$14,0))*J16)</f>
        <v/>
      </c>
      <c r="R16" s="17">
        <f>IF(K16="",INDEX('3_UK_L1_Input'!$D$4:$D$14,MATCH($C16,'3_UK_L1_Input'!$A$4:$A$14,0))*P16,INDEX('3_UK_L1_Input'!$D$4:$D$14,MATCH($C16,'3_UK_L1_Input'!$A$4:$A$14,0))*K16)</f>
        <v/>
      </c>
      <c r="S16" s="19">
        <f>IF(G16="","BETA CASCADE FALLBACK (dummy — replace with real beta)","REAL (Bloomberg UK)")</f>
        <v/>
      </c>
      <c r="T16" s="17">
        <f>INDEX('3_UK_L1_Input'!$C$4:$C$14,MATCH($C16,'3_UK_L1_Input'!$A$4:$A$14,0))</f>
        <v/>
      </c>
      <c r="U16" s="17">
        <f>INDEX('3_UK_L1_Input'!$C$4:$C$14,MATCH($C16,'3_UK_L1_Input'!$A$4:$A$14,0))*P16</f>
        <v/>
      </c>
      <c r="V16" s="15">
        <f>INDEX('5_UK_DefaultRisk_Input'!$D$5:$D$15,MATCH($C16,'5_UK_DefaultRisk_Input'!$A$5:$A$15,0))</f>
        <v/>
      </c>
      <c r="W16" s="15">
        <f>INDEX('5_UK_DefaultRisk_Input'!$D$20:$D$44,MATCH($E16,'5_UK_DefaultRisk_Input'!$A$20:$A$44,0))</f>
        <v/>
      </c>
      <c r="X16" s="15">
        <f>INDEX('5_UK_DefaultRisk_Input'!$D$49:$D$122,MATCH($D16,'5_UK_DefaultRisk_Input'!$A$49:$A$122,0))</f>
        <v/>
      </c>
      <c r="Y16" s="15">
        <f>INDEX('5_UK_DefaultRisk_Input'!$D$127:$D$289,MATCH($A16,'5_UK_DefaultRisk_Input'!$A$127:$A$289,0))</f>
        <v/>
      </c>
      <c r="Z16" s="16">
        <f>(W16/V16)*(X16/W16)*(Y16/X16)</f>
        <v/>
      </c>
      <c r="AA16" s="17">
        <f>INDEX('3_UK_L1_Input'!$D$4:$D$14,MATCH($C16,'3_UK_L1_Input'!$A$4:$A$14,0))*Z16</f>
        <v/>
      </c>
    </row>
    <row r="17">
      <c r="A17" s="7" t="n">
        <v>15103020</v>
      </c>
      <c r="B17" s="7" t="inlineStr">
        <is>
          <t>Paper &amp; Plastic Packaging Products &amp; Materials</t>
        </is>
      </c>
      <c r="C17" s="7" t="n">
        <v>15</v>
      </c>
      <c r="D17" s="7" t="n">
        <v>151030</v>
      </c>
      <c r="E17" s="7" t="n">
        <v>1510</v>
      </c>
      <c r="F17" s="9" t="n">
        <v>56210000</v>
      </c>
      <c r="G17" s="10" t="n">
        <v>3.38</v>
      </c>
      <c r="H17" s="16">
        <f>IFERROR(SUMPRODUCT(($C$3:$C$165=C17)*ISNUMBER($G$3:$G$165)*ISNUMBER($F$3:$F$165)*IF(ISNUMBER($F$3:$F$165),$F$3:$F$165,0)*IF(ISNUMBER($G$3:$G$165),$G$3:$G$165,0))/SUMPRODUCT(($C$3:$C$165=C17)*ISNUMBER($G$3:$G$165)*ISNUMBER($F$3:$F$165)*IF(ISNUMBER($F$3:$F$165),$F$3:$F$165,0)),"")</f>
        <v/>
      </c>
      <c r="I17" s="16">
        <f>IFERROR(SUMPRODUCT(($C$3:$C$165=C17)*ISNUMBER($G$3:$G$165)*IF(ISNUMBER($G$3:$G$165),$G$3:$G$165,0))/SUMPRODUCT(($C$3:$C$165=C17)*ISNUMBER($G$3:$G$165)),"")</f>
        <v/>
      </c>
      <c r="J17" s="16">
        <f>IF(OR(G17="",H17=""),"",G17/H17)</f>
        <v/>
      </c>
      <c r="K17" s="16">
        <f>IF(OR(G17="",I17=""),"",G17/I17)</f>
        <v/>
      </c>
      <c r="L17" s="14">
        <f>INDEX('4_UK_Beta_Input'!$D$5:$D$15,MATCH($C17,'4_UK_Beta_Input'!$A$5:$A$15,0))</f>
        <v/>
      </c>
      <c r="M17" s="14">
        <f>INDEX('4_UK_Beta_Input'!$D$20:$D$44,MATCH($E17,'4_UK_Beta_Input'!$A$20:$A$44,0))</f>
        <v/>
      </c>
      <c r="N17" s="14">
        <f>INDEX('4_UK_Beta_Input'!$D$49:$D$122,MATCH($D17,'4_UK_Beta_Input'!$A$49:$A$122,0))</f>
        <v/>
      </c>
      <c r="O17" s="14">
        <f>INDEX('4_UK_Beta_Input'!$D$127:$D$289,MATCH($A17,'4_UK_Beta_Input'!$A$127:$A$289,0))</f>
        <v/>
      </c>
      <c r="P17" s="16">
        <f>(M17/L17)*(N17/M17)*(O17/N17)</f>
        <v/>
      </c>
      <c r="Q17" s="17">
        <f>IF(J17="",INDEX('3_UK_L1_Input'!$D$4:$D$14,MATCH($C17,'3_UK_L1_Input'!$A$4:$A$14,0))*P17,INDEX('3_UK_L1_Input'!$D$4:$D$14,MATCH($C17,'3_UK_L1_Input'!$A$4:$A$14,0))*J17)</f>
        <v/>
      </c>
      <c r="R17" s="17">
        <f>IF(K17="",INDEX('3_UK_L1_Input'!$D$4:$D$14,MATCH($C17,'3_UK_L1_Input'!$A$4:$A$14,0))*P17,INDEX('3_UK_L1_Input'!$D$4:$D$14,MATCH($C17,'3_UK_L1_Input'!$A$4:$A$14,0))*K17)</f>
        <v/>
      </c>
      <c r="S17" s="18">
        <f>IF(G17="","BETA CASCADE FALLBACK (dummy — replace with real beta)","REAL (Bloomberg UK)")</f>
        <v/>
      </c>
      <c r="T17" s="17">
        <f>INDEX('3_UK_L1_Input'!$C$4:$C$14,MATCH($C17,'3_UK_L1_Input'!$A$4:$A$14,0))</f>
        <v/>
      </c>
      <c r="U17" s="17">
        <f>INDEX('3_UK_L1_Input'!$C$4:$C$14,MATCH($C17,'3_UK_L1_Input'!$A$4:$A$14,0))*P17</f>
        <v/>
      </c>
      <c r="V17" s="15">
        <f>INDEX('5_UK_DefaultRisk_Input'!$D$5:$D$15,MATCH($C17,'5_UK_DefaultRisk_Input'!$A$5:$A$15,0))</f>
        <v/>
      </c>
      <c r="W17" s="15">
        <f>INDEX('5_UK_DefaultRisk_Input'!$D$20:$D$44,MATCH($E17,'5_UK_DefaultRisk_Input'!$A$20:$A$44,0))</f>
        <v/>
      </c>
      <c r="X17" s="15">
        <f>INDEX('5_UK_DefaultRisk_Input'!$D$49:$D$122,MATCH($D17,'5_UK_DefaultRisk_Input'!$A$49:$A$122,0))</f>
        <v/>
      </c>
      <c r="Y17" s="15">
        <f>INDEX('5_UK_DefaultRisk_Input'!$D$127:$D$289,MATCH($A17,'5_UK_DefaultRisk_Input'!$A$127:$A$289,0))</f>
        <v/>
      </c>
      <c r="Z17" s="16">
        <f>(W17/V17)*(X17/W17)*(Y17/X17)</f>
        <v/>
      </c>
      <c r="AA17" s="17">
        <f>INDEX('3_UK_L1_Input'!$D$4:$D$14,MATCH($C17,'3_UK_L1_Input'!$A$4:$A$14,0))*Z17</f>
        <v/>
      </c>
    </row>
    <row r="18">
      <c r="A18" s="7" t="n">
        <v>15104010</v>
      </c>
      <c r="B18" s="7" t="inlineStr">
        <is>
          <t>Aluminum</t>
        </is>
      </c>
      <c r="C18" s="7" t="n">
        <v>15</v>
      </c>
      <c r="D18" s="7" t="n">
        <v>151040</v>
      </c>
      <c r="E18" s="7" t="n">
        <v>1510</v>
      </c>
      <c r="F18" s="8" t="n"/>
      <c r="G18" s="8" t="n"/>
      <c r="H18" s="16">
        <f>IFERROR(SUMPRODUCT(($C$3:$C$165=C18)*ISNUMBER($G$3:$G$165)*ISNUMBER($F$3:$F$165)*IF(ISNUMBER($F$3:$F$165),$F$3:$F$165,0)*IF(ISNUMBER($G$3:$G$165),$G$3:$G$165,0))/SUMPRODUCT(($C$3:$C$165=C18)*ISNUMBER($G$3:$G$165)*ISNUMBER($F$3:$F$165)*IF(ISNUMBER($F$3:$F$165),$F$3:$F$165,0)),"")</f>
        <v/>
      </c>
      <c r="I18" s="16">
        <f>IFERROR(SUMPRODUCT(($C$3:$C$165=C18)*ISNUMBER($G$3:$G$165)*IF(ISNUMBER($G$3:$G$165),$G$3:$G$165,0))/SUMPRODUCT(($C$3:$C$165=C18)*ISNUMBER($G$3:$G$165)),"")</f>
        <v/>
      </c>
      <c r="J18" s="16">
        <f>IF(OR(G18="",H18=""),"",G18/H18)</f>
        <v/>
      </c>
      <c r="K18" s="16">
        <f>IF(OR(G18="",I18=""),"",G18/I18)</f>
        <v/>
      </c>
      <c r="L18" s="14">
        <f>INDEX('4_UK_Beta_Input'!$D$5:$D$15,MATCH($C18,'4_UK_Beta_Input'!$A$5:$A$15,0))</f>
        <v/>
      </c>
      <c r="M18" s="14">
        <f>INDEX('4_UK_Beta_Input'!$D$20:$D$44,MATCH($E18,'4_UK_Beta_Input'!$A$20:$A$44,0))</f>
        <v/>
      </c>
      <c r="N18" s="14">
        <f>INDEX('4_UK_Beta_Input'!$D$49:$D$122,MATCH($D18,'4_UK_Beta_Input'!$A$49:$A$122,0))</f>
        <v/>
      </c>
      <c r="O18" s="14">
        <f>INDEX('4_UK_Beta_Input'!$D$127:$D$289,MATCH($A18,'4_UK_Beta_Input'!$A$127:$A$289,0))</f>
        <v/>
      </c>
      <c r="P18" s="16">
        <f>(M18/L18)*(N18/M18)*(O18/N18)</f>
        <v/>
      </c>
      <c r="Q18" s="17">
        <f>IF(J18="",INDEX('3_UK_L1_Input'!$D$4:$D$14,MATCH($C18,'3_UK_L1_Input'!$A$4:$A$14,0))*P18,INDEX('3_UK_L1_Input'!$D$4:$D$14,MATCH($C18,'3_UK_L1_Input'!$A$4:$A$14,0))*J18)</f>
        <v/>
      </c>
      <c r="R18" s="17">
        <f>IF(K18="",INDEX('3_UK_L1_Input'!$D$4:$D$14,MATCH($C18,'3_UK_L1_Input'!$A$4:$A$14,0))*P18,INDEX('3_UK_L1_Input'!$D$4:$D$14,MATCH($C18,'3_UK_L1_Input'!$A$4:$A$14,0))*K18)</f>
        <v/>
      </c>
      <c r="S18" s="19">
        <f>IF(G18="","BETA CASCADE FALLBACK (dummy — replace with real beta)","REAL (Bloomberg UK)")</f>
        <v/>
      </c>
      <c r="T18" s="17">
        <f>INDEX('3_UK_L1_Input'!$C$4:$C$14,MATCH($C18,'3_UK_L1_Input'!$A$4:$A$14,0))</f>
        <v/>
      </c>
      <c r="U18" s="17">
        <f>INDEX('3_UK_L1_Input'!$C$4:$C$14,MATCH($C18,'3_UK_L1_Input'!$A$4:$A$14,0))*P18</f>
        <v/>
      </c>
      <c r="V18" s="15">
        <f>INDEX('5_UK_DefaultRisk_Input'!$D$5:$D$15,MATCH($C18,'5_UK_DefaultRisk_Input'!$A$5:$A$15,0))</f>
        <v/>
      </c>
      <c r="W18" s="15">
        <f>INDEX('5_UK_DefaultRisk_Input'!$D$20:$D$44,MATCH($E18,'5_UK_DefaultRisk_Input'!$A$20:$A$44,0))</f>
        <v/>
      </c>
      <c r="X18" s="15">
        <f>INDEX('5_UK_DefaultRisk_Input'!$D$49:$D$122,MATCH($D18,'5_UK_DefaultRisk_Input'!$A$49:$A$122,0))</f>
        <v/>
      </c>
      <c r="Y18" s="15">
        <f>INDEX('5_UK_DefaultRisk_Input'!$D$127:$D$289,MATCH($A18,'5_UK_DefaultRisk_Input'!$A$127:$A$289,0))</f>
        <v/>
      </c>
      <c r="Z18" s="16">
        <f>(W18/V18)*(X18/W18)*(Y18/X18)</f>
        <v/>
      </c>
      <c r="AA18" s="17">
        <f>INDEX('3_UK_L1_Input'!$D$4:$D$14,MATCH($C18,'3_UK_L1_Input'!$A$4:$A$14,0))*Z18</f>
        <v/>
      </c>
    </row>
    <row r="19">
      <c r="A19" s="7" t="n">
        <v>15104020</v>
      </c>
      <c r="B19" s="7" t="inlineStr">
        <is>
          <t>Diversified Metals &amp; Mining</t>
        </is>
      </c>
      <c r="C19" s="7" t="n">
        <v>15</v>
      </c>
      <c r="D19" s="7" t="n">
        <v>151040</v>
      </c>
      <c r="E19" s="7" t="n">
        <v>1510</v>
      </c>
      <c r="F19" s="9" t="n">
        <v>1930000000</v>
      </c>
      <c r="G19" s="10" t="n">
        <v>5.94</v>
      </c>
      <c r="H19" s="16">
        <f>IFERROR(SUMPRODUCT(($C$3:$C$165=C19)*ISNUMBER($G$3:$G$165)*ISNUMBER($F$3:$F$165)*IF(ISNUMBER($F$3:$F$165),$F$3:$F$165,0)*IF(ISNUMBER($G$3:$G$165),$G$3:$G$165,0))/SUMPRODUCT(($C$3:$C$165=C19)*ISNUMBER($G$3:$G$165)*ISNUMBER($F$3:$F$165)*IF(ISNUMBER($F$3:$F$165),$F$3:$F$165,0)),"")</f>
        <v/>
      </c>
      <c r="I19" s="16">
        <f>IFERROR(SUMPRODUCT(($C$3:$C$165=C19)*ISNUMBER($G$3:$G$165)*IF(ISNUMBER($G$3:$G$165),$G$3:$G$165,0))/SUMPRODUCT(($C$3:$C$165=C19)*ISNUMBER($G$3:$G$165)),"")</f>
        <v/>
      </c>
      <c r="J19" s="16">
        <f>IF(OR(G19="",H19=""),"",G19/H19)</f>
        <v/>
      </c>
      <c r="K19" s="16">
        <f>IF(OR(G19="",I19=""),"",G19/I19)</f>
        <v/>
      </c>
      <c r="L19" s="14">
        <f>INDEX('4_UK_Beta_Input'!$D$5:$D$15,MATCH($C19,'4_UK_Beta_Input'!$A$5:$A$15,0))</f>
        <v/>
      </c>
      <c r="M19" s="14">
        <f>INDEX('4_UK_Beta_Input'!$D$20:$D$44,MATCH($E19,'4_UK_Beta_Input'!$A$20:$A$44,0))</f>
        <v/>
      </c>
      <c r="N19" s="14">
        <f>INDEX('4_UK_Beta_Input'!$D$49:$D$122,MATCH($D19,'4_UK_Beta_Input'!$A$49:$A$122,0))</f>
        <v/>
      </c>
      <c r="O19" s="14">
        <f>INDEX('4_UK_Beta_Input'!$D$127:$D$289,MATCH($A19,'4_UK_Beta_Input'!$A$127:$A$289,0))</f>
        <v/>
      </c>
      <c r="P19" s="16">
        <f>(M19/L19)*(N19/M19)*(O19/N19)</f>
        <v/>
      </c>
      <c r="Q19" s="17">
        <f>IF(J19="",INDEX('3_UK_L1_Input'!$D$4:$D$14,MATCH($C19,'3_UK_L1_Input'!$A$4:$A$14,0))*P19,INDEX('3_UK_L1_Input'!$D$4:$D$14,MATCH($C19,'3_UK_L1_Input'!$A$4:$A$14,0))*J19)</f>
        <v/>
      </c>
      <c r="R19" s="17">
        <f>IF(K19="",INDEX('3_UK_L1_Input'!$D$4:$D$14,MATCH($C19,'3_UK_L1_Input'!$A$4:$A$14,0))*P19,INDEX('3_UK_L1_Input'!$D$4:$D$14,MATCH($C19,'3_UK_L1_Input'!$A$4:$A$14,0))*K19)</f>
        <v/>
      </c>
      <c r="S19" s="18">
        <f>IF(G19="","BETA CASCADE FALLBACK (dummy — replace with real beta)","REAL (Bloomberg UK)")</f>
        <v/>
      </c>
      <c r="T19" s="17">
        <f>INDEX('3_UK_L1_Input'!$C$4:$C$14,MATCH($C19,'3_UK_L1_Input'!$A$4:$A$14,0))</f>
        <v/>
      </c>
      <c r="U19" s="17">
        <f>INDEX('3_UK_L1_Input'!$C$4:$C$14,MATCH($C19,'3_UK_L1_Input'!$A$4:$A$14,0))*P19</f>
        <v/>
      </c>
      <c r="V19" s="15">
        <f>INDEX('5_UK_DefaultRisk_Input'!$D$5:$D$15,MATCH($C19,'5_UK_DefaultRisk_Input'!$A$5:$A$15,0))</f>
        <v/>
      </c>
      <c r="W19" s="15">
        <f>INDEX('5_UK_DefaultRisk_Input'!$D$20:$D$44,MATCH($E19,'5_UK_DefaultRisk_Input'!$A$20:$A$44,0))</f>
        <v/>
      </c>
      <c r="X19" s="15">
        <f>INDEX('5_UK_DefaultRisk_Input'!$D$49:$D$122,MATCH($D19,'5_UK_DefaultRisk_Input'!$A$49:$A$122,0))</f>
        <v/>
      </c>
      <c r="Y19" s="15">
        <f>INDEX('5_UK_DefaultRisk_Input'!$D$127:$D$289,MATCH($A19,'5_UK_DefaultRisk_Input'!$A$127:$A$289,0))</f>
        <v/>
      </c>
      <c r="Z19" s="16">
        <f>(W19/V19)*(X19/W19)*(Y19/X19)</f>
        <v/>
      </c>
      <c r="AA19" s="17">
        <f>INDEX('3_UK_L1_Input'!$D$4:$D$14,MATCH($C19,'3_UK_L1_Input'!$A$4:$A$14,0))*Z19</f>
        <v/>
      </c>
    </row>
    <row r="20">
      <c r="A20" s="7" t="n">
        <v>15104025</v>
      </c>
      <c r="B20" s="7" t="inlineStr">
        <is>
          <t>Copper</t>
        </is>
      </c>
      <c r="C20" s="7" t="n">
        <v>15</v>
      </c>
      <c r="D20" s="7" t="n">
        <v>151040</v>
      </c>
      <c r="E20" s="7" t="n">
        <v>1510</v>
      </c>
      <c r="F20" s="9" t="n">
        <v>76620000</v>
      </c>
      <c r="G20" s="10" t="n">
        <v>1.5</v>
      </c>
      <c r="H20" s="16">
        <f>IFERROR(SUMPRODUCT(($C$3:$C$165=C20)*ISNUMBER($G$3:$G$165)*ISNUMBER($F$3:$F$165)*IF(ISNUMBER($F$3:$F$165),$F$3:$F$165,0)*IF(ISNUMBER($G$3:$G$165),$G$3:$G$165,0))/SUMPRODUCT(($C$3:$C$165=C20)*ISNUMBER($G$3:$G$165)*ISNUMBER($F$3:$F$165)*IF(ISNUMBER($F$3:$F$165),$F$3:$F$165,0)),"")</f>
        <v/>
      </c>
      <c r="I20" s="16">
        <f>IFERROR(SUMPRODUCT(($C$3:$C$165=C20)*ISNUMBER($G$3:$G$165)*IF(ISNUMBER($G$3:$G$165),$G$3:$G$165,0))/SUMPRODUCT(($C$3:$C$165=C20)*ISNUMBER($G$3:$G$165)),"")</f>
        <v/>
      </c>
      <c r="J20" s="16">
        <f>IF(OR(G20="",H20=""),"",G20/H20)</f>
        <v/>
      </c>
      <c r="K20" s="16">
        <f>IF(OR(G20="",I20=""),"",G20/I20)</f>
        <v/>
      </c>
      <c r="L20" s="14">
        <f>INDEX('4_UK_Beta_Input'!$D$5:$D$15,MATCH($C20,'4_UK_Beta_Input'!$A$5:$A$15,0))</f>
        <v/>
      </c>
      <c r="M20" s="14">
        <f>INDEX('4_UK_Beta_Input'!$D$20:$D$44,MATCH($E20,'4_UK_Beta_Input'!$A$20:$A$44,0))</f>
        <v/>
      </c>
      <c r="N20" s="14">
        <f>INDEX('4_UK_Beta_Input'!$D$49:$D$122,MATCH($D20,'4_UK_Beta_Input'!$A$49:$A$122,0))</f>
        <v/>
      </c>
      <c r="O20" s="14">
        <f>INDEX('4_UK_Beta_Input'!$D$127:$D$289,MATCH($A20,'4_UK_Beta_Input'!$A$127:$A$289,0))</f>
        <v/>
      </c>
      <c r="P20" s="16">
        <f>(M20/L20)*(N20/M20)*(O20/N20)</f>
        <v/>
      </c>
      <c r="Q20" s="17">
        <f>IF(J20="",INDEX('3_UK_L1_Input'!$D$4:$D$14,MATCH($C20,'3_UK_L1_Input'!$A$4:$A$14,0))*P20,INDEX('3_UK_L1_Input'!$D$4:$D$14,MATCH($C20,'3_UK_L1_Input'!$A$4:$A$14,0))*J20)</f>
        <v/>
      </c>
      <c r="R20" s="17">
        <f>IF(K20="",INDEX('3_UK_L1_Input'!$D$4:$D$14,MATCH($C20,'3_UK_L1_Input'!$A$4:$A$14,0))*P20,INDEX('3_UK_L1_Input'!$D$4:$D$14,MATCH($C20,'3_UK_L1_Input'!$A$4:$A$14,0))*K20)</f>
        <v/>
      </c>
      <c r="S20" s="18">
        <f>IF(G20="","BETA CASCADE FALLBACK (dummy — replace with real beta)","REAL (Bloomberg UK)")</f>
        <v/>
      </c>
      <c r="T20" s="17">
        <f>INDEX('3_UK_L1_Input'!$C$4:$C$14,MATCH($C20,'3_UK_L1_Input'!$A$4:$A$14,0))</f>
        <v/>
      </c>
      <c r="U20" s="17">
        <f>INDEX('3_UK_L1_Input'!$C$4:$C$14,MATCH($C20,'3_UK_L1_Input'!$A$4:$A$14,0))*P20</f>
        <v/>
      </c>
      <c r="V20" s="15">
        <f>INDEX('5_UK_DefaultRisk_Input'!$D$5:$D$15,MATCH($C20,'5_UK_DefaultRisk_Input'!$A$5:$A$15,0))</f>
        <v/>
      </c>
      <c r="W20" s="15">
        <f>INDEX('5_UK_DefaultRisk_Input'!$D$20:$D$44,MATCH($E20,'5_UK_DefaultRisk_Input'!$A$20:$A$44,0))</f>
        <v/>
      </c>
      <c r="X20" s="15">
        <f>INDEX('5_UK_DefaultRisk_Input'!$D$49:$D$122,MATCH($D20,'5_UK_DefaultRisk_Input'!$A$49:$A$122,0))</f>
        <v/>
      </c>
      <c r="Y20" s="15">
        <f>INDEX('5_UK_DefaultRisk_Input'!$D$127:$D$289,MATCH($A20,'5_UK_DefaultRisk_Input'!$A$127:$A$289,0))</f>
        <v/>
      </c>
      <c r="Z20" s="16">
        <f>(W20/V20)*(X20/W20)*(Y20/X20)</f>
        <v/>
      </c>
      <c r="AA20" s="17">
        <f>INDEX('3_UK_L1_Input'!$D$4:$D$14,MATCH($C20,'3_UK_L1_Input'!$A$4:$A$14,0))*Z20</f>
        <v/>
      </c>
    </row>
    <row r="21">
      <c r="A21" s="7" t="n">
        <v>15104030</v>
      </c>
      <c r="B21" s="7" t="inlineStr">
        <is>
          <t>Gold</t>
        </is>
      </c>
      <c r="C21" s="7" t="n">
        <v>15</v>
      </c>
      <c r="D21" s="7" t="n">
        <v>151040</v>
      </c>
      <c r="E21" s="7" t="n">
        <v>1510</v>
      </c>
      <c r="F21" s="9" t="n">
        <v>410600000</v>
      </c>
      <c r="G21" s="10" t="n">
        <v>4.23</v>
      </c>
      <c r="H21" s="16">
        <f>IFERROR(SUMPRODUCT(($C$3:$C$165=C21)*ISNUMBER($G$3:$G$165)*ISNUMBER($F$3:$F$165)*IF(ISNUMBER($F$3:$F$165),$F$3:$F$165,0)*IF(ISNUMBER($G$3:$G$165),$G$3:$G$165,0))/SUMPRODUCT(($C$3:$C$165=C21)*ISNUMBER($G$3:$G$165)*ISNUMBER($F$3:$F$165)*IF(ISNUMBER($F$3:$F$165),$F$3:$F$165,0)),"")</f>
        <v/>
      </c>
      <c r="I21" s="16">
        <f>IFERROR(SUMPRODUCT(($C$3:$C$165=C21)*ISNUMBER($G$3:$G$165)*IF(ISNUMBER($G$3:$G$165),$G$3:$G$165,0))/SUMPRODUCT(($C$3:$C$165=C21)*ISNUMBER($G$3:$G$165)),"")</f>
        <v/>
      </c>
      <c r="J21" s="16">
        <f>IF(OR(G21="",H21=""),"",G21/H21)</f>
        <v/>
      </c>
      <c r="K21" s="16">
        <f>IF(OR(G21="",I21=""),"",G21/I21)</f>
        <v/>
      </c>
      <c r="L21" s="14">
        <f>INDEX('4_UK_Beta_Input'!$D$5:$D$15,MATCH($C21,'4_UK_Beta_Input'!$A$5:$A$15,0))</f>
        <v/>
      </c>
      <c r="M21" s="14">
        <f>INDEX('4_UK_Beta_Input'!$D$20:$D$44,MATCH($E21,'4_UK_Beta_Input'!$A$20:$A$44,0))</f>
        <v/>
      </c>
      <c r="N21" s="14">
        <f>INDEX('4_UK_Beta_Input'!$D$49:$D$122,MATCH($D21,'4_UK_Beta_Input'!$A$49:$A$122,0))</f>
        <v/>
      </c>
      <c r="O21" s="14">
        <f>INDEX('4_UK_Beta_Input'!$D$127:$D$289,MATCH($A21,'4_UK_Beta_Input'!$A$127:$A$289,0))</f>
        <v/>
      </c>
      <c r="P21" s="16">
        <f>(M21/L21)*(N21/M21)*(O21/N21)</f>
        <v/>
      </c>
      <c r="Q21" s="17">
        <f>IF(J21="",INDEX('3_UK_L1_Input'!$D$4:$D$14,MATCH($C21,'3_UK_L1_Input'!$A$4:$A$14,0))*P21,INDEX('3_UK_L1_Input'!$D$4:$D$14,MATCH($C21,'3_UK_L1_Input'!$A$4:$A$14,0))*J21)</f>
        <v/>
      </c>
      <c r="R21" s="17">
        <f>IF(K21="",INDEX('3_UK_L1_Input'!$D$4:$D$14,MATCH($C21,'3_UK_L1_Input'!$A$4:$A$14,0))*P21,INDEX('3_UK_L1_Input'!$D$4:$D$14,MATCH($C21,'3_UK_L1_Input'!$A$4:$A$14,0))*K21)</f>
        <v/>
      </c>
      <c r="S21" s="18">
        <f>IF(G21="","BETA CASCADE FALLBACK (dummy — replace with real beta)","REAL (Bloomberg UK)")</f>
        <v/>
      </c>
      <c r="T21" s="17">
        <f>INDEX('3_UK_L1_Input'!$C$4:$C$14,MATCH($C21,'3_UK_L1_Input'!$A$4:$A$14,0))</f>
        <v/>
      </c>
      <c r="U21" s="17">
        <f>INDEX('3_UK_L1_Input'!$C$4:$C$14,MATCH($C21,'3_UK_L1_Input'!$A$4:$A$14,0))*P21</f>
        <v/>
      </c>
      <c r="V21" s="15">
        <f>INDEX('5_UK_DefaultRisk_Input'!$D$5:$D$15,MATCH($C21,'5_UK_DefaultRisk_Input'!$A$5:$A$15,0))</f>
        <v/>
      </c>
      <c r="W21" s="15">
        <f>INDEX('5_UK_DefaultRisk_Input'!$D$20:$D$44,MATCH($E21,'5_UK_DefaultRisk_Input'!$A$20:$A$44,0))</f>
        <v/>
      </c>
      <c r="X21" s="15">
        <f>INDEX('5_UK_DefaultRisk_Input'!$D$49:$D$122,MATCH($D21,'5_UK_DefaultRisk_Input'!$A$49:$A$122,0))</f>
        <v/>
      </c>
      <c r="Y21" s="15">
        <f>INDEX('5_UK_DefaultRisk_Input'!$D$127:$D$289,MATCH($A21,'5_UK_DefaultRisk_Input'!$A$127:$A$289,0))</f>
        <v/>
      </c>
      <c r="Z21" s="16">
        <f>(W21/V21)*(X21/W21)*(Y21/X21)</f>
        <v/>
      </c>
      <c r="AA21" s="17">
        <f>INDEX('3_UK_L1_Input'!$D$4:$D$14,MATCH($C21,'3_UK_L1_Input'!$A$4:$A$14,0))*Z21</f>
        <v/>
      </c>
    </row>
    <row r="22">
      <c r="A22" s="7" t="n">
        <v>15104040</v>
      </c>
      <c r="B22" s="7" t="inlineStr">
        <is>
          <t>Precious Metals &amp; Minerals</t>
        </is>
      </c>
      <c r="C22" s="7" t="n">
        <v>15</v>
      </c>
      <c r="D22" s="7" t="n">
        <v>151040</v>
      </c>
      <c r="E22" s="7" t="n">
        <v>1510</v>
      </c>
      <c r="F22" s="9" t="n">
        <v>20970000</v>
      </c>
      <c r="G22" s="8" t="n"/>
      <c r="H22" s="16">
        <f>IFERROR(SUMPRODUCT(($C$3:$C$165=C22)*ISNUMBER($G$3:$G$165)*ISNUMBER($F$3:$F$165)*IF(ISNUMBER($F$3:$F$165),$F$3:$F$165,0)*IF(ISNUMBER($G$3:$G$165),$G$3:$G$165,0))/SUMPRODUCT(($C$3:$C$165=C22)*ISNUMBER($G$3:$G$165)*ISNUMBER($F$3:$F$165)*IF(ISNUMBER($F$3:$F$165),$F$3:$F$165,0)),"")</f>
        <v/>
      </c>
      <c r="I22" s="16">
        <f>IFERROR(SUMPRODUCT(($C$3:$C$165=C22)*ISNUMBER($G$3:$G$165)*IF(ISNUMBER($G$3:$G$165),$G$3:$G$165,0))/SUMPRODUCT(($C$3:$C$165=C22)*ISNUMBER($G$3:$G$165)),"")</f>
        <v/>
      </c>
      <c r="J22" s="16">
        <f>IF(OR(G22="",H22=""),"",G22/H22)</f>
        <v/>
      </c>
      <c r="K22" s="16">
        <f>IF(OR(G22="",I22=""),"",G22/I22)</f>
        <v/>
      </c>
      <c r="L22" s="14">
        <f>INDEX('4_UK_Beta_Input'!$D$5:$D$15,MATCH($C22,'4_UK_Beta_Input'!$A$5:$A$15,0))</f>
        <v/>
      </c>
      <c r="M22" s="14">
        <f>INDEX('4_UK_Beta_Input'!$D$20:$D$44,MATCH($E22,'4_UK_Beta_Input'!$A$20:$A$44,0))</f>
        <v/>
      </c>
      <c r="N22" s="14">
        <f>INDEX('4_UK_Beta_Input'!$D$49:$D$122,MATCH($D22,'4_UK_Beta_Input'!$A$49:$A$122,0))</f>
        <v/>
      </c>
      <c r="O22" s="14">
        <f>INDEX('4_UK_Beta_Input'!$D$127:$D$289,MATCH($A22,'4_UK_Beta_Input'!$A$127:$A$289,0))</f>
        <v/>
      </c>
      <c r="P22" s="16">
        <f>(M22/L22)*(N22/M22)*(O22/N22)</f>
        <v/>
      </c>
      <c r="Q22" s="17">
        <f>IF(J22="",INDEX('3_UK_L1_Input'!$D$4:$D$14,MATCH($C22,'3_UK_L1_Input'!$A$4:$A$14,0))*P22,INDEX('3_UK_L1_Input'!$D$4:$D$14,MATCH($C22,'3_UK_L1_Input'!$A$4:$A$14,0))*J22)</f>
        <v/>
      </c>
      <c r="R22" s="17">
        <f>IF(K22="",INDEX('3_UK_L1_Input'!$D$4:$D$14,MATCH($C22,'3_UK_L1_Input'!$A$4:$A$14,0))*P22,INDEX('3_UK_L1_Input'!$D$4:$D$14,MATCH($C22,'3_UK_L1_Input'!$A$4:$A$14,0))*K22)</f>
        <v/>
      </c>
      <c r="S22" s="19">
        <f>IF(G22="","BETA CASCADE FALLBACK (dummy — replace with real beta)","REAL (Bloomberg UK)")</f>
        <v/>
      </c>
      <c r="T22" s="17">
        <f>INDEX('3_UK_L1_Input'!$C$4:$C$14,MATCH($C22,'3_UK_L1_Input'!$A$4:$A$14,0))</f>
        <v/>
      </c>
      <c r="U22" s="17">
        <f>INDEX('3_UK_L1_Input'!$C$4:$C$14,MATCH($C22,'3_UK_L1_Input'!$A$4:$A$14,0))*P22</f>
        <v/>
      </c>
      <c r="V22" s="15">
        <f>INDEX('5_UK_DefaultRisk_Input'!$D$5:$D$15,MATCH($C22,'5_UK_DefaultRisk_Input'!$A$5:$A$15,0))</f>
        <v/>
      </c>
      <c r="W22" s="15">
        <f>INDEX('5_UK_DefaultRisk_Input'!$D$20:$D$44,MATCH($E22,'5_UK_DefaultRisk_Input'!$A$20:$A$44,0))</f>
        <v/>
      </c>
      <c r="X22" s="15">
        <f>INDEX('5_UK_DefaultRisk_Input'!$D$49:$D$122,MATCH($D22,'5_UK_DefaultRisk_Input'!$A$49:$A$122,0))</f>
        <v/>
      </c>
      <c r="Y22" s="15">
        <f>INDEX('5_UK_DefaultRisk_Input'!$D$127:$D$289,MATCH($A22,'5_UK_DefaultRisk_Input'!$A$127:$A$289,0))</f>
        <v/>
      </c>
      <c r="Z22" s="16">
        <f>(W22/V22)*(X22/W22)*(Y22/X22)</f>
        <v/>
      </c>
      <c r="AA22" s="17">
        <f>INDEX('3_UK_L1_Input'!$D$4:$D$14,MATCH($C22,'3_UK_L1_Input'!$A$4:$A$14,0))*Z22</f>
        <v/>
      </c>
    </row>
    <row r="23">
      <c r="A23" s="7" t="n">
        <v>15104045</v>
      </c>
      <c r="B23" s="7" t="inlineStr">
        <is>
          <t>Silver</t>
        </is>
      </c>
      <c r="C23" s="7" t="n">
        <v>15</v>
      </c>
      <c r="D23" s="7" t="n">
        <v>151040</v>
      </c>
      <c r="E23" s="7" t="n">
        <v>1510</v>
      </c>
      <c r="F23" s="8" t="n"/>
      <c r="G23" s="8" t="n"/>
      <c r="H23" s="16">
        <f>IFERROR(SUMPRODUCT(($C$3:$C$165=C23)*ISNUMBER($G$3:$G$165)*ISNUMBER($F$3:$F$165)*IF(ISNUMBER($F$3:$F$165),$F$3:$F$165,0)*IF(ISNUMBER($G$3:$G$165),$G$3:$G$165,0))/SUMPRODUCT(($C$3:$C$165=C23)*ISNUMBER($G$3:$G$165)*ISNUMBER($F$3:$F$165)*IF(ISNUMBER($F$3:$F$165),$F$3:$F$165,0)),"")</f>
        <v/>
      </c>
      <c r="I23" s="16">
        <f>IFERROR(SUMPRODUCT(($C$3:$C$165=C23)*ISNUMBER($G$3:$G$165)*IF(ISNUMBER($G$3:$G$165),$G$3:$G$165,0))/SUMPRODUCT(($C$3:$C$165=C23)*ISNUMBER($G$3:$G$165)),"")</f>
        <v/>
      </c>
      <c r="J23" s="16">
        <f>IF(OR(G23="",H23=""),"",G23/H23)</f>
        <v/>
      </c>
      <c r="K23" s="16">
        <f>IF(OR(G23="",I23=""),"",G23/I23)</f>
        <v/>
      </c>
      <c r="L23" s="14">
        <f>INDEX('4_UK_Beta_Input'!$D$5:$D$15,MATCH($C23,'4_UK_Beta_Input'!$A$5:$A$15,0))</f>
        <v/>
      </c>
      <c r="M23" s="14">
        <f>INDEX('4_UK_Beta_Input'!$D$20:$D$44,MATCH($E23,'4_UK_Beta_Input'!$A$20:$A$44,0))</f>
        <v/>
      </c>
      <c r="N23" s="14">
        <f>INDEX('4_UK_Beta_Input'!$D$49:$D$122,MATCH($D23,'4_UK_Beta_Input'!$A$49:$A$122,0))</f>
        <v/>
      </c>
      <c r="O23" s="14">
        <f>INDEX('4_UK_Beta_Input'!$D$127:$D$289,MATCH($A23,'4_UK_Beta_Input'!$A$127:$A$289,0))</f>
        <v/>
      </c>
      <c r="P23" s="16">
        <f>(M23/L23)*(N23/M23)*(O23/N23)</f>
        <v/>
      </c>
      <c r="Q23" s="17">
        <f>IF(J23="",INDEX('3_UK_L1_Input'!$D$4:$D$14,MATCH($C23,'3_UK_L1_Input'!$A$4:$A$14,0))*P23,INDEX('3_UK_L1_Input'!$D$4:$D$14,MATCH($C23,'3_UK_L1_Input'!$A$4:$A$14,0))*J23)</f>
        <v/>
      </c>
      <c r="R23" s="17">
        <f>IF(K23="",INDEX('3_UK_L1_Input'!$D$4:$D$14,MATCH($C23,'3_UK_L1_Input'!$A$4:$A$14,0))*P23,INDEX('3_UK_L1_Input'!$D$4:$D$14,MATCH($C23,'3_UK_L1_Input'!$A$4:$A$14,0))*K23)</f>
        <v/>
      </c>
      <c r="S23" s="19">
        <f>IF(G23="","BETA CASCADE FALLBACK (dummy — replace with real beta)","REAL (Bloomberg UK)")</f>
        <v/>
      </c>
      <c r="T23" s="17">
        <f>INDEX('3_UK_L1_Input'!$C$4:$C$14,MATCH($C23,'3_UK_L1_Input'!$A$4:$A$14,0))</f>
        <v/>
      </c>
      <c r="U23" s="17">
        <f>INDEX('3_UK_L1_Input'!$C$4:$C$14,MATCH($C23,'3_UK_L1_Input'!$A$4:$A$14,0))*P23</f>
        <v/>
      </c>
      <c r="V23" s="15">
        <f>INDEX('5_UK_DefaultRisk_Input'!$D$5:$D$15,MATCH($C23,'5_UK_DefaultRisk_Input'!$A$5:$A$15,0))</f>
        <v/>
      </c>
      <c r="W23" s="15">
        <f>INDEX('5_UK_DefaultRisk_Input'!$D$20:$D$44,MATCH($E23,'5_UK_DefaultRisk_Input'!$A$20:$A$44,0))</f>
        <v/>
      </c>
      <c r="X23" s="15">
        <f>INDEX('5_UK_DefaultRisk_Input'!$D$49:$D$122,MATCH($D23,'5_UK_DefaultRisk_Input'!$A$49:$A$122,0))</f>
        <v/>
      </c>
      <c r="Y23" s="15">
        <f>INDEX('5_UK_DefaultRisk_Input'!$D$127:$D$289,MATCH($A23,'5_UK_DefaultRisk_Input'!$A$127:$A$289,0))</f>
        <v/>
      </c>
      <c r="Z23" s="16">
        <f>(W23/V23)*(X23/W23)*(Y23/X23)</f>
        <v/>
      </c>
      <c r="AA23" s="17">
        <f>INDEX('3_UK_L1_Input'!$D$4:$D$14,MATCH($C23,'3_UK_L1_Input'!$A$4:$A$14,0))*Z23</f>
        <v/>
      </c>
    </row>
    <row r="24">
      <c r="A24" s="7" t="n">
        <v>15104050</v>
      </c>
      <c r="B24" s="7" t="inlineStr">
        <is>
          <t>Steel</t>
        </is>
      </c>
      <c r="C24" s="7" t="n">
        <v>15</v>
      </c>
      <c r="D24" s="7" t="n">
        <v>151040</v>
      </c>
      <c r="E24" s="7" t="n">
        <v>1510</v>
      </c>
      <c r="F24" s="9" t="n">
        <v>229700000</v>
      </c>
      <c r="G24" s="10" t="n">
        <v>10.16</v>
      </c>
      <c r="H24" s="16">
        <f>IFERROR(SUMPRODUCT(($C$3:$C$165=C24)*ISNUMBER($G$3:$G$165)*ISNUMBER($F$3:$F$165)*IF(ISNUMBER($F$3:$F$165),$F$3:$F$165,0)*IF(ISNUMBER($G$3:$G$165),$G$3:$G$165,0))/SUMPRODUCT(($C$3:$C$165=C24)*ISNUMBER($G$3:$G$165)*ISNUMBER($F$3:$F$165)*IF(ISNUMBER($F$3:$F$165),$F$3:$F$165,0)),"")</f>
        <v/>
      </c>
      <c r="I24" s="16">
        <f>IFERROR(SUMPRODUCT(($C$3:$C$165=C24)*ISNUMBER($G$3:$G$165)*IF(ISNUMBER($G$3:$G$165),$G$3:$G$165,0))/SUMPRODUCT(($C$3:$C$165=C24)*ISNUMBER($G$3:$G$165)),"")</f>
        <v/>
      </c>
      <c r="J24" s="16">
        <f>IF(OR(G24="",H24=""),"",G24/H24)</f>
        <v/>
      </c>
      <c r="K24" s="16">
        <f>IF(OR(G24="",I24=""),"",G24/I24)</f>
        <v/>
      </c>
      <c r="L24" s="14">
        <f>INDEX('4_UK_Beta_Input'!$D$5:$D$15,MATCH($C24,'4_UK_Beta_Input'!$A$5:$A$15,0))</f>
        <v/>
      </c>
      <c r="M24" s="14">
        <f>INDEX('4_UK_Beta_Input'!$D$20:$D$44,MATCH($E24,'4_UK_Beta_Input'!$A$20:$A$44,0))</f>
        <v/>
      </c>
      <c r="N24" s="14">
        <f>INDEX('4_UK_Beta_Input'!$D$49:$D$122,MATCH($D24,'4_UK_Beta_Input'!$A$49:$A$122,0))</f>
        <v/>
      </c>
      <c r="O24" s="14">
        <f>INDEX('4_UK_Beta_Input'!$D$127:$D$289,MATCH($A24,'4_UK_Beta_Input'!$A$127:$A$289,0))</f>
        <v/>
      </c>
      <c r="P24" s="16">
        <f>(M24/L24)*(N24/M24)*(O24/N24)</f>
        <v/>
      </c>
      <c r="Q24" s="17">
        <f>IF(J24="",INDEX('3_UK_L1_Input'!$D$4:$D$14,MATCH($C24,'3_UK_L1_Input'!$A$4:$A$14,0))*P24,INDEX('3_UK_L1_Input'!$D$4:$D$14,MATCH($C24,'3_UK_L1_Input'!$A$4:$A$14,0))*J24)</f>
        <v/>
      </c>
      <c r="R24" s="17">
        <f>IF(K24="",INDEX('3_UK_L1_Input'!$D$4:$D$14,MATCH($C24,'3_UK_L1_Input'!$A$4:$A$14,0))*P24,INDEX('3_UK_L1_Input'!$D$4:$D$14,MATCH($C24,'3_UK_L1_Input'!$A$4:$A$14,0))*K24)</f>
        <v/>
      </c>
      <c r="S24" s="18">
        <f>IF(G24="","BETA CASCADE FALLBACK (dummy — replace with real beta)","REAL (Bloomberg UK)")</f>
        <v/>
      </c>
      <c r="T24" s="17">
        <f>INDEX('3_UK_L1_Input'!$C$4:$C$14,MATCH($C24,'3_UK_L1_Input'!$A$4:$A$14,0))</f>
        <v/>
      </c>
      <c r="U24" s="17">
        <f>INDEX('3_UK_L1_Input'!$C$4:$C$14,MATCH($C24,'3_UK_L1_Input'!$A$4:$A$14,0))*P24</f>
        <v/>
      </c>
      <c r="V24" s="15">
        <f>INDEX('5_UK_DefaultRisk_Input'!$D$5:$D$15,MATCH($C24,'5_UK_DefaultRisk_Input'!$A$5:$A$15,0))</f>
        <v/>
      </c>
      <c r="W24" s="15">
        <f>INDEX('5_UK_DefaultRisk_Input'!$D$20:$D$44,MATCH($E24,'5_UK_DefaultRisk_Input'!$A$20:$A$44,0))</f>
        <v/>
      </c>
      <c r="X24" s="15">
        <f>INDEX('5_UK_DefaultRisk_Input'!$D$49:$D$122,MATCH($D24,'5_UK_DefaultRisk_Input'!$A$49:$A$122,0))</f>
        <v/>
      </c>
      <c r="Y24" s="15">
        <f>INDEX('5_UK_DefaultRisk_Input'!$D$127:$D$289,MATCH($A24,'5_UK_DefaultRisk_Input'!$A$127:$A$289,0))</f>
        <v/>
      </c>
      <c r="Z24" s="16">
        <f>(W24/V24)*(X24/W24)*(Y24/X24)</f>
        <v/>
      </c>
      <c r="AA24" s="17">
        <f>INDEX('3_UK_L1_Input'!$D$4:$D$14,MATCH($C24,'3_UK_L1_Input'!$A$4:$A$14,0))*Z24</f>
        <v/>
      </c>
    </row>
    <row r="25">
      <c r="A25" s="7" t="n">
        <v>15105010</v>
      </c>
      <c r="B25" s="7" t="inlineStr">
        <is>
          <t>Forest Products</t>
        </is>
      </c>
      <c r="C25" s="7" t="n">
        <v>15</v>
      </c>
      <c r="D25" s="7" t="n">
        <v>151050</v>
      </c>
      <c r="E25" s="7" t="n">
        <v>1510</v>
      </c>
      <c r="F25" s="9" t="n">
        <v>153280000</v>
      </c>
      <c r="G25" s="10" t="n">
        <v>9.59</v>
      </c>
      <c r="H25" s="16">
        <f>IFERROR(SUMPRODUCT(($C$3:$C$165=C25)*ISNUMBER($G$3:$G$165)*ISNUMBER($F$3:$F$165)*IF(ISNUMBER($F$3:$F$165),$F$3:$F$165,0)*IF(ISNUMBER($G$3:$G$165),$G$3:$G$165,0))/SUMPRODUCT(($C$3:$C$165=C25)*ISNUMBER($G$3:$G$165)*ISNUMBER($F$3:$F$165)*IF(ISNUMBER($F$3:$F$165),$F$3:$F$165,0)),"")</f>
        <v/>
      </c>
      <c r="I25" s="16">
        <f>IFERROR(SUMPRODUCT(($C$3:$C$165=C25)*ISNUMBER($G$3:$G$165)*IF(ISNUMBER($G$3:$G$165),$G$3:$G$165,0))/SUMPRODUCT(($C$3:$C$165=C25)*ISNUMBER($G$3:$G$165)),"")</f>
        <v/>
      </c>
      <c r="J25" s="16">
        <f>IF(OR(G25="",H25=""),"",G25/H25)</f>
        <v/>
      </c>
      <c r="K25" s="16">
        <f>IF(OR(G25="",I25=""),"",G25/I25)</f>
        <v/>
      </c>
      <c r="L25" s="14">
        <f>INDEX('4_UK_Beta_Input'!$D$5:$D$15,MATCH($C25,'4_UK_Beta_Input'!$A$5:$A$15,0))</f>
        <v/>
      </c>
      <c r="M25" s="14">
        <f>INDEX('4_UK_Beta_Input'!$D$20:$D$44,MATCH($E25,'4_UK_Beta_Input'!$A$20:$A$44,0))</f>
        <v/>
      </c>
      <c r="N25" s="14">
        <f>INDEX('4_UK_Beta_Input'!$D$49:$D$122,MATCH($D25,'4_UK_Beta_Input'!$A$49:$A$122,0))</f>
        <v/>
      </c>
      <c r="O25" s="14">
        <f>INDEX('4_UK_Beta_Input'!$D$127:$D$289,MATCH($A25,'4_UK_Beta_Input'!$A$127:$A$289,0))</f>
        <v/>
      </c>
      <c r="P25" s="16">
        <f>(M25/L25)*(N25/M25)*(O25/N25)</f>
        <v/>
      </c>
      <c r="Q25" s="17">
        <f>IF(J25="",INDEX('3_UK_L1_Input'!$D$4:$D$14,MATCH($C25,'3_UK_L1_Input'!$A$4:$A$14,0))*P25,INDEX('3_UK_L1_Input'!$D$4:$D$14,MATCH($C25,'3_UK_L1_Input'!$A$4:$A$14,0))*J25)</f>
        <v/>
      </c>
      <c r="R25" s="17">
        <f>IF(K25="",INDEX('3_UK_L1_Input'!$D$4:$D$14,MATCH($C25,'3_UK_L1_Input'!$A$4:$A$14,0))*P25,INDEX('3_UK_L1_Input'!$D$4:$D$14,MATCH($C25,'3_UK_L1_Input'!$A$4:$A$14,0))*K25)</f>
        <v/>
      </c>
      <c r="S25" s="18">
        <f>IF(G25="","BETA CASCADE FALLBACK (dummy — replace with real beta)","REAL (Bloomberg UK)")</f>
        <v/>
      </c>
      <c r="T25" s="17">
        <f>INDEX('3_UK_L1_Input'!$C$4:$C$14,MATCH($C25,'3_UK_L1_Input'!$A$4:$A$14,0))</f>
        <v/>
      </c>
      <c r="U25" s="17">
        <f>INDEX('3_UK_L1_Input'!$C$4:$C$14,MATCH($C25,'3_UK_L1_Input'!$A$4:$A$14,0))*P25</f>
        <v/>
      </c>
      <c r="V25" s="15">
        <f>INDEX('5_UK_DefaultRisk_Input'!$D$5:$D$15,MATCH($C25,'5_UK_DefaultRisk_Input'!$A$5:$A$15,0))</f>
        <v/>
      </c>
      <c r="W25" s="15">
        <f>INDEX('5_UK_DefaultRisk_Input'!$D$20:$D$44,MATCH($E25,'5_UK_DefaultRisk_Input'!$A$20:$A$44,0))</f>
        <v/>
      </c>
      <c r="X25" s="15">
        <f>INDEX('5_UK_DefaultRisk_Input'!$D$49:$D$122,MATCH($D25,'5_UK_DefaultRisk_Input'!$A$49:$A$122,0))</f>
        <v/>
      </c>
      <c r="Y25" s="15">
        <f>INDEX('5_UK_DefaultRisk_Input'!$D$127:$D$289,MATCH($A25,'5_UK_DefaultRisk_Input'!$A$127:$A$289,0))</f>
        <v/>
      </c>
      <c r="Z25" s="16">
        <f>(W25/V25)*(X25/W25)*(Y25/X25)</f>
        <v/>
      </c>
      <c r="AA25" s="17">
        <f>INDEX('3_UK_L1_Input'!$D$4:$D$14,MATCH($C25,'3_UK_L1_Input'!$A$4:$A$14,0))*Z25</f>
        <v/>
      </c>
    </row>
    <row r="26">
      <c r="A26" s="7" t="n">
        <v>15105020</v>
      </c>
      <c r="B26" s="7" t="inlineStr">
        <is>
          <t>Paper Products</t>
        </is>
      </c>
      <c r="C26" s="7" t="n">
        <v>15</v>
      </c>
      <c r="D26" s="7" t="n">
        <v>151050</v>
      </c>
      <c r="E26" s="7" t="n">
        <v>1510</v>
      </c>
      <c r="F26" s="9" t="n">
        <v>3920000000</v>
      </c>
      <c r="G26" s="10" t="n">
        <v>6.56</v>
      </c>
      <c r="H26" s="16">
        <f>IFERROR(SUMPRODUCT(($C$3:$C$165=C26)*ISNUMBER($G$3:$G$165)*ISNUMBER($F$3:$F$165)*IF(ISNUMBER($F$3:$F$165),$F$3:$F$165,0)*IF(ISNUMBER($G$3:$G$165),$G$3:$G$165,0))/SUMPRODUCT(($C$3:$C$165=C26)*ISNUMBER($G$3:$G$165)*ISNUMBER($F$3:$F$165)*IF(ISNUMBER($F$3:$F$165),$F$3:$F$165,0)),"")</f>
        <v/>
      </c>
      <c r="I26" s="16">
        <f>IFERROR(SUMPRODUCT(($C$3:$C$165=C26)*ISNUMBER($G$3:$G$165)*IF(ISNUMBER($G$3:$G$165),$G$3:$G$165,0))/SUMPRODUCT(($C$3:$C$165=C26)*ISNUMBER($G$3:$G$165)),"")</f>
        <v/>
      </c>
      <c r="J26" s="16">
        <f>IF(OR(G26="",H26=""),"",G26/H26)</f>
        <v/>
      </c>
      <c r="K26" s="16">
        <f>IF(OR(G26="",I26=""),"",G26/I26)</f>
        <v/>
      </c>
      <c r="L26" s="14">
        <f>INDEX('4_UK_Beta_Input'!$D$5:$D$15,MATCH($C26,'4_UK_Beta_Input'!$A$5:$A$15,0))</f>
        <v/>
      </c>
      <c r="M26" s="14">
        <f>INDEX('4_UK_Beta_Input'!$D$20:$D$44,MATCH($E26,'4_UK_Beta_Input'!$A$20:$A$44,0))</f>
        <v/>
      </c>
      <c r="N26" s="14">
        <f>INDEX('4_UK_Beta_Input'!$D$49:$D$122,MATCH($D26,'4_UK_Beta_Input'!$A$49:$A$122,0))</f>
        <v/>
      </c>
      <c r="O26" s="14">
        <f>INDEX('4_UK_Beta_Input'!$D$127:$D$289,MATCH($A26,'4_UK_Beta_Input'!$A$127:$A$289,0))</f>
        <v/>
      </c>
      <c r="P26" s="16">
        <f>(M26/L26)*(N26/M26)*(O26/N26)</f>
        <v/>
      </c>
      <c r="Q26" s="17">
        <f>IF(J26="",INDEX('3_UK_L1_Input'!$D$4:$D$14,MATCH($C26,'3_UK_L1_Input'!$A$4:$A$14,0))*P26,INDEX('3_UK_L1_Input'!$D$4:$D$14,MATCH($C26,'3_UK_L1_Input'!$A$4:$A$14,0))*J26)</f>
        <v/>
      </c>
      <c r="R26" s="17">
        <f>IF(K26="",INDEX('3_UK_L1_Input'!$D$4:$D$14,MATCH($C26,'3_UK_L1_Input'!$A$4:$A$14,0))*P26,INDEX('3_UK_L1_Input'!$D$4:$D$14,MATCH($C26,'3_UK_L1_Input'!$A$4:$A$14,0))*K26)</f>
        <v/>
      </c>
      <c r="S26" s="18">
        <f>IF(G26="","BETA CASCADE FALLBACK (dummy — replace with real beta)","REAL (Bloomberg UK)")</f>
        <v/>
      </c>
      <c r="T26" s="17">
        <f>INDEX('3_UK_L1_Input'!$C$4:$C$14,MATCH($C26,'3_UK_L1_Input'!$A$4:$A$14,0))</f>
        <v/>
      </c>
      <c r="U26" s="17">
        <f>INDEX('3_UK_L1_Input'!$C$4:$C$14,MATCH($C26,'3_UK_L1_Input'!$A$4:$A$14,0))*P26</f>
        <v/>
      </c>
      <c r="V26" s="15">
        <f>INDEX('5_UK_DefaultRisk_Input'!$D$5:$D$15,MATCH($C26,'5_UK_DefaultRisk_Input'!$A$5:$A$15,0))</f>
        <v/>
      </c>
      <c r="W26" s="15">
        <f>INDEX('5_UK_DefaultRisk_Input'!$D$20:$D$44,MATCH($E26,'5_UK_DefaultRisk_Input'!$A$20:$A$44,0))</f>
        <v/>
      </c>
      <c r="X26" s="15">
        <f>INDEX('5_UK_DefaultRisk_Input'!$D$49:$D$122,MATCH($D26,'5_UK_DefaultRisk_Input'!$A$49:$A$122,0))</f>
        <v/>
      </c>
      <c r="Y26" s="15">
        <f>INDEX('5_UK_DefaultRisk_Input'!$D$127:$D$289,MATCH($A26,'5_UK_DefaultRisk_Input'!$A$127:$A$289,0))</f>
        <v/>
      </c>
      <c r="Z26" s="16">
        <f>(W26/V26)*(X26/W26)*(Y26/X26)</f>
        <v/>
      </c>
      <c r="AA26" s="17">
        <f>INDEX('3_UK_L1_Input'!$D$4:$D$14,MATCH($C26,'3_UK_L1_Input'!$A$4:$A$14,0))*Z26</f>
        <v/>
      </c>
    </row>
    <row r="27">
      <c r="A27" s="7" t="n">
        <v>20101010</v>
      </c>
      <c r="B27" s="7" t="inlineStr">
        <is>
          <t>Aerospace &amp; Defense</t>
        </is>
      </c>
      <c r="C27" s="7" t="n">
        <v>20</v>
      </c>
      <c r="D27" s="7" t="n">
        <v>201010</v>
      </c>
      <c r="E27" s="7" t="n">
        <v>2010</v>
      </c>
      <c r="F27" s="9" t="n">
        <v>4670000000</v>
      </c>
      <c r="G27" s="10" t="n">
        <v>13.03</v>
      </c>
      <c r="H27" s="16">
        <f>IFERROR(SUMPRODUCT(($C$3:$C$165=C27)*ISNUMBER($G$3:$G$165)*ISNUMBER($F$3:$F$165)*IF(ISNUMBER($F$3:$F$165),$F$3:$F$165,0)*IF(ISNUMBER($G$3:$G$165),$G$3:$G$165,0))/SUMPRODUCT(($C$3:$C$165=C27)*ISNUMBER($G$3:$G$165)*ISNUMBER($F$3:$F$165)*IF(ISNUMBER($F$3:$F$165),$F$3:$F$165,0)),"")</f>
        <v/>
      </c>
      <c r="I27" s="16">
        <f>IFERROR(SUMPRODUCT(($C$3:$C$165=C27)*ISNUMBER($G$3:$G$165)*IF(ISNUMBER($G$3:$G$165),$G$3:$G$165,0))/SUMPRODUCT(($C$3:$C$165=C27)*ISNUMBER($G$3:$G$165)),"")</f>
        <v/>
      </c>
      <c r="J27" s="16">
        <f>IF(OR(G27="",H27=""),"",G27/H27)</f>
        <v/>
      </c>
      <c r="K27" s="16">
        <f>IF(OR(G27="",I27=""),"",G27/I27)</f>
        <v/>
      </c>
      <c r="L27" s="14">
        <f>INDEX('4_UK_Beta_Input'!$D$5:$D$15,MATCH($C27,'4_UK_Beta_Input'!$A$5:$A$15,0))</f>
        <v/>
      </c>
      <c r="M27" s="14">
        <f>INDEX('4_UK_Beta_Input'!$D$20:$D$44,MATCH($E27,'4_UK_Beta_Input'!$A$20:$A$44,0))</f>
        <v/>
      </c>
      <c r="N27" s="14">
        <f>INDEX('4_UK_Beta_Input'!$D$49:$D$122,MATCH($D27,'4_UK_Beta_Input'!$A$49:$A$122,0))</f>
        <v/>
      </c>
      <c r="O27" s="14">
        <f>INDEX('4_UK_Beta_Input'!$D$127:$D$289,MATCH($A27,'4_UK_Beta_Input'!$A$127:$A$289,0))</f>
        <v/>
      </c>
      <c r="P27" s="16">
        <f>(M27/L27)*(N27/M27)*(O27/N27)</f>
        <v/>
      </c>
      <c r="Q27" s="17">
        <f>IF(J27="",INDEX('3_UK_L1_Input'!$D$4:$D$14,MATCH($C27,'3_UK_L1_Input'!$A$4:$A$14,0))*P27,INDEX('3_UK_L1_Input'!$D$4:$D$14,MATCH($C27,'3_UK_L1_Input'!$A$4:$A$14,0))*J27)</f>
        <v/>
      </c>
      <c r="R27" s="17">
        <f>IF(K27="",INDEX('3_UK_L1_Input'!$D$4:$D$14,MATCH($C27,'3_UK_L1_Input'!$A$4:$A$14,0))*P27,INDEX('3_UK_L1_Input'!$D$4:$D$14,MATCH($C27,'3_UK_L1_Input'!$A$4:$A$14,0))*K27)</f>
        <v/>
      </c>
      <c r="S27" s="18">
        <f>IF(G27="","BETA CASCADE FALLBACK (dummy — replace with real beta)","REAL (Bloomberg UK)")</f>
        <v/>
      </c>
      <c r="T27" s="17">
        <f>INDEX('3_UK_L1_Input'!$C$4:$C$14,MATCH($C27,'3_UK_L1_Input'!$A$4:$A$14,0))</f>
        <v/>
      </c>
      <c r="U27" s="17">
        <f>INDEX('3_UK_L1_Input'!$C$4:$C$14,MATCH($C27,'3_UK_L1_Input'!$A$4:$A$14,0))*P27</f>
        <v/>
      </c>
      <c r="V27" s="15">
        <f>INDEX('5_UK_DefaultRisk_Input'!$D$5:$D$15,MATCH($C27,'5_UK_DefaultRisk_Input'!$A$5:$A$15,0))</f>
        <v/>
      </c>
      <c r="W27" s="15">
        <f>INDEX('5_UK_DefaultRisk_Input'!$D$20:$D$44,MATCH($E27,'5_UK_DefaultRisk_Input'!$A$20:$A$44,0))</f>
        <v/>
      </c>
      <c r="X27" s="15">
        <f>INDEX('5_UK_DefaultRisk_Input'!$D$49:$D$122,MATCH($D27,'5_UK_DefaultRisk_Input'!$A$49:$A$122,0))</f>
        <v/>
      </c>
      <c r="Y27" s="15">
        <f>INDEX('5_UK_DefaultRisk_Input'!$D$127:$D$289,MATCH($A27,'5_UK_DefaultRisk_Input'!$A$127:$A$289,0))</f>
        <v/>
      </c>
      <c r="Z27" s="16">
        <f>(W27/V27)*(X27/W27)*(Y27/X27)</f>
        <v/>
      </c>
      <c r="AA27" s="17">
        <f>INDEX('3_UK_L1_Input'!$D$4:$D$14,MATCH($C27,'3_UK_L1_Input'!$A$4:$A$14,0))*Z27</f>
        <v/>
      </c>
    </row>
    <row r="28">
      <c r="A28" s="7" t="n">
        <v>20102010</v>
      </c>
      <c r="B28" s="7" t="inlineStr">
        <is>
          <t>Building Products</t>
        </is>
      </c>
      <c r="C28" s="7" t="n">
        <v>20</v>
      </c>
      <c r="D28" s="7" t="n">
        <v>201020</v>
      </c>
      <c r="E28" s="7" t="n">
        <v>2010</v>
      </c>
      <c r="F28" s="9" t="n">
        <v>250880000</v>
      </c>
      <c r="G28" s="10" t="n">
        <v>7.16</v>
      </c>
      <c r="H28" s="16">
        <f>IFERROR(SUMPRODUCT(($C$3:$C$165=C28)*ISNUMBER($G$3:$G$165)*ISNUMBER($F$3:$F$165)*IF(ISNUMBER($F$3:$F$165),$F$3:$F$165,0)*IF(ISNUMBER($G$3:$G$165),$G$3:$G$165,0))/SUMPRODUCT(($C$3:$C$165=C28)*ISNUMBER($G$3:$G$165)*ISNUMBER($F$3:$F$165)*IF(ISNUMBER($F$3:$F$165),$F$3:$F$165,0)),"")</f>
        <v/>
      </c>
      <c r="I28" s="16">
        <f>IFERROR(SUMPRODUCT(($C$3:$C$165=C28)*ISNUMBER($G$3:$G$165)*IF(ISNUMBER($G$3:$G$165),$G$3:$G$165,0))/SUMPRODUCT(($C$3:$C$165=C28)*ISNUMBER($G$3:$G$165)),"")</f>
        <v/>
      </c>
      <c r="J28" s="16">
        <f>IF(OR(G28="",H28=""),"",G28/H28)</f>
        <v/>
      </c>
      <c r="K28" s="16">
        <f>IF(OR(G28="",I28=""),"",G28/I28)</f>
        <v/>
      </c>
      <c r="L28" s="14">
        <f>INDEX('4_UK_Beta_Input'!$D$5:$D$15,MATCH($C28,'4_UK_Beta_Input'!$A$5:$A$15,0))</f>
        <v/>
      </c>
      <c r="M28" s="14">
        <f>INDEX('4_UK_Beta_Input'!$D$20:$D$44,MATCH($E28,'4_UK_Beta_Input'!$A$20:$A$44,0))</f>
        <v/>
      </c>
      <c r="N28" s="14">
        <f>INDEX('4_UK_Beta_Input'!$D$49:$D$122,MATCH($D28,'4_UK_Beta_Input'!$A$49:$A$122,0))</f>
        <v/>
      </c>
      <c r="O28" s="14">
        <f>INDEX('4_UK_Beta_Input'!$D$127:$D$289,MATCH($A28,'4_UK_Beta_Input'!$A$127:$A$289,0))</f>
        <v/>
      </c>
      <c r="P28" s="16">
        <f>(M28/L28)*(N28/M28)*(O28/N28)</f>
        <v/>
      </c>
      <c r="Q28" s="17">
        <f>IF(J28="",INDEX('3_UK_L1_Input'!$D$4:$D$14,MATCH($C28,'3_UK_L1_Input'!$A$4:$A$14,0))*P28,INDEX('3_UK_L1_Input'!$D$4:$D$14,MATCH($C28,'3_UK_L1_Input'!$A$4:$A$14,0))*J28)</f>
        <v/>
      </c>
      <c r="R28" s="17">
        <f>IF(K28="",INDEX('3_UK_L1_Input'!$D$4:$D$14,MATCH($C28,'3_UK_L1_Input'!$A$4:$A$14,0))*P28,INDEX('3_UK_L1_Input'!$D$4:$D$14,MATCH($C28,'3_UK_L1_Input'!$A$4:$A$14,0))*K28)</f>
        <v/>
      </c>
      <c r="S28" s="18">
        <f>IF(G28="","BETA CASCADE FALLBACK (dummy — replace with real beta)","REAL (Bloomberg UK)")</f>
        <v/>
      </c>
      <c r="T28" s="17">
        <f>INDEX('3_UK_L1_Input'!$C$4:$C$14,MATCH($C28,'3_UK_L1_Input'!$A$4:$A$14,0))</f>
        <v/>
      </c>
      <c r="U28" s="17">
        <f>INDEX('3_UK_L1_Input'!$C$4:$C$14,MATCH($C28,'3_UK_L1_Input'!$A$4:$A$14,0))*P28</f>
        <v/>
      </c>
      <c r="V28" s="15">
        <f>INDEX('5_UK_DefaultRisk_Input'!$D$5:$D$15,MATCH($C28,'5_UK_DefaultRisk_Input'!$A$5:$A$15,0))</f>
        <v/>
      </c>
      <c r="W28" s="15">
        <f>INDEX('5_UK_DefaultRisk_Input'!$D$20:$D$44,MATCH($E28,'5_UK_DefaultRisk_Input'!$A$20:$A$44,0))</f>
        <v/>
      </c>
      <c r="X28" s="15">
        <f>INDEX('5_UK_DefaultRisk_Input'!$D$49:$D$122,MATCH($D28,'5_UK_DefaultRisk_Input'!$A$49:$A$122,0))</f>
        <v/>
      </c>
      <c r="Y28" s="15">
        <f>INDEX('5_UK_DefaultRisk_Input'!$D$127:$D$289,MATCH($A28,'5_UK_DefaultRisk_Input'!$A$127:$A$289,0))</f>
        <v/>
      </c>
      <c r="Z28" s="16">
        <f>(W28/V28)*(X28/W28)*(Y28/X28)</f>
        <v/>
      </c>
      <c r="AA28" s="17">
        <f>INDEX('3_UK_L1_Input'!$D$4:$D$14,MATCH($C28,'3_UK_L1_Input'!$A$4:$A$14,0))*Z28</f>
        <v/>
      </c>
    </row>
    <row r="29">
      <c r="A29" s="7" t="n">
        <v>20103010</v>
      </c>
      <c r="B29" s="7" t="inlineStr">
        <is>
          <t>Construction &amp; Engineering</t>
        </is>
      </c>
      <c r="C29" s="7" t="n">
        <v>20</v>
      </c>
      <c r="D29" s="7" t="n">
        <v>201030</v>
      </c>
      <c r="E29" s="7" t="n">
        <v>2010</v>
      </c>
      <c r="F29" s="9" t="n">
        <v>1920000000</v>
      </c>
      <c r="G29" s="10" t="n">
        <v>6.91</v>
      </c>
      <c r="H29" s="16">
        <f>IFERROR(SUMPRODUCT(($C$3:$C$165=C29)*ISNUMBER($G$3:$G$165)*ISNUMBER($F$3:$F$165)*IF(ISNUMBER($F$3:$F$165),$F$3:$F$165,0)*IF(ISNUMBER($G$3:$G$165),$G$3:$G$165,0))/SUMPRODUCT(($C$3:$C$165=C29)*ISNUMBER($G$3:$G$165)*ISNUMBER($F$3:$F$165)*IF(ISNUMBER($F$3:$F$165),$F$3:$F$165,0)),"")</f>
        <v/>
      </c>
      <c r="I29" s="16">
        <f>IFERROR(SUMPRODUCT(($C$3:$C$165=C29)*ISNUMBER($G$3:$G$165)*IF(ISNUMBER($G$3:$G$165),$G$3:$G$165,0))/SUMPRODUCT(($C$3:$C$165=C29)*ISNUMBER($G$3:$G$165)),"")</f>
        <v/>
      </c>
      <c r="J29" s="16">
        <f>IF(OR(G29="",H29=""),"",G29/H29)</f>
        <v/>
      </c>
      <c r="K29" s="16">
        <f>IF(OR(G29="",I29=""),"",G29/I29)</f>
        <v/>
      </c>
      <c r="L29" s="14">
        <f>INDEX('4_UK_Beta_Input'!$D$5:$D$15,MATCH($C29,'4_UK_Beta_Input'!$A$5:$A$15,0))</f>
        <v/>
      </c>
      <c r="M29" s="14">
        <f>INDEX('4_UK_Beta_Input'!$D$20:$D$44,MATCH($E29,'4_UK_Beta_Input'!$A$20:$A$44,0))</f>
        <v/>
      </c>
      <c r="N29" s="14">
        <f>INDEX('4_UK_Beta_Input'!$D$49:$D$122,MATCH($D29,'4_UK_Beta_Input'!$A$49:$A$122,0))</f>
        <v/>
      </c>
      <c r="O29" s="14">
        <f>INDEX('4_UK_Beta_Input'!$D$127:$D$289,MATCH($A29,'4_UK_Beta_Input'!$A$127:$A$289,0))</f>
        <v/>
      </c>
      <c r="P29" s="16">
        <f>(M29/L29)*(N29/M29)*(O29/N29)</f>
        <v/>
      </c>
      <c r="Q29" s="17">
        <f>IF(J29="",INDEX('3_UK_L1_Input'!$D$4:$D$14,MATCH($C29,'3_UK_L1_Input'!$A$4:$A$14,0))*P29,INDEX('3_UK_L1_Input'!$D$4:$D$14,MATCH($C29,'3_UK_L1_Input'!$A$4:$A$14,0))*J29)</f>
        <v/>
      </c>
      <c r="R29" s="17">
        <f>IF(K29="",INDEX('3_UK_L1_Input'!$D$4:$D$14,MATCH($C29,'3_UK_L1_Input'!$A$4:$A$14,0))*P29,INDEX('3_UK_L1_Input'!$D$4:$D$14,MATCH($C29,'3_UK_L1_Input'!$A$4:$A$14,0))*K29)</f>
        <v/>
      </c>
      <c r="S29" s="18">
        <f>IF(G29="","BETA CASCADE FALLBACK (dummy — replace with real beta)","REAL (Bloomberg UK)")</f>
        <v/>
      </c>
      <c r="T29" s="17">
        <f>INDEX('3_UK_L1_Input'!$C$4:$C$14,MATCH($C29,'3_UK_L1_Input'!$A$4:$A$14,0))</f>
        <v/>
      </c>
      <c r="U29" s="17">
        <f>INDEX('3_UK_L1_Input'!$C$4:$C$14,MATCH($C29,'3_UK_L1_Input'!$A$4:$A$14,0))*P29</f>
        <v/>
      </c>
      <c r="V29" s="15">
        <f>INDEX('5_UK_DefaultRisk_Input'!$D$5:$D$15,MATCH($C29,'5_UK_DefaultRisk_Input'!$A$5:$A$15,0))</f>
        <v/>
      </c>
      <c r="W29" s="15">
        <f>INDEX('5_UK_DefaultRisk_Input'!$D$20:$D$44,MATCH($E29,'5_UK_DefaultRisk_Input'!$A$20:$A$44,0))</f>
        <v/>
      </c>
      <c r="X29" s="15">
        <f>INDEX('5_UK_DefaultRisk_Input'!$D$49:$D$122,MATCH($D29,'5_UK_DefaultRisk_Input'!$A$49:$A$122,0))</f>
        <v/>
      </c>
      <c r="Y29" s="15">
        <f>INDEX('5_UK_DefaultRisk_Input'!$D$127:$D$289,MATCH($A29,'5_UK_DefaultRisk_Input'!$A$127:$A$289,0))</f>
        <v/>
      </c>
      <c r="Z29" s="16">
        <f>(W29/V29)*(X29/W29)*(Y29/X29)</f>
        <v/>
      </c>
      <c r="AA29" s="17">
        <f>INDEX('3_UK_L1_Input'!$D$4:$D$14,MATCH($C29,'3_UK_L1_Input'!$A$4:$A$14,0))*Z29</f>
        <v/>
      </c>
    </row>
    <row r="30">
      <c r="A30" s="7" t="n">
        <v>20104010</v>
      </c>
      <c r="B30" s="7" t="inlineStr">
        <is>
          <t>Electrical Components &amp; Equipment</t>
        </is>
      </c>
      <c r="C30" s="7" t="n">
        <v>20</v>
      </c>
      <c r="D30" s="7" t="n">
        <v>201040</v>
      </c>
      <c r="E30" s="7" t="n">
        <v>2010</v>
      </c>
      <c r="F30" s="9" t="n">
        <v>480480000</v>
      </c>
      <c r="G30" s="10" t="n">
        <v>9.800000000000001</v>
      </c>
      <c r="H30" s="16">
        <f>IFERROR(SUMPRODUCT(($C$3:$C$165=C30)*ISNUMBER($G$3:$G$165)*ISNUMBER($F$3:$F$165)*IF(ISNUMBER($F$3:$F$165),$F$3:$F$165,0)*IF(ISNUMBER($G$3:$G$165),$G$3:$G$165,0))/SUMPRODUCT(($C$3:$C$165=C30)*ISNUMBER($G$3:$G$165)*ISNUMBER($F$3:$F$165)*IF(ISNUMBER($F$3:$F$165),$F$3:$F$165,0)),"")</f>
        <v/>
      </c>
      <c r="I30" s="16">
        <f>IFERROR(SUMPRODUCT(($C$3:$C$165=C30)*ISNUMBER($G$3:$G$165)*IF(ISNUMBER($G$3:$G$165),$G$3:$G$165,0))/SUMPRODUCT(($C$3:$C$165=C30)*ISNUMBER($G$3:$G$165)),"")</f>
        <v/>
      </c>
      <c r="J30" s="16">
        <f>IF(OR(G30="",H30=""),"",G30/H30)</f>
        <v/>
      </c>
      <c r="K30" s="16">
        <f>IF(OR(G30="",I30=""),"",G30/I30)</f>
        <v/>
      </c>
      <c r="L30" s="14">
        <f>INDEX('4_UK_Beta_Input'!$D$5:$D$15,MATCH($C30,'4_UK_Beta_Input'!$A$5:$A$15,0))</f>
        <v/>
      </c>
      <c r="M30" s="14">
        <f>INDEX('4_UK_Beta_Input'!$D$20:$D$44,MATCH($E30,'4_UK_Beta_Input'!$A$20:$A$44,0))</f>
        <v/>
      </c>
      <c r="N30" s="14">
        <f>INDEX('4_UK_Beta_Input'!$D$49:$D$122,MATCH($D30,'4_UK_Beta_Input'!$A$49:$A$122,0))</f>
        <v/>
      </c>
      <c r="O30" s="14">
        <f>INDEX('4_UK_Beta_Input'!$D$127:$D$289,MATCH($A30,'4_UK_Beta_Input'!$A$127:$A$289,0))</f>
        <v/>
      </c>
      <c r="P30" s="16">
        <f>(M30/L30)*(N30/M30)*(O30/N30)</f>
        <v/>
      </c>
      <c r="Q30" s="17">
        <f>IF(J30="",INDEX('3_UK_L1_Input'!$D$4:$D$14,MATCH($C30,'3_UK_L1_Input'!$A$4:$A$14,0))*P30,INDEX('3_UK_L1_Input'!$D$4:$D$14,MATCH($C30,'3_UK_L1_Input'!$A$4:$A$14,0))*J30)</f>
        <v/>
      </c>
      <c r="R30" s="17">
        <f>IF(K30="",INDEX('3_UK_L1_Input'!$D$4:$D$14,MATCH($C30,'3_UK_L1_Input'!$A$4:$A$14,0))*P30,INDEX('3_UK_L1_Input'!$D$4:$D$14,MATCH($C30,'3_UK_L1_Input'!$A$4:$A$14,0))*K30)</f>
        <v/>
      </c>
      <c r="S30" s="18">
        <f>IF(G30="","BETA CASCADE FALLBACK (dummy — replace with real beta)","REAL (Bloomberg UK)")</f>
        <v/>
      </c>
      <c r="T30" s="17">
        <f>INDEX('3_UK_L1_Input'!$C$4:$C$14,MATCH($C30,'3_UK_L1_Input'!$A$4:$A$14,0))</f>
        <v/>
      </c>
      <c r="U30" s="17">
        <f>INDEX('3_UK_L1_Input'!$C$4:$C$14,MATCH($C30,'3_UK_L1_Input'!$A$4:$A$14,0))*P30</f>
        <v/>
      </c>
      <c r="V30" s="15">
        <f>INDEX('5_UK_DefaultRisk_Input'!$D$5:$D$15,MATCH($C30,'5_UK_DefaultRisk_Input'!$A$5:$A$15,0))</f>
        <v/>
      </c>
      <c r="W30" s="15">
        <f>INDEX('5_UK_DefaultRisk_Input'!$D$20:$D$44,MATCH($E30,'5_UK_DefaultRisk_Input'!$A$20:$A$44,0))</f>
        <v/>
      </c>
      <c r="X30" s="15">
        <f>INDEX('5_UK_DefaultRisk_Input'!$D$49:$D$122,MATCH($D30,'5_UK_DefaultRisk_Input'!$A$49:$A$122,0))</f>
        <v/>
      </c>
      <c r="Y30" s="15">
        <f>INDEX('5_UK_DefaultRisk_Input'!$D$127:$D$289,MATCH($A30,'5_UK_DefaultRisk_Input'!$A$127:$A$289,0))</f>
        <v/>
      </c>
      <c r="Z30" s="16">
        <f>(W30/V30)*(X30/W30)*(Y30/X30)</f>
        <v/>
      </c>
      <c r="AA30" s="17">
        <f>INDEX('3_UK_L1_Input'!$D$4:$D$14,MATCH($C30,'3_UK_L1_Input'!$A$4:$A$14,0))*Z30</f>
        <v/>
      </c>
    </row>
    <row r="31">
      <c r="A31" s="7" t="n">
        <v>20104020</v>
      </c>
      <c r="B31" s="7" t="inlineStr">
        <is>
          <t>Heavy Electrical Equipment</t>
        </is>
      </c>
      <c r="C31" s="7" t="n">
        <v>20</v>
      </c>
      <c r="D31" s="7" t="n">
        <v>201040</v>
      </c>
      <c r="E31" s="7" t="n">
        <v>2010</v>
      </c>
      <c r="F31" s="9" t="n">
        <v>229090000</v>
      </c>
      <c r="G31" s="10" t="n">
        <v>38.05</v>
      </c>
      <c r="H31" s="16">
        <f>IFERROR(SUMPRODUCT(($C$3:$C$165=C31)*ISNUMBER($G$3:$G$165)*ISNUMBER($F$3:$F$165)*IF(ISNUMBER($F$3:$F$165),$F$3:$F$165,0)*IF(ISNUMBER($G$3:$G$165),$G$3:$G$165,0))/SUMPRODUCT(($C$3:$C$165=C31)*ISNUMBER($G$3:$G$165)*ISNUMBER($F$3:$F$165)*IF(ISNUMBER($F$3:$F$165),$F$3:$F$165,0)),"")</f>
        <v/>
      </c>
      <c r="I31" s="16">
        <f>IFERROR(SUMPRODUCT(($C$3:$C$165=C31)*ISNUMBER($G$3:$G$165)*IF(ISNUMBER($G$3:$G$165),$G$3:$G$165,0))/SUMPRODUCT(($C$3:$C$165=C31)*ISNUMBER($G$3:$G$165)),"")</f>
        <v/>
      </c>
      <c r="J31" s="16">
        <f>IF(OR(G31="",H31=""),"",G31/H31)</f>
        <v/>
      </c>
      <c r="K31" s="16">
        <f>IF(OR(G31="",I31=""),"",G31/I31)</f>
        <v/>
      </c>
      <c r="L31" s="14">
        <f>INDEX('4_UK_Beta_Input'!$D$5:$D$15,MATCH($C31,'4_UK_Beta_Input'!$A$5:$A$15,0))</f>
        <v/>
      </c>
      <c r="M31" s="14">
        <f>INDEX('4_UK_Beta_Input'!$D$20:$D$44,MATCH($E31,'4_UK_Beta_Input'!$A$20:$A$44,0))</f>
        <v/>
      </c>
      <c r="N31" s="14">
        <f>INDEX('4_UK_Beta_Input'!$D$49:$D$122,MATCH($D31,'4_UK_Beta_Input'!$A$49:$A$122,0))</f>
        <v/>
      </c>
      <c r="O31" s="14">
        <f>INDEX('4_UK_Beta_Input'!$D$127:$D$289,MATCH($A31,'4_UK_Beta_Input'!$A$127:$A$289,0))</f>
        <v/>
      </c>
      <c r="P31" s="16">
        <f>(M31/L31)*(N31/M31)*(O31/N31)</f>
        <v/>
      </c>
      <c r="Q31" s="17">
        <f>IF(J31="",INDEX('3_UK_L1_Input'!$D$4:$D$14,MATCH($C31,'3_UK_L1_Input'!$A$4:$A$14,0))*P31,INDEX('3_UK_L1_Input'!$D$4:$D$14,MATCH($C31,'3_UK_L1_Input'!$A$4:$A$14,0))*J31)</f>
        <v/>
      </c>
      <c r="R31" s="17">
        <f>IF(K31="",INDEX('3_UK_L1_Input'!$D$4:$D$14,MATCH($C31,'3_UK_L1_Input'!$A$4:$A$14,0))*P31,INDEX('3_UK_L1_Input'!$D$4:$D$14,MATCH($C31,'3_UK_L1_Input'!$A$4:$A$14,0))*K31)</f>
        <v/>
      </c>
      <c r="S31" s="18">
        <f>IF(G31="","BETA CASCADE FALLBACK (dummy — replace with real beta)","REAL (Bloomberg UK)")</f>
        <v/>
      </c>
      <c r="T31" s="17">
        <f>INDEX('3_UK_L1_Input'!$C$4:$C$14,MATCH($C31,'3_UK_L1_Input'!$A$4:$A$14,0))</f>
        <v/>
      </c>
      <c r="U31" s="17">
        <f>INDEX('3_UK_L1_Input'!$C$4:$C$14,MATCH($C31,'3_UK_L1_Input'!$A$4:$A$14,0))*P31</f>
        <v/>
      </c>
      <c r="V31" s="15">
        <f>INDEX('5_UK_DefaultRisk_Input'!$D$5:$D$15,MATCH($C31,'5_UK_DefaultRisk_Input'!$A$5:$A$15,0))</f>
        <v/>
      </c>
      <c r="W31" s="15">
        <f>INDEX('5_UK_DefaultRisk_Input'!$D$20:$D$44,MATCH($E31,'5_UK_DefaultRisk_Input'!$A$20:$A$44,0))</f>
        <v/>
      </c>
      <c r="X31" s="15">
        <f>INDEX('5_UK_DefaultRisk_Input'!$D$49:$D$122,MATCH($D31,'5_UK_DefaultRisk_Input'!$A$49:$A$122,0))</f>
        <v/>
      </c>
      <c r="Y31" s="15">
        <f>INDEX('5_UK_DefaultRisk_Input'!$D$127:$D$289,MATCH($A31,'5_UK_DefaultRisk_Input'!$A$127:$A$289,0))</f>
        <v/>
      </c>
      <c r="Z31" s="16">
        <f>(W31/V31)*(X31/W31)*(Y31/X31)</f>
        <v/>
      </c>
      <c r="AA31" s="17">
        <f>INDEX('3_UK_L1_Input'!$D$4:$D$14,MATCH($C31,'3_UK_L1_Input'!$A$4:$A$14,0))*Z31</f>
        <v/>
      </c>
    </row>
    <row r="32">
      <c r="A32" s="7" t="n">
        <v>20105010</v>
      </c>
      <c r="B32" s="7" t="inlineStr">
        <is>
          <t>Industrial Conglomerates</t>
        </is>
      </c>
      <c r="C32" s="7" t="n">
        <v>20</v>
      </c>
      <c r="D32" s="7" t="n">
        <v>201050</v>
      </c>
      <c r="E32" s="7" t="n">
        <v>2010</v>
      </c>
      <c r="F32" s="9" t="n">
        <v>1130000000</v>
      </c>
      <c r="G32" s="10" t="n">
        <v>12.91</v>
      </c>
      <c r="H32" s="16">
        <f>IFERROR(SUMPRODUCT(($C$3:$C$165=C32)*ISNUMBER($G$3:$G$165)*ISNUMBER($F$3:$F$165)*IF(ISNUMBER($F$3:$F$165),$F$3:$F$165,0)*IF(ISNUMBER($G$3:$G$165),$G$3:$G$165,0))/SUMPRODUCT(($C$3:$C$165=C32)*ISNUMBER($G$3:$G$165)*ISNUMBER($F$3:$F$165)*IF(ISNUMBER($F$3:$F$165),$F$3:$F$165,0)),"")</f>
        <v/>
      </c>
      <c r="I32" s="16">
        <f>IFERROR(SUMPRODUCT(($C$3:$C$165=C32)*ISNUMBER($G$3:$G$165)*IF(ISNUMBER($G$3:$G$165),$G$3:$G$165,0))/SUMPRODUCT(($C$3:$C$165=C32)*ISNUMBER($G$3:$G$165)),"")</f>
        <v/>
      </c>
      <c r="J32" s="16">
        <f>IF(OR(G32="",H32=""),"",G32/H32)</f>
        <v/>
      </c>
      <c r="K32" s="16">
        <f>IF(OR(G32="",I32=""),"",G32/I32)</f>
        <v/>
      </c>
      <c r="L32" s="14">
        <f>INDEX('4_UK_Beta_Input'!$D$5:$D$15,MATCH($C32,'4_UK_Beta_Input'!$A$5:$A$15,0))</f>
        <v/>
      </c>
      <c r="M32" s="14">
        <f>INDEX('4_UK_Beta_Input'!$D$20:$D$44,MATCH($E32,'4_UK_Beta_Input'!$A$20:$A$44,0))</f>
        <v/>
      </c>
      <c r="N32" s="14">
        <f>INDEX('4_UK_Beta_Input'!$D$49:$D$122,MATCH($D32,'4_UK_Beta_Input'!$A$49:$A$122,0))</f>
        <v/>
      </c>
      <c r="O32" s="14">
        <f>INDEX('4_UK_Beta_Input'!$D$127:$D$289,MATCH($A32,'4_UK_Beta_Input'!$A$127:$A$289,0))</f>
        <v/>
      </c>
      <c r="P32" s="16">
        <f>(M32/L32)*(N32/M32)*(O32/N32)</f>
        <v/>
      </c>
      <c r="Q32" s="17">
        <f>IF(J32="",INDEX('3_UK_L1_Input'!$D$4:$D$14,MATCH($C32,'3_UK_L1_Input'!$A$4:$A$14,0))*P32,INDEX('3_UK_L1_Input'!$D$4:$D$14,MATCH($C32,'3_UK_L1_Input'!$A$4:$A$14,0))*J32)</f>
        <v/>
      </c>
      <c r="R32" s="17">
        <f>IF(K32="",INDEX('3_UK_L1_Input'!$D$4:$D$14,MATCH($C32,'3_UK_L1_Input'!$A$4:$A$14,0))*P32,INDEX('3_UK_L1_Input'!$D$4:$D$14,MATCH($C32,'3_UK_L1_Input'!$A$4:$A$14,0))*K32)</f>
        <v/>
      </c>
      <c r="S32" s="18">
        <f>IF(G32="","BETA CASCADE FALLBACK (dummy — replace with real beta)","REAL (Bloomberg UK)")</f>
        <v/>
      </c>
      <c r="T32" s="17">
        <f>INDEX('3_UK_L1_Input'!$C$4:$C$14,MATCH($C32,'3_UK_L1_Input'!$A$4:$A$14,0))</f>
        <v/>
      </c>
      <c r="U32" s="17">
        <f>INDEX('3_UK_L1_Input'!$C$4:$C$14,MATCH($C32,'3_UK_L1_Input'!$A$4:$A$14,0))*P32</f>
        <v/>
      </c>
      <c r="V32" s="15">
        <f>INDEX('5_UK_DefaultRisk_Input'!$D$5:$D$15,MATCH($C32,'5_UK_DefaultRisk_Input'!$A$5:$A$15,0))</f>
        <v/>
      </c>
      <c r="W32" s="15">
        <f>INDEX('5_UK_DefaultRisk_Input'!$D$20:$D$44,MATCH($E32,'5_UK_DefaultRisk_Input'!$A$20:$A$44,0))</f>
        <v/>
      </c>
      <c r="X32" s="15">
        <f>INDEX('5_UK_DefaultRisk_Input'!$D$49:$D$122,MATCH($D32,'5_UK_DefaultRisk_Input'!$A$49:$A$122,0))</f>
        <v/>
      </c>
      <c r="Y32" s="15">
        <f>INDEX('5_UK_DefaultRisk_Input'!$D$127:$D$289,MATCH($A32,'5_UK_DefaultRisk_Input'!$A$127:$A$289,0))</f>
        <v/>
      </c>
      <c r="Z32" s="16">
        <f>(W32/V32)*(X32/W32)*(Y32/X32)</f>
        <v/>
      </c>
      <c r="AA32" s="17">
        <f>INDEX('3_UK_L1_Input'!$D$4:$D$14,MATCH($C32,'3_UK_L1_Input'!$A$4:$A$14,0))*Z32</f>
        <v/>
      </c>
    </row>
    <row r="33">
      <c r="A33" s="7" t="n">
        <v>20106010</v>
      </c>
      <c r="B33" s="7" t="inlineStr">
        <is>
          <t>Construction Machinery &amp; Heavy Transportation Equipment</t>
        </is>
      </c>
      <c r="C33" s="7" t="n">
        <v>20</v>
      </c>
      <c r="D33" s="7" t="n">
        <v>201060</v>
      </c>
      <c r="E33" s="7" t="n">
        <v>2010</v>
      </c>
      <c r="F33" s="8" t="n"/>
      <c r="G33" s="8" t="n"/>
      <c r="H33" s="16">
        <f>IFERROR(SUMPRODUCT(($C$3:$C$165=C33)*ISNUMBER($G$3:$G$165)*ISNUMBER($F$3:$F$165)*IF(ISNUMBER($F$3:$F$165),$F$3:$F$165,0)*IF(ISNUMBER($G$3:$G$165),$G$3:$G$165,0))/SUMPRODUCT(($C$3:$C$165=C33)*ISNUMBER($G$3:$G$165)*ISNUMBER($F$3:$F$165)*IF(ISNUMBER($F$3:$F$165),$F$3:$F$165,0)),"")</f>
        <v/>
      </c>
      <c r="I33" s="16">
        <f>IFERROR(SUMPRODUCT(($C$3:$C$165=C33)*ISNUMBER($G$3:$G$165)*IF(ISNUMBER($G$3:$G$165),$G$3:$G$165,0))/SUMPRODUCT(($C$3:$C$165=C33)*ISNUMBER($G$3:$G$165)),"")</f>
        <v/>
      </c>
      <c r="J33" s="16">
        <f>IF(OR(G33="",H33=""),"",G33/H33)</f>
        <v/>
      </c>
      <c r="K33" s="16">
        <f>IF(OR(G33="",I33=""),"",G33/I33)</f>
        <v/>
      </c>
      <c r="L33" s="14">
        <f>INDEX('4_UK_Beta_Input'!$D$5:$D$15,MATCH($C33,'4_UK_Beta_Input'!$A$5:$A$15,0))</f>
        <v/>
      </c>
      <c r="M33" s="14">
        <f>INDEX('4_UK_Beta_Input'!$D$20:$D$44,MATCH($E33,'4_UK_Beta_Input'!$A$20:$A$44,0))</f>
        <v/>
      </c>
      <c r="N33" s="14">
        <f>INDEX('4_UK_Beta_Input'!$D$49:$D$122,MATCH($D33,'4_UK_Beta_Input'!$A$49:$A$122,0))</f>
        <v/>
      </c>
      <c r="O33" s="14">
        <f>INDEX('4_UK_Beta_Input'!$D$127:$D$289,MATCH($A33,'4_UK_Beta_Input'!$A$127:$A$289,0))</f>
        <v/>
      </c>
      <c r="P33" s="16">
        <f>(M33/L33)*(N33/M33)*(O33/N33)</f>
        <v/>
      </c>
      <c r="Q33" s="17">
        <f>IF(J33="",INDEX('3_UK_L1_Input'!$D$4:$D$14,MATCH($C33,'3_UK_L1_Input'!$A$4:$A$14,0))*P33,INDEX('3_UK_L1_Input'!$D$4:$D$14,MATCH($C33,'3_UK_L1_Input'!$A$4:$A$14,0))*J33)</f>
        <v/>
      </c>
      <c r="R33" s="17">
        <f>IF(K33="",INDEX('3_UK_L1_Input'!$D$4:$D$14,MATCH($C33,'3_UK_L1_Input'!$A$4:$A$14,0))*P33,INDEX('3_UK_L1_Input'!$D$4:$D$14,MATCH($C33,'3_UK_L1_Input'!$A$4:$A$14,0))*K33)</f>
        <v/>
      </c>
      <c r="S33" s="19">
        <f>IF(G33="","BETA CASCADE FALLBACK (dummy — replace with real beta)","REAL (Bloomberg UK)")</f>
        <v/>
      </c>
      <c r="T33" s="17">
        <f>INDEX('3_UK_L1_Input'!$C$4:$C$14,MATCH($C33,'3_UK_L1_Input'!$A$4:$A$14,0))</f>
        <v/>
      </c>
      <c r="U33" s="17">
        <f>INDEX('3_UK_L1_Input'!$C$4:$C$14,MATCH($C33,'3_UK_L1_Input'!$A$4:$A$14,0))*P33</f>
        <v/>
      </c>
      <c r="V33" s="15">
        <f>INDEX('5_UK_DefaultRisk_Input'!$D$5:$D$15,MATCH($C33,'5_UK_DefaultRisk_Input'!$A$5:$A$15,0))</f>
        <v/>
      </c>
      <c r="W33" s="15">
        <f>INDEX('5_UK_DefaultRisk_Input'!$D$20:$D$44,MATCH($E33,'5_UK_DefaultRisk_Input'!$A$20:$A$44,0))</f>
        <v/>
      </c>
      <c r="X33" s="15">
        <f>INDEX('5_UK_DefaultRisk_Input'!$D$49:$D$122,MATCH($D33,'5_UK_DefaultRisk_Input'!$A$49:$A$122,0))</f>
        <v/>
      </c>
      <c r="Y33" s="15">
        <f>INDEX('5_UK_DefaultRisk_Input'!$D$127:$D$289,MATCH($A33,'5_UK_DefaultRisk_Input'!$A$127:$A$289,0))</f>
        <v/>
      </c>
      <c r="Z33" s="16">
        <f>(W33/V33)*(X33/W33)*(Y33/X33)</f>
        <v/>
      </c>
      <c r="AA33" s="17">
        <f>INDEX('3_UK_L1_Input'!$D$4:$D$14,MATCH($C33,'3_UK_L1_Input'!$A$4:$A$14,0))*Z33</f>
        <v/>
      </c>
    </row>
    <row r="34">
      <c r="A34" s="7" t="n">
        <v>20106015</v>
      </c>
      <c r="B34" s="7" t="inlineStr">
        <is>
          <t>Agricultural &amp; Farm Machinery</t>
        </is>
      </c>
      <c r="C34" s="7" t="n">
        <v>20</v>
      </c>
      <c r="D34" s="7" t="n">
        <v>201060</v>
      </c>
      <c r="E34" s="7" t="n">
        <v>2010</v>
      </c>
      <c r="F34" s="9" t="n">
        <v>18180000000</v>
      </c>
      <c r="G34" s="10" t="n">
        <v>27.38</v>
      </c>
      <c r="H34" s="16">
        <f>IFERROR(SUMPRODUCT(($C$3:$C$165=C34)*ISNUMBER($G$3:$G$165)*ISNUMBER($F$3:$F$165)*IF(ISNUMBER($F$3:$F$165),$F$3:$F$165,0)*IF(ISNUMBER($G$3:$G$165),$G$3:$G$165,0))/SUMPRODUCT(($C$3:$C$165=C34)*ISNUMBER($G$3:$G$165)*ISNUMBER($F$3:$F$165)*IF(ISNUMBER($F$3:$F$165),$F$3:$F$165,0)),"")</f>
        <v/>
      </c>
      <c r="I34" s="16">
        <f>IFERROR(SUMPRODUCT(($C$3:$C$165=C34)*ISNUMBER($G$3:$G$165)*IF(ISNUMBER($G$3:$G$165),$G$3:$G$165,0))/SUMPRODUCT(($C$3:$C$165=C34)*ISNUMBER($G$3:$G$165)),"")</f>
        <v/>
      </c>
      <c r="J34" s="16">
        <f>IF(OR(G34="",H34=""),"",G34/H34)</f>
        <v/>
      </c>
      <c r="K34" s="16">
        <f>IF(OR(G34="",I34=""),"",G34/I34)</f>
        <v/>
      </c>
      <c r="L34" s="14">
        <f>INDEX('4_UK_Beta_Input'!$D$5:$D$15,MATCH($C34,'4_UK_Beta_Input'!$A$5:$A$15,0))</f>
        <v/>
      </c>
      <c r="M34" s="14">
        <f>INDEX('4_UK_Beta_Input'!$D$20:$D$44,MATCH($E34,'4_UK_Beta_Input'!$A$20:$A$44,0))</f>
        <v/>
      </c>
      <c r="N34" s="14">
        <f>INDEX('4_UK_Beta_Input'!$D$49:$D$122,MATCH($D34,'4_UK_Beta_Input'!$A$49:$A$122,0))</f>
        <v/>
      </c>
      <c r="O34" s="14">
        <f>INDEX('4_UK_Beta_Input'!$D$127:$D$289,MATCH($A34,'4_UK_Beta_Input'!$A$127:$A$289,0))</f>
        <v/>
      </c>
      <c r="P34" s="16">
        <f>(M34/L34)*(N34/M34)*(O34/N34)</f>
        <v/>
      </c>
      <c r="Q34" s="17">
        <f>IF(J34="",INDEX('3_UK_L1_Input'!$D$4:$D$14,MATCH($C34,'3_UK_L1_Input'!$A$4:$A$14,0))*P34,INDEX('3_UK_L1_Input'!$D$4:$D$14,MATCH($C34,'3_UK_L1_Input'!$A$4:$A$14,0))*J34)</f>
        <v/>
      </c>
      <c r="R34" s="17">
        <f>IF(K34="",INDEX('3_UK_L1_Input'!$D$4:$D$14,MATCH($C34,'3_UK_L1_Input'!$A$4:$A$14,0))*P34,INDEX('3_UK_L1_Input'!$D$4:$D$14,MATCH($C34,'3_UK_L1_Input'!$A$4:$A$14,0))*K34)</f>
        <v/>
      </c>
      <c r="S34" s="18">
        <f>IF(G34="","BETA CASCADE FALLBACK (dummy — replace with real beta)","REAL (Bloomberg UK)")</f>
        <v/>
      </c>
      <c r="T34" s="17">
        <f>INDEX('3_UK_L1_Input'!$C$4:$C$14,MATCH($C34,'3_UK_L1_Input'!$A$4:$A$14,0))</f>
        <v/>
      </c>
      <c r="U34" s="17">
        <f>INDEX('3_UK_L1_Input'!$C$4:$C$14,MATCH($C34,'3_UK_L1_Input'!$A$4:$A$14,0))*P34</f>
        <v/>
      </c>
      <c r="V34" s="15">
        <f>INDEX('5_UK_DefaultRisk_Input'!$D$5:$D$15,MATCH($C34,'5_UK_DefaultRisk_Input'!$A$5:$A$15,0))</f>
        <v/>
      </c>
      <c r="W34" s="15">
        <f>INDEX('5_UK_DefaultRisk_Input'!$D$20:$D$44,MATCH($E34,'5_UK_DefaultRisk_Input'!$A$20:$A$44,0))</f>
        <v/>
      </c>
      <c r="X34" s="15">
        <f>INDEX('5_UK_DefaultRisk_Input'!$D$49:$D$122,MATCH($D34,'5_UK_DefaultRisk_Input'!$A$49:$A$122,0))</f>
        <v/>
      </c>
      <c r="Y34" s="15">
        <f>INDEX('5_UK_DefaultRisk_Input'!$D$127:$D$289,MATCH($A34,'5_UK_DefaultRisk_Input'!$A$127:$A$289,0))</f>
        <v/>
      </c>
      <c r="Z34" s="16">
        <f>(W34/V34)*(X34/W34)*(Y34/X34)</f>
        <v/>
      </c>
      <c r="AA34" s="17">
        <f>INDEX('3_UK_L1_Input'!$D$4:$D$14,MATCH($C34,'3_UK_L1_Input'!$A$4:$A$14,0))*Z34</f>
        <v/>
      </c>
    </row>
    <row r="35">
      <c r="A35" s="7" t="n">
        <v>20106020</v>
      </c>
      <c r="B35" s="7" t="inlineStr">
        <is>
          <t>Industrial Machinery &amp; Supplies &amp; Components</t>
        </is>
      </c>
      <c r="C35" s="7" t="n">
        <v>20</v>
      </c>
      <c r="D35" s="7" t="n">
        <v>201060</v>
      </c>
      <c r="E35" s="7" t="n">
        <v>2010</v>
      </c>
      <c r="F35" s="9" t="n">
        <v>966980000</v>
      </c>
      <c r="G35" s="10" t="n">
        <v>10.77</v>
      </c>
      <c r="H35" s="16">
        <f>IFERROR(SUMPRODUCT(($C$3:$C$165=C35)*ISNUMBER($G$3:$G$165)*ISNUMBER($F$3:$F$165)*IF(ISNUMBER($F$3:$F$165),$F$3:$F$165,0)*IF(ISNUMBER($G$3:$G$165),$G$3:$G$165,0))/SUMPRODUCT(($C$3:$C$165=C35)*ISNUMBER($G$3:$G$165)*ISNUMBER($F$3:$F$165)*IF(ISNUMBER($F$3:$F$165),$F$3:$F$165,0)),"")</f>
        <v/>
      </c>
      <c r="I35" s="16">
        <f>IFERROR(SUMPRODUCT(($C$3:$C$165=C35)*ISNUMBER($G$3:$G$165)*IF(ISNUMBER($G$3:$G$165),$G$3:$G$165,0))/SUMPRODUCT(($C$3:$C$165=C35)*ISNUMBER($G$3:$G$165)),"")</f>
        <v/>
      </c>
      <c r="J35" s="16">
        <f>IF(OR(G35="",H35=""),"",G35/H35)</f>
        <v/>
      </c>
      <c r="K35" s="16">
        <f>IF(OR(G35="",I35=""),"",G35/I35)</f>
        <v/>
      </c>
      <c r="L35" s="14">
        <f>INDEX('4_UK_Beta_Input'!$D$5:$D$15,MATCH($C35,'4_UK_Beta_Input'!$A$5:$A$15,0))</f>
        <v/>
      </c>
      <c r="M35" s="14">
        <f>INDEX('4_UK_Beta_Input'!$D$20:$D$44,MATCH($E35,'4_UK_Beta_Input'!$A$20:$A$44,0))</f>
        <v/>
      </c>
      <c r="N35" s="14">
        <f>INDEX('4_UK_Beta_Input'!$D$49:$D$122,MATCH($D35,'4_UK_Beta_Input'!$A$49:$A$122,0))</f>
        <v/>
      </c>
      <c r="O35" s="14">
        <f>INDEX('4_UK_Beta_Input'!$D$127:$D$289,MATCH($A35,'4_UK_Beta_Input'!$A$127:$A$289,0))</f>
        <v/>
      </c>
      <c r="P35" s="16">
        <f>(M35/L35)*(N35/M35)*(O35/N35)</f>
        <v/>
      </c>
      <c r="Q35" s="17">
        <f>IF(J35="",INDEX('3_UK_L1_Input'!$D$4:$D$14,MATCH($C35,'3_UK_L1_Input'!$A$4:$A$14,0))*P35,INDEX('3_UK_L1_Input'!$D$4:$D$14,MATCH($C35,'3_UK_L1_Input'!$A$4:$A$14,0))*J35)</f>
        <v/>
      </c>
      <c r="R35" s="17">
        <f>IF(K35="",INDEX('3_UK_L1_Input'!$D$4:$D$14,MATCH($C35,'3_UK_L1_Input'!$A$4:$A$14,0))*P35,INDEX('3_UK_L1_Input'!$D$4:$D$14,MATCH($C35,'3_UK_L1_Input'!$A$4:$A$14,0))*K35)</f>
        <v/>
      </c>
      <c r="S35" s="18">
        <f>IF(G35="","BETA CASCADE FALLBACK (dummy — replace with real beta)","REAL (Bloomberg UK)")</f>
        <v/>
      </c>
      <c r="T35" s="17">
        <f>INDEX('3_UK_L1_Input'!$C$4:$C$14,MATCH($C35,'3_UK_L1_Input'!$A$4:$A$14,0))</f>
        <v/>
      </c>
      <c r="U35" s="17">
        <f>INDEX('3_UK_L1_Input'!$C$4:$C$14,MATCH($C35,'3_UK_L1_Input'!$A$4:$A$14,0))*P35</f>
        <v/>
      </c>
      <c r="V35" s="15">
        <f>INDEX('5_UK_DefaultRisk_Input'!$D$5:$D$15,MATCH($C35,'5_UK_DefaultRisk_Input'!$A$5:$A$15,0))</f>
        <v/>
      </c>
      <c r="W35" s="15">
        <f>INDEX('5_UK_DefaultRisk_Input'!$D$20:$D$44,MATCH($E35,'5_UK_DefaultRisk_Input'!$A$20:$A$44,0))</f>
        <v/>
      </c>
      <c r="X35" s="15">
        <f>INDEX('5_UK_DefaultRisk_Input'!$D$49:$D$122,MATCH($D35,'5_UK_DefaultRisk_Input'!$A$49:$A$122,0))</f>
        <v/>
      </c>
      <c r="Y35" s="15">
        <f>INDEX('5_UK_DefaultRisk_Input'!$D$127:$D$289,MATCH($A35,'5_UK_DefaultRisk_Input'!$A$127:$A$289,0))</f>
        <v/>
      </c>
      <c r="Z35" s="16">
        <f>(W35/V35)*(X35/W35)*(Y35/X35)</f>
        <v/>
      </c>
      <c r="AA35" s="17">
        <f>INDEX('3_UK_L1_Input'!$D$4:$D$14,MATCH($C35,'3_UK_L1_Input'!$A$4:$A$14,0))*Z35</f>
        <v/>
      </c>
    </row>
    <row r="36">
      <c r="A36" s="7" t="n">
        <v>20107010</v>
      </c>
      <c r="B36" s="7" t="inlineStr">
        <is>
          <t>Trading Companies &amp; Distributors</t>
        </is>
      </c>
      <c r="C36" s="7" t="n">
        <v>20</v>
      </c>
      <c r="D36" s="7" t="n">
        <v>201070</v>
      </c>
      <c r="E36" s="7" t="n">
        <v>2010</v>
      </c>
      <c r="F36" s="9" t="n">
        <v>1710000000</v>
      </c>
      <c r="G36" s="10" t="n">
        <v>7.57</v>
      </c>
      <c r="H36" s="16">
        <f>IFERROR(SUMPRODUCT(($C$3:$C$165=C36)*ISNUMBER($G$3:$G$165)*ISNUMBER($F$3:$F$165)*IF(ISNUMBER($F$3:$F$165),$F$3:$F$165,0)*IF(ISNUMBER($G$3:$G$165),$G$3:$G$165,0))/SUMPRODUCT(($C$3:$C$165=C36)*ISNUMBER($G$3:$G$165)*ISNUMBER($F$3:$F$165)*IF(ISNUMBER($F$3:$F$165),$F$3:$F$165,0)),"")</f>
        <v/>
      </c>
      <c r="I36" s="16">
        <f>IFERROR(SUMPRODUCT(($C$3:$C$165=C36)*ISNUMBER($G$3:$G$165)*IF(ISNUMBER($G$3:$G$165),$G$3:$G$165,0))/SUMPRODUCT(($C$3:$C$165=C36)*ISNUMBER($G$3:$G$165)),"")</f>
        <v/>
      </c>
      <c r="J36" s="16">
        <f>IF(OR(G36="",H36=""),"",G36/H36)</f>
        <v/>
      </c>
      <c r="K36" s="16">
        <f>IF(OR(G36="",I36=""),"",G36/I36)</f>
        <v/>
      </c>
      <c r="L36" s="14">
        <f>INDEX('4_UK_Beta_Input'!$D$5:$D$15,MATCH($C36,'4_UK_Beta_Input'!$A$5:$A$15,0))</f>
        <v/>
      </c>
      <c r="M36" s="14">
        <f>INDEX('4_UK_Beta_Input'!$D$20:$D$44,MATCH($E36,'4_UK_Beta_Input'!$A$20:$A$44,0))</f>
        <v/>
      </c>
      <c r="N36" s="14">
        <f>INDEX('4_UK_Beta_Input'!$D$49:$D$122,MATCH($D36,'4_UK_Beta_Input'!$A$49:$A$122,0))</f>
        <v/>
      </c>
      <c r="O36" s="14">
        <f>INDEX('4_UK_Beta_Input'!$D$127:$D$289,MATCH($A36,'4_UK_Beta_Input'!$A$127:$A$289,0))</f>
        <v/>
      </c>
      <c r="P36" s="16">
        <f>(M36/L36)*(N36/M36)*(O36/N36)</f>
        <v/>
      </c>
      <c r="Q36" s="17">
        <f>IF(J36="",INDEX('3_UK_L1_Input'!$D$4:$D$14,MATCH($C36,'3_UK_L1_Input'!$A$4:$A$14,0))*P36,INDEX('3_UK_L1_Input'!$D$4:$D$14,MATCH($C36,'3_UK_L1_Input'!$A$4:$A$14,0))*J36)</f>
        <v/>
      </c>
      <c r="R36" s="17">
        <f>IF(K36="",INDEX('3_UK_L1_Input'!$D$4:$D$14,MATCH($C36,'3_UK_L1_Input'!$A$4:$A$14,0))*P36,INDEX('3_UK_L1_Input'!$D$4:$D$14,MATCH($C36,'3_UK_L1_Input'!$A$4:$A$14,0))*K36)</f>
        <v/>
      </c>
      <c r="S36" s="18">
        <f>IF(G36="","BETA CASCADE FALLBACK (dummy — replace with real beta)","REAL (Bloomberg UK)")</f>
        <v/>
      </c>
      <c r="T36" s="17">
        <f>INDEX('3_UK_L1_Input'!$C$4:$C$14,MATCH($C36,'3_UK_L1_Input'!$A$4:$A$14,0))</f>
        <v/>
      </c>
      <c r="U36" s="17">
        <f>INDEX('3_UK_L1_Input'!$C$4:$C$14,MATCH($C36,'3_UK_L1_Input'!$A$4:$A$14,0))*P36</f>
        <v/>
      </c>
      <c r="V36" s="15">
        <f>INDEX('5_UK_DefaultRisk_Input'!$D$5:$D$15,MATCH($C36,'5_UK_DefaultRisk_Input'!$A$5:$A$15,0))</f>
        <v/>
      </c>
      <c r="W36" s="15">
        <f>INDEX('5_UK_DefaultRisk_Input'!$D$20:$D$44,MATCH($E36,'5_UK_DefaultRisk_Input'!$A$20:$A$44,0))</f>
        <v/>
      </c>
      <c r="X36" s="15">
        <f>INDEX('5_UK_DefaultRisk_Input'!$D$49:$D$122,MATCH($D36,'5_UK_DefaultRisk_Input'!$A$49:$A$122,0))</f>
        <v/>
      </c>
      <c r="Y36" s="15">
        <f>INDEX('5_UK_DefaultRisk_Input'!$D$127:$D$289,MATCH($A36,'5_UK_DefaultRisk_Input'!$A$127:$A$289,0))</f>
        <v/>
      </c>
      <c r="Z36" s="16">
        <f>(W36/V36)*(X36/W36)*(Y36/X36)</f>
        <v/>
      </c>
      <c r="AA36" s="17">
        <f>INDEX('3_UK_L1_Input'!$D$4:$D$14,MATCH($C36,'3_UK_L1_Input'!$A$4:$A$14,0))*Z36</f>
        <v/>
      </c>
    </row>
    <row r="37">
      <c r="A37" s="7" t="n">
        <v>20201010</v>
      </c>
      <c r="B37" s="7" t="inlineStr">
        <is>
          <t>Commercial Printing</t>
        </is>
      </c>
      <c r="C37" s="7" t="n">
        <v>20</v>
      </c>
      <c r="D37" s="7" t="n">
        <v>202010</v>
      </c>
      <c r="E37" s="7" t="n">
        <v>2020</v>
      </c>
      <c r="F37" s="9" t="n">
        <v>22260000</v>
      </c>
      <c r="G37" s="8" t="n"/>
      <c r="H37" s="16">
        <f>IFERROR(SUMPRODUCT(($C$3:$C$165=C37)*ISNUMBER($G$3:$G$165)*ISNUMBER($F$3:$F$165)*IF(ISNUMBER($F$3:$F$165),$F$3:$F$165,0)*IF(ISNUMBER($G$3:$G$165),$G$3:$G$165,0))/SUMPRODUCT(($C$3:$C$165=C37)*ISNUMBER($G$3:$G$165)*ISNUMBER($F$3:$F$165)*IF(ISNUMBER($F$3:$F$165),$F$3:$F$165,0)),"")</f>
        <v/>
      </c>
      <c r="I37" s="16">
        <f>IFERROR(SUMPRODUCT(($C$3:$C$165=C37)*ISNUMBER($G$3:$G$165)*IF(ISNUMBER($G$3:$G$165),$G$3:$G$165,0))/SUMPRODUCT(($C$3:$C$165=C37)*ISNUMBER($G$3:$G$165)),"")</f>
        <v/>
      </c>
      <c r="J37" s="16">
        <f>IF(OR(G37="",H37=""),"",G37/H37)</f>
        <v/>
      </c>
      <c r="K37" s="16">
        <f>IF(OR(G37="",I37=""),"",G37/I37)</f>
        <v/>
      </c>
      <c r="L37" s="14">
        <f>INDEX('4_UK_Beta_Input'!$D$5:$D$15,MATCH($C37,'4_UK_Beta_Input'!$A$5:$A$15,0))</f>
        <v/>
      </c>
      <c r="M37" s="14">
        <f>INDEX('4_UK_Beta_Input'!$D$20:$D$44,MATCH($E37,'4_UK_Beta_Input'!$A$20:$A$44,0))</f>
        <v/>
      </c>
      <c r="N37" s="14">
        <f>INDEX('4_UK_Beta_Input'!$D$49:$D$122,MATCH($D37,'4_UK_Beta_Input'!$A$49:$A$122,0))</f>
        <v/>
      </c>
      <c r="O37" s="14">
        <f>INDEX('4_UK_Beta_Input'!$D$127:$D$289,MATCH($A37,'4_UK_Beta_Input'!$A$127:$A$289,0))</f>
        <v/>
      </c>
      <c r="P37" s="16">
        <f>(M37/L37)*(N37/M37)*(O37/N37)</f>
        <v/>
      </c>
      <c r="Q37" s="17">
        <f>IF(J37="",INDEX('3_UK_L1_Input'!$D$4:$D$14,MATCH($C37,'3_UK_L1_Input'!$A$4:$A$14,0))*P37,INDEX('3_UK_L1_Input'!$D$4:$D$14,MATCH($C37,'3_UK_L1_Input'!$A$4:$A$14,0))*J37)</f>
        <v/>
      </c>
      <c r="R37" s="17">
        <f>IF(K37="",INDEX('3_UK_L1_Input'!$D$4:$D$14,MATCH($C37,'3_UK_L1_Input'!$A$4:$A$14,0))*P37,INDEX('3_UK_L1_Input'!$D$4:$D$14,MATCH($C37,'3_UK_L1_Input'!$A$4:$A$14,0))*K37)</f>
        <v/>
      </c>
      <c r="S37" s="19">
        <f>IF(G37="","BETA CASCADE FALLBACK (dummy — replace with real beta)","REAL (Bloomberg UK)")</f>
        <v/>
      </c>
      <c r="T37" s="17">
        <f>INDEX('3_UK_L1_Input'!$C$4:$C$14,MATCH($C37,'3_UK_L1_Input'!$A$4:$A$14,0))</f>
        <v/>
      </c>
      <c r="U37" s="17">
        <f>INDEX('3_UK_L1_Input'!$C$4:$C$14,MATCH($C37,'3_UK_L1_Input'!$A$4:$A$14,0))*P37</f>
        <v/>
      </c>
      <c r="V37" s="15">
        <f>INDEX('5_UK_DefaultRisk_Input'!$D$5:$D$15,MATCH($C37,'5_UK_DefaultRisk_Input'!$A$5:$A$15,0))</f>
        <v/>
      </c>
      <c r="W37" s="15">
        <f>INDEX('5_UK_DefaultRisk_Input'!$D$20:$D$44,MATCH($E37,'5_UK_DefaultRisk_Input'!$A$20:$A$44,0))</f>
        <v/>
      </c>
      <c r="X37" s="15">
        <f>INDEX('5_UK_DefaultRisk_Input'!$D$49:$D$122,MATCH($D37,'5_UK_DefaultRisk_Input'!$A$49:$A$122,0))</f>
        <v/>
      </c>
      <c r="Y37" s="15">
        <f>INDEX('5_UK_DefaultRisk_Input'!$D$127:$D$289,MATCH($A37,'5_UK_DefaultRisk_Input'!$A$127:$A$289,0))</f>
        <v/>
      </c>
      <c r="Z37" s="16">
        <f>(W37/V37)*(X37/W37)*(Y37/X37)</f>
        <v/>
      </c>
      <c r="AA37" s="17">
        <f>INDEX('3_UK_L1_Input'!$D$4:$D$14,MATCH($C37,'3_UK_L1_Input'!$A$4:$A$14,0))*Z37</f>
        <v/>
      </c>
    </row>
    <row r="38">
      <c r="A38" s="7" t="n">
        <v>20201050</v>
      </c>
      <c r="B38" s="7" t="inlineStr">
        <is>
          <t>Environmental &amp; Facilities Services</t>
        </is>
      </c>
      <c r="C38" s="7" t="n">
        <v>20</v>
      </c>
      <c r="D38" s="7" t="n">
        <v>202010</v>
      </c>
      <c r="E38" s="7" t="n">
        <v>2020</v>
      </c>
      <c r="F38" s="9" t="n">
        <v>2970000000</v>
      </c>
      <c r="G38" s="10" t="n">
        <v>8.34</v>
      </c>
      <c r="H38" s="16">
        <f>IFERROR(SUMPRODUCT(($C$3:$C$165=C38)*ISNUMBER($G$3:$G$165)*ISNUMBER($F$3:$F$165)*IF(ISNUMBER($F$3:$F$165),$F$3:$F$165,0)*IF(ISNUMBER($G$3:$G$165),$G$3:$G$165,0))/SUMPRODUCT(($C$3:$C$165=C38)*ISNUMBER($G$3:$G$165)*ISNUMBER($F$3:$F$165)*IF(ISNUMBER($F$3:$F$165),$F$3:$F$165,0)),"")</f>
        <v/>
      </c>
      <c r="I38" s="16">
        <f>IFERROR(SUMPRODUCT(($C$3:$C$165=C38)*ISNUMBER($G$3:$G$165)*IF(ISNUMBER($G$3:$G$165),$G$3:$G$165,0))/SUMPRODUCT(($C$3:$C$165=C38)*ISNUMBER($G$3:$G$165)),"")</f>
        <v/>
      </c>
      <c r="J38" s="16">
        <f>IF(OR(G38="",H38=""),"",G38/H38)</f>
        <v/>
      </c>
      <c r="K38" s="16">
        <f>IF(OR(G38="",I38=""),"",G38/I38)</f>
        <v/>
      </c>
      <c r="L38" s="14">
        <f>INDEX('4_UK_Beta_Input'!$D$5:$D$15,MATCH($C38,'4_UK_Beta_Input'!$A$5:$A$15,0))</f>
        <v/>
      </c>
      <c r="M38" s="14">
        <f>INDEX('4_UK_Beta_Input'!$D$20:$D$44,MATCH($E38,'4_UK_Beta_Input'!$A$20:$A$44,0))</f>
        <v/>
      </c>
      <c r="N38" s="14">
        <f>INDEX('4_UK_Beta_Input'!$D$49:$D$122,MATCH($D38,'4_UK_Beta_Input'!$A$49:$A$122,0))</f>
        <v/>
      </c>
      <c r="O38" s="14">
        <f>INDEX('4_UK_Beta_Input'!$D$127:$D$289,MATCH($A38,'4_UK_Beta_Input'!$A$127:$A$289,0))</f>
        <v/>
      </c>
      <c r="P38" s="16">
        <f>(M38/L38)*(N38/M38)*(O38/N38)</f>
        <v/>
      </c>
      <c r="Q38" s="17">
        <f>IF(J38="",INDEX('3_UK_L1_Input'!$D$4:$D$14,MATCH($C38,'3_UK_L1_Input'!$A$4:$A$14,0))*P38,INDEX('3_UK_L1_Input'!$D$4:$D$14,MATCH($C38,'3_UK_L1_Input'!$A$4:$A$14,0))*J38)</f>
        <v/>
      </c>
      <c r="R38" s="17">
        <f>IF(K38="",INDEX('3_UK_L1_Input'!$D$4:$D$14,MATCH($C38,'3_UK_L1_Input'!$A$4:$A$14,0))*P38,INDEX('3_UK_L1_Input'!$D$4:$D$14,MATCH($C38,'3_UK_L1_Input'!$A$4:$A$14,0))*K38)</f>
        <v/>
      </c>
      <c r="S38" s="18">
        <f>IF(G38="","BETA CASCADE FALLBACK (dummy — replace with real beta)","REAL (Bloomberg UK)")</f>
        <v/>
      </c>
      <c r="T38" s="17">
        <f>INDEX('3_UK_L1_Input'!$C$4:$C$14,MATCH($C38,'3_UK_L1_Input'!$A$4:$A$14,0))</f>
        <v/>
      </c>
      <c r="U38" s="17">
        <f>INDEX('3_UK_L1_Input'!$C$4:$C$14,MATCH($C38,'3_UK_L1_Input'!$A$4:$A$14,0))*P38</f>
        <v/>
      </c>
      <c r="V38" s="15">
        <f>INDEX('5_UK_DefaultRisk_Input'!$D$5:$D$15,MATCH($C38,'5_UK_DefaultRisk_Input'!$A$5:$A$15,0))</f>
        <v/>
      </c>
      <c r="W38" s="15">
        <f>INDEX('5_UK_DefaultRisk_Input'!$D$20:$D$44,MATCH($E38,'5_UK_DefaultRisk_Input'!$A$20:$A$44,0))</f>
        <v/>
      </c>
      <c r="X38" s="15">
        <f>INDEX('5_UK_DefaultRisk_Input'!$D$49:$D$122,MATCH($D38,'5_UK_DefaultRisk_Input'!$A$49:$A$122,0))</f>
        <v/>
      </c>
      <c r="Y38" s="15">
        <f>INDEX('5_UK_DefaultRisk_Input'!$D$127:$D$289,MATCH($A38,'5_UK_DefaultRisk_Input'!$A$127:$A$289,0))</f>
        <v/>
      </c>
      <c r="Z38" s="16">
        <f>(W38/V38)*(X38/W38)*(Y38/X38)</f>
        <v/>
      </c>
      <c r="AA38" s="17">
        <f>INDEX('3_UK_L1_Input'!$D$4:$D$14,MATCH($C38,'3_UK_L1_Input'!$A$4:$A$14,0))*Z38</f>
        <v/>
      </c>
    </row>
    <row r="39">
      <c r="A39" s="7" t="n">
        <v>20201060</v>
      </c>
      <c r="B39" s="7" t="inlineStr">
        <is>
          <t>Office Services &amp; Supplies</t>
        </is>
      </c>
      <c r="C39" s="7" t="n">
        <v>20</v>
      </c>
      <c r="D39" s="7" t="n">
        <v>202010</v>
      </c>
      <c r="E39" s="7" t="n">
        <v>2020</v>
      </c>
      <c r="F39" s="8" t="n"/>
      <c r="G39" s="8" t="n"/>
      <c r="H39" s="16">
        <f>IFERROR(SUMPRODUCT(($C$3:$C$165=C39)*ISNUMBER($G$3:$G$165)*ISNUMBER($F$3:$F$165)*IF(ISNUMBER($F$3:$F$165),$F$3:$F$165,0)*IF(ISNUMBER($G$3:$G$165),$G$3:$G$165,0))/SUMPRODUCT(($C$3:$C$165=C39)*ISNUMBER($G$3:$G$165)*ISNUMBER($F$3:$F$165)*IF(ISNUMBER($F$3:$F$165),$F$3:$F$165,0)),"")</f>
        <v/>
      </c>
      <c r="I39" s="16">
        <f>IFERROR(SUMPRODUCT(($C$3:$C$165=C39)*ISNUMBER($G$3:$G$165)*IF(ISNUMBER($G$3:$G$165),$G$3:$G$165,0))/SUMPRODUCT(($C$3:$C$165=C39)*ISNUMBER($G$3:$G$165)),"")</f>
        <v/>
      </c>
      <c r="J39" s="16">
        <f>IF(OR(G39="",H39=""),"",G39/H39)</f>
        <v/>
      </c>
      <c r="K39" s="16">
        <f>IF(OR(G39="",I39=""),"",G39/I39)</f>
        <v/>
      </c>
      <c r="L39" s="14">
        <f>INDEX('4_UK_Beta_Input'!$D$5:$D$15,MATCH($C39,'4_UK_Beta_Input'!$A$5:$A$15,0))</f>
        <v/>
      </c>
      <c r="M39" s="14">
        <f>INDEX('4_UK_Beta_Input'!$D$20:$D$44,MATCH($E39,'4_UK_Beta_Input'!$A$20:$A$44,0))</f>
        <v/>
      </c>
      <c r="N39" s="14">
        <f>INDEX('4_UK_Beta_Input'!$D$49:$D$122,MATCH($D39,'4_UK_Beta_Input'!$A$49:$A$122,0))</f>
        <v/>
      </c>
      <c r="O39" s="14">
        <f>INDEX('4_UK_Beta_Input'!$D$127:$D$289,MATCH($A39,'4_UK_Beta_Input'!$A$127:$A$289,0))</f>
        <v/>
      </c>
      <c r="P39" s="16">
        <f>(M39/L39)*(N39/M39)*(O39/N39)</f>
        <v/>
      </c>
      <c r="Q39" s="17">
        <f>IF(J39="",INDEX('3_UK_L1_Input'!$D$4:$D$14,MATCH($C39,'3_UK_L1_Input'!$A$4:$A$14,0))*P39,INDEX('3_UK_L1_Input'!$D$4:$D$14,MATCH($C39,'3_UK_L1_Input'!$A$4:$A$14,0))*J39)</f>
        <v/>
      </c>
      <c r="R39" s="17">
        <f>IF(K39="",INDEX('3_UK_L1_Input'!$D$4:$D$14,MATCH($C39,'3_UK_L1_Input'!$A$4:$A$14,0))*P39,INDEX('3_UK_L1_Input'!$D$4:$D$14,MATCH($C39,'3_UK_L1_Input'!$A$4:$A$14,0))*K39)</f>
        <v/>
      </c>
      <c r="S39" s="19">
        <f>IF(G39="","BETA CASCADE FALLBACK (dummy — replace with real beta)","REAL (Bloomberg UK)")</f>
        <v/>
      </c>
      <c r="T39" s="17">
        <f>INDEX('3_UK_L1_Input'!$C$4:$C$14,MATCH($C39,'3_UK_L1_Input'!$A$4:$A$14,0))</f>
        <v/>
      </c>
      <c r="U39" s="17">
        <f>INDEX('3_UK_L1_Input'!$C$4:$C$14,MATCH($C39,'3_UK_L1_Input'!$A$4:$A$14,0))*P39</f>
        <v/>
      </c>
      <c r="V39" s="15">
        <f>INDEX('5_UK_DefaultRisk_Input'!$D$5:$D$15,MATCH($C39,'5_UK_DefaultRisk_Input'!$A$5:$A$15,0))</f>
        <v/>
      </c>
      <c r="W39" s="15">
        <f>INDEX('5_UK_DefaultRisk_Input'!$D$20:$D$44,MATCH($E39,'5_UK_DefaultRisk_Input'!$A$20:$A$44,0))</f>
        <v/>
      </c>
      <c r="X39" s="15">
        <f>INDEX('5_UK_DefaultRisk_Input'!$D$49:$D$122,MATCH($D39,'5_UK_DefaultRisk_Input'!$A$49:$A$122,0))</f>
        <v/>
      </c>
      <c r="Y39" s="15">
        <f>INDEX('5_UK_DefaultRisk_Input'!$D$127:$D$289,MATCH($A39,'5_UK_DefaultRisk_Input'!$A$127:$A$289,0))</f>
        <v/>
      </c>
      <c r="Z39" s="16">
        <f>(W39/V39)*(X39/W39)*(Y39/X39)</f>
        <v/>
      </c>
      <c r="AA39" s="17">
        <f>INDEX('3_UK_L1_Input'!$D$4:$D$14,MATCH($C39,'3_UK_L1_Input'!$A$4:$A$14,0))*Z39</f>
        <v/>
      </c>
    </row>
    <row r="40">
      <c r="A40" s="7" t="n">
        <v>20201070</v>
      </c>
      <c r="B40" s="7" t="inlineStr">
        <is>
          <t>Diversified Support Services</t>
        </is>
      </c>
      <c r="C40" s="7" t="n">
        <v>20</v>
      </c>
      <c r="D40" s="7" t="n">
        <v>202010</v>
      </c>
      <c r="E40" s="7" t="n">
        <v>2020</v>
      </c>
      <c r="F40" s="9" t="n">
        <v>272250000</v>
      </c>
      <c r="G40" s="10" t="n">
        <v>5.61</v>
      </c>
      <c r="H40" s="16">
        <f>IFERROR(SUMPRODUCT(($C$3:$C$165=C40)*ISNUMBER($G$3:$G$165)*ISNUMBER($F$3:$F$165)*IF(ISNUMBER($F$3:$F$165),$F$3:$F$165,0)*IF(ISNUMBER($G$3:$G$165),$G$3:$G$165,0))/SUMPRODUCT(($C$3:$C$165=C40)*ISNUMBER($G$3:$G$165)*ISNUMBER($F$3:$F$165)*IF(ISNUMBER($F$3:$F$165),$F$3:$F$165,0)),"")</f>
        <v/>
      </c>
      <c r="I40" s="16">
        <f>IFERROR(SUMPRODUCT(($C$3:$C$165=C40)*ISNUMBER($G$3:$G$165)*IF(ISNUMBER($G$3:$G$165),$G$3:$G$165,0))/SUMPRODUCT(($C$3:$C$165=C40)*ISNUMBER($G$3:$G$165)),"")</f>
        <v/>
      </c>
      <c r="J40" s="16">
        <f>IF(OR(G40="",H40=""),"",G40/H40)</f>
        <v/>
      </c>
      <c r="K40" s="16">
        <f>IF(OR(G40="",I40=""),"",G40/I40)</f>
        <v/>
      </c>
      <c r="L40" s="14">
        <f>INDEX('4_UK_Beta_Input'!$D$5:$D$15,MATCH($C40,'4_UK_Beta_Input'!$A$5:$A$15,0))</f>
        <v/>
      </c>
      <c r="M40" s="14">
        <f>INDEX('4_UK_Beta_Input'!$D$20:$D$44,MATCH($E40,'4_UK_Beta_Input'!$A$20:$A$44,0))</f>
        <v/>
      </c>
      <c r="N40" s="14">
        <f>INDEX('4_UK_Beta_Input'!$D$49:$D$122,MATCH($D40,'4_UK_Beta_Input'!$A$49:$A$122,0))</f>
        <v/>
      </c>
      <c r="O40" s="14">
        <f>INDEX('4_UK_Beta_Input'!$D$127:$D$289,MATCH($A40,'4_UK_Beta_Input'!$A$127:$A$289,0))</f>
        <v/>
      </c>
      <c r="P40" s="16">
        <f>(M40/L40)*(N40/M40)*(O40/N40)</f>
        <v/>
      </c>
      <c r="Q40" s="17">
        <f>IF(J40="",INDEX('3_UK_L1_Input'!$D$4:$D$14,MATCH($C40,'3_UK_L1_Input'!$A$4:$A$14,0))*P40,INDEX('3_UK_L1_Input'!$D$4:$D$14,MATCH($C40,'3_UK_L1_Input'!$A$4:$A$14,0))*J40)</f>
        <v/>
      </c>
      <c r="R40" s="17">
        <f>IF(K40="",INDEX('3_UK_L1_Input'!$D$4:$D$14,MATCH($C40,'3_UK_L1_Input'!$A$4:$A$14,0))*P40,INDEX('3_UK_L1_Input'!$D$4:$D$14,MATCH($C40,'3_UK_L1_Input'!$A$4:$A$14,0))*K40)</f>
        <v/>
      </c>
      <c r="S40" s="18">
        <f>IF(G40="","BETA CASCADE FALLBACK (dummy — replace with real beta)","REAL (Bloomberg UK)")</f>
        <v/>
      </c>
      <c r="T40" s="17">
        <f>INDEX('3_UK_L1_Input'!$C$4:$C$14,MATCH($C40,'3_UK_L1_Input'!$A$4:$A$14,0))</f>
        <v/>
      </c>
      <c r="U40" s="17">
        <f>INDEX('3_UK_L1_Input'!$C$4:$C$14,MATCH($C40,'3_UK_L1_Input'!$A$4:$A$14,0))*P40</f>
        <v/>
      </c>
      <c r="V40" s="15">
        <f>INDEX('5_UK_DefaultRisk_Input'!$D$5:$D$15,MATCH($C40,'5_UK_DefaultRisk_Input'!$A$5:$A$15,0))</f>
        <v/>
      </c>
      <c r="W40" s="15">
        <f>INDEX('5_UK_DefaultRisk_Input'!$D$20:$D$44,MATCH($E40,'5_UK_DefaultRisk_Input'!$A$20:$A$44,0))</f>
        <v/>
      </c>
      <c r="X40" s="15">
        <f>INDEX('5_UK_DefaultRisk_Input'!$D$49:$D$122,MATCH($D40,'5_UK_DefaultRisk_Input'!$A$49:$A$122,0))</f>
        <v/>
      </c>
      <c r="Y40" s="15">
        <f>INDEX('5_UK_DefaultRisk_Input'!$D$127:$D$289,MATCH($A40,'5_UK_DefaultRisk_Input'!$A$127:$A$289,0))</f>
        <v/>
      </c>
      <c r="Z40" s="16">
        <f>(W40/V40)*(X40/W40)*(Y40/X40)</f>
        <v/>
      </c>
      <c r="AA40" s="17">
        <f>INDEX('3_UK_L1_Input'!$D$4:$D$14,MATCH($C40,'3_UK_L1_Input'!$A$4:$A$14,0))*Z40</f>
        <v/>
      </c>
    </row>
    <row r="41">
      <c r="A41" s="7" t="n">
        <v>20201080</v>
      </c>
      <c r="B41" s="7" t="inlineStr">
        <is>
          <t>Security &amp; Alarm Services</t>
        </is>
      </c>
      <c r="C41" s="7" t="n">
        <v>20</v>
      </c>
      <c r="D41" s="7" t="n">
        <v>202010</v>
      </c>
      <c r="E41" s="7" t="n">
        <v>2020</v>
      </c>
      <c r="F41" s="9" t="n">
        <v>13500000000</v>
      </c>
      <c r="G41" s="10" t="n">
        <v>8.49</v>
      </c>
      <c r="H41" s="16">
        <f>IFERROR(SUMPRODUCT(($C$3:$C$165=C41)*ISNUMBER($G$3:$G$165)*ISNUMBER($F$3:$F$165)*IF(ISNUMBER($F$3:$F$165),$F$3:$F$165,0)*IF(ISNUMBER($G$3:$G$165),$G$3:$G$165,0))/SUMPRODUCT(($C$3:$C$165=C41)*ISNUMBER($G$3:$G$165)*ISNUMBER($F$3:$F$165)*IF(ISNUMBER($F$3:$F$165),$F$3:$F$165,0)),"")</f>
        <v/>
      </c>
      <c r="I41" s="16">
        <f>IFERROR(SUMPRODUCT(($C$3:$C$165=C41)*ISNUMBER($G$3:$G$165)*IF(ISNUMBER($G$3:$G$165),$G$3:$G$165,0))/SUMPRODUCT(($C$3:$C$165=C41)*ISNUMBER($G$3:$G$165)),"")</f>
        <v/>
      </c>
      <c r="J41" s="16">
        <f>IF(OR(G41="",H41=""),"",G41/H41)</f>
        <v/>
      </c>
      <c r="K41" s="16">
        <f>IF(OR(G41="",I41=""),"",G41/I41)</f>
        <v/>
      </c>
      <c r="L41" s="14">
        <f>INDEX('4_UK_Beta_Input'!$D$5:$D$15,MATCH($C41,'4_UK_Beta_Input'!$A$5:$A$15,0))</f>
        <v/>
      </c>
      <c r="M41" s="14">
        <f>INDEX('4_UK_Beta_Input'!$D$20:$D$44,MATCH($E41,'4_UK_Beta_Input'!$A$20:$A$44,0))</f>
        <v/>
      </c>
      <c r="N41" s="14">
        <f>INDEX('4_UK_Beta_Input'!$D$49:$D$122,MATCH($D41,'4_UK_Beta_Input'!$A$49:$A$122,0))</f>
        <v/>
      </c>
      <c r="O41" s="14">
        <f>INDEX('4_UK_Beta_Input'!$D$127:$D$289,MATCH($A41,'4_UK_Beta_Input'!$A$127:$A$289,0))</f>
        <v/>
      </c>
      <c r="P41" s="16">
        <f>(M41/L41)*(N41/M41)*(O41/N41)</f>
        <v/>
      </c>
      <c r="Q41" s="17">
        <f>IF(J41="",INDEX('3_UK_L1_Input'!$D$4:$D$14,MATCH($C41,'3_UK_L1_Input'!$A$4:$A$14,0))*P41,INDEX('3_UK_L1_Input'!$D$4:$D$14,MATCH($C41,'3_UK_L1_Input'!$A$4:$A$14,0))*J41)</f>
        <v/>
      </c>
      <c r="R41" s="17">
        <f>IF(K41="",INDEX('3_UK_L1_Input'!$D$4:$D$14,MATCH($C41,'3_UK_L1_Input'!$A$4:$A$14,0))*P41,INDEX('3_UK_L1_Input'!$D$4:$D$14,MATCH($C41,'3_UK_L1_Input'!$A$4:$A$14,0))*K41)</f>
        <v/>
      </c>
      <c r="S41" s="18">
        <f>IF(G41="","BETA CASCADE FALLBACK (dummy — replace with real beta)","REAL (Bloomberg UK)")</f>
        <v/>
      </c>
      <c r="T41" s="17">
        <f>INDEX('3_UK_L1_Input'!$C$4:$C$14,MATCH($C41,'3_UK_L1_Input'!$A$4:$A$14,0))</f>
        <v/>
      </c>
      <c r="U41" s="17">
        <f>INDEX('3_UK_L1_Input'!$C$4:$C$14,MATCH($C41,'3_UK_L1_Input'!$A$4:$A$14,0))*P41</f>
        <v/>
      </c>
      <c r="V41" s="15">
        <f>INDEX('5_UK_DefaultRisk_Input'!$D$5:$D$15,MATCH($C41,'5_UK_DefaultRisk_Input'!$A$5:$A$15,0))</f>
        <v/>
      </c>
      <c r="W41" s="15">
        <f>INDEX('5_UK_DefaultRisk_Input'!$D$20:$D$44,MATCH($E41,'5_UK_DefaultRisk_Input'!$A$20:$A$44,0))</f>
        <v/>
      </c>
      <c r="X41" s="15">
        <f>INDEX('5_UK_DefaultRisk_Input'!$D$49:$D$122,MATCH($D41,'5_UK_DefaultRisk_Input'!$A$49:$A$122,0))</f>
        <v/>
      </c>
      <c r="Y41" s="15">
        <f>INDEX('5_UK_DefaultRisk_Input'!$D$127:$D$289,MATCH($A41,'5_UK_DefaultRisk_Input'!$A$127:$A$289,0))</f>
        <v/>
      </c>
      <c r="Z41" s="16">
        <f>(W41/V41)*(X41/W41)*(Y41/X41)</f>
        <v/>
      </c>
      <c r="AA41" s="17">
        <f>INDEX('3_UK_L1_Input'!$D$4:$D$14,MATCH($C41,'3_UK_L1_Input'!$A$4:$A$14,0))*Z41</f>
        <v/>
      </c>
    </row>
    <row r="42">
      <c r="A42" s="7" t="n">
        <v>20202010</v>
      </c>
      <c r="B42" s="7" t="inlineStr">
        <is>
          <t>Human Resource &amp; Employment Services</t>
        </is>
      </c>
      <c r="C42" s="7" t="n">
        <v>20</v>
      </c>
      <c r="D42" s="7" t="n">
        <v>202020</v>
      </c>
      <c r="E42" s="7" t="n">
        <v>2020</v>
      </c>
      <c r="F42" s="9" t="n">
        <v>1210000000</v>
      </c>
      <c r="G42" s="10" t="n">
        <v>9.43</v>
      </c>
      <c r="H42" s="16">
        <f>IFERROR(SUMPRODUCT(($C$3:$C$165=C42)*ISNUMBER($G$3:$G$165)*ISNUMBER($F$3:$F$165)*IF(ISNUMBER($F$3:$F$165),$F$3:$F$165,0)*IF(ISNUMBER($G$3:$G$165),$G$3:$G$165,0))/SUMPRODUCT(($C$3:$C$165=C42)*ISNUMBER($G$3:$G$165)*ISNUMBER($F$3:$F$165)*IF(ISNUMBER($F$3:$F$165),$F$3:$F$165,0)),"")</f>
        <v/>
      </c>
      <c r="I42" s="16">
        <f>IFERROR(SUMPRODUCT(($C$3:$C$165=C42)*ISNUMBER($G$3:$G$165)*IF(ISNUMBER($G$3:$G$165),$G$3:$G$165,0))/SUMPRODUCT(($C$3:$C$165=C42)*ISNUMBER($G$3:$G$165)),"")</f>
        <v/>
      </c>
      <c r="J42" s="16">
        <f>IF(OR(G42="",H42=""),"",G42/H42)</f>
        <v/>
      </c>
      <c r="K42" s="16">
        <f>IF(OR(G42="",I42=""),"",G42/I42)</f>
        <v/>
      </c>
      <c r="L42" s="14">
        <f>INDEX('4_UK_Beta_Input'!$D$5:$D$15,MATCH($C42,'4_UK_Beta_Input'!$A$5:$A$15,0))</f>
        <v/>
      </c>
      <c r="M42" s="14">
        <f>INDEX('4_UK_Beta_Input'!$D$20:$D$44,MATCH($E42,'4_UK_Beta_Input'!$A$20:$A$44,0))</f>
        <v/>
      </c>
      <c r="N42" s="14">
        <f>INDEX('4_UK_Beta_Input'!$D$49:$D$122,MATCH($D42,'4_UK_Beta_Input'!$A$49:$A$122,0))</f>
        <v/>
      </c>
      <c r="O42" s="14">
        <f>INDEX('4_UK_Beta_Input'!$D$127:$D$289,MATCH($A42,'4_UK_Beta_Input'!$A$127:$A$289,0))</f>
        <v/>
      </c>
      <c r="P42" s="16">
        <f>(M42/L42)*(N42/M42)*(O42/N42)</f>
        <v/>
      </c>
      <c r="Q42" s="17">
        <f>IF(J42="",INDEX('3_UK_L1_Input'!$D$4:$D$14,MATCH($C42,'3_UK_L1_Input'!$A$4:$A$14,0))*P42,INDEX('3_UK_L1_Input'!$D$4:$D$14,MATCH($C42,'3_UK_L1_Input'!$A$4:$A$14,0))*J42)</f>
        <v/>
      </c>
      <c r="R42" s="17">
        <f>IF(K42="",INDEX('3_UK_L1_Input'!$D$4:$D$14,MATCH($C42,'3_UK_L1_Input'!$A$4:$A$14,0))*P42,INDEX('3_UK_L1_Input'!$D$4:$D$14,MATCH($C42,'3_UK_L1_Input'!$A$4:$A$14,0))*K42)</f>
        <v/>
      </c>
      <c r="S42" s="18">
        <f>IF(G42="","BETA CASCADE FALLBACK (dummy — replace with real beta)","REAL (Bloomberg UK)")</f>
        <v/>
      </c>
      <c r="T42" s="17">
        <f>INDEX('3_UK_L1_Input'!$C$4:$C$14,MATCH($C42,'3_UK_L1_Input'!$A$4:$A$14,0))</f>
        <v/>
      </c>
      <c r="U42" s="17">
        <f>INDEX('3_UK_L1_Input'!$C$4:$C$14,MATCH($C42,'3_UK_L1_Input'!$A$4:$A$14,0))*P42</f>
        <v/>
      </c>
      <c r="V42" s="15">
        <f>INDEX('5_UK_DefaultRisk_Input'!$D$5:$D$15,MATCH($C42,'5_UK_DefaultRisk_Input'!$A$5:$A$15,0))</f>
        <v/>
      </c>
      <c r="W42" s="15">
        <f>INDEX('5_UK_DefaultRisk_Input'!$D$20:$D$44,MATCH($E42,'5_UK_DefaultRisk_Input'!$A$20:$A$44,0))</f>
        <v/>
      </c>
      <c r="X42" s="15">
        <f>INDEX('5_UK_DefaultRisk_Input'!$D$49:$D$122,MATCH($D42,'5_UK_DefaultRisk_Input'!$A$49:$A$122,0))</f>
        <v/>
      </c>
      <c r="Y42" s="15">
        <f>INDEX('5_UK_DefaultRisk_Input'!$D$127:$D$289,MATCH($A42,'5_UK_DefaultRisk_Input'!$A$127:$A$289,0))</f>
        <v/>
      </c>
      <c r="Z42" s="16">
        <f>(W42/V42)*(X42/W42)*(Y42/X42)</f>
        <v/>
      </c>
      <c r="AA42" s="17">
        <f>INDEX('3_UK_L1_Input'!$D$4:$D$14,MATCH($C42,'3_UK_L1_Input'!$A$4:$A$14,0))*Z42</f>
        <v/>
      </c>
    </row>
    <row r="43">
      <c r="A43" s="7" t="n">
        <v>20202020</v>
      </c>
      <c r="B43" s="7" t="inlineStr">
        <is>
          <t>Research &amp; Consulting Services</t>
        </is>
      </c>
      <c r="C43" s="7" t="n">
        <v>20</v>
      </c>
      <c r="D43" s="7" t="n">
        <v>202020</v>
      </c>
      <c r="E43" s="7" t="n">
        <v>2020</v>
      </c>
      <c r="F43" s="9" t="n">
        <v>760740000</v>
      </c>
      <c r="G43" s="10" t="n">
        <v>7.31</v>
      </c>
      <c r="H43" s="16">
        <f>IFERROR(SUMPRODUCT(($C$3:$C$165=C43)*ISNUMBER($G$3:$G$165)*ISNUMBER($F$3:$F$165)*IF(ISNUMBER($F$3:$F$165),$F$3:$F$165,0)*IF(ISNUMBER($G$3:$G$165),$G$3:$G$165,0))/SUMPRODUCT(($C$3:$C$165=C43)*ISNUMBER($G$3:$G$165)*ISNUMBER($F$3:$F$165)*IF(ISNUMBER($F$3:$F$165),$F$3:$F$165,0)),"")</f>
        <v/>
      </c>
      <c r="I43" s="16">
        <f>IFERROR(SUMPRODUCT(($C$3:$C$165=C43)*ISNUMBER($G$3:$G$165)*IF(ISNUMBER($G$3:$G$165),$G$3:$G$165,0))/SUMPRODUCT(($C$3:$C$165=C43)*ISNUMBER($G$3:$G$165)),"")</f>
        <v/>
      </c>
      <c r="J43" s="16">
        <f>IF(OR(G43="",H43=""),"",G43/H43)</f>
        <v/>
      </c>
      <c r="K43" s="16">
        <f>IF(OR(G43="",I43=""),"",G43/I43)</f>
        <v/>
      </c>
      <c r="L43" s="14">
        <f>INDEX('4_UK_Beta_Input'!$D$5:$D$15,MATCH($C43,'4_UK_Beta_Input'!$A$5:$A$15,0))</f>
        <v/>
      </c>
      <c r="M43" s="14">
        <f>INDEX('4_UK_Beta_Input'!$D$20:$D$44,MATCH($E43,'4_UK_Beta_Input'!$A$20:$A$44,0))</f>
        <v/>
      </c>
      <c r="N43" s="14">
        <f>INDEX('4_UK_Beta_Input'!$D$49:$D$122,MATCH($D43,'4_UK_Beta_Input'!$A$49:$A$122,0))</f>
        <v/>
      </c>
      <c r="O43" s="14">
        <f>INDEX('4_UK_Beta_Input'!$D$127:$D$289,MATCH($A43,'4_UK_Beta_Input'!$A$127:$A$289,0))</f>
        <v/>
      </c>
      <c r="P43" s="16">
        <f>(M43/L43)*(N43/M43)*(O43/N43)</f>
        <v/>
      </c>
      <c r="Q43" s="17">
        <f>IF(J43="",INDEX('3_UK_L1_Input'!$D$4:$D$14,MATCH($C43,'3_UK_L1_Input'!$A$4:$A$14,0))*P43,INDEX('3_UK_L1_Input'!$D$4:$D$14,MATCH($C43,'3_UK_L1_Input'!$A$4:$A$14,0))*J43)</f>
        <v/>
      </c>
      <c r="R43" s="17">
        <f>IF(K43="",INDEX('3_UK_L1_Input'!$D$4:$D$14,MATCH($C43,'3_UK_L1_Input'!$A$4:$A$14,0))*P43,INDEX('3_UK_L1_Input'!$D$4:$D$14,MATCH($C43,'3_UK_L1_Input'!$A$4:$A$14,0))*K43)</f>
        <v/>
      </c>
      <c r="S43" s="18">
        <f>IF(G43="","BETA CASCADE FALLBACK (dummy — replace with real beta)","REAL (Bloomberg UK)")</f>
        <v/>
      </c>
      <c r="T43" s="17">
        <f>INDEX('3_UK_L1_Input'!$C$4:$C$14,MATCH($C43,'3_UK_L1_Input'!$A$4:$A$14,0))</f>
        <v/>
      </c>
      <c r="U43" s="17">
        <f>INDEX('3_UK_L1_Input'!$C$4:$C$14,MATCH($C43,'3_UK_L1_Input'!$A$4:$A$14,0))*P43</f>
        <v/>
      </c>
      <c r="V43" s="15">
        <f>INDEX('5_UK_DefaultRisk_Input'!$D$5:$D$15,MATCH($C43,'5_UK_DefaultRisk_Input'!$A$5:$A$15,0))</f>
        <v/>
      </c>
      <c r="W43" s="15">
        <f>INDEX('5_UK_DefaultRisk_Input'!$D$20:$D$44,MATCH($E43,'5_UK_DefaultRisk_Input'!$A$20:$A$44,0))</f>
        <v/>
      </c>
      <c r="X43" s="15">
        <f>INDEX('5_UK_DefaultRisk_Input'!$D$49:$D$122,MATCH($D43,'5_UK_DefaultRisk_Input'!$A$49:$A$122,0))</f>
        <v/>
      </c>
      <c r="Y43" s="15">
        <f>INDEX('5_UK_DefaultRisk_Input'!$D$127:$D$289,MATCH($A43,'5_UK_DefaultRisk_Input'!$A$127:$A$289,0))</f>
        <v/>
      </c>
      <c r="Z43" s="16">
        <f>(W43/V43)*(X43/W43)*(Y43/X43)</f>
        <v/>
      </c>
      <c r="AA43" s="17">
        <f>INDEX('3_UK_L1_Input'!$D$4:$D$14,MATCH($C43,'3_UK_L1_Input'!$A$4:$A$14,0))*Z43</f>
        <v/>
      </c>
    </row>
    <row r="44">
      <c r="A44" s="7" t="n">
        <v>20202030</v>
      </c>
      <c r="B44" s="7" t="inlineStr">
        <is>
          <t>Data Processing &amp; Outsourced Services</t>
        </is>
      </c>
      <c r="C44" s="7" t="n">
        <v>20</v>
      </c>
      <c r="D44" s="7" t="n">
        <v>202020</v>
      </c>
      <c r="E44" s="7" t="n">
        <v>2020</v>
      </c>
      <c r="F44" s="9" t="n">
        <v>279910000</v>
      </c>
      <c r="G44" s="10" t="n">
        <v>6.59</v>
      </c>
      <c r="H44" s="16">
        <f>IFERROR(SUMPRODUCT(($C$3:$C$165=C44)*ISNUMBER($G$3:$G$165)*ISNUMBER($F$3:$F$165)*IF(ISNUMBER($F$3:$F$165),$F$3:$F$165,0)*IF(ISNUMBER($G$3:$G$165),$G$3:$G$165,0))/SUMPRODUCT(($C$3:$C$165=C44)*ISNUMBER($G$3:$G$165)*ISNUMBER($F$3:$F$165)*IF(ISNUMBER($F$3:$F$165),$F$3:$F$165,0)),"")</f>
        <v/>
      </c>
      <c r="I44" s="16">
        <f>IFERROR(SUMPRODUCT(($C$3:$C$165=C44)*ISNUMBER($G$3:$G$165)*IF(ISNUMBER($G$3:$G$165),$G$3:$G$165,0))/SUMPRODUCT(($C$3:$C$165=C44)*ISNUMBER($G$3:$G$165)),"")</f>
        <v/>
      </c>
      <c r="J44" s="16">
        <f>IF(OR(G44="",H44=""),"",G44/H44)</f>
        <v/>
      </c>
      <c r="K44" s="16">
        <f>IF(OR(G44="",I44=""),"",G44/I44)</f>
        <v/>
      </c>
      <c r="L44" s="14">
        <f>INDEX('4_UK_Beta_Input'!$D$5:$D$15,MATCH($C44,'4_UK_Beta_Input'!$A$5:$A$15,0))</f>
        <v/>
      </c>
      <c r="M44" s="14">
        <f>INDEX('4_UK_Beta_Input'!$D$20:$D$44,MATCH($E44,'4_UK_Beta_Input'!$A$20:$A$44,0))</f>
        <v/>
      </c>
      <c r="N44" s="14">
        <f>INDEX('4_UK_Beta_Input'!$D$49:$D$122,MATCH($D44,'4_UK_Beta_Input'!$A$49:$A$122,0))</f>
        <v/>
      </c>
      <c r="O44" s="14">
        <f>INDEX('4_UK_Beta_Input'!$D$127:$D$289,MATCH($A44,'4_UK_Beta_Input'!$A$127:$A$289,0))</f>
        <v/>
      </c>
      <c r="P44" s="16">
        <f>(M44/L44)*(N44/M44)*(O44/N44)</f>
        <v/>
      </c>
      <c r="Q44" s="17">
        <f>IF(J44="",INDEX('3_UK_L1_Input'!$D$4:$D$14,MATCH($C44,'3_UK_L1_Input'!$A$4:$A$14,0))*P44,INDEX('3_UK_L1_Input'!$D$4:$D$14,MATCH($C44,'3_UK_L1_Input'!$A$4:$A$14,0))*J44)</f>
        <v/>
      </c>
      <c r="R44" s="17">
        <f>IF(K44="",INDEX('3_UK_L1_Input'!$D$4:$D$14,MATCH($C44,'3_UK_L1_Input'!$A$4:$A$14,0))*P44,INDEX('3_UK_L1_Input'!$D$4:$D$14,MATCH($C44,'3_UK_L1_Input'!$A$4:$A$14,0))*K44)</f>
        <v/>
      </c>
      <c r="S44" s="18">
        <f>IF(G44="","BETA CASCADE FALLBACK (dummy — replace with real beta)","REAL (Bloomberg UK)")</f>
        <v/>
      </c>
      <c r="T44" s="17">
        <f>INDEX('3_UK_L1_Input'!$C$4:$C$14,MATCH($C44,'3_UK_L1_Input'!$A$4:$A$14,0))</f>
        <v/>
      </c>
      <c r="U44" s="17">
        <f>INDEX('3_UK_L1_Input'!$C$4:$C$14,MATCH($C44,'3_UK_L1_Input'!$A$4:$A$14,0))*P44</f>
        <v/>
      </c>
      <c r="V44" s="15">
        <f>INDEX('5_UK_DefaultRisk_Input'!$D$5:$D$15,MATCH($C44,'5_UK_DefaultRisk_Input'!$A$5:$A$15,0))</f>
        <v/>
      </c>
      <c r="W44" s="15">
        <f>INDEX('5_UK_DefaultRisk_Input'!$D$20:$D$44,MATCH($E44,'5_UK_DefaultRisk_Input'!$A$20:$A$44,0))</f>
        <v/>
      </c>
      <c r="X44" s="15">
        <f>INDEX('5_UK_DefaultRisk_Input'!$D$49:$D$122,MATCH($D44,'5_UK_DefaultRisk_Input'!$A$49:$A$122,0))</f>
        <v/>
      </c>
      <c r="Y44" s="15">
        <f>INDEX('5_UK_DefaultRisk_Input'!$D$127:$D$289,MATCH($A44,'5_UK_DefaultRisk_Input'!$A$127:$A$289,0))</f>
        <v/>
      </c>
      <c r="Z44" s="16">
        <f>(W44/V44)*(X44/W44)*(Y44/X44)</f>
        <v/>
      </c>
      <c r="AA44" s="17">
        <f>INDEX('3_UK_L1_Input'!$D$4:$D$14,MATCH($C44,'3_UK_L1_Input'!$A$4:$A$14,0))*Z44</f>
        <v/>
      </c>
    </row>
    <row r="45">
      <c r="A45" s="7" t="n">
        <v>20301010</v>
      </c>
      <c r="B45" s="7" t="inlineStr">
        <is>
          <t>Air Freight &amp; Logistics</t>
        </is>
      </c>
      <c r="C45" s="7" t="n">
        <v>20</v>
      </c>
      <c r="D45" s="7" t="n">
        <v>203010</v>
      </c>
      <c r="E45" s="7" t="n">
        <v>2030</v>
      </c>
      <c r="F45" s="9" t="n">
        <v>137040000</v>
      </c>
      <c r="G45" s="10" t="n">
        <v>6.05</v>
      </c>
      <c r="H45" s="16">
        <f>IFERROR(SUMPRODUCT(($C$3:$C$165=C45)*ISNUMBER($G$3:$G$165)*ISNUMBER($F$3:$F$165)*IF(ISNUMBER($F$3:$F$165),$F$3:$F$165,0)*IF(ISNUMBER($G$3:$G$165),$G$3:$G$165,0))/SUMPRODUCT(($C$3:$C$165=C45)*ISNUMBER($G$3:$G$165)*ISNUMBER($F$3:$F$165)*IF(ISNUMBER($F$3:$F$165),$F$3:$F$165,0)),"")</f>
        <v/>
      </c>
      <c r="I45" s="16">
        <f>IFERROR(SUMPRODUCT(($C$3:$C$165=C45)*ISNUMBER($G$3:$G$165)*IF(ISNUMBER($G$3:$G$165),$G$3:$G$165,0))/SUMPRODUCT(($C$3:$C$165=C45)*ISNUMBER($G$3:$G$165)),"")</f>
        <v/>
      </c>
      <c r="J45" s="16">
        <f>IF(OR(G45="",H45=""),"",G45/H45)</f>
        <v/>
      </c>
      <c r="K45" s="16">
        <f>IF(OR(G45="",I45=""),"",G45/I45)</f>
        <v/>
      </c>
      <c r="L45" s="14">
        <f>INDEX('4_UK_Beta_Input'!$D$5:$D$15,MATCH($C45,'4_UK_Beta_Input'!$A$5:$A$15,0))</f>
        <v/>
      </c>
      <c r="M45" s="14">
        <f>INDEX('4_UK_Beta_Input'!$D$20:$D$44,MATCH($E45,'4_UK_Beta_Input'!$A$20:$A$44,0))</f>
        <v/>
      </c>
      <c r="N45" s="14">
        <f>INDEX('4_UK_Beta_Input'!$D$49:$D$122,MATCH($D45,'4_UK_Beta_Input'!$A$49:$A$122,0))</f>
        <v/>
      </c>
      <c r="O45" s="14">
        <f>INDEX('4_UK_Beta_Input'!$D$127:$D$289,MATCH($A45,'4_UK_Beta_Input'!$A$127:$A$289,0))</f>
        <v/>
      </c>
      <c r="P45" s="16">
        <f>(M45/L45)*(N45/M45)*(O45/N45)</f>
        <v/>
      </c>
      <c r="Q45" s="17">
        <f>IF(J45="",INDEX('3_UK_L1_Input'!$D$4:$D$14,MATCH($C45,'3_UK_L1_Input'!$A$4:$A$14,0))*P45,INDEX('3_UK_L1_Input'!$D$4:$D$14,MATCH($C45,'3_UK_L1_Input'!$A$4:$A$14,0))*J45)</f>
        <v/>
      </c>
      <c r="R45" s="17">
        <f>IF(K45="",INDEX('3_UK_L1_Input'!$D$4:$D$14,MATCH($C45,'3_UK_L1_Input'!$A$4:$A$14,0))*P45,INDEX('3_UK_L1_Input'!$D$4:$D$14,MATCH($C45,'3_UK_L1_Input'!$A$4:$A$14,0))*K45)</f>
        <v/>
      </c>
      <c r="S45" s="18">
        <f>IF(G45="","BETA CASCADE FALLBACK (dummy — replace with real beta)","REAL (Bloomberg UK)")</f>
        <v/>
      </c>
      <c r="T45" s="17">
        <f>INDEX('3_UK_L1_Input'!$C$4:$C$14,MATCH($C45,'3_UK_L1_Input'!$A$4:$A$14,0))</f>
        <v/>
      </c>
      <c r="U45" s="17">
        <f>INDEX('3_UK_L1_Input'!$C$4:$C$14,MATCH($C45,'3_UK_L1_Input'!$A$4:$A$14,0))*P45</f>
        <v/>
      </c>
      <c r="V45" s="15">
        <f>INDEX('5_UK_DefaultRisk_Input'!$D$5:$D$15,MATCH($C45,'5_UK_DefaultRisk_Input'!$A$5:$A$15,0))</f>
        <v/>
      </c>
      <c r="W45" s="15">
        <f>INDEX('5_UK_DefaultRisk_Input'!$D$20:$D$44,MATCH($E45,'5_UK_DefaultRisk_Input'!$A$20:$A$44,0))</f>
        <v/>
      </c>
      <c r="X45" s="15">
        <f>INDEX('5_UK_DefaultRisk_Input'!$D$49:$D$122,MATCH($D45,'5_UK_DefaultRisk_Input'!$A$49:$A$122,0))</f>
        <v/>
      </c>
      <c r="Y45" s="15">
        <f>INDEX('5_UK_DefaultRisk_Input'!$D$127:$D$289,MATCH($A45,'5_UK_DefaultRisk_Input'!$A$127:$A$289,0))</f>
        <v/>
      </c>
      <c r="Z45" s="16">
        <f>(W45/V45)*(X45/W45)*(Y45/X45)</f>
        <v/>
      </c>
      <c r="AA45" s="17">
        <f>INDEX('3_UK_L1_Input'!$D$4:$D$14,MATCH($C45,'3_UK_L1_Input'!$A$4:$A$14,0))*Z45</f>
        <v/>
      </c>
    </row>
    <row r="46">
      <c r="A46" s="7" t="n">
        <v>20302010</v>
      </c>
      <c r="B46" s="7" t="inlineStr">
        <is>
          <t>Passenger Airlines</t>
        </is>
      </c>
      <c r="C46" s="7" t="n">
        <v>20</v>
      </c>
      <c r="D46" s="7" t="n">
        <v>203020</v>
      </c>
      <c r="E46" s="7" t="n">
        <v>2030</v>
      </c>
      <c r="F46" s="9" t="n">
        <v>17130000000</v>
      </c>
      <c r="G46" s="10" t="n">
        <v>3.69</v>
      </c>
      <c r="H46" s="16">
        <f>IFERROR(SUMPRODUCT(($C$3:$C$165=C46)*ISNUMBER($G$3:$G$165)*ISNUMBER($F$3:$F$165)*IF(ISNUMBER($F$3:$F$165),$F$3:$F$165,0)*IF(ISNUMBER($G$3:$G$165),$G$3:$G$165,0))/SUMPRODUCT(($C$3:$C$165=C46)*ISNUMBER($G$3:$G$165)*ISNUMBER($F$3:$F$165)*IF(ISNUMBER($F$3:$F$165),$F$3:$F$165,0)),"")</f>
        <v/>
      </c>
      <c r="I46" s="16">
        <f>IFERROR(SUMPRODUCT(($C$3:$C$165=C46)*ISNUMBER($G$3:$G$165)*IF(ISNUMBER($G$3:$G$165),$G$3:$G$165,0))/SUMPRODUCT(($C$3:$C$165=C46)*ISNUMBER($G$3:$G$165)),"")</f>
        <v/>
      </c>
      <c r="J46" s="16">
        <f>IF(OR(G46="",H46=""),"",G46/H46)</f>
        <v/>
      </c>
      <c r="K46" s="16">
        <f>IF(OR(G46="",I46=""),"",G46/I46)</f>
        <v/>
      </c>
      <c r="L46" s="14">
        <f>INDEX('4_UK_Beta_Input'!$D$5:$D$15,MATCH($C46,'4_UK_Beta_Input'!$A$5:$A$15,0))</f>
        <v/>
      </c>
      <c r="M46" s="14">
        <f>INDEX('4_UK_Beta_Input'!$D$20:$D$44,MATCH($E46,'4_UK_Beta_Input'!$A$20:$A$44,0))</f>
        <v/>
      </c>
      <c r="N46" s="14">
        <f>INDEX('4_UK_Beta_Input'!$D$49:$D$122,MATCH($D46,'4_UK_Beta_Input'!$A$49:$A$122,0))</f>
        <v/>
      </c>
      <c r="O46" s="14">
        <f>INDEX('4_UK_Beta_Input'!$D$127:$D$289,MATCH($A46,'4_UK_Beta_Input'!$A$127:$A$289,0))</f>
        <v/>
      </c>
      <c r="P46" s="16">
        <f>(M46/L46)*(N46/M46)*(O46/N46)</f>
        <v/>
      </c>
      <c r="Q46" s="17">
        <f>IF(J46="",INDEX('3_UK_L1_Input'!$D$4:$D$14,MATCH($C46,'3_UK_L1_Input'!$A$4:$A$14,0))*P46,INDEX('3_UK_L1_Input'!$D$4:$D$14,MATCH($C46,'3_UK_L1_Input'!$A$4:$A$14,0))*J46)</f>
        <v/>
      </c>
      <c r="R46" s="17">
        <f>IF(K46="",INDEX('3_UK_L1_Input'!$D$4:$D$14,MATCH($C46,'3_UK_L1_Input'!$A$4:$A$14,0))*P46,INDEX('3_UK_L1_Input'!$D$4:$D$14,MATCH($C46,'3_UK_L1_Input'!$A$4:$A$14,0))*K46)</f>
        <v/>
      </c>
      <c r="S46" s="18">
        <f>IF(G46="","BETA CASCADE FALLBACK (dummy — replace with real beta)","REAL (Bloomberg UK)")</f>
        <v/>
      </c>
      <c r="T46" s="17">
        <f>INDEX('3_UK_L1_Input'!$C$4:$C$14,MATCH($C46,'3_UK_L1_Input'!$A$4:$A$14,0))</f>
        <v/>
      </c>
      <c r="U46" s="17">
        <f>INDEX('3_UK_L1_Input'!$C$4:$C$14,MATCH($C46,'3_UK_L1_Input'!$A$4:$A$14,0))*P46</f>
        <v/>
      </c>
      <c r="V46" s="15">
        <f>INDEX('5_UK_DefaultRisk_Input'!$D$5:$D$15,MATCH($C46,'5_UK_DefaultRisk_Input'!$A$5:$A$15,0))</f>
        <v/>
      </c>
      <c r="W46" s="15">
        <f>INDEX('5_UK_DefaultRisk_Input'!$D$20:$D$44,MATCH($E46,'5_UK_DefaultRisk_Input'!$A$20:$A$44,0))</f>
        <v/>
      </c>
      <c r="X46" s="15">
        <f>INDEX('5_UK_DefaultRisk_Input'!$D$49:$D$122,MATCH($D46,'5_UK_DefaultRisk_Input'!$A$49:$A$122,0))</f>
        <v/>
      </c>
      <c r="Y46" s="15">
        <f>INDEX('5_UK_DefaultRisk_Input'!$D$127:$D$289,MATCH($A46,'5_UK_DefaultRisk_Input'!$A$127:$A$289,0))</f>
        <v/>
      </c>
      <c r="Z46" s="16">
        <f>(W46/V46)*(X46/W46)*(Y46/X46)</f>
        <v/>
      </c>
      <c r="AA46" s="17">
        <f>INDEX('3_UK_L1_Input'!$D$4:$D$14,MATCH($C46,'3_UK_L1_Input'!$A$4:$A$14,0))*Z46</f>
        <v/>
      </c>
    </row>
    <row r="47">
      <c r="A47" s="7" t="n">
        <v>20303010</v>
      </c>
      <c r="B47" s="7" t="inlineStr">
        <is>
          <t>Marine Transportation</t>
        </is>
      </c>
      <c r="C47" s="7" t="n">
        <v>20</v>
      </c>
      <c r="D47" s="7" t="n">
        <v>203030</v>
      </c>
      <c r="E47" s="7" t="n">
        <v>2030</v>
      </c>
      <c r="F47" s="9" t="n">
        <v>1460000000</v>
      </c>
      <c r="G47" s="10" t="n">
        <v>6</v>
      </c>
      <c r="H47" s="16">
        <f>IFERROR(SUMPRODUCT(($C$3:$C$165=C47)*ISNUMBER($G$3:$G$165)*ISNUMBER($F$3:$F$165)*IF(ISNUMBER($F$3:$F$165),$F$3:$F$165,0)*IF(ISNUMBER($G$3:$G$165),$G$3:$G$165,0))/SUMPRODUCT(($C$3:$C$165=C47)*ISNUMBER($G$3:$G$165)*ISNUMBER($F$3:$F$165)*IF(ISNUMBER($F$3:$F$165),$F$3:$F$165,0)),"")</f>
        <v/>
      </c>
      <c r="I47" s="16">
        <f>IFERROR(SUMPRODUCT(($C$3:$C$165=C47)*ISNUMBER($G$3:$G$165)*IF(ISNUMBER($G$3:$G$165),$G$3:$G$165,0))/SUMPRODUCT(($C$3:$C$165=C47)*ISNUMBER($G$3:$G$165)),"")</f>
        <v/>
      </c>
      <c r="J47" s="16">
        <f>IF(OR(G47="",H47=""),"",G47/H47)</f>
        <v/>
      </c>
      <c r="K47" s="16">
        <f>IF(OR(G47="",I47=""),"",G47/I47)</f>
        <v/>
      </c>
      <c r="L47" s="14">
        <f>INDEX('4_UK_Beta_Input'!$D$5:$D$15,MATCH($C47,'4_UK_Beta_Input'!$A$5:$A$15,0))</f>
        <v/>
      </c>
      <c r="M47" s="14">
        <f>INDEX('4_UK_Beta_Input'!$D$20:$D$44,MATCH($E47,'4_UK_Beta_Input'!$A$20:$A$44,0))</f>
        <v/>
      </c>
      <c r="N47" s="14">
        <f>INDEX('4_UK_Beta_Input'!$D$49:$D$122,MATCH($D47,'4_UK_Beta_Input'!$A$49:$A$122,0))</f>
        <v/>
      </c>
      <c r="O47" s="14">
        <f>INDEX('4_UK_Beta_Input'!$D$127:$D$289,MATCH($A47,'4_UK_Beta_Input'!$A$127:$A$289,0))</f>
        <v/>
      </c>
      <c r="P47" s="16">
        <f>(M47/L47)*(N47/M47)*(O47/N47)</f>
        <v/>
      </c>
      <c r="Q47" s="17">
        <f>IF(J47="",INDEX('3_UK_L1_Input'!$D$4:$D$14,MATCH($C47,'3_UK_L1_Input'!$A$4:$A$14,0))*P47,INDEX('3_UK_L1_Input'!$D$4:$D$14,MATCH($C47,'3_UK_L1_Input'!$A$4:$A$14,0))*J47)</f>
        <v/>
      </c>
      <c r="R47" s="17">
        <f>IF(K47="",INDEX('3_UK_L1_Input'!$D$4:$D$14,MATCH($C47,'3_UK_L1_Input'!$A$4:$A$14,0))*P47,INDEX('3_UK_L1_Input'!$D$4:$D$14,MATCH($C47,'3_UK_L1_Input'!$A$4:$A$14,0))*K47)</f>
        <v/>
      </c>
      <c r="S47" s="18">
        <f>IF(G47="","BETA CASCADE FALLBACK (dummy — replace with real beta)","REAL (Bloomberg UK)")</f>
        <v/>
      </c>
      <c r="T47" s="17">
        <f>INDEX('3_UK_L1_Input'!$C$4:$C$14,MATCH($C47,'3_UK_L1_Input'!$A$4:$A$14,0))</f>
        <v/>
      </c>
      <c r="U47" s="17">
        <f>INDEX('3_UK_L1_Input'!$C$4:$C$14,MATCH($C47,'3_UK_L1_Input'!$A$4:$A$14,0))*P47</f>
        <v/>
      </c>
      <c r="V47" s="15">
        <f>INDEX('5_UK_DefaultRisk_Input'!$D$5:$D$15,MATCH($C47,'5_UK_DefaultRisk_Input'!$A$5:$A$15,0))</f>
        <v/>
      </c>
      <c r="W47" s="15">
        <f>INDEX('5_UK_DefaultRisk_Input'!$D$20:$D$44,MATCH($E47,'5_UK_DefaultRisk_Input'!$A$20:$A$44,0))</f>
        <v/>
      </c>
      <c r="X47" s="15">
        <f>INDEX('5_UK_DefaultRisk_Input'!$D$49:$D$122,MATCH($D47,'5_UK_DefaultRisk_Input'!$A$49:$A$122,0))</f>
        <v/>
      </c>
      <c r="Y47" s="15">
        <f>INDEX('5_UK_DefaultRisk_Input'!$D$127:$D$289,MATCH($A47,'5_UK_DefaultRisk_Input'!$A$127:$A$289,0))</f>
        <v/>
      </c>
      <c r="Z47" s="16">
        <f>(W47/V47)*(X47/W47)*(Y47/X47)</f>
        <v/>
      </c>
      <c r="AA47" s="17">
        <f>INDEX('3_UK_L1_Input'!$D$4:$D$14,MATCH($C47,'3_UK_L1_Input'!$A$4:$A$14,0))*Z47</f>
        <v/>
      </c>
    </row>
    <row r="48">
      <c r="A48" s="7" t="n">
        <v>20304010</v>
      </c>
      <c r="B48" s="7" t="inlineStr">
        <is>
          <t>Rail Transportation</t>
        </is>
      </c>
      <c r="C48" s="7" t="n">
        <v>20</v>
      </c>
      <c r="D48" s="7" t="n">
        <v>203040</v>
      </c>
      <c r="E48" s="7" t="n">
        <v>2030</v>
      </c>
      <c r="F48" s="9" t="n">
        <v>4750000000</v>
      </c>
      <c r="G48" s="10" t="n">
        <v>2.53</v>
      </c>
      <c r="H48" s="16">
        <f>IFERROR(SUMPRODUCT(($C$3:$C$165=C48)*ISNUMBER($G$3:$G$165)*ISNUMBER($F$3:$F$165)*IF(ISNUMBER($F$3:$F$165),$F$3:$F$165,0)*IF(ISNUMBER($G$3:$G$165),$G$3:$G$165,0))/SUMPRODUCT(($C$3:$C$165=C48)*ISNUMBER($G$3:$G$165)*ISNUMBER($F$3:$F$165)*IF(ISNUMBER($F$3:$F$165),$F$3:$F$165,0)),"")</f>
        <v/>
      </c>
      <c r="I48" s="16">
        <f>IFERROR(SUMPRODUCT(($C$3:$C$165=C48)*ISNUMBER($G$3:$G$165)*IF(ISNUMBER($G$3:$G$165),$G$3:$G$165,0))/SUMPRODUCT(($C$3:$C$165=C48)*ISNUMBER($G$3:$G$165)),"")</f>
        <v/>
      </c>
      <c r="J48" s="16">
        <f>IF(OR(G48="",H48=""),"",G48/H48)</f>
        <v/>
      </c>
      <c r="K48" s="16">
        <f>IF(OR(G48="",I48=""),"",G48/I48)</f>
        <v/>
      </c>
      <c r="L48" s="14">
        <f>INDEX('4_UK_Beta_Input'!$D$5:$D$15,MATCH($C48,'4_UK_Beta_Input'!$A$5:$A$15,0))</f>
        <v/>
      </c>
      <c r="M48" s="14">
        <f>INDEX('4_UK_Beta_Input'!$D$20:$D$44,MATCH($E48,'4_UK_Beta_Input'!$A$20:$A$44,0))</f>
        <v/>
      </c>
      <c r="N48" s="14">
        <f>INDEX('4_UK_Beta_Input'!$D$49:$D$122,MATCH($D48,'4_UK_Beta_Input'!$A$49:$A$122,0))</f>
        <v/>
      </c>
      <c r="O48" s="14">
        <f>INDEX('4_UK_Beta_Input'!$D$127:$D$289,MATCH($A48,'4_UK_Beta_Input'!$A$127:$A$289,0))</f>
        <v/>
      </c>
      <c r="P48" s="16">
        <f>(M48/L48)*(N48/M48)*(O48/N48)</f>
        <v/>
      </c>
      <c r="Q48" s="17">
        <f>IF(J48="",INDEX('3_UK_L1_Input'!$D$4:$D$14,MATCH($C48,'3_UK_L1_Input'!$A$4:$A$14,0))*P48,INDEX('3_UK_L1_Input'!$D$4:$D$14,MATCH($C48,'3_UK_L1_Input'!$A$4:$A$14,0))*J48)</f>
        <v/>
      </c>
      <c r="R48" s="17">
        <f>IF(K48="",INDEX('3_UK_L1_Input'!$D$4:$D$14,MATCH($C48,'3_UK_L1_Input'!$A$4:$A$14,0))*P48,INDEX('3_UK_L1_Input'!$D$4:$D$14,MATCH($C48,'3_UK_L1_Input'!$A$4:$A$14,0))*K48)</f>
        <v/>
      </c>
      <c r="S48" s="18">
        <f>IF(G48="","BETA CASCADE FALLBACK (dummy — replace with real beta)","REAL (Bloomberg UK)")</f>
        <v/>
      </c>
      <c r="T48" s="17">
        <f>INDEX('3_UK_L1_Input'!$C$4:$C$14,MATCH($C48,'3_UK_L1_Input'!$A$4:$A$14,0))</f>
        <v/>
      </c>
      <c r="U48" s="17">
        <f>INDEX('3_UK_L1_Input'!$C$4:$C$14,MATCH($C48,'3_UK_L1_Input'!$A$4:$A$14,0))*P48</f>
        <v/>
      </c>
      <c r="V48" s="15">
        <f>INDEX('5_UK_DefaultRisk_Input'!$D$5:$D$15,MATCH($C48,'5_UK_DefaultRisk_Input'!$A$5:$A$15,0))</f>
        <v/>
      </c>
      <c r="W48" s="15">
        <f>INDEX('5_UK_DefaultRisk_Input'!$D$20:$D$44,MATCH($E48,'5_UK_DefaultRisk_Input'!$A$20:$A$44,0))</f>
        <v/>
      </c>
      <c r="X48" s="15">
        <f>INDEX('5_UK_DefaultRisk_Input'!$D$49:$D$122,MATCH($D48,'5_UK_DefaultRisk_Input'!$A$49:$A$122,0))</f>
        <v/>
      </c>
      <c r="Y48" s="15">
        <f>INDEX('5_UK_DefaultRisk_Input'!$D$127:$D$289,MATCH($A48,'5_UK_DefaultRisk_Input'!$A$127:$A$289,0))</f>
        <v/>
      </c>
      <c r="Z48" s="16">
        <f>(W48/V48)*(X48/W48)*(Y48/X48)</f>
        <v/>
      </c>
      <c r="AA48" s="17">
        <f>INDEX('3_UK_L1_Input'!$D$4:$D$14,MATCH($C48,'3_UK_L1_Input'!$A$4:$A$14,0))*Z48</f>
        <v/>
      </c>
    </row>
    <row r="49">
      <c r="A49" s="7" t="n">
        <v>20304030</v>
      </c>
      <c r="B49" s="7" t="inlineStr">
        <is>
          <t>Cargo Ground Transportation</t>
        </is>
      </c>
      <c r="C49" s="7" t="n">
        <v>20</v>
      </c>
      <c r="D49" s="7" t="n">
        <v>203040</v>
      </c>
      <c r="E49" s="7" t="n">
        <v>2030</v>
      </c>
      <c r="F49" s="8" t="n"/>
      <c r="G49" s="8" t="n"/>
      <c r="H49" s="16">
        <f>IFERROR(SUMPRODUCT(($C$3:$C$165=C49)*ISNUMBER($G$3:$G$165)*ISNUMBER($F$3:$F$165)*IF(ISNUMBER($F$3:$F$165),$F$3:$F$165,0)*IF(ISNUMBER($G$3:$G$165),$G$3:$G$165,0))/SUMPRODUCT(($C$3:$C$165=C49)*ISNUMBER($G$3:$G$165)*ISNUMBER($F$3:$F$165)*IF(ISNUMBER($F$3:$F$165),$F$3:$F$165,0)),"")</f>
        <v/>
      </c>
      <c r="I49" s="16">
        <f>IFERROR(SUMPRODUCT(($C$3:$C$165=C49)*ISNUMBER($G$3:$G$165)*IF(ISNUMBER($G$3:$G$165),$G$3:$G$165,0))/SUMPRODUCT(($C$3:$C$165=C49)*ISNUMBER($G$3:$G$165)),"")</f>
        <v/>
      </c>
      <c r="J49" s="16">
        <f>IF(OR(G49="",H49=""),"",G49/H49)</f>
        <v/>
      </c>
      <c r="K49" s="16">
        <f>IF(OR(G49="",I49=""),"",G49/I49)</f>
        <v/>
      </c>
      <c r="L49" s="14">
        <f>INDEX('4_UK_Beta_Input'!$D$5:$D$15,MATCH($C49,'4_UK_Beta_Input'!$A$5:$A$15,0))</f>
        <v/>
      </c>
      <c r="M49" s="14">
        <f>INDEX('4_UK_Beta_Input'!$D$20:$D$44,MATCH($E49,'4_UK_Beta_Input'!$A$20:$A$44,0))</f>
        <v/>
      </c>
      <c r="N49" s="14">
        <f>INDEX('4_UK_Beta_Input'!$D$49:$D$122,MATCH($D49,'4_UK_Beta_Input'!$A$49:$A$122,0))</f>
        <v/>
      </c>
      <c r="O49" s="14">
        <f>INDEX('4_UK_Beta_Input'!$D$127:$D$289,MATCH($A49,'4_UK_Beta_Input'!$A$127:$A$289,0))</f>
        <v/>
      </c>
      <c r="P49" s="16">
        <f>(M49/L49)*(N49/M49)*(O49/N49)</f>
        <v/>
      </c>
      <c r="Q49" s="17">
        <f>IF(J49="",INDEX('3_UK_L1_Input'!$D$4:$D$14,MATCH($C49,'3_UK_L1_Input'!$A$4:$A$14,0))*P49,INDEX('3_UK_L1_Input'!$D$4:$D$14,MATCH($C49,'3_UK_L1_Input'!$A$4:$A$14,0))*J49)</f>
        <v/>
      </c>
      <c r="R49" s="17">
        <f>IF(K49="",INDEX('3_UK_L1_Input'!$D$4:$D$14,MATCH($C49,'3_UK_L1_Input'!$A$4:$A$14,0))*P49,INDEX('3_UK_L1_Input'!$D$4:$D$14,MATCH($C49,'3_UK_L1_Input'!$A$4:$A$14,0))*K49)</f>
        <v/>
      </c>
      <c r="S49" s="19">
        <f>IF(G49="","BETA CASCADE FALLBACK (dummy — replace with real beta)","REAL (Bloomberg UK)")</f>
        <v/>
      </c>
      <c r="T49" s="17">
        <f>INDEX('3_UK_L1_Input'!$C$4:$C$14,MATCH($C49,'3_UK_L1_Input'!$A$4:$A$14,0))</f>
        <v/>
      </c>
      <c r="U49" s="17">
        <f>INDEX('3_UK_L1_Input'!$C$4:$C$14,MATCH($C49,'3_UK_L1_Input'!$A$4:$A$14,0))*P49</f>
        <v/>
      </c>
      <c r="V49" s="15">
        <f>INDEX('5_UK_DefaultRisk_Input'!$D$5:$D$15,MATCH($C49,'5_UK_DefaultRisk_Input'!$A$5:$A$15,0))</f>
        <v/>
      </c>
      <c r="W49" s="15">
        <f>INDEX('5_UK_DefaultRisk_Input'!$D$20:$D$44,MATCH($E49,'5_UK_DefaultRisk_Input'!$A$20:$A$44,0))</f>
        <v/>
      </c>
      <c r="X49" s="15">
        <f>INDEX('5_UK_DefaultRisk_Input'!$D$49:$D$122,MATCH($D49,'5_UK_DefaultRisk_Input'!$A$49:$A$122,0))</f>
        <v/>
      </c>
      <c r="Y49" s="15">
        <f>INDEX('5_UK_DefaultRisk_Input'!$D$127:$D$289,MATCH($A49,'5_UK_DefaultRisk_Input'!$A$127:$A$289,0))</f>
        <v/>
      </c>
      <c r="Z49" s="16">
        <f>(W49/V49)*(X49/W49)*(Y49/X49)</f>
        <v/>
      </c>
      <c r="AA49" s="17">
        <f>INDEX('3_UK_L1_Input'!$D$4:$D$14,MATCH($C49,'3_UK_L1_Input'!$A$4:$A$14,0))*Z49</f>
        <v/>
      </c>
    </row>
    <row r="50">
      <c r="A50" s="7" t="n">
        <v>20304040</v>
      </c>
      <c r="B50" s="7" t="inlineStr">
        <is>
          <t>Passenger Ground Transportation</t>
        </is>
      </c>
      <c r="C50" s="7" t="n">
        <v>20</v>
      </c>
      <c r="D50" s="7" t="n">
        <v>203040</v>
      </c>
      <c r="E50" s="7" t="n">
        <v>2030</v>
      </c>
      <c r="F50" s="9" t="n">
        <v>2300000000</v>
      </c>
      <c r="G50" s="10" t="n">
        <v>3.68</v>
      </c>
      <c r="H50" s="16">
        <f>IFERROR(SUMPRODUCT(($C$3:$C$165=C50)*ISNUMBER($G$3:$G$165)*ISNUMBER($F$3:$F$165)*IF(ISNUMBER($F$3:$F$165),$F$3:$F$165,0)*IF(ISNUMBER($G$3:$G$165),$G$3:$G$165,0))/SUMPRODUCT(($C$3:$C$165=C50)*ISNUMBER($G$3:$G$165)*ISNUMBER($F$3:$F$165)*IF(ISNUMBER($F$3:$F$165),$F$3:$F$165,0)),"")</f>
        <v/>
      </c>
      <c r="I50" s="16">
        <f>IFERROR(SUMPRODUCT(($C$3:$C$165=C50)*ISNUMBER($G$3:$G$165)*IF(ISNUMBER($G$3:$G$165),$G$3:$G$165,0))/SUMPRODUCT(($C$3:$C$165=C50)*ISNUMBER($G$3:$G$165)),"")</f>
        <v/>
      </c>
      <c r="J50" s="16">
        <f>IF(OR(G50="",H50=""),"",G50/H50)</f>
        <v/>
      </c>
      <c r="K50" s="16">
        <f>IF(OR(G50="",I50=""),"",G50/I50)</f>
        <v/>
      </c>
      <c r="L50" s="14">
        <f>INDEX('4_UK_Beta_Input'!$D$5:$D$15,MATCH($C50,'4_UK_Beta_Input'!$A$5:$A$15,0))</f>
        <v/>
      </c>
      <c r="M50" s="14">
        <f>INDEX('4_UK_Beta_Input'!$D$20:$D$44,MATCH($E50,'4_UK_Beta_Input'!$A$20:$A$44,0))</f>
        <v/>
      </c>
      <c r="N50" s="14">
        <f>INDEX('4_UK_Beta_Input'!$D$49:$D$122,MATCH($D50,'4_UK_Beta_Input'!$A$49:$A$122,0))</f>
        <v/>
      </c>
      <c r="O50" s="14">
        <f>INDEX('4_UK_Beta_Input'!$D$127:$D$289,MATCH($A50,'4_UK_Beta_Input'!$A$127:$A$289,0))</f>
        <v/>
      </c>
      <c r="P50" s="16">
        <f>(M50/L50)*(N50/M50)*(O50/N50)</f>
        <v/>
      </c>
      <c r="Q50" s="17">
        <f>IF(J50="",INDEX('3_UK_L1_Input'!$D$4:$D$14,MATCH($C50,'3_UK_L1_Input'!$A$4:$A$14,0))*P50,INDEX('3_UK_L1_Input'!$D$4:$D$14,MATCH($C50,'3_UK_L1_Input'!$A$4:$A$14,0))*J50)</f>
        <v/>
      </c>
      <c r="R50" s="17">
        <f>IF(K50="",INDEX('3_UK_L1_Input'!$D$4:$D$14,MATCH($C50,'3_UK_L1_Input'!$A$4:$A$14,0))*P50,INDEX('3_UK_L1_Input'!$D$4:$D$14,MATCH($C50,'3_UK_L1_Input'!$A$4:$A$14,0))*K50)</f>
        <v/>
      </c>
      <c r="S50" s="18">
        <f>IF(G50="","BETA CASCADE FALLBACK (dummy — replace with real beta)","REAL (Bloomberg UK)")</f>
        <v/>
      </c>
      <c r="T50" s="17">
        <f>INDEX('3_UK_L1_Input'!$C$4:$C$14,MATCH($C50,'3_UK_L1_Input'!$A$4:$A$14,0))</f>
        <v/>
      </c>
      <c r="U50" s="17">
        <f>INDEX('3_UK_L1_Input'!$C$4:$C$14,MATCH($C50,'3_UK_L1_Input'!$A$4:$A$14,0))*P50</f>
        <v/>
      </c>
      <c r="V50" s="15">
        <f>INDEX('5_UK_DefaultRisk_Input'!$D$5:$D$15,MATCH($C50,'5_UK_DefaultRisk_Input'!$A$5:$A$15,0))</f>
        <v/>
      </c>
      <c r="W50" s="15">
        <f>INDEX('5_UK_DefaultRisk_Input'!$D$20:$D$44,MATCH($E50,'5_UK_DefaultRisk_Input'!$A$20:$A$44,0))</f>
        <v/>
      </c>
      <c r="X50" s="15">
        <f>INDEX('5_UK_DefaultRisk_Input'!$D$49:$D$122,MATCH($D50,'5_UK_DefaultRisk_Input'!$A$49:$A$122,0))</f>
        <v/>
      </c>
      <c r="Y50" s="15">
        <f>INDEX('5_UK_DefaultRisk_Input'!$D$127:$D$289,MATCH($A50,'5_UK_DefaultRisk_Input'!$A$127:$A$289,0))</f>
        <v/>
      </c>
      <c r="Z50" s="16">
        <f>(W50/V50)*(X50/W50)*(Y50/X50)</f>
        <v/>
      </c>
      <c r="AA50" s="17">
        <f>INDEX('3_UK_L1_Input'!$D$4:$D$14,MATCH($C50,'3_UK_L1_Input'!$A$4:$A$14,0))*Z50</f>
        <v/>
      </c>
    </row>
    <row r="51">
      <c r="A51" s="7" t="n">
        <v>20305010</v>
      </c>
      <c r="B51" s="7" t="inlineStr">
        <is>
          <t>Airport Services</t>
        </is>
      </c>
      <c r="C51" s="7" t="n">
        <v>20</v>
      </c>
      <c r="D51" s="7" t="n">
        <v>203050</v>
      </c>
      <c r="E51" s="7" t="n">
        <v>2030</v>
      </c>
      <c r="F51" s="8" t="n"/>
      <c r="G51" s="8" t="n"/>
      <c r="H51" s="16">
        <f>IFERROR(SUMPRODUCT(($C$3:$C$165=C51)*ISNUMBER($G$3:$G$165)*ISNUMBER($F$3:$F$165)*IF(ISNUMBER($F$3:$F$165),$F$3:$F$165,0)*IF(ISNUMBER($G$3:$G$165),$G$3:$G$165,0))/SUMPRODUCT(($C$3:$C$165=C51)*ISNUMBER($G$3:$G$165)*ISNUMBER($F$3:$F$165)*IF(ISNUMBER($F$3:$F$165),$F$3:$F$165,0)),"")</f>
        <v/>
      </c>
      <c r="I51" s="16">
        <f>IFERROR(SUMPRODUCT(($C$3:$C$165=C51)*ISNUMBER($G$3:$G$165)*IF(ISNUMBER($G$3:$G$165),$G$3:$G$165,0))/SUMPRODUCT(($C$3:$C$165=C51)*ISNUMBER($G$3:$G$165)),"")</f>
        <v/>
      </c>
      <c r="J51" s="16">
        <f>IF(OR(G51="",H51=""),"",G51/H51)</f>
        <v/>
      </c>
      <c r="K51" s="16">
        <f>IF(OR(G51="",I51=""),"",G51/I51)</f>
        <v/>
      </c>
      <c r="L51" s="14">
        <f>INDEX('4_UK_Beta_Input'!$D$5:$D$15,MATCH($C51,'4_UK_Beta_Input'!$A$5:$A$15,0))</f>
        <v/>
      </c>
      <c r="M51" s="14">
        <f>INDEX('4_UK_Beta_Input'!$D$20:$D$44,MATCH($E51,'4_UK_Beta_Input'!$A$20:$A$44,0))</f>
        <v/>
      </c>
      <c r="N51" s="14">
        <f>INDEX('4_UK_Beta_Input'!$D$49:$D$122,MATCH($D51,'4_UK_Beta_Input'!$A$49:$A$122,0))</f>
        <v/>
      </c>
      <c r="O51" s="14">
        <f>INDEX('4_UK_Beta_Input'!$D$127:$D$289,MATCH($A51,'4_UK_Beta_Input'!$A$127:$A$289,0))</f>
        <v/>
      </c>
      <c r="P51" s="16">
        <f>(M51/L51)*(N51/M51)*(O51/N51)</f>
        <v/>
      </c>
      <c r="Q51" s="17">
        <f>IF(J51="",INDEX('3_UK_L1_Input'!$D$4:$D$14,MATCH($C51,'3_UK_L1_Input'!$A$4:$A$14,0))*P51,INDEX('3_UK_L1_Input'!$D$4:$D$14,MATCH($C51,'3_UK_L1_Input'!$A$4:$A$14,0))*J51)</f>
        <v/>
      </c>
      <c r="R51" s="17">
        <f>IF(K51="",INDEX('3_UK_L1_Input'!$D$4:$D$14,MATCH($C51,'3_UK_L1_Input'!$A$4:$A$14,0))*P51,INDEX('3_UK_L1_Input'!$D$4:$D$14,MATCH($C51,'3_UK_L1_Input'!$A$4:$A$14,0))*K51)</f>
        <v/>
      </c>
      <c r="S51" s="19">
        <f>IF(G51="","BETA CASCADE FALLBACK (dummy — replace with real beta)","REAL (Bloomberg UK)")</f>
        <v/>
      </c>
      <c r="T51" s="17">
        <f>INDEX('3_UK_L1_Input'!$C$4:$C$14,MATCH($C51,'3_UK_L1_Input'!$A$4:$A$14,0))</f>
        <v/>
      </c>
      <c r="U51" s="17">
        <f>INDEX('3_UK_L1_Input'!$C$4:$C$14,MATCH($C51,'3_UK_L1_Input'!$A$4:$A$14,0))*P51</f>
        <v/>
      </c>
      <c r="V51" s="15">
        <f>INDEX('5_UK_DefaultRisk_Input'!$D$5:$D$15,MATCH($C51,'5_UK_DefaultRisk_Input'!$A$5:$A$15,0))</f>
        <v/>
      </c>
      <c r="W51" s="15">
        <f>INDEX('5_UK_DefaultRisk_Input'!$D$20:$D$44,MATCH($E51,'5_UK_DefaultRisk_Input'!$A$20:$A$44,0))</f>
        <v/>
      </c>
      <c r="X51" s="15">
        <f>INDEX('5_UK_DefaultRisk_Input'!$D$49:$D$122,MATCH($D51,'5_UK_DefaultRisk_Input'!$A$49:$A$122,0))</f>
        <v/>
      </c>
      <c r="Y51" s="15">
        <f>INDEX('5_UK_DefaultRisk_Input'!$D$127:$D$289,MATCH($A51,'5_UK_DefaultRisk_Input'!$A$127:$A$289,0))</f>
        <v/>
      </c>
      <c r="Z51" s="16">
        <f>(W51/V51)*(X51/W51)*(Y51/X51)</f>
        <v/>
      </c>
      <c r="AA51" s="17">
        <f>INDEX('3_UK_L1_Input'!$D$4:$D$14,MATCH($C51,'3_UK_L1_Input'!$A$4:$A$14,0))*Z51</f>
        <v/>
      </c>
    </row>
    <row r="52">
      <c r="A52" s="7" t="n">
        <v>20305020</v>
      </c>
      <c r="B52" s="7" t="inlineStr">
        <is>
          <t>Highways &amp; Railtracks</t>
        </is>
      </c>
      <c r="C52" s="7" t="n">
        <v>20</v>
      </c>
      <c r="D52" s="7" t="n">
        <v>203050</v>
      </c>
      <c r="E52" s="7" t="n">
        <v>2030</v>
      </c>
      <c r="F52" s="8" t="n"/>
      <c r="G52" s="8" t="n"/>
      <c r="H52" s="16">
        <f>IFERROR(SUMPRODUCT(($C$3:$C$165=C52)*ISNUMBER($G$3:$G$165)*ISNUMBER($F$3:$F$165)*IF(ISNUMBER($F$3:$F$165),$F$3:$F$165,0)*IF(ISNUMBER($G$3:$G$165),$G$3:$G$165,0))/SUMPRODUCT(($C$3:$C$165=C52)*ISNUMBER($G$3:$G$165)*ISNUMBER($F$3:$F$165)*IF(ISNUMBER($F$3:$F$165),$F$3:$F$165,0)),"")</f>
        <v/>
      </c>
      <c r="I52" s="16">
        <f>IFERROR(SUMPRODUCT(($C$3:$C$165=C52)*ISNUMBER($G$3:$G$165)*IF(ISNUMBER($G$3:$G$165),$G$3:$G$165,0))/SUMPRODUCT(($C$3:$C$165=C52)*ISNUMBER($G$3:$G$165)),"")</f>
        <v/>
      </c>
      <c r="J52" s="16">
        <f>IF(OR(G52="",H52=""),"",G52/H52)</f>
        <v/>
      </c>
      <c r="K52" s="16">
        <f>IF(OR(G52="",I52=""),"",G52/I52)</f>
        <v/>
      </c>
      <c r="L52" s="14">
        <f>INDEX('4_UK_Beta_Input'!$D$5:$D$15,MATCH($C52,'4_UK_Beta_Input'!$A$5:$A$15,0))</f>
        <v/>
      </c>
      <c r="M52" s="14">
        <f>INDEX('4_UK_Beta_Input'!$D$20:$D$44,MATCH($E52,'4_UK_Beta_Input'!$A$20:$A$44,0))</f>
        <v/>
      </c>
      <c r="N52" s="14">
        <f>INDEX('4_UK_Beta_Input'!$D$49:$D$122,MATCH($D52,'4_UK_Beta_Input'!$A$49:$A$122,0))</f>
        <v/>
      </c>
      <c r="O52" s="14">
        <f>INDEX('4_UK_Beta_Input'!$D$127:$D$289,MATCH($A52,'4_UK_Beta_Input'!$A$127:$A$289,0))</f>
        <v/>
      </c>
      <c r="P52" s="16">
        <f>(M52/L52)*(N52/M52)*(O52/N52)</f>
        <v/>
      </c>
      <c r="Q52" s="17">
        <f>IF(J52="",INDEX('3_UK_L1_Input'!$D$4:$D$14,MATCH($C52,'3_UK_L1_Input'!$A$4:$A$14,0))*P52,INDEX('3_UK_L1_Input'!$D$4:$D$14,MATCH($C52,'3_UK_L1_Input'!$A$4:$A$14,0))*J52)</f>
        <v/>
      </c>
      <c r="R52" s="17">
        <f>IF(K52="",INDEX('3_UK_L1_Input'!$D$4:$D$14,MATCH($C52,'3_UK_L1_Input'!$A$4:$A$14,0))*P52,INDEX('3_UK_L1_Input'!$D$4:$D$14,MATCH($C52,'3_UK_L1_Input'!$A$4:$A$14,0))*K52)</f>
        <v/>
      </c>
      <c r="S52" s="19">
        <f>IF(G52="","BETA CASCADE FALLBACK (dummy — replace with real beta)","REAL (Bloomberg UK)")</f>
        <v/>
      </c>
      <c r="T52" s="17">
        <f>INDEX('3_UK_L1_Input'!$C$4:$C$14,MATCH($C52,'3_UK_L1_Input'!$A$4:$A$14,0))</f>
        <v/>
      </c>
      <c r="U52" s="17">
        <f>INDEX('3_UK_L1_Input'!$C$4:$C$14,MATCH($C52,'3_UK_L1_Input'!$A$4:$A$14,0))*P52</f>
        <v/>
      </c>
      <c r="V52" s="15">
        <f>INDEX('5_UK_DefaultRisk_Input'!$D$5:$D$15,MATCH($C52,'5_UK_DefaultRisk_Input'!$A$5:$A$15,0))</f>
        <v/>
      </c>
      <c r="W52" s="15">
        <f>INDEX('5_UK_DefaultRisk_Input'!$D$20:$D$44,MATCH($E52,'5_UK_DefaultRisk_Input'!$A$20:$A$44,0))</f>
        <v/>
      </c>
      <c r="X52" s="15">
        <f>INDEX('5_UK_DefaultRisk_Input'!$D$49:$D$122,MATCH($D52,'5_UK_DefaultRisk_Input'!$A$49:$A$122,0))</f>
        <v/>
      </c>
      <c r="Y52" s="15">
        <f>INDEX('5_UK_DefaultRisk_Input'!$D$127:$D$289,MATCH($A52,'5_UK_DefaultRisk_Input'!$A$127:$A$289,0))</f>
        <v/>
      </c>
      <c r="Z52" s="16">
        <f>(W52/V52)*(X52/W52)*(Y52/X52)</f>
        <v/>
      </c>
      <c r="AA52" s="17">
        <f>INDEX('3_UK_L1_Input'!$D$4:$D$14,MATCH($C52,'3_UK_L1_Input'!$A$4:$A$14,0))*Z52</f>
        <v/>
      </c>
    </row>
    <row r="53">
      <c r="A53" s="7" t="n">
        <v>20305030</v>
      </c>
      <c r="B53" s="7" t="inlineStr">
        <is>
          <t>Marine Ports &amp; Services</t>
        </is>
      </c>
      <c r="C53" s="7" t="n">
        <v>20</v>
      </c>
      <c r="D53" s="7" t="n">
        <v>203050</v>
      </c>
      <c r="E53" s="7" t="n">
        <v>2030</v>
      </c>
      <c r="F53" s="9" t="n">
        <v>180500000</v>
      </c>
      <c r="G53" s="10" t="n">
        <v>4.85</v>
      </c>
      <c r="H53" s="16">
        <f>IFERROR(SUMPRODUCT(($C$3:$C$165=C53)*ISNUMBER($G$3:$G$165)*ISNUMBER($F$3:$F$165)*IF(ISNUMBER($F$3:$F$165),$F$3:$F$165,0)*IF(ISNUMBER($G$3:$G$165),$G$3:$G$165,0))/SUMPRODUCT(($C$3:$C$165=C53)*ISNUMBER($G$3:$G$165)*ISNUMBER($F$3:$F$165)*IF(ISNUMBER($F$3:$F$165),$F$3:$F$165,0)),"")</f>
        <v/>
      </c>
      <c r="I53" s="16">
        <f>IFERROR(SUMPRODUCT(($C$3:$C$165=C53)*ISNUMBER($G$3:$G$165)*IF(ISNUMBER($G$3:$G$165),$G$3:$G$165,0))/SUMPRODUCT(($C$3:$C$165=C53)*ISNUMBER($G$3:$G$165)),"")</f>
        <v/>
      </c>
      <c r="J53" s="16">
        <f>IF(OR(G53="",H53=""),"",G53/H53)</f>
        <v/>
      </c>
      <c r="K53" s="16">
        <f>IF(OR(G53="",I53=""),"",G53/I53)</f>
        <v/>
      </c>
      <c r="L53" s="14">
        <f>INDEX('4_UK_Beta_Input'!$D$5:$D$15,MATCH($C53,'4_UK_Beta_Input'!$A$5:$A$15,0))</f>
        <v/>
      </c>
      <c r="M53" s="14">
        <f>INDEX('4_UK_Beta_Input'!$D$20:$D$44,MATCH($E53,'4_UK_Beta_Input'!$A$20:$A$44,0))</f>
        <v/>
      </c>
      <c r="N53" s="14">
        <f>INDEX('4_UK_Beta_Input'!$D$49:$D$122,MATCH($D53,'4_UK_Beta_Input'!$A$49:$A$122,0))</f>
        <v/>
      </c>
      <c r="O53" s="14">
        <f>INDEX('4_UK_Beta_Input'!$D$127:$D$289,MATCH($A53,'4_UK_Beta_Input'!$A$127:$A$289,0))</f>
        <v/>
      </c>
      <c r="P53" s="16">
        <f>(M53/L53)*(N53/M53)*(O53/N53)</f>
        <v/>
      </c>
      <c r="Q53" s="17">
        <f>IF(J53="",INDEX('3_UK_L1_Input'!$D$4:$D$14,MATCH($C53,'3_UK_L1_Input'!$A$4:$A$14,0))*P53,INDEX('3_UK_L1_Input'!$D$4:$D$14,MATCH($C53,'3_UK_L1_Input'!$A$4:$A$14,0))*J53)</f>
        <v/>
      </c>
      <c r="R53" s="17">
        <f>IF(K53="",INDEX('3_UK_L1_Input'!$D$4:$D$14,MATCH($C53,'3_UK_L1_Input'!$A$4:$A$14,0))*P53,INDEX('3_UK_L1_Input'!$D$4:$D$14,MATCH($C53,'3_UK_L1_Input'!$A$4:$A$14,0))*K53)</f>
        <v/>
      </c>
      <c r="S53" s="18">
        <f>IF(G53="","BETA CASCADE FALLBACK (dummy — replace with real beta)","REAL (Bloomberg UK)")</f>
        <v/>
      </c>
      <c r="T53" s="17">
        <f>INDEX('3_UK_L1_Input'!$C$4:$C$14,MATCH($C53,'3_UK_L1_Input'!$A$4:$A$14,0))</f>
        <v/>
      </c>
      <c r="U53" s="17">
        <f>INDEX('3_UK_L1_Input'!$C$4:$C$14,MATCH($C53,'3_UK_L1_Input'!$A$4:$A$14,0))*P53</f>
        <v/>
      </c>
      <c r="V53" s="15">
        <f>INDEX('5_UK_DefaultRisk_Input'!$D$5:$D$15,MATCH($C53,'5_UK_DefaultRisk_Input'!$A$5:$A$15,0))</f>
        <v/>
      </c>
      <c r="W53" s="15">
        <f>INDEX('5_UK_DefaultRisk_Input'!$D$20:$D$44,MATCH($E53,'5_UK_DefaultRisk_Input'!$A$20:$A$44,0))</f>
        <v/>
      </c>
      <c r="X53" s="15">
        <f>INDEX('5_UK_DefaultRisk_Input'!$D$49:$D$122,MATCH($D53,'5_UK_DefaultRisk_Input'!$A$49:$A$122,0))</f>
        <v/>
      </c>
      <c r="Y53" s="15">
        <f>INDEX('5_UK_DefaultRisk_Input'!$D$127:$D$289,MATCH($A53,'5_UK_DefaultRisk_Input'!$A$127:$A$289,0))</f>
        <v/>
      </c>
      <c r="Z53" s="16">
        <f>(W53/V53)*(X53/W53)*(Y53/X53)</f>
        <v/>
      </c>
      <c r="AA53" s="17">
        <f>INDEX('3_UK_L1_Input'!$D$4:$D$14,MATCH($C53,'3_UK_L1_Input'!$A$4:$A$14,0))*Z53</f>
        <v/>
      </c>
    </row>
    <row r="54">
      <c r="A54" s="7" t="n">
        <v>25101010</v>
      </c>
      <c r="B54" s="7" t="inlineStr">
        <is>
          <t>Automotive Parts &amp; Equipment</t>
        </is>
      </c>
      <c r="C54" s="7" t="n">
        <v>25</v>
      </c>
      <c r="D54" s="7" t="n">
        <v>251010</v>
      </c>
      <c r="E54" s="7" t="n">
        <v>2510</v>
      </c>
      <c r="F54" s="9" t="n">
        <v>127580000</v>
      </c>
      <c r="G54" s="10" t="n">
        <v>8.119999999999999</v>
      </c>
      <c r="H54" s="16">
        <f>IFERROR(SUMPRODUCT(($C$3:$C$165=C54)*ISNUMBER($G$3:$G$165)*ISNUMBER($F$3:$F$165)*IF(ISNUMBER($F$3:$F$165),$F$3:$F$165,0)*IF(ISNUMBER($G$3:$G$165),$G$3:$G$165,0))/SUMPRODUCT(($C$3:$C$165=C54)*ISNUMBER($G$3:$G$165)*ISNUMBER($F$3:$F$165)*IF(ISNUMBER($F$3:$F$165),$F$3:$F$165,0)),"")</f>
        <v/>
      </c>
      <c r="I54" s="16">
        <f>IFERROR(SUMPRODUCT(($C$3:$C$165=C54)*ISNUMBER($G$3:$G$165)*IF(ISNUMBER($G$3:$G$165),$G$3:$G$165,0))/SUMPRODUCT(($C$3:$C$165=C54)*ISNUMBER($G$3:$G$165)),"")</f>
        <v/>
      </c>
      <c r="J54" s="16">
        <f>IF(OR(G54="",H54=""),"",G54/H54)</f>
        <v/>
      </c>
      <c r="K54" s="16">
        <f>IF(OR(G54="",I54=""),"",G54/I54)</f>
        <v/>
      </c>
      <c r="L54" s="14">
        <f>INDEX('4_UK_Beta_Input'!$D$5:$D$15,MATCH($C54,'4_UK_Beta_Input'!$A$5:$A$15,0))</f>
        <v/>
      </c>
      <c r="M54" s="14">
        <f>INDEX('4_UK_Beta_Input'!$D$20:$D$44,MATCH($E54,'4_UK_Beta_Input'!$A$20:$A$44,0))</f>
        <v/>
      </c>
      <c r="N54" s="14">
        <f>INDEX('4_UK_Beta_Input'!$D$49:$D$122,MATCH($D54,'4_UK_Beta_Input'!$A$49:$A$122,0))</f>
        <v/>
      </c>
      <c r="O54" s="14">
        <f>INDEX('4_UK_Beta_Input'!$D$127:$D$289,MATCH($A54,'4_UK_Beta_Input'!$A$127:$A$289,0))</f>
        <v/>
      </c>
      <c r="P54" s="16">
        <f>(M54/L54)*(N54/M54)*(O54/N54)</f>
        <v/>
      </c>
      <c r="Q54" s="17">
        <f>IF(J54="",INDEX('3_UK_L1_Input'!$D$4:$D$14,MATCH($C54,'3_UK_L1_Input'!$A$4:$A$14,0))*P54,INDEX('3_UK_L1_Input'!$D$4:$D$14,MATCH($C54,'3_UK_L1_Input'!$A$4:$A$14,0))*J54)</f>
        <v/>
      </c>
      <c r="R54" s="17">
        <f>IF(K54="",INDEX('3_UK_L1_Input'!$D$4:$D$14,MATCH($C54,'3_UK_L1_Input'!$A$4:$A$14,0))*P54,INDEX('3_UK_L1_Input'!$D$4:$D$14,MATCH($C54,'3_UK_L1_Input'!$A$4:$A$14,0))*K54)</f>
        <v/>
      </c>
      <c r="S54" s="18">
        <f>IF(G54="","BETA CASCADE FALLBACK (dummy — replace with real beta)","REAL (Bloomberg UK)")</f>
        <v/>
      </c>
      <c r="T54" s="17">
        <f>INDEX('3_UK_L1_Input'!$C$4:$C$14,MATCH($C54,'3_UK_L1_Input'!$A$4:$A$14,0))</f>
        <v/>
      </c>
      <c r="U54" s="17">
        <f>INDEX('3_UK_L1_Input'!$C$4:$C$14,MATCH($C54,'3_UK_L1_Input'!$A$4:$A$14,0))*P54</f>
        <v/>
      </c>
      <c r="V54" s="15">
        <f>INDEX('5_UK_DefaultRisk_Input'!$D$5:$D$15,MATCH($C54,'5_UK_DefaultRisk_Input'!$A$5:$A$15,0))</f>
        <v/>
      </c>
      <c r="W54" s="15">
        <f>INDEX('5_UK_DefaultRisk_Input'!$D$20:$D$44,MATCH($E54,'5_UK_DefaultRisk_Input'!$A$20:$A$44,0))</f>
        <v/>
      </c>
      <c r="X54" s="15">
        <f>INDEX('5_UK_DefaultRisk_Input'!$D$49:$D$122,MATCH($D54,'5_UK_DefaultRisk_Input'!$A$49:$A$122,0))</f>
        <v/>
      </c>
      <c r="Y54" s="15">
        <f>INDEX('5_UK_DefaultRisk_Input'!$D$127:$D$289,MATCH($A54,'5_UK_DefaultRisk_Input'!$A$127:$A$289,0))</f>
        <v/>
      </c>
      <c r="Z54" s="16">
        <f>(W54/V54)*(X54/W54)*(Y54/X54)</f>
        <v/>
      </c>
      <c r="AA54" s="17">
        <f>INDEX('3_UK_L1_Input'!$D$4:$D$14,MATCH($C54,'3_UK_L1_Input'!$A$4:$A$14,0))*Z54</f>
        <v/>
      </c>
    </row>
    <row r="55">
      <c r="A55" s="7" t="n">
        <v>25101020</v>
      </c>
      <c r="B55" s="7" t="inlineStr">
        <is>
          <t>Tires &amp; Rubber</t>
        </is>
      </c>
      <c r="C55" s="7" t="n">
        <v>25</v>
      </c>
      <c r="D55" s="7" t="n">
        <v>251010</v>
      </c>
      <c r="E55" s="7" t="n">
        <v>2510</v>
      </c>
      <c r="F55" s="8" t="n"/>
      <c r="G55" s="8" t="n"/>
      <c r="H55" s="16">
        <f>IFERROR(SUMPRODUCT(($C$3:$C$165=C55)*ISNUMBER($G$3:$G$165)*ISNUMBER($F$3:$F$165)*IF(ISNUMBER($F$3:$F$165),$F$3:$F$165,0)*IF(ISNUMBER($G$3:$G$165),$G$3:$G$165,0))/SUMPRODUCT(($C$3:$C$165=C55)*ISNUMBER($G$3:$G$165)*ISNUMBER($F$3:$F$165)*IF(ISNUMBER($F$3:$F$165),$F$3:$F$165,0)),"")</f>
        <v/>
      </c>
      <c r="I55" s="16">
        <f>IFERROR(SUMPRODUCT(($C$3:$C$165=C55)*ISNUMBER($G$3:$G$165)*IF(ISNUMBER($G$3:$G$165),$G$3:$G$165,0))/SUMPRODUCT(($C$3:$C$165=C55)*ISNUMBER($G$3:$G$165)),"")</f>
        <v/>
      </c>
      <c r="J55" s="16">
        <f>IF(OR(G55="",H55=""),"",G55/H55)</f>
        <v/>
      </c>
      <c r="K55" s="16">
        <f>IF(OR(G55="",I55=""),"",G55/I55)</f>
        <v/>
      </c>
      <c r="L55" s="14">
        <f>INDEX('4_UK_Beta_Input'!$D$5:$D$15,MATCH($C55,'4_UK_Beta_Input'!$A$5:$A$15,0))</f>
        <v/>
      </c>
      <c r="M55" s="14">
        <f>INDEX('4_UK_Beta_Input'!$D$20:$D$44,MATCH($E55,'4_UK_Beta_Input'!$A$20:$A$44,0))</f>
        <v/>
      </c>
      <c r="N55" s="14">
        <f>INDEX('4_UK_Beta_Input'!$D$49:$D$122,MATCH($D55,'4_UK_Beta_Input'!$A$49:$A$122,0))</f>
        <v/>
      </c>
      <c r="O55" s="14">
        <f>INDEX('4_UK_Beta_Input'!$D$127:$D$289,MATCH($A55,'4_UK_Beta_Input'!$A$127:$A$289,0))</f>
        <v/>
      </c>
      <c r="P55" s="16">
        <f>(M55/L55)*(N55/M55)*(O55/N55)</f>
        <v/>
      </c>
      <c r="Q55" s="17">
        <f>IF(J55="",INDEX('3_UK_L1_Input'!$D$4:$D$14,MATCH($C55,'3_UK_L1_Input'!$A$4:$A$14,0))*P55,INDEX('3_UK_L1_Input'!$D$4:$D$14,MATCH($C55,'3_UK_L1_Input'!$A$4:$A$14,0))*J55)</f>
        <v/>
      </c>
      <c r="R55" s="17">
        <f>IF(K55="",INDEX('3_UK_L1_Input'!$D$4:$D$14,MATCH($C55,'3_UK_L1_Input'!$A$4:$A$14,0))*P55,INDEX('3_UK_L1_Input'!$D$4:$D$14,MATCH($C55,'3_UK_L1_Input'!$A$4:$A$14,0))*K55)</f>
        <v/>
      </c>
      <c r="S55" s="19">
        <f>IF(G55="","BETA CASCADE FALLBACK (dummy — replace with real beta)","REAL (Bloomberg UK)")</f>
        <v/>
      </c>
      <c r="T55" s="17">
        <f>INDEX('3_UK_L1_Input'!$C$4:$C$14,MATCH($C55,'3_UK_L1_Input'!$A$4:$A$14,0))</f>
        <v/>
      </c>
      <c r="U55" s="17">
        <f>INDEX('3_UK_L1_Input'!$C$4:$C$14,MATCH($C55,'3_UK_L1_Input'!$A$4:$A$14,0))*P55</f>
        <v/>
      </c>
      <c r="V55" s="15">
        <f>INDEX('5_UK_DefaultRisk_Input'!$D$5:$D$15,MATCH($C55,'5_UK_DefaultRisk_Input'!$A$5:$A$15,0))</f>
        <v/>
      </c>
      <c r="W55" s="15">
        <f>INDEX('5_UK_DefaultRisk_Input'!$D$20:$D$44,MATCH($E55,'5_UK_DefaultRisk_Input'!$A$20:$A$44,0))</f>
        <v/>
      </c>
      <c r="X55" s="15">
        <f>INDEX('5_UK_DefaultRisk_Input'!$D$49:$D$122,MATCH($D55,'5_UK_DefaultRisk_Input'!$A$49:$A$122,0))</f>
        <v/>
      </c>
      <c r="Y55" s="15">
        <f>INDEX('5_UK_DefaultRisk_Input'!$D$127:$D$289,MATCH($A55,'5_UK_DefaultRisk_Input'!$A$127:$A$289,0))</f>
        <v/>
      </c>
      <c r="Z55" s="16">
        <f>(W55/V55)*(X55/W55)*(Y55/X55)</f>
        <v/>
      </c>
      <c r="AA55" s="17">
        <f>INDEX('3_UK_L1_Input'!$D$4:$D$14,MATCH($C55,'3_UK_L1_Input'!$A$4:$A$14,0))*Z55</f>
        <v/>
      </c>
    </row>
    <row r="56">
      <c r="A56" s="7" t="n">
        <v>25102010</v>
      </c>
      <c r="B56" s="7" t="inlineStr">
        <is>
          <t>Automobile Manufacturers</t>
        </is>
      </c>
      <c r="C56" s="7" t="n">
        <v>25</v>
      </c>
      <c r="D56" s="7" t="n">
        <v>251020</v>
      </c>
      <c r="E56" s="7" t="n">
        <v>2510</v>
      </c>
      <c r="F56" s="9" t="n">
        <v>1430000000</v>
      </c>
      <c r="G56" s="10" t="n">
        <v>6.3</v>
      </c>
      <c r="H56" s="16">
        <f>IFERROR(SUMPRODUCT(($C$3:$C$165=C56)*ISNUMBER($G$3:$G$165)*ISNUMBER($F$3:$F$165)*IF(ISNUMBER($F$3:$F$165),$F$3:$F$165,0)*IF(ISNUMBER($G$3:$G$165),$G$3:$G$165,0))/SUMPRODUCT(($C$3:$C$165=C56)*ISNUMBER($G$3:$G$165)*ISNUMBER($F$3:$F$165)*IF(ISNUMBER($F$3:$F$165),$F$3:$F$165,0)),"")</f>
        <v/>
      </c>
      <c r="I56" s="16">
        <f>IFERROR(SUMPRODUCT(($C$3:$C$165=C56)*ISNUMBER($G$3:$G$165)*IF(ISNUMBER($G$3:$G$165),$G$3:$G$165,0))/SUMPRODUCT(($C$3:$C$165=C56)*ISNUMBER($G$3:$G$165)),"")</f>
        <v/>
      </c>
      <c r="J56" s="16">
        <f>IF(OR(G56="",H56=""),"",G56/H56)</f>
        <v/>
      </c>
      <c r="K56" s="16">
        <f>IF(OR(G56="",I56=""),"",G56/I56)</f>
        <v/>
      </c>
      <c r="L56" s="14">
        <f>INDEX('4_UK_Beta_Input'!$D$5:$D$15,MATCH($C56,'4_UK_Beta_Input'!$A$5:$A$15,0))</f>
        <v/>
      </c>
      <c r="M56" s="14">
        <f>INDEX('4_UK_Beta_Input'!$D$20:$D$44,MATCH($E56,'4_UK_Beta_Input'!$A$20:$A$44,0))</f>
        <v/>
      </c>
      <c r="N56" s="14">
        <f>INDEX('4_UK_Beta_Input'!$D$49:$D$122,MATCH($D56,'4_UK_Beta_Input'!$A$49:$A$122,0))</f>
        <v/>
      </c>
      <c r="O56" s="14">
        <f>INDEX('4_UK_Beta_Input'!$D$127:$D$289,MATCH($A56,'4_UK_Beta_Input'!$A$127:$A$289,0))</f>
        <v/>
      </c>
      <c r="P56" s="16">
        <f>(M56/L56)*(N56/M56)*(O56/N56)</f>
        <v/>
      </c>
      <c r="Q56" s="17">
        <f>IF(J56="",INDEX('3_UK_L1_Input'!$D$4:$D$14,MATCH($C56,'3_UK_L1_Input'!$A$4:$A$14,0))*P56,INDEX('3_UK_L1_Input'!$D$4:$D$14,MATCH($C56,'3_UK_L1_Input'!$A$4:$A$14,0))*J56)</f>
        <v/>
      </c>
      <c r="R56" s="17">
        <f>IF(K56="",INDEX('3_UK_L1_Input'!$D$4:$D$14,MATCH($C56,'3_UK_L1_Input'!$A$4:$A$14,0))*P56,INDEX('3_UK_L1_Input'!$D$4:$D$14,MATCH($C56,'3_UK_L1_Input'!$A$4:$A$14,0))*K56)</f>
        <v/>
      </c>
      <c r="S56" s="18">
        <f>IF(G56="","BETA CASCADE FALLBACK (dummy — replace with real beta)","REAL (Bloomberg UK)")</f>
        <v/>
      </c>
      <c r="T56" s="17">
        <f>INDEX('3_UK_L1_Input'!$C$4:$C$14,MATCH($C56,'3_UK_L1_Input'!$A$4:$A$14,0))</f>
        <v/>
      </c>
      <c r="U56" s="17">
        <f>INDEX('3_UK_L1_Input'!$C$4:$C$14,MATCH($C56,'3_UK_L1_Input'!$A$4:$A$14,0))*P56</f>
        <v/>
      </c>
      <c r="V56" s="15">
        <f>INDEX('5_UK_DefaultRisk_Input'!$D$5:$D$15,MATCH($C56,'5_UK_DefaultRisk_Input'!$A$5:$A$15,0))</f>
        <v/>
      </c>
      <c r="W56" s="15">
        <f>INDEX('5_UK_DefaultRisk_Input'!$D$20:$D$44,MATCH($E56,'5_UK_DefaultRisk_Input'!$A$20:$A$44,0))</f>
        <v/>
      </c>
      <c r="X56" s="15">
        <f>INDEX('5_UK_DefaultRisk_Input'!$D$49:$D$122,MATCH($D56,'5_UK_DefaultRisk_Input'!$A$49:$A$122,0))</f>
        <v/>
      </c>
      <c r="Y56" s="15">
        <f>INDEX('5_UK_DefaultRisk_Input'!$D$127:$D$289,MATCH($A56,'5_UK_DefaultRisk_Input'!$A$127:$A$289,0))</f>
        <v/>
      </c>
      <c r="Z56" s="16">
        <f>(W56/V56)*(X56/W56)*(Y56/X56)</f>
        <v/>
      </c>
      <c r="AA56" s="17">
        <f>INDEX('3_UK_L1_Input'!$D$4:$D$14,MATCH($C56,'3_UK_L1_Input'!$A$4:$A$14,0))*Z56</f>
        <v/>
      </c>
    </row>
    <row r="57">
      <c r="A57" s="7" t="n">
        <v>25102020</v>
      </c>
      <c r="B57" s="7" t="inlineStr">
        <is>
          <t>Motorcycle Manufacturers</t>
        </is>
      </c>
      <c r="C57" s="7" t="n">
        <v>25</v>
      </c>
      <c r="D57" s="7" t="n">
        <v>251020</v>
      </c>
      <c r="E57" s="7" t="n">
        <v>2510</v>
      </c>
      <c r="F57" s="8" t="n"/>
      <c r="G57" s="8" t="n"/>
      <c r="H57" s="16">
        <f>IFERROR(SUMPRODUCT(($C$3:$C$165=C57)*ISNUMBER($G$3:$G$165)*ISNUMBER($F$3:$F$165)*IF(ISNUMBER($F$3:$F$165),$F$3:$F$165,0)*IF(ISNUMBER($G$3:$G$165),$G$3:$G$165,0))/SUMPRODUCT(($C$3:$C$165=C57)*ISNUMBER($G$3:$G$165)*ISNUMBER($F$3:$F$165)*IF(ISNUMBER($F$3:$F$165),$F$3:$F$165,0)),"")</f>
        <v/>
      </c>
      <c r="I57" s="16">
        <f>IFERROR(SUMPRODUCT(($C$3:$C$165=C57)*ISNUMBER($G$3:$G$165)*IF(ISNUMBER($G$3:$G$165),$G$3:$G$165,0))/SUMPRODUCT(($C$3:$C$165=C57)*ISNUMBER($G$3:$G$165)),"")</f>
        <v/>
      </c>
      <c r="J57" s="16">
        <f>IF(OR(G57="",H57=""),"",G57/H57)</f>
        <v/>
      </c>
      <c r="K57" s="16">
        <f>IF(OR(G57="",I57=""),"",G57/I57)</f>
        <v/>
      </c>
      <c r="L57" s="14">
        <f>INDEX('4_UK_Beta_Input'!$D$5:$D$15,MATCH($C57,'4_UK_Beta_Input'!$A$5:$A$15,0))</f>
        <v/>
      </c>
      <c r="M57" s="14">
        <f>INDEX('4_UK_Beta_Input'!$D$20:$D$44,MATCH($E57,'4_UK_Beta_Input'!$A$20:$A$44,0))</f>
        <v/>
      </c>
      <c r="N57" s="14">
        <f>INDEX('4_UK_Beta_Input'!$D$49:$D$122,MATCH($D57,'4_UK_Beta_Input'!$A$49:$A$122,0))</f>
        <v/>
      </c>
      <c r="O57" s="14">
        <f>INDEX('4_UK_Beta_Input'!$D$127:$D$289,MATCH($A57,'4_UK_Beta_Input'!$A$127:$A$289,0))</f>
        <v/>
      </c>
      <c r="P57" s="16">
        <f>(M57/L57)*(N57/M57)*(O57/N57)</f>
        <v/>
      </c>
      <c r="Q57" s="17">
        <f>IF(J57="",INDEX('3_UK_L1_Input'!$D$4:$D$14,MATCH($C57,'3_UK_L1_Input'!$A$4:$A$14,0))*P57,INDEX('3_UK_L1_Input'!$D$4:$D$14,MATCH($C57,'3_UK_L1_Input'!$A$4:$A$14,0))*J57)</f>
        <v/>
      </c>
      <c r="R57" s="17">
        <f>IF(K57="",INDEX('3_UK_L1_Input'!$D$4:$D$14,MATCH($C57,'3_UK_L1_Input'!$A$4:$A$14,0))*P57,INDEX('3_UK_L1_Input'!$D$4:$D$14,MATCH($C57,'3_UK_L1_Input'!$A$4:$A$14,0))*K57)</f>
        <v/>
      </c>
      <c r="S57" s="19">
        <f>IF(G57="","BETA CASCADE FALLBACK (dummy — replace with real beta)","REAL (Bloomberg UK)")</f>
        <v/>
      </c>
      <c r="T57" s="17">
        <f>INDEX('3_UK_L1_Input'!$C$4:$C$14,MATCH($C57,'3_UK_L1_Input'!$A$4:$A$14,0))</f>
        <v/>
      </c>
      <c r="U57" s="17">
        <f>INDEX('3_UK_L1_Input'!$C$4:$C$14,MATCH($C57,'3_UK_L1_Input'!$A$4:$A$14,0))*P57</f>
        <v/>
      </c>
      <c r="V57" s="15">
        <f>INDEX('5_UK_DefaultRisk_Input'!$D$5:$D$15,MATCH($C57,'5_UK_DefaultRisk_Input'!$A$5:$A$15,0))</f>
        <v/>
      </c>
      <c r="W57" s="15">
        <f>INDEX('5_UK_DefaultRisk_Input'!$D$20:$D$44,MATCH($E57,'5_UK_DefaultRisk_Input'!$A$20:$A$44,0))</f>
        <v/>
      </c>
      <c r="X57" s="15">
        <f>INDEX('5_UK_DefaultRisk_Input'!$D$49:$D$122,MATCH($D57,'5_UK_DefaultRisk_Input'!$A$49:$A$122,0))</f>
        <v/>
      </c>
      <c r="Y57" s="15">
        <f>INDEX('5_UK_DefaultRisk_Input'!$D$127:$D$289,MATCH($A57,'5_UK_DefaultRisk_Input'!$A$127:$A$289,0))</f>
        <v/>
      </c>
      <c r="Z57" s="16">
        <f>(W57/V57)*(X57/W57)*(Y57/X57)</f>
        <v/>
      </c>
      <c r="AA57" s="17">
        <f>INDEX('3_UK_L1_Input'!$D$4:$D$14,MATCH($C57,'3_UK_L1_Input'!$A$4:$A$14,0))*Z57</f>
        <v/>
      </c>
    </row>
    <row r="58">
      <c r="A58" s="7" t="n">
        <v>25201010</v>
      </c>
      <c r="B58" s="7" t="inlineStr">
        <is>
          <t>Consumer Electronics</t>
        </is>
      </c>
      <c r="C58" s="7" t="n">
        <v>25</v>
      </c>
      <c r="D58" s="7" t="n">
        <v>252010</v>
      </c>
      <c r="E58" s="7" t="n">
        <v>2520</v>
      </c>
      <c r="F58" s="9" t="n">
        <v>196060000</v>
      </c>
      <c r="G58" s="10" t="n">
        <v>7.26</v>
      </c>
      <c r="H58" s="16">
        <f>IFERROR(SUMPRODUCT(($C$3:$C$165=C58)*ISNUMBER($G$3:$G$165)*ISNUMBER($F$3:$F$165)*IF(ISNUMBER($F$3:$F$165),$F$3:$F$165,0)*IF(ISNUMBER($G$3:$G$165),$G$3:$G$165,0))/SUMPRODUCT(($C$3:$C$165=C58)*ISNUMBER($G$3:$G$165)*ISNUMBER($F$3:$F$165)*IF(ISNUMBER($F$3:$F$165),$F$3:$F$165,0)),"")</f>
        <v/>
      </c>
      <c r="I58" s="16">
        <f>IFERROR(SUMPRODUCT(($C$3:$C$165=C58)*ISNUMBER($G$3:$G$165)*IF(ISNUMBER($G$3:$G$165),$G$3:$G$165,0))/SUMPRODUCT(($C$3:$C$165=C58)*ISNUMBER($G$3:$G$165)),"")</f>
        <v/>
      </c>
      <c r="J58" s="16">
        <f>IF(OR(G58="",H58=""),"",G58/H58)</f>
        <v/>
      </c>
      <c r="K58" s="16">
        <f>IF(OR(G58="",I58=""),"",G58/I58)</f>
        <v/>
      </c>
      <c r="L58" s="14">
        <f>INDEX('4_UK_Beta_Input'!$D$5:$D$15,MATCH($C58,'4_UK_Beta_Input'!$A$5:$A$15,0))</f>
        <v/>
      </c>
      <c r="M58" s="14">
        <f>INDEX('4_UK_Beta_Input'!$D$20:$D$44,MATCH($E58,'4_UK_Beta_Input'!$A$20:$A$44,0))</f>
        <v/>
      </c>
      <c r="N58" s="14">
        <f>INDEX('4_UK_Beta_Input'!$D$49:$D$122,MATCH($D58,'4_UK_Beta_Input'!$A$49:$A$122,0))</f>
        <v/>
      </c>
      <c r="O58" s="14">
        <f>INDEX('4_UK_Beta_Input'!$D$127:$D$289,MATCH($A58,'4_UK_Beta_Input'!$A$127:$A$289,0))</f>
        <v/>
      </c>
      <c r="P58" s="16">
        <f>(M58/L58)*(N58/M58)*(O58/N58)</f>
        <v/>
      </c>
      <c r="Q58" s="17">
        <f>IF(J58="",INDEX('3_UK_L1_Input'!$D$4:$D$14,MATCH($C58,'3_UK_L1_Input'!$A$4:$A$14,0))*P58,INDEX('3_UK_L1_Input'!$D$4:$D$14,MATCH($C58,'3_UK_L1_Input'!$A$4:$A$14,0))*J58)</f>
        <v/>
      </c>
      <c r="R58" s="17">
        <f>IF(K58="",INDEX('3_UK_L1_Input'!$D$4:$D$14,MATCH($C58,'3_UK_L1_Input'!$A$4:$A$14,0))*P58,INDEX('3_UK_L1_Input'!$D$4:$D$14,MATCH($C58,'3_UK_L1_Input'!$A$4:$A$14,0))*K58)</f>
        <v/>
      </c>
      <c r="S58" s="18">
        <f>IF(G58="","BETA CASCADE FALLBACK (dummy — replace with real beta)","REAL (Bloomberg UK)")</f>
        <v/>
      </c>
      <c r="T58" s="17">
        <f>INDEX('3_UK_L1_Input'!$C$4:$C$14,MATCH($C58,'3_UK_L1_Input'!$A$4:$A$14,0))</f>
        <v/>
      </c>
      <c r="U58" s="17">
        <f>INDEX('3_UK_L1_Input'!$C$4:$C$14,MATCH($C58,'3_UK_L1_Input'!$A$4:$A$14,0))*P58</f>
        <v/>
      </c>
      <c r="V58" s="15">
        <f>INDEX('5_UK_DefaultRisk_Input'!$D$5:$D$15,MATCH($C58,'5_UK_DefaultRisk_Input'!$A$5:$A$15,0))</f>
        <v/>
      </c>
      <c r="W58" s="15">
        <f>INDEX('5_UK_DefaultRisk_Input'!$D$20:$D$44,MATCH($E58,'5_UK_DefaultRisk_Input'!$A$20:$A$44,0))</f>
        <v/>
      </c>
      <c r="X58" s="15">
        <f>INDEX('5_UK_DefaultRisk_Input'!$D$49:$D$122,MATCH($D58,'5_UK_DefaultRisk_Input'!$A$49:$A$122,0))</f>
        <v/>
      </c>
      <c r="Y58" s="15">
        <f>INDEX('5_UK_DefaultRisk_Input'!$D$127:$D$289,MATCH($A58,'5_UK_DefaultRisk_Input'!$A$127:$A$289,0))</f>
        <v/>
      </c>
      <c r="Z58" s="16">
        <f>(W58/V58)*(X58/W58)*(Y58/X58)</f>
        <v/>
      </c>
      <c r="AA58" s="17">
        <f>INDEX('3_UK_L1_Input'!$D$4:$D$14,MATCH($C58,'3_UK_L1_Input'!$A$4:$A$14,0))*Z58</f>
        <v/>
      </c>
    </row>
    <row r="59">
      <c r="A59" s="7" t="n">
        <v>25201020</v>
      </c>
      <c r="B59" s="7" t="inlineStr">
        <is>
          <t>Home Furnishings</t>
        </is>
      </c>
      <c r="C59" s="7" t="n">
        <v>25</v>
      </c>
      <c r="D59" s="7" t="n">
        <v>252010</v>
      </c>
      <c r="E59" s="7" t="n">
        <v>2520</v>
      </c>
      <c r="F59" s="9" t="n">
        <v>321410000</v>
      </c>
      <c r="G59" s="10" t="n">
        <v>6.76</v>
      </c>
      <c r="H59" s="16">
        <f>IFERROR(SUMPRODUCT(($C$3:$C$165=C59)*ISNUMBER($G$3:$G$165)*ISNUMBER($F$3:$F$165)*IF(ISNUMBER($F$3:$F$165),$F$3:$F$165,0)*IF(ISNUMBER($G$3:$G$165),$G$3:$G$165,0))/SUMPRODUCT(($C$3:$C$165=C59)*ISNUMBER($G$3:$G$165)*ISNUMBER($F$3:$F$165)*IF(ISNUMBER($F$3:$F$165),$F$3:$F$165,0)),"")</f>
        <v/>
      </c>
      <c r="I59" s="16">
        <f>IFERROR(SUMPRODUCT(($C$3:$C$165=C59)*ISNUMBER($G$3:$G$165)*IF(ISNUMBER($G$3:$G$165),$G$3:$G$165,0))/SUMPRODUCT(($C$3:$C$165=C59)*ISNUMBER($G$3:$G$165)),"")</f>
        <v/>
      </c>
      <c r="J59" s="16">
        <f>IF(OR(G59="",H59=""),"",G59/H59)</f>
        <v/>
      </c>
      <c r="K59" s="16">
        <f>IF(OR(G59="",I59=""),"",G59/I59)</f>
        <v/>
      </c>
      <c r="L59" s="14">
        <f>INDEX('4_UK_Beta_Input'!$D$5:$D$15,MATCH($C59,'4_UK_Beta_Input'!$A$5:$A$15,0))</f>
        <v/>
      </c>
      <c r="M59" s="14">
        <f>INDEX('4_UK_Beta_Input'!$D$20:$D$44,MATCH($E59,'4_UK_Beta_Input'!$A$20:$A$44,0))</f>
        <v/>
      </c>
      <c r="N59" s="14">
        <f>INDEX('4_UK_Beta_Input'!$D$49:$D$122,MATCH($D59,'4_UK_Beta_Input'!$A$49:$A$122,0))</f>
        <v/>
      </c>
      <c r="O59" s="14">
        <f>INDEX('4_UK_Beta_Input'!$D$127:$D$289,MATCH($A59,'4_UK_Beta_Input'!$A$127:$A$289,0))</f>
        <v/>
      </c>
      <c r="P59" s="16">
        <f>(M59/L59)*(N59/M59)*(O59/N59)</f>
        <v/>
      </c>
      <c r="Q59" s="17">
        <f>IF(J59="",INDEX('3_UK_L1_Input'!$D$4:$D$14,MATCH($C59,'3_UK_L1_Input'!$A$4:$A$14,0))*P59,INDEX('3_UK_L1_Input'!$D$4:$D$14,MATCH($C59,'3_UK_L1_Input'!$A$4:$A$14,0))*J59)</f>
        <v/>
      </c>
      <c r="R59" s="17">
        <f>IF(K59="",INDEX('3_UK_L1_Input'!$D$4:$D$14,MATCH($C59,'3_UK_L1_Input'!$A$4:$A$14,0))*P59,INDEX('3_UK_L1_Input'!$D$4:$D$14,MATCH($C59,'3_UK_L1_Input'!$A$4:$A$14,0))*K59)</f>
        <v/>
      </c>
      <c r="S59" s="18">
        <f>IF(G59="","BETA CASCADE FALLBACK (dummy — replace with real beta)","REAL (Bloomberg UK)")</f>
        <v/>
      </c>
      <c r="T59" s="17">
        <f>INDEX('3_UK_L1_Input'!$C$4:$C$14,MATCH($C59,'3_UK_L1_Input'!$A$4:$A$14,0))</f>
        <v/>
      </c>
      <c r="U59" s="17">
        <f>INDEX('3_UK_L1_Input'!$C$4:$C$14,MATCH($C59,'3_UK_L1_Input'!$A$4:$A$14,0))*P59</f>
        <v/>
      </c>
      <c r="V59" s="15">
        <f>INDEX('5_UK_DefaultRisk_Input'!$D$5:$D$15,MATCH($C59,'5_UK_DefaultRisk_Input'!$A$5:$A$15,0))</f>
        <v/>
      </c>
      <c r="W59" s="15">
        <f>INDEX('5_UK_DefaultRisk_Input'!$D$20:$D$44,MATCH($E59,'5_UK_DefaultRisk_Input'!$A$20:$A$44,0))</f>
        <v/>
      </c>
      <c r="X59" s="15">
        <f>INDEX('5_UK_DefaultRisk_Input'!$D$49:$D$122,MATCH($D59,'5_UK_DefaultRisk_Input'!$A$49:$A$122,0))</f>
        <v/>
      </c>
      <c r="Y59" s="15">
        <f>INDEX('5_UK_DefaultRisk_Input'!$D$127:$D$289,MATCH($A59,'5_UK_DefaultRisk_Input'!$A$127:$A$289,0))</f>
        <v/>
      </c>
      <c r="Z59" s="16">
        <f>(W59/V59)*(X59/W59)*(Y59/X59)</f>
        <v/>
      </c>
      <c r="AA59" s="17">
        <f>INDEX('3_UK_L1_Input'!$D$4:$D$14,MATCH($C59,'3_UK_L1_Input'!$A$4:$A$14,0))*Z59</f>
        <v/>
      </c>
    </row>
    <row r="60">
      <c r="A60" s="7" t="n">
        <v>25201030</v>
      </c>
      <c r="B60" s="7" t="inlineStr">
        <is>
          <t>Homebuilding</t>
        </is>
      </c>
      <c r="C60" s="7" t="n">
        <v>25</v>
      </c>
      <c r="D60" s="7" t="n">
        <v>252010</v>
      </c>
      <c r="E60" s="7" t="n">
        <v>2520</v>
      </c>
      <c r="F60" s="9" t="n">
        <v>2020000000</v>
      </c>
      <c r="G60" s="10" t="n">
        <v>7.39</v>
      </c>
      <c r="H60" s="16">
        <f>IFERROR(SUMPRODUCT(($C$3:$C$165=C60)*ISNUMBER($G$3:$G$165)*ISNUMBER($F$3:$F$165)*IF(ISNUMBER($F$3:$F$165),$F$3:$F$165,0)*IF(ISNUMBER($G$3:$G$165),$G$3:$G$165,0))/SUMPRODUCT(($C$3:$C$165=C60)*ISNUMBER($G$3:$G$165)*ISNUMBER($F$3:$F$165)*IF(ISNUMBER($F$3:$F$165),$F$3:$F$165,0)),"")</f>
        <v/>
      </c>
      <c r="I60" s="16">
        <f>IFERROR(SUMPRODUCT(($C$3:$C$165=C60)*ISNUMBER($G$3:$G$165)*IF(ISNUMBER($G$3:$G$165),$G$3:$G$165,0))/SUMPRODUCT(($C$3:$C$165=C60)*ISNUMBER($G$3:$G$165)),"")</f>
        <v/>
      </c>
      <c r="J60" s="16">
        <f>IF(OR(G60="",H60=""),"",G60/H60)</f>
        <v/>
      </c>
      <c r="K60" s="16">
        <f>IF(OR(G60="",I60=""),"",G60/I60)</f>
        <v/>
      </c>
      <c r="L60" s="14">
        <f>INDEX('4_UK_Beta_Input'!$D$5:$D$15,MATCH($C60,'4_UK_Beta_Input'!$A$5:$A$15,0))</f>
        <v/>
      </c>
      <c r="M60" s="14">
        <f>INDEX('4_UK_Beta_Input'!$D$20:$D$44,MATCH($E60,'4_UK_Beta_Input'!$A$20:$A$44,0))</f>
        <v/>
      </c>
      <c r="N60" s="14">
        <f>INDEX('4_UK_Beta_Input'!$D$49:$D$122,MATCH($D60,'4_UK_Beta_Input'!$A$49:$A$122,0))</f>
        <v/>
      </c>
      <c r="O60" s="14">
        <f>INDEX('4_UK_Beta_Input'!$D$127:$D$289,MATCH($A60,'4_UK_Beta_Input'!$A$127:$A$289,0))</f>
        <v/>
      </c>
      <c r="P60" s="16">
        <f>(M60/L60)*(N60/M60)*(O60/N60)</f>
        <v/>
      </c>
      <c r="Q60" s="17">
        <f>IF(J60="",INDEX('3_UK_L1_Input'!$D$4:$D$14,MATCH($C60,'3_UK_L1_Input'!$A$4:$A$14,0))*P60,INDEX('3_UK_L1_Input'!$D$4:$D$14,MATCH($C60,'3_UK_L1_Input'!$A$4:$A$14,0))*J60)</f>
        <v/>
      </c>
      <c r="R60" s="17">
        <f>IF(K60="",INDEX('3_UK_L1_Input'!$D$4:$D$14,MATCH($C60,'3_UK_L1_Input'!$A$4:$A$14,0))*P60,INDEX('3_UK_L1_Input'!$D$4:$D$14,MATCH($C60,'3_UK_L1_Input'!$A$4:$A$14,0))*K60)</f>
        <v/>
      </c>
      <c r="S60" s="18">
        <f>IF(G60="","BETA CASCADE FALLBACK (dummy — replace with real beta)","REAL (Bloomberg UK)")</f>
        <v/>
      </c>
      <c r="T60" s="17">
        <f>INDEX('3_UK_L1_Input'!$C$4:$C$14,MATCH($C60,'3_UK_L1_Input'!$A$4:$A$14,0))</f>
        <v/>
      </c>
      <c r="U60" s="17">
        <f>INDEX('3_UK_L1_Input'!$C$4:$C$14,MATCH($C60,'3_UK_L1_Input'!$A$4:$A$14,0))*P60</f>
        <v/>
      </c>
      <c r="V60" s="15">
        <f>INDEX('5_UK_DefaultRisk_Input'!$D$5:$D$15,MATCH($C60,'5_UK_DefaultRisk_Input'!$A$5:$A$15,0))</f>
        <v/>
      </c>
      <c r="W60" s="15">
        <f>INDEX('5_UK_DefaultRisk_Input'!$D$20:$D$44,MATCH($E60,'5_UK_DefaultRisk_Input'!$A$20:$A$44,0))</f>
        <v/>
      </c>
      <c r="X60" s="15">
        <f>INDEX('5_UK_DefaultRisk_Input'!$D$49:$D$122,MATCH($D60,'5_UK_DefaultRisk_Input'!$A$49:$A$122,0))</f>
        <v/>
      </c>
      <c r="Y60" s="15">
        <f>INDEX('5_UK_DefaultRisk_Input'!$D$127:$D$289,MATCH($A60,'5_UK_DefaultRisk_Input'!$A$127:$A$289,0))</f>
        <v/>
      </c>
      <c r="Z60" s="16">
        <f>(W60/V60)*(X60/W60)*(Y60/X60)</f>
        <v/>
      </c>
      <c r="AA60" s="17">
        <f>INDEX('3_UK_L1_Input'!$D$4:$D$14,MATCH($C60,'3_UK_L1_Input'!$A$4:$A$14,0))*Z60</f>
        <v/>
      </c>
    </row>
    <row r="61">
      <c r="A61" s="7" t="n">
        <v>25201040</v>
      </c>
      <c r="B61" s="7" t="inlineStr">
        <is>
          <t>Household Appliances</t>
        </is>
      </c>
      <c r="C61" s="7" t="n">
        <v>25</v>
      </c>
      <c r="D61" s="7" t="n">
        <v>252010</v>
      </c>
      <c r="E61" s="7" t="n">
        <v>2520</v>
      </c>
      <c r="F61" s="9" t="n">
        <v>426540000</v>
      </c>
      <c r="G61" s="10" t="n">
        <v>7.75</v>
      </c>
      <c r="H61" s="16">
        <f>IFERROR(SUMPRODUCT(($C$3:$C$165=C61)*ISNUMBER($G$3:$G$165)*ISNUMBER($F$3:$F$165)*IF(ISNUMBER($F$3:$F$165),$F$3:$F$165,0)*IF(ISNUMBER($G$3:$G$165),$G$3:$G$165,0))/SUMPRODUCT(($C$3:$C$165=C61)*ISNUMBER($G$3:$G$165)*ISNUMBER($F$3:$F$165)*IF(ISNUMBER($F$3:$F$165),$F$3:$F$165,0)),"")</f>
        <v/>
      </c>
      <c r="I61" s="16">
        <f>IFERROR(SUMPRODUCT(($C$3:$C$165=C61)*ISNUMBER($G$3:$G$165)*IF(ISNUMBER($G$3:$G$165),$G$3:$G$165,0))/SUMPRODUCT(($C$3:$C$165=C61)*ISNUMBER($G$3:$G$165)),"")</f>
        <v/>
      </c>
      <c r="J61" s="16">
        <f>IF(OR(G61="",H61=""),"",G61/H61)</f>
        <v/>
      </c>
      <c r="K61" s="16">
        <f>IF(OR(G61="",I61=""),"",G61/I61)</f>
        <v/>
      </c>
      <c r="L61" s="14">
        <f>INDEX('4_UK_Beta_Input'!$D$5:$D$15,MATCH($C61,'4_UK_Beta_Input'!$A$5:$A$15,0))</f>
        <v/>
      </c>
      <c r="M61" s="14">
        <f>INDEX('4_UK_Beta_Input'!$D$20:$D$44,MATCH($E61,'4_UK_Beta_Input'!$A$20:$A$44,0))</f>
        <v/>
      </c>
      <c r="N61" s="14">
        <f>INDEX('4_UK_Beta_Input'!$D$49:$D$122,MATCH($D61,'4_UK_Beta_Input'!$A$49:$A$122,0))</f>
        <v/>
      </c>
      <c r="O61" s="14">
        <f>INDEX('4_UK_Beta_Input'!$D$127:$D$289,MATCH($A61,'4_UK_Beta_Input'!$A$127:$A$289,0))</f>
        <v/>
      </c>
      <c r="P61" s="16">
        <f>(M61/L61)*(N61/M61)*(O61/N61)</f>
        <v/>
      </c>
      <c r="Q61" s="17">
        <f>IF(J61="",INDEX('3_UK_L1_Input'!$D$4:$D$14,MATCH($C61,'3_UK_L1_Input'!$A$4:$A$14,0))*P61,INDEX('3_UK_L1_Input'!$D$4:$D$14,MATCH($C61,'3_UK_L1_Input'!$A$4:$A$14,0))*J61)</f>
        <v/>
      </c>
      <c r="R61" s="17">
        <f>IF(K61="",INDEX('3_UK_L1_Input'!$D$4:$D$14,MATCH($C61,'3_UK_L1_Input'!$A$4:$A$14,0))*P61,INDEX('3_UK_L1_Input'!$D$4:$D$14,MATCH($C61,'3_UK_L1_Input'!$A$4:$A$14,0))*K61)</f>
        <v/>
      </c>
      <c r="S61" s="18">
        <f>IF(G61="","BETA CASCADE FALLBACK (dummy — replace with real beta)","REAL (Bloomberg UK)")</f>
        <v/>
      </c>
      <c r="T61" s="17">
        <f>INDEX('3_UK_L1_Input'!$C$4:$C$14,MATCH($C61,'3_UK_L1_Input'!$A$4:$A$14,0))</f>
        <v/>
      </c>
      <c r="U61" s="17">
        <f>INDEX('3_UK_L1_Input'!$C$4:$C$14,MATCH($C61,'3_UK_L1_Input'!$A$4:$A$14,0))*P61</f>
        <v/>
      </c>
      <c r="V61" s="15">
        <f>INDEX('5_UK_DefaultRisk_Input'!$D$5:$D$15,MATCH($C61,'5_UK_DefaultRisk_Input'!$A$5:$A$15,0))</f>
        <v/>
      </c>
      <c r="W61" s="15">
        <f>INDEX('5_UK_DefaultRisk_Input'!$D$20:$D$44,MATCH($E61,'5_UK_DefaultRisk_Input'!$A$20:$A$44,0))</f>
        <v/>
      </c>
      <c r="X61" s="15">
        <f>INDEX('5_UK_DefaultRisk_Input'!$D$49:$D$122,MATCH($D61,'5_UK_DefaultRisk_Input'!$A$49:$A$122,0))</f>
        <v/>
      </c>
      <c r="Y61" s="15">
        <f>INDEX('5_UK_DefaultRisk_Input'!$D$127:$D$289,MATCH($A61,'5_UK_DefaultRisk_Input'!$A$127:$A$289,0))</f>
        <v/>
      </c>
      <c r="Z61" s="16">
        <f>(W61/V61)*(X61/W61)*(Y61/X61)</f>
        <v/>
      </c>
      <c r="AA61" s="17">
        <f>INDEX('3_UK_L1_Input'!$D$4:$D$14,MATCH($C61,'3_UK_L1_Input'!$A$4:$A$14,0))*Z61</f>
        <v/>
      </c>
    </row>
    <row r="62">
      <c r="A62" s="7" t="n">
        <v>25201050</v>
      </c>
      <c r="B62" s="7" t="inlineStr">
        <is>
          <t>Housewares &amp; Specialties</t>
        </is>
      </c>
      <c r="C62" s="7" t="n">
        <v>25</v>
      </c>
      <c r="D62" s="7" t="n">
        <v>252010</v>
      </c>
      <c r="E62" s="7" t="n">
        <v>2520</v>
      </c>
      <c r="F62" s="9" t="n">
        <v>128400000</v>
      </c>
      <c r="G62" s="10" t="n">
        <v>6.28</v>
      </c>
      <c r="H62" s="16">
        <f>IFERROR(SUMPRODUCT(($C$3:$C$165=C62)*ISNUMBER($G$3:$G$165)*ISNUMBER($F$3:$F$165)*IF(ISNUMBER($F$3:$F$165),$F$3:$F$165,0)*IF(ISNUMBER($G$3:$G$165),$G$3:$G$165,0))/SUMPRODUCT(($C$3:$C$165=C62)*ISNUMBER($G$3:$G$165)*ISNUMBER($F$3:$F$165)*IF(ISNUMBER($F$3:$F$165),$F$3:$F$165,0)),"")</f>
        <v/>
      </c>
      <c r="I62" s="16">
        <f>IFERROR(SUMPRODUCT(($C$3:$C$165=C62)*ISNUMBER($G$3:$G$165)*IF(ISNUMBER($G$3:$G$165),$G$3:$G$165,0))/SUMPRODUCT(($C$3:$C$165=C62)*ISNUMBER($G$3:$G$165)),"")</f>
        <v/>
      </c>
      <c r="J62" s="16">
        <f>IF(OR(G62="",H62=""),"",G62/H62)</f>
        <v/>
      </c>
      <c r="K62" s="16">
        <f>IF(OR(G62="",I62=""),"",G62/I62)</f>
        <v/>
      </c>
      <c r="L62" s="14">
        <f>INDEX('4_UK_Beta_Input'!$D$5:$D$15,MATCH($C62,'4_UK_Beta_Input'!$A$5:$A$15,0))</f>
        <v/>
      </c>
      <c r="M62" s="14">
        <f>INDEX('4_UK_Beta_Input'!$D$20:$D$44,MATCH($E62,'4_UK_Beta_Input'!$A$20:$A$44,0))</f>
        <v/>
      </c>
      <c r="N62" s="14">
        <f>INDEX('4_UK_Beta_Input'!$D$49:$D$122,MATCH($D62,'4_UK_Beta_Input'!$A$49:$A$122,0))</f>
        <v/>
      </c>
      <c r="O62" s="14">
        <f>INDEX('4_UK_Beta_Input'!$D$127:$D$289,MATCH($A62,'4_UK_Beta_Input'!$A$127:$A$289,0))</f>
        <v/>
      </c>
      <c r="P62" s="16">
        <f>(M62/L62)*(N62/M62)*(O62/N62)</f>
        <v/>
      </c>
      <c r="Q62" s="17">
        <f>IF(J62="",INDEX('3_UK_L1_Input'!$D$4:$D$14,MATCH($C62,'3_UK_L1_Input'!$A$4:$A$14,0))*P62,INDEX('3_UK_L1_Input'!$D$4:$D$14,MATCH($C62,'3_UK_L1_Input'!$A$4:$A$14,0))*J62)</f>
        <v/>
      </c>
      <c r="R62" s="17">
        <f>IF(K62="",INDEX('3_UK_L1_Input'!$D$4:$D$14,MATCH($C62,'3_UK_L1_Input'!$A$4:$A$14,0))*P62,INDEX('3_UK_L1_Input'!$D$4:$D$14,MATCH($C62,'3_UK_L1_Input'!$A$4:$A$14,0))*K62)</f>
        <v/>
      </c>
      <c r="S62" s="18">
        <f>IF(G62="","BETA CASCADE FALLBACK (dummy — replace with real beta)","REAL (Bloomberg UK)")</f>
        <v/>
      </c>
      <c r="T62" s="17">
        <f>INDEX('3_UK_L1_Input'!$C$4:$C$14,MATCH($C62,'3_UK_L1_Input'!$A$4:$A$14,0))</f>
        <v/>
      </c>
      <c r="U62" s="17">
        <f>INDEX('3_UK_L1_Input'!$C$4:$C$14,MATCH($C62,'3_UK_L1_Input'!$A$4:$A$14,0))*P62</f>
        <v/>
      </c>
      <c r="V62" s="15">
        <f>INDEX('5_UK_DefaultRisk_Input'!$D$5:$D$15,MATCH($C62,'5_UK_DefaultRisk_Input'!$A$5:$A$15,0))</f>
        <v/>
      </c>
      <c r="W62" s="15">
        <f>INDEX('5_UK_DefaultRisk_Input'!$D$20:$D$44,MATCH($E62,'5_UK_DefaultRisk_Input'!$A$20:$A$44,0))</f>
        <v/>
      </c>
      <c r="X62" s="15">
        <f>INDEX('5_UK_DefaultRisk_Input'!$D$49:$D$122,MATCH($D62,'5_UK_DefaultRisk_Input'!$A$49:$A$122,0))</f>
        <v/>
      </c>
      <c r="Y62" s="15">
        <f>INDEX('5_UK_DefaultRisk_Input'!$D$127:$D$289,MATCH($A62,'5_UK_DefaultRisk_Input'!$A$127:$A$289,0))</f>
        <v/>
      </c>
      <c r="Z62" s="16">
        <f>(W62/V62)*(X62/W62)*(Y62/X62)</f>
        <v/>
      </c>
      <c r="AA62" s="17">
        <f>INDEX('3_UK_L1_Input'!$D$4:$D$14,MATCH($C62,'3_UK_L1_Input'!$A$4:$A$14,0))*Z62</f>
        <v/>
      </c>
    </row>
    <row r="63">
      <c r="A63" s="7" t="n">
        <v>25202010</v>
      </c>
      <c r="B63" s="7" t="inlineStr">
        <is>
          <t>Leisure Products</t>
        </is>
      </c>
      <c r="C63" s="7" t="n">
        <v>25</v>
      </c>
      <c r="D63" s="7" t="n">
        <v>252020</v>
      </c>
      <c r="E63" s="7" t="n">
        <v>2520</v>
      </c>
      <c r="F63" s="9" t="n">
        <v>260530000</v>
      </c>
      <c r="G63" s="10" t="n">
        <v>11.68</v>
      </c>
      <c r="H63" s="16">
        <f>IFERROR(SUMPRODUCT(($C$3:$C$165=C63)*ISNUMBER($G$3:$G$165)*ISNUMBER($F$3:$F$165)*IF(ISNUMBER($F$3:$F$165),$F$3:$F$165,0)*IF(ISNUMBER($G$3:$G$165),$G$3:$G$165,0))/SUMPRODUCT(($C$3:$C$165=C63)*ISNUMBER($G$3:$G$165)*ISNUMBER($F$3:$F$165)*IF(ISNUMBER($F$3:$F$165),$F$3:$F$165,0)),"")</f>
        <v/>
      </c>
      <c r="I63" s="16">
        <f>IFERROR(SUMPRODUCT(($C$3:$C$165=C63)*ISNUMBER($G$3:$G$165)*IF(ISNUMBER($G$3:$G$165),$G$3:$G$165,0))/SUMPRODUCT(($C$3:$C$165=C63)*ISNUMBER($G$3:$G$165)),"")</f>
        <v/>
      </c>
      <c r="J63" s="16">
        <f>IF(OR(G63="",H63=""),"",G63/H63)</f>
        <v/>
      </c>
      <c r="K63" s="16">
        <f>IF(OR(G63="",I63=""),"",G63/I63)</f>
        <v/>
      </c>
      <c r="L63" s="14">
        <f>INDEX('4_UK_Beta_Input'!$D$5:$D$15,MATCH($C63,'4_UK_Beta_Input'!$A$5:$A$15,0))</f>
        <v/>
      </c>
      <c r="M63" s="14">
        <f>INDEX('4_UK_Beta_Input'!$D$20:$D$44,MATCH($E63,'4_UK_Beta_Input'!$A$20:$A$44,0))</f>
        <v/>
      </c>
      <c r="N63" s="14">
        <f>INDEX('4_UK_Beta_Input'!$D$49:$D$122,MATCH($D63,'4_UK_Beta_Input'!$A$49:$A$122,0))</f>
        <v/>
      </c>
      <c r="O63" s="14">
        <f>INDEX('4_UK_Beta_Input'!$D$127:$D$289,MATCH($A63,'4_UK_Beta_Input'!$A$127:$A$289,0))</f>
        <v/>
      </c>
      <c r="P63" s="16">
        <f>(M63/L63)*(N63/M63)*(O63/N63)</f>
        <v/>
      </c>
      <c r="Q63" s="17">
        <f>IF(J63="",INDEX('3_UK_L1_Input'!$D$4:$D$14,MATCH($C63,'3_UK_L1_Input'!$A$4:$A$14,0))*P63,INDEX('3_UK_L1_Input'!$D$4:$D$14,MATCH($C63,'3_UK_L1_Input'!$A$4:$A$14,0))*J63)</f>
        <v/>
      </c>
      <c r="R63" s="17">
        <f>IF(K63="",INDEX('3_UK_L1_Input'!$D$4:$D$14,MATCH($C63,'3_UK_L1_Input'!$A$4:$A$14,0))*P63,INDEX('3_UK_L1_Input'!$D$4:$D$14,MATCH($C63,'3_UK_L1_Input'!$A$4:$A$14,0))*K63)</f>
        <v/>
      </c>
      <c r="S63" s="18">
        <f>IF(G63="","BETA CASCADE FALLBACK (dummy — replace with real beta)","REAL (Bloomberg UK)")</f>
        <v/>
      </c>
      <c r="T63" s="17">
        <f>INDEX('3_UK_L1_Input'!$C$4:$C$14,MATCH($C63,'3_UK_L1_Input'!$A$4:$A$14,0))</f>
        <v/>
      </c>
      <c r="U63" s="17">
        <f>INDEX('3_UK_L1_Input'!$C$4:$C$14,MATCH($C63,'3_UK_L1_Input'!$A$4:$A$14,0))*P63</f>
        <v/>
      </c>
      <c r="V63" s="15">
        <f>INDEX('5_UK_DefaultRisk_Input'!$D$5:$D$15,MATCH($C63,'5_UK_DefaultRisk_Input'!$A$5:$A$15,0))</f>
        <v/>
      </c>
      <c r="W63" s="15">
        <f>INDEX('5_UK_DefaultRisk_Input'!$D$20:$D$44,MATCH($E63,'5_UK_DefaultRisk_Input'!$A$20:$A$44,0))</f>
        <v/>
      </c>
      <c r="X63" s="15">
        <f>INDEX('5_UK_DefaultRisk_Input'!$D$49:$D$122,MATCH($D63,'5_UK_DefaultRisk_Input'!$A$49:$A$122,0))</f>
        <v/>
      </c>
      <c r="Y63" s="15">
        <f>INDEX('5_UK_DefaultRisk_Input'!$D$127:$D$289,MATCH($A63,'5_UK_DefaultRisk_Input'!$A$127:$A$289,0))</f>
        <v/>
      </c>
      <c r="Z63" s="16">
        <f>(W63/V63)*(X63/W63)*(Y63/X63)</f>
        <v/>
      </c>
      <c r="AA63" s="17">
        <f>INDEX('3_UK_L1_Input'!$D$4:$D$14,MATCH($C63,'3_UK_L1_Input'!$A$4:$A$14,0))*Z63</f>
        <v/>
      </c>
    </row>
    <row r="64">
      <c r="A64" s="7" t="n">
        <v>25203010</v>
      </c>
      <c r="B64" s="7" t="inlineStr">
        <is>
          <t>Apparel, Accessories &amp; Luxury Goods</t>
        </is>
      </c>
      <c r="C64" s="7" t="n">
        <v>25</v>
      </c>
      <c r="D64" s="7" t="n">
        <v>252030</v>
      </c>
      <c r="E64" s="7" t="n">
        <v>2520</v>
      </c>
      <c r="F64" s="9" t="n">
        <v>1210000000</v>
      </c>
      <c r="G64" s="10" t="n">
        <v>7.24</v>
      </c>
      <c r="H64" s="16">
        <f>IFERROR(SUMPRODUCT(($C$3:$C$165=C64)*ISNUMBER($G$3:$G$165)*ISNUMBER($F$3:$F$165)*IF(ISNUMBER($F$3:$F$165),$F$3:$F$165,0)*IF(ISNUMBER($G$3:$G$165),$G$3:$G$165,0))/SUMPRODUCT(($C$3:$C$165=C64)*ISNUMBER($G$3:$G$165)*ISNUMBER($F$3:$F$165)*IF(ISNUMBER($F$3:$F$165),$F$3:$F$165,0)),"")</f>
        <v/>
      </c>
      <c r="I64" s="16">
        <f>IFERROR(SUMPRODUCT(($C$3:$C$165=C64)*ISNUMBER($G$3:$G$165)*IF(ISNUMBER($G$3:$G$165),$G$3:$G$165,0))/SUMPRODUCT(($C$3:$C$165=C64)*ISNUMBER($G$3:$G$165)),"")</f>
        <v/>
      </c>
      <c r="J64" s="16">
        <f>IF(OR(G64="",H64=""),"",G64/H64)</f>
        <v/>
      </c>
      <c r="K64" s="16">
        <f>IF(OR(G64="",I64=""),"",G64/I64)</f>
        <v/>
      </c>
      <c r="L64" s="14">
        <f>INDEX('4_UK_Beta_Input'!$D$5:$D$15,MATCH($C64,'4_UK_Beta_Input'!$A$5:$A$15,0))</f>
        <v/>
      </c>
      <c r="M64" s="14">
        <f>INDEX('4_UK_Beta_Input'!$D$20:$D$44,MATCH($E64,'4_UK_Beta_Input'!$A$20:$A$44,0))</f>
        <v/>
      </c>
      <c r="N64" s="14">
        <f>INDEX('4_UK_Beta_Input'!$D$49:$D$122,MATCH($D64,'4_UK_Beta_Input'!$A$49:$A$122,0))</f>
        <v/>
      </c>
      <c r="O64" s="14">
        <f>INDEX('4_UK_Beta_Input'!$D$127:$D$289,MATCH($A64,'4_UK_Beta_Input'!$A$127:$A$289,0))</f>
        <v/>
      </c>
      <c r="P64" s="16">
        <f>(M64/L64)*(N64/M64)*(O64/N64)</f>
        <v/>
      </c>
      <c r="Q64" s="17">
        <f>IF(J64="",INDEX('3_UK_L1_Input'!$D$4:$D$14,MATCH($C64,'3_UK_L1_Input'!$A$4:$A$14,0))*P64,INDEX('3_UK_L1_Input'!$D$4:$D$14,MATCH($C64,'3_UK_L1_Input'!$A$4:$A$14,0))*J64)</f>
        <v/>
      </c>
      <c r="R64" s="17">
        <f>IF(K64="",INDEX('3_UK_L1_Input'!$D$4:$D$14,MATCH($C64,'3_UK_L1_Input'!$A$4:$A$14,0))*P64,INDEX('3_UK_L1_Input'!$D$4:$D$14,MATCH($C64,'3_UK_L1_Input'!$A$4:$A$14,0))*K64)</f>
        <v/>
      </c>
      <c r="S64" s="18">
        <f>IF(G64="","BETA CASCADE FALLBACK (dummy — replace with real beta)","REAL (Bloomberg UK)")</f>
        <v/>
      </c>
      <c r="T64" s="17">
        <f>INDEX('3_UK_L1_Input'!$C$4:$C$14,MATCH($C64,'3_UK_L1_Input'!$A$4:$A$14,0))</f>
        <v/>
      </c>
      <c r="U64" s="17">
        <f>INDEX('3_UK_L1_Input'!$C$4:$C$14,MATCH($C64,'3_UK_L1_Input'!$A$4:$A$14,0))*P64</f>
        <v/>
      </c>
      <c r="V64" s="15">
        <f>INDEX('5_UK_DefaultRisk_Input'!$D$5:$D$15,MATCH($C64,'5_UK_DefaultRisk_Input'!$A$5:$A$15,0))</f>
        <v/>
      </c>
      <c r="W64" s="15">
        <f>INDEX('5_UK_DefaultRisk_Input'!$D$20:$D$44,MATCH($E64,'5_UK_DefaultRisk_Input'!$A$20:$A$44,0))</f>
        <v/>
      </c>
      <c r="X64" s="15">
        <f>INDEX('5_UK_DefaultRisk_Input'!$D$49:$D$122,MATCH($D64,'5_UK_DefaultRisk_Input'!$A$49:$A$122,0))</f>
        <v/>
      </c>
      <c r="Y64" s="15">
        <f>INDEX('5_UK_DefaultRisk_Input'!$D$127:$D$289,MATCH($A64,'5_UK_DefaultRisk_Input'!$A$127:$A$289,0))</f>
        <v/>
      </c>
      <c r="Z64" s="16">
        <f>(W64/V64)*(X64/W64)*(Y64/X64)</f>
        <v/>
      </c>
      <c r="AA64" s="17">
        <f>INDEX('3_UK_L1_Input'!$D$4:$D$14,MATCH($C64,'3_UK_L1_Input'!$A$4:$A$14,0))*Z64</f>
        <v/>
      </c>
    </row>
    <row r="65">
      <c r="A65" s="7" t="n">
        <v>25203020</v>
      </c>
      <c r="B65" s="7" t="inlineStr">
        <is>
          <t>Footwear</t>
        </is>
      </c>
      <c r="C65" s="7" t="n">
        <v>25</v>
      </c>
      <c r="D65" s="7" t="n">
        <v>252030</v>
      </c>
      <c r="E65" s="7" t="n">
        <v>2520</v>
      </c>
      <c r="F65" s="9" t="n">
        <v>1470000000</v>
      </c>
      <c r="G65" s="10" t="n">
        <v>7.46</v>
      </c>
      <c r="H65" s="16">
        <f>IFERROR(SUMPRODUCT(($C$3:$C$165=C65)*ISNUMBER($G$3:$G$165)*ISNUMBER($F$3:$F$165)*IF(ISNUMBER($F$3:$F$165),$F$3:$F$165,0)*IF(ISNUMBER($G$3:$G$165),$G$3:$G$165,0))/SUMPRODUCT(($C$3:$C$165=C65)*ISNUMBER($G$3:$G$165)*ISNUMBER($F$3:$F$165)*IF(ISNUMBER($F$3:$F$165),$F$3:$F$165,0)),"")</f>
        <v/>
      </c>
      <c r="I65" s="16">
        <f>IFERROR(SUMPRODUCT(($C$3:$C$165=C65)*ISNUMBER($G$3:$G$165)*IF(ISNUMBER($G$3:$G$165),$G$3:$G$165,0))/SUMPRODUCT(($C$3:$C$165=C65)*ISNUMBER($G$3:$G$165)),"")</f>
        <v/>
      </c>
      <c r="J65" s="16">
        <f>IF(OR(G65="",H65=""),"",G65/H65)</f>
        <v/>
      </c>
      <c r="K65" s="16">
        <f>IF(OR(G65="",I65=""),"",G65/I65)</f>
        <v/>
      </c>
      <c r="L65" s="14">
        <f>INDEX('4_UK_Beta_Input'!$D$5:$D$15,MATCH($C65,'4_UK_Beta_Input'!$A$5:$A$15,0))</f>
        <v/>
      </c>
      <c r="M65" s="14">
        <f>INDEX('4_UK_Beta_Input'!$D$20:$D$44,MATCH($E65,'4_UK_Beta_Input'!$A$20:$A$44,0))</f>
        <v/>
      </c>
      <c r="N65" s="14">
        <f>INDEX('4_UK_Beta_Input'!$D$49:$D$122,MATCH($D65,'4_UK_Beta_Input'!$A$49:$A$122,0))</f>
        <v/>
      </c>
      <c r="O65" s="14">
        <f>INDEX('4_UK_Beta_Input'!$D$127:$D$289,MATCH($A65,'4_UK_Beta_Input'!$A$127:$A$289,0))</f>
        <v/>
      </c>
      <c r="P65" s="16">
        <f>(M65/L65)*(N65/M65)*(O65/N65)</f>
        <v/>
      </c>
      <c r="Q65" s="17">
        <f>IF(J65="",INDEX('3_UK_L1_Input'!$D$4:$D$14,MATCH($C65,'3_UK_L1_Input'!$A$4:$A$14,0))*P65,INDEX('3_UK_L1_Input'!$D$4:$D$14,MATCH($C65,'3_UK_L1_Input'!$A$4:$A$14,0))*J65)</f>
        <v/>
      </c>
      <c r="R65" s="17">
        <f>IF(K65="",INDEX('3_UK_L1_Input'!$D$4:$D$14,MATCH($C65,'3_UK_L1_Input'!$A$4:$A$14,0))*P65,INDEX('3_UK_L1_Input'!$D$4:$D$14,MATCH($C65,'3_UK_L1_Input'!$A$4:$A$14,0))*K65)</f>
        <v/>
      </c>
      <c r="S65" s="18">
        <f>IF(G65="","BETA CASCADE FALLBACK (dummy — replace with real beta)","REAL (Bloomberg UK)")</f>
        <v/>
      </c>
      <c r="T65" s="17">
        <f>INDEX('3_UK_L1_Input'!$C$4:$C$14,MATCH($C65,'3_UK_L1_Input'!$A$4:$A$14,0))</f>
        <v/>
      </c>
      <c r="U65" s="17">
        <f>INDEX('3_UK_L1_Input'!$C$4:$C$14,MATCH($C65,'3_UK_L1_Input'!$A$4:$A$14,0))*P65</f>
        <v/>
      </c>
      <c r="V65" s="15">
        <f>INDEX('5_UK_DefaultRisk_Input'!$D$5:$D$15,MATCH($C65,'5_UK_DefaultRisk_Input'!$A$5:$A$15,0))</f>
        <v/>
      </c>
      <c r="W65" s="15">
        <f>INDEX('5_UK_DefaultRisk_Input'!$D$20:$D$44,MATCH($E65,'5_UK_DefaultRisk_Input'!$A$20:$A$44,0))</f>
        <v/>
      </c>
      <c r="X65" s="15">
        <f>INDEX('5_UK_DefaultRisk_Input'!$D$49:$D$122,MATCH($D65,'5_UK_DefaultRisk_Input'!$A$49:$A$122,0))</f>
        <v/>
      </c>
      <c r="Y65" s="15">
        <f>INDEX('5_UK_DefaultRisk_Input'!$D$127:$D$289,MATCH($A65,'5_UK_DefaultRisk_Input'!$A$127:$A$289,0))</f>
        <v/>
      </c>
      <c r="Z65" s="16">
        <f>(W65/V65)*(X65/W65)*(Y65/X65)</f>
        <v/>
      </c>
      <c r="AA65" s="17">
        <f>INDEX('3_UK_L1_Input'!$D$4:$D$14,MATCH($C65,'3_UK_L1_Input'!$A$4:$A$14,0))*Z65</f>
        <v/>
      </c>
    </row>
    <row r="66">
      <c r="A66" s="7" t="n">
        <v>25203030</v>
      </c>
      <c r="B66" s="7" t="inlineStr">
        <is>
          <t>Textiles</t>
        </is>
      </c>
      <c r="C66" s="7" t="n">
        <v>25</v>
      </c>
      <c r="D66" s="7" t="n">
        <v>252030</v>
      </c>
      <c r="E66" s="7" t="n">
        <v>2520</v>
      </c>
      <c r="F66" s="9" t="n">
        <v>1600000000</v>
      </c>
      <c r="G66" s="10" t="n">
        <v>7.15</v>
      </c>
      <c r="H66" s="16">
        <f>IFERROR(SUMPRODUCT(($C$3:$C$165=C66)*ISNUMBER($G$3:$G$165)*ISNUMBER($F$3:$F$165)*IF(ISNUMBER($F$3:$F$165),$F$3:$F$165,0)*IF(ISNUMBER($G$3:$G$165),$G$3:$G$165,0))/SUMPRODUCT(($C$3:$C$165=C66)*ISNUMBER($G$3:$G$165)*ISNUMBER($F$3:$F$165)*IF(ISNUMBER($F$3:$F$165),$F$3:$F$165,0)),"")</f>
        <v/>
      </c>
      <c r="I66" s="16">
        <f>IFERROR(SUMPRODUCT(($C$3:$C$165=C66)*ISNUMBER($G$3:$G$165)*IF(ISNUMBER($G$3:$G$165),$G$3:$G$165,0))/SUMPRODUCT(($C$3:$C$165=C66)*ISNUMBER($G$3:$G$165)),"")</f>
        <v/>
      </c>
      <c r="J66" s="16">
        <f>IF(OR(G66="",H66=""),"",G66/H66)</f>
        <v/>
      </c>
      <c r="K66" s="16">
        <f>IF(OR(G66="",I66=""),"",G66/I66)</f>
        <v/>
      </c>
      <c r="L66" s="14">
        <f>INDEX('4_UK_Beta_Input'!$D$5:$D$15,MATCH($C66,'4_UK_Beta_Input'!$A$5:$A$15,0))</f>
        <v/>
      </c>
      <c r="M66" s="14">
        <f>INDEX('4_UK_Beta_Input'!$D$20:$D$44,MATCH($E66,'4_UK_Beta_Input'!$A$20:$A$44,0))</f>
        <v/>
      </c>
      <c r="N66" s="14">
        <f>INDEX('4_UK_Beta_Input'!$D$49:$D$122,MATCH($D66,'4_UK_Beta_Input'!$A$49:$A$122,0))</f>
        <v/>
      </c>
      <c r="O66" s="14">
        <f>INDEX('4_UK_Beta_Input'!$D$127:$D$289,MATCH($A66,'4_UK_Beta_Input'!$A$127:$A$289,0))</f>
        <v/>
      </c>
      <c r="P66" s="16">
        <f>(M66/L66)*(N66/M66)*(O66/N66)</f>
        <v/>
      </c>
      <c r="Q66" s="17">
        <f>IF(J66="",INDEX('3_UK_L1_Input'!$D$4:$D$14,MATCH($C66,'3_UK_L1_Input'!$A$4:$A$14,0))*P66,INDEX('3_UK_L1_Input'!$D$4:$D$14,MATCH($C66,'3_UK_L1_Input'!$A$4:$A$14,0))*J66)</f>
        <v/>
      </c>
      <c r="R66" s="17">
        <f>IF(K66="",INDEX('3_UK_L1_Input'!$D$4:$D$14,MATCH($C66,'3_UK_L1_Input'!$A$4:$A$14,0))*P66,INDEX('3_UK_L1_Input'!$D$4:$D$14,MATCH($C66,'3_UK_L1_Input'!$A$4:$A$14,0))*K66)</f>
        <v/>
      </c>
      <c r="S66" s="18">
        <f>IF(G66="","BETA CASCADE FALLBACK (dummy — replace with real beta)","REAL (Bloomberg UK)")</f>
        <v/>
      </c>
      <c r="T66" s="17">
        <f>INDEX('3_UK_L1_Input'!$C$4:$C$14,MATCH($C66,'3_UK_L1_Input'!$A$4:$A$14,0))</f>
        <v/>
      </c>
      <c r="U66" s="17">
        <f>INDEX('3_UK_L1_Input'!$C$4:$C$14,MATCH($C66,'3_UK_L1_Input'!$A$4:$A$14,0))*P66</f>
        <v/>
      </c>
      <c r="V66" s="15">
        <f>INDEX('5_UK_DefaultRisk_Input'!$D$5:$D$15,MATCH($C66,'5_UK_DefaultRisk_Input'!$A$5:$A$15,0))</f>
        <v/>
      </c>
      <c r="W66" s="15">
        <f>INDEX('5_UK_DefaultRisk_Input'!$D$20:$D$44,MATCH($E66,'5_UK_DefaultRisk_Input'!$A$20:$A$44,0))</f>
        <v/>
      </c>
      <c r="X66" s="15">
        <f>INDEX('5_UK_DefaultRisk_Input'!$D$49:$D$122,MATCH($D66,'5_UK_DefaultRisk_Input'!$A$49:$A$122,0))</f>
        <v/>
      </c>
      <c r="Y66" s="15">
        <f>INDEX('5_UK_DefaultRisk_Input'!$D$127:$D$289,MATCH($A66,'5_UK_DefaultRisk_Input'!$A$127:$A$289,0))</f>
        <v/>
      </c>
      <c r="Z66" s="16">
        <f>(W66/V66)*(X66/W66)*(Y66/X66)</f>
        <v/>
      </c>
      <c r="AA66" s="17">
        <f>INDEX('3_UK_L1_Input'!$D$4:$D$14,MATCH($C66,'3_UK_L1_Input'!$A$4:$A$14,0))*Z66</f>
        <v/>
      </c>
    </row>
    <row r="67">
      <c r="A67" s="7" t="n">
        <v>25301010</v>
      </c>
      <c r="B67" s="7" t="inlineStr">
        <is>
          <t>Casinos &amp; Gaming</t>
        </is>
      </c>
      <c r="C67" s="7" t="n">
        <v>25</v>
      </c>
      <c r="D67" s="7" t="n">
        <v>253010</v>
      </c>
      <c r="E67" s="7" t="n">
        <v>2530</v>
      </c>
      <c r="F67" s="9" t="n">
        <v>1740000000</v>
      </c>
      <c r="G67" s="10" t="n">
        <v>7.29</v>
      </c>
      <c r="H67" s="16">
        <f>IFERROR(SUMPRODUCT(($C$3:$C$165=C67)*ISNUMBER($G$3:$G$165)*ISNUMBER($F$3:$F$165)*IF(ISNUMBER($F$3:$F$165),$F$3:$F$165,0)*IF(ISNUMBER($G$3:$G$165),$G$3:$G$165,0))/SUMPRODUCT(($C$3:$C$165=C67)*ISNUMBER($G$3:$G$165)*ISNUMBER($F$3:$F$165)*IF(ISNUMBER($F$3:$F$165),$F$3:$F$165,0)),"")</f>
        <v/>
      </c>
      <c r="I67" s="16">
        <f>IFERROR(SUMPRODUCT(($C$3:$C$165=C67)*ISNUMBER($G$3:$G$165)*IF(ISNUMBER($G$3:$G$165),$G$3:$G$165,0))/SUMPRODUCT(($C$3:$C$165=C67)*ISNUMBER($G$3:$G$165)),"")</f>
        <v/>
      </c>
      <c r="J67" s="16">
        <f>IF(OR(G67="",H67=""),"",G67/H67)</f>
        <v/>
      </c>
      <c r="K67" s="16">
        <f>IF(OR(G67="",I67=""),"",G67/I67)</f>
        <v/>
      </c>
      <c r="L67" s="14">
        <f>INDEX('4_UK_Beta_Input'!$D$5:$D$15,MATCH($C67,'4_UK_Beta_Input'!$A$5:$A$15,0))</f>
        <v/>
      </c>
      <c r="M67" s="14">
        <f>INDEX('4_UK_Beta_Input'!$D$20:$D$44,MATCH($E67,'4_UK_Beta_Input'!$A$20:$A$44,0))</f>
        <v/>
      </c>
      <c r="N67" s="14">
        <f>INDEX('4_UK_Beta_Input'!$D$49:$D$122,MATCH($D67,'4_UK_Beta_Input'!$A$49:$A$122,0))</f>
        <v/>
      </c>
      <c r="O67" s="14">
        <f>INDEX('4_UK_Beta_Input'!$D$127:$D$289,MATCH($A67,'4_UK_Beta_Input'!$A$127:$A$289,0))</f>
        <v/>
      </c>
      <c r="P67" s="16">
        <f>(M67/L67)*(N67/M67)*(O67/N67)</f>
        <v/>
      </c>
      <c r="Q67" s="17">
        <f>IF(J67="",INDEX('3_UK_L1_Input'!$D$4:$D$14,MATCH($C67,'3_UK_L1_Input'!$A$4:$A$14,0))*P67,INDEX('3_UK_L1_Input'!$D$4:$D$14,MATCH($C67,'3_UK_L1_Input'!$A$4:$A$14,0))*J67)</f>
        <v/>
      </c>
      <c r="R67" s="17">
        <f>IF(K67="",INDEX('3_UK_L1_Input'!$D$4:$D$14,MATCH($C67,'3_UK_L1_Input'!$A$4:$A$14,0))*P67,INDEX('3_UK_L1_Input'!$D$4:$D$14,MATCH($C67,'3_UK_L1_Input'!$A$4:$A$14,0))*K67)</f>
        <v/>
      </c>
      <c r="S67" s="18">
        <f>IF(G67="","BETA CASCADE FALLBACK (dummy — replace with real beta)","REAL (Bloomberg UK)")</f>
        <v/>
      </c>
      <c r="T67" s="17">
        <f>INDEX('3_UK_L1_Input'!$C$4:$C$14,MATCH($C67,'3_UK_L1_Input'!$A$4:$A$14,0))</f>
        <v/>
      </c>
      <c r="U67" s="17">
        <f>INDEX('3_UK_L1_Input'!$C$4:$C$14,MATCH($C67,'3_UK_L1_Input'!$A$4:$A$14,0))*P67</f>
        <v/>
      </c>
      <c r="V67" s="15">
        <f>INDEX('5_UK_DefaultRisk_Input'!$D$5:$D$15,MATCH($C67,'5_UK_DefaultRisk_Input'!$A$5:$A$15,0))</f>
        <v/>
      </c>
      <c r="W67" s="15">
        <f>INDEX('5_UK_DefaultRisk_Input'!$D$20:$D$44,MATCH($E67,'5_UK_DefaultRisk_Input'!$A$20:$A$44,0))</f>
        <v/>
      </c>
      <c r="X67" s="15">
        <f>INDEX('5_UK_DefaultRisk_Input'!$D$49:$D$122,MATCH($D67,'5_UK_DefaultRisk_Input'!$A$49:$A$122,0))</f>
        <v/>
      </c>
      <c r="Y67" s="15">
        <f>INDEX('5_UK_DefaultRisk_Input'!$D$127:$D$289,MATCH($A67,'5_UK_DefaultRisk_Input'!$A$127:$A$289,0))</f>
        <v/>
      </c>
      <c r="Z67" s="16">
        <f>(W67/V67)*(X67/W67)*(Y67/X67)</f>
        <v/>
      </c>
      <c r="AA67" s="17">
        <f>INDEX('3_UK_L1_Input'!$D$4:$D$14,MATCH($C67,'3_UK_L1_Input'!$A$4:$A$14,0))*Z67</f>
        <v/>
      </c>
    </row>
    <row r="68">
      <c r="A68" s="7" t="n">
        <v>25301020</v>
      </c>
      <c r="B68" s="7" t="inlineStr">
        <is>
          <t>Hotels, Resorts &amp; Cruise Lines</t>
        </is>
      </c>
      <c r="C68" s="7" t="n">
        <v>25</v>
      </c>
      <c r="D68" s="7" t="n">
        <v>253010</v>
      </c>
      <c r="E68" s="7" t="n">
        <v>2530</v>
      </c>
      <c r="F68" s="9" t="n">
        <v>1270000000</v>
      </c>
      <c r="G68" s="10" t="n">
        <v>9.210000000000001</v>
      </c>
      <c r="H68" s="16">
        <f>IFERROR(SUMPRODUCT(($C$3:$C$165=C68)*ISNUMBER($G$3:$G$165)*ISNUMBER($F$3:$F$165)*IF(ISNUMBER($F$3:$F$165),$F$3:$F$165,0)*IF(ISNUMBER($G$3:$G$165),$G$3:$G$165,0))/SUMPRODUCT(($C$3:$C$165=C68)*ISNUMBER($G$3:$G$165)*ISNUMBER($F$3:$F$165)*IF(ISNUMBER($F$3:$F$165),$F$3:$F$165,0)),"")</f>
        <v/>
      </c>
      <c r="I68" s="16">
        <f>IFERROR(SUMPRODUCT(($C$3:$C$165=C68)*ISNUMBER($G$3:$G$165)*IF(ISNUMBER($G$3:$G$165),$G$3:$G$165,0))/SUMPRODUCT(($C$3:$C$165=C68)*ISNUMBER($G$3:$G$165)),"")</f>
        <v/>
      </c>
      <c r="J68" s="16">
        <f>IF(OR(G68="",H68=""),"",G68/H68)</f>
        <v/>
      </c>
      <c r="K68" s="16">
        <f>IF(OR(G68="",I68=""),"",G68/I68)</f>
        <v/>
      </c>
      <c r="L68" s="14">
        <f>INDEX('4_UK_Beta_Input'!$D$5:$D$15,MATCH($C68,'4_UK_Beta_Input'!$A$5:$A$15,0))</f>
        <v/>
      </c>
      <c r="M68" s="14">
        <f>INDEX('4_UK_Beta_Input'!$D$20:$D$44,MATCH($E68,'4_UK_Beta_Input'!$A$20:$A$44,0))</f>
        <v/>
      </c>
      <c r="N68" s="14">
        <f>INDEX('4_UK_Beta_Input'!$D$49:$D$122,MATCH($D68,'4_UK_Beta_Input'!$A$49:$A$122,0))</f>
        <v/>
      </c>
      <c r="O68" s="14">
        <f>INDEX('4_UK_Beta_Input'!$D$127:$D$289,MATCH($A68,'4_UK_Beta_Input'!$A$127:$A$289,0))</f>
        <v/>
      </c>
      <c r="P68" s="16">
        <f>(M68/L68)*(N68/M68)*(O68/N68)</f>
        <v/>
      </c>
      <c r="Q68" s="17">
        <f>IF(J68="",INDEX('3_UK_L1_Input'!$D$4:$D$14,MATCH($C68,'3_UK_L1_Input'!$A$4:$A$14,0))*P68,INDEX('3_UK_L1_Input'!$D$4:$D$14,MATCH($C68,'3_UK_L1_Input'!$A$4:$A$14,0))*J68)</f>
        <v/>
      </c>
      <c r="R68" s="17">
        <f>IF(K68="",INDEX('3_UK_L1_Input'!$D$4:$D$14,MATCH($C68,'3_UK_L1_Input'!$A$4:$A$14,0))*P68,INDEX('3_UK_L1_Input'!$D$4:$D$14,MATCH($C68,'3_UK_L1_Input'!$A$4:$A$14,0))*K68)</f>
        <v/>
      </c>
      <c r="S68" s="18">
        <f>IF(G68="","BETA CASCADE FALLBACK (dummy — replace with real beta)","REAL (Bloomberg UK)")</f>
        <v/>
      </c>
      <c r="T68" s="17">
        <f>INDEX('3_UK_L1_Input'!$C$4:$C$14,MATCH($C68,'3_UK_L1_Input'!$A$4:$A$14,0))</f>
        <v/>
      </c>
      <c r="U68" s="17">
        <f>INDEX('3_UK_L1_Input'!$C$4:$C$14,MATCH($C68,'3_UK_L1_Input'!$A$4:$A$14,0))*P68</f>
        <v/>
      </c>
      <c r="V68" s="15">
        <f>INDEX('5_UK_DefaultRisk_Input'!$D$5:$D$15,MATCH($C68,'5_UK_DefaultRisk_Input'!$A$5:$A$15,0))</f>
        <v/>
      </c>
      <c r="W68" s="15">
        <f>INDEX('5_UK_DefaultRisk_Input'!$D$20:$D$44,MATCH($E68,'5_UK_DefaultRisk_Input'!$A$20:$A$44,0))</f>
        <v/>
      </c>
      <c r="X68" s="15">
        <f>INDEX('5_UK_DefaultRisk_Input'!$D$49:$D$122,MATCH($D68,'5_UK_DefaultRisk_Input'!$A$49:$A$122,0))</f>
        <v/>
      </c>
      <c r="Y68" s="15">
        <f>INDEX('5_UK_DefaultRisk_Input'!$D$127:$D$289,MATCH($A68,'5_UK_DefaultRisk_Input'!$A$127:$A$289,0))</f>
        <v/>
      </c>
      <c r="Z68" s="16">
        <f>(W68/V68)*(X68/W68)*(Y68/X68)</f>
        <v/>
      </c>
      <c r="AA68" s="17">
        <f>INDEX('3_UK_L1_Input'!$D$4:$D$14,MATCH($C68,'3_UK_L1_Input'!$A$4:$A$14,0))*Z68</f>
        <v/>
      </c>
    </row>
    <row r="69">
      <c r="A69" s="7" t="n">
        <v>25301030</v>
      </c>
      <c r="B69" s="7" t="inlineStr">
        <is>
          <t>Leisure Facilities</t>
        </is>
      </c>
      <c r="C69" s="7" t="n">
        <v>25</v>
      </c>
      <c r="D69" s="7" t="n">
        <v>253010</v>
      </c>
      <c r="E69" s="7" t="n">
        <v>2530</v>
      </c>
      <c r="F69" s="9" t="n">
        <v>148090000</v>
      </c>
      <c r="G69" s="10" t="n">
        <v>6.4</v>
      </c>
      <c r="H69" s="16">
        <f>IFERROR(SUMPRODUCT(($C$3:$C$165=C69)*ISNUMBER($G$3:$G$165)*ISNUMBER($F$3:$F$165)*IF(ISNUMBER($F$3:$F$165),$F$3:$F$165,0)*IF(ISNUMBER($G$3:$G$165),$G$3:$G$165,0))/SUMPRODUCT(($C$3:$C$165=C69)*ISNUMBER($G$3:$G$165)*ISNUMBER($F$3:$F$165)*IF(ISNUMBER($F$3:$F$165),$F$3:$F$165,0)),"")</f>
        <v/>
      </c>
      <c r="I69" s="16">
        <f>IFERROR(SUMPRODUCT(($C$3:$C$165=C69)*ISNUMBER($G$3:$G$165)*IF(ISNUMBER($G$3:$G$165),$G$3:$G$165,0))/SUMPRODUCT(($C$3:$C$165=C69)*ISNUMBER($G$3:$G$165)),"")</f>
        <v/>
      </c>
      <c r="J69" s="16">
        <f>IF(OR(G69="",H69=""),"",G69/H69)</f>
        <v/>
      </c>
      <c r="K69" s="16">
        <f>IF(OR(G69="",I69=""),"",G69/I69)</f>
        <v/>
      </c>
      <c r="L69" s="14">
        <f>INDEX('4_UK_Beta_Input'!$D$5:$D$15,MATCH($C69,'4_UK_Beta_Input'!$A$5:$A$15,0))</f>
        <v/>
      </c>
      <c r="M69" s="14">
        <f>INDEX('4_UK_Beta_Input'!$D$20:$D$44,MATCH($E69,'4_UK_Beta_Input'!$A$20:$A$44,0))</f>
        <v/>
      </c>
      <c r="N69" s="14">
        <f>INDEX('4_UK_Beta_Input'!$D$49:$D$122,MATCH($D69,'4_UK_Beta_Input'!$A$49:$A$122,0))</f>
        <v/>
      </c>
      <c r="O69" s="14">
        <f>INDEX('4_UK_Beta_Input'!$D$127:$D$289,MATCH($A69,'4_UK_Beta_Input'!$A$127:$A$289,0))</f>
        <v/>
      </c>
      <c r="P69" s="16">
        <f>(M69/L69)*(N69/M69)*(O69/N69)</f>
        <v/>
      </c>
      <c r="Q69" s="17">
        <f>IF(J69="",INDEX('3_UK_L1_Input'!$D$4:$D$14,MATCH($C69,'3_UK_L1_Input'!$A$4:$A$14,0))*P69,INDEX('3_UK_L1_Input'!$D$4:$D$14,MATCH($C69,'3_UK_L1_Input'!$A$4:$A$14,0))*J69)</f>
        <v/>
      </c>
      <c r="R69" s="17">
        <f>IF(K69="",INDEX('3_UK_L1_Input'!$D$4:$D$14,MATCH($C69,'3_UK_L1_Input'!$A$4:$A$14,0))*P69,INDEX('3_UK_L1_Input'!$D$4:$D$14,MATCH($C69,'3_UK_L1_Input'!$A$4:$A$14,0))*K69)</f>
        <v/>
      </c>
      <c r="S69" s="18">
        <f>IF(G69="","BETA CASCADE FALLBACK (dummy — replace with real beta)","REAL (Bloomberg UK)")</f>
        <v/>
      </c>
      <c r="T69" s="17">
        <f>INDEX('3_UK_L1_Input'!$C$4:$C$14,MATCH($C69,'3_UK_L1_Input'!$A$4:$A$14,0))</f>
        <v/>
      </c>
      <c r="U69" s="17">
        <f>INDEX('3_UK_L1_Input'!$C$4:$C$14,MATCH($C69,'3_UK_L1_Input'!$A$4:$A$14,0))*P69</f>
        <v/>
      </c>
      <c r="V69" s="15">
        <f>INDEX('5_UK_DefaultRisk_Input'!$D$5:$D$15,MATCH($C69,'5_UK_DefaultRisk_Input'!$A$5:$A$15,0))</f>
        <v/>
      </c>
      <c r="W69" s="15">
        <f>INDEX('5_UK_DefaultRisk_Input'!$D$20:$D$44,MATCH($E69,'5_UK_DefaultRisk_Input'!$A$20:$A$44,0))</f>
        <v/>
      </c>
      <c r="X69" s="15">
        <f>INDEX('5_UK_DefaultRisk_Input'!$D$49:$D$122,MATCH($D69,'5_UK_DefaultRisk_Input'!$A$49:$A$122,0))</f>
        <v/>
      </c>
      <c r="Y69" s="15">
        <f>INDEX('5_UK_DefaultRisk_Input'!$D$127:$D$289,MATCH($A69,'5_UK_DefaultRisk_Input'!$A$127:$A$289,0))</f>
        <v/>
      </c>
      <c r="Z69" s="16">
        <f>(W69/V69)*(X69/W69)*(Y69/X69)</f>
        <v/>
      </c>
      <c r="AA69" s="17">
        <f>INDEX('3_UK_L1_Input'!$D$4:$D$14,MATCH($C69,'3_UK_L1_Input'!$A$4:$A$14,0))*Z69</f>
        <v/>
      </c>
    </row>
    <row r="70">
      <c r="A70" s="7" t="n">
        <v>25301040</v>
      </c>
      <c r="B70" s="7" t="inlineStr">
        <is>
          <t>Restaurants</t>
        </is>
      </c>
      <c r="C70" s="7" t="n">
        <v>25</v>
      </c>
      <c r="D70" s="7" t="n">
        <v>253010</v>
      </c>
      <c r="E70" s="7" t="n">
        <v>2530</v>
      </c>
      <c r="F70" s="9" t="n">
        <v>3670000000</v>
      </c>
      <c r="G70" s="10" t="n">
        <v>6.78</v>
      </c>
      <c r="H70" s="16">
        <f>IFERROR(SUMPRODUCT(($C$3:$C$165=C70)*ISNUMBER($G$3:$G$165)*ISNUMBER($F$3:$F$165)*IF(ISNUMBER($F$3:$F$165),$F$3:$F$165,0)*IF(ISNUMBER($G$3:$G$165),$G$3:$G$165,0))/SUMPRODUCT(($C$3:$C$165=C70)*ISNUMBER($G$3:$G$165)*ISNUMBER($F$3:$F$165)*IF(ISNUMBER($F$3:$F$165),$F$3:$F$165,0)),"")</f>
        <v/>
      </c>
      <c r="I70" s="16">
        <f>IFERROR(SUMPRODUCT(($C$3:$C$165=C70)*ISNUMBER($G$3:$G$165)*IF(ISNUMBER($G$3:$G$165),$G$3:$G$165,0))/SUMPRODUCT(($C$3:$C$165=C70)*ISNUMBER($G$3:$G$165)),"")</f>
        <v/>
      </c>
      <c r="J70" s="16">
        <f>IF(OR(G70="",H70=""),"",G70/H70)</f>
        <v/>
      </c>
      <c r="K70" s="16">
        <f>IF(OR(G70="",I70=""),"",G70/I70)</f>
        <v/>
      </c>
      <c r="L70" s="14">
        <f>INDEX('4_UK_Beta_Input'!$D$5:$D$15,MATCH($C70,'4_UK_Beta_Input'!$A$5:$A$15,0))</f>
        <v/>
      </c>
      <c r="M70" s="14">
        <f>INDEX('4_UK_Beta_Input'!$D$20:$D$44,MATCH($E70,'4_UK_Beta_Input'!$A$20:$A$44,0))</f>
        <v/>
      </c>
      <c r="N70" s="14">
        <f>INDEX('4_UK_Beta_Input'!$D$49:$D$122,MATCH($D70,'4_UK_Beta_Input'!$A$49:$A$122,0))</f>
        <v/>
      </c>
      <c r="O70" s="14">
        <f>INDEX('4_UK_Beta_Input'!$D$127:$D$289,MATCH($A70,'4_UK_Beta_Input'!$A$127:$A$289,0))</f>
        <v/>
      </c>
      <c r="P70" s="16">
        <f>(M70/L70)*(N70/M70)*(O70/N70)</f>
        <v/>
      </c>
      <c r="Q70" s="17">
        <f>IF(J70="",INDEX('3_UK_L1_Input'!$D$4:$D$14,MATCH($C70,'3_UK_L1_Input'!$A$4:$A$14,0))*P70,INDEX('3_UK_L1_Input'!$D$4:$D$14,MATCH($C70,'3_UK_L1_Input'!$A$4:$A$14,0))*J70)</f>
        <v/>
      </c>
      <c r="R70" s="17">
        <f>IF(K70="",INDEX('3_UK_L1_Input'!$D$4:$D$14,MATCH($C70,'3_UK_L1_Input'!$A$4:$A$14,0))*P70,INDEX('3_UK_L1_Input'!$D$4:$D$14,MATCH($C70,'3_UK_L1_Input'!$A$4:$A$14,0))*K70)</f>
        <v/>
      </c>
      <c r="S70" s="18">
        <f>IF(G70="","BETA CASCADE FALLBACK (dummy — replace with real beta)","REAL (Bloomberg UK)")</f>
        <v/>
      </c>
      <c r="T70" s="17">
        <f>INDEX('3_UK_L1_Input'!$C$4:$C$14,MATCH($C70,'3_UK_L1_Input'!$A$4:$A$14,0))</f>
        <v/>
      </c>
      <c r="U70" s="17">
        <f>INDEX('3_UK_L1_Input'!$C$4:$C$14,MATCH($C70,'3_UK_L1_Input'!$A$4:$A$14,0))*P70</f>
        <v/>
      </c>
      <c r="V70" s="15">
        <f>INDEX('5_UK_DefaultRisk_Input'!$D$5:$D$15,MATCH($C70,'5_UK_DefaultRisk_Input'!$A$5:$A$15,0))</f>
        <v/>
      </c>
      <c r="W70" s="15">
        <f>INDEX('5_UK_DefaultRisk_Input'!$D$20:$D$44,MATCH($E70,'5_UK_DefaultRisk_Input'!$A$20:$A$44,0))</f>
        <v/>
      </c>
      <c r="X70" s="15">
        <f>INDEX('5_UK_DefaultRisk_Input'!$D$49:$D$122,MATCH($D70,'5_UK_DefaultRisk_Input'!$A$49:$A$122,0))</f>
        <v/>
      </c>
      <c r="Y70" s="15">
        <f>INDEX('5_UK_DefaultRisk_Input'!$D$127:$D$289,MATCH($A70,'5_UK_DefaultRisk_Input'!$A$127:$A$289,0))</f>
        <v/>
      </c>
      <c r="Z70" s="16">
        <f>(W70/V70)*(X70/W70)*(Y70/X70)</f>
        <v/>
      </c>
      <c r="AA70" s="17">
        <f>INDEX('3_UK_L1_Input'!$D$4:$D$14,MATCH($C70,'3_UK_L1_Input'!$A$4:$A$14,0))*Z70</f>
        <v/>
      </c>
    </row>
    <row r="71">
      <c r="A71" s="7" t="n">
        <v>25302010</v>
      </c>
      <c r="B71" s="7" t="inlineStr">
        <is>
          <t>Education Services</t>
        </is>
      </c>
      <c r="C71" s="7" t="n">
        <v>25</v>
      </c>
      <c r="D71" s="7" t="n">
        <v>253020</v>
      </c>
      <c r="E71" s="7" t="n">
        <v>2530</v>
      </c>
      <c r="F71" s="9" t="n">
        <v>934250000</v>
      </c>
      <c r="G71" s="10" t="n">
        <v>8.85</v>
      </c>
      <c r="H71" s="16">
        <f>IFERROR(SUMPRODUCT(($C$3:$C$165=C71)*ISNUMBER($G$3:$G$165)*ISNUMBER($F$3:$F$165)*IF(ISNUMBER($F$3:$F$165),$F$3:$F$165,0)*IF(ISNUMBER($G$3:$G$165),$G$3:$G$165,0))/SUMPRODUCT(($C$3:$C$165=C71)*ISNUMBER($G$3:$G$165)*ISNUMBER($F$3:$F$165)*IF(ISNUMBER($F$3:$F$165),$F$3:$F$165,0)),"")</f>
        <v/>
      </c>
      <c r="I71" s="16">
        <f>IFERROR(SUMPRODUCT(($C$3:$C$165=C71)*ISNUMBER($G$3:$G$165)*IF(ISNUMBER($G$3:$G$165),$G$3:$G$165,0))/SUMPRODUCT(($C$3:$C$165=C71)*ISNUMBER($G$3:$G$165)),"")</f>
        <v/>
      </c>
      <c r="J71" s="16">
        <f>IF(OR(G71="",H71=""),"",G71/H71)</f>
        <v/>
      </c>
      <c r="K71" s="16">
        <f>IF(OR(G71="",I71=""),"",G71/I71)</f>
        <v/>
      </c>
      <c r="L71" s="14">
        <f>INDEX('4_UK_Beta_Input'!$D$5:$D$15,MATCH($C71,'4_UK_Beta_Input'!$A$5:$A$15,0))</f>
        <v/>
      </c>
      <c r="M71" s="14">
        <f>INDEX('4_UK_Beta_Input'!$D$20:$D$44,MATCH($E71,'4_UK_Beta_Input'!$A$20:$A$44,0))</f>
        <v/>
      </c>
      <c r="N71" s="14">
        <f>INDEX('4_UK_Beta_Input'!$D$49:$D$122,MATCH($D71,'4_UK_Beta_Input'!$A$49:$A$122,0))</f>
        <v/>
      </c>
      <c r="O71" s="14">
        <f>INDEX('4_UK_Beta_Input'!$D$127:$D$289,MATCH($A71,'4_UK_Beta_Input'!$A$127:$A$289,0))</f>
        <v/>
      </c>
      <c r="P71" s="16">
        <f>(M71/L71)*(N71/M71)*(O71/N71)</f>
        <v/>
      </c>
      <c r="Q71" s="17">
        <f>IF(J71="",INDEX('3_UK_L1_Input'!$D$4:$D$14,MATCH($C71,'3_UK_L1_Input'!$A$4:$A$14,0))*P71,INDEX('3_UK_L1_Input'!$D$4:$D$14,MATCH($C71,'3_UK_L1_Input'!$A$4:$A$14,0))*J71)</f>
        <v/>
      </c>
      <c r="R71" s="17">
        <f>IF(K71="",INDEX('3_UK_L1_Input'!$D$4:$D$14,MATCH($C71,'3_UK_L1_Input'!$A$4:$A$14,0))*P71,INDEX('3_UK_L1_Input'!$D$4:$D$14,MATCH($C71,'3_UK_L1_Input'!$A$4:$A$14,0))*K71)</f>
        <v/>
      </c>
      <c r="S71" s="18">
        <f>IF(G71="","BETA CASCADE FALLBACK (dummy — replace with real beta)","REAL (Bloomberg UK)")</f>
        <v/>
      </c>
      <c r="T71" s="17">
        <f>INDEX('3_UK_L1_Input'!$C$4:$C$14,MATCH($C71,'3_UK_L1_Input'!$A$4:$A$14,0))</f>
        <v/>
      </c>
      <c r="U71" s="17">
        <f>INDEX('3_UK_L1_Input'!$C$4:$C$14,MATCH($C71,'3_UK_L1_Input'!$A$4:$A$14,0))*P71</f>
        <v/>
      </c>
      <c r="V71" s="15">
        <f>INDEX('5_UK_DefaultRisk_Input'!$D$5:$D$15,MATCH($C71,'5_UK_DefaultRisk_Input'!$A$5:$A$15,0))</f>
        <v/>
      </c>
      <c r="W71" s="15">
        <f>INDEX('5_UK_DefaultRisk_Input'!$D$20:$D$44,MATCH($E71,'5_UK_DefaultRisk_Input'!$A$20:$A$44,0))</f>
        <v/>
      </c>
      <c r="X71" s="15">
        <f>INDEX('5_UK_DefaultRisk_Input'!$D$49:$D$122,MATCH($D71,'5_UK_DefaultRisk_Input'!$A$49:$A$122,0))</f>
        <v/>
      </c>
      <c r="Y71" s="15">
        <f>INDEX('5_UK_DefaultRisk_Input'!$D$127:$D$289,MATCH($A71,'5_UK_DefaultRisk_Input'!$A$127:$A$289,0))</f>
        <v/>
      </c>
      <c r="Z71" s="16">
        <f>(W71/V71)*(X71/W71)*(Y71/X71)</f>
        <v/>
      </c>
      <c r="AA71" s="17">
        <f>INDEX('3_UK_L1_Input'!$D$4:$D$14,MATCH($C71,'3_UK_L1_Input'!$A$4:$A$14,0))*Z71</f>
        <v/>
      </c>
    </row>
    <row r="72">
      <c r="A72" s="7" t="n">
        <v>25302020</v>
      </c>
      <c r="B72" s="7" t="inlineStr">
        <is>
          <t>Specialized Consumer Services</t>
        </is>
      </c>
      <c r="C72" s="7" t="n">
        <v>25</v>
      </c>
      <c r="D72" s="7" t="n">
        <v>253020</v>
      </c>
      <c r="E72" s="7" t="n">
        <v>2530</v>
      </c>
      <c r="F72" s="9" t="n">
        <v>271610000</v>
      </c>
      <c r="G72" s="10" t="n">
        <v>6.89</v>
      </c>
      <c r="H72" s="16">
        <f>IFERROR(SUMPRODUCT(($C$3:$C$165=C72)*ISNUMBER($G$3:$G$165)*ISNUMBER($F$3:$F$165)*IF(ISNUMBER($F$3:$F$165),$F$3:$F$165,0)*IF(ISNUMBER($G$3:$G$165),$G$3:$G$165,0))/SUMPRODUCT(($C$3:$C$165=C72)*ISNUMBER($G$3:$G$165)*ISNUMBER($F$3:$F$165)*IF(ISNUMBER($F$3:$F$165),$F$3:$F$165,0)),"")</f>
        <v/>
      </c>
      <c r="I72" s="16">
        <f>IFERROR(SUMPRODUCT(($C$3:$C$165=C72)*ISNUMBER($G$3:$G$165)*IF(ISNUMBER($G$3:$G$165),$G$3:$G$165,0))/SUMPRODUCT(($C$3:$C$165=C72)*ISNUMBER($G$3:$G$165)),"")</f>
        <v/>
      </c>
      <c r="J72" s="16">
        <f>IF(OR(G72="",H72=""),"",G72/H72)</f>
        <v/>
      </c>
      <c r="K72" s="16">
        <f>IF(OR(G72="",I72=""),"",G72/I72)</f>
        <v/>
      </c>
      <c r="L72" s="14">
        <f>INDEX('4_UK_Beta_Input'!$D$5:$D$15,MATCH($C72,'4_UK_Beta_Input'!$A$5:$A$15,0))</f>
        <v/>
      </c>
      <c r="M72" s="14">
        <f>INDEX('4_UK_Beta_Input'!$D$20:$D$44,MATCH($E72,'4_UK_Beta_Input'!$A$20:$A$44,0))</f>
        <v/>
      </c>
      <c r="N72" s="14">
        <f>INDEX('4_UK_Beta_Input'!$D$49:$D$122,MATCH($D72,'4_UK_Beta_Input'!$A$49:$A$122,0))</f>
        <v/>
      </c>
      <c r="O72" s="14">
        <f>INDEX('4_UK_Beta_Input'!$D$127:$D$289,MATCH($A72,'4_UK_Beta_Input'!$A$127:$A$289,0))</f>
        <v/>
      </c>
      <c r="P72" s="16">
        <f>(M72/L72)*(N72/M72)*(O72/N72)</f>
        <v/>
      </c>
      <c r="Q72" s="17">
        <f>IF(J72="",INDEX('3_UK_L1_Input'!$D$4:$D$14,MATCH($C72,'3_UK_L1_Input'!$A$4:$A$14,0))*P72,INDEX('3_UK_L1_Input'!$D$4:$D$14,MATCH($C72,'3_UK_L1_Input'!$A$4:$A$14,0))*J72)</f>
        <v/>
      </c>
      <c r="R72" s="17">
        <f>IF(K72="",INDEX('3_UK_L1_Input'!$D$4:$D$14,MATCH($C72,'3_UK_L1_Input'!$A$4:$A$14,0))*P72,INDEX('3_UK_L1_Input'!$D$4:$D$14,MATCH($C72,'3_UK_L1_Input'!$A$4:$A$14,0))*K72)</f>
        <v/>
      </c>
      <c r="S72" s="18">
        <f>IF(G72="","BETA CASCADE FALLBACK (dummy — replace with real beta)","REAL (Bloomberg UK)")</f>
        <v/>
      </c>
      <c r="T72" s="17">
        <f>INDEX('3_UK_L1_Input'!$C$4:$C$14,MATCH($C72,'3_UK_L1_Input'!$A$4:$A$14,0))</f>
        <v/>
      </c>
      <c r="U72" s="17">
        <f>INDEX('3_UK_L1_Input'!$C$4:$C$14,MATCH($C72,'3_UK_L1_Input'!$A$4:$A$14,0))*P72</f>
        <v/>
      </c>
      <c r="V72" s="15">
        <f>INDEX('5_UK_DefaultRisk_Input'!$D$5:$D$15,MATCH($C72,'5_UK_DefaultRisk_Input'!$A$5:$A$15,0))</f>
        <v/>
      </c>
      <c r="W72" s="15">
        <f>INDEX('5_UK_DefaultRisk_Input'!$D$20:$D$44,MATCH($E72,'5_UK_DefaultRisk_Input'!$A$20:$A$44,0))</f>
        <v/>
      </c>
      <c r="X72" s="15">
        <f>INDEX('5_UK_DefaultRisk_Input'!$D$49:$D$122,MATCH($D72,'5_UK_DefaultRisk_Input'!$A$49:$A$122,0))</f>
        <v/>
      </c>
      <c r="Y72" s="15">
        <f>INDEX('5_UK_DefaultRisk_Input'!$D$127:$D$289,MATCH($A72,'5_UK_DefaultRisk_Input'!$A$127:$A$289,0))</f>
        <v/>
      </c>
      <c r="Z72" s="16">
        <f>(W72/V72)*(X72/W72)*(Y72/X72)</f>
        <v/>
      </c>
      <c r="AA72" s="17">
        <f>INDEX('3_UK_L1_Input'!$D$4:$D$14,MATCH($C72,'3_UK_L1_Input'!$A$4:$A$14,0))*Z72</f>
        <v/>
      </c>
    </row>
    <row r="73">
      <c r="A73" s="7" t="n">
        <v>25501010</v>
      </c>
      <c r="B73" s="7" t="inlineStr">
        <is>
          <t>Distributors</t>
        </is>
      </c>
      <c r="C73" s="7" t="n">
        <v>25</v>
      </c>
      <c r="D73" s="7" t="n">
        <v>255010</v>
      </c>
      <c r="E73" s="7" t="n">
        <v>2550</v>
      </c>
      <c r="F73" s="9" t="n">
        <v>1670000000</v>
      </c>
      <c r="G73" s="10" t="n">
        <v>5.05</v>
      </c>
      <c r="H73" s="16">
        <f>IFERROR(SUMPRODUCT(($C$3:$C$165=C73)*ISNUMBER($G$3:$G$165)*ISNUMBER($F$3:$F$165)*IF(ISNUMBER($F$3:$F$165),$F$3:$F$165,0)*IF(ISNUMBER($G$3:$G$165),$G$3:$G$165,0))/SUMPRODUCT(($C$3:$C$165=C73)*ISNUMBER($G$3:$G$165)*ISNUMBER($F$3:$F$165)*IF(ISNUMBER($F$3:$F$165),$F$3:$F$165,0)),"")</f>
        <v/>
      </c>
      <c r="I73" s="16">
        <f>IFERROR(SUMPRODUCT(($C$3:$C$165=C73)*ISNUMBER($G$3:$G$165)*IF(ISNUMBER($G$3:$G$165),$G$3:$G$165,0))/SUMPRODUCT(($C$3:$C$165=C73)*ISNUMBER($G$3:$G$165)),"")</f>
        <v/>
      </c>
      <c r="J73" s="16">
        <f>IF(OR(G73="",H73=""),"",G73/H73)</f>
        <v/>
      </c>
      <c r="K73" s="16">
        <f>IF(OR(G73="",I73=""),"",G73/I73)</f>
        <v/>
      </c>
      <c r="L73" s="14">
        <f>INDEX('4_UK_Beta_Input'!$D$5:$D$15,MATCH($C73,'4_UK_Beta_Input'!$A$5:$A$15,0))</f>
        <v/>
      </c>
      <c r="M73" s="14">
        <f>INDEX('4_UK_Beta_Input'!$D$20:$D$44,MATCH($E73,'4_UK_Beta_Input'!$A$20:$A$44,0))</f>
        <v/>
      </c>
      <c r="N73" s="14">
        <f>INDEX('4_UK_Beta_Input'!$D$49:$D$122,MATCH($D73,'4_UK_Beta_Input'!$A$49:$A$122,0))</f>
        <v/>
      </c>
      <c r="O73" s="14">
        <f>INDEX('4_UK_Beta_Input'!$D$127:$D$289,MATCH($A73,'4_UK_Beta_Input'!$A$127:$A$289,0))</f>
        <v/>
      </c>
      <c r="P73" s="16">
        <f>(M73/L73)*(N73/M73)*(O73/N73)</f>
        <v/>
      </c>
      <c r="Q73" s="17">
        <f>IF(J73="",INDEX('3_UK_L1_Input'!$D$4:$D$14,MATCH($C73,'3_UK_L1_Input'!$A$4:$A$14,0))*P73,INDEX('3_UK_L1_Input'!$D$4:$D$14,MATCH($C73,'3_UK_L1_Input'!$A$4:$A$14,0))*J73)</f>
        <v/>
      </c>
      <c r="R73" s="17">
        <f>IF(K73="",INDEX('3_UK_L1_Input'!$D$4:$D$14,MATCH($C73,'3_UK_L1_Input'!$A$4:$A$14,0))*P73,INDEX('3_UK_L1_Input'!$D$4:$D$14,MATCH($C73,'3_UK_L1_Input'!$A$4:$A$14,0))*K73)</f>
        <v/>
      </c>
      <c r="S73" s="18">
        <f>IF(G73="","BETA CASCADE FALLBACK (dummy — replace with real beta)","REAL (Bloomberg UK)")</f>
        <v/>
      </c>
      <c r="T73" s="17">
        <f>INDEX('3_UK_L1_Input'!$C$4:$C$14,MATCH($C73,'3_UK_L1_Input'!$A$4:$A$14,0))</f>
        <v/>
      </c>
      <c r="U73" s="17">
        <f>INDEX('3_UK_L1_Input'!$C$4:$C$14,MATCH($C73,'3_UK_L1_Input'!$A$4:$A$14,0))*P73</f>
        <v/>
      </c>
      <c r="V73" s="15">
        <f>INDEX('5_UK_DefaultRisk_Input'!$D$5:$D$15,MATCH($C73,'5_UK_DefaultRisk_Input'!$A$5:$A$15,0))</f>
        <v/>
      </c>
      <c r="W73" s="15">
        <f>INDEX('5_UK_DefaultRisk_Input'!$D$20:$D$44,MATCH($E73,'5_UK_DefaultRisk_Input'!$A$20:$A$44,0))</f>
        <v/>
      </c>
      <c r="X73" s="15">
        <f>INDEX('5_UK_DefaultRisk_Input'!$D$49:$D$122,MATCH($D73,'5_UK_DefaultRisk_Input'!$A$49:$A$122,0))</f>
        <v/>
      </c>
      <c r="Y73" s="15">
        <f>INDEX('5_UK_DefaultRisk_Input'!$D$127:$D$289,MATCH($A73,'5_UK_DefaultRisk_Input'!$A$127:$A$289,0))</f>
        <v/>
      </c>
      <c r="Z73" s="16">
        <f>(W73/V73)*(X73/W73)*(Y73/X73)</f>
        <v/>
      </c>
      <c r="AA73" s="17">
        <f>INDEX('3_UK_L1_Input'!$D$4:$D$14,MATCH($C73,'3_UK_L1_Input'!$A$4:$A$14,0))*Z73</f>
        <v/>
      </c>
    </row>
    <row r="74">
      <c r="A74" s="7" t="n">
        <v>25503030</v>
      </c>
      <c r="B74" s="7" t="inlineStr">
        <is>
          <t>Broadline Retail</t>
        </is>
      </c>
      <c r="C74" s="7" t="n">
        <v>25</v>
      </c>
      <c r="D74" s="7" t="n">
        <v>255030</v>
      </c>
      <c r="E74" s="7" t="n">
        <v>2550</v>
      </c>
      <c r="F74" s="9" t="n">
        <v>4510000000</v>
      </c>
      <c r="G74" s="10" t="n">
        <v>7.87</v>
      </c>
      <c r="H74" s="16">
        <f>IFERROR(SUMPRODUCT(($C$3:$C$165=C74)*ISNUMBER($G$3:$G$165)*ISNUMBER($F$3:$F$165)*IF(ISNUMBER($F$3:$F$165),$F$3:$F$165,0)*IF(ISNUMBER($G$3:$G$165),$G$3:$G$165,0))/SUMPRODUCT(($C$3:$C$165=C74)*ISNUMBER($G$3:$G$165)*ISNUMBER($F$3:$F$165)*IF(ISNUMBER($F$3:$F$165),$F$3:$F$165,0)),"")</f>
        <v/>
      </c>
      <c r="I74" s="16">
        <f>IFERROR(SUMPRODUCT(($C$3:$C$165=C74)*ISNUMBER($G$3:$G$165)*IF(ISNUMBER($G$3:$G$165),$G$3:$G$165,0))/SUMPRODUCT(($C$3:$C$165=C74)*ISNUMBER($G$3:$G$165)),"")</f>
        <v/>
      </c>
      <c r="J74" s="16">
        <f>IF(OR(G74="",H74=""),"",G74/H74)</f>
        <v/>
      </c>
      <c r="K74" s="16">
        <f>IF(OR(G74="",I74=""),"",G74/I74)</f>
        <v/>
      </c>
      <c r="L74" s="14">
        <f>INDEX('4_UK_Beta_Input'!$D$5:$D$15,MATCH($C74,'4_UK_Beta_Input'!$A$5:$A$15,0))</f>
        <v/>
      </c>
      <c r="M74" s="14">
        <f>INDEX('4_UK_Beta_Input'!$D$20:$D$44,MATCH($E74,'4_UK_Beta_Input'!$A$20:$A$44,0))</f>
        <v/>
      </c>
      <c r="N74" s="14">
        <f>INDEX('4_UK_Beta_Input'!$D$49:$D$122,MATCH($D74,'4_UK_Beta_Input'!$A$49:$A$122,0))</f>
        <v/>
      </c>
      <c r="O74" s="14">
        <f>INDEX('4_UK_Beta_Input'!$D$127:$D$289,MATCH($A74,'4_UK_Beta_Input'!$A$127:$A$289,0))</f>
        <v/>
      </c>
      <c r="P74" s="16">
        <f>(M74/L74)*(N74/M74)*(O74/N74)</f>
        <v/>
      </c>
      <c r="Q74" s="17">
        <f>IF(J74="",INDEX('3_UK_L1_Input'!$D$4:$D$14,MATCH($C74,'3_UK_L1_Input'!$A$4:$A$14,0))*P74,INDEX('3_UK_L1_Input'!$D$4:$D$14,MATCH($C74,'3_UK_L1_Input'!$A$4:$A$14,0))*J74)</f>
        <v/>
      </c>
      <c r="R74" s="17">
        <f>IF(K74="",INDEX('3_UK_L1_Input'!$D$4:$D$14,MATCH($C74,'3_UK_L1_Input'!$A$4:$A$14,0))*P74,INDEX('3_UK_L1_Input'!$D$4:$D$14,MATCH($C74,'3_UK_L1_Input'!$A$4:$A$14,0))*K74)</f>
        <v/>
      </c>
      <c r="S74" s="18">
        <f>IF(G74="","BETA CASCADE FALLBACK (dummy — replace with real beta)","REAL (Bloomberg UK)")</f>
        <v/>
      </c>
      <c r="T74" s="17">
        <f>INDEX('3_UK_L1_Input'!$C$4:$C$14,MATCH($C74,'3_UK_L1_Input'!$A$4:$A$14,0))</f>
        <v/>
      </c>
      <c r="U74" s="17">
        <f>INDEX('3_UK_L1_Input'!$C$4:$C$14,MATCH($C74,'3_UK_L1_Input'!$A$4:$A$14,0))*P74</f>
        <v/>
      </c>
      <c r="V74" s="15">
        <f>INDEX('5_UK_DefaultRisk_Input'!$D$5:$D$15,MATCH($C74,'5_UK_DefaultRisk_Input'!$A$5:$A$15,0))</f>
        <v/>
      </c>
      <c r="W74" s="15">
        <f>INDEX('5_UK_DefaultRisk_Input'!$D$20:$D$44,MATCH($E74,'5_UK_DefaultRisk_Input'!$A$20:$A$44,0))</f>
        <v/>
      </c>
      <c r="X74" s="15">
        <f>INDEX('5_UK_DefaultRisk_Input'!$D$49:$D$122,MATCH($D74,'5_UK_DefaultRisk_Input'!$A$49:$A$122,0))</f>
        <v/>
      </c>
      <c r="Y74" s="15">
        <f>INDEX('5_UK_DefaultRisk_Input'!$D$127:$D$289,MATCH($A74,'5_UK_DefaultRisk_Input'!$A$127:$A$289,0))</f>
        <v/>
      </c>
      <c r="Z74" s="16">
        <f>(W74/V74)*(X74/W74)*(Y74/X74)</f>
        <v/>
      </c>
      <c r="AA74" s="17">
        <f>INDEX('3_UK_L1_Input'!$D$4:$D$14,MATCH($C74,'3_UK_L1_Input'!$A$4:$A$14,0))*Z74</f>
        <v/>
      </c>
    </row>
    <row r="75">
      <c r="A75" s="7" t="n">
        <v>25504010</v>
      </c>
      <c r="B75" s="7" t="inlineStr">
        <is>
          <t>Apparel Retail</t>
        </is>
      </c>
      <c r="C75" s="7" t="n">
        <v>25</v>
      </c>
      <c r="D75" s="7" t="n">
        <v>255040</v>
      </c>
      <c r="E75" s="7" t="n">
        <v>2550</v>
      </c>
      <c r="F75" s="9" t="n">
        <v>1150000000</v>
      </c>
      <c r="G75" s="10" t="n">
        <v>5.56</v>
      </c>
      <c r="H75" s="16">
        <f>IFERROR(SUMPRODUCT(($C$3:$C$165=C75)*ISNUMBER($G$3:$G$165)*ISNUMBER($F$3:$F$165)*IF(ISNUMBER($F$3:$F$165),$F$3:$F$165,0)*IF(ISNUMBER($G$3:$G$165),$G$3:$G$165,0))/SUMPRODUCT(($C$3:$C$165=C75)*ISNUMBER($G$3:$G$165)*ISNUMBER($F$3:$F$165)*IF(ISNUMBER($F$3:$F$165),$F$3:$F$165,0)),"")</f>
        <v/>
      </c>
      <c r="I75" s="16">
        <f>IFERROR(SUMPRODUCT(($C$3:$C$165=C75)*ISNUMBER($G$3:$G$165)*IF(ISNUMBER($G$3:$G$165),$G$3:$G$165,0))/SUMPRODUCT(($C$3:$C$165=C75)*ISNUMBER($G$3:$G$165)),"")</f>
        <v/>
      </c>
      <c r="J75" s="16">
        <f>IF(OR(G75="",H75=""),"",G75/H75)</f>
        <v/>
      </c>
      <c r="K75" s="16">
        <f>IF(OR(G75="",I75=""),"",G75/I75)</f>
        <v/>
      </c>
      <c r="L75" s="14">
        <f>INDEX('4_UK_Beta_Input'!$D$5:$D$15,MATCH($C75,'4_UK_Beta_Input'!$A$5:$A$15,0))</f>
        <v/>
      </c>
      <c r="M75" s="14">
        <f>INDEX('4_UK_Beta_Input'!$D$20:$D$44,MATCH($E75,'4_UK_Beta_Input'!$A$20:$A$44,0))</f>
        <v/>
      </c>
      <c r="N75" s="14">
        <f>INDEX('4_UK_Beta_Input'!$D$49:$D$122,MATCH($D75,'4_UK_Beta_Input'!$A$49:$A$122,0))</f>
        <v/>
      </c>
      <c r="O75" s="14">
        <f>INDEX('4_UK_Beta_Input'!$D$127:$D$289,MATCH($A75,'4_UK_Beta_Input'!$A$127:$A$289,0))</f>
        <v/>
      </c>
      <c r="P75" s="16">
        <f>(M75/L75)*(N75/M75)*(O75/N75)</f>
        <v/>
      </c>
      <c r="Q75" s="17">
        <f>IF(J75="",INDEX('3_UK_L1_Input'!$D$4:$D$14,MATCH($C75,'3_UK_L1_Input'!$A$4:$A$14,0))*P75,INDEX('3_UK_L1_Input'!$D$4:$D$14,MATCH($C75,'3_UK_L1_Input'!$A$4:$A$14,0))*J75)</f>
        <v/>
      </c>
      <c r="R75" s="17">
        <f>IF(K75="",INDEX('3_UK_L1_Input'!$D$4:$D$14,MATCH($C75,'3_UK_L1_Input'!$A$4:$A$14,0))*P75,INDEX('3_UK_L1_Input'!$D$4:$D$14,MATCH($C75,'3_UK_L1_Input'!$A$4:$A$14,0))*K75)</f>
        <v/>
      </c>
      <c r="S75" s="18">
        <f>IF(G75="","BETA CASCADE FALLBACK (dummy — replace with real beta)","REAL (Bloomberg UK)")</f>
        <v/>
      </c>
      <c r="T75" s="17">
        <f>INDEX('3_UK_L1_Input'!$C$4:$C$14,MATCH($C75,'3_UK_L1_Input'!$A$4:$A$14,0))</f>
        <v/>
      </c>
      <c r="U75" s="17">
        <f>INDEX('3_UK_L1_Input'!$C$4:$C$14,MATCH($C75,'3_UK_L1_Input'!$A$4:$A$14,0))*P75</f>
        <v/>
      </c>
      <c r="V75" s="15">
        <f>INDEX('5_UK_DefaultRisk_Input'!$D$5:$D$15,MATCH($C75,'5_UK_DefaultRisk_Input'!$A$5:$A$15,0))</f>
        <v/>
      </c>
      <c r="W75" s="15">
        <f>INDEX('5_UK_DefaultRisk_Input'!$D$20:$D$44,MATCH($E75,'5_UK_DefaultRisk_Input'!$A$20:$A$44,0))</f>
        <v/>
      </c>
      <c r="X75" s="15">
        <f>INDEX('5_UK_DefaultRisk_Input'!$D$49:$D$122,MATCH($D75,'5_UK_DefaultRisk_Input'!$A$49:$A$122,0))</f>
        <v/>
      </c>
      <c r="Y75" s="15">
        <f>INDEX('5_UK_DefaultRisk_Input'!$D$127:$D$289,MATCH($A75,'5_UK_DefaultRisk_Input'!$A$127:$A$289,0))</f>
        <v/>
      </c>
      <c r="Z75" s="16">
        <f>(W75/V75)*(X75/W75)*(Y75/X75)</f>
        <v/>
      </c>
      <c r="AA75" s="17">
        <f>INDEX('3_UK_L1_Input'!$D$4:$D$14,MATCH($C75,'3_UK_L1_Input'!$A$4:$A$14,0))*Z75</f>
        <v/>
      </c>
    </row>
    <row r="76">
      <c r="A76" s="7" t="n">
        <v>25504020</v>
      </c>
      <c r="B76" s="7" t="inlineStr">
        <is>
          <t>Computer &amp; Electronics Retail</t>
        </is>
      </c>
      <c r="C76" s="7" t="n">
        <v>25</v>
      </c>
      <c r="D76" s="7" t="n">
        <v>255040</v>
      </c>
      <c r="E76" s="7" t="n">
        <v>2550</v>
      </c>
      <c r="F76" s="9" t="n">
        <v>5260000000</v>
      </c>
      <c r="G76" s="10" t="n">
        <v>5.19</v>
      </c>
      <c r="H76" s="16">
        <f>IFERROR(SUMPRODUCT(($C$3:$C$165=C76)*ISNUMBER($G$3:$G$165)*ISNUMBER($F$3:$F$165)*IF(ISNUMBER($F$3:$F$165),$F$3:$F$165,0)*IF(ISNUMBER($G$3:$G$165),$G$3:$G$165,0))/SUMPRODUCT(($C$3:$C$165=C76)*ISNUMBER($G$3:$G$165)*ISNUMBER($F$3:$F$165)*IF(ISNUMBER($F$3:$F$165),$F$3:$F$165,0)),"")</f>
        <v/>
      </c>
      <c r="I76" s="16">
        <f>IFERROR(SUMPRODUCT(($C$3:$C$165=C76)*ISNUMBER($G$3:$G$165)*IF(ISNUMBER($G$3:$G$165),$G$3:$G$165,0))/SUMPRODUCT(($C$3:$C$165=C76)*ISNUMBER($G$3:$G$165)),"")</f>
        <v/>
      </c>
      <c r="J76" s="16">
        <f>IF(OR(G76="",H76=""),"",G76/H76)</f>
        <v/>
      </c>
      <c r="K76" s="16">
        <f>IF(OR(G76="",I76=""),"",G76/I76)</f>
        <v/>
      </c>
      <c r="L76" s="14">
        <f>INDEX('4_UK_Beta_Input'!$D$5:$D$15,MATCH($C76,'4_UK_Beta_Input'!$A$5:$A$15,0))</f>
        <v/>
      </c>
      <c r="M76" s="14">
        <f>INDEX('4_UK_Beta_Input'!$D$20:$D$44,MATCH($E76,'4_UK_Beta_Input'!$A$20:$A$44,0))</f>
        <v/>
      </c>
      <c r="N76" s="14">
        <f>INDEX('4_UK_Beta_Input'!$D$49:$D$122,MATCH($D76,'4_UK_Beta_Input'!$A$49:$A$122,0))</f>
        <v/>
      </c>
      <c r="O76" s="14">
        <f>INDEX('4_UK_Beta_Input'!$D$127:$D$289,MATCH($A76,'4_UK_Beta_Input'!$A$127:$A$289,0))</f>
        <v/>
      </c>
      <c r="P76" s="16">
        <f>(M76/L76)*(N76/M76)*(O76/N76)</f>
        <v/>
      </c>
      <c r="Q76" s="17">
        <f>IF(J76="",INDEX('3_UK_L1_Input'!$D$4:$D$14,MATCH($C76,'3_UK_L1_Input'!$A$4:$A$14,0))*P76,INDEX('3_UK_L1_Input'!$D$4:$D$14,MATCH($C76,'3_UK_L1_Input'!$A$4:$A$14,0))*J76)</f>
        <v/>
      </c>
      <c r="R76" s="17">
        <f>IF(K76="",INDEX('3_UK_L1_Input'!$D$4:$D$14,MATCH($C76,'3_UK_L1_Input'!$A$4:$A$14,0))*P76,INDEX('3_UK_L1_Input'!$D$4:$D$14,MATCH($C76,'3_UK_L1_Input'!$A$4:$A$14,0))*K76)</f>
        <v/>
      </c>
      <c r="S76" s="18">
        <f>IF(G76="","BETA CASCADE FALLBACK (dummy — replace with real beta)","REAL (Bloomberg UK)")</f>
        <v/>
      </c>
      <c r="T76" s="17">
        <f>INDEX('3_UK_L1_Input'!$C$4:$C$14,MATCH($C76,'3_UK_L1_Input'!$A$4:$A$14,0))</f>
        <v/>
      </c>
      <c r="U76" s="17">
        <f>INDEX('3_UK_L1_Input'!$C$4:$C$14,MATCH($C76,'3_UK_L1_Input'!$A$4:$A$14,0))*P76</f>
        <v/>
      </c>
      <c r="V76" s="15">
        <f>INDEX('5_UK_DefaultRisk_Input'!$D$5:$D$15,MATCH($C76,'5_UK_DefaultRisk_Input'!$A$5:$A$15,0))</f>
        <v/>
      </c>
      <c r="W76" s="15">
        <f>INDEX('5_UK_DefaultRisk_Input'!$D$20:$D$44,MATCH($E76,'5_UK_DefaultRisk_Input'!$A$20:$A$44,0))</f>
        <v/>
      </c>
      <c r="X76" s="15">
        <f>INDEX('5_UK_DefaultRisk_Input'!$D$49:$D$122,MATCH($D76,'5_UK_DefaultRisk_Input'!$A$49:$A$122,0))</f>
        <v/>
      </c>
      <c r="Y76" s="15">
        <f>INDEX('5_UK_DefaultRisk_Input'!$D$127:$D$289,MATCH($A76,'5_UK_DefaultRisk_Input'!$A$127:$A$289,0))</f>
        <v/>
      </c>
      <c r="Z76" s="16">
        <f>(W76/V76)*(X76/W76)*(Y76/X76)</f>
        <v/>
      </c>
      <c r="AA76" s="17">
        <f>INDEX('3_UK_L1_Input'!$D$4:$D$14,MATCH($C76,'3_UK_L1_Input'!$A$4:$A$14,0))*Z76</f>
        <v/>
      </c>
    </row>
    <row r="77">
      <c r="A77" s="7" t="n">
        <v>25504030</v>
      </c>
      <c r="B77" s="7" t="inlineStr">
        <is>
          <t>Home Improvement Retail</t>
        </is>
      </c>
      <c r="C77" s="7" t="n">
        <v>25</v>
      </c>
      <c r="D77" s="7" t="n">
        <v>255040</v>
      </c>
      <c r="E77" s="7" t="n">
        <v>2550</v>
      </c>
      <c r="F77" s="9" t="n">
        <v>3060000000</v>
      </c>
      <c r="G77" s="10" t="n">
        <v>7.86</v>
      </c>
      <c r="H77" s="16">
        <f>IFERROR(SUMPRODUCT(($C$3:$C$165=C77)*ISNUMBER($G$3:$G$165)*ISNUMBER($F$3:$F$165)*IF(ISNUMBER($F$3:$F$165),$F$3:$F$165,0)*IF(ISNUMBER($G$3:$G$165),$G$3:$G$165,0))/SUMPRODUCT(($C$3:$C$165=C77)*ISNUMBER($G$3:$G$165)*ISNUMBER($F$3:$F$165)*IF(ISNUMBER($F$3:$F$165),$F$3:$F$165,0)),"")</f>
        <v/>
      </c>
      <c r="I77" s="16">
        <f>IFERROR(SUMPRODUCT(($C$3:$C$165=C77)*ISNUMBER($G$3:$G$165)*IF(ISNUMBER($G$3:$G$165),$G$3:$G$165,0))/SUMPRODUCT(($C$3:$C$165=C77)*ISNUMBER($G$3:$G$165)),"")</f>
        <v/>
      </c>
      <c r="J77" s="16">
        <f>IF(OR(G77="",H77=""),"",G77/H77)</f>
        <v/>
      </c>
      <c r="K77" s="16">
        <f>IF(OR(G77="",I77=""),"",G77/I77)</f>
        <v/>
      </c>
      <c r="L77" s="14">
        <f>INDEX('4_UK_Beta_Input'!$D$5:$D$15,MATCH($C77,'4_UK_Beta_Input'!$A$5:$A$15,0))</f>
        <v/>
      </c>
      <c r="M77" s="14">
        <f>INDEX('4_UK_Beta_Input'!$D$20:$D$44,MATCH($E77,'4_UK_Beta_Input'!$A$20:$A$44,0))</f>
        <v/>
      </c>
      <c r="N77" s="14">
        <f>INDEX('4_UK_Beta_Input'!$D$49:$D$122,MATCH($D77,'4_UK_Beta_Input'!$A$49:$A$122,0))</f>
        <v/>
      </c>
      <c r="O77" s="14">
        <f>INDEX('4_UK_Beta_Input'!$D$127:$D$289,MATCH($A77,'4_UK_Beta_Input'!$A$127:$A$289,0))</f>
        <v/>
      </c>
      <c r="P77" s="16">
        <f>(M77/L77)*(N77/M77)*(O77/N77)</f>
        <v/>
      </c>
      <c r="Q77" s="17">
        <f>IF(J77="",INDEX('3_UK_L1_Input'!$D$4:$D$14,MATCH($C77,'3_UK_L1_Input'!$A$4:$A$14,0))*P77,INDEX('3_UK_L1_Input'!$D$4:$D$14,MATCH($C77,'3_UK_L1_Input'!$A$4:$A$14,0))*J77)</f>
        <v/>
      </c>
      <c r="R77" s="17">
        <f>IF(K77="",INDEX('3_UK_L1_Input'!$D$4:$D$14,MATCH($C77,'3_UK_L1_Input'!$A$4:$A$14,0))*P77,INDEX('3_UK_L1_Input'!$D$4:$D$14,MATCH($C77,'3_UK_L1_Input'!$A$4:$A$14,0))*K77)</f>
        <v/>
      </c>
      <c r="S77" s="18">
        <f>IF(G77="","BETA CASCADE FALLBACK (dummy — replace with real beta)","REAL (Bloomberg UK)")</f>
        <v/>
      </c>
      <c r="T77" s="17">
        <f>INDEX('3_UK_L1_Input'!$C$4:$C$14,MATCH($C77,'3_UK_L1_Input'!$A$4:$A$14,0))</f>
        <v/>
      </c>
      <c r="U77" s="17">
        <f>INDEX('3_UK_L1_Input'!$C$4:$C$14,MATCH($C77,'3_UK_L1_Input'!$A$4:$A$14,0))*P77</f>
        <v/>
      </c>
      <c r="V77" s="15">
        <f>INDEX('5_UK_DefaultRisk_Input'!$D$5:$D$15,MATCH($C77,'5_UK_DefaultRisk_Input'!$A$5:$A$15,0))</f>
        <v/>
      </c>
      <c r="W77" s="15">
        <f>INDEX('5_UK_DefaultRisk_Input'!$D$20:$D$44,MATCH($E77,'5_UK_DefaultRisk_Input'!$A$20:$A$44,0))</f>
        <v/>
      </c>
      <c r="X77" s="15">
        <f>INDEX('5_UK_DefaultRisk_Input'!$D$49:$D$122,MATCH($D77,'5_UK_DefaultRisk_Input'!$A$49:$A$122,0))</f>
        <v/>
      </c>
      <c r="Y77" s="15">
        <f>INDEX('5_UK_DefaultRisk_Input'!$D$127:$D$289,MATCH($A77,'5_UK_DefaultRisk_Input'!$A$127:$A$289,0))</f>
        <v/>
      </c>
      <c r="Z77" s="16">
        <f>(W77/V77)*(X77/W77)*(Y77/X77)</f>
        <v/>
      </c>
      <c r="AA77" s="17">
        <f>INDEX('3_UK_L1_Input'!$D$4:$D$14,MATCH($C77,'3_UK_L1_Input'!$A$4:$A$14,0))*Z77</f>
        <v/>
      </c>
    </row>
    <row r="78">
      <c r="A78" s="7" t="n">
        <v>25504040</v>
      </c>
      <c r="B78" s="7" t="inlineStr">
        <is>
          <t>Other Specialty Retail</t>
        </is>
      </c>
      <c r="C78" s="7" t="n">
        <v>25</v>
      </c>
      <c r="D78" s="7" t="n">
        <v>255040</v>
      </c>
      <c r="E78" s="7" t="n">
        <v>2550</v>
      </c>
      <c r="F78" s="9" t="n">
        <v>2200000000</v>
      </c>
      <c r="G78" s="10" t="n">
        <v>5.13</v>
      </c>
      <c r="H78" s="16">
        <f>IFERROR(SUMPRODUCT(($C$3:$C$165=C78)*ISNUMBER($G$3:$G$165)*ISNUMBER($F$3:$F$165)*IF(ISNUMBER($F$3:$F$165),$F$3:$F$165,0)*IF(ISNUMBER($G$3:$G$165),$G$3:$G$165,0))/SUMPRODUCT(($C$3:$C$165=C78)*ISNUMBER($G$3:$G$165)*ISNUMBER($F$3:$F$165)*IF(ISNUMBER($F$3:$F$165),$F$3:$F$165,0)),"")</f>
        <v/>
      </c>
      <c r="I78" s="16">
        <f>IFERROR(SUMPRODUCT(($C$3:$C$165=C78)*ISNUMBER($G$3:$G$165)*IF(ISNUMBER($G$3:$G$165),$G$3:$G$165,0))/SUMPRODUCT(($C$3:$C$165=C78)*ISNUMBER($G$3:$G$165)),"")</f>
        <v/>
      </c>
      <c r="J78" s="16">
        <f>IF(OR(G78="",H78=""),"",G78/H78)</f>
        <v/>
      </c>
      <c r="K78" s="16">
        <f>IF(OR(G78="",I78=""),"",G78/I78)</f>
        <v/>
      </c>
      <c r="L78" s="14">
        <f>INDEX('4_UK_Beta_Input'!$D$5:$D$15,MATCH($C78,'4_UK_Beta_Input'!$A$5:$A$15,0))</f>
        <v/>
      </c>
      <c r="M78" s="14">
        <f>INDEX('4_UK_Beta_Input'!$D$20:$D$44,MATCH($E78,'4_UK_Beta_Input'!$A$20:$A$44,0))</f>
        <v/>
      </c>
      <c r="N78" s="14">
        <f>INDEX('4_UK_Beta_Input'!$D$49:$D$122,MATCH($D78,'4_UK_Beta_Input'!$A$49:$A$122,0))</f>
        <v/>
      </c>
      <c r="O78" s="14">
        <f>INDEX('4_UK_Beta_Input'!$D$127:$D$289,MATCH($A78,'4_UK_Beta_Input'!$A$127:$A$289,0))</f>
        <v/>
      </c>
      <c r="P78" s="16">
        <f>(M78/L78)*(N78/M78)*(O78/N78)</f>
        <v/>
      </c>
      <c r="Q78" s="17">
        <f>IF(J78="",INDEX('3_UK_L1_Input'!$D$4:$D$14,MATCH($C78,'3_UK_L1_Input'!$A$4:$A$14,0))*P78,INDEX('3_UK_L1_Input'!$D$4:$D$14,MATCH($C78,'3_UK_L1_Input'!$A$4:$A$14,0))*J78)</f>
        <v/>
      </c>
      <c r="R78" s="17">
        <f>IF(K78="",INDEX('3_UK_L1_Input'!$D$4:$D$14,MATCH($C78,'3_UK_L1_Input'!$A$4:$A$14,0))*P78,INDEX('3_UK_L1_Input'!$D$4:$D$14,MATCH($C78,'3_UK_L1_Input'!$A$4:$A$14,0))*K78)</f>
        <v/>
      </c>
      <c r="S78" s="18">
        <f>IF(G78="","BETA CASCADE FALLBACK (dummy — replace with real beta)","REAL (Bloomberg UK)")</f>
        <v/>
      </c>
      <c r="T78" s="17">
        <f>INDEX('3_UK_L1_Input'!$C$4:$C$14,MATCH($C78,'3_UK_L1_Input'!$A$4:$A$14,0))</f>
        <v/>
      </c>
      <c r="U78" s="17">
        <f>INDEX('3_UK_L1_Input'!$C$4:$C$14,MATCH($C78,'3_UK_L1_Input'!$A$4:$A$14,0))*P78</f>
        <v/>
      </c>
      <c r="V78" s="15">
        <f>INDEX('5_UK_DefaultRisk_Input'!$D$5:$D$15,MATCH($C78,'5_UK_DefaultRisk_Input'!$A$5:$A$15,0))</f>
        <v/>
      </c>
      <c r="W78" s="15">
        <f>INDEX('5_UK_DefaultRisk_Input'!$D$20:$D$44,MATCH($E78,'5_UK_DefaultRisk_Input'!$A$20:$A$44,0))</f>
        <v/>
      </c>
      <c r="X78" s="15">
        <f>INDEX('5_UK_DefaultRisk_Input'!$D$49:$D$122,MATCH($D78,'5_UK_DefaultRisk_Input'!$A$49:$A$122,0))</f>
        <v/>
      </c>
      <c r="Y78" s="15">
        <f>INDEX('5_UK_DefaultRisk_Input'!$D$127:$D$289,MATCH($A78,'5_UK_DefaultRisk_Input'!$A$127:$A$289,0))</f>
        <v/>
      </c>
      <c r="Z78" s="16">
        <f>(W78/V78)*(X78/W78)*(Y78/X78)</f>
        <v/>
      </c>
      <c r="AA78" s="17">
        <f>INDEX('3_UK_L1_Input'!$D$4:$D$14,MATCH($C78,'3_UK_L1_Input'!$A$4:$A$14,0))*Z78</f>
        <v/>
      </c>
    </row>
    <row r="79">
      <c r="A79" s="7" t="n">
        <v>25504050</v>
      </c>
      <c r="B79" s="7" t="inlineStr">
        <is>
          <t>Automotive Retail</t>
        </is>
      </c>
      <c r="C79" s="7" t="n">
        <v>25</v>
      </c>
      <c r="D79" s="7" t="n">
        <v>255040</v>
      </c>
      <c r="E79" s="7" t="n">
        <v>2550</v>
      </c>
      <c r="F79" s="9" t="n">
        <v>1830000000</v>
      </c>
      <c r="G79" s="10" t="n">
        <v>3.55</v>
      </c>
      <c r="H79" s="16">
        <f>IFERROR(SUMPRODUCT(($C$3:$C$165=C79)*ISNUMBER($G$3:$G$165)*ISNUMBER($F$3:$F$165)*IF(ISNUMBER($F$3:$F$165),$F$3:$F$165,0)*IF(ISNUMBER($G$3:$G$165),$G$3:$G$165,0))/SUMPRODUCT(($C$3:$C$165=C79)*ISNUMBER($G$3:$G$165)*ISNUMBER($F$3:$F$165)*IF(ISNUMBER($F$3:$F$165),$F$3:$F$165,0)),"")</f>
        <v/>
      </c>
      <c r="I79" s="16">
        <f>IFERROR(SUMPRODUCT(($C$3:$C$165=C79)*ISNUMBER($G$3:$G$165)*IF(ISNUMBER($G$3:$G$165),$G$3:$G$165,0))/SUMPRODUCT(($C$3:$C$165=C79)*ISNUMBER($G$3:$G$165)),"")</f>
        <v/>
      </c>
      <c r="J79" s="16">
        <f>IF(OR(G79="",H79=""),"",G79/H79)</f>
        <v/>
      </c>
      <c r="K79" s="16">
        <f>IF(OR(G79="",I79=""),"",G79/I79)</f>
        <v/>
      </c>
      <c r="L79" s="14">
        <f>INDEX('4_UK_Beta_Input'!$D$5:$D$15,MATCH($C79,'4_UK_Beta_Input'!$A$5:$A$15,0))</f>
        <v/>
      </c>
      <c r="M79" s="14">
        <f>INDEX('4_UK_Beta_Input'!$D$20:$D$44,MATCH($E79,'4_UK_Beta_Input'!$A$20:$A$44,0))</f>
        <v/>
      </c>
      <c r="N79" s="14">
        <f>INDEX('4_UK_Beta_Input'!$D$49:$D$122,MATCH($D79,'4_UK_Beta_Input'!$A$49:$A$122,0))</f>
        <v/>
      </c>
      <c r="O79" s="14">
        <f>INDEX('4_UK_Beta_Input'!$D$127:$D$289,MATCH($A79,'4_UK_Beta_Input'!$A$127:$A$289,0))</f>
        <v/>
      </c>
      <c r="P79" s="16">
        <f>(M79/L79)*(N79/M79)*(O79/N79)</f>
        <v/>
      </c>
      <c r="Q79" s="17">
        <f>IF(J79="",INDEX('3_UK_L1_Input'!$D$4:$D$14,MATCH($C79,'3_UK_L1_Input'!$A$4:$A$14,0))*P79,INDEX('3_UK_L1_Input'!$D$4:$D$14,MATCH($C79,'3_UK_L1_Input'!$A$4:$A$14,0))*J79)</f>
        <v/>
      </c>
      <c r="R79" s="17">
        <f>IF(K79="",INDEX('3_UK_L1_Input'!$D$4:$D$14,MATCH($C79,'3_UK_L1_Input'!$A$4:$A$14,0))*P79,INDEX('3_UK_L1_Input'!$D$4:$D$14,MATCH($C79,'3_UK_L1_Input'!$A$4:$A$14,0))*K79)</f>
        <v/>
      </c>
      <c r="S79" s="18">
        <f>IF(G79="","BETA CASCADE FALLBACK (dummy — replace with real beta)","REAL (Bloomberg UK)")</f>
        <v/>
      </c>
      <c r="T79" s="17">
        <f>INDEX('3_UK_L1_Input'!$C$4:$C$14,MATCH($C79,'3_UK_L1_Input'!$A$4:$A$14,0))</f>
        <v/>
      </c>
      <c r="U79" s="17">
        <f>INDEX('3_UK_L1_Input'!$C$4:$C$14,MATCH($C79,'3_UK_L1_Input'!$A$4:$A$14,0))*P79</f>
        <v/>
      </c>
      <c r="V79" s="15">
        <f>INDEX('5_UK_DefaultRisk_Input'!$D$5:$D$15,MATCH($C79,'5_UK_DefaultRisk_Input'!$A$5:$A$15,0))</f>
        <v/>
      </c>
      <c r="W79" s="15">
        <f>INDEX('5_UK_DefaultRisk_Input'!$D$20:$D$44,MATCH($E79,'5_UK_DefaultRisk_Input'!$A$20:$A$44,0))</f>
        <v/>
      </c>
      <c r="X79" s="15">
        <f>INDEX('5_UK_DefaultRisk_Input'!$D$49:$D$122,MATCH($D79,'5_UK_DefaultRisk_Input'!$A$49:$A$122,0))</f>
        <v/>
      </c>
      <c r="Y79" s="15">
        <f>INDEX('5_UK_DefaultRisk_Input'!$D$127:$D$289,MATCH($A79,'5_UK_DefaultRisk_Input'!$A$127:$A$289,0))</f>
        <v/>
      </c>
      <c r="Z79" s="16">
        <f>(W79/V79)*(X79/W79)*(Y79/X79)</f>
        <v/>
      </c>
      <c r="AA79" s="17">
        <f>INDEX('3_UK_L1_Input'!$D$4:$D$14,MATCH($C79,'3_UK_L1_Input'!$A$4:$A$14,0))*Z79</f>
        <v/>
      </c>
    </row>
    <row r="80">
      <c r="A80" s="7" t="n">
        <v>25504060</v>
      </c>
      <c r="B80" s="7" t="inlineStr">
        <is>
          <t>Homefurnishing Retail</t>
        </is>
      </c>
      <c r="C80" s="7" t="n">
        <v>25</v>
      </c>
      <c r="D80" s="7" t="n">
        <v>255040</v>
      </c>
      <c r="E80" s="7" t="n">
        <v>2550</v>
      </c>
      <c r="F80" s="9" t="n">
        <v>359370000</v>
      </c>
      <c r="G80" s="10" t="n">
        <v>4.6</v>
      </c>
      <c r="H80" s="16">
        <f>IFERROR(SUMPRODUCT(($C$3:$C$165=C80)*ISNUMBER($G$3:$G$165)*ISNUMBER($F$3:$F$165)*IF(ISNUMBER($F$3:$F$165),$F$3:$F$165,0)*IF(ISNUMBER($G$3:$G$165),$G$3:$G$165,0))/SUMPRODUCT(($C$3:$C$165=C80)*ISNUMBER($G$3:$G$165)*ISNUMBER($F$3:$F$165)*IF(ISNUMBER($F$3:$F$165),$F$3:$F$165,0)),"")</f>
        <v/>
      </c>
      <c r="I80" s="16">
        <f>IFERROR(SUMPRODUCT(($C$3:$C$165=C80)*ISNUMBER($G$3:$G$165)*IF(ISNUMBER($G$3:$G$165),$G$3:$G$165,0))/SUMPRODUCT(($C$3:$C$165=C80)*ISNUMBER($G$3:$G$165)),"")</f>
        <v/>
      </c>
      <c r="J80" s="16">
        <f>IF(OR(G80="",H80=""),"",G80/H80)</f>
        <v/>
      </c>
      <c r="K80" s="16">
        <f>IF(OR(G80="",I80=""),"",G80/I80)</f>
        <v/>
      </c>
      <c r="L80" s="14">
        <f>INDEX('4_UK_Beta_Input'!$D$5:$D$15,MATCH($C80,'4_UK_Beta_Input'!$A$5:$A$15,0))</f>
        <v/>
      </c>
      <c r="M80" s="14">
        <f>INDEX('4_UK_Beta_Input'!$D$20:$D$44,MATCH($E80,'4_UK_Beta_Input'!$A$20:$A$44,0))</f>
        <v/>
      </c>
      <c r="N80" s="14">
        <f>INDEX('4_UK_Beta_Input'!$D$49:$D$122,MATCH($D80,'4_UK_Beta_Input'!$A$49:$A$122,0))</f>
        <v/>
      </c>
      <c r="O80" s="14">
        <f>INDEX('4_UK_Beta_Input'!$D$127:$D$289,MATCH($A80,'4_UK_Beta_Input'!$A$127:$A$289,0))</f>
        <v/>
      </c>
      <c r="P80" s="16">
        <f>(M80/L80)*(N80/M80)*(O80/N80)</f>
        <v/>
      </c>
      <c r="Q80" s="17">
        <f>IF(J80="",INDEX('3_UK_L1_Input'!$D$4:$D$14,MATCH($C80,'3_UK_L1_Input'!$A$4:$A$14,0))*P80,INDEX('3_UK_L1_Input'!$D$4:$D$14,MATCH($C80,'3_UK_L1_Input'!$A$4:$A$14,0))*J80)</f>
        <v/>
      </c>
      <c r="R80" s="17">
        <f>IF(K80="",INDEX('3_UK_L1_Input'!$D$4:$D$14,MATCH($C80,'3_UK_L1_Input'!$A$4:$A$14,0))*P80,INDEX('3_UK_L1_Input'!$D$4:$D$14,MATCH($C80,'3_UK_L1_Input'!$A$4:$A$14,0))*K80)</f>
        <v/>
      </c>
      <c r="S80" s="18">
        <f>IF(G80="","BETA CASCADE FALLBACK (dummy — replace with real beta)","REAL (Bloomberg UK)")</f>
        <v/>
      </c>
      <c r="T80" s="17">
        <f>INDEX('3_UK_L1_Input'!$C$4:$C$14,MATCH($C80,'3_UK_L1_Input'!$A$4:$A$14,0))</f>
        <v/>
      </c>
      <c r="U80" s="17">
        <f>INDEX('3_UK_L1_Input'!$C$4:$C$14,MATCH($C80,'3_UK_L1_Input'!$A$4:$A$14,0))*P80</f>
        <v/>
      </c>
      <c r="V80" s="15">
        <f>INDEX('5_UK_DefaultRisk_Input'!$D$5:$D$15,MATCH($C80,'5_UK_DefaultRisk_Input'!$A$5:$A$15,0))</f>
        <v/>
      </c>
      <c r="W80" s="15">
        <f>INDEX('5_UK_DefaultRisk_Input'!$D$20:$D$44,MATCH($E80,'5_UK_DefaultRisk_Input'!$A$20:$A$44,0))</f>
        <v/>
      </c>
      <c r="X80" s="15">
        <f>INDEX('5_UK_DefaultRisk_Input'!$D$49:$D$122,MATCH($D80,'5_UK_DefaultRisk_Input'!$A$49:$A$122,0))</f>
        <v/>
      </c>
      <c r="Y80" s="15">
        <f>INDEX('5_UK_DefaultRisk_Input'!$D$127:$D$289,MATCH($A80,'5_UK_DefaultRisk_Input'!$A$127:$A$289,0))</f>
        <v/>
      </c>
      <c r="Z80" s="16">
        <f>(W80/V80)*(X80/W80)*(Y80/X80)</f>
        <v/>
      </c>
      <c r="AA80" s="17">
        <f>INDEX('3_UK_L1_Input'!$D$4:$D$14,MATCH($C80,'3_UK_L1_Input'!$A$4:$A$14,0))*Z80</f>
        <v/>
      </c>
    </row>
    <row r="81">
      <c r="A81" s="7" t="n">
        <v>30101010</v>
      </c>
      <c r="B81" s="7" t="inlineStr">
        <is>
          <t>Drug Retail</t>
        </is>
      </c>
      <c r="C81" s="7" t="n">
        <v>30</v>
      </c>
      <c r="D81" s="7" t="n">
        <v>301010</v>
      </c>
      <c r="E81" s="7" t="n">
        <v>3010</v>
      </c>
      <c r="F81" s="8" t="n"/>
      <c r="G81" s="8" t="n"/>
      <c r="H81" s="16">
        <f>IFERROR(SUMPRODUCT(($C$3:$C$165=C81)*ISNUMBER($G$3:$G$165)*ISNUMBER($F$3:$F$165)*IF(ISNUMBER($F$3:$F$165),$F$3:$F$165,0)*IF(ISNUMBER($G$3:$G$165),$G$3:$G$165,0))/SUMPRODUCT(($C$3:$C$165=C81)*ISNUMBER($G$3:$G$165)*ISNUMBER($F$3:$F$165)*IF(ISNUMBER($F$3:$F$165),$F$3:$F$165,0)),"")</f>
        <v/>
      </c>
      <c r="I81" s="16">
        <f>IFERROR(SUMPRODUCT(($C$3:$C$165=C81)*ISNUMBER($G$3:$G$165)*IF(ISNUMBER($G$3:$G$165),$G$3:$G$165,0))/SUMPRODUCT(($C$3:$C$165=C81)*ISNUMBER($G$3:$G$165)),"")</f>
        <v/>
      </c>
      <c r="J81" s="16">
        <f>IF(OR(G81="",H81=""),"",G81/H81)</f>
        <v/>
      </c>
      <c r="K81" s="16">
        <f>IF(OR(G81="",I81=""),"",G81/I81)</f>
        <v/>
      </c>
      <c r="L81" s="14">
        <f>INDEX('4_UK_Beta_Input'!$D$5:$D$15,MATCH($C81,'4_UK_Beta_Input'!$A$5:$A$15,0))</f>
        <v/>
      </c>
      <c r="M81" s="14">
        <f>INDEX('4_UK_Beta_Input'!$D$20:$D$44,MATCH($E81,'4_UK_Beta_Input'!$A$20:$A$44,0))</f>
        <v/>
      </c>
      <c r="N81" s="14">
        <f>INDEX('4_UK_Beta_Input'!$D$49:$D$122,MATCH($D81,'4_UK_Beta_Input'!$A$49:$A$122,0))</f>
        <v/>
      </c>
      <c r="O81" s="14">
        <f>INDEX('4_UK_Beta_Input'!$D$127:$D$289,MATCH($A81,'4_UK_Beta_Input'!$A$127:$A$289,0))</f>
        <v/>
      </c>
      <c r="P81" s="16">
        <f>(M81/L81)*(N81/M81)*(O81/N81)</f>
        <v/>
      </c>
      <c r="Q81" s="17">
        <f>IF(J81="",INDEX('3_UK_L1_Input'!$D$4:$D$14,MATCH($C81,'3_UK_L1_Input'!$A$4:$A$14,0))*P81,INDEX('3_UK_L1_Input'!$D$4:$D$14,MATCH($C81,'3_UK_L1_Input'!$A$4:$A$14,0))*J81)</f>
        <v/>
      </c>
      <c r="R81" s="17">
        <f>IF(K81="",INDEX('3_UK_L1_Input'!$D$4:$D$14,MATCH($C81,'3_UK_L1_Input'!$A$4:$A$14,0))*P81,INDEX('3_UK_L1_Input'!$D$4:$D$14,MATCH($C81,'3_UK_L1_Input'!$A$4:$A$14,0))*K81)</f>
        <v/>
      </c>
      <c r="S81" s="19">
        <f>IF(G81="","BETA CASCADE FALLBACK (dummy — replace with real beta)","REAL (Bloomberg UK)")</f>
        <v/>
      </c>
      <c r="T81" s="17">
        <f>INDEX('3_UK_L1_Input'!$C$4:$C$14,MATCH($C81,'3_UK_L1_Input'!$A$4:$A$14,0))</f>
        <v/>
      </c>
      <c r="U81" s="17">
        <f>INDEX('3_UK_L1_Input'!$C$4:$C$14,MATCH($C81,'3_UK_L1_Input'!$A$4:$A$14,0))*P81</f>
        <v/>
      </c>
      <c r="V81" s="15">
        <f>INDEX('5_UK_DefaultRisk_Input'!$D$5:$D$15,MATCH($C81,'5_UK_DefaultRisk_Input'!$A$5:$A$15,0))</f>
        <v/>
      </c>
      <c r="W81" s="15">
        <f>INDEX('5_UK_DefaultRisk_Input'!$D$20:$D$44,MATCH($E81,'5_UK_DefaultRisk_Input'!$A$20:$A$44,0))</f>
        <v/>
      </c>
      <c r="X81" s="15">
        <f>INDEX('5_UK_DefaultRisk_Input'!$D$49:$D$122,MATCH($D81,'5_UK_DefaultRisk_Input'!$A$49:$A$122,0))</f>
        <v/>
      </c>
      <c r="Y81" s="15">
        <f>INDEX('5_UK_DefaultRisk_Input'!$D$127:$D$289,MATCH($A81,'5_UK_DefaultRisk_Input'!$A$127:$A$289,0))</f>
        <v/>
      </c>
      <c r="Z81" s="16">
        <f>(W81/V81)*(X81/W81)*(Y81/X81)</f>
        <v/>
      </c>
      <c r="AA81" s="17">
        <f>INDEX('3_UK_L1_Input'!$D$4:$D$14,MATCH($C81,'3_UK_L1_Input'!$A$4:$A$14,0))*Z81</f>
        <v/>
      </c>
    </row>
    <row r="82">
      <c r="A82" s="7" t="n">
        <v>30101020</v>
      </c>
      <c r="B82" s="7" t="inlineStr">
        <is>
          <t>Food Distributors</t>
        </is>
      </c>
      <c r="C82" s="7" t="n">
        <v>30</v>
      </c>
      <c r="D82" s="7" t="n">
        <v>301010</v>
      </c>
      <c r="E82" s="7" t="n">
        <v>3010</v>
      </c>
      <c r="F82" s="8" t="n"/>
      <c r="G82" s="8" t="n"/>
      <c r="H82" s="16">
        <f>IFERROR(SUMPRODUCT(($C$3:$C$165=C82)*ISNUMBER($G$3:$G$165)*ISNUMBER($F$3:$F$165)*IF(ISNUMBER($F$3:$F$165),$F$3:$F$165,0)*IF(ISNUMBER($G$3:$G$165),$G$3:$G$165,0))/SUMPRODUCT(($C$3:$C$165=C82)*ISNUMBER($G$3:$G$165)*ISNUMBER($F$3:$F$165)*IF(ISNUMBER($F$3:$F$165),$F$3:$F$165,0)),"")</f>
        <v/>
      </c>
      <c r="I82" s="16">
        <f>IFERROR(SUMPRODUCT(($C$3:$C$165=C82)*ISNUMBER($G$3:$G$165)*IF(ISNUMBER($G$3:$G$165),$G$3:$G$165,0))/SUMPRODUCT(($C$3:$C$165=C82)*ISNUMBER($G$3:$G$165)),"")</f>
        <v/>
      </c>
      <c r="J82" s="16">
        <f>IF(OR(G82="",H82=""),"",G82/H82)</f>
        <v/>
      </c>
      <c r="K82" s="16">
        <f>IF(OR(G82="",I82=""),"",G82/I82)</f>
        <v/>
      </c>
      <c r="L82" s="14">
        <f>INDEX('4_UK_Beta_Input'!$D$5:$D$15,MATCH($C82,'4_UK_Beta_Input'!$A$5:$A$15,0))</f>
        <v/>
      </c>
      <c r="M82" s="14">
        <f>INDEX('4_UK_Beta_Input'!$D$20:$D$44,MATCH($E82,'4_UK_Beta_Input'!$A$20:$A$44,0))</f>
        <v/>
      </c>
      <c r="N82" s="14">
        <f>INDEX('4_UK_Beta_Input'!$D$49:$D$122,MATCH($D82,'4_UK_Beta_Input'!$A$49:$A$122,0))</f>
        <v/>
      </c>
      <c r="O82" s="14">
        <f>INDEX('4_UK_Beta_Input'!$D$127:$D$289,MATCH($A82,'4_UK_Beta_Input'!$A$127:$A$289,0))</f>
        <v/>
      </c>
      <c r="P82" s="16">
        <f>(M82/L82)*(N82/M82)*(O82/N82)</f>
        <v/>
      </c>
      <c r="Q82" s="17">
        <f>IF(J82="",INDEX('3_UK_L1_Input'!$D$4:$D$14,MATCH($C82,'3_UK_L1_Input'!$A$4:$A$14,0))*P82,INDEX('3_UK_L1_Input'!$D$4:$D$14,MATCH($C82,'3_UK_L1_Input'!$A$4:$A$14,0))*J82)</f>
        <v/>
      </c>
      <c r="R82" s="17">
        <f>IF(K82="",INDEX('3_UK_L1_Input'!$D$4:$D$14,MATCH($C82,'3_UK_L1_Input'!$A$4:$A$14,0))*P82,INDEX('3_UK_L1_Input'!$D$4:$D$14,MATCH($C82,'3_UK_L1_Input'!$A$4:$A$14,0))*K82)</f>
        <v/>
      </c>
      <c r="S82" s="19">
        <f>IF(G82="","BETA CASCADE FALLBACK (dummy — replace with real beta)","REAL (Bloomberg UK)")</f>
        <v/>
      </c>
      <c r="T82" s="17">
        <f>INDEX('3_UK_L1_Input'!$C$4:$C$14,MATCH($C82,'3_UK_L1_Input'!$A$4:$A$14,0))</f>
        <v/>
      </c>
      <c r="U82" s="17">
        <f>INDEX('3_UK_L1_Input'!$C$4:$C$14,MATCH($C82,'3_UK_L1_Input'!$A$4:$A$14,0))*P82</f>
        <v/>
      </c>
      <c r="V82" s="15">
        <f>INDEX('5_UK_DefaultRisk_Input'!$D$5:$D$15,MATCH($C82,'5_UK_DefaultRisk_Input'!$A$5:$A$15,0))</f>
        <v/>
      </c>
      <c r="W82" s="15">
        <f>INDEX('5_UK_DefaultRisk_Input'!$D$20:$D$44,MATCH($E82,'5_UK_DefaultRisk_Input'!$A$20:$A$44,0))</f>
        <v/>
      </c>
      <c r="X82" s="15">
        <f>INDEX('5_UK_DefaultRisk_Input'!$D$49:$D$122,MATCH($D82,'5_UK_DefaultRisk_Input'!$A$49:$A$122,0))</f>
        <v/>
      </c>
      <c r="Y82" s="15">
        <f>INDEX('5_UK_DefaultRisk_Input'!$D$127:$D$289,MATCH($A82,'5_UK_DefaultRisk_Input'!$A$127:$A$289,0))</f>
        <v/>
      </c>
      <c r="Z82" s="16">
        <f>(W82/V82)*(X82/W82)*(Y82/X82)</f>
        <v/>
      </c>
      <c r="AA82" s="17">
        <f>INDEX('3_UK_L1_Input'!$D$4:$D$14,MATCH($C82,'3_UK_L1_Input'!$A$4:$A$14,0))*Z82</f>
        <v/>
      </c>
    </row>
    <row r="83">
      <c r="A83" s="7" t="n">
        <v>30101030</v>
      </c>
      <c r="B83" s="7" t="inlineStr">
        <is>
          <t>Food Retail</t>
        </is>
      </c>
      <c r="C83" s="7" t="n">
        <v>30</v>
      </c>
      <c r="D83" s="7" t="n">
        <v>301010</v>
      </c>
      <c r="E83" s="7" t="n">
        <v>3010</v>
      </c>
      <c r="F83" s="9" t="n">
        <v>18100000000</v>
      </c>
      <c r="G83" s="10" t="n">
        <v>5.77</v>
      </c>
      <c r="H83" s="16">
        <f>IFERROR(SUMPRODUCT(($C$3:$C$165=C83)*ISNUMBER($G$3:$G$165)*ISNUMBER($F$3:$F$165)*IF(ISNUMBER($F$3:$F$165),$F$3:$F$165,0)*IF(ISNUMBER($G$3:$G$165),$G$3:$G$165,0))/SUMPRODUCT(($C$3:$C$165=C83)*ISNUMBER($G$3:$G$165)*ISNUMBER($F$3:$F$165)*IF(ISNUMBER($F$3:$F$165),$F$3:$F$165,0)),"")</f>
        <v/>
      </c>
      <c r="I83" s="16">
        <f>IFERROR(SUMPRODUCT(($C$3:$C$165=C83)*ISNUMBER($G$3:$G$165)*IF(ISNUMBER($G$3:$G$165),$G$3:$G$165,0))/SUMPRODUCT(($C$3:$C$165=C83)*ISNUMBER($G$3:$G$165)),"")</f>
        <v/>
      </c>
      <c r="J83" s="16">
        <f>IF(OR(G83="",H83=""),"",G83/H83)</f>
        <v/>
      </c>
      <c r="K83" s="16">
        <f>IF(OR(G83="",I83=""),"",G83/I83)</f>
        <v/>
      </c>
      <c r="L83" s="14">
        <f>INDEX('4_UK_Beta_Input'!$D$5:$D$15,MATCH($C83,'4_UK_Beta_Input'!$A$5:$A$15,0))</f>
        <v/>
      </c>
      <c r="M83" s="14">
        <f>INDEX('4_UK_Beta_Input'!$D$20:$D$44,MATCH($E83,'4_UK_Beta_Input'!$A$20:$A$44,0))</f>
        <v/>
      </c>
      <c r="N83" s="14">
        <f>INDEX('4_UK_Beta_Input'!$D$49:$D$122,MATCH($D83,'4_UK_Beta_Input'!$A$49:$A$122,0))</f>
        <v/>
      </c>
      <c r="O83" s="14">
        <f>INDEX('4_UK_Beta_Input'!$D$127:$D$289,MATCH($A83,'4_UK_Beta_Input'!$A$127:$A$289,0))</f>
        <v/>
      </c>
      <c r="P83" s="16">
        <f>(M83/L83)*(N83/M83)*(O83/N83)</f>
        <v/>
      </c>
      <c r="Q83" s="17">
        <f>IF(J83="",INDEX('3_UK_L1_Input'!$D$4:$D$14,MATCH($C83,'3_UK_L1_Input'!$A$4:$A$14,0))*P83,INDEX('3_UK_L1_Input'!$D$4:$D$14,MATCH($C83,'3_UK_L1_Input'!$A$4:$A$14,0))*J83)</f>
        <v/>
      </c>
      <c r="R83" s="17">
        <f>IF(K83="",INDEX('3_UK_L1_Input'!$D$4:$D$14,MATCH($C83,'3_UK_L1_Input'!$A$4:$A$14,0))*P83,INDEX('3_UK_L1_Input'!$D$4:$D$14,MATCH($C83,'3_UK_L1_Input'!$A$4:$A$14,0))*K83)</f>
        <v/>
      </c>
      <c r="S83" s="18">
        <f>IF(G83="","BETA CASCADE FALLBACK (dummy — replace with real beta)","REAL (Bloomberg UK)")</f>
        <v/>
      </c>
      <c r="T83" s="17">
        <f>INDEX('3_UK_L1_Input'!$C$4:$C$14,MATCH($C83,'3_UK_L1_Input'!$A$4:$A$14,0))</f>
        <v/>
      </c>
      <c r="U83" s="17">
        <f>INDEX('3_UK_L1_Input'!$C$4:$C$14,MATCH($C83,'3_UK_L1_Input'!$A$4:$A$14,0))*P83</f>
        <v/>
      </c>
      <c r="V83" s="15">
        <f>INDEX('5_UK_DefaultRisk_Input'!$D$5:$D$15,MATCH($C83,'5_UK_DefaultRisk_Input'!$A$5:$A$15,0))</f>
        <v/>
      </c>
      <c r="W83" s="15">
        <f>INDEX('5_UK_DefaultRisk_Input'!$D$20:$D$44,MATCH($E83,'5_UK_DefaultRisk_Input'!$A$20:$A$44,0))</f>
        <v/>
      </c>
      <c r="X83" s="15">
        <f>INDEX('5_UK_DefaultRisk_Input'!$D$49:$D$122,MATCH($D83,'5_UK_DefaultRisk_Input'!$A$49:$A$122,0))</f>
        <v/>
      </c>
      <c r="Y83" s="15">
        <f>INDEX('5_UK_DefaultRisk_Input'!$D$127:$D$289,MATCH($A83,'5_UK_DefaultRisk_Input'!$A$127:$A$289,0))</f>
        <v/>
      </c>
      <c r="Z83" s="16">
        <f>(W83/V83)*(X83/W83)*(Y83/X83)</f>
        <v/>
      </c>
      <c r="AA83" s="17">
        <f>INDEX('3_UK_L1_Input'!$D$4:$D$14,MATCH($C83,'3_UK_L1_Input'!$A$4:$A$14,0))*Z83</f>
        <v/>
      </c>
    </row>
    <row r="84">
      <c r="A84" s="7" t="n">
        <v>30101040</v>
      </c>
      <c r="B84" s="7" t="inlineStr">
        <is>
          <t>Consumer Staples Merchandise Retail</t>
        </is>
      </c>
      <c r="C84" s="7" t="n">
        <v>30</v>
      </c>
      <c r="D84" s="7" t="n">
        <v>301010</v>
      </c>
      <c r="E84" s="7" t="n">
        <v>3010</v>
      </c>
      <c r="F84" s="8" t="n"/>
      <c r="G84" s="8" t="n"/>
      <c r="H84" s="16">
        <f>IFERROR(SUMPRODUCT(($C$3:$C$165=C84)*ISNUMBER($G$3:$G$165)*ISNUMBER($F$3:$F$165)*IF(ISNUMBER($F$3:$F$165),$F$3:$F$165,0)*IF(ISNUMBER($G$3:$G$165),$G$3:$G$165,0))/SUMPRODUCT(($C$3:$C$165=C84)*ISNUMBER($G$3:$G$165)*ISNUMBER($F$3:$F$165)*IF(ISNUMBER($F$3:$F$165),$F$3:$F$165,0)),"")</f>
        <v/>
      </c>
      <c r="I84" s="16">
        <f>IFERROR(SUMPRODUCT(($C$3:$C$165=C84)*ISNUMBER($G$3:$G$165)*IF(ISNUMBER($G$3:$G$165),$G$3:$G$165,0))/SUMPRODUCT(($C$3:$C$165=C84)*ISNUMBER($G$3:$G$165)),"")</f>
        <v/>
      </c>
      <c r="J84" s="16">
        <f>IF(OR(G84="",H84=""),"",G84/H84)</f>
        <v/>
      </c>
      <c r="K84" s="16">
        <f>IF(OR(G84="",I84=""),"",G84/I84)</f>
        <v/>
      </c>
      <c r="L84" s="14">
        <f>INDEX('4_UK_Beta_Input'!$D$5:$D$15,MATCH($C84,'4_UK_Beta_Input'!$A$5:$A$15,0))</f>
        <v/>
      </c>
      <c r="M84" s="14">
        <f>INDEX('4_UK_Beta_Input'!$D$20:$D$44,MATCH($E84,'4_UK_Beta_Input'!$A$20:$A$44,0))</f>
        <v/>
      </c>
      <c r="N84" s="14">
        <f>INDEX('4_UK_Beta_Input'!$D$49:$D$122,MATCH($D84,'4_UK_Beta_Input'!$A$49:$A$122,0))</f>
        <v/>
      </c>
      <c r="O84" s="14">
        <f>INDEX('4_UK_Beta_Input'!$D$127:$D$289,MATCH($A84,'4_UK_Beta_Input'!$A$127:$A$289,0))</f>
        <v/>
      </c>
      <c r="P84" s="16">
        <f>(M84/L84)*(N84/M84)*(O84/N84)</f>
        <v/>
      </c>
      <c r="Q84" s="17">
        <f>IF(J84="",INDEX('3_UK_L1_Input'!$D$4:$D$14,MATCH($C84,'3_UK_L1_Input'!$A$4:$A$14,0))*P84,INDEX('3_UK_L1_Input'!$D$4:$D$14,MATCH($C84,'3_UK_L1_Input'!$A$4:$A$14,0))*J84)</f>
        <v/>
      </c>
      <c r="R84" s="17">
        <f>IF(K84="",INDEX('3_UK_L1_Input'!$D$4:$D$14,MATCH($C84,'3_UK_L1_Input'!$A$4:$A$14,0))*P84,INDEX('3_UK_L1_Input'!$D$4:$D$14,MATCH($C84,'3_UK_L1_Input'!$A$4:$A$14,0))*K84)</f>
        <v/>
      </c>
      <c r="S84" s="19">
        <f>IF(G84="","BETA CASCADE FALLBACK (dummy — replace with real beta)","REAL (Bloomberg UK)")</f>
        <v/>
      </c>
      <c r="T84" s="17">
        <f>INDEX('3_UK_L1_Input'!$C$4:$C$14,MATCH($C84,'3_UK_L1_Input'!$A$4:$A$14,0))</f>
        <v/>
      </c>
      <c r="U84" s="17">
        <f>INDEX('3_UK_L1_Input'!$C$4:$C$14,MATCH($C84,'3_UK_L1_Input'!$A$4:$A$14,0))*P84</f>
        <v/>
      </c>
      <c r="V84" s="15">
        <f>INDEX('5_UK_DefaultRisk_Input'!$D$5:$D$15,MATCH($C84,'5_UK_DefaultRisk_Input'!$A$5:$A$15,0))</f>
        <v/>
      </c>
      <c r="W84" s="15">
        <f>INDEX('5_UK_DefaultRisk_Input'!$D$20:$D$44,MATCH($E84,'5_UK_DefaultRisk_Input'!$A$20:$A$44,0))</f>
        <v/>
      </c>
      <c r="X84" s="15">
        <f>INDEX('5_UK_DefaultRisk_Input'!$D$49:$D$122,MATCH($D84,'5_UK_DefaultRisk_Input'!$A$49:$A$122,0))</f>
        <v/>
      </c>
      <c r="Y84" s="15">
        <f>INDEX('5_UK_DefaultRisk_Input'!$D$127:$D$289,MATCH($A84,'5_UK_DefaultRisk_Input'!$A$127:$A$289,0))</f>
        <v/>
      </c>
      <c r="Z84" s="16">
        <f>(W84/V84)*(X84/W84)*(Y84/X84)</f>
        <v/>
      </c>
      <c r="AA84" s="17">
        <f>INDEX('3_UK_L1_Input'!$D$4:$D$14,MATCH($C84,'3_UK_L1_Input'!$A$4:$A$14,0))*Z84</f>
        <v/>
      </c>
    </row>
    <row r="85">
      <c r="A85" s="7" t="n">
        <v>30201010</v>
      </c>
      <c r="B85" s="7" t="inlineStr">
        <is>
          <t>Brewers</t>
        </is>
      </c>
      <c r="C85" s="7" t="n">
        <v>30</v>
      </c>
      <c r="D85" s="7" t="n">
        <v>302010</v>
      </c>
      <c r="E85" s="7" t="n">
        <v>3020</v>
      </c>
      <c r="F85" s="9" t="n">
        <v>113830000</v>
      </c>
      <c r="G85" s="10" t="n">
        <v>6.18</v>
      </c>
      <c r="H85" s="16">
        <f>IFERROR(SUMPRODUCT(($C$3:$C$165=C85)*ISNUMBER($G$3:$G$165)*ISNUMBER($F$3:$F$165)*IF(ISNUMBER($F$3:$F$165),$F$3:$F$165,0)*IF(ISNUMBER($G$3:$G$165),$G$3:$G$165,0))/SUMPRODUCT(($C$3:$C$165=C85)*ISNUMBER($G$3:$G$165)*ISNUMBER($F$3:$F$165)*IF(ISNUMBER($F$3:$F$165),$F$3:$F$165,0)),"")</f>
        <v/>
      </c>
      <c r="I85" s="16">
        <f>IFERROR(SUMPRODUCT(($C$3:$C$165=C85)*ISNUMBER($G$3:$G$165)*IF(ISNUMBER($G$3:$G$165),$G$3:$G$165,0))/SUMPRODUCT(($C$3:$C$165=C85)*ISNUMBER($G$3:$G$165)),"")</f>
        <v/>
      </c>
      <c r="J85" s="16">
        <f>IF(OR(G85="",H85=""),"",G85/H85)</f>
        <v/>
      </c>
      <c r="K85" s="16">
        <f>IF(OR(G85="",I85=""),"",G85/I85)</f>
        <v/>
      </c>
      <c r="L85" s="14">
        <f>INDEX('4_UK_Beta_Input'!$D$5:$D$15,MATCH($C85,'4_UK_Beta_Input'!$A$5:$A$15,0))</f>
        <v/>
      </c>
      <c r="M85" s="14">
        <f>INDEX('4_UK_Beta_Input'!$D$20:$D$44,MATCH($E85,'4_UK_Beta_Input'!$A$20:$A$44,0))</f>
        <v/>
      </c>
      <c r="N85" s="14">
        <f>INDEX('4_UK_Beta_Input'!$D$49:$D$122,MATCH($D85,'4_UK_Beta_Input'!$A$49:$A$122,0))</f>
        <v/>
      </c>
      <c r="O85" s="14">
        <f>INDEX('4_UK_Beta_Input'!$D$127:$D$289,MATCH($A85,'4_UK_Beta_Input'!$A$127:$A$289,0))</f>
        <v/>
      </c>
      <c r="P85" s="16">
        <f>(M85/L85)*(N85/M85)*(O85/N85)</f>
        <v/>
      </c>
      <c r="Q85" s="17">
        <f>IF(J85="",INDEX('3_UK_L1_Input'!$D$4:$D$14,MATCH($C85,'3_UK_L1_Input'!$A$4:$A$14,0))*P85,INDEX('3_UK_L1_Input'!$D$4:$D$14,MATCH($C85,'3_UK_L1_Input'!$A$4:$A$14,0))*J85)</f>
        <v/>
      </c>
      <c r="R85" s="17">
        <f>IF(K85="",INDEX('3_UK_L1_Input'!$D$4:$D$14,MATCH($C85,'3_UK_L1_Input'!$A$4:$A$14,0))*P85,INDEX('3_UK_L1_Input'!$D$4:$D$14,MATCH($C85,'3_UK_L1_Input'!$A$4:$A$14,0))*K85)</f>
        <v/>
      </c>
      <c r="S85" s="18">
        <f>IF(G85="","BETA CASCADE FALLBACK (dummy — replace with real beta)","REAL (Bloomberg UK)")</f>
        <v/>
      </c>
      <c r="T85" s="17">
        <f>INDEX('3_UK_L1_Input'!$C$4:$C$14,MATCH($C85,'3_UK_L1_Input'!$A$4:$A$14,0))</f>
        <v/>
      </c>
      <c r="U85" s="17">
        <f>INDEX('3_UK_L1_Input'!$C$4:$C$14,MATCH($C85,'3_UK_L1_Input'!$A$4:$A$14,0))*P85</f>
        <v/>
      </c>
      <c r="V85" s="15">
        <f>INDEX('5_UK_DefaultRisk_Input'!$D$5:$D$15,MATCH($C85,'5_UK_DefaultRisk_Input'!$A$5:$A$15,0))</f>
        <v/>
      </c>
      <c r="W85" s="15">
        <f>INDEX('5_UK_DefaultRisk_Input'!$D$20:$D$44,MATCH($E85,'5_UK_DefaultRisk_Input'!$A$20:$A$44,0))</f>
        <v/>
      </c>
      <c r="X85" s="15">
        <f>INDEX('5_UK_DefaultRisk_Input'!$D$49:$D$122,MATCH($D85,'5_UK_DefaultRisk_Input'!$A$49:$A$122,0))</f>
        <v/>
      </c>
      <c r="Y85" s="15">
        <f>INDEX('5_UK_DefaultRisk_Input'!$D$127:$D$289,MATCH($A85,'5_UK_DefaultRisk_Input'!$A$127:$A$289,0))</f>
        <v/>
      </c>
      <c r="Z85" s="16">
        <f>(W85/V85)*(X85/W85)*(Y85/X85)</f>
        <v/>
      </c>
      <c r="AA85" s="17">
        <f>INDEX('3_UK_L1_Input'!$D$4:$D$14,MATCH($C85,'3_UK_L1_Input'!$A$4:$A$14,0))*Z85</f>
        <v/>
      </c>
    </row>
    <row r="86">
      <c r="A86" s="7" t="n">
        <v>30201020</v>
      </c>
      <c r="B86" s="7" t="inlineStr">
        <is>
          <t>Distillers &amp; Vintners</t>
        </is>
      </c>
      <c r="C86" s="7" t="n">
        <v>30</v>
      </c>
      <c r="D86" s="7" t="n">
        <v>302010</v>
      </c>
      <c r="E86" s="7" t="n">
        <v>3020</v>
      </c>
      <c r="F86" s="9" t="n">
        <v>4920000000</v>
      </c>
      <c r="G86" s="10" t="n">
        <v>19.57</v>
      </c>
      <c r="H86" s="16">
        <f>IFERROR(SUMPRODUCT(($C$3:$C$165=C86)*ISNUMBER($G$3:$G$165)*ISNUMBER($F$3:$F$165)*IF(ISNUMBER($F$3:$F$165),$F$3:$F$165,0)*IF(ISNUMBER($G$3:$G$165),$G$3:$G$165,0))/SUMPRODUCT(($C$3:$C$165=C86)*ISNUMBER($G$3:$G$165)*ISNUMBER($F$3:$F$165)*IF(ISNUMBER($F$3:$F$165),$F$3:$F$165,0)),"")</f>
        <v/>
      </c>
      <c r="I86" s="16">
        <f>IFERROR(SUMPRODUCT(($C$3:$C$165=C86)*ISNUMBER($G$3:$G$165)*IF(ISNUMBER($G$3:$G$165),$G$3:$G$165,0))/SUMPRODUCT(($C$3:$C$165=C86)*ISNUMBER($G$3:$G$165)),"")</f>
        <v/>
      </c>
      <c r="J86" s="16">
        <f>IF(OR(G86="",H86=""),"",G86/H86)</f>
        <v/>
      </c>
      <c r="K86" s="16">
        <f>IF(OR(G86="",I86=""),"",G86/I86)</f>
        <v/>
      </c>
      <c r="L86" s="14">
        <f>INDEX('4_UK_Beta_Input'!$D$5:$D$15,MATCH($C86,'4_UK_Beta_Input'!$A$5:$A$15,0))</f>
        <v/>
      </c>
      <c r="M86" s="14">
        <f>INDEX('4_UK_Beta_Input'!$D$20:$D$44,MATCH($E86,'4_UK_Beta_Input'!$A$20:$A$44,0))</f>
        <v/>
      </c>
      <c r="N86" s="14">
        <f>INDEX('4_UK_Beta_Input'!$D$49:$D$122,MATCH($D86,'4_UK_Beta_Input'!$A$49:$A$122,0))</f>
        <v/>
      </c>
      <c r="O86" s="14">
        <f>INDEX('4_UK_Beta_Input'!$D$127:$D$289,MATCH($A86,'4_UK_Beta_Input'!$A$127:$A$289,0))</f>
        <v/>
      </c>
      <c r="P86" s="16">
        <f>(M86/L86)*(N86/M86)*(O86/N86)</f>
        <v/>
      </c>
      <c r="Q86" s="17">
        <f>IF(J86="",INDEX('3_UK_L1_Input'!$D$4:$D$14,MATCH($C86,'3_UK_L1_Input'!$A$4:$A$14,0))*P86,INDEX('3_UK_L1_Input'!$D$4:$D$14,MATCH($C86,'3_UK_L1_Input'!$A$4:$A$14,0))*J86)</f>
        <v/>
      </c>
      <c r="R86" s="17">
        <f>IF(K86="",INDEX('3_UK_L1_Input'!$D$4:$D$14,MATCH($C86,'3_UK_L1_Input'!$A$4:$A$14,0))*P86,INDEX('3_UK_L1_Input'!$D$4:$D$14,MATCH($C86,'3_UK_L1_Input'!$A$4:$A$14,0))*K86)</f>
        <v/>
      </c>
      <c r="S86" s="18">
        <f>IF(G86="","BETA CASCADE FALLBACK (dummy — replace with real beta)","REAL (Bloomberg UK)")</f>
        <v/>
      </c>
      <c r="T86" s="17">
        <f>INDEX('3_UK_L1_Input'!$C$4:$C$14,MATCH($C86,'3_UK_L1_Input'!$A$4:$A$14,0))</f>
        <v/>
      </c>
      <c r="U86" s="17">
        <f>INDEX('3_UK_L1_Input'!$C$4:$C$14,MATCH($C86,'3_UK_L1_Input'!$A$4:$A$14,0))*P86</f>
        <v/>
      </c>
      <c r="V86" s="15">
        <f>INDEX('5_UK_DefaultRisk_Input'!$D$5:$D$15,MATCH($C86,'5_UK_DefaultRisk_Input'!$A$5:$A$15,0))</f>
        <v/>
      </c>
      <c r="W86" s="15">
        <f>INDEX('5_UK_DefaultRisk_Input'!$D$20:$D$44,MATCH($E86,'5_UK_DefaultRisk_Input'!$A$20:$A$44,0))</f>
        <v/>
      </c>
      <c r="X86" s="15">
        <f>INDEX('5_UK_DefaultRisk_Input'!$D$49:$D$122,MATCH($D86,'5_UK_DefaultRisk_Input'!$A$49:$A$122,0))</f>
        <v/>
      </c>
      <c r="Y86" s="15">
        <f>INDEX('5_UK_DefaultRisk_Input'!$D$127:$D$289,MATCH($A86,'5_UK_DefaultRisk_Input'!$A$127:$A$289,0))</f>
        <v/>
      </c>
      <c r="Z86" s="16">
        <f>(W86/V86)*(X86/W86)*(Y86/X86)</f>
        <v/>
      </c>
      <c r="AA86" s="17">
        <f>INDEX('3_UK_L1_Input'!$D$4:$D$14,MATCH($C86,'3_UK_L1_Input'!$A$4:$A$14,0))*Z86</f>
        <v/>
      </c>
    </row>
    <row r="87">
      <c r="A87" s="7" t="n">
        <v>30201030</v>
      </c>
      <c r="B87" s="7" t="inlineStr">
        <is>
          <t>Soft Drinks &amp; Non-alcoholic Beverages</t>
        </is>
      </c>
      <c r="C87" s="7" t="n">
        <v>30</v>
      </c>
      <c r="D87" s="7" t="n">
        <v>302010</v>
      </c>
      <c r="E87" s="7" t="n">
        <v>3020</v>
      </c>
      <c r="F87" s="9" t="n">
        <v>5570000000</v>
      </c>
      <c r="G87" s="10" t="n">
        <v>11.96</v>
      </c>
      <c r="H87" s="16">
        <f>IFERROR(SUMPRODUCT(($C$3:$C$165=C87)*ISNUMBER($G$3:$G$165)*ISNUMBER($F$3:$F$165)*IF(ISNUMBER($F$3:$F$165),$F$3:$F$165,0)*IF(ISNUMBER($G$3:$G$165),$G$3:$G$165,0))/SUMPRODUCT(($C$3:$C$165=C87)*ISNUMBER($G$3:$G$165)*ISNUMBER($F$3:$F$165)*IF(ISNUMBER($F$3:$F$165),$F$3:$F$165,0)),"")</f>
        <v/>
      </c>
      <c r="I87" s="16">
        <f>IFERROR(SUMPRODUCT(($C$3:$C$165=C87)*ISNUMBER($G$3:$G$165)*IF(ISNUMBER($G$3:$G$165),$G$3:$G$165,0))/SUMPRODUCT(($C$3:$C$165=C87)*ISNUMBER($G$3:$G$165)),"")</f>
        <v/>
      </c>
      <c r="J87" s="16">
        <f>IF(OR(G87="",H87=""),"",G87/H87)</f>
        <v/>
      </c>
      <c r="K87" s="16">
        <f>IF(OR(G87="",I87=""),"",G87/I87)</f>
        <v/>
      </c>
      <c r="L87" s="14">
        <f>INDEX('4_UK_Beta_Input'!$D$5:$D$15,MATCH($C87,'4_UK_Beta_Input'!$A$5:$A$15,0))</f>
        <v/>
      </c>
      <c r="M87" s="14">
        <f>INDEX('4_UK_Beta_Input'!$D$20:$D$44,MATCH($E87,'4_UK_Beta_Input'!$A$20:$A$44,0))</f>
        <v/>
      </c>
      <c r="N87" s="14">
        <f>INDEX('4_UK_Beta_Input'!$D$49:$D$122,MATCH($D87,'4_UK_Beta_Input'!$A$49:$A$122,0))</f>
        <v/>
      </c>
      <c r="O87" s="14">
        <f>INDEX('4_UK_Beta_Input'!$D$127:$D$289,MATCH($A87,'4_UK_Beta_Input'!$A$127:$A$289,0))</f>
        <v/>
      </c>
      <c r="P87" s="16">
        <f>(M87/L87)*(N87/M87)*(O87/N87)</f>
        <v/>
      </c>
      <c r="Q87" s="17">
        <f>IF(J87="",INDEX('3_UK_L1_Input'!$D$4:$D$14,MATCH($C87,'3_UK_L1_Input'!$A$4:$A$14,0))*P87,INDEX('3_UK_L1_Input'!$D$4:$D$14,MATCH($C87,'3_UK_L1_Input'!$A$4:$A$14,0))*J87)</f>
        <v/>
      </c>
      <c r="R87" s="17">
        <f>IF(K87="",INDEX('3_UK_L1_Input'!$D$4:$D$14,MATCH($C87,'3_UK_L1_Input'!$A$4:$A$14,0))*P87,INDEX('3_UK_L1_Input'!$D$4:$D$14,MATCH($C87,'3_UK_L1_Input'!$A$4:$A$14,0))*K87)</f>
        <v/>
      </c>
      <c r="S87" s="18">
        <f>IF(G87="","BETA CASCADE FALLBACK (dummy — replace with real beta)","REAL (Bloomberg UK)")</f>
        <v/>
      </c>
      <c r="T87" s="17">
        <f>INDEX('3_UK_L1_Input'!$C$4:$C$14,MATCH($C87,'3_UK_L1_Input'!$A$4:$A$14,0))</f>
        <v/>
      </c>
      <c r="U87" s="17">
        <f>INDEX('3_UK_L1_Input'!$C$4:$C$14,MATCH($C87,'3_UK_L1_Input'!$A$4:$A$14,0))*P87</f>
        <v/>
      </c>
      <c r="V87" s="15">
        <f>INDEX('5_UK_DefaultRisk_Input'!$D$5:$D$15,MATCH($C87,'5_UK_DefaultRisk_Input'!$A$5:$A$15,0))</f>
        <v/>
      </c>
      <c r="W87" s="15">
        <f>INDEX('5_UK_DefaultRisk_Input'!$D$20:$D$44,MATCH($E87,'5_UK_DefaultRisk_Input'!$A$20:$A$44,0))</f>
        <v/>
      </c>
      <c r="X87" s="15">
        <f>INDEX('5_UK_DefaultRisk_Input'!$D$49:$D$122,MATCH($D87,'5_UK_DefaultRisk_Input'!$A$49:$A$122,0))</f>
        <v/>
      </c>
      <c r="Y87" s="15">
        <f>INDEX('5_UK_DefaultRisk_Input'!$D$127:$D$289,MATCH($A87,'5_UK_DefaultRisk_Input'!$A$127:$A$289,0))</f>
        <v/>
      </c>
      <c r="Z87" s="16">
        <f>(W87/V87)*(X87/W87)*(Y87/X87)</f>
        <v/>
      </c>
      <c r="AA87" s="17">
        <f>INDEX('3_UK_L1_Input'!$D$4:$D$14,MATCH($C87,'3_UK_L1_Input'!$A$4:$A$14,0))*Z87</f>
        <v/>
      </c>
    </row>
    <row r="88">
      <c r="A88" s="7" t="n">
        <v>30202010</v>
      </c>
      <c r="B88" s="7" t="inlineStr">
        <is>
          <t>Agricultural Products &amp; Services</t>
        </is>
      </c>
      <c r="C88" s="7" t="n">
        <v>30</v>
      </c>
      <c r="D88" s="7" t="n">
        <v>302020</v>
      </c>
      <c r="E88" s="7" t="n">
        <v>3020</v>
      </c>
      <c r="F88" s="9" t="n">
        <v>700400000</v>
      </c>
      <c r="G88" s="10" t="n">
        <v>5.8</v>
      </c>
      <c r="H88" s="16">
        <f>IFERROR(SUMPRODUCT(($C$3:$C$165=C88)*ISNUMBER($G$3:$G$165)*ISNUMBER($F$3:$F$165)*IF(ISNUMBER($F$3:$F$165),$F$3:$F$165,0)*IF(ISNUMBER($G$3:$G$165),$G$3:$G$165,0))/SUMPRODUCT(($C$3:$C$165=C88)*ISNUMBER($G$3:$G$165)*ISNUMBER($F$3:$F$165)*IF(ISNUMBER($F$3:$F$165),$F$3:$F$165,0)),"")</f>
        <v/>
      </c>
      <c r="I88" s="16">
        <f>IFERROR(SUMPRODUCT(($C$3:$C$165=C88)*ISNUMBER($G$3:$G$165)*IF(ISNUMBER($G$3:$G$165),$G$3:$G$165,0))/SUMPRODUCT(($C$3:$C$165=C88)*ISNUMBER($G$3:$G$165)),"")</f>
        <v/>
      </c>
      <c r="J88" s="16">
        <f>IF(OR(G88="",H88=""),"",G88/H88)</f>
        <v/>
      </c>
      <c r="K88" s="16">
        <f>IF(OR(G88="",I88=""),"",G88/I88)</f>
        <v/>
      </c>
      <c r="L88" s="14">
        <f>INDEX('4_UK_Beta_Input'!$D$5:$D$15,MATCH($C88,'4_UK_Beta_Input'!$A$5:$A$15,0))</f>
        <v/>
      </c>
      <c r="M88" s="14">
        <f>INDEX('4_UK_Beta_Input'!$D$20:$D$44,MATCH($E88,'4_UK_Beta_Input'!$A$20:$A$44,0))</f>
        <v/>
      </c>
      <c r="N88" s="14">
        <f>INDEX('4_UK_Beta_Input'!$D$49:$D$122,MATCH($D88,'4_UK_Beta_Input'!$A$49:$A$122,0))</f>
        <v/>
      </c>
      <c r="O88" s="14">
        <f>INDEX('4_UK_Beta_Input'!$D$127:$D$289,MATCH($A88,'4_UK_Beta_Input'!$A$127:$A$289,0))</f>
        <v/>
      </c>
      <c r="P88" s="16">
        <f>(M88/L88)*(N88/M88)*(O88/N88)</f>
        <v/>
      </c>
      <c r="Q88" s="17">
        <f>IF(J88="",INDEX('3_UK_L1_Input'!$D$4:$D$14,MATCH($C88,'3_UK_L1_Input'!$A$4:$A$14,0))*P88,INDEX('3_UK_L1_Input'!$D$4:$D$14,MATCH($C88,'3_UK_L1_Input'!$A$4:$A$14,0))*J88)</f>
        <v/>
      </c>
      <c r="R88" s="17">
        <f>IF(K88="",INDEX('3_UK_L1_Input'!$D$4:$D$14,MATCH($C88,'3_UK_L1_Input'!$A$4:$A$14,0))*P88,INDEX('3_UK_L1_Input'!$D$4:$D$14,MATCH($C88,'3_UK_L1_Input'!$A$4:$A$14,0))*K88)</f>
        <v/>
      </c>
      <c r="S88" s="18">
        <f>IF(G88="","BETA CASCADE FALLBACK (dummy — replace with real beta)","REAL (Bloomberg UK)")</f>
        <v/>
      </c>
      <c r="T88" s="17">
        <f>INDEX('3_UK_L1_Input'!$C$4:$C$14,MATCH($C88,'3_UK_L1_Input'!$A$4:$A$14,0))</f>
        <v/>
      </c>
      <c r="U88" s="17">
        <f>INDEX('3_UK_L1_Input'!$C$4:$C$14,MATCH($C88,'3_UK_L1_Input'!$A$4:$A$14,0))*P88</f>
        <v/>
      </c>
      <c r="V88" s="15">
        <f>INDEX('5_UK_DefaultRisk_Input'!$D$5:$D$15,MATCH($C88,'5_UK_DefaultRisk_Input'!$A$5:$A$15,0))</f>
        <v/>
      </c>
      <c r="W88" s="15">
        <f>INDEX('5_UK_DefaultRisk_Input'!$D$20:$D$44,MATCH($E88,'5_UK_DefaultRisk_Input'!$A$20:$A$44,0))</f>
        <v/>
      </c>
      <c r="X88" s="15">
        <f>INDEX('5_UK_DefaultRisk_Input'!$D$49:$D$122,MATCH($D88,'5_UK_DefaultRisk_Input'!$A$49:$A$122,0))</f>
        <v/>
      </c>
      <c r="Y88" s="15">
        <f>INDEX('5_UK_DefaultRisk_Input'!$D$127:$D$289,MATCH($A88,'5_UK_DefaultRisk_Input'!$A$127:$A$289,0))</f>
        <v/>
      </c>
      <c r="Z88" s="16">
        <f>(W88/V88)*(X88/W88)*(Y88/X88)</f>
        <v/>
      </c>
      <c r="AA88" s="17">
        <f>INDEX('3_UK_L1_Input'!$D$4:$D$14,MATCH($C88,'3_UK_L1_Input'!$A$4:$A$14,0))*Z88</f>
        <v/>
      </c>
    </row>
    <row r="89">
      <c r="A89" s="7" t="n">
        <v>30202030</v>
      </c>
      <c r="B89" s="7" t="inlineStr">
        <is>
          <t>Packaged Foods &amp; Meats</t>
        </is>
      </c>
      <c r="C89" s="7" t="n">
        <v>30</v>
      </c>
      <c r="D89" s="7" t="n">
        <v>302020</v>
      </c>
      <c r="E89" s="7" t="n">
        <v>3020</v>
      </c>
      <c r="F89" s="9" t="n">
        <v>3470000000</v>
      </c>
      <c r="G89" s="10" t="n">
        <v>7.49</v>
      </c>
      <c r="H89" s="16">
        <f>IFERROR(SUMPRODUCT(($C$3:$C$165=C89)*ISNUMBER($G$3:$G$165)*ISNUMBER($F$3:$F$165)*IF(ISNUMBER($F$3:$F$165),$F$3:$F$165,0)*IF(ISNUMBER($G$3:$G$165),$G$3:$G$165,0))/SUMPRODUCT(($C$3:$C$165=C89)*ISNUMBER($G$3:$G$165)*ISNUMBER($F$3:$F$165)*IF(ISNUMBER($F$3:$F$165),$F$3:$F$165,0)),"")</f>
        <v/>
      </c>
      <c r="I89" s="16">
        <f>IFERROR(SUMPRODUCT(($C$3:$C$165=C89)*ISNUMBER($G$3:$G$165)*IF(ISNUMBER($G$3:$G$165),$G$3:$G$165,0))/SUMPRODUCT(($C$3:$C$165=C89)*ISNUMBER($G$3:$G$165)),"")</f>
        <v/>
      </c>
      <c r="J89" s="16">
        <f>IF(OR(G89="",H89=""),"",G89/H89)</f>
        <v/>
      </c>
      <c r="K89" s="16">
        <f>IF(OR(G89="",I89=""),"",G89/I89)</f>
        <v/>
      </c>
      <c r="L89" s="14">
        <f>INDEX('4_UK_Beta_Input'!$D$5:$D$15,MATCH($C89,'4_UK_Beta_Input'!$A$5:$A$15,0))</f>
        <v/>
      </c>
      <c r="M89" s="14">
        <f>INDEX('4_UK_Beta_Input'!$D$20:$D$44,MATCH($E89,'4_UK_Beta_Input'!$A$20:$A$44,0))</f>
        <v/>
      </c>
      <c r="N89" s="14">
        <f>INDEX('4_UK_Beta_Input'!$D$49:$D$122,MATCH($D89,'4_UK_Beta_Input'!$A$49:$A$122,0))</f>
        <v/>
      </c>
      <c r="O89" s="14">
        <f>INDEX('4_UK_Beta_Input'!$D$127:$D$289,MATCH($A89,'4_UK_Beta_Input'!$A$127:$A$289,0))</f>
        <v/>
      </c>
      <c r="P89" s="16">
        <f>(M89/L89)*(N89/M89)*(O89/N89)</f>
        <v/>
      </c>
      <c r="Q89" s="17">
        <f>IF(J89="",INDEX('3_UK_L1_Input'!$D$4:$D$14,MATCH($C89,'3_UK_L1_Input'!$A$4:$A$14,0))*P89,INDEX('3_UK_L1_Input'!$D$4:$D$14,MATCH($C89,'3_UK_L1_Input'!$A$4:$A$14,0))*J89)</f>
        <v/>
      </c>
      <c r="R89" s="17">
        <f>IF(K89="",INDEX('3_UK_L1_Input'!$D$4:$D$14,MATCH($C89,'3_UK_L1_Input'!$A$4:$A$14,0))*P89,INDEX('3_UK_L1_Input'!$D$4:$D$14,MATCH($C89,'3_UK_L1_Input'!$A$4:$A$14,0))*K89)</f>
        <v/>
      </c>
      <c r="S89" s="18">
        <f>IF(G89="","BETA CASCADE FALLBACK (dummy — replace with real beta)","REAL (Bloomberg UK)")</f>
        <v/>
      </c>
      <c r="T89" s="17">
        <f>INDEX('3_UK_L1_Input'!$C$4:$C$14,MATCH($C89,'3_UK_L1_Input'!$A$4:$A$14,0))</f>
        <v/>
      </c>
      <c r="U89" s="17">
        <f>INDEX('3_UK_L1_Input'!$C$4:$C$14,MATCH($C89,'3_UK_L1_Input'!$A$4:$A$14,0))*P89</f>
        <v/>
      </c>
      <c r="V89" s="15">
        <f>INDEX('5_UK_DefaultRisk_Input'!$D$5:$D$15,MATCH($C89,'5_UK_DefaultRisk_Input'!$A$5:$A$15,0))</f>
        <v/>
      </c>
      <c r="W89" s="15">
        <f>INDEX('5_UK_DefaultRisk_Input'!$D$20:$D$44,MATCH($E89,'5_UK_DefaultRisk_Input'!$A$20:$A$44,0))</f>
        <v/>
      </c>
      <c r="X89" s="15">
        <f>INDEX('5_UK_DefaultRisk_Input'!$D$49:$D$122,MATCH($D89,'5_UK_DefaultRisk_Input'!$A$49:$A$122,0))</f>
        <v/>
      </c>
      <c r="Y89" s="15">
        <f>INDEX('5_UK_DefaultRisk_Input'!$D$127:$D$289,MATCH($A89,'5_UK_DefaultRisk_Input'!$A$127:$A$289,0))</f>
        <v/>
      </c>
      <c r="Z89" s="16">
        <f>(W89/V89)*(X89/W89)*(Y89/X89)</f>
        <v/>
      </c>
      <c r="AA89" s="17">
        <f>INDEX('3_UK_L1_Input'!$D$4:$D$14,MATCH($C89,'3_UK_L1_Input'!$A$4:$A$14,0))*Z89</f>
        <v/>
      </c>
    </row>
    <row r="90">
      <c r="A90" s="7" t="n">
        <v>30203010</v>
      </c>
      <c r="B90" s="7" t="inlineStr">
        <is>
          <t>Tobacco</t>
        </is>
      </c>
      <c r="C90" s="7" t="n">
        <v>30</v>
      </c>
      <c r="D90" s="7" t="n">
        <v>302030</v>
      </c>
      <c r="E90" s="7" t="n">
        <v>3020</v>
      </c>
      <c r="F90" s="9" t="n">
        <v>26210000000</v>
      </c>
      <c r="G90" s="10" t="n">
        <v>8.57</v>
      </c>
      <c r="H90" s="16">
        <f>IFERROR(SUMPRODUCT(($C$3:$C$165=C90)*ISNUMBER($G$3:$G$165)*ISNUMBER($F$3:$F$165)*IF(ISNUMBER($F$3:$F$165),$F$3:$F$165,0)*IF(ISNUMBER($G$3:$G$165),$G$3:$G$165,0))/SUMPRODUCT(($C$3:$C$165=C90)*ISNUMBER($G$3:$G$165)*ISNUMBER($F$3:$F$165)*IF(ISNUMBER($F$3:$F$165),$F$3:$F$165,0)),"")</f>
        <v/>
      </c>
      <c r="I90" s="16">
        <f>IFERROR(SUMPRODUCT(($C$3:$C$165=C90)*ISNUMBER($G$3:$G$165)*IF(ISNUMBER($G$3:$G$165),$G$3:$G$165,0))/SUMPRODUCT(($C$3:$C$165=C90)*ISNUMBER($G$3:$G$165)),"")</f>
        <v/>
      </c>
      <c r="J90" s="16">
        <f>IF(OR(G90="",H90=""),"",G90/H90)</f>
        <v/>
      </c>
      <c r="K90" s="16">
        <f>IF(OR(G90="",I90=""),"",G90/I90)</f>
        <v/>
      </c>
      <c r="L90" s="14">
        <f>INDEX('4_UK_Beta_Input'!$D$5:$D$15,MATCH($C90,'4_UK_Beta_Input'!$A$5:$A$15,0))</f>
        <v/>
      </c>
      <c r="M90" s="14">
        <f>INDEX('4_UK_Beta_Input'!$D$20:$D$44,MATCH($E90,'4_UK_Beta_Input'!$A$20:$A$44,0))</f>
        <v/>
      </c>
      <c r="N90" s="14">
        <f>INDEX('4_UK_Beta_Input'!$D$49:$D$122,MATCH($D90,'4_UK_Beta_Input'!$A$49:$A$122,0))</f>
        <v/>
      </c>
      <c r="O90" s="14">
        <f>INDEX('4_UK_Beta_Input'!$D$127:$D$289,MATCH($A90,'4_UK_Beta_Input'!$A$127:$A$289,0))</f>
        <v/>
      </c>
      <c r="P90" s="16">
        <f>(M90/L90)*(N90/M90)*(O90/N90)</f>
        <v/>
      </c>
      <c r="Q90" s="17">
        <f>IF(J90="",INDEX('3_UK_L1_Input'!$D$4:$D$14,MATCH($C90,'3_UK_L1_Input'!$A$4:$A$14,0))*P90,INDEX('3_UK_L1_Input'!$D$4:$D$14,MATCH($C90,'3_UK_L1_Input'!$A$4:$A$14,0))*J90)</f>
        <v/>
      </c>
      <c r="R90" s="17">
        <f>IF(K90="",INDEX('3_UK_L1_Input'!$D$4:$D$14,MATCH($C90,'3_UK_L1_Input'!$A$4:$A$14,0))*P90,INDEX('3_UK_L1_Input'!$D$4:$D$14,MATCH($C90,'3_UK_L1_Input'!$A$4:$A$14,0))*K90)</f>
        <v/>
      </c>
      <c r="S90" s="18">
        <f>IF(G90="","BETA CASCADE FALLBACK (dummy — replace with real beta)","REAL (Bloomberg UK)")</f>
        <v/>
      </c>
      <c r="T90" s="17">
        <f>INDEX('3_UK_L1_Input'!$C$4:$C$14,MATCH($C90,'3_UK_L1_Input'!$A$4:$A$14,0))</f>
        <v/>
      </c>
      <c r="U90" s="17">
        <f>INDEX('3_UK_L1_Input'!$C$4:$C$14,MATCH($C90,'3_UK_L1_Input'!$A$4:$A$14,0))*P90</f>
        <v/>
      </c>
      <c r="V90" s="15">
        <f>INDEX('5_UK_DefaultRisk_Input'!$D$5:$D$15,MATCH($C90,'5_UK_DefaultRisk_Input'!$A$5:$A$15,0))</f>
        <v/>
      </c>
      <c r="W90" s="15">
        <f>INDEX('5_UK_DefaultRisk_Input'!$D$20:$D$44,MATCH($E90,'5_UK_DefaultRisk_Input'!$A$20:$A$44,0))</f>
        <v/>
      </c>
      <c r="X90" s="15">
        <f>INDEX('5_UK_DefaultRisk_Input'!$D$49:$D$122,MATCH($D90,'5_UK_DefaultRisk_Input'!$A$49:$A$122,0))</f>
        <v/>
      </c>
      <c r="Y90" s="15">
        <f>INDEX('5_UK_DefaultRisk_Input'!$D$127:$D$289,MATCH($A90,'5_UK_DefaultRisk_Input'!$A$127:$A$289,0))</f>
        <v/>
      </c>
      <c r="Z90" s="16">
        <f>(W90/V90)*(X90/W90)*(Y90/X90)</f>
        <v/>
      </c>
      <c r="AA90" s="17">
        <f>INDEX('3_UK_L1_Input'!$D$4:$D$14,MATCH($C90,'3_UK_L1_Input'!$A$4:$A$14,0))*Z90</f>
        <v/>
      </c>
    </row>
    <row r="91">
      <c r="A91" s="7" t="n">
        <v>30301010</v>
      </c>
      <c r="B91" s="7" t="inlineStr">
        <is>
          <t>Household Products</t>
        </is>
      </c>
      <c r="C91" s="7" t="n">
        <v>30</v>
      </c>
      <c r="D91" s="7" t="n">
        <v>303010</v>
      </c>
      <c r="E91" s="7" t="n">
        <v>3030</v>
      </c>
      <c r="F91" s="9" t="n">
        <v>7280000000</v>
      </c>
      <c r="G91" s="10" t="n">
        <v>8.119999999999999</v>
      </c>
      <c r="H91" s="16">
        <f>IFERROR(SUMPRODUCT(($C$3:$C$165=C91)*ISNUMBER($G$3:$G$165)*ISNUMBER($F$3:$F$165)*IF(ISNUMBER($F$3:$F$165),$F$3:$F$165,0)*IF(ISNUMBER($G$3:$G$165),$G$3:$G$165,0))/SUMPRODUCT(($C$3:$C$165=C91)*ISNUMBER($G$3:$G$165)*ISNUMBER($F$3:$F$165)*IF(ISNUMBER($F$3:$F$165),$F$3:$F$165,0)),"")</f>
        <v/>
      </c>
      <c r="I91" s="16">
        <f>IFERROR(SUMPRODUCT(($C$3:$C$165=C91)*ISNUMBER($G$3:$G$165)*IF(ISNUMBER($G$3:$G$165),$G$3:$G$165,0))/SUMPRODUCT(($C$3:$C$165=C91)*ISNUMBER($G$3:$G$165)),"")</f>
        <v/>
      </c>
      <c r="J91" s="16">
        <f>IF(OR(G91="",H91=""),"",G91/H91)</f>
        <v/>
      </c>
      <c r="K91" s="16">
        <f>IF(OR(G91="",I91=""),"",G91/I91)</f>
        <v/>
      </c>
      <c r="L91" s="14">
        <f>INDEX('4_UK_Beta_Input'!$D$5:$D$15,MATCH($C91,'4_UK_Beta_Input'!$A$5:$A$15,0))</f>
        <v/>
      </c>
      <c r="M91" s="14">
        <f>INDEX('4_UK_Beta_Input'!$D$20:$D$44,MATCH($E91,'4_UK_Beta_Input'!$A$20:$A$44,0))</f>
        <v/>
      </c>
      <c r="N91" s="14">
        <f>INDEX('4_UK_Beta_Input'!$D$49:$D$122,MATCH($D91,'4_UK_Beta_Input'!$A$49:$A$122,0))</f>
        <v/>
      </c>
      <c r="O91" s="14">
        <f>INDEX('4_UK_Beta_Input'!$D$127:$D$289,MATCH($A91,'4_UK_Beta_Input'!$A$127:$A$289,0))</f>
        <v/>
      </c>
      <c r="P91" s="16">
        <f>(M91/L91)*(N91/M91)*(O91/N91)</f>
        <v/>
      </c>
      <c r="Q91" s="17">
        <f>IF(J91="",INDEX('3_UK_L1_Input'!$D$4:$D$14,MATCH($C91,'3_UK_L1_Input'!$A$4:$A$14,0))*P91,INDEX('3_UK_L1_Input'!$D$4:$D$14,MATCH($C91,'3_UK_L1_Input'!$A$4:$A$14,0))*J91)</f>
        <v/>
      </c>
      <c r="R91" s="17">
        <f>IF(K91="",INDEX('3_UK_L1_Input'!$D$4:$D$14,MATCH($C91,'3_UK_L1_Input'!$A$4:$A$14,0))*P91,INDEX('3_UK_L1_Input'!$D$4:$D$14,MATCH($C91,'3_UK_L1_Input'!$A$4:$A$14,0))*K91)</f>
        <v/>
      </c>
      <c r="S91" s="18">
        <f>IF(G91="","BETA CASCADE FALLBACK (dummy — replace with real beta)","REAL (Bloomberg UK)")</f>
        <v/>
      </c>
      <c r="T91" s="17">
        <f>INDEX('3_UK_L1_Input'!$C$4:$C$14,MATCH($C91,'3_UK_L1_Input'!$A$4:$A$14,0))</f>
        <v/>
      </c>
      <c r="U91" s="17">
        <f>INDEX('3_UK_L1_Input'!$C$4:$C$14,MATCH($C91,'3_UK_L1_Input'!$A$4:$A$14,0))*P91</f>
        <v/>
      </c>
      <c r="V91" s="15">
        <f>INDEX('5_UK_DefaultRisk_Input'!$D$5:$D$15,MATCH($C91,'5_UK_DefaultRisk_Input'!$A$5:$A$15,0))</f>
        <v/>
      </c>
      <c r="W91" s="15">
        <f>INDEX('5_UK_DefaultRisk_Input'!$D$20:$D$44,MATCH($E91,'5_UK_DefaultRisk_Input'!$A$20:$A$44,0))</f>
        <v/>
      </c>
      <c r="X91" s="15">
        <f>INDEX('5_UK_DefaultRisk_Input'!$D$49:$D$122,MATCH($D91,'5_UK_DefaultRisk_Input'!$A$49:$A$122,0))</f>
        <v/>
      </c>
      <c r="Y91" s="15">
        <f>INDEX('5_UK_DefaultRisk_Input'!$D$127:$D$289,MATCH($A91,'5_UK_DefaultRisk_Input'!$A$127:$A$289,0))</f>
        <v/>
      </c>
      <c r="Z91" s="16">
        <f>(W91/V91)*(X91/W91)*(Y91/X91)</f>
        <v/>
      </c>
      <c r="AA91" s="17">
        <f>INDEX('3_UK_L1_Input'!$D$4:$D$14,MATCH($C91,'3_UK_L1_Input'!$A$4:$A$14,0))*Z91</f>
        <v/>
      </c>
    </row>
    <row r="92">
      <c r="A92" s="7" t="n">
        <v>30302010</v>
      </c>
      <c r="B92" s="7" t="inlineStr">
        <is>
          <t>Personal Care Products</t>
        </is>
      </c>
      <c r="C92" s="7" t="n">
        <v>30</v>
      </c>
      <c r="D92" s="7" t="n">
        <v>303020</v>
      </c>
      <c r="E92" s="7" t="n">
        <v>3030</v>
      </c>
      <c r="F92" s="9" t="n">
        <v>4710000000</v>
      </c>
      <c r="G92" s="10" t="n">
        <v>10.41</v>
      </c>
      <c r="H92" s="16">
        <f>IFERROR(SUMPRODUCT(($C$3:$C$165=C92)*ISNUMBER($G$3:$G$165)*ISNUMBER($F$3:$F$165)*IF(ISNUMBER($F$3:$F$165),$F$3:$F$165,0)*IF(ISNUMBER($G$3:$G$165),$G$3:$G$165,0))/SUMPRODUCT(($C$3:$C$165=C92)*ISNUMBER($G$3:$G$165)*ISNUMBER($F$3:$F$165)*IF(ISNUMBER($F$3:$F$165),$F$3:$F$165,0)),"")</f>
        <v/>
      </c>
      <c r="I92" s="16">
        <f>IFERROR(SUMPRODUCT(($C$3:$C$165=C92)*ISNUMBER($G$3:$G$165)*IF(ISNUMBER($G$3:$G$165),$G$3:$G$165,0))/SUMPRODUCT(($C$3:$C$165=C92)*ISNUMBER($G$3:$G$165)),"")</f>
        <v/>
      </c>
      <c r="J92" s="16">
        <f>IF(OR(G92="",H92=""),"",G92/H92)</f>
        <v/>
      </c>
      <c r="K92" s="16">
        <f>IF(OR(G92="",I92=""),"",G92/I92)</f>
        <v/>
      </c>
      <c r="L92" s="14">
        <f>INDEX('4_UK_Beta_Input'!$D$5:$D$15,MATCH($C92,'4_UK_Beta_Input'!$A$5:$A$15,0))</f>
        <v/>
      </c>
      <c r="M92" s="14">
        <f>INDEX('4_UK_Beta_Input'!$D$20:$D$44,MATCH($E92,'4_UK_Beta_Input'!$A$20:$A$44,0))</f>
        <v/>
      </c>
      <c r="N92" s="14">
        <f>INDEX('4_UK_Beta_Input'!$D$49:$D$122,MATCH($D92,'4_UK_Beta_Input'!$A$49:$A$122,0))</f>
        <v/>
      </c>
      <c r="O92" s="14">
        <f>INDEX('4_UK_Beta_Input'!$D$127:$D$289,MATCH($A92,'4_UK_Beta_Input'!$A$127:$A$289,0))</f>
        <v/>
      </c>
      <c r="P92" s="16">
        <f>(M92/L92)*(N92/M92)*(O92/N92)</f>
        <v/>
      </c>
      <c r="Q92" s="17">
        <f>IF(J92="",INDEX('3_UK_L1_Input'!$D$4:$D$14,MATCH($C92,'3_UK_L1_Input'!$A$4:$A$14,0))*P92,INDEX('3_UK_L1_Input'!$D$4:$D$14,MATCH($C92,'3_UK_L1_Input'!$A$4:$A$14,0))*J92)</f>
        <v/>
      </c>
      <c r="R92" s="17">
        <f>IF(K92="",INDEX('3_UK_L1_Input'!$D$4:$D$14,MATCH($C92,'3_UK_L1_Input'!$A$4:$A$14,0))*P92,INDEX('3_UK_L1_Input'!$D$4:$D$14,MATCH($C92,'3_UK_L1_Input'!$A$4:$A$14,0))*K92)</f>
        <v/>
      </c>
      <c r="S92" s="18">
        <f>IF(G92="","BETA CASCADE FALLBACK (dummy — replace with real beta)","REAL (Bloomberg UK)")</f>
        <v/>
      </c>
      <c r="T92" s="17">
        <f>INDEX('3_UK_L1_Input'!$C$4:$C$14,MATCH($C92,'3_UK_L1_Input'!$A$4:$A$14,0))</f>
        <v/>
      </c>
      <c r="U92" s="17">
        <f>INDEX('3_UK_L1_Input'!$C$4:$C$14,MATCH($C92,'3_UK_L1_Input'!$A$4:$A$14,0))*P92</f>
        <v/>
      </c>
      <c r="V92" s="15">
        <f>INDEX('5_UK_DefaultRisk_Input'!$D$5:$D$15,MATCH($C92,'5_UK_DefaultRisk_Input'!$A$5:$A$15,0))</f>
        <v/>
      </c>
      <c r="W92" s="15">
        <f>INDEX('5_UK_DefaultRisk_Input'!$D$20:$D$44,MATCH($E92,'5_UK_DefaultRisk_Input'!$A$20:$A$44,0))</f>
        <v/>
      </c>
      <c r="X92" s="15">
        <f>INDEX('5_UK_DefaultRisk_Input'!$D$49:$D$122,MATCH($D92,'5_UK_DefaultRisk_Input'!$A$49:$A$122,0))</f>
        <v/>
      </c>
      <c r="Y92" s="15">
        <f>INDEX('5_UK_DefaultRisk_Input'!$D$127:$D$289,MATCH($A92,'5_UK_DefaultRisk_Input'!$A$127:$A$289,0))</f>
        <v/>
      </c>
      <c r="Z92" s="16">
        <f>(W92/V92)*(X92/W92)*(Y92/X92)</f>
        <v/>
      </c>
      <c r="AA92" s="17">
        <f>INDEX('3_UK_L1_Input'!$D$4:$D$14,MATCH($C92,'3_UK_L1_Input'!$A$4:$A$14,0))*Z92</f>
        <v/>
      </c>
    </row>
    <row r="93">
      <c r="A93" s="7" t="n">
        <v>35101010</v>
      </c>
      <c r="B93" s="7" t="inlineStr">
        <is>
          <t>Health Care Equipment</t>
        </is>
      </c>
      <c r="C93" s="7" t="n">
        <v>35</v>
      </c>
      <c r="D93" s="7" t="n">
        <v>351010</v>
      </c>
      <c r="E93" s="7" t="n">
        <v>3510</v>
      </c>
      <c r="F93" s="9" t="n">
        <v>795190000</v>
      </c>
      <c r="G93" s="10" t="n">
        <v>13.59</v>
      </c>
      <c r="H93" s="16">
        <f>IFERROR(SUMPRODUCT(($C$3:$C$165=C93)*ISNUMBER($G$3:$G$165)*ISNUMBER($F$3:$F$165)*IF(ISNUMBER($F$3:$F$165),$F$3:$F$165,0)*IF(ISNUMBER($G$3:$G$165),$G$3:$G$165,0))/SUMPRODUCT(($C$3:$C$165=C93)*ISNUMBER($G$3:$G$165)*ISNUMBER($F$3:$F$165)*IF(ISNUMBER($F$3:$F$165),$F$3:$F$165,0)),"")</f>
        <v/>
      </c>
      <c r="I93" s="16">
        <f>IFERROR(SUMPRODUCT(($C$3:$C$165=C93)*ISNUMBER($G$3:$G$165)*IF(ISNUMBER($G$3:$G$165),$G$3:$G$165,0))/SUMPRODUCT(($C$3:$C$165=C93)*ISNUMBER($G$3:$G$165)),"")</f>
        <v/>
      </c>
      <c r="J93" s="16">
        <f>IF(OR(G93="",H93=""),"",G93/H93)</f>
        <v/>
      </c>
      <c r="K93" s="16">
        <f>IF(OR(G93="",I93=""),"",G93/I93)</f>
        <v/>
      </c>
      <c r="L93" s="14">
        <f>INDEX('4_UK_Beta_Input'!$D$5:$D$15,MATCH($C93,'4_UK_Beta_Input'!$A$5:$A$15,0))</f>
        <v/>
      </c>
      <c r="M93" s="14">
        <f>INDEX('4_UK_Beta_Input'!$D$20:$D$44,MATCH($E93,'4_UK_Beta_Input'!$A$20:$A$44,0))</f>
        <v/>
      </c>
      <c r="N93" s="14">
        <f>INDEX('4_UK_Beta_Input'!$D$49:$D$122,MATCH($D93,'4_UK_Beta_Input'!$A$49:$A$122,0))</f>
        <v/>
      </c>
      <c r="O93" s="14">
        <f>INDEX('4_UK_Beta_Input'!$D$127:$D$289,MATCH($A93,'4_UK_Beta_Input'!$A$127:$A$289,0))</f>
        <v/>
      </c>
      <c r="P93" s="16">
        <f>(M93/L93)*(N93/M93)*(O93/N93)</f>
        <v/>
      </c>
      <c r="Q93" s="17">
        <f>IF(J93="",INDEX('3_UK_L1_Input'!$D$4:$D$14,MATCH($C93,'3_UK_L1_Input'!$A$4:$A$14,0))*P93,INDEX('3_UK_L1_Input'!$D$4:$D$14,MATCH($C93,'3_UK_L1_Input'!$A$4:$A$14,0))*J93)</f>
        <v/>
      </c>
      <c r="R93" s="17">
        <f>IF(K93="",INDEX('3_UK_L1_Input'!$D$4:$D$14,MATCH($C93,'3_UK_L1_Input'!$A$4:$A$14,0))*P93,INDEX('3_UK_L1_Input'!$D$4:$D$14,MATCH($C93,'3_UK_L1_Input'!$A$4:$A$14,0))*K93)</f>
        <v/>
      </c>
      <c r="S93" s="18">
        <f>IF(G93="","BETA CASCADE FALLBACK (dummy — replace with real beta)","REAL (Bloomberg UK)")</f>
        <v/>
      </c>
      <c r="T93" s="17">
        <f>INDEX('3_UK_L1_Input'!$C$4:$C$14,MATCH($C93,'3_UK_L1_Input'!$A$4:$A$14,0))</f>
        <v/>
      </c>
      <c r="U93" s="17">
        <f>INDEX('3_UK_L1_Input'!$C$4:$C$14,MATCH($C93,'3_UK_L1_Input'!$A$4:$A$14,0))*P93</f>
        <v/>
      </c>
      <c r="V93" s="15">
        <f>INDEX('5_UK_DefaultRisk_Input'!$D$5:$D$15,MATCH($C93,'5_UK_DefaultRisk_Input'!$A$5:$A$15,0))</f>
        <v/>
      </c>
      <c r="W93" s="15">
        <f>INDEX('5_UK_DefaultRisk_Input'!$D$20:$D$44,MATCH($E93,'5_UK_DefaultRisk_Input'!$A$20:$A$44,0))</f>
        <v/>
      </c>
      <c r="X93" s="15">
        <f>INDEX('5_UK_DefaultRisk_Input'!$D$49:$D$122,MATCH($D93,'5_UK_DefaultRisk_Input'!$A$49:$A$122,0))</f>
        <v/>
      </c>
      <c r="Y93" s="15">
        <f>INDEX('5_UK_DefaultRisk_Input'!$D$127:$D$289,MATCH($A93,'5_UK_DefaultRisk_Input'!$A$127:$A$289,0))</f>
        <v/>
      </c>
      <c r="Z93" s="16">
        <f>(W93/V93)*(X93/W93)*(Y93/X93)</f>
        <v/>
      </c>
      <c r="AA93" s="17">
        <f>INDEX('3_UK_L1_Input'!$D$4:$D$14,MATCH($C93,'3_UK_L1_Input'!$A$4:$A$14,0))*Z93</f>
        <v/>
      </c>
    </row>
    <row r="94">
      <c r="A94" s="7" t="n">
        <v>35101020</v>
      </c>
      <c r="B94" s="7" t="inlineStr">
        <is>
          <t>Health Care Supplies</t>
        </is>
      </c>
      <c r="C94" s="7" t="n">
        <v>35</v>
      </c>
      <c r="D94" s="7" t="n">
        <v>351010</v>
      </c>
      <c r="E94" s="7" t="n">
        <v>3510</v>
      </c>
      <c r="F94" s="9" t="n">
        <v>112670000</v>
      </c>
      <c r="G94" s="10" t="n">
        <v>12.07</v>
      </c>
      <c r="H94" s="16">
        <f>IFERROR(SUMPRODUCT(($C$3:$C$165=C94)*ISNUMBER($G$3:$G$165)*ISNUMBER($F$3:$F$165)*IF(ISNUMBER($F$3:$F$165),$F$3:$F$165,0)*IF(ISNUMBER($G$3:$G$165),$G$3:$G$165,0))/SUMPRODUCT(($C$3:$C$165=C94)*ISNUMBER($G$3:$G$165)*ISNUMBER($F$3:$F$165)*IF(ISNUMBER($F$3:$F$165),$F$3:$F$165,0)),"")</f>
        <v/>
      </c>
      <c r="I94" s="16">
        <f>IFERROR(SUMPRODUCT(($C$3:$C$165=C94)*ISNUMBER($G$3:$G$165)*IF(ISNUMBER($G$3:$G$165),$G$3:$G$165,0))/SUMPRODUCT(($C$3:$C$165=C94)*ISNUMBER($G$3:$G$165)),"")</f>
        <v/>
      </c>
      <c r="J94" s="16">
        <f>IF(OR(G94="",H94=""),"",G94/H94)</f>
        <v/>
      </c>
      <c r="K94" s="16">
        <f>IF(OR(G94="",I94=""),"",G94/I94)</f>
        <v/>
      </c>
      <c r="L94" s="14">
        <f>INDEX('4_UK_Beta_Input'!$D$5:$D$15,MATCH($C94,'4_UK_Beta_Input'!$A$5:$A$15,0))</f>
        <v/>
      </c>
      <c r="M94" s="14">
        <f>INDEX('4_UK_Beta_Input'!$D$20:$D$44,MATCH($E94,'4_UK_Beta_Input'!$A$20:$A$44,0))</f>
        <v/>
      </c>
      <c r="N94" s="14">
        <f>INDEX('4_UK_Beta_Input'!$D$49:$D$122,MATCH($D94,'4_UK_Beta_Input'!$A$49:$A$122,0))</f>
        <v/>
      </c>
      <c r="O94" s="14">
        <f>INDEX('4_UK_Beta_Input'!$D$127:$D$289,MATCH($A94,'4_UK_Beta_Input'!$A$127:$A$289,0))</f>
        <v/>
      </c>
      <c r="P94" s="16">
        <f>(M94/L94)*(N94/M94)*(O94/N94)</f>
        <v/>
      </c>
      <c r="Q94" s="17">
        <f>IF(J94="",INDEX('3_UK_L1_Input'!$D$4:$D$14,MATCH($C94,'3_UK_L1_Input'!$A$4:$A$14,0))*P94,INDEX('3_UK_L1_Input'!$D$4:$D$14,MATCH($C94,'3_UK_L1_Input'!$A$4:$A$14,0))*J94)</f>
        <v/>
      </c>
      <c r="R94" s="17">
        <f>IF(K94="",INDEX('3_UK_L1_Input'!$D$4:$D$14,MATCH($C94,'3_UK_L1_Input'!$A$4:$A$14,0))*P94,INDEX('3_UK_L1_Input'!$D$4:$D$14,MATCH($C94,'3_UK_L1_Input'!$A$4:$A$14,0))*K94)</f>
        <v/>
      </c>
      <c r="S94" s="18">
        <f>IF(G94="","BETA CASCADE FALLBACK (dummy — replace with real beta)","REAL (Bloomberg UK)")</f>
        <v/>
      </c>
      <c r="T94" s="17">
        <f>INDEX('3_UK_L1_Input'!$C$4:$C$14,MATCH($C94,'3_UK_L1_Input'!$A$4:$A$14,0))</f>
        <v/>
      </c>
      <c r="U94" s="17">
        <f>INDEX('3_UK_L1_Input'!$C$4:$C$14,MATCH($C94,'3_UK_L1_Input'!$A$4:$A$14,0))*P94</f>
        <v/>
      </c>
      <c r="V94" s="15">
        <f>INDEX('5_UK_DefaultRisk_Input'!$D$5:$D$15,MATCH($C94,'5_UK_DefaultRisk_Input'!$A$5:$A$15,0))</f>
        <v/>
      </c>
      <c r="W94" s="15">
        <f>INDEX('5_UK_DefaultRisk_Input'!$D$20:$D$44,MATCH($E94,'5_UK_DefaultRisk_Input'!$A$20:$A$44,0))</f>
        <v/>
      </c>
      <c r="X94" s="15">
        <f>INDEX('5_UK_DefaultRisk_Input'!$D$49:$D$122,MATCH($D94,'5_UK_DefaultRisk_Input'!$A$49:$A$122,0))</f>
        <v/>
      </c>
      <c r="Y94" s="15">
        <f>INDEX('5_UK_DefaultRisk_Input'!$D$127:$D$289,MATCH($A94,'5_UK_DefaultRisk_Input'!$A$127:$A$289,0))</f>
        <v/>
      </c>
      <c r="Z94" s="16">
        <f>(W94/V94)*(X94/W94)*(Y94/X94)</f>
        <v/>
      </c>
      <c r="AA94" s="17">
        <f>INDEX('3_UK_L1_Input'!$D$4:$D$14,MATCH($C94,'3_UK_L1_Input'!$A$4:$A$14,0))*Z94</f>
        <v/>
      </c>
    </row>
    <row r="95">
      <c r="A95" s="7" t="n">
        <v>35102010</v>
      </c>
      <c r="B95" s="7" t="inlineStr">
        <is>
          <t>Health Care Distributors</t>
        </is>
      </c>
      <c r="C95" s="7" t="n">
        <v>35</v>
      </c>
      <c r="D95" s="7" t="n">
        <v>351020</v>
      </c>
      <c r="E95" s="7" t="n">
        <v>3510</v>
      </c>
      <c r="F95" s="9" t="n">
        <v>12420</v>
      </c>
      <c r="G95" s="8" t="n"/>
      <c r="H95" s="16">
        <f>IFERROR(SUMPRODUCT(($C$3:$C$165=C95)*ISNUMBER($G$3:$G$165)*ISNUMBER($F$3:$F$165)*IF(ISNUMBER($F$3:$F$165),$F$3:$F$165,0)*IF(ISNUMBER($G$3:$G$165),$G$3:$G$165,0))/SUMPRODUCT(($C$3:$C$165=C95)*ISNUMBER($G$3:$G$165)*ISNUMBER($F$3:$F$165)*IF(ISNUMBER($F$3:$F$165),$F$3:$F$165,0)),"")</f>
        <v/>
      </c>
      <c r="I95" s="16">
        <f>IFERROR(SUMPRODUCT(($C$3:$C$165=C95)*ISNUMBER($G$3:$G$165)*IF(ISNUMBER($G$3:$G$165),$G$3:$G$165,0))/SUMPRODUCT(($C$3:$C$165=C95)*ISNUMBER($G$3:$G$165)),"")</f>
        <v/>
      </c>
      <c r="J95" s="16">
        <f>IF(OR(G95="",H95=""),"",G95/H95)</f>
        <v/>
      </c>
      <c r="K95" s="16">
        <f>IF(OR(G95="",I95=""),"",G95/I95)</f>
        <v/>
      </c>
      <c r="L95" s="14">
        <f>INDEX('4_UK_Beta_Input'!$D$5:$D$15,MATCH($C95,'4_UK_Beta_Input'!$A$5:$A$15,0))</f>
        <v/>
      </c>
      <c r="M95" s="14">
        <f>INDEX('4_UK_Beta_Input'!$D$20:$D$44,MATCH($E95,'4_UK_Beta_Input'!$A$20:$A$44,0))</f>
        <v/>
      </c>
      <c r="N95" s="14">
        <f>INDEX('4_UK_Beta_Input'!$D$49:$D$122,MATCH($D95,'4_UK_Beta_Input'!$A$49:$A$122,0))</f>
        <v/>
      </c>
      <c r="O95" s="14">
        <f>INDEX('4_UK_Beta_Input'!$D$127:$D$289,MATCH($A95,'4_UK_Beta_Input'!$A$127:$A$289,0))</f>
        <v/>
      </c>
      <c r="P95" s="16">
        <f>(M95/L95)*(N95/M95)*(O95/N95)</f>
        <v/>
      </c>
      <c r="Q95" s="17">
        <f>IF(J95="",INDEX('3_UK_L1_Input'!$D$4:$D$14,MATCH($C95,'3_UK_L1_Input'!$A$4:$A$14,0))*P95,INDEX('3_UK_L1_Input'!$D$4:$D$14,MATCH($C95,'3_UK_L1_Input'!$A$4:$A$14,0))*J95)</f>
        <v/>
      </c>
      <c r="R95" s="17">
        <f>IF(K95="",INDEX('3_UK_L1_Input'!$D$4:$D$14,MATCH($C95,'3_UK_L1_Input'!$A$4:$A$14,0))*P95,INDEX('3_UK_L1_Input'!$D$4:$D$14,MATCH($C95,'3_UK_L1_Input'!$A$4:$A$14,0))*K95)</f>
        <v/>
      </c>
      <c r="S95" s="19">
        <f>IF(G95="","BETA CASCADE FALLBACK (dummy — replace with real beta)","REAL (Bloomberg UK)")</f>
        <v/>
      </c>
      <c r="T95" s="17">
        <f>INDEX('3_UK_L1_Input'!$C$4:$C$14,MATCH($C95,'3_UK_L1_Input'!$A$4:$A$14,0))</f>
        <v/>
      </c>
      <c r="U95" s="17">
        <f>INDEX('3_UK_L1_Input'!$C$4:$C$14,MATCH($C95,'3_UK_L1_Input'!$A$4:$A$14,0))*P95</f>
        <v/>
      </c>
      <c r="V95" s="15">
        <f>INDEX('5_UK_DefaultRisk_Input'!$D$5:$D$15,MATCH($C95,'5_UK_DefaultRisk_Input'!$A$5:$A$15,0))</f>
        <v/>
      </c>
      <c r="W95" s="15">
        <f>INDEX('5_UK_DefaultRisk_Input'!$D$20:$D$44,MATCH($E95,'5_UK_DefaultRisk_Input'!$A$20:$A$44,0))</f>
        <v/>
      </c>
      <c r="X95" s="15">
        <f>INDEX('5_UK_DefaultRisk_Input'!$D$49:$D$122,MATCH($D95,'5_UK_DefaultRisk_Input'!$A$49:$A$122,0))</f>
        <v/>
      </c>
      <c r="Y95" s="15">
        <f>INDEX('5_UK_DefaultRisk_Input'!$D$127:$D$289,MATCH($A95,'5_UK_DefaultRisk_Input'!$A$127:$A$289,0))</f>
        <v/>
      </c>
      <c r="Z95" s="16">
        <f>(W95/V95)*(X95/W95)*(Y95/X95)</f>
        <v/>
      </c>
      <c r="AA95" s="17">
        <f>INDEX('3_UK_L1_Input'!$D$4:$D$14,MATCH($C95,'3_UK_L1_Input'!$A$4:$A$14,0))*Z95</f>
        <v/>
      </c>
    </row>
    <row r="96">
      <c r="A96" s="7" t="n">
        <v>35102015</v>
      </c>
      <c r="B96" s="7" t="inlineStr">
        <is>
          <t>Health Care Services</t>
        </is>
      </c>
      <c r="C96" s="7" t="n">
        <v>35</v>
      </c>
      <c r="D96" s="7" t="n">
        <v>351020</v>
      </c>
      <c r="E96" s="7" t="n">
        <v>3510</v>
      </c>
      <c r="F96" s="9" t="n">
        <v>26960000</v>
      </c>
      <c r="G96" s="10" t="n">
        <v>4.62</v>
      </c>
      <c r="H96" s="16">
        <f>IFERROR(SUMPRODUCT(($C$3:$C$165=C96)*ISNUMBER($G$3:$G$165)*ISNUMBER($F$3:$F$165)*IF(ISNUMBER($F$3:$F$165),$F$3:$F$165,0)*IF(ISNUMBER($G$3:$G$165),$G$3:$G$165,0))/SUMPRODUCT(($C$3:$C$165=C96)*ISNUMBER($G$3:$G$165)*ISNUMBER($F$3:$F$165)*IF(ISNUMBER($F$3:$F$165),$F$3:$F$165,0)),"")</f>
        <v/>
      </c>
      <c r="I96" s="16">
        <f>IFERROR(SUMPRODUCT(($C$3:$C$165=C96)*ISNUMBER($G$3:$G$165)*IF(ISNUMBER($G$3:$G$165),$G$3:$G$165,0))/SUMPRODUCT(($C$3:$C$165=C96)*ISNUMBER($G$3:$G$165)),"")</f>
        <v/>
      </c>
      <c r="J96" s="16">
        <f>IF(OR(G96="",H96=""),"",G96/H96)</f>
        <v/>
      </c>
      <c r="K96" s="16">
        <f>IF(OR(G96="",I96=""),"",G96/I96)</f>
        <v/>
      </c>
      <c r="L96" s="14">
        <f>INDEX('4_UK_Beta_Input'!$D$5:$D$15,MATCH($C96,'4_UK_Beta_Input'!$A$5:$A$15,0))</f>
        <v/>
      </c>
      <c r="M96" s="14">
        <f>INDEX('4_UK_Beta_Input'!$D$20:$D$44,MATCH($E96,'4_UK_Beta_Input'!$A$20:$A$44,0))</f>
        <v/>
      </c>
      <c r="N96" s="14">
        <f>INDEX('4_UK_Beta_Input'!$D$49:$D$122,MATCH($D96,'4_UK_Beta_Input'!$A$49:$A$122,0))</f>
        <v/>
      </c>
      <c r="O96" s="14">
        <f>INDEX('4_UK_Beta_Input'!$D$127:$D$289,MATCH($A96,'4_UK_Beta_Input'!$A$127:$A$289,0))</f>
        <v/>
      </c>
      <c r="P96" s="16">
        <f>(M96/L96)*(N96/M96)*(O96/N96)</f>
        <v/>
      </c>
      <c r="Q96" s="17">
        <f>IF(J96="",INDEX('3_UK_L1_Input'!$D$4:$D$14,MATCH($C96,'3_UK_L1_Input'!$A$4:$A$14,0))*P96,INDEX('3_UK_L1_Input'!$D$4:$D$14,MATCH($C96,'3_UK_L1_Input'!$A$4:$A$14,0))*J96)</f>
        <v/>
      </c>
      <c r="R96" s="17">
        <f>IF(K96="",INDEX('3_UK_L1_Input'!$D$4:$D$14,MATCH($C96,'3_UK_L1_Input'!$A$4:$A$14,0))*P96,INDEX('3_UK_L1_Input'!$D$4:$D$14,MATCH($C96,'3_UK_L1_Input'!$A$4:$A$14,0))*K96)</f>
        <v/>
      </c>
      <c r="S96" s="18">
        <f>IF(G96="","BETA CASCADE FALLBACK (dummy — replace with real beta)","REAL (Bloomberg UK)")</f>
        <v/>
      </c>
      <c r="T96" s="17">
        <f>INDEX('3_UK_L1_Input'!$C$4:$C$14,MATCH($C96,'3_UK_L1_Input'!$A$4:$A$14,0))</f>
        <v/>
      </c>
      <c r="U96" s="17">
        <f>INDEX('3_UK_L1_Input'!$C$4:$C$14,MATCH($C96,'3_UK_L1_Input'!$A$4:$A$14,0))*P96</f>
        <v/>
      </c>
      <c r="V96" s="15">
        <f>INDEX('5_UK_DefaultRisk_Input'!$D$5:$D$15,MATCH($C96,'5_UK_DefaultRisk_Input'!$A$5:$A$15,0))</f>
        <v/>
      </c>
      <c r="W96" s="15">
        <f>INDEX('5_UK_DefaultRisk_Input'!$D$20:$D$44,MATCH($E96,'5_UK_DefaultRisk_Input'!$A$20:$A$44,0))</f>
        <v/>
      </c>
      <c r="X96" s="15">
        <f>INDEX('5_UK_DefaultRisk_Input'!$D$49:$D$122,MATCH($D96,'5_UK_DefaultRisk_Input'!$A$49:$A$122,0))</f>
        <v/>
      </c>
      <c r="Y96" s="15">
        <f>INDEX('5_UK_DefaultRisk_Input'!$D$127:$D$289,MATCH($A96,'5_UK_DefaultRisk_Input'!$A$127:$A$289,0))</f>
        <v/>
      </c>
      <c r="Z96" s="16">
        <f>(W96/V96)*(X96/W96)*(Y96/X96)</f>
        <v/>
      </c>
      <c r="AA96" s="17">
        <f>INDEX('3_UK_L1_Input'!$D$4:$D$14,MATCH($C96,'3_UK_L1_Input'!$A$4:$A$14,0))*Z96</f>
        <v/>
      </c>
    </row>
    <row r="97">
      <c r="A97" s="7" t="n">
        <v>35102020</v>
      </c>
      <c r="B97" s="7" t="inlineStr">
        <is>
          <t>Health Care Facilities</t>
        </is>
      </c>
      <c r="C97" s="7" t="n">
        <v>35</v>
      </c>
      <c r="D97" s="7" t="n">
        <v>351020</v>
      </c>
      <c r="E97" s="7" t="n">
        <v>3510</v>
      </c>
      <c r="F97" s="9" t="n">
        <v>756150000</v>
      </c>
      <c r="G97" s="10" t="n">
        <v>7.33</v>
      </c>
      <c r="H97" s="16">
        <f>IFERROR(SUMPRODUCT(($C$3:$C$165=C97)*ISNUMBER($G$3:$G$165)*ISNUMBER($F$3:$F$165)*IF(ISNUMBER($F$3:$F$165),$F$3:$F$165,0)*IF(ISNUMBER($G$3:$G$165),$G$3:$G$165,0))/SUMPRODUCT(($C$3:$C$165=C97)*ISNUMBER($G$3:$G$165)*ISNUMBER($F$3:$F$165)*IF(ISNUMBER($F$3:$F$165),$F$3:$F$165,0)),"")</f>
        <v/>
      </c>
      <c r="I97" s="16">
        <f>IFERROR(SUMPRODUCT(($C$3:$C$165=C97)*ISNUMBER($G$3:$G$165)*IF(ISNUMBER($G$3:$G$165),$G$3:$G$165,0))/SUMPRODUCT(($C$3:$C$165=C97)*ISNUMBER($G$3:$G$165)),"")</f>
        <v/>
      </c>
      <c r="J97" s="16">
        <f>IF(OR(G97="",H97=""),"",G97/H97)</f>
        <v/>
      </c>
      <c r="K97" s="16">
        <f>IF(OR(G97="",I97=""),"",G97/I97)</f>
        <v/>
      </c>
      <c r="L97" s="14">
        <f>INDEX('4_UK_Beta_Input'!$D$5:$D$15,MATCH($C97,'4_UK_Beta_Input'!$A$5:$A$15,0))</f>
        <v/>
      </c>
      <c r="M97" s="14">
        <f>INDEX('4_UK_Beta_Input'!$D$20:$D$44,MATCH($E97,'4_UK_Beta_Input'!$A$20:$A$44,0))</f>
        <v/>
      </c>
      <c r="N97" s="14">
        <f>INDEX('4_UK_Beta_Input'!$D$49:$D$122,MATCH($D97,'4_UK_Beta_Input'!$A$49:$A$122,0))</f>
        <v/>
      </c>
      <c r="O97" s="14">
        <f>INDEX('4_UK_Beta_Input'!$D$127:$D$289,MATCH($A97,'4_UK_Beta_Input'!$A$127:$A$289,0))</f>
        <v/>
      </c>
      <c r="P97" s="16">
        <f>(M97/L97)*(N97/M97)*(O97/N97)</f>
        <v/>
      </c>
      <c r="Q97" s="17">
        <f>IF(J97="",INDEX('3_UK_L1_Input'!$D$4:$D$14,MATCH($C97,'3_UK_L1_Input'!$A$4:$A$14,0))*P97,INDEX('3_UK_L1_Input'!$D$4:$D$14,MATCH($C97,'3_UK_L1_Input'!$A$4:$A$14,0))*J97)</f>
        <v/>
      </c>
      <c r="R97" s="17">
        <f>IF(K97="",INDEX('3_UK_L1_Input'!$D$4:$D$14,MATCH($C97,'3_UK_L1_Input'!$A$4:$A$14,0))*P97,INDEX('3_UK_L1_Input'!$D$4:$D$14,MATCH($C97,'3_UK_L1_Input'!$A$4:$A$14,0))*K97)</f>
        <v/>
      </c>
      <c r="S97" s="18">
        <f>IF(G97="","BETA CASCADE FALLBACK (dummy — replace with real beta)","REAL (Bloomberg UK)")</f>
        <v/>
      </c>
      <c r="T97" s="17">
        <f>INDEX('3_UK_L1_Input'!$C$4:$C$14,MATCH($C97,'3_UK_L1_Input'!$A$4:$A$14,0))</f>
        <v/>
      </c>
      <c r="U97" s="17">
        <f>INDEX('3_UK_L1_Input'!$C$4:$C$14,MATCH($C97,'3_UK_L1_Input'!$A$4:$A$14,0))*P97</f>
        <v/>
      </c>
      <c r="V97" s="15">
        <f>INDEX('5_UK_DefaultRisk_Input'!$D$5:$D$15,MATCH($C97,'5_UK_DefaultRisk_Input'!$A$5:$A$15,0))</f>
        <v/>
      </c>
      <c r="W97" s="15">
        <f>INDEX('5_UK_DefaultRisk_Input'!$D$20:$D$44,MATCH($E97,'5_UK_DefaultRisk_Input'!$A$20:$A$44,0))</f>
        <v/>
      </c>
      <c r="X97" s="15">
        <f>INDEX('5_UK_DefaultRisk_Input'!$D$49:$D$122,MATCH($D97,'5_UK_DefaultRisk_Input'!$A$49:$A$122,0))</f>
        <v/>
      </c>
      <c r="Y97" s="15">
        <f>INDEX('5_UK_DefaultRisk_Input'!$D$127:$D$289,MATCH($A97,'5_UK_DefaultRisk_Input'!$A$127:$A$289,0))</f>
        <v/>
      </c>
      <c r="Z97" s="16">
        <f>(W97/V97)*(X97/W97)*(Y97/X97)</f>
        <v/>
      </c>
      <c r="AA97" s="17">
        <f>INDEX('3_UK_L1_Input'!$D$4:$D$14,MATCH($C97,'3_UK_L1_Input'!$A$4:$A$14,0))*Z97</f>
        <v/>
      </c>
    </row>
    <row r="98">
      <c r="A98" s="7" t="n">
        <v>35102030</v>
      </c>
      <c r="B98" s="7" t="inlineStr">
        <is>
          <t>Managed Health Care</t>
        </is>
      </c>
      <c r="C98" s="7" t="n">
        <v>35</v>
      </c>
      <c r="D98" s="7" t="n">
        <v>351020</v>
      </c>
      <c r="E98" s="7" t="n">
        <v>3510</v>
      </c>
      <c r="F98" s="8" t="n"/>
      <c r="G98" s="8" t="n"/>
      <c r="H98" s="16">
        <f>IFERROR(SUMPRODUCT(($C$3:$C$165=C98)*ISNUMBER($G$3:$G$165)*ISNUMBER($F$3:$F$165)*IF(ISNUMBER($F$3:$F$165),$F$3:$F$165,0)*IF(ISNUMBER($G$3:$G$165),$G$3:$G$165,0))/SUMPRODUCT(($C$3:$C$165=C98)*ISNUMBER($G$3:$G$165)*ISNUMBER($F$3:$F$165)*IF(ISNUMBER($F$3:$F$165),$F$3:$F$165,0)),"")</f>
        <v/>
      </c>
      <c r="I98" s="16">
        <f>IFERROR(SUMPRODUCT(($C$3:$C$165=C98)*ISNUMBER($G$3:$G$165)*IF(ISNUMBER($G$3:$G$165),$G$3:$G$165,0))/SUMPRODUCT(($C$3:$C$165=C98)*ISNUMBER($G$3:$G$165)),"")</f>
        <v/>
      </c>
      <c r="J98" s="16">
        <f>IF(OR(G98="",H98=""),"",G98/H98)</f>
        <v/>
      </c>
      <c r="K98" s="16">
        <f>IF(OR(G98="",I98=""),"",G98/I98)</f>
        <v/>
      </c>
      <c r="L98" s="14">
        <f>INDEX('4_UK_Beta_Input'!$D$5:$D$15,MATCH($C98,'4_UK_Beta_Input'!$A$5:$A$15,0))</f>
        <v/>
      </c>
      <c r="M98" s="14">
        <f>INDEX('4_UK_Beta_Input'!$D$20:$D$44,MATCH($E98,'4_UK_Beta_Input'!$A$20:$A$44,0))</f>
        <v/>
      </c>
      <c r="N98" s="14">
        <f>INDEX('4_UK_Beta_Input'!$D$49:$D$122,MATCH($D98,'4_UK_Beta_Input'!$A$49:$A$122,0))</f>
        <v/>
      </c>
      <c r="O98" s="14">
        <f>INDEX('4_UK_Beta_Input'!$D$127:$D$289,MATCH($A98,'4_UK_Beta_Input'!$A$127:$A$289,0))</f>
        <v/>
      </c>
      <c r="P98" s="16">
        <f>(M98/L98)*(N98/M98)*(O98/N98)</f>
        <v/>
      </c>
      <c r="Q98" s="17">
        <f>IF(J98="",INDEX('3_UK_L1_Input'!$D$4:$D$14,MATCH($C98,'3_UK_L1_Input'!$A$4:$A$14,0))*P98,INDEX('3_UK_L1_Input'!$D$4:$D$14,MATCH($C98,'3_UK_L1_Input'!$A$4:$A$14,0))*J98)</f>
        <v/>
      </c>
      <c r="R98" s="17">
        <f>IF(K98="",INDEX('3_UK_L1_Input'!$D$4:$D$14,MATCH($C98,'3_UK_L1_Input'!$A$4:$A$14,0))*P98,INDEX('3_UK_L1_Input'!$D$4:$D$14,MATCH($C98,'3_UK_L1_Input'!$A$4:$A$14,0))*K98)</f>
        <v/>
      </c>
      <c r="S98" s="19">
        <f>IF(G98="","BETA CASCADE FALLBACK (dummy — replace with real beta)","REAL (Bloomberg UK)")</f>
        <v/>
      </c>
      <c r="T98" s="17">
        <f>INDEX('3_UK_L1_Input'!$C$4:$C$14,MATCH($C98,'3_UK_L1_Input'!$A$4:$A$14,0))</f>
        <v/>
      </c>
      <c r="U98" s="17">
        <f>INDEX('3_UK_L1_Input'!$C$4:$C$14,MATCH($C98,'3_UK_L1_Input'!$A$4:$A$14,0))*P98</f>
        <v/>
      </c>
      <c r="V98" s="15">
        <f>INDEX('5_UK_DefaultRisk_Input'!$D$5:$D$15,MATCH($C98,'5_UK_DefaultRisk_Input'!$A$5:$A$15,0))</f>
        <v/>
      </c>
      <c r="W98" s="15">
        <f>INDEX('5_UK_DefaultRisk_Input'!$D$20:$D$44,MATCH($E98,'5_UK_DefaultRisk_Input'!$A$20:$A$44,0))</f>
        <v/>
      </c>
      <c r="X98" s="15">
        <f>INDEX('5_UK_DefaultRisk_Input'!$D$49:$D$122,MATCH($D98,'5_UK_DefaultRisk_Input'!$A$49:$A$122,0))</f>
        <v/>
      </c>
      <c r="Y98" s="15">
        <f>INDEX('5_UK_DefaultRisk_Input'!$D$127:$D$289,MATCH($A98,'5_UK_DefaultRisk_Input'!$A$127:$A$289,0))</f>
        <v/>
      </c>
      <c r="Z98" s="16">
        <f>(W98/V98)*(X98/W98)*(Y98/X98)</f>
        <v/>
      </c>
      <c r="AA98" s="17">
        <f>INDEX('3_UK_L1_Input'!$D$4:$D$14,MATCH($C98,'3_UK_L1_Input'!$A$4:$A$14,0))*Z98</f>
        <v/>
      </c>
    </row>
    <row r="99">
      <c r="A99" s="7" t="n">
        <v>35103010</v>
      </c>
      <c r="B99" s="7" t="inlineStr">
        <is>
          <t>Health Care Technology</t>
        </is>
      </c>
      <c r="C99" s="7" t="n">
        <v>35</v>
      </c>
      <c r="D99" s="7" t="n">
        <v>351030</v>
      </c>
      <c r="E99" s="7" t="n">
        <v>3510</v>
      </c>
      <c r="F99" s="9" t="n">
        <v>173230000</v>
      </c>
      <c r="G99" s="10" t="n">
        <v>8.130000000000001</v>
      </c>
      <c r="H99" s="16">
        <f>IFERROR(SUMPRODUCT(($C$3:$C$165=C99)*ISNUMBER($G$3:$G$165)*ISNUMBER($F$3:$F$165)*IF(ISNUMBER($F$3:$F$165),$F$3:$F$165,0)*IF(ISNUMBER($G$3:$G$165),$G$3:$G$165,0))/SUMPRODUCT(($C$3:$C$165=C99)*ISNUMBER($G$3:$G$165)*ISNUMBER($F$3:$F$165)*IF(ISNUMBER($F$3:$F$165),$F$3:$F$165,0)),"")</f>
        <v/>
      </c>
      <c r="I99" s="16">
        <f>IFERROR(SUMPRODUCT(($C$3:$C$165=C99)*ISNUMBER($G$3:$G$165)*IF(ISNUMBER($G$3:$G$165),$G$3:$G$165,0))/SUMPRODUCT(($C$3:$C$165=C99)*ISNUMBER($G$3:$G$165)),"")</f>
        <v/>
      </c>
      <c r="J99" s="16">
        <f>IF(OR(G99="",H99=""),"",G99/H99)</f>
        <v/>
      </c>
      <c r="K99" s="16">
        <f>IF(OR(G99="",I99=""),"",G99/I99)</f>
        <v/>
      </c>
      <c r="L99" s="14">
        <f>INDEX('4_UK_Beta_Input'!$D$5:$D$15,MATCH($C99,'4_UK_Beta_Input'!$A$5:$A$15,0))</f>
        <v/>
      </c>
      <c r="M99" s="14">
        <f>INDEX('4_UK_Beta_Input'!$D$20:$D$44,MATCH($E99,'4_UK_Beta_Input'!$A$20:$A$44,0))</f>
        <v/>
      </c>
      <c r="N99" s="14">
        <f>INDEX('4_UK_Beta_Input'!$D$49:$D$122,MATCH($D99,'4_UK_Beta_Input'!$A$49:$A$122,0))</f>
        <v/>
      </c>
      <c r="O99" s="14">
        <f>INDEX('4_UK_Beta_Input'!$D$127:$D$289,MATCH($A99,'4_UK_Beta_Input'!$A$127:$A$289,0))</f>
        <v/>
      </c>
      <c r="P99" s="16">
        <f>(M99/L99)*(N99/M99)*(O99/N99)</f>
        <v/>
      </c>
      <c r="Q99" s="17">
        <f>IF(J99="",INDEX('3_UK_L1_Input'!$D$4:$D$14,MATCH($C99,'3_UK_L1_Input'!$A$4:$A$14,0))*P99,INDEX('3_UK_L1_Input'!$D$4:$D$14,MATCH($C99,'3_UK_L1_Input'!$A$4:$A$14,0))*J99)</f>
        <v/>
      </c>
      <c r="R99" s="17">
        <f>IF(K99="",INDEX('3_UK_L1_Input'!$D$4:$D$14,MATCH($C99,'3_UK_L1_Input'!$A$4:$A$14,0))*P99,INDEX('3_UK_L1_Input'!$D$4:$D$14,MATCH($C99,'3_UK_L1_Input'!$A$4:$A$14,0))*K99)</f>
        <v/>
      </c>
      <c r="S99" s="18">
        <f>IF(G99="","BETA CASCADE FALLBACK (dummy — replace with real beta)","REAL (Bloomberg UK)")</f>
        <v/>
      </c>
      <c r="T99" s="17">
        <f>INDEX('3_UK_L1_Input'!$C$4:$C$14,MATCH($C99,'3_UK_L1_Input'!$A$4:$A$14,0))</f>
        <v/>
      </c>
      <c r="U99" s="17">
        <f>INDEX('3_UK_L1_Input'!$C$4:$C$14,MATCH($C99,'3_UK_L1_Input'!$A$4:$A$14,0))*P99</f>
        <v/>
      </c>
      <c r="V99" s="15">
        <f>INDEX('5_UK_DefaultRisk_Input'!$D$5:$D$15,MATCH($C99,'5_UK_DefaultRisk_Input'!$A$5:$A$15,0))</f>
        <v/>
      </c>
      <c r="W99" s="15">
        <f>INDEX('5_UK_DefaultRisk_Input'!$D$20:$D$44,MATCH($E99,'5_UK_DefaultRisk_Input'!$A$20:$A$44,0))</f>
        <v/>
      </c>
      <c r="X99" s="15">
        <f>INDEX('5_UK_DefaultRisk_Input'!$D$49:$D$122,MATCH($D99,'5_UK_DefaultRisk_Input'!$A$49:$A$122,0))</f>
        <v/>
      </c>
      <c r="Y99" s="15">
        <f>INDEX('5_UK_DefaultRisk_Input'!$D$127:$D$289,MATCH($A99,'5_UK_DefaultRisk_Input'!$A$127:$A$289,0))</f>
        <v/>
      </c>
      <c r="Z99" s="16">
        <f>(W99/V99)*(X99/W99)*(Y99/X99)</f>
        <v/>
      </c>
      <c r="AA99" s="17">
        <f>INDEX('3_UK_L1_Input'!$D$4:$D$14,MATCH($C99,'3_UK_L1_Input'!$A$4:$A$14,0))*Z99</f>
        <v/>
      </c>
    </row>
    <row r="100">
      <c r="A100" s="7" t="n">
        <v>35201010</v>
      </c>
      <c r="B100" s="7" t="inlineStr">
        <is>
          <t>Biotechnology</t>
        </is>
      </c>
      <c r="C100" s="7" t="n">
        <v>35</v>
      </c>
      <c r="D100" s="7" t="n">
        <v>352010</v>
      </c>
      <c r="E100" s="7" t="n">
        <v>3520</v>
      </c>
      <c r="F100" s="9" t="n">
        <v>72750000</v>
      </c>
      <c r="G100" s="10" t="n">
        <v>25.22</v>
      </c>
      <c r="H100" s="16">
        <f>IFERROR(SUMPRODUCT(($C$3:$C$165=C100)*ISNUMBER($G$3:$G$165)*ISNUMBER($F$3:$F$165)*IF(ISNUMBER($F$3:$F$165),$F$3:$F$165,0)*IF(ISNUMBER($G$3:$G$165),$G$3:$G$165,0))/SUMPRODUCT(($C$3:$C$165=C100)*ISNUMBER($G$3:$G$165)*ISNUMBER($F$3:$F$165)*IF(ISNUMBER($F$3:$F$165),$F$3:$F$165,0)),"")</f>
        <v/>
      </c>
      <c r="I100" s="16">
        <f>IFERROR(SUMPRODUCT(($C$3:$C$165=C100)*ISNUMBER($G$3:$G$165)*IF(ISNUMBER($G$3:$G$165),$G$3:$G$165,0))/SUMPRODUCT(($C$3:$C$165=C100)*ISNUMBER($G$3:$G$165)),"")</f>
        <v/>
      </c>
      <c r="J100" s="16">
        <f>IF(OR(G100="",H100=""),"",G100/H100)</f>
        <v/>
      </c>
      <c r="K100" s="16">
        <f>IF(OR(G100="",I100=""),"",G100/I100)</f>
        <v/>
      </c>
      <c r="L100" s="14">
        <f>INDEX('4_UK_Beta_Input'!$D$5:$D$15,MATCH($C100,'4_UK_Beta_Input'!$A$5:$A$15,0))</f>
        <v/>
      </c>
      <c r="M100" s="14">
        <f>INDEX('4_UK_Beta_Input'!$D$20:$D$44,MATCH($E100,'4_UK_Beta_Input'!$A$20:$A$44,0))</f>
        <v/>
      </c>
      <c r="N100" s="14">
        <f>INDEX('4_UK_Beta_Input'!$D$49:$D$122,MATCH($D100,'4_UK_Beta_Input'!$A$49:$A$122,0))</f>
        <v/>
      </c>
      <c r="O100" s="14">
        <f>INDEX('4_UK_Beta_Input'!$D$127:$D$289,MATCH($A100,'4_UK_Beta_Input'!$A$127:$A$289,0))</f>
        <v/>
      </c>
      <c r="P100" s="16">
        <f>(M100/L100)*(N100/M100)*(O100/N100)</f>
        <v/>
      </c>
      <c r="Q100" s="17">
        <f>IF(J100="",INDEX('3_UK_L1_Input'!$D$4:$D$14,MATCH($C100,'3_UK_L1_Input'!$A$4:$A$14,0))*P100,INDEX('3_UK_L1_Input'!$D$4:$D$14,MATCH($C100,'3_UK_L1_Input'!$A$4:$A$14,0))*J100)</f>
        <v/>
      </c>
      <c r="R100" s="17">
        <f>IF(K100="",INDEX('3_UK_L1_Input'!$D$4:$D$14,MATCH($C100,'3_UK_L1_Input'!$A$4:$A$14,0))*P100,INDEX('3_UK_L1_Input'!$D$4:$D$14,MATCH($C100,'3_UK_L1_Input'!$A$4:$A$14,0))*K100)</f>
        <v/>
      </c>
      <c r="S100" s="18">
        <f>IF(G100="","BETA CASCADE FALLBACK (dummy — replace with real beta)","REAL (Bloomberg UK)")</f>
        <v/>
      </c>
      <c r="T100" s="17">
        <f>INDEX('3_UK_L1_Input'!$C$4:$C$14,MATCH($C100,'3_UK_L1_Input'!$A$4:$A$14,0))</f>
        <v/>
      </c>
      <c r="U100" s="17">
        <f>INDEX('3_UK_L1_Input'!$C$4:$C$14,MATCH($C100,'3_UK_L1_Input'!$A$4:$A$14,0))*P100</f>
        <v/>
      </c>
      <c r="V100" s="15">
        <f>INDEX('5_UK_DefaultRisk_Input'!$D$5:$D$15,MATCH($C100,'5_UK_DefaultRisk_Input'!$A$5:$A$15,0))</f>
        <v/>
      </c>
      <c r="W100" s="15">
        <f>INDEX('5_UK_DefaultRisk_Input'!$D$20:$D$44,MATCH($E100,'5_UK_DefaultRisk_Input'!$A$20:$A$44,0))</f>
        <v/>
      </c>
      <c r="X100" s="15">
        <f>INDEX('5_UK_DefaultRisk_Input'!$D$49:$D$122,MATCH($D100,'5_UK_DefaultRisk_Input'!$A$49:$A$122,0))</f>
        <v/>
      </c>
      <c r="Y100" s="15">
        <f>INDEX('5_UK_DefaultRisk_Input'!$D$127:$D$289,MATCH($A100,'5_UK_DefaultRisk_Input'!$A$127:$A$289,0))</f>
        <v/>
      </c>
      <c r="Z100" s="16">
        <f>(W100/V100)*(X100/W100)*(Y100/X100)</f>
        <v/>
      </c>
      <c r="AA100" s="17">
        <f>INDEX('3_UK_L1_Input'!$D$4:$D$14,MATCH($C100,'3_UK_L1_Input'!$A$4:$A$14,0))*Z100</f>
        <v/>
      </c>
    </row>
    <row r="101">
      <c r="A101" s="7" t="n">
        <v>35202010</v>
      </c>
      <c r="B101" s="7" t="inlineStr">
        <is>
          <t>Pharmaceuticals</t>
        </is>
      </c>
      <c r="C101" s="7" t="n">
        <v>35</v>
      </c>
      <c r="D101" s="7" t="n">
        <v>352020</v>
      </c>
      <c r="E101" s="7" t="n">
        <v>3520</v>
      </c>
      <c r="F101" s="9" t="n">
        <v>7290000000</v>
      </c>
      <c r="G101" s="10" t="n">
        <v>9.18</v>
      </c>
      <c r="H101" s="16">
        <f>IFERROR(SUMPRODUCT(($C$3:$C$165=C101)*ISNUMBER($G$3:$G$165)*ISNUMBER($F$3:$F$165)*IF(ISNUMBER($F$3:$F$165),$F$3:$F$165,0)*IF(ISNUMBER($G$3:$G$165),$G$3:$G$165,0))/SUMPRODUCT(($C$3:$C$165=C101)*ISNUMBER($G$3:$G$165)*ISNUMBER($F$3:$F$165)*IF(ISNUMBER($F$3:$F$165),$F$3:$F$165,0)),"")</f>
        <v/>
      </c>
      <c r="I101" s="16">
        <f>IFERROR(SUMPRODUCT(($C$3:$C$165=C101)*ISNUMBER($G$3:$G$165)*IF(ISNUMBER($G$3:$G$165),$G$3:$G$165,0))/SUMPRODUCT(($C$3:$C$165=C101)*ISNUMBER($G$3:$G$165)),"")</f>
        <v/>
      </c>
      <c r="J101" s="16">
        <f>IF(OR(G101="",H101=""),"",G101/H101)</f>
        <v/>
      </c>
      <c r="K101" s="16">
        <f>IF(OR(G101="",I101=""),"",G101/I101)</f>
        <v/>
      </c>
      <c r="L101" s="14">
        <f>INDEX('4_UK_Beta_Input'!$D$5:$D$15,MATCH($C101,'4_UK_Beta_Input'!$A$5:$A$15,0))</f>
        <v/>
      </c>
      <c r="M101" s="14">
        <f>INDEX('4_UK_Beta_Input'!$D$20:$D$44,MATCH($E101,'4_UK_Beta_Input'!$A$20:$A$44,0))</f>
        <v/>
      </c>
      <c r="N101" s="14">
        <f>INDEX('4_UK_Beta_Input'!$D$49:$D$122,MATCH($D101,'4_UK_Beta_Input'!$A$49:$A$122,0))</f>
        <v/>
      </c>
      <c r="O101" s="14">
        <f>INDEX('4_UK_Beta_Input'!$D$127:$D$289,MATCH($A101,'4_UK_Beta_Input'!$A$127:$A$289,0))</f>
        <v/>
      </c>
      <c r="P101" s="16">
        <f>(M101/L101)*(N101/M101)*(O101/N101)</f>
        <v/>
      </c>
      <c r="Q101" s="17">
        <f>IF(J101="",INDEX('3_UK_L1_Input'!$D$4:$D$14,MATCH($C101,'3_UK_L1_Input'!$A$4:$A$14,0))*P101,INDEX('3_UK_L1_Input'!$D$4:$D$14,MATCH($C101,'3_UK_L1_Input'!$A$4:$A$14,0))*J101)</f>
        <v/>
      </c>
      <c r="R101" s="17">
        <f>IF(K101="",INDEX('3_UK_L1_Input'!$D$4:$D$14,MATCH($C101,'3_UK_L1_Input'!$A$4:$A$14,0))*P101,INDEX('3_UK_L1_Input'!$D$4:$D$14,MATCH($C101,'3_UK_L1_Input'!$A$4:$A$14,0))*K101)</f>
        <v/>
      </c>
      <c r="S101" s="18">
        <f>IF(G101="","BETA CASCADE FALLBACK (dummy — replace with real beta)","REAL (Bloomberg UK)")</f>
        <v/>
      </c>
      <c r="T101" s="17">
        <f>INDEX('3_UK_L1_Input'!$C$4:$C$14,MATCH($C101,'3_UK_L1_Input'!$A$4:$A$14,0))</f>
        <v/>
      </c>
      <c r="U101" s="17">
        <f>INDEX('3_UK_L1_Input'!$C$4:$C$14,MATCH($C101,'3_UK_L1_Input'!$A$4:$A$14,0))*P101</f>
        <v/>
      </c>
      <c r="V101" s="15">
        <f>INDEX('5_UK_DefaultRisk_Input'!$D$5:$D$15,MATCH($C101,'5_UK_DefaultRisk_Input'!$A$5:$A$15,0))</f>
        <v/>
      </c>
      <c r="W101" s="15">
        <f>INDEX('5_UK_DefaultRisk_Input'!$D$20:$D$44,MATCH($E101,'5_UK_DefaultRisk_Input'!$A$20:$A$44,0))</f>
        <v/>
      </c>
      <c r="X101" s="15">
        <f>INDEX('5_UK_DefaultRisk_Input'!$D$49:$D$122,MATCH($D101,'5_UK_DefaultRisk_Input'!$A$49:$A$122,0))</f>
        <v/>
      </c>
      <c r="Y101" s="15">
        <f>INDEX('5_UK_DefaultRisk_Input'!$D$127:$D$289,MATCH($A101,'5_UK_DefaultRisk_Input'!$A$127:$A$289,0))</f>
        <v/>
      </c>
      <c r="Z101" s="16">
        <f>(W101/V101)*(X101/W101)*(Y101/X101)</f>
        <v/>
      </c>
      <c r="AA101" s="17">
        <f>INDEX('3_UK_L1_Input'!$D$4:$D$14,MATCH($C101,'3_UK_L1_Input'!$A$4:$A$14,0))*Z101</f>
        <v/>
      </c>
    </row>
    <row r="102">
      <c r="A102" s="7" t="n">
        <v>35203010</v>
      </c>
      <c r="B102" s="7" t="inlineStr">
        <is>
          <t>Life Sciences Tools &amp; Services</t>
        </is>
      </c>
      <c r="C102" s="7" t="n">
        <v>35</v>
      </c>
      <c r="D102" s="7" t="n">
        <v>352030</v>
      </c>
      <c r="E102" s="7" t="n">
        <v>3520</v>
      </c>
      <c r="F102" s="9" t="n">
        <v>36120000</v>
      </c>
      <c r="G102" s="10" t="n">
        <v>16.2</v>
      </c>
      <c r="H102" s="16">
        <f>IFERROR(SUMPRODUCT(($C$3:$C$165=C102)*ISNUMBER($G$3:$G$165)*ISNUMBER($F$3:$F$165)*IF(ISNUMBER($F$3:$F$165),$F$3:$F$165,0)*IF(ISNUMBER($G$3:$G$165),$G$3:$G$165,0))/SUMPRODUCT(($C$3:$C$165=C102)*ISNUMBER($G$3:$G$165)*ISNUMBER($F$3:$F$165)*IF(ISNUMBER($F$3:$F$165),$F$3:$F$165,0)),"")</f>
        <v/>
      </c>
      <c r="I102" s="16">
        <f>IFERROR(SUMPRODUCT(($C$3:$C$165=C102)*ISNUMBER($G$3:$G$165)*IF(ISNUMBER($G$3:$G$165),$G$3:$G$165,0))/SUMPRODUCT(($C$3:$C$165=C102)*ISNUMBER($G$3:$G$165)),"")</f>
        <v/>
      </c>
      <c r="J102" s="16">
        <f>IF(OR(G102="",H102=""),"",G102/H102)</f>
        <v/>
      </c>
      <c r="K102" s="16">
        <f>IF(OR(G102="",I102=""),"",G102/I102)</f>
        <v/>
      </c>
      <c r="L102" s="14">
        <f>INDEX('4_UK_Beta_Input'!$D$5:$D$15,MATCH($C102,'4_UK_Beta_Input'!$A$5:$A$15,0))</f>
        <v/>
      </c>
      <c r="M102" s="14">
        <f>INDEX('4_UK_Beta_Input'!$D$20:$D$44,MATCH($E102,'4_UK_Beta_Input'!$A$20:$A$44,0))</f>
        <v/>
      </c>
      <c r="N102" s="14">
        <f>INDEX('4_UK_Beta_Input'!$D$49:$D$122,MATCH($D102,'4_UK_Beta_Input'!$A$49:$A$122,0))</f>
        <v/>
      </c>
      <c r="O102" s="14">
        <f>INDEX('4_UK_Beta_Input'!$D$127:$D$289,MATCH($A102,'4_UK_Beta_Input'!$A$127:$A$289,0))</f>
        <v/>
      </c>
      <c r="P102" s="16">
        <f>(M102/L102)*(N102/M102)*(O102/N102)</f>
        <v/>
      </c>
      <c r="Q102" s="17">
        <f>IF(J102="",INDEX('3_UK_L1_Input'!$D$4:$D$14,MATCH($C102,'3_UK_L1_Input'!$A$4:$A$14,0))*P102,INDEX('3_UK_L1_Input'!$D$4:$D$14,MATCH($C102,'3_UK_L1_Input'!$A$4:$A$14,0))*J102)</f>
        <v/>
      </c>
      <c r="R102" s="17">
        <f>IF(K102="",INDEX('3_UK_L1_Input'!$D$4:$D$14,MATCH($C102,'3_UK_L1_Input'!$A$4:$A$14,0))*P102,INDEX('3_UK_L1_Input'!$D$4:$D$14,MATCH($C102,'3_UK_L1_Input'!$A$4:$A$14,0))*K102)</f>
        <v/>
      </c>
      <c r="S102" s="18">
        <f>IF(G102="","BETA CASCADE FALLBACK (dummy — replace with real beta)","REAL (Bloomberg UK)")</f>
        <v/>
      </c>
      <c r="T102" s="17">
        <f>INDEX('3_UK_L1_Input'!$C$4:$C$14,MATCH($C102,'3_UK_L1_Input'!$A$4:$A$14,0))</f>
        <v/>
      </c>
      <c r="U102" s="17">
        <f>INDEX('3_UK_L1_Input'!$C$4:$C$14,MATCH($C102,'3_UK_L1_Input'!$A$4:$A$14,0))*P102</f>
        <v/>
      </c>
      <c r="V102" s="15">
        <f>INDEX('5_UK_DefaultRisk_Input'!$D$5:$D$15,MATCH($C102,'5_UK_DefaultRisk_Input'!$A$5:$A$15,0))</f>
        <v/>
      </c>
      <c r="W102" s="15">
        <f>INDEX('5_UK_DefaultRisk_Input'!$D$20:$D$44,MATCH($E102,'5_UK_DefaultRisk_Input'!$A$20:$A$44,0))</f>
        <v/>
      </c>
      <c r="X102" s="15">
        <f>INDEX('5_UK_DefaultRisk_Input'!$D$49:$D$122,MATCH($D102,'5_UK_DefaultRisk_Input'!$A$49:$A$122,0))</f>
        <v/>
      </c>
      <c r="Y102" s="15">
        <f>INDEX('5_UK_DefaultRisk_Input'!$D$127:$D$289,MATCH($A102,'5_UK_DefaultRisk_Input'!$A$127:$A$289,0))</f>
        <v/>
      </c>
      <c r="Z102" s="16">
        <f>(W102/V102)*(X102/W102)*(Y102/X102)</f>
        <v/>
      </c>
      <c r="AA102" s="17">
        <f>INDEX('3_UK_L1_Input'!$D$4:$D$14,MATCH($C102,'3_UK_L1_Input'!$A$4:$A$14,0))*Z102</f>
        <v/>
      </c>
    </row>
    <row r="103">
      <c r="A103" s="7" t="n">
        <v>40101010</v>
      </c>
      <c r="B103" s="7" t="inlineStr">
        <is>
          <t>Diversified Banks</t>
        </is>
      </c>
      <c r="C103" s="7" t="n">
        <v>40</v>
      </c>
      <c r="D103" s="7" t="n">
        <v>401010</v>
      </c>
      <c r="E103" s="7" t="n">
        <v>4010</v>
      </c>
      <c r="F103" s="9" t="n">
        <v>28150000000</v>
      </c>
      <c r="G103" s="8" t="n"/>
      <c r="H103" s="16">
        <f>IFERROR(SUMPRODUCT(($C$3:$C$165=C103)*ISNUMBER($G$3:$G$165)*ISNUMBER($F$3:$F$165)*IF(ISNUMBER($F$3:$F$165),$F$3:$F$165,0)*IF(ISNUMBER($G$3:$G$165),$G$3:$G$165,0))/SUMPRODUCT(($C$3:$C$165=C103)*ISNUMBER($G$3:$G$165)*ISNUMBER($F$3:$F$165)*IF(ISNUMBER($F$3:$F$165),$F$3:$F$165,0)),"")</f>
        <v/>
      </c>
      <c r="I103" s="16">
        <f>IFERROR(SUMPRODUCT(($C$3:$C$165=C103)*ISNUMBER($G$3:$G$165)*IF(ISNUMBER($G$3:$G$165),$G$3:$G$165,0))/SUMPRODUCT(($C$3:$C$165=C103)*ISNUMBER($G$3:$G$165)),"")</f>
        <v/>
      </c>
      <c r="J103" s="16">
        <f>IF(OR(G103="",H103=""),"",G103/H103)</f>
        <v/>
      </c>
      <c r="K103" s="16">
        <f>IF(OR(G103="",I103=""),"",G103/I103)</f>
        <v/>
      </c>
      <c r="L103" s="14">
        <f>INDEX('4_UK_Beta_Input'!$D$5:$D$15,MATCH($C103,'4_UK_Beta_Input'!$A$5:$A$15,0))</f>
        <v/>
      </c>
      <c r="M103" s="14">
        <f>INDEX('4_UK_Beta_Input'!$D$20:$D$44,MATCH($E103,'4_UK_Beta_Input'!$A$20:$A$44,0))</f>
        <v/>
      </c>
      <c r="N103" s="14">
        <f>INDEX('4_UK_Beta_Input'!$D$49:$D$122,MATCH($D103,'4_UK_Beta_Input'!$A$49:$A$122,0))</f>
        <v/>
      </c>
      <c r="O103" s="14">
        <f>INDEX('4_UK_Beta_Input'!$D$127:$D$289,MATCH($A103,'4_UK_Beta_Input'!$A$127:$A$289,0))</f>
        <v/>
      </c>
      <c r="P103" s="16">
        <f>(M103/L103)*(N103/M103)*(O103/N103)</f>
        <v/>
      </c>
      <c r="Q103" s="17">
        <f>IF(J103="",INDEX('3_UK_L1_Input'!$D$4:$D$14,MATCH($C103,'3_UK_L1_Input'!$A$4:$A$14,0))*P103,INDEX('3_UK_L1_Input'!$D$4:$D$14,MATCH($C103,'3_UK_L1_Input'!$A$4:$A$14,0))*J103)</f>
        <v/>
      </c>
      <c r="R103" s="17">
        <f>IF(K103="",INDEX('3_UK_L1_Input'!$D$4:$D$14,MATCH($C103,'3_UK_L1_Input'!$A$4:$A$14,0))*P103,INDEX('3_UK_L1_Input'!$D$4:$D$14,MATCH($C103,'3_UK_L1_Input'!$A$4:$A$14,0))*K103)</f>
        <v/>
      </c>
      <c r="S103" s="19">
        <f>IF(G103="","BETA CASCADE FALLBACK (dummy — replace with real beta)","REAL (Bloomberg UK)")</f>
        <v/>
      </c>
      <c r="T103" s="17">
        <f>INDEX('3_UK_L1_Input'!$C$4:$C$14,MATCH($C103,'3_UK_L1_Input'!$A$4:$A$14,0))</f>
        <v/>
      </c>
      <c r="U103" s="17">
        <f>INDEX('3_UK_L1_Input'!$C$4:$C$14,MATCH($C103,'3_UK_L1_Input'!$A$4:$A$14,0))*P103</f>
        <v/>
      </c>
      <c r="V103" s="15">
        <f>INDEX('5_UK_DefaultRisk_Input'!$D$5:$D$15,MATCH($C103,'5_UK_DefaultRisk_Input'!$A$5:$A$15,0))</f>
        <v/>
      </c>
      <c r="W103" s="15">
        <f>INDEX('5_UK_DefaultRisk_Input'!$D$20:$D$44,MATCH($E103,'5_UK_DefaultRisk_Input'!$A$20:$A$44,0))</f>
        <v/>
      </c>
      <c r="X103" s="15">
        <f>INDEX('5_UK_DefaultRisk_Input'!$D$49:$D$122,MATCH($D103,'5_UK_DefaultRisk_Input'!$A$49:$A$122,0))</f>
        <v/>
      </c>
      <c r="Y103" s="15">
        <f>INDEX('5_UK_DefaultRisk_Input'!$D$127:$D$289,MATCH($A103,'5_UK_DefaultRisk_Input'!$A$127:$A$289,0))</f>
        <v/>
      </c>
      <c r="Z103" s="16">
        <f>(W103/V103)*(X103/W103)*(Y103/X103)</f>
        <v/>
      </c>
      <c r="AA103" s="17">
        <f>INDEX('3_UK_L1_Input'!$D$4:$D$14,MATCH($C103,'3_UK_L1_Input'!$A$4:$A$14,0))*Z103</f>
        <v/>
      </c>
    </row>
    <row r="104">
      <c r="A104" s="7" t="n">
        <v>40101015</v>
      </c>
      <c r="B104" s="7" t="inlineStr">
        <is>
          <t>Regional Banks</t>
        </is>
      </c>
      <c r="C104" s="7" t="n">
        <v>40</v>
      </c>
      <c r="D104" s="7" t="n">
        <v>401010</v>
      </c>
      <c r="E104" s="7" t="n">
        <v>4010</v>
      </c>
      <c r="F104" s="9" t="n">
        <v>410600000</v>
      </c>
      <c r="G104" s="8" t="n"/>
      <c r="H104" s="16">
        <f>IFERROR(SUMPRODUCT(($C$3:$C$165=C104)*ISNUMBER($G$3:$G$165)*ISNUMBER($F$3:$F$165)*IF(ISNUMBER($F$3:$F$165),$F$3:$F$165,0)*IF(ISNUMBER($G$3:$G$165),$G$3:$G$165,0))/SUMPRODUCT(($C$3:$C$165=C104)*ISNUMBER($G$3:$G$165)*ISNUMBER($F$3:$F$165)*IF(ISNUMBER($F$3:$F$165),$F$3:$F$165,0)),"")</f>
        <v/>
      </c>
      <c r="I104" s="16">
        <f>IFERROR(SUMPRODUCT(($C$3:$C$165=C104)*ISNUMBER($G$3:$G$165)*IF(ISNUMBER($G$3:$G$165),$G$3:$G$165,0))/SUMPRODUCT(($C$3:$C$165=C104)*ISNUMBER($G$3:$G$165)),"")</f>
        <v/>
      </c>
      <c r="J104" s="16">
        <f>IF(OR(G104="",H104=""),"",G104/H104)</f>
        <v/>
      </c>
      <c r="K104" s="16">
        <f>IF(OR(G104="",I104=""),"",G104/I104)</f>
        <v/>
      </c>
      <c r="L104" s="14">
        <f>INDEX('4_UK_Beta_Input'!$D$5:$D$15,MATCH($C104,'4_UK_Beta_Input'!$A$5:$A$15,0))</f>
        <v/>
      </c>
      <c r="M104" s="14">
        <f>INDEX('4_UK_Beta_Input'!$D$20:$D$44,MATCH($E104,'4_UK_Beta_Input'!$A$20:$A$44,0))</f>
        <v/>
      </c>
      <c r="N104" s="14">
        <f>INDEX('4_UK_Beta_Input'!$D$49:$D$122,MATCH($D104,'4_UK_Beta_Input'!$A$49:$A$122,0))</f>
        <v/>
      </c>
      <c r="O104" s="14">
        <f>INDEX('4_UK_Beta_Input'!$D$127:$D$289,MATCH($A104,'4_UK_Beta_Input'!$A$127:$A$289,0))</f>
        <v/>
      </c>
      <c r="P104" s="16">
        <f>(M104/L104)*(N104/M104)*(O104/N104)</f>
        <v/>
      </c>
      <c r="Q104" s="17">
        <f>IF(J104="",INDEX('3_UK_L1_Input'!$D$4:$D$14,MATCH($C104,'3_UK_L1_Input'!$A$4:$A$14,0))*P104,INDEX('3_UK_L1_Input'!$D$4:$D$14,MATCH($C104,'3_UK_L1_Input'!$A$4:$A$14,0))*J104)</f>
        <v/>
      </c>
      <c r="R104" s="17">
        <f>IF(K104="",INDEX('3_UK_L1_Input'!$D$4:$D$14,MATCH($C104,'3_UK_L1_Input'!$A$4:$A$14,0))*P104,INDEX('3_UK_L1_Input'!$D$4:$D$14,MATCH($C104,'3_UK_L1_Input'!$A$4:$A$14,0))*K104)</f>
        <v/>
      </c>
      <c r="S104" s="19">
        <f>IF(G104="","BETA CASCADE FALLBACK (dummy — replace with real beta)","REAL (Bloomberg UK)")</f>
        <v/>
      </c>
      <c r="T104" s="17">
        <f>INDEX('3_UK_L1_Input'!$C$4:$C$14,MATCH($C104,'3_UK_L1_Input'!$A$4:$A$14,0))</f>
        <v/>
      </c>
      <c r="U104" s="17">
        <f>INDEX('3_UK_L1_Input'!$C$4:$C$14,MATCH($C104,'3_UK_L1_Input'!$A$4:$A$14,0))*P104</f>
        <v/>
      </c>
      <c r="V104" s="15">
        <f>INDEX('5_UK_DefaultRisk_Input'!$D$5:$D$15,MATCH($C104,'5_UK_DefaultRisk_Input'!$A$5:$A$15,0))</f>
        <v/>
      </c>
      <c r="W104" s="15">
        <f>INDEX('5_UK_DefaultRisk_Input'!$D$20:$D$44,MATCH($E104,'5_UK_DefaultRisk_Input'!$A$20:$A$44,0))</f>
        <v/>
      </c>
      <c r="X104" s="15">
        <f>INDEX('5_UK_DefaultRisk_Input'!$D$49:$D$122,MATCH($D104,'5_UK_DefaultRisk_Input'!$A$49:$A$122,0))</f>
        <v/>
      </c>
      <c r="Y104" s="15">
        <f>INDEX('5_UK_DefaultRisk_Input'!$D$127:$D$289,MATCH($A104,'5_UK_DefaultRisk_Input'!$A$127:$A$289,0))</f>
        <v/>
      </c>
      <c r="Z104" s="16">
        <f>(W104/V104)*(X104/W104)*(Y104/X104)</f>
        <v/>
      </c>
      <c r="AA104" s="17">
        <f>INDEX('3_UK_L1_Input'!$D$4:$D$14,MATCH($C104,'3_UK_L1_Input'!$A$4:$A$14,0))*Z104</f>
        <v/>
      </c>
    </row>
    <row r="105">
      <c r="A105" s="7" t="n">
        <v>40201020</v>
      </c>
      <c r="B105" s="7" t="inlineStr">
        <is>
          <t>Diversified Financial Services</t>
        </is>
      </c>
      <c r="C105" s="7" t="n">
        <v>40</v>
      </c>
      <c r="D105" s="7" t="n">
        <v>402010</v>
      </c>
      <c r="E105" s="7" t="n">
        <v>4020</v>
      </c>
      <c r="F105" s="9" t="n">
        <v>18230000000</v>
      </c>
      <c r="G105" s="8" t="n"/>
      <c r="H105" s="16">
        <f>IFERROR(SUMPRODUCT(($C$3:$C$165=C105)*ISNUMBER($G$3:$G$165)*ISNUMBER($F$3:$F$165)*IF(ISNUMBER($F$3:$F$165),$F$3:$F$165,0)*IF(ISNUMBER($G$3:$G$165),$G$3:$G$165,0))/SUMPRODUCT(($C$3:$C$165=C105)*ISNUMBER($G$3:$G$165)*ISNUMBER($F$3:$F$165)*IF(ISNUMBER($F$3:$F$165),$F$3:$F$165,0)),"")</f>
        <v/>
      </c>
      <c r="I105" s="16">
        <f>IFERROR(SUMPRODUCT(($C$3:$C$165=C105)*ISNUMBER($G$3:$G$165)*IF(ISNUMBER($G$3:$G$165),$G$3:$G$165,0))/SUMPRODUCT(($C$3:$C$165=C105)*ISNUMBER($G$3:$G$165)),"")</f>
        <v/>
      </c>
      <c r="J105" s="16">
        <f>IF(OR(G105="",H105=""),"",G105/H105)</f>
        <v/>
      </c>
      <c r="K105" s="16">
        <f>IF(OR(G105="",I105=""),"",G105/I105)</f>
        <v/>
      </c>
      <c r="L105" s="14">
        <f>INDEX('4_UK_Beta_Input'!$D$5:$D$15,MATCH($C105,'4_UK_Beta_Input'!$A$5:$A$15,0))</f>
        <v/>
      </c>
      <c r="M105" s="14">
        <f>INDEX('4_UK_Beta_Input'!$D$20:$D$44,MATCH($E105,'4_UK_Beta_Input'!$A$20:$A$44,0))</f>
        <v/>
      </c>
      <c r="N105" s="14">
        <f>INDEX('4_UK_Beta_Input'!$D$49:$D$122,MATCH($D105,'4_UK_Beta_Input'!$A$49:$A$122,0))</f>
        <v/>
      </c>
      <c r="O105" s="14">
        <f>INDEX('4_UK_Beta_Input'!$D$127:$D$289,MATCH($A105,'4_UK_Beta_Input'!$A$127:$A$289,0))</f>
        <v/>
      </c>
      <c r="P105" s="16">
        <f>(M105/L105)*(N105/M105)*(O105/N105)</f>
        <v/>
      </c>
      <c r="Q105" s="17">
        <f>IF(J105="",INDEX('3_UK_L1_Input'!$D$4:$D$14,MATCH($C105,'3_UK_L1_Input'!$A$4:$A$14,0))*P105,INDEX('3_UK_L1_Input'!$D$4:$D$14,MATCH($C105,'3_UK_L1_Input'!$A$4:$A$14,0))*J105)</f>
        <v/>
      </c>
      <c r="R105" s="17">
        <f>IF(K105="",INDEX('3_UK_L1_Input'!$D$4:$D$14,MATCH($C105,'3_UK_L1_Input'!$A$4:$A$14,0))*P105,INDEX('3_UK_L1_Input'!$D$4:$D$14,MATCH($C105,'3_UK_L1_Input'!$A$4:$A$14,0))*K105)</f>
        <v/>
      </c>
      <c r="S105" s="19">
        <f>IF(G105="","BETA CASCADE FALLBACK (dummy — replace with real beta)","REAL (Bloomberg UK)")</f>
        <v/>
      </c>
      <c r="T105" s="17">
        <f>INDEX('3_UK_L1_Input'!$C$4:$C$14,MATCH($C105,'3_UK_L1_Input'!$A$4:$A$14,0))</f>
        <v/>
      </c>
      <c r="U105" s="17">
        <f>INDEX('3_UK_L1_Input'!$C$4:$C$14,MATCH($C105,'3_UK_L1_Input'!$A$4:$A$14,0))*P105</f>
        <v/>
      </c>
      <c r="V105" s="15">
        <f>INDEX('5_UK_DefaultRisk_Input'!$D$5:$D$15,MATCH($C105,'5_UK_DefaultRisk_Input'!$A$5:$A$15,0))</f>
        <v/>
      </c>
      <c r="W105" s="15">
        <f>INDEX('5_UK_DefaultRisk_Input'!$D$20:$D$44,MATCH($E105,'5_UK_DefaultRisk_Input'!$A$20:$A$44,0))</f>
        <v/>
      </c>
      <c r="X105" s="15">
        <f>INDEX('5_UK_DefaultRisk_Input'!$D$49:$D$122,MATCH($D105,'5_UK_DefaultRisk_Input'!$A$49:$A$122,0))</f>
        <v/>
      </c>
      <c r="Y105" s="15">
        <f>INDEX('5_UK_DefaultRisk_Input'!$D$127:$D$289,MATCH($A105,'5_UK_DefaultRisk_Input'!$A$127:$A$289,0))</f>
        <v/>
      </c>
      <c r="Z105" s="16">
        <f>(W105/V105)*(X105/W105)*(Y105/X105)</f>
        <v/>
      </c>
      <c r="AA105" s="17">
        <f>INDEX('3_UK_L1_Input'!$D$4:$D$14,MATCH($C105,'3_UK_L1_Input'!$A$4:$A$14,0))*Z105</f>
        <v/>
      </c>
    </row>
    <row r="106">
      <c r="A106" s="7" t="n">
        <v>40201030</v>
      </c>
      <c r="B106" s="7" t="inlineStr">
        <is>
          <t>Multi-Sector Holdings</t>
        </is>
      </c>
      <c r="C106" s="7" t="n">
        <v>40</v>
      </c>
      <c r="D106" s="7" t="n">
        <v>402010</v>
      </c>
      <c r="E106" s="7" t="n">
        <v>4020</v>
      </c>
      <c r="F106" s="8" t="n"/>
      <c r="G106" s="8" t="n"/>
      <c r="H106" s="16">
        <f>IFERROR(SUMPRODUCT(($C$3:$C$165=C106)*ISNUMBER($G$3:$G$165)*ISNUMBER($F$3:$F$165)*IF(ISNUMBER($F$3:$F$165),$F$3:$F$165,0)*IF(ISNUMBER($G$3:$G$165),$G$3:$G$165,0))/SUMPRODUCT(($C$3:$C$165=C106)*ISNUMBER($G$3:$G$165)*ISNUMBER($F$3:$F$165)*IF(ISNUMBER($F$3:$F$165),$F$3:$F$165,0)),"")</f>
        <v/>
      </c>
      <c r="I106" s="16">
        <f>IFERROR(SUMPRODUCT(($C$3:$C$165=C106)*ISNUMBER($G$3:$G$165)*IF(ISNUMBER($G$3:$G$165),$G$3:$G$165,0))/SUMPRODUCT(($C$3:$C$165=C106)*ISNUMBER($G$3:$G$165)),"")</f>
        <v/>
      </c>
      <c r="J106" s="16">
        <f>IF(OR(G106="",H106=""),"",G106/H106)</f>
        <v/>
      </c>
      <c r="K106" s="16">
        <f>IF(OR(G106="",I106=""),"",G106/I106)</f>
        <v/>
      </c>
      <c r="L106" s="14">
        <f>INDEX('4_UK_Beta_Input'!$D$5:$D$15,MATCH($C106,'4_UK_Beta_Input'!$A$5:$A$15,0))</f>
        <v/>
      </c>
      <c r="M106" s="14">
        <f>INDEX('4_UK_Beta_Input'!$D$20:$D$44,MATCH($E106,'4_UK_Beta_Input'!$A$20:$A$44,0))</f>
        <v/>
      </c>
      <c r="N106" s="14">
        <f>INDEX('4_UK_Beta_Input'!$D$49:$D$122,MATCH($D106,'4_UK_Beta_Input'!$A$49:$A$122,0))</f>
        <v/>
      </c>
      <c r="O106" s="14">
        <f>INDEX('4_UK_Beta_Input'!$D$127:$D$289,MATCH($A106,'4_UK_Beta_Input'!$A$127:$A$289,0))</f>
        <v/>
      </c>
      <c r="P106" s="16">
        <f>(M106/L106)*(N106/M106)*(O106/N106)</f>
        <v/>
      </c>
      <c r="Q106" s="17">
        <f>IF(J106="",INDEX('3_UK_L1_Input'!$D$4:$D$14,MATCH($C106,'3_UK_L1_Input'!$A$4:$A$14,0))*P106,INDEX('3_UK_L1_Input'!$D$4:$D$14,MATCH($C106,'3_UK_L1_Input'!$A$4:$A$14,0))*J106)</f>
        <v/>
      </c>
      <c r="R106" s="17">
        <f>IF(K106="",INDEX('3_UK_L1_Input'!$D$4:$D$14,MATCH($C106,'3_UK_L1_Input'!$A$4:$A$14,0))*P106,INDEX('3_UK_L1_Input'!$D$4:$D$14,MATCH($C106,'3_UK_L1_Input'!$A$4:$A$14,0))*K106)</f>
        <v/>
      </c>
      <c r="S106" s="19">
        <f>IF(G106="","BETA CASCADE FALLBACK (dummy — replace with real beta)","REAL (Bloomberg UK)")</f>
        <v/>
      </c>
      <c r="T106" s="17">
        <f>INDEX('3_UK_L1_Input'!$C$4:$C$14,MATCH($C106,'3_UK_L1_Input'!$A$4:$A$14,0))</f>
        <v/>
      </c>
      <c r="U106" s="17">
        <f>INDEX('3_UK_L1_Input'!$C$4:$C$14,MATCH($C106,'3_UK_L1_Input'!$A$4:$A$14,0))*P106</f>
        <v/>
      </c>
      <c r="V106" s="15">
        <f>INDEX('5_UK_DefaultRisk_Input'!$D$5:$D$15,MATCH($C106,'5_UK_DefaultRisk_Input'!$A$5:$A$15,0))</f>
        <v/>
      </c>
      <c r="W106" s="15">
        <f>INDEX('5_UK_DefaultRisk_Input'!$D$20:$D$44,MATCH($E106,'5_UK_DefaultRisk_Input'!$A$20:$A$44,0))</f>
        <v/>
      </c>
      <c r="X106" s="15">
        <f>INDEX('5_UK_DefaultRisk_Input'!$D$49:$D$122,MATCH($D106,'5_UK_DefaultRisk_Input'!$A$49:$A$122,0))</f>
        <v/>
      </c>
      <c r="Y106" s="15">
        <f>INDEX('5_UK_DefaultRisk_Input'!$D$127:$D$289,MATCH($A106,'5_UK_DefaultRisk_Input'!$A$127:$A$289,0))</f>
        <v/>
      </c>
      <c r="Z106" s="16">
        <f>(W106/V106)*(X106/W106)*(Y106/X106)</f>
        <v/>
      </c>
      <c r="AA106" s="17">
        <f>INDEX('3_UK_L1_Input'!$D$4:$D$14,MATCH($C106,'3_UK_L1_Input'!$A$4:$A$14,0))*Z106</f>
        <v/>
      </c>
    </row>
    <row r="107">
      <c r="A107" s="7" t="n">
        <v>40201040</v>
      </c>
      <c r="B107" s="7" t="inlineStr">
        <is>
          <t>Specialized Finance</t>
        </is>
      </c>
      <c r="C107" s="7" t="n">
        <v>40</v>
      </c>
      <c r="D107" s="7" t="n">
        <v>402010</v>
      </c>
      <c r="E107" s="7" t="n">
        <v>4020</v>
      </c>
      <c r="F107" s="9" t="n">
        <v>41090000</v>
      </c>
      <c r="G107" s="10" t="n">
        <v>6.17</v>
      </c>
      <c r="H107" s="16">
        <f>IFERROR(SUMPRODUCT(($C$3:$C$165=C107)*ISNUMBER($G$3:$G$165)*ISNUMBER($F$3:$F$165)*IF(ISNUMBER($F$3:$F$165),$F$3:$F$165,0)*IF(ISNUMBER($G$3:$G$165),$G$3:$G$165,0))/SUMPRODUCT(($C$3:$C$165=C107)*ISNUMBER($G$3:$G$165)*ISNUMBER($F$3:$F$165)*IF(ISNUMBER($F$3:$F$165),$F$3:$F$165,0)),"")</f>
        <v/>
      </c>
      <c r="I107" s="16">
        <f>IFERROR(SUMPRODUCT(($C$3:$C$165=C107)*ISNUMBER($G$3:$G$165)*IF(ISNUMBER($G$3:$G$165),$G$3:$G$165,0))/SUMPRODUCT(($C$3:$C$165=C107)*ISNUMBER($G$3:$G$165)),"")</f>
        <v/>
      </c>
      <c r="J107" s="16">
        <f>IF(OR(G107="",H107=""),"",G107/H107)</f>
        <v/>
      </c>
      <c r="K107" s="16">
        <f>IF(OR(G107="",I107=""),"",G107/I107)</f>
        <v/>
      </c>
      <c r="L107" s="14">
        <f>INDEX('4_UK_Beta_Input'!$D$5:$D$15,MATCH($C107,'4_UK_Beta_Input'!$A$5:$A$15,0))</f>
        <v/>
      </c>
      <c r="M107" s="14">
        <f>INDEX('4_UK_Beta_Input'!$D$20:$D$44,MATCH($E107,'4_UK_Beta_Input'!$A$20:$A$44,0))</f>
        <v/>
      </c>
      <c r="N107" s="14">
        <f>INDEX('4_UK_Beta_Input'!$D$49:$D$122,MATCH($D107,'4_UK_Beta_Input'!$A$49:$A$122,0))</f>
        <v/>
      </c>
      <c r="O107" s="14">
        <f>INDEX('4_UK_Beta_Input'!$D$127:$D$289,MATCH($A107,'4_UK_Beta_Input'!$A$127:$A$289,0))</f>
        <v/>
      </c>
      <c r="P107" s="16">
        <f>(M107/L107)*(N107/M107)*(O107/N107)</f>
        <v/>
      </c>
      <c r="Q107" s="17">
        <f>IF(J107="",INDEX('3_UK_L1_Input'!$D$4:$D$14,MATCH($C107,'3_UK_L1_Input'!$A$4:$A$14,0))*P107,INDEX('3_UK_L1_Input'!$D$4:$D$14,MATCH($C107,'3_UK_L1_Input'!$A$4:$A$14,0))*J107)</f>
        <v/>
      </c>
      <c r="R107" s="17">
        <f>IF(K107="",INDEX('3_UK_L1_Input'!$D$4:$D$14,MATCH($C107,'3_UK_L1_Input'!$A$4:$A$14,0))*P107,INDEX('3_UK_L1_Input'!$D$4:$D$14,MATCH($C107,'3_UK_L1_Input'!$A$4:$A$14,0))*K107)</f>
        <v/>
      </c>
      <c r="S107" s="18">
        <f>IF(G107="","BETA CASCADE FALLBACK (dummy — replace with real beta)","REAL (Bloomberg UK)")</f>
        <v/>
      </c>
      <c r="T107" s="17">
        <f>INDEX('3_UK_L1_Input'!$C$4:$C$14,MATCH($C107,'3_UK_L1_Input'!$A$4:$A$14,0))</f>
        <v/>
      </c>
      <c r="U107" s="17">
        <f>INDEX('3_UK_L1_Input'!$C$4:$C$14,MATCH($C107,'3_UK_L1_Input'!$A$4:$A$14,0))*P107</f>
        <v/>
      </c>
      <c r="V107" s="15">
        <f>INDEX('5_UK_DefaultRisk_Input'!$D$5:$D$15,MATCH($C107,'5_UK_DefaultRisk_Input'!$A$5:$A$15,0))</f>
        <v/>
      </c>
      <c r="W107" s="15">
        <f>INDEX('5_UK_DefaultRisk_Input'!$D$20:$D$44,MATCH($E107,'5_UK_DefaultRisk_Input'!$A$20:$A$44,0))</f>
        <v/>
      </c>
      <c r="X107" s="15">
        <f>INDEX('5_UK_DefaultRisk_Input'!$D$49:$D$122,MATCH($D107,'5_UK_DefaultRisk_Input'!$A$49:$A$122,0))</f>
        <v/>
      </c>
      <c r="Y107" s="15">
        <f>INDEX('5_UK_DefaultRisk_Input'!$D$127:$D$289,MATCH($A107,'5_UK_DefaultRisk_Input'!$A$127:$A$289,0))</f>
        <v/>
      </c>
      <c r="Z107" s="16">
        <f>(W107/V107)*(X107/W107)*(Y107/X107)</f>
        <v/>
      </c>
      <c r="AA107" s="17">
        <f>INDEX('3_UK_L1_Input'!$D$4:$D$14,MATCH($C107,'3_UK_L1_Input'!$A$4:$A$14,0))*Z107</f>
        <v/>
      </c>
    </row>
    <row r="108">
      <c r="A108" s="7" t="n">
        <v>40201050</v>
      </c>
      <c r="B108" s="7" t="inlineStr">
        <is>
          <t>Commercial &amp; Residential Mortgage Finance</t>
        </is>
      </c>
      <c r="C108" s="7" t="n">
        <v>40</v>
      </c>
      <c r="D108" s="7" t="n">
        <v>402010</v>
      </c>
      <c r="E108" s="7" t="n">
        <v>4020</v>
      </c>
      <c r="F108" s="9" t="n">
        <v>3880000000</v>
      </c>
      <c r="G108" s="10" t="n">
        <v>5.95</v>
      </c>
      <c r="H108" s="16">
        <f>IFERROR(SUMPRODUCT(($C$3:$C$165=C108)*ISNUMBER($G$3:$G$165)*ISNUMBER($F$3:$F$165)*IF(ISNUMBER($F$3:$F$165),$F$3:$F$165,0)*IF(ISNUMBER($G$3:$G$165),$G$3:$G$165,0))/SUMPRODUCT(($C$3:$C$165=C108)*ISNUMBER($G$3:$G$165)*ISNUMBER($F$3:$F$165)*IF(ISNUMBER($F$3:$F$165),$F$3:$F$165,0)),"")</f>
        <v/>
      </c>
      <c r="I108" s="16">
        <f>IFERROR(SUMPRODUCT(($C$3:$C$165=C108)*ISNUMBER($G$3:$G$165)*IF(ISNUMBER($G$3:$G$165),$G$3:$G$165,0))/SUMPRODUCT(($C$3:$C$165=C108)*ISNUMBER($G$3:$G$165)),"")</f>
        <v/>
      </c>
      <c r="J108" s="16">
        <f>IF(OR(G108="",H108=""),"",G108/H108)</f>
        <v/>
      </c>
      <c r="K108" s="16">
        <f>IF(OR(G108="",I108=""),"",G108/I108)</f>
        <v/>
      </c>
      <c r="L108" s="14">
        <f>INDEX('4_UK_Beta_Input'!$D$5:$D$15,MATCH($C108,'4_UK_Beta_Input'!$A$5:$A$15,0))</f>
        <v/>
      </c>
      <c r="M108" s="14">
        <f>INDEX('4_UK_Beta_Input'!$D$20:$D$44,MATCH($E108,'4_UK_Beta_Input'!$A$20:$A$44,0))</f>
        <v/>
      </c>
      <c r="N108" s="14">
        <f>INDEX('4_UK_Beta_Input'!$D$49:$D$122,MATCH($D108,'4_UK_Beta_Input'!$A$49:$A$122,0))</f>
        <v/>
      </c>
      <c r="O108" s="14">
        <f>INDEX('4_UK_Beta_Input'!$D$127:$D$289,MATCH($A108,'4_UK_Beta_Input'!$A$127:$A$289,0))</f>
        <v/>
      </c>
      <c r="P108" s="16">
        <f>(M108/L108)*(N108/M108)*(O108/N108)</f>
        <v/>
      </c>
      <c r="Q108" s="17">
        <f>IF(J108="",INDEX('3_UK_L1_Input'!$D$4:$D$14,MATCH($C108,'3_UK_L1_Input'!$A$4:$A$14,0))*P108,INDEX('3_UK_L1_Input'!$D$4:$D$14,MATCH($C108,'3_UK_L1_Input'!$A$4:$A$14,0))*J108)</f>
        <v/>
      </c>
      <c r="R108" s="17">
        <f>IF(K108="",INDEX('3_UK_L1_Input'!$D$4:$D$14,MATCH($C108,'3_UK_L1_Input'!$A$4:$A$14,0))*P108,INDEX('3_UK_L1_Input'!$D$4:$D$14,MATCH($C108,'3_UK_L1_Input'!$A$4:$A$14,0))*K108)</f>
        <v/>
      </c>
      <c r="S108" s="18">
        <f>IF(G108="","BETA CASCADE FALLBACK (dummy — replace with real beta)","REAL (Bloomberg UK)")</f>
        <v/>
      </c>
      <c r="T108" s="17">
        <f>INDEX('3_UK_L1_Input'!$C$4:$C$14,MATCH($C108,'3_UK_L1_Input'!$A$4:$A$14,0))</f>
        <v/>
      </c>
      <c r="U108" s="17">
        <f>INDEX('3_UK_L1_Input'!$C$4:$C$14,MATCH($C108,'3_UK_L1_Input'!$A$4:$A$14,0))*P108</f>
        <v/>
      </c>
      <c r="V108" s="15">
        <f>INDEX('5_UK_DefaultRisk_Input'!$D$5:$D$15,MATCH($C108,'5_UK_DefaultRisk_Input'!$A$5:$A$15,0))</f>
        <v/>
      </c>
      <c r="W108" s="15">
        <f>INDEX('5_UK_DefaultRisk_Input'!$D$20:$D$44,MATCH($E108,'5_UK_DefaultRisk_Input'!$A$20:$A$44,0))</f>
        <v/>
      </c>
      <c r="X108" s="15">
        <f>INDEX('5_UK_DefaultRisk_Input'!$D$49:$D$122,MATCH($D108,'5_UK_DefaultRisk_Input'!$A$49:$A$122,0))</f>
        <v/>
      </c>
      <c r="Y108" s="15">
        <f>INDEX('5_UK_DefaultRisk_Input'!$D$127:$D$289,MATCH($A108,'5_UK_DefaultRisk_Input'!$A$127:$A$289,0))</f>
        <v/>
      </c>
      <c r="Z108" s="16">
        <f>(W108/V108)*(X108/W108)*(Y108/X108)</f>
        <v/>
      </c>
      <c r="AA108" s="17">
        <f>INDEX('3_UK_L1_Input'!$D$4:$D$14,MATCH($C108,'3_UK_L1_Input'!$A$4:$A$14,0))*Z108</f>
        <v/>
      </c>
    </row>
    <row r="109">
      <c r="A109" s="7" t="n">
        <v>40201060</v>
      </c>
      <c r="B109" s="7" t="inlineStr">
        <is>
          <t>Transaction &amp; Payment Processing Services</t>
        </is>
      </c>
      <c r="C109" s="7" t="n">
        <v>40</v>
      </c>
      <c r="D109" s="7" t="n">
        <v>402010</v>
      </c>
      <c r="E109" s="7" t="n">
        <v>4020</v>
      </c>
      <c r="F109" s="9" t="n">
        <v>1010000000</v>
      </c>
      <c r="G109" s="10" t="n">
        <v>15.31</v>
      </c>
      <c r="H109" s="16">
        <f>IFERROR(SUMPRODUCT(($C$3:$C$165=C109)*ISNUMBER($G$3:$G$165)*ISNUMBER($F$3:$F$165)*IF(ISNUMBER($F$3:$F$165),$F$3:$F$165,0)*IF(ISNUMBER($G$3:$G$165),$G$3:$G$165,0))/SUMPRODUCT(($C$3:$C$165=C109)*ISNUMBER($G$3:$G$165)*ISNUMBER($F$3:$F$165)*IF(ISNUMBER($F$3:$F$165),$F$3:$F$165,0)),"")</f>
        <v/>
      </c>
      <c r="I109" s="16">
        <f>IFERROR(SUMPRODUCT(($C$3:$C$165=C109)*ISNUMBER($G$3:$G$165)*IF(ISNUMBER($G$3:$G$165),$G$3:$G$165,0))/SUMPRODUCT(($C$3:$C$165=C109)*ISNUMBER($G$3:$G$165)),"")</f>
        <v/>
      </c>
      <c r="J109" s="16">
        <f>IF(OR(G109="",H109=""),"",G109/H109)</f>
        <v/>
      </c>
      <c r="K109" s="16">
        <f>IF(OR(G109="",I109=""),"",G109/I109)</f>
        <v/>
      </c>
      <c r="L109" s="14">
        <f>INDEX('4_UK_Beta_Input'!$D$5:$D$15,MATCH($C109,'4_UK_Beta_Input'!$A$5:$A$15,0))</f>
        <v/>
      </c>
      <c r="M109" s="14">
        <f>INDEX('4_UK_Beta_Input'!$D$20:$D$44,MATCH($E109,'4_UK_Beta_Input'!$A$20:$A$44,0))</f>
        <v/>
      </c>
      <c r="N109" s="14">
        <f>INDEX('4_UK_Beta_Input'!$D$49:$D$122,MATCH($D109,'4_UK_Beta_Input'!$A$49:$A$122,0))</f>
        <v/>
      </c>
      <c r="O109" s="14">
        <f>INDEX('4_UK_Beta_Input'!$D$127:$D$289,MATCH($A109,'4_UK_Beta_Input'!$A$127:$A$289,0))</f>
        <v/>
      </c>
      <c r="P109" s="16">
        <f>(M109/L109)*(N109/M109)*(O109/N109)</f>
        <v/>
      </c>
      <c r="Q109" s="17">
        <f>IF(J109="",INDEX('3_UK_L1_Input'!$D$4:$D$14,MATCH($C109,'3_UK_L1_Input'!$A$4:$A$14,0))*P109,INDEX('3_UK_L1_Input'!$D$4:$D$14,MATCH($C109,'3_UK_L1_Input'!$A$4:$A$14,0))*J109)</f>
        <v/>
      </c>
      <c r="R109" s="17">
        <f>IF(K109="",INDEX('3_UK_L1_Input'!$D$4:$D$14,MATCH($C109,'3_UK_L1_Input'!$A$4:$A$14,0))*P109,INDEX('3_UK_L1_Input'!$D$4:$D$14,MATCH($C109,'3_UK_L1_Input'!$A$4:$A$14,0))*K109)</f>
        <v/>
      </c>
      <c r="S109" s="18">
        <f>IF(G109="","BETA CASCADE FALLBACK (dummy — replace with real beta)","REAL (Bloomberg UK)")</f>
        <v/>
      </c>
      <c r="T109" s="17">
        <f>INDEX('3_UK_L1_Input'!$C$4:$C$14,MATCH($C109,'3_UK_L1_Input'!$A$4:$A$14,0))</f>
        <v/>
      </c>
      <c r="U109" s="17">
        <f>INDEX('3_UK_L1_Input'!$C$4:$C$14,MATCH($C109,'3_UK_L1_Input'!$A$4:$A$14,0))*P109</f>
        <v/>
      </c>
      <c r="V109" s="15">
        <f>INDEX('5_UK_DefaultRisk_Input'!$D$5:$D$15,MATCH($C109,'5_UK_DefaultRisk_Input'!$A$5:$A$15,0))</f>
        <v/>
      </c>
      <c r="W109" s="15">
        <f>INDEX('5_UK_DefaultRisk_Input'!$D$20:$D$44,MATCH($E109,'5_UK_DefaultRisk_Input'!$A$20:$A$44,0))</f>
        <v/>
      </c>
      <c r="X109" s="15">
        <f>INDEX('5_UK_DefaultRisk_Input'!$D$49:$D$122,MATCH($D109,'5_UK_DefaultRisk_Input'!$A$49:$A$122,0))</f>
        <v/>
      </c>
      <c r="Y109" s="15">
        <f>INDEX('5_UK_DefaultRisk_Input'!$D$127:$D$289,MATCH($A109,'5_UK_DefaultRisk_Input'!$A$127:$A$289,0))</f>
        <v/>
      </c>
      <c r="Z109" s="16">
        <f>(W109/V109)*(X109/W109)*(Y109/X109)</f>
        <v/>
      </c>
      <c r="AA109" s="17">
        <f>INDEX('3_UK_L1_Input'!$D$4:$D$14,MATCH($C109,'3_UK_L1_Input'!$A$4:$A$14,0))*Z109</f>
        <v/>
      </c>
    </row>
    <row r="110">
      <c r="A110" s="7" t="n">
        <v>40202010</v>
      </c>
      <c r="B110" s="7" t="inlineStr">
        <is>
          <t>Consumer Finance</t>
        </is>
      </c>
      <c r="C110" s="7" t="n">
        <v>40</v>
      </c>
      <c r="D110" s="7" t="n">
        <v>402020</v>
      </c>
      <c r="E110" s="7" t="n">
        <v>4020</v>
      </c>
      <c r="F110" s="9" t="n">
        <v>246000000</v>
      </c>
      <c r="G110" s="10" t="n">
        <v>5.59</v>
      </c>
      <c r="H110" s="16">
        <f>IFERROR(SUMPRODUCT(($C$3:$C$165=C110)*ISNUMBER($G$3:$G$165)*ISNUMBER($F$3:$F$165)*IF(ISNUMBER($F$3:$F$165),$F$3:$F$165,0)*IF(ISNUMBER($G$3:$G$165),$G$3:$G$165,0))/SUMPRODUCT(($C$3:$C$165=C110)*ISNUMBER($G$3:$G$165)*ISNUMBER($F$3:$F$165)*IF(ISNUMBER($F$3:$F$165),$F$3:$F$165,0)),"")</f>
        <v/>
      </c>
      <c r="I110" s="16">
        <f>IFERROR(SUMPRODUCT(($C$3:$C$165=C110)*ISNUMBER($G$3:$G$165)*IF(ISNUMBER($G$3:$G$165),$G$3:$G$165,0))/SUMPRODUCT(($C$3:$C$165=C110)*ISNUMBER($G$3:$G$165)),"")</f>
        <v/>
      </c>
      <c r="J110" s="16">
        <f>IF(OR(G110="",H110=""),"",G110/H110)</f>
        <v/>
      </c>
      <c r="K110" s="16">
        <f>IF(OR(G110="",I110=""),"",G110/I110)</f>
        <v/>
      </c>
      <c r="L110" s="14">
        <f>INDEX('4_UK_Beta_Input'!$D$5:$D$15,MATCH($C110,'4_UK_Beta_Input'!$A$5:$A$15,0))</f>
        <v/>
      </c>
      <c r="M110" s="14">
        <f>INDEX('4_UK_Beta_Input'!$D$20:$D$44,MATCH($E110,'4_UK_Beta_Input'!$A$20:$A$44,0))</f>
        <v/>
      </c>
      <c r="N110" s="14">
        <f>INDEX('4_UK_Beta_Input'!$D$49:$D$122,MATCH($D110,'4_UK_Beta_Input'!$A$49:$A$122,0))</f>
        <v/>
      </c>
      <c r="O110" s="14">
        <f>INDEX('4_UK_Beta_Input'!$D$127:$D$289,MATCH($A110,'4_UK_Beta_Input'!$A$127:$A$289,0))</f>
        <v/>
      </c>
      <c r="P110" s="16">
        <f>(M110/L110)*(N110/M110)*(O110/N110)</f>
        <v/>
      </c>
      <c r="Q110" s="17">
        <f>IF(J110="",INDEX('3_UK_L1_Input'!$D$4:$D$14,MATCH($C110,'3_UK_L1_Input'!$A$4:$A$14,0))*P110,INDEX('3_UK_L1_Input'!$D$4:$D$14,MATCH($C110,'3_UK_L1_Input'!$A$4:$A$14,0))*J110)</f>
        <v/>
      </c>
      <c r="R110" s="17">
        <f>IF(K110="",INDEX('3_UK_L1_Input'!$D$4:$D$14,MATCH($C110,'3_UK_L1_Input'!$A$4:$A$14,0))*P110,INDEX('3_UK_L1_Input'!$D$4:$D$14,MATCH($C110,'3_UK_L1_Input'!$A$4:$A$14,0))*K110)</f>
        <v/>
      </c>
      <c r="S110" s="18">
        <f>IF(G110="","BETA CASCADE FALLBACK (dummy — replace with real beta)","REAL (Bloomberg UK)")</f>
        <v/>
      </c>
      <c r="T110" s="17">
        <f>INDEX('3_UK_L1_Input'!$C$4:$C$14,MATCH($C110,'3_UK_L1_Input'!$A$4:$A$14,0))</f>
        <v/>
      </c>
      <c r="U110" s="17">
        <f>INDEX('3_UK_L1_Input'!$C$4:$C$14,MATCH($C110,'3_UK_L1_Input'!$A$4:$A$14,0))*P110</f>
        <v/>
      </c>
      <c r="V110" s="15">
        <f>INDEX('5_UK_DefaultRisk_Input'!$D$5:$D$15,MATCH($C110,'5_UK_DefaultRisk_Input'!$A$5:$A$15,0))</f>
        <v/>
      </c>
      <c r="W110" s="15">
        <f>INDEX('5_UK_DefaultRisk_Input'!$D$20:$D$44,MATCH($E110,'5_UK_DefaultRisk_Input'!$A$20:$A$44,0))</f>
        <v/>
      </c>
      <c r="X110" s="15">
        <f>INDEX('5_UK_DefaultRisk_Input'!$D$49:$D$122,MATCH($D110,'5_UK_DefaultRisk_Input'!$A$49:$A$122,0))</f>
        <v/>
      </c>
      <c r="Y110" s="15">
        <f>INDEX('5_UK_DefaultRisk_Input'!$D$127:$D$289,MATCH($A110,'5_UK_DefaultRisk_Input'!$A$127:$A$289,0))</f>
        <v/>
      </c>
      <c r="Z110" s="16">
        <f>(W110/V110)*(X110/W110)*(Y110/X110)</f>
        <v/>
      </c>
      <c r="AA110" s="17">
        <f>INDEX('3_UK_L1_Input'!$D$4:$D$14,MATCH($C110,'3_UK_L1_Input'!$A$4:$A$14,0))*Z110</f>
        <v/>
      </c>
    </row>
    <row r="111">
      <c r="A111" s="7" t="n">
        <v>40203010</v>
      </c>
      <c r="B111" s="7" t="inlineStr">
        <is>
          <t>Asset Management &amp; Custody Banks</t>
        </is>
      </c>
      <c r="C111" s="7" t="n">
        <v>40</v>
      </c>
      <c r="D111" s="7" t="n">
        <v>402030</v>
      </c>
      <c r="E111" s="7" t="n">
        <v>4020</v>
      </c>
      <c r="F111" s="9" t="n">
        <v>3060000000</v>
      </c>
      <c r="G111" s="10" t="n">
        <v>11.61</v>
      </c>
      <c r="H111" s="16">
        <f>IFERROR(SUMPRODUCT(($C$3:$C$165=C111)*ISNUMBER($G$3:$G$165)*ISNUMBER($F$3:$F$165)*IF(ISNUMBER($F$3:$F$165),$F$3:$F$165,0)*IF(ISNUMBER($G$3:$G$165),$G$3:$G$165,0))/SUMPRODUCT(($C$3:$C$165=C111)*ISNUMBER($G$3:$G$165)*ISNUMBER($F$3:$F$165)*IF(ISNUMBER($F$3:$F$165),$F$3:$F$165,0)),"")</f>
        <v/>
      </c>
      <c r="I111" s="16">
        <f>IFERROR(SUMPRODUCT(($C$3:$C$165=C111)*ISNUMBER($G$3:$G$165)*IF(ISNUMBER($G$3:$G$165),$G$3:$G$165,0))/SUMPRODUCT(($C$3:$C$165=C111)*ISNUMBER($G$3:$G$165)),"")</f>
        <v/>
      </c>
      <c r="J111" s="16">
        <f>IF(OR(G111="",H111=""),"",G111/H111)</f>
        <v/>
      </c>
      <c r="K111" s="16">
        <f>IF(OR(G111="",I111=""),"",G111/I111)</f>
        <v/>
      </c>
      <c r="L111" s="14">
        <f>INDEX('4_UK_Beta_Input'!$D$5:$D$15,MATCH($C111,'4_UK_Beta_Input'!$A$5:$A$15,0))</f>
        <v/>
      </c>
      <c r="M111" s="14">
        <f>INDEX('4_UK_Beta_Input'!$D$20:$D$44,MATCH($E111,'4_UK_Beta_Input'!$A$20:$A$44,0))</f>
        <v/>
      </c>
      <c r="N111" s="14">
        <f>INDEX('4_UK_Beta_Input'!$D$49:$D$122,MATCH($D111,'4_UK_Beta_Input'!$A$49:$A$122,0))</f>
        <v/>
      </c>
      <c r="O111" s="14">
        <f>INDEX('4_UK_Beta_Input'!$D$127:$D$289,MATCH($A111,'4_UK_Beta_Input'!$A$127:$A$289,0))</f>
        <v/>
      </c>
      <c r="P111" s="16">
        <f>(M111/L111)*(N111/M111)*(O111/N111)</f>
        <v/>
      </c>
      <c r="Q111" s="17">
        <f>IF(J111="",INDEX('3_UK_L1_Input'!$D$4:$D$14,MATCH($C111,'3_UK_L1_Input'!$A$4:$A$14,0))*P111,INDEX('3_UK_L1_Input'!$D$4:$D$14,MATCH($C111,'3_UK_L1_Input'!$A$4:$A$14,0))*J111)</f>
        <v/>
      </c>
      <c r="R111" s="17">
        <f>IF(K111="",INDEX('3_UK_L1_Input'!$D$4:$D$14,MATCH($C111,'3_UK_L1_Input'!$A$4:$A$14,0))*P111,INDEX('3_UK_L1_Input'!$D$4:$D$14,MATCH($C111,'3_UK_L1_Input'!$A$4:$A$14,0))*K111)</f>
        <v/>
      </c>
      <c r="S111" s="18">
        <f>IF(G111="","BETA CASCADE FALLBACK (dummy — replace with real beta)","REAL (Bloomberg UK)")</f>
        <v/>
      </c>
      <c r="T111" s="17">
        <f>INDEX('3_UK_L1_Input'!$C$4:$C$14,MATCH($C111,'3_UK_L1_Input'!$A$4:$A$14,0))</f>
        <v/>
      </c>
      <c r="U111" s="17">
        <f>INDEX('3_UK_L1_Input'!$C$4:$C$14,MATCH($C111,'3_UK_L1_Input'!$A$4:$A$14,0))*P111</f>
        <v/>
      </c>
      <c r="V111" s="15">
        <f>INDEX('5_UK_DefaultRisk_Input'!$D$5:$D$15,MATCH($C111,'5_UK_DefaultRisk_Input'!$A$5:$A$15,0))</f>
        <v/>
      </c>
      <c r="W111" s="15">
        <f>INDEX('5_UK_DefaultRisk_Input'!$D$20:$D$44,MATCH($E111,'5_UK_DefaultRisk_Input'!$A$20:$A$44,0))</f>
        <v/>
      </c>
      <c r="X111" s="15">
        <f>INDEX('5_UK_DefaultRisk_Input'!$D$49:$D$122,MATCH($D111,'5_UK_DefaultRisk_Input'!$A$49:$A$122,0))</f>
        <v/>
      </c>
      <c r="Y111" s="15">
        <f>INDEX('5_UK_DefaultRisk_Input'!$D$127:$D$289,MATCH($A111,'5_UK_DefaultRisk_Input'!$A$127:$A$289,0))</f>
        <v/>
      </c>
      <c r="Z111" s="16">
        <f>(W111/V111)*(X111/W111)*(Y111/X111)</f>
        <v/>
      </c>
      <c r="AA111" s="17">
        <f>INDEX('3_UK_L1_Input'!$D$4:$D$14,MATCH($C111,'3_UK_L1_Input'!$A$4:$A$14,0))*Z111</f>
        <v/>
      </c>
    </row>
    <row r="112">
      <c r="A112" s="7" t="n">
        <v>40203020</v>
      </c>
      <c r="B112" s="7" t="inlineStr">
        <is>
          <t>Investment Banking &amp; Brokerage</t>
        </is>
      </c>
      <c r="C112" s="7" t="n">
        <v>40</v>
      </c>
      <c r="D112" s="7" t="n">
        <v>402030</v>
      </c>
      <c r="E112" s="7" t="n">
        <v>4020</v>
      </c>
      <c r="F112" s="9" t="n">
        <v>421470000</v>
      </c>
      <c r="G112" s="10" t="n">
        <v>10.49</v>
      </c>
      <c r="H112" s="16">
        <f>IFERROR(SUMPRODUCT(($C$3:$C$165=C112)*ISNUMBER($G$3:$G$165)*ISNUMBER($F$3:$F$165)*IF(ISNUMBER($F$3:$F$165),$F$3:$F$165,0)*IF(ISNUMBER($G$3:$G$165),$G$3:$G$165,0))/SUMPRODUCT(($C$3:$C$165=C112)*ISNUMBER($G$3:$G$165)*ISNUMBER($F$3:$F$165)*IF(ISNUMBER($F$3:$F$165),$F$3:$F$165,0)),"")</f>
        <v/>
      </c>
      <c r="I112" s="16">
        <f>IFERROR(SUMPRODUCT(($C$3:$C$165=C112)*ISNUMBER($G$3:$G$165)*IF(ISNUMBER($G$3:$G$165),$G$3:$G$165,0))/SUMPRODUCT(($C$3:$C$165=C112)*ISNUMBER($G$3:$G$165)),"")</f>
        <v/>
      </c>
      <c r="J112" s="16">
        <f>IF(OR(G112="",H112=""),"",G112/H112)</f>
        <v/>
      </c>
      <c r="K112" s="16">
        <f>IF(OR(G112="",I112=""),"",G112/I112)</f>
        <v/>
      </c>
      <c r="L112" s="14">
        <f>INDEX('4_UK_Beta_Input'!$D$5:$D$15,MATCH($C112,'4_UK_Beta_Input'!$A$5:$A$15,0))</f>
        <v/>
      </c>
      <c r="M112" s="14">
        <f>INDEX('4_UK_Beta_Input'!$D$20:$D$44,MATCH($E112,'4_UK_Beta_Input'!$A$20:$A$44,0))</f>
        <v/>
      </c>
      <c r="N112" s="14">
        <f>INDEX('4_UK_Beta_Input'!$D$49:$D$122,MATCH($D112,'4_UK_Beta_Input'!$A$49:$A$122,0))</f>
        <v/>
      </c>
      <c r="O112" s="14">
        <f>INDEX('4_UK_Beta_Input'!$D$127:$D$289,MATCH($A112,'4_UK_Beta_Input'!$A$127:$A$289,0))</f>
        <v/>
      </c>
      <c r="P112" s="16">
        <f>(M112/L112)*(N112/M112)*(O112/N112)</f>
        <v/>
      </c>
      <c r="Q112" s="17">
        <f>IF(J112="",INDEX('3_UK_L1_Input'!$D$4:$D$14,MATCH($C112,'3_UK_L1_Input'!$A$4:$A$14,0))*P112,INDEX('3_UK_L1_Input'!$D$4:$D$14,MATCH($C112,'3_UK_L1_Input'!$A$4:$A$14,0))*J112)</f>
        <v/>
      </c>
      <c r="R112" s="17">
        <f>IF(K112="",INDEX('3_UK_L1_Input'!$D$4:$D$14,MATCH($C112,'3_UK_L1_Input'!$A$4:$A$14,0))*P112,INDEX('3_UK_L1_Input'!$D$4:$D$14,MATCH($C112,'3_UK_L1_Input'!$A$4:$A$14,0))*K112)</f>
        <v/>
      </c>
      <c r="S112" s="18">
        <f>IF(G112="","BETA CASCADE FALLBACK (dummy — replace with real beta)","REAL (Bloomberg UK)")</f>
        <v/>
      </c>
      <c r="T112" s="17">
        <f>INDEX('3_UK_L1_Input'!$C$4:$C$14,MATCH($C112,'3_UK_L1_Input'!$A$4:$A$14,0))</f>
        <v/>
      </c>
      <c r="U112" s="17">
        <f>INDEX('3_UK_L1_Input'!$C$4:$C$14,MATCH($C112,'3_UK_L1_Input'!$A$4:$A$14,0))*P112</f>
        <v/>
      </c>
      <c r="V112" s="15">
        <f>INDEX('5_UK_DefaultRisk_Input'!$D$5:$D$15,MATCH($C112,'5_UK_DefaultRisk_Input'!$A$5:$A$15,0))</f>
        <v/>
      </c>
      <c r="W112" s="15">
        <f>INDEX('5_UK_DefaultRisk_Input'!$D$20:$D$44,MATCH($E112,'5_UK_DefaultRisk_Input'!$A$20:$A$44,0))</f>
        <v/>
      </c>
      <c r="X112" s="15">
        <f>INDEX('5_UK_DefaultRisk_Input'!$D$49:$D$122,MATCH($D112,'5_UK_DefaultRisk_Input'!$A$49:$A$122,0))</f>
        <v/>
      </c>
      <c r="Y112" s="15">
        <f>INDEX('5_UK_DefaultRisk_Input'!$D$127:$D$289,MATCH($A112,'5_UK_DefaultRisk_Input'!$A$127:$A$289,0))</f>
        <v/>
      </c>
      <c r="Z112" s="16">
        <f>(W112/V112)*(X112/W112)*(Y112/X112)</f>
        <v/>
      </c>
      <c r="AA112" s="17">
        <f>INDEX('3_UK_L1_Input'!$D$4:$D$14,MATCH($C112,'3_UK_L1_Input'!$A$4:$A$14,0))*Z112</f>
        <v/>
      </c>
    </row>
    <row r="113">
      <c r="A113" s="7" t="n">
        <v>40203030</v>
      </c>
      <c r="B113" s="7" t="inlineStr">
        <is>
          <t>Diversified Capital Markets</t>
        </is>
      </c>
      <c r="C113" s="7" t="n">
        <v>40</v>
      </c>
      <c r="D113" s="7" t="n">
        <v>402030</v>
      </c>
      <c r="E113" s="7" t="n">
        <v>4020</v>
      </c>
      <c r="F113" s="8" t="n"/>
      <c r="G113" s="8" t="n"/>
      <c r="H113" s="16">
        <f>IFERROR(SUMPRODUCT(($C$3:$C$165=C113)*ISNUMBER($G$3:$G$165)*ISNUMBER($F$3:$F$165)*IF(ISNUMBER($F$3:$F$165),$F$3:$F$165,0)*IF(ISNUMBER($G$3:$G$165),$G$3:$G$165,0))/SUMPRODUCT(($C$3:$C$165=C113)*ISNUMBER($G$3:$G$165)*ISNUMBER($F$3:$F$165)*IF(ISNUMBER($F$3:$F$165),$F$3:$F$165,0)),"")</f>
        <v/>
      </c>
      <c r="I113" s="16">
        <f>IFERROR(SUMPRODUCT(($C$3:$C$165=C113)*ISNUMBER($G$3:$G$165)*IF(ISNUMBER($G$3:$G$165),$G$3:$G$165,0))/SUMPRODUCT(($C$3:$C$165=C113)*ISNUMBER($G$3:$G$165)),"")</f>
        <v/>
      </c>
      <c r="J113" s="16">
        <f>IF(OR(G113="",H113=""),"",G113/H113)</f>
        <v/>
      </c>
      <c r="K113" s="16">
        <f>IF(OR(G113="",I113=""),"",G113/I113)</f>
        <v/>
      </c>
      <c r="L113" s="14">
        <f>INDEX('4_UK_Beta_Input'!$D$5:$D$15,MATCH($C113,'4_UK_Beta_Input'!$A$5:$A$15,0))</f>
        <v/>
      </c>
      <c r="M113" s="14">
        <f>INDEX('4_UK_Beta_Input'!$D$20:$D$44,MATCH($E113,'4_UK_Beta_Input'!$A$20:$A$44,0))</f>
        <v/>
      </c>
      <c r="N113" s="14">
        <f>INDEX('4_UK_Beta_Input'!$D$49:$D$122,MATCH($D113,'4_UK_Beta_Input'!$A$49:$A$122,0))</f>
        <v/>
      </c>
      <c r="O113" s="14">
        <f>INDEX('4_UK_Beta_Input'!$D$127:$D$289,MATCH($A113,'4_UK_Beta_Input'!$A$127:$A$289,0))</f>
        <v/>
      </c>
      <c r="P113" s="16">
        <f>(M113/L113)*(N113/M113)*(O113/N113)</f>
        <v/>
      </c>
      <c r="Q113" s="17">
        <f>IF(J113="",INDEX('3_UK_L1_Input'!$D$4:$D$14,MATCH($C113,'3_UK_L1_Input'!$A$4:$A$14,0))*P113,INDEX('3_UK_L1_Input'!$D$4:$D$14,MATCH($C113,'3_UK_L1_Input'!$A$4:$A$14,0))*J113)</f>
        <v/>
      </c>
      <c r="R113" s="17">
        <f>IF(K113="",INDEX('3_UK_L1_Input'!$D$4:$D$14,MATCH($C113,'3_UK_L1_Input'!$A$4:$A$14,0))*P113,INDEX('3_UK_L1_Input'!$D$4:$D$14,MATCH($C113,'3_UK_L1_Input'!$A$4:$A$14,0))*K113)</f>
        <v/>
      </c>
      <c r="S113" s="19">
        <f>IF(G113="","BETA CASCADE FALLBACK (dummy — replace with real beta)","REAL (Bloomberg UK)")</f>
        <v/>
      </c>
      <c r="T113" s="17">
        <f>INDEX('3_UK_L1_Input'!$C$4:$C$14,MATCH($C113,'3_UK_L1_Input'!$A$4:$A$14,0))</f>
        <v/>
      </c>
      <c r="U113" s="17">
        <f>INDEX('3_UK_L1_Input'!$C$4:$C$14,MATCH($C113,'3_UK_L1_Input'!$A$4:$A$14,0))*P113</f>
        <v/>
      </c>
      <c r="V113" s="15">
        <f>INDEX('5_UK_DefaultRisk_Input'!$D$5:$D$15,MATCH($C113,'5_UK_DefaultRisk_Input'!$A$5:$A$15,0))</f>
        <v/>
      </c>
      <c r="W113" s="15">
        <f>INDEX('5_UK_DefaultRisk_Input'!$D$20:$D$44,MATCH($E113,'5_UK_DefaultRisk_Input'!$A$20:$A$44,0))</f>
        <v/>
      </c>
      <c r="X113" s="15">
        <f>INDEX('5_UK_DefaultRisk_Input'!$D$49:$D$122,MATCH($D113,'5_UK_DefaultRisk_Input'!$A$49:$A$122,0))</f>
        <v/>
      </c>
      <c r="Y113" s="15">
        <f>INDEX('5_UK_DefaultRisk_Input'!$D$127:$D$289,MATCH($A113,'5_UK_DefaultRisk_Input'!$A$127:$A$289,0))</f>
        <v/>
      </c>
      <c r="Z113" s="16">
        <f>(W113/V113)*(X113/W113)*(Y113/X113)</f>
        <v/>
      </c>
      <c r="AA113" s="17">
        <f>INDEX('3_UK_L1_Input'!$D$4:$D$14,MATCH($C113,'3_UK_L1_Input'!$A$4:$A$14,0))*Z113</f>
        <v/>
      </c>
    </row>
    <row r="114">
      <c r="A114" s="7" t="n">
        <v>40203040</v>
      </c>
      <c r="B114" s="7" t="inlineStr">
        <is>
          <t>Financial Exchanges &amp; Data</t>
        </is>
      </c>
      <c r="C114" s="7" t="n">
        <v>40</v>
      </c>
      <c r="D114" s="7" t="n">
        <v>402030</v>
      </c>
      <c r="E114" s="7" t="n">
        <v>4020</v>
      </c>
      <c r="F114" s="9" t="n">
        <v>2630000000</v>
      </c>
      <c r="G114" s="10" t="n">
        <v>11.47</v>
      </c>
      <c r="H114" s="16">
        <f>IFERROR(SUMPRODUCT(($C$3:$C$165=C114)*ISNUMBER($G$3:$G$165)*ISNUMBER($F$3:$F$165)*IF(ISNUMBER($F$3:$F$165),$F$3:$F$165,0)*IF(ISNUMBER($G$3:$G$165),$G$3:$G$165,0))/SUMPRODUCT(($C$3:$C$165=C114)*ISNUMBER($G$3:$G$165)*ISNUMBER($F$3:$F$165)*IF(ISNUMBER($F$3:$F$165),$F$3:$F$165,0)),"")</f>
        <v/>
      </c>
      <c r="I114" s="16">
        <f>IFERROR(SUMPRODUCT(($C$3:$C$165=C114)*ISNUMBER($G$3:$G$165)*IF(ISNUMBER($G$3:$G$165),$G$3:$G$165,0))/SUMPRODUCT(($C$3:$C$165=C114)*ISNUMBER($G$3:$G$165)),"")</f>
        <v/>
      </c>
      <c r="J114" s="16">
        <f>IF(OR(G114="",H114=""),"",G114/H114)</f>
        <v/>
      </c>
      <c r="K114" s="16">
        <f>IF(OR(G114="",I114=""),"",G114/I114)</f>
        <v/>
      </c>
      <c r="L114" s="14">
        <f>INDEX('4_UK_Beta_Input'!$D$5:$D$15,MATCH($C114,'4_UK_Beta_Input'!$A$5:$A$15,0))</f>
        <v/>
      </c>
      <c r="M114" s="14">
        <f>INDEX('4_UK_Beta_Input'!$D$20:$D$44,MATCH($E114,'4_UK_Beta_Input'!$A$20:$A$44,0))</f>
        <v/>
      </c>
      <c r="N114" s="14">
        <f>INDEX('4_UK_Beta_Input'!$D$49:$D$122,MATCH($D114,'4_UK_Beta_Input'!$A$49:$A$122,0))</f>
        <v/>
      </c>
      <c r="O114" s="14">
        <f>INDEX('4_UK_Beta_Input'!$D$127:$D$289,MATCH($A114,'4_UK_Beta_Input'!$A$127:$A$289,0))</f>
        <v/>
      </c>
      <c r="P114" s="16">
        <f>(M114/L114)*(N114/M114)*(O114/N114)</f>
        <v/>
      </c>
      <c r="Q114" s="17">
        <f>IF(J114="",INDEX('3_UK_L1_Input'!$D$4:$D$14,MATCH($C114,'3_UK_L1_Input'!$A$4:$A$14,0))*P114,INDEX('3_UK_L1_Input'!$D$4:$D$14,MATCH($C114,'3_UK_L1_Input'!$A$4:$A$14,0))*J114)</f>
        <v/>
      </c>
      <c r="R114" s="17">
        <f>IF(K114="",INDEX('3_UK_L1_Input'!$D$4:$D$14,MATCH($C114,'3_UK_L1_Input'!$A$4:$A$14,0))*P114,INDEX('3_UK_L1_Input'!$D$4:$D$14,MATCH($C114,'3_UK_L1_Input'!$A$4:$A$14,0))*K114)</f>
        <v/>
      </c>
      <c r="S114" s="18">
        <f>IF(G114="","BETA CASCADE FALLBACK (dummy — replace with real beta)","REAL (Bloomberg UK)")</f>
        <v/>
      </c>
      <c r="T114" s="17">
        <f>INDEX('3_UK_L1_Input'!$C$4:$C$14,MATCH($C114,'3_UK_L1_Input'!$A$4:$A$14,0))</f>
        <v/>
      </c>
      <c r="U114" s="17">
        <f>INDEX('3_UK_L1_Input'!$C$4:$C$14,MATCH($C114,'3_UK_L1_Input'!$A$4:$A$14,0))*P114</f>
        <v/>
      </c>
      <c r="V114" s="15">
        <f>INDEX('5_UK_DefaultRisk_Input'!$D$5:$D$15,MATCH($C114,'5_UK_DefaultRisk_Input'!$A$5:$A$15,0))</f>
        <v/>
      </c>
      <c r="W114" s="15">
        <f>INDEX('5_UK_DefaultRisk_Input'!$D$20:$D$44,MATCH($E114,'5_UK_DefaultRisk_Input'!$A$20:$A$44,0))</f>
        <v/>
      </c>
      <c r="X114" s="15">
        <f>INDEX('5_UK_DefaultRisk_Input'!$D$49:$D$122,MATCH($D114,'5_UK_DefaultRisk_Input'!$A$49:$A$122,0))</f>
        <v/>
      </c>
      <c r="Y114" s="15">
        <f>INDEX('5_UK_DefaultRisk_Input'!$D$127:$D$289,MATCH($A114,'5_UK_DefaultRisk_Input'!$A$127:$A$289,0))</f>
        <v/>
      </c>
      <c r="Z114" s="16">
        <f>(W114/V114)*(X114/W114)*(Y114/X114)</f>
        <v/>
      </c>
      <c r="AA114" s="17">
        <f>INDEX('3_UK_L1_Input'!$D$4:$D$14,MATCH($C114,'3_UK_L1_Input'!$A$4:$A$14,0))*Z114</f>
        <v/>
      </c>
    </row>
    <row r="115">
      <c r="A115" s="7" t="n">
        <v>40204010</v>
      </c>
      <c r="B115" s="7" t="inlineStr">
        <is>
          <t>Mortgage REITs*</t>
        </is>
      </c>
      <c r="C115" s="7" t="n">
        <v>40</v>
      </c>
      <c r="D115" s="7" t="n">
        <v>402040</v>
      </c>
      <c r="E115" s="7" t="n">
        <v>4020</v>
      </c>
      <c r="F115" s="8" t="n"/>
      <c r="G115" s="8" t="n"/>
      <c r="H115" s="16">
        <f>IFERROR(SUMPRODUCT(($C$3:$C$165=C115)*ISNUMBER($G$3:$G$165)*ISNUMBER($F$3:$F$165)*IF(ISNUMBER($F$3:$F$165),$F$3:$F$165,0)*IF(ISNUMBER($G$3:$G$165),$G$3:$G$165,0))/SUMPRODUCT(($C$3:$C$165=C115)*ISNUMBER($G$3:$G$165)*ISNUMBER($F$3:$F$165)*IF(ISNUMBER($F$3:$F$165),$F$3:$F$165,0)),"")</f>
        <v/>
      </c>
      <c r="I115" s="16">
        <f>IFERROR(SUMPRODUCT(($C$3:$C$165=C115)*ISNUMBER($G$3:$G$165)*IF(ISNUMBER($G$3:$G$165),$G$3:$G$165,0))/SUMPRODUCT(($C$3:$C$165=C115)*ISNUMBER($G$3:$G$165)),"")</f>
        <v/>
      </c>
      <c r="J115" s="16">
        <f>IF(OR(G115="",H115=""),"",G115/H115)</f>
        <v/>
      </c>
      <c r="K115" s="16">
        <f>IF(OR(G115="",I115=""),"",G115/I115)</f>
        <v/>
      </c>
      <c r="L115" s="14">
        <f>INDEX('4_UK_Beta_Input'!$D$5:$D$15,MATCH($C115,'4_UK_Beta_Input'!$A$5:$A$15,0))</f>
        <v/>
      </c>
      <c r="M115" s="14">
        <f>INDEX('4_UK_Beta_Input'!$D$20:$D$44,MATCH($E115,'4_UK_Beta_Input'!$A$20:$A$44,0))</f>
        <v/>
      </c>
      <c r="N115" s="14">
        <f>INDEX('4_UK_Beta_Input'!$D$49:$D$122,MATCH($D115,'4_UK_Beta_Input'!$A$49:$A$122,0))</f>
        <v/>
      </c>
      <c r="O115" s="14">
        <f>INDEX('4_UK_Beta_Input'!$D$127:$D$289,MATCH($A115,'4_UK_Beta_Input'!$A$127:$A$289,0))</f>
        <v/>
      </c>
      <c r="P115" s="16">
        <f>(M115/L115)*(N115/M115)*(O115/N115)</f>
        <v/>
      </c>
      <c r="Q115" s="17">
        <f>IF(J115="",INDEX('3_UK_L1_Input'!$D$4:$D$14,MATCH($C115,'3_UK_L1_Input'!$A$4:$A$14,0))*P115,INDEX('3_UK_L1_Input'!$D$4:$D$14,MATCH($C115,'3_UK_L1_Input'!$A$4:$A$14,0))*J115)</f>
        <v/>
      </c>
      <c r="R115" s="17">
        <f>IF(K115="",INDEX('3_UK_L1_Input'!$D$4:$D$14,MATCH($C115,'3_UK_L1_Input'!$A$4:$A$14,0))*P115,INDEX('3_UK_L1_Input'!$D$4:$D$14,MATCH($C115,'3_UK_L1_Input'!$A$4:$A$14,0))*K115)</f>
        <v/>
      </c>
      <c r="S115" s="19">
        <f>IF(G115="","BETA CASCADE FALLBACK (dummy — replace with real beta)","REAL (Bloomberg UK)")</f>
        <v/>
      </c>
      <c r="T115" s="17">
        <f>INDEX('3_UK_L1_Input'!$C$4:$C$14,MATCH($C115,'3_UK_L1_Input'!$A$4:$A$14,0))</f>
        <v/>
      </c>
      <c r="U115" s="17">
        <f>INDEX('3_UK_L1_Input'!$C$4:$C$14,MATCH($C115,'3_UK_L1_Input'!$A$4:$A$14,0))*P115</f>
        <v/>
      </c>
      <c r="V115" s="15">
        <f>INDEX('5_UK_DefaultRisk_Input'!$D$5:$D$15,MATCH($C115,'5_UK_DefaultRisk_Input'!$A$5:$A$15,0))</f>
        <v/>
      </c>
      <c r="W115" s="15">
        <f>INDEX('5_UK_DefaultRisk_Input'!$D$20:$D$44,MATCH($E115,'5_UK_DefaultRisk_Input'!$A$20:$A$44,0))</f>
        <v/>
      </c>
      <c r="X115" s="15">
        <f>INDEX('5_UK_DefaultRisk_Input'!$D$49:$D$122,MATCH($D115,'5_UK_DefaultRisk_Input'!$A$49:$A$122,0))</f>
        <v/>
      </c>
      <c r="Y115" s="15">
        <f>INDEX('5_UK_DefaultRisk_Input'!$D$127:$D$289,MATCH($A115,'5_UK_DefaultRisk_Input'!$A$127:$A$289,0))</f>
        <v/>
      </c>
      <c r="Z115" s="16">
        <f>(W115/V115)*(X115/W115)*(Y115/X115)</f>
        <v/>
      </c>
      <c r="AA115" s="17">
        <f>INDEX('3_UK_L1_Input'!$D$4:$D$14,MATCH($C115,'3_UK_L1_Input'!$A$4:$A$14,0))*Z115</f>
        <v/>
      </c>
    </row>
    <row r="116">
      <c r="A116" s="7" t="n">
        <v>40301010</v>
      </c>
      <c r="B116" s="7" t="inlineStr">
        <is>
          <t>Insurance Brokers</t>
        </is>
      </c>
      <c r="C116" s="7" t="n">
        <v>40</v>
      </c>
      <c r="D116" s="7" t="n">
        <v>403010</v>
      </c>
      <c r="E116" s="7" t="n">
        <v>4030</v>
      </c>
      <c r="F116" s="9" t="n">
        <v>13840000000</v>
      </c>
      <c r="G116" s="10" t="n">
        <v>13.45</v>
      </c>
      <c r="H116" s="16">
        <f>IFERROR(SUMPRODUCT(($C$3:$C$165=C116)*ISNUMBER($G$3:$G$165)*ISNUMBER($F$3:$F$165)*IF(ISNUMBER($F$3:$F$165),$F$3:$F$165,0)*IF(ISNUMBER($G$3:$G$165),$G$3:$G$165,0))/SUMPRODUCT(($C$3:$C$165=C116)*ISNUMBER($G$3:$G$165)*ISNUMBER($F$3:$F$165)*IF(ISNUMBER($F$3:$F$165),$F$3:$F$165,0)),"")</f>
        <v/>
      </c>
      <c r="I116" s="16">
        <f>IFERROR(SUMPRODUCT(($C$3:$C$165=C116)*ISNUMBER($G$3:$G$165)*IF(ISNUMBER($G$3:$G$165),$G$3:$G$165,0))/SUMPRODUCT(($C$3:$C$165=C116)*ISNUMBER($G$3:$G$165)),"")</f>
        <v/>
      </c>
      <c r="J116" s="16">
        <f>IF(OR(G116="",H116=""),"",G116/H116)</f>
        <v/>
      </c>
      <c r="K116" s="16">
        <f>IF(OR(G116="",I116=""),"",G116/I116)</f>
        <v/>
      </c>
      <c r="L116" s="14">
        <f>INDEX('4_UK_Beta_Input'!$D$5:$D$15,MATCH($C116,'4_UK_Beta_Input'!$A$5:$A$15,0))</f>
        <v/>
      </c>
      <c r="M116" s="14">
        <f>INDEX('4_UK_Beta_Input'!$D$20:$D$44,MATCH($E116,'4_UK_Beta_Input'!$A$20:$A$44,0))</f>
        <v/>
      </c>
      <c r="N116" s="14">
        <f>INDEX('4_UK_Beta_Input'!$D$49:$D$122,MATCH($D116,'4_UK_Beta_Input'!$A$49:$A$122,0))</f>
        <v/>
      </c>
      <c r="O116" s="14">
        <f>INDEX('4_UK_Beta_Input'!$D$127:$D$289,MATCH($A116,'4_UK_Beta_Input'!$A$127:$A$289,0))</f>
        <v/>
      </c>
      <c r="P116" s="16">
        <f>(M116/L116)*(N116/M116)*(O116/N116)</f>
        <v/>
      </c>
      <c r="Q116" s="17">
        <f>IF(J116="",INDEX('3_UK_L1_Input'!$D$4:$D$14,MATCH($C116,'3_UK_L1_Input'!$A$4:$A$14,0))*P116,INDEX('3_UK_L1_Input'!$D$4:$D$14,MATCH($C116,'3_UK_L1_Input'!$A$4:$A$14,0))*J116)</f>
        <v/>
      </c>
      <c r="R116" s="17">
        <f>IF(K116="",INDEX('3_UK_L1_Input'!$D$4:$D$14,MATCH($C116,'3_UK_L1_Input'!$A$4:$A$14,0))*P116,INDEX('3_UK_L1_Input'!$D$4:$D$14,MATCH($C116,'3_UK_L1_Input'!$A$4:$A$14,0))*K116)</f>
        <v/>
      </c>
      <c r="S116" s="18">
        <f>IF(G116="","BETA CASCADE FALLBACK (dummy — replace with real beta)","REAL (Bloomberg UK)")</f>
        <v/>
      </c>
      <c r="T116" s="17">
        <f>INDEX('3_UK_L1_Input'!$C$4:$C$14,MATCH($C116,'3_UK_L1_Input'!$A$4:$A$14,0))</f>
        <v/>
      </c>
      <c r="U116" s="17">
        <f>INDEX('3_UK_L1_Input'!$C$4:$C$14,MATCH($C116,'3_UK_L1_Input'!$A$4:$A$14,0))*P116</f>
        <v/>
      </c>
      <c r="V116" s="15">
        <f>INDEX('5_UK_DefaultRisk_Input'!$D$5:$D$15,MATCH($C116,'5_UK_DefaultRisk_Input'!$A$5:$A$15,0))</f>
        <v/>
      </c>
      <c r="W116" s="15">
        <f>INDEX('5_UK_DefaultRisk_Input'!$D$20:$D$44,MATCH($E116,'5_UK_DefaultRisk_Input'!$A$20:$A$44,0))</f>
        <v/>
      </c>
      <c r="X116" s="15">
        <f>INDEX('5_UK_DefaultRisk_Input'!$D$49:$D$122,MATCH($D116,'5_UK_DefaultRisk_Input'!$A$49:$A$122,0))</f>
        <v/>
      </c>
      <c r="Y116" s="15">
        <f>INDEX('5_UK_DefaultRisk_Input'!$D$127:$D$289,MATCH($A116,'5_UK_DefaultRisk_Input'!$A$127:$A$289,0))</f>
        <v/>
      </c>
      <c r="Z116" s="16">
        <f>(W116/V116)*(X116/W116)*(Y116/X116)</f>
        <v/>
      </c>
      <c r="AA116" s="17">
        <f>INDEX('3_UK_L1_Input'!$D$4:$D$14,MATCH($C116,'3_UK_L1_Input'!$A$4:$A$14,0))*Z116</f>
        <v/>
      </c>
    </row>
    <row r="117">
      <c r="A117" s="7" t="n">
        <v>40301020</v>
      </c>
      <c r="B117" s="7" t="inlineStr">
        <is>
          <t>Life &amp; Health Insurance</t>
        </is>
      </c>
      <c r="C117" s="7" t="n">
        <v>40</v>
      </c>
      <c r="D117" s="7" t="n">
        <v>403010</v>
      </c>
      <c r="E117" s="7" t="n">
        <v>4030</v>
      </c>
      <c r="F117" s="9" t="n">
        <v>13500000000</v>
      </c>
      <c r="G117" s="8" t="n"/>
      <c r="H117" s="16">
        <f>IFERROR(SUMPRODUCT(($C$3:$C$165=C117)*ISNUMBER($G$3:$G$165)*ISNUMBER($F$3:$F$165)*IF(ISNUMBER($F$3:$F$165),$F$3:$F$165,0)*IF(ISNUMBER($G$3:$G$165),$G$3:$G$165,0))/SUMPRODUCT(($C$3:$C$165=C117)*ISNUMBER($G$3:$G$165)*ISNUMBER($F$3:$F$165)*IF(ISNUMBER($F$3:$F$165),$F$3:$F$165,0)),"")</f>
        <v/>
      </c>
      <c r="I117" s="16">
        <f>IFERROR(SUMPRODUCT(($C$3:$C$165=C117)*ISNUMBER($G$3:$G$165)*IF(ISNUMBER($G$3:$G$165),$G$3:$G$165,0))/SUMPRODUCT(($C$3:$C$165=C117)*ISNUMBER($G$3:$G$165)),"")</f>
        <v/>
      </c>
      <c r="J117" s="16">
        <f>IF(OR(G117="",H117=""),"",G117/H117)</f>
        <v/>
      </c>
      <c r="K117" s="16">
        <f>IF(OR(G117="",I117=""),"",G117/I117)</f>
        <v/>
      </c>
      <c r="L117" s="14">
        <f>INDEX('4_UK_Beta_Input'!$D$5:$D$15,MATCH($C117,'4_UK_Beta_Input'!$A$5:$A$15,0))</f>
        <v/>
      </c>
      <c r="M117" s="14">
        <f>INDEX('4_UK_Beta_Input'!$D$20:$D$44,MATCH($E117,'4_UK_Beta_Input'!$A$20:$A$44,0))</f>
        <v/>
      </c>
      <c r="N117" s="14">
        <f>INDEX('4_UK_Beta_Input'!$D$49:$D$122,MATCH($D117,'4_UK_Beta_Input'!$A$49:$A$122,0))</f>
        <v/>
      </c>
      <c r="O117" s="14">
        <f>INDEX('4_UK_Beta_Input'!$D$127:$D$289,MATCH($A117,'4_UK_Beta_Input'!$A$127:$A$289,0))</f>
        <v/>
      </c>
      <c r="P117" s="16">
        <f>(M117/L117)*(N117/M117)*(O117/N117)</f>
        <v/>
      </c>
      <c r="Q117" s="17">
        <f>IF(J117="",INDEX('3_UK_L1_Input'!$D$4:$D$14,MATCH($C117,'3_UK_L1_Input'!$A$4:$A$14,0))*P117,INDEX('3_UK_L1_Input'!$D$4:$D$14,MATCH($C117,'3_UK_L1_Input'!$A$4:$A$14,0))*J117)</f>
        <v/>
      </c>
      <c r="R117" s="17">
        <f>IF(K117="",INDEX('3_UK_L1_Input'!$D$4:$D$14,MATCH($C117,'3_UK_L1_Input'!$A$4:$A$14,0))*P117,INDEX('3_UK_L1_Input'!$D$4:$D$14,MATCH($C117,'3_UK_L1_Input'!$A$4:$A$14,0))*K117)</f>
        <v/>
      </c>
      <c r="S117" s="19">
        <f>IF(G117="","BETA CASCADE FALLBACK (dummy — replace with real beta)","REAL (Bloomberg UK)")</f>
        <v/>
      </c>
      <c r="T117" s="17">
        <f>INDEX('3_UK_L1_Input'!$C$4:$C$14,MATCH($C117,'3_UK_L1_Input'!$A$4:$A$14,0))</f>
        <v/>
      </c>
      <c r="U117" s="17">
        <f>INDEX('3_UK_L1_Input'!$C$4:$C$14,MATCH($C117,'3_UK_L1_Input'!$A$4:$A$14,0))*P117</f>
        <v/>
      </c>
      <c r="V117" s="15">
        <f>INDEX('5_UK_DefaultRisk_Input'!$D$5:$D$15,MATCH($C117,'5_UK_DefaultRisk_Input'!$A$5:$A$15,0))</f>
        <v/>
      </c>
      <c r="W117" s="15">
        <f>INDEX('5_UK_DefaultRisk_Input'!$D$20:$D$44,MATCH($E117,'5_UK_DefaultRisk_Input'!$A$20:$A$44,0))</f>
        <v/>
      </c>
      <c r="X117" s="15">
        <f>INDEX('5_UK_DefaultRisk_Input'!$D$49:$D$122,MATCH($D117,'5_UK_DefaultRisk_Input'!$A$49:$A$122,0))</f>
        <v/>
      </c>
      <c r="Y117" s="15">
        <f>INDEX('5_UK_DefaultRisk_Input'!$D$127:$D$289,MATCH($A117,'5_UK_DefaultRisk_Input'!$A$127:$A$289,0))</f>
        <v/>
      </c>
      <c r="Z117" s="16">
        <f>(W117/V117)*(X117/W117)*(Y117/X117)</f>
        <v/>
      </c>
      <c r="AA117" s="17">
        <f>INDEX('3_UK_L1_Input'!$D$4:$D$14,MATCH($C117,'3_UK_L1_Input'!$A$4:$A$14,0))*Z117</f>
        <v/>
      </c>
    </row>
    <row r="118">
      <c r="A118" s="7" t="n">
        <v>40301030</v>
      </c>
      <c r="B118" s="7" t="inlineStr">
        <is>
          <t>Multi-line Insurance</t>
        </is>
      </c>
      <c r="C118" s="7" t="n">
        <v>40</v>
      </c>
      <c r="D118" s="7" t="n">
        <v>403010</v>
      </c>
      <c r="E118" s="7" t="n">
        <v>4030</v>
      </c>
      <c r="F118" s="9" t="n">
        <v>9240000000</v>
      </c>
      <c r="G118" s="10" t="n">
        <v>9.529999999999999</v>
      </c>
      <c r="H118" s="16">
        <f>IFERROR(SUMPRODUCT(($C$3:$C$165=C118)*ISNUMBER($G$3:$G$165)*ISNUMBER($F$3:$F$165)*IF(ISNUMBER($F$3:$F$165),$F$3:$F$165,0)*IF(ISNUMBER($G$3:$G$165),$G$3:$G$165,0))/SUMPRODUCT(($C$3:$C$165=C118)*ISNUMBER($G$3:$G$165)*ISNUMBER($F$3:$F$165)*IF(ISNUMBER($F$3:$F$165),$F$3:$F$165,0)),"")</f>
        <v/>
      </c>
      <c r="I118" s="16">
        <f>IFERROR(SUMPRODUCT(($C$3:$C$165=C118)*ISNUMBER($G$3:$G$165)*IF(ISNUMBER($G$3:$G$165),$G$3:$G$165,0))/SUMPRODUCT(($C$3:$C$165=C118)*ISNUMBER($G$3:$G$165)),"")</f>
        <v/>
      </c>
      <c r="J118" s="16">
        <f>IF(OR(G118="",H118=""),"",G118/H118)</f>
        <v/>
      </c>
      <c r="K118" s="16">
        <f>IF(OR(G118="",I118=""),"",G118/I118)</f>
        <v/>
      </c>
      <c r="L118" s="14">
        <f>INDEX('4_UK_Beta_Input'!$D$5:$D$15,MATCH($C118,'4_UK_Beta_Input'!$A$5:$A$15,0))</f>
        <v/>
      </c>
      <c r="M118" s="14">
        <f>INDEX('4_UK_Beta_Input'!$D$20:$D$44,MATCH($E118,'4_UK_Beta_Input'!$A$20:$A$44,0))</f>
        <v/>
      </c>
      <c r="N118" s="14">
        <f>INDEX('4_UK_Beta_Input'!$D$49:$D$122,MATCH($D118,'4_UK_Beta_Input'!$A$49:$A$122,0))</f>
        <v/>
      </c>
      <c r="O118" s="14">
        <f>INDEX('4_UK_Beta_Input'!$D$127:$D$289,MATCH($A118,'4_UK_Beta_Input'!$A$127:$A$289,0))</f>
        <v/>
      </c>
      <c r="P118" s="16">
        <f>(M118/L118)*(N118/M118)*(O118/N118)</f>
        <v/>
      </c>
      <c r="Q118" s="17">
        <f>IF(J118="",INDEX('3_UK_L1_Input'!$D$4:$D$14,MATCH($C118,'3_UK_L1_Input'!$A$4:$A$14,0))*P118,INDEX('3_UK_L1_Input'!$D$4:$D$14,MATCH($C118,'3_UK_L1_Input'!$A$4:$A$14,0))*J118)</f>
        <v/>
      </c>
      <c r="R118" s="17">
        <f>IF(K118="",INDEX('3_UK_L1_Input'!$D$4:$D$14,MATCH($C118,'3_UK_L1_Input'!$A$4:$A$14,0))*P118,INDEX('3_UK_L1_Input'!$D$4:$D$14,MATCH($C118,'3_UK_L1_Input'!$A$4:$A$14,0))*K118)</f>
        <v/>
      </c>
      <c r="S118" s="18">
        <f>IF(G118="","BETA CASCADE FALLBACK (dummy — replace with real beta)","REAL (Bloomberg UK)")</f>
        <v/>
      </c>
      <c r="T118" s="17">
        <f>INDEX('3_UK_L1_Input'!$C$4:$C$14,MATCH($C118,'3_UK_L1_Input'!$A$4:$A$14,0))</f>
        <v/>
      </c>
      <c r="U118" s="17">
        <f>INDEX('3_UK_L1_Input'!$C$4:$C$14,MATCH($C118,'3_UK_L1_Input'!$A$4:$A$14,0))*P118</f>
        <v/>
      </c>
      <c r="V118" s="15">
        <f>INDEX('5_UK_DefaultRisk_Input'!$D$5:$D$15,MATCH($C118,'5_UK_DefaultRisk_Input'!$A$5:$A$15,0))</f>
        <v/>
      </c>
      <c r="W118" s="15">
        <f>INDEX('5_UK_DefaultRisk_Input'!$D$20:$D$44,MATCH($E118,'5_UK_DefaultRisk_Input'!$A$20:$A$44,0))</f>
        <v/>
      </c>
      <c r="X118" s="15">
        <f>INDEX('5_UK_DefaultRisk_Input'!$D$49:$D$122,MATCH($D118,'5_UK_DefaultRisk_Input'!$A$49:$A$122,0))</f>
        <v/>
      </c>
      <c r="Y118" s="15">
        <f>INDEX('5_UK_DefaultRisk_Input'!$D$127:$D$289,MATCH($A118,'5_UK_DefaultRisk_Input'!$A$127:$A$289,0))</f>
        <v/>
      </c>
      <c r="Z118" s="16">
        <f>(W118/V118)*(X118/W118)*(Y118/X118)</f>
        <v/>
      </c>
      <c r="AA118" s="17">
        <f>INDEX('3_UK_L1_Input'!$D$4:$D$14,MATCH($C118,'3_UK_L1_Input'!$A$4:$A$14,0))*Z118</f>
        <v/>
      </c>
    </row>
    <row r="119">
      <c r="A119" s="7" t="n">
        <v>40301040</v>
      </c>
      <c r="B119" s="7" t="inlineStr">
        <is>
          <t>Property &amp; Casualty Insurance</t>
        </is>
      </c>
      <c r="C119" s="7" t="n">
        <v>40</v>
      </c>
      <c r="D119" s="7" t="n">
        <v>403010</v>
      </c>
      <c r="E119" s="7" t="n">
        <v>4030</v>
      </c>
      <c r="F119" s="9" t="n">
        <v>2690000000</v>
      </c>
      <c r="G119" s="8" t="n"/>
      <c r="H119" s="16">
        <f>IFERROR(SUMPRODUCT(($C$3:$C$165=C119)*ISNUMBER($G$3:$G$165)*ISNUMBER($F$3:$F$165)*IF(ISNUMBER($F$3:$F$165),$F$3:$F$165,0)*IF(ISNUMBER($G$3:$G$165),$G$3:$G$165,0))/SUMPRODUCT(($C$3:$C$165=C119)*ISNUMBER($G$3:$G$165)*ISNUMBER($F$3:$F$165)*IF(ISNUMBER($F$3:$F$165),$F$3:$F$165,0)),"")</f>
        <v/>
      </c>
      <c r="I119" s="16">
        <f>IFERROR(SUMPRODUCT(($C$3:$C$165=C119)*ISNUMBER($G$3:$G$165)*IF(ISNUMBER($G$3:$G$165),$G$3:$G$165,0))/SUMPRODUCT(($C$3:$C$165=C119)*ISNUMBER($G$3:$G$165)),"")</f>
        <v/>
      </c>
      <c r="J119" s="16">
        <f>IF(OR(G119="",H119=""),"",G119/H119)</f>
        <v/>
      </c>
      <c r="K119" s="16">
        <f>IF(OR(G119="",I119=""),"",G119/I119)</f>
        <v/>
      </c>
      <c r="L119" s="14">
        <f>INDEX('4_UK_Beta_Input'!$D$5:$D$15,MATCH($C119,'4_UK_Beta_Input'!$A$5:$A$15,0))</f>
        <v/>
      </c>
      <c r="M119" s="14">
        <f>INDEX('4_UK_Beta_Input'!$D$20:$D$44,MATCH($E119,'4_UK_Beta_Input'!$A$20:$A$44,0))</f>
        <v/>
      </c>
      <c r="N119" s="14">
        <f>INDEX('4_UK_Beta_Input'!$D$49:$D$122,MATCH($D119,'4_UK_Beta_Input'!$A$49:$A$122,0))</f>
        <v/>
      </c>
      <c r="O119" s="14">
        <f>INDEX('4_UK_Beta_Input'!$D$127:$D$289,MATCH($A119,'4_UK_Beta_Input'!$A$127:$A$289,0))</f>
        <v/>
      </c>
      <c r="P119" s="16">
        <f>(M119/L119)*(N119/M119)*(O119/N119)</f>
        <v/>
      </c>
      <c r="Q119" s="17">
        <f>IF(J119="",INDEX('3_UK_L1_Input'!$D$4:$D$14,MATCH($C119,'3_UK_L1_Input'!$A$4:$A$14,0))*P119,INDEX('3_UK_L1_Input'!$D$4:$D$14,MATCH($C119,'3_UK_L1_Input'!$A$4:$A$14,0))*J119)</f>
        <v/>
      </c>
      <c r="R119" s="17">
        <f>IF(K119="",INDEX('3_UK_L1_Input'!$D$4:$D$14,MATCH($C119,'3_UK_L1_Input'!$A$4:$A$14,0))*P119,INDEX('3_UK_L1_Input'!$D$4:$D$14,MATCH($C119,'3_UK_L1_Input'!$A$4:$A$14,0))*K119)</f>
        <v/>
      </c>
      <c r="S119" s="19">
        <f>IF(G119="","BETA CASCADE FALLBACK (dummy — replace with real beta)","REAL (Bloomberg UK)")</f>
        <v/>
      </c>
      <c r="T119" s="17">
        <f>INDEX('3_UK_L1_Input'!$C$4:$C$14,MATCH($C119,'3_UK_L1_Input'!$A$4:$A$14,0))</f>
        <v/>
      </c>
      <c r="U119" s="17">
        <f>INDEX('3_UK_L1_Input'!$C$4:$C$14,MATCH($C119,'3_UK_L1_Input'!$A$4:$A$14,0))*P119</f>
        <v/>
      </c>
      <c r="V119" s="15">
        <f>INDEX('5_UK_DefaultRisk_Input'!$D$5:$D$15,MATCH($C119,'5_UK_DefaultRisk_Input'!$A$5:$A$15,0))</f>
        <v/>
      </c>
      <c r="W119" s="15">
        <f>INDEX('5_UK_DefaultRisk_Input'!$D$20:$D$44,MATCH($E119,'5_UK_DefaultRisk_Input'!$A$20:$A$44,0))</f>
        <v/>
      </c>
      <c r="X119" s="15">
        <f>INDEX('5_UK_DefaultRisk_Input'!$D$49:$D$122,MATCH($D119,'5_UK_DefaultRisk_Input'!$A$49:$A$122,0))</f>
        <v/>
      </c>
      <c r="Y119" s="15">
        <f>INDEX('5_UK_DefaultRisk_Input'!$D$127:$D$289,MATCH($A119,'5_UK_DefaultRisk_Input'!$A$127:$A$289,0))</f>
        <v/>
      </c>
      <c r="Z119" s="16">
        <f>(W119/V119)*(X119/W119)*(Y119/X119)</f>
        <v/>
      </c>
      <c r="AA119" s="17">
        <f>INDEX('3_UK_L1_Input'!$D$4:$D$14,MATCH($C119,'3_UK_L1_Input'!$A$4:$A$14,0))*Z119</f>
        <v/>
      </c>
    </row>
    <row r="120">
      <c r="A120" s="7" t="n">
        <v>40301050</v>
      </c>
      <c r="B120" s="7" t="inlineStr">
        <is>
          <t>Reinsurance</t>
        </is>
      </c>
      <c r="C120" s="7" t="n">
        <v>40</v>
      </c>
      <c r="D120" s="7" t="n">
        <v>403010</v>
      </c>
      <c r="E120" s="7" t="n">
        <v>4030</v>
      </c>
      <c r="F120" s="8" t="n"/>
      <c r="G120" s="8" t="n"/>
      <c r="H120" s="16">
        <f>IFERROR(SUMPRODUCT(($C$3:$C$165=C120)*ISNUMBER($G$3:$G$165)*ISNUMBER($F$3:$F$165)*IF(ISNUMBER($F$3:$F$165),$F$3:$F$165,0)*IF(ISNUMBER($G$3:$G$165),$G$3:$G$165,0))/SUMPRODUCT(($C$3:$C$165=C120)*ISNUMBER($G$3:$G$165)*ISNUMBER($F$3:$F$165)*IF(ISNUMBER($F$3:$F$165),$F$3:$F$165,0)),"")</f>
        <v/>
      </c>
      <c r="I120" s="16">
        <f>IFERROR(SUMPRODUCT(($C$3:$C$165=C120)*ISNUMBER($G$3:$G$165)*IF(ISNUMBER($G$3:$G$165),$G$3:$G$165,0))/SUMPRODUCT(($C$3:$C$165=C120)*ISNUMBER($G$3:$G$165)),"")</f>
        <v/>
      </c>
      <c r="J120" s="16">
        <f>IF(OR(G120="",H120=""),"",G120/H120)</f>
        <v/>
      </c>
      <c r="K120" s="16">
        <f>IF(OR(G120="",I120=""),"",G120/I120)</f>
        <v/>
      </c>
      <c r="L120" s="14">
        <f>INDEX('4_UK_Beta_Input'!$D$5:$D$15,MATCH($C120,'4_UK_Beta_Input'!$A$5:$A$15,0))</f>
        <v/>
      </c>
      <c r="M120" s="14">
        <f>INDEX('4_UK_Beta_Input'!$D$20:$D$44,MATCH($E120,'4_UK_Beta_Input'!$A$20:$A$44,0))</f>
        <v/>
      </c>
      <c r="N120" s="14">
        <f>INDEX('4_UK_Beta_Input'!$D$49:$D$122,MATCH($D120,'4_UK_Beta_Input'!$A$49:$A$122,0))</f>
        <v/>
      </c>
      <c r="O120" s="14">
        <f>INDEX('4_UK_Beta_Input'!$D$127:$D$289,MATCH($A120,'4_UK_Beta_Input'!$A$127:$A$289,0))</f>
        <v/>
      </c>
      <c r="P120" s="16">
        <f>(M120/L120)*(N120/M120)*(O120/N120)</f>
        <v/>
      </c>
      <c r="Q120" s="17">
        <f>IF(J120="",INDEX('3_UK_L1_Input'!$D$4:$D$14,MATCH($C120,'3_UK_L1_Input'!$A$4:$A$14,0))*P120,INDEX('3_UK_L1_Input'!$D$4:$D$14,MATCH($C120,'3_UK_L1_Input'!$A$4:$A$14,0))*J120)</f>
        <v/>
      </c>
      <c r="R120" s="17">
        <f>IF(K120="",INDEX('3_UK_L1_Input'!$D$4:$D$14,MATCH($C120,'3_UK_L1_Input'!$A$4:$A$14,0))*P120,INDEX('3_UK_L1_Input'!$D$4:$D$14,MATCH($C120,'3_UK_L1_Input'!$A$4:$A$14,0))*K120)</f>
        <v/>
      </c>
      <c r="S120" s="19">
        <f>IF(G120="","BETA CASCADE FALLBACK (dummy — replace with real beta)","REAL (Bloomberg UK)")</f>
        <v/>
      </c>
      <c r="T120" s="17">
        <f>INDEX('3_UK_L1_Input'!$C$4:$C$14,MATCH($C120,'3_UK_L1_Input'!$A$4:$A$14,0))</f>
        <v/>
      </c>
      <c r="U120" s="17">
        <f>INDEX('3_UK_L1_Input'!$C$4:$C$14,MATCH($C120,'3_UK_L1_Input'!$A$4:$A$14,0))*P120</f>
        <v/>
      </c>
      <c r="V120" s="15">
        <f>INDEX('5_UK_DefaultRisk_Input'!$D$5:$D$15,MATCH($C120,'5_UK_DefaultRisk_Input'!$A$5:$A$15,0))</f>
        <v/>
      </c>
      <c r="W120" s="15">
        <f>INDEX('5_UK_DefaultRisk_Input'!$D$20:$D$44,MATCH($E120,'5_UK_DefaultRisk_Input'!$A$20:$A$44,0))</f>
        <v/>
      </c>
      <c r="X120" s="15">
        <f>INDEX('5_UK_DefaultRisk_Input'!$D$49:$D$122,MATCH($D120,'5_UK_DefaultRisk_Input'!$A$49:$A$122,0))</f>
        <v/>
      </c>
      <c r="Y120" s="15">
        <f>INDEX('5_UK_DefaultRisk_Input'!$D$127:$D$289,MATCH($A120,'5_UK_DefaultRisk_Input'!$A$127:$A$289,0))</f>
        <v/>
      </c>
      <c r="Z120" s="16">
        <f>(W120/V120)*(X120/W120)*(Y120/X120)</f>
        <v/>
      </c>
      <c r="AA120" s="17">
        <f>INDEX('3_UK_L1_Input'!$D$4:$D$14,MATCH($C120,'3_UK_L1_Input'!$A$4:$A$14,0))*Z120</f>
        <v/>
      </c>
    </row>
    <row r="121">
      <c r="A121" s="7" t="n">
        <v>45102010</v>
      </c>
      <c r="B121" s="7" t="inlineStr">
        <is>
          <t>IT Consulting &amp; Other Services</t>
        </is>
      </c>
      <c r="C121" s="7" t="n">
        <v>45</v>
      </c>
      <c r="D121" s="7" t="n">
        <v>451020</v>
      </c>
      <c r="E121" s="7" t="n">
        <v>4510</v>
      </c>
      <c r="F121" s="9" t="n">
        <v>845570000</v>
      </c>
      <c r="G121" s="10" t="n">
        <v>9.31</v>
      </c>
      <c r="H121" s="16">
        <f>IFERROR(SUMPRODUCT(($C$3:$C$165=C121)*ISNUMBER($G$3:$G$165)*ISNUMBER($F$3:$F$165)*IF(ISNUMBER($F$3:$F$165),$F$3:$F$165,0)*IF(ISNUMBER($G$3:$G$165),$G$3:$G$165,0))/SUMPRODUCT(($C$3:$C$165=C121)*ISNUMBER($G$3:$G$165)*ISNUMBER($F$3:$F$165)*IF(ISNUMBER($F$3:$F$165),$F$3:$F$165,0)),"")</f>
        <v/>
      </c>
      <c r="I121" s="16">
        <f>IFERROR(SUMPRODUCT(($C$3:$C$165=C121)*ISNUMBER($G$3:$G$165)*IF(ISNUMBER($G$3:$G$165),$G$3:$G$165,0))/SUMPRODUCT(($C$3:$C$165=C121)*ISNUMBER($G$3:$G$165)),"")</f>
        <v/>
      </c>
      <c r="J121" s="16">
        <f>IF(OR(G121="",H121=""),"",G121/H121)</f>
        <v/>
      </c>
      <c r="K121" s="16">
        <f>IF(OR(G121="",I121=""),"",G121/I121)</f>
        <v/>
      </c>
      <c r="L121" s="14">
        <f>INDEX('4_UK_Beta_Input'!$D$5:$D$15,MATCH($C121,'4_UK_Beta_Input'!$A$5:$A$15,0))</f>
        <v/>
      </c>
      <c r="M121" s="14">
        <f>INDEX('4_UK_Beta_Input'!$D$20:$D$44,MATCH($E121,'4_UK_Beta_Input'!$A$20:$A$44,0))</f>
        <v/>
      </c>
      <c r="N121" s="14">
        <f>INDEX('4_UK_Beta_Input'!$D$49:$D$122,MATCH($D121,'4_UK_Beta_Input'!$A$49:$A$122,0))</f>
        <v/>
      </c>
      <c r="O121" s="14">
        <f>INDEX('4_UK_Beta_Input'!$D$127:$D$289,MATCH($A121,'4_UK_Beta_Input'!$A$127:$A$289,0))</f>
        <v/>
      </c>
      <c r="P121" s="16">
        <f>(M121/L121)*(N121/M121)*(O121/N121)</f>
        <v/>
      </c>
      <c r="Q121" s="17">
        <f>IF(J121="",INDEX('3_UK_L1_Input'!$D$4:$D$14,MATCH($C121,'3_UK_L1_Input'!$A$4:$A$14,0))*P121,INDEX('3_UK_L1_Input'!$D$4:$D$14,MATCH($C121,'3_UK_L1_Input'!$A$4:$A$14,0))*J121)</f>
        <v/>
      </c>
      <c r="R121" s="17">
        <f>IF(K121="",INDEX('3_UK_L1_Input'!$D$4:$D$14,MATCH($C121,'3_UK_L1_Input'!$A$4:$A$14,0))*P121,INDEX('3_UK_L1_Input'!$D$4:$D$14,MATCH($C121,'3_UK_L1_Input'!$A$4:$A$14,0))*K121)</f>
        <v/>
      </c>
      <c r="S121" s="18">
        <f>IF(G121="","BETA CASCADE FALLBACK (dummy — replace with real beta)","REAL (Bloomberg UK)")</f>
        <v/>
      </c>
      <c r="T121" s="17">
        <f>INDEX('3_UK_L1_Input'!$C$4:$C$14,MATCH($C121,'3_UK_L1_Input'!$A$4:$A$14,0))</f>
        <v/>
      </c>
      <c r="U121" s="17">
        <f>INDEX('3_UK_L1_Input'!$C$4:$C$14,MATCH($C121,'3_UK_L1_Input'!$A$4:$A$14,0))*P121</f>
        <v/>
      </c>
      <c r="V121" s="15">
        <f>INDEX('5_UK_DefaultRisk_Input'!$D$5:$D$15,MATCH($C121,'5_UK_DefaultRisk_Input'!$A$5:$A$15,0))</f>
        <v/>
      </c>
      <c r="W121" s="15">
        <f>INDEX('5_UK_DefaultRisk_Input'!$D$20:$D$44,MATCH($E121,'5_UK_DefaultRisk_Input'!$A$20:$A$44,0))</f>
        <v/>
      </c>
      <c r="X121" s="15">
        <f>INDEX('5_UK_DefaultRisk_Input'!$D$49:$D$122,MATCH($D121,'5_UK_DefaultRisk_Input'!$A$49:$A$122,0))</f>
        <v/>
      </c>
      <c r="Y121" s="15">
        <f>INDEX('5_UK_DefaultRisk_Input'!$D$127:$D$289,MATCH($A121,'5_UK_DefaultRisk_Input'!$A$127:$A$289,0))</f>
        <v/>
      </c>
      <c r="Z121" s="16">
        <f>(W121/V121)*(X121/W121)*(Y121/X121)</f>
        <v/>
      </c>
      <c r="AA121" s="17">
        <f>INDEX('3_UK_L1_Input'!$D$4:$D$14,MATCH($C121,'3_UK_L1_Input'!$A$4:$A$14,0))*Z121</f>
        <v/>
      </c>
    </row>
    <row r="122">
      <c r="A122" s="7" t="n">
        <v>45102030</v>
      </c>
      <c r="B122" s="7" t="inlineStr">
        <is>
          <t>Internet Services &amp; Infrastructure</t>
        </is>
      </c>
      <c r="C122" s="7" t="n">
        <v>45</v>
      </c>
      <c r="D122" s="7" t="n">
        <v>451020</v>
      </c>
      <c r="E122" s="7" t="n">
        <v>4510</v>
      </c>
      <c r="F122" s="9" t="n">
        <v>85470000</v>
      </c>
      <c r="G122" s="10" t="n">
        <v>7.59</v>
      </c>
      <c r="H122" s="16">
        <f>IFERROR(SUMPRODUCT(($C$3:$C$165=C122)*ISNUMBER($G$3:$G$165)*ISNUMBER($F$3:$F$165)*IF(ISNUMBER($F$3:$F$165),$F$3:$F$165,0)*IF(ISNUMBER($G$3:$G$165),$G$3:$G$165,0))/SUMPRODUCT(($C$3:$C$165=C122)*ISNUMBER($G$3:$G$165)*ISNUMBER($F$3:$F$165)*IF(ISNUMBER($F$3:$F$165),$F$3:$F$165,0)),"")</f>
        <v/>
      </c>
      <c r="I122" s="16">
        <f>IFERROR(SUMPRODUCT(($C$3:$C$165=C122)*ISNUMBER($G$3:$G$165)*IF(ISNUMBER($G$3:$G$165),$G$3:$G$165,0))/SUMPRODUCT(($C$3:$C$165=C122)*ISNUMBER($G$3:$G$165)),"")</f>
        <v/>
      </c>
      <c r="J122" s="16">
        <f>IF(OR(G122="",H122=""),"",G122/H122)</f>
        <v/>
      </c>
      <c r="K122" s="16">
        <f>IF(OR(G122="",I122=""),"",G122/I122)</f>
        <v/>
      </c>
      <c r="L122" s="14">
        <f>INDEX('4_UK_Beta_Input'!$D$5:$D$15,MATCH($C122,'4_UK_Beta_Input'!$A$5:$A$15,0))</f>
        <v/>
      </c>
      <c r="M122" s="14">
        <f>INDEX('4_UK_Beta_Input'!$D$20:$D$44,MATCH($E122,'4_UK_Beta_Input'!$A$20:$A$44,0))</f>
        <v/>
      </c>
      <c r="N122" s="14">
        <f>INDEX('4_UK_Beta_Input'!$D$49:$D$122,MATCH($D122,'4_UK_Beta_Input'!$A$49:$A$122,0))</f>
        <v/>
      </c>
      <c r="O122" s="14">
        <f>INDEX('4_UK_Beta_Input'!$D$127:$D$289,MATCH($A122,'4_UK_Beta_Input'!$A$127:$A$289,0))</f>
        <v/>
      </c>
      <c r="P122" s="16">
        <f>(M122/L122)*(N122/M122)*(O122/N122)</f>
        <v/>
      </c>
      <c r="Q122" s="17">
        <f>IF(J122="",INDEX('3_UK_L1_Input'!$D$4:$D$14,MATCH($C122,'3_UK_L1_Input'!$A$4:$A$14,0))*P122,INDEX('3_UK_L1_Input'!$D$4:$D$14,MATCH($C122,'3_UK_L1_Input'!$A$4:$A$14,0))*J122)</f>
        <v/>
      </c>
      <c r="R122" s="17">
        <f>IF(K122="",INDEX('3_UK_L1_Input'!$D$4:$D$14,MATCH($C122,'3_UK_L1_Input'!$A$4:$A$14,0))*P122,INDEX('3_UK_L1_Input'!$D$4:$D$14,MATCH($C122,'3_UK_L1_Input'!$A$4:$A$14,0))*K122)</f>
        <v/>
      </c>
      <c r="S122" s="18">
        <f>IF(G122="","BETA CASCADE FALLBACK (dummy — replace with real beta)","REAL (Bloomberg UK)")</f>
        <v/>
      </c>
      <c r="T122" s="17">
        <f>INDEX('3_UK_L1_Input'!$C$4:$C$14,MATCH($C122,'3_UK_L1_Input'!$A$4:$A$14,0))</f>
        <v/>
      </c>
      <c r="U122" s="17">
        <f>INDEX('3_UK_L1_Input'!$C$4:$C$14,MATCH($C122,'3_UK_L1_Input'!$A$4:$A$14,0))*P122</f>
        <v/>
      </c>
      <c r="V122" s="15">
        <f>INDEX('5_UK_DefaultRisk_Input'!$D$5:$D$15,MATCH($C122,'5_UK_DefaultRisk_Input'!$A$5:$A$15,0))</f>
        <v/>
      </c>
      <c r="W122" s="15">
        <f>INDEX('5_UK_DefaultRisk_Input'!$D$20:$D$44,MATCH($E122,'5_UK_DefaultRisk_Input'!$A$20:$A$44,0))</f>
        <v/>
      </c>
      <c r="X122" s="15">
        <f>INDEX('5_UK_DefaultRisk_Input'!$D$49:$D$122,MATCH($D122,'5_UK_DefaultRisk_Input'!$A$49:$A$122,0))</f>
        <v/>
      </c>
      <c r="Y122" s="15">
        <f>INDEX('5_UK_DefaultRisk_Input'!$D$127:$D$289,MATCH($A122,'5_UK_DefaultRisk_Input'!$A$127:$A$289,0))</f>
        <v/>
      </c>
      <c r="Z122" s="16">
        <f>(W122/V122)*(X122/W122)*(Y122/X122)</f>
        <v/>
      </c>
      <c r="AA122" s="17">
        <f>INDEX('3_UK_L1_Input'!$D$4:$D$14,MATCH($C122,'3_UK_L1_Input'!$A$4:$A$14,0))*Z122</f>
        <v/>
      </c>
    </row>
    <row r="123">
      <c r="A123" s="7" t="n">
        <v>45103010</v>
      </c>
      <c r="B123" s="7" t="inlineStr">
        <is>
          <t>Application Software</t>
        </is>
      </c>
      <c r="C123" s="7" t="n">
        <v>45</v>
      </c>
      <c r="D123" s="7" t="n">
        <v>451030</v>
      </c>
      <c r="E123" s="7" t="n">
        <v>4510</v>
      </c>
      <c r="F123" s="9" t="n">
        <v>100060000</v>
      </c>
      <c r="G123" s="10" t="n">
        <v>12.1</v>
      </c>
      <c r="H123" s="16">
        <f>IFERROR(SUMPRODUCT(($C$3:$C$165=C123)*ISNUMBER($G$3:$G$165)*ISNUMBER($F$3:$F$165)*IF(ISNUMBER($F$3:$F$165),$F$3:$F$165,0)*IF(ISNUMBER($G$3:$G$165),$G$3:$G$165,0))/SUMPRODUCT(($C$3:$C$165=C123)*ISNUMBER($G$3:$G$165)*ISNUMBER($F$3:$F$165)*IF(ISNUMBER($F$3:$F$165),$F$3:$F$165,0)),"")</f>
        <v/>
      </c>
      <c r="I123" s="16">
        <f>IFERROR(SUMPRODUCT(($C$3:$C$165=C123)*ISNUMBER($G$3:$G$165)*IF(ISNUMBER($G$3:$G$165),$G$3:$G$165,0))/SUMPRODUCT(($C$3:$C$165=C123)*ISNUMBER($G$3:$G$165)),"")</f>
        <v/>
      </c>
      <c r="J123" s="16">
        <f>IF(OR(G123="",H123=""),"",G123/H123)</f>
        <v/>
      </c>
      <c r="K123" s="16">
        <f>IF(OR(G123="",I123=""),"",G123/I123)</f>
        <v/>
      </c>
      <c r="L123" s="14">
        <f>INDEX('4_UK_Beta_Input'!$D$5:$D$15,MATCH($C123,'4_UK_Beta_Input'!$A$5:$A$15,0))</f>
        <v/>
      </c>
      <c r="M123" s="14">
        <f>INDEX('4_UK_Beta_Input'!$D$20:$D$44,MATCH($E123,'4_UK_Beta_Input'!$A$20:$A$44,0))</f>
        <v/>
      </c>
      <c r="N123" s="14">
        <f>INDEX('4_UK_Beta_Input'!$D$49:$D$122,MATCH($D123,'4_UK_Beta_Input'!$A$49:$A$122,0))</f>
        <v/>
      </c>
      <c r="O123" s="14">
        <f>INDEX('4_UK_Beta_Input'!$D$127:$D$289,MATCH($A123,'4_UK_Beta_Input'!$A$127:$A$289,0))</f>
        <v/>
      </c>
      <c r="P123" s="16">
        <f>(M123/L123)*(N123/M123)*(O123/N123)</f>
        <v/>
      </c>
      <c r="Q123" s="17">
        <f>IF(J123="",INDEX('3_UK_L1_Input'!$D$4:$D$14,MATCH($C123,'3_UK_L1_Input'!$A$4:$A$14,0))*P123,INDEX('3_UK_L1_Input'!$D$4:$D$14,MATCH($C123,'3_UK_L1_Input'!$A$4:$A$14,0))*J123)</f>
        <v/>
      </c>
      <c r="R123" s="17">
        <f>IF(K123="",INDEX('3_UK_L1_Input'!$D$4:$D$14,MATCH($C123,'3_UK_L1_Input'!$A$4:$A$14,0))*P123,INDEX('3_UK_L1_Input'!$D$4:$D$14,MATCH($C123,'3_UK_L1_Input'!$A$4:$A$14,0))*K123)</f>
        <v/>
      </c>
      <c r="S123" s="18">
        <f>IF(G123="","BETA CASCADE FALLBACK (dummy — replace with real beta)","REAL (Bloomberg UK)")</f>
        <v/>
      </c>
      <c r="T123" s="17">
        <f>INDEX('3_UK_L1_Input'!$C$4:$C$14,MATCH($C123,'3_UK_L1_Input'!$A$4:$A$14,0))</f>
        <v/>
      </c>
      <c r="U123" s="17">
        <f>INDEX('3_UK_L1_Input'!$C$4:$C$14,MATCH($C123,'3_UK_L1_Input'!$A$4:$A$14,0))*P123</f>
        <v/>
      </c>
      <c r="V123" s="15">
        <f>INDEX('5_UK_DefaultRisk_Input'!$D$5:$D$15,MATCH($C123,'5_UK_DefaultRisk_Input'!$A$5:$A$15,0))</f>
        <v/>
      </c>
      <c r="W123" s="15">
        <f>INDEX('5_UK_DefaultRisk_Input'!$D$20:$D$44,MATCH($E123,'5_UK_DefaultRisk_Input'!$A$20:$A$44,0))</f>
        <v/>
      </c>
      <c r="X123" s="15">
        <f>INDEX('5_UK_DefaultRisk_Input'!$D$49:$D$122,MATCH($D123,'5_UK_DefaultRisk_Input'!$A$49:$A$122,0))</f>
        <v/>
      </c>
      <c r="Y123" s="15">
        <f>INDEX('5_UK_DefaultRisk_Input'!$D$127:$D$289,MATCH($A123,'5_UK_DefaultRisk_Input'!$A$127:$A$289,0))</f>
        <v/>
      </c>
      <c r="Z123" s="16">
        <f>(W123/V123)*(X123/W123)*(Y123/X123)</f>
        <v/>
      </c>
      <c r="AA123" s="17">
        <f>INDEX('3_UK_L1_Input'!$D$4:$D$14,MATCH($C123,'3_UK_L1_Input'!$A$4:$A$14,0))*Z123</f>
        <v/>
      </c>
    </row>
    <row r="124">
      <c r="A124" s="7" t="n">
        <v>45103020</v>
      </c>
      <c r="B124" s="7" t="inlineStr">
        <is>
          <t>Systems Software</t>
        </is>
      </c>
      <c r="C124" s="7" t="n">
        <v>45</v>
      </c>
      <c r="D124" s="7" t="n">
        <v>451030</v>
      </c>
      <c r="E124" s="7" t="n">
        <v>4510</v>
      </c>
      <c r="F124" s="9" t="n">
        <v>14860000</v>
      </c>
      <c r="G124" s="10" t="n">
        <v>19.39</v>
      </c>
      <c r="H124" s="16">
        <f>IFERROR(SUMPRODUCT(($C$3:$C$165=C124)*ISNUMBER($G$3:$G$165)*ISNUMBER($F$3:$F$165)*IF(ISNUMBER($F$3:$F$165),$F$3:$F$165,0)*IF(ISNUMBER($G$3:$G$165),$G$3:$G$165,0))/SUMPRODUCT(($C$3:$C$165=C124)*ISNUMBER($G$3:$G$165)*ISNUMBER($F$3:$F$165)*IF(ISNUMBER($F$3:$F$165),$F$3:$F$165,0)),"")</f>
        <v/>
      </c>
      <c r="I124" s="16">
        <f>IFERROR(SUMPRODUCT(($C$3:$C$165=C124)*ISNUMBER($G$3:$G$165)*IF(ISNUMBER($G$3:$G$165),$G$3:$G$165,0))/SUMPRODUCT(($C$3:$C$165=C124)*ISNUMBER($G$3:$G$165)),"")</f>
        <v/>
      </c>
      <c r="J124" s="16">
        <f>IF(OR(G124="",H124=""),"",G124/H124)</f>
        <v/>
      </c>
      <c r="K124" s="16">
        <f>IF(OR(G124="",I124=""),"",G124/I124)</f>
        <v/>
      </c>
      <c r="L124" s="14">
        <f>INDEX('4_UK_Beta_Input'!$D$5:$D$15,MATCH($C124,'4_UK_Beta_Input'!$A$5:$A$15,0))</f>
        <v/>
      </c>
      <c r="M124" s="14">
        <f>INDEX('4_UK_Beta_Input'!$D$20:$D$44,MATCH($E124,'4_UK_Beta_Input'!$A$20:$A$44,0))</f>
        <v/>
      </c>
      <c r="N124" s="14">
        <f>INDEX('4_UK_Beta_Input'!$D$49:$D$122,MATCH($D124,'4_UK_Beta_Input'!$A$49:$A$122,0))</f>
        <v/>
      </c>
      <c r="O124" s="14">
        <f>INDEX('4_UK_Beta_Input'!$D$127:$D$289,MATCH($A124,'4_UK_Beta_Input'!$A$127:$A$289,0))</f>
        <v/>
      </c>
      <c r="P124" s="16">
        <f>(M124/L124)*(N124/M124)*(O124/N124)</f>
        <v/>
      </c>
      <c r="Q124" s="17">
        <f>IF(J124="",INDEX('3_UK_L1_Input'!$D$4:$D$14,MATCH($C124,'3_UK_L1_Input'!$A$4:$A$14,0))*P124,INDEX('3_UK_L1_Input'!$D$4:$D$14,MATCH($C124,'3_UK_L1_Input'!$A$4:$A$14,0))*J124)</f>
        <v/>
      </c>
      <c r="R124" s="17">
        <f>IF(K124="",INDEX('3_UK_L1_Input'!$D$4:$D$14,MATCH($C124,'3_UK_L1_Input'!$A$4:$A$14,0))*P124,INDEX('3_UK_L1_Input'!$D$4:$D$14,MATCH($C124,'3_UK_L1_Input'!$A$4:$A$14,0))*K124)</f>
        <v/>
      </c>
      <c r="S124" s="18">
        <f>IF(G124="","BETA CASCADE FALLBACK (dummy — replace with real beta)","REAL (Bloomberg UK)")</f>
        <v/>
      </c>
      <c r="T124" s="17">
        <f>INDEX('3_UK_L1_Input'!$C$4:$C$14,MATCH($C124,'3_UK_L1_Input'!$A$4:$A$14,0))</f>
        <v/>
      </c>
      <c r="U124" s="17">
        <f>INDEX('3_UK_L1_Input'!$C$4:$C$14,MATCH($C124,'3_UK_L1_Input'!$A$4:$A$14,0))*P124</f>
        <v/>
      </c>
      <c r="V124" s="15">
        <f>INDEX('5_UK_DefaultRisk_Input'!$D$5:$D$15,MATCH($C124,'5_UK_DefaultRisk_Input'!$A$5:$A$15,0))</f>
        <v/>
      </c>
      <c r="W124" s="15">
        <f>INDEX('5_UK_DefaultRisk_Input'!$D$20:$D$44,MATCH($E124,'5_UK_DefaultRisk_Input'!$A$20:$A$44,0))</f>
        <v/>
      </c>
      <c r="X124" s="15">
        <f>INDEX('5_UK_DefaultRisk_Input'!$D$49:$D$122,MATCH($D124,'5_UK_DefaultRisk_Input'!$A$49:$A$122,0))</f>
        <v/>
      </c>
      <c r="Y124" s="15">
        <f>INDEX('5_UK_DefaultRisk_Input'!$D$127:$D$289,MATCH($A124,'5_UK_DefaultRisk_Input'!$A$127:$A$289,0))</f>
        <v/>
      </c>
      <c r="Z124" s="16">
        <f>(W124/V124)*(X124/W124)*(Y124/X124)</f>
        <v/>
      </c>
      <c r="AA124" s="17">
        <f>INDEX('3_UK_L1_Input'!$D$4:$D$14,MATCH($C124,'3_UK_L1_Input'!$A$4:$A$14,0))*Z124</f>
        <v/>
      </c>
    </row>
    <row r="125">
      <c r="A125" s="7" t="n">
        <v>45201020</v>
      </c>
      <c r="B125" s="7" t="inlineStr">
        <is>
          <t>Communications Equipment</t>
        </is>
      </c>
      <c r="C125" s="7" t="n">
        <v>45</v>
      </c>
      <c r="D125" s="7" t="n">
        <v>452010</v>
      </c>
      <c r="E125" s="7" t="n">
        <v>4520</v>
      </c>
      <c r="F125" s="9" t="n">
        <v>46790000</v>
      </c>
      <c r="G125" s="10" t="n">
        <v>20.73</v>
      </c>
      <c r="H125" s="16">
        <f>IFERROR(SUMPRODUCT(($C$3:$C$165=C125)*ISNUMBER($G$3:$G$165)*ISNUMBER($F$3:$F$165)*IF(ISNUMBER($F$3:$F$165),$F$3:$F$165,0)*IF(ISNUMBER($G$3:$G$165),$G$3:$G$165,0))/SUMPRODUCT(($C$3:$C$165=C125)*ISNUMBER($G$3:$G$165)*ISNUMBER($F$3:$F$165)*IF(ISNUMBER($F$3:$F$165),$F$3:$F$165,0)),"")</f>
        <v/>
      </c>
      <c r="I125" s="16">
        <f>IFERROR(SUMPRODUCT(($C$3:$C$165=C125)*ISNUMBER($G$3:$G$165)*IF(ISNUMBER($G$3:$G$165),$G$3:$G$165,0))/SUMPRODUCT(($C$3:$C$165=C125)*ISNUMBER($G$3:$G$165)),"")</f>
        <v/>
      </c>
      <c r="J125" s="16">
        <f>IF(OR(G125="",H125=""),"",G125/H125)</f>
        <v/>
      </c>
      <c r="K125" s="16">
        <f>IF(OR(G125="",I125=""),"",G125/I125)</f>
        <v/>
      </c>
      <c r="L125" s="14">
        <f>INDEX('4_UK_Beta_Input'!$D$5:$D$15,MATCH($C125,'4_UK_Beta_Input'!$A$5:$A$15,0))</f>
        <v/>
      </c>
      <c r="M125" s="14">
        <f>INDEX('4_UK_Beta_Input'!$D$20:$D$44,MATCH($E125,'4_UK_Beta_Input'!$A$20:$A$44,0))</f>
        <v/>
      </c>
      <c r="N125" s="14">
        <f>INDEX('4_UK_Beta_Input'!$D$49:$D$122,MATCH($D125,'4_UK_Beta_Input'!$A$49:$A$122,0))</f>
        <v/>
      </c>
      <c r="O125" s="14">
        <f>INDEX('4_UK_Beta_Input'!$D$127:$D$289,MATCH($A125,'4_UK_Beta_Input'!$A$127:$A$289,0))</f>
        <v/>
      </c>
      <c r="P125" s="16">
        <f>(M125/L125)*(N125/M125)*(O125/N125)</f>
        <v/>
      </c>
      <c r="Q125" s="17">
        <f>IF(J125="",INDEX('3_UK_L1_Input'!$D$4:$D$14,MATCH($C125,'3_UK_L1_Input'!$A$4:$A$14,0))*P125,INDEX('3_UK_L1_Input'!$D$4:$D$14,MATCH($C125,'3_UK_L1_Input'!$A$4:$A$14,0))*J125)</f>
        <v/>
      </c>
      <c r="R125" s="17">
        <f>IF(K125="",INDEX('3_UK_L1_Input'!$D$4:$D$14,MATCH($C125,'3_UK_L1_Input'!$A$4:$A$14,0))*P125,INDEX('3_UK_L1_Input'!$D$4:$D$14,MATCH($C125,'3_UK_L1_Input'!$A$4:$A$14,0))*K125)</f>
        <v/>
      </c>
      <c r="S125" s="18">
        <f>IF(G125="","BETA CASCADE FALLBACK (dummy — replace with real beta)","REAL (Bloomberg UK)")</f>
        <v/>
      </c>
      <c r="T125" s="17">
        <f>INDEX('3_UK_L1_Input'!$C$4:$C$14,MATCH($C125,'3_UK_L1_Input'!$A$4:$A$14,0))</f>
        <v/>
      </c>
      <c r="U125" s="17">
        <f>INDEX('3_UK_L1_Input'!$C$4:$C$14,MATCH($C125,'3_UK_L1_Input'!$A$4:$A$14,0))*P125</f>
        <v/>
      </c>
      <c r="V125" s="15">
        <f>INDEX('5_UK_DefaultRisk_Input'!$D$5:$D$15,MATCH($C125,'5_UK_DefaultRisk_Input'!$A$5:$A$15,0))</f>
        <v/>
      </c>
      <c r="W125" s="15">
        <f>INDEX('5_UK_DefaultRisk_Input'!$D$20:$D$44,MATCH($E125,'5_UK_DefaultRisk_Input'!$A$20:$A$44,0))</f>
        <v/>
      </c>
      <c r="X125" s="15">
        <f>INDEX('5_UK_DefaultRisk_Input'!$D$49:$D$122,MATCH($D125,'5_UK_DefaultRisk_Input'!$A$49:$A$122,0))</f>
        <v/>
      </c>
      <c r="Y125" s="15">
        <f>INDEX('5_UK_DefaultRisk_Input'!$D$127:$D$289,MATCH($A125,'5_UK_DefaultRisk_Input'!$A$127:$A$289,0))</f>
        <v/>
      </c>
      <c r="Z125" s="16">
        <f>(W125/V125)*(X125/W125)*(Y125/X125)</f>
        <v/>
      </c>
      <c r="AA125" s="17">
        <f>INDEX('3_UK_L1_Input'!$D$4:$D$14,MATCH($C125,'3_UK_L1_Input'!$A$4:$A$14,0))*Z125</f>
        <v/>
      </c>
    </row>
    <row r="126">
      <c r="A126" s="7" t="n">
        <v>45202030</v>
      </c>
      <c r="B126" s="7" t="inlineStr">
        <is>
          <t>Technology Hardware, Storage &amp; Peripherals</t>
        </is>
      </c>
      <c r="C126" s="7" t="n">
        <v>45</v>
      </c>
      <c r="D126" s="7" t="n">
        <v>452020</v>
      </c>
      <c r="E126" s="7" t="n">
        <v>4520</v>
      </c>
      <c r="F126" s="9" t="n">
        <v>143870000</v>
      </c>
      <c r="G126" s="10" t="n">
        <v>25.1</v>
      </c>
      <c r="H126" s="16">
        <f>IFERROR(SUMPRODUCT(($C$3:$C$165=C126)*ISNUMBER($G$3:$G$165)*ISNUMBER($F$3:$F$165)*IF(ISNUMBER($F$3:$F$165),$F$3:$F$165,0)*IF(ISNUMBER($G$3:$G$165),$G$3:$G$165,0))/SUMPRODUCT(($C$3:$C$165=C126)*ISNUMBER($G$3:$G$165)*ISNUMBER($F$3:$F$165)*IF(ISNUMBER($F$3:$F$165),$F$3:$F$165,0)),"")</f>
        <v/>
      </c>
      <c r="I126" s="16">
        <f>IFERROR(SUMPRODUCT(($C$3:$C$165=C126)*ISNUMBER($G$3:$G$165)*IF(ISNUMBER($G$3:$G$165),$G$3:$G$165,0))/SUMPRODUCT(($C$3:$C$165=C126)*ISNUMBER($G$3:$G$165)),"")</f>
        <v/>
      </c>
      <c r="J126" s="16">
        <f>IF(OR(G126="",H126=""),"",G126/H126)</f>
        <v/>
      </c>
      <c r="K126" s="16">
        <f>IF(OR(G126="",I126=""),"",G126/I126)</f>
        <v/>
      </c>
      <c r="L126" s="14">
        <f>INDEX('4_UK_Beta_Input'!$D$5:$D$15,MATCH($C126,'4_UK_Beta_Input'!$A$5:$A$15,0))</f>
        <v/>
      </c>
      <c r="M126" s="14">
        <f>INDEX('4_UK_Beta_Input'!$D$20:$D$44,MATCH($E126,'4_UK_Beta_Input'!$A$20:$A$44,0))</f>
        <v/>
      </c>
      <c r="N126" s="14">
        <f>INDEX('4_UK_Beta_Input'!$D$49:$D$122,MATCH($D126,'4_UK_Beta_Input'!$A$49:$A$122,0))</f>
        <v/>
      </c>
      <c r="O126" s="14">
        <f>INDEX('4_UK_Beta_Input'!$D$127:$D$289,MATCH($A126,'4_UK_Beta_Input'!$A$127:$A$289,0))</f>
        <v/>
      </c>
      <c r="P126" s="16">
        <f>(M126/L126)*(N126/M126)*(O126/N126)</f>
        <v/>
      </c>
      <c r="Q126" s="17">
        <f>IF(J126="",INDEX('3_UK_L1_Input'!$D$4:$D$14,MATCH($C126,'3_UK_L1_Input'!$A$4:$A$14,0))*P126,INDEX('3_UK_L1_Input'!$D$4:$D$14,MATCH($C126,'3_UK_L1_Input'!$A$4:$A$14,0))*J126)</f>
        <v/>
      </c>
      <c r="R126" s="17">
        <f>IF(K126="",INDEX('3_UK_L1_Input'!$D$4:$D$14,MATCH($C126,'3_UK_L1_Input'!$A$4:$A$14,0))*P126,INDEX('3_UK_L1_Input'!$D$4:$D$14,MATCH($C126,'3_UK_L1_Input'!$A$4:$A$14,0))*K126)</f>
        <v/>
      </c>
      <c r="S126" s="18">
        <f>IF(G126="","BETA CASCADE FALLBACK (dummy — replace with real beta)","REAL (Bloomberg UK)")</f>
        <v/>
      </c>
      <c r="T126" s="17">
        <f>INDEX('3_UK_L1_Input'!$C$4:$C$14,MATCH($C126,'3_UK_L1_Input'!$A$4:$A$14,0))</f>
        <v/>
      </c>
      <c r="U126" s="17">
        <f>INDEX('3_UK_L1_Input'!$C$4:$C$14,MATCH($C126,'3_UK_L1_Input'!$A$4:$A$14,0))*P126</f>
        <v/>
      </c>
      <c r="V126" s="15">
        <f>INDEX('5_UK_DefaultRisk_Input'!$D$5:$D$15,MATCH($C126,'5_UK_DefaultRisk_Input'!$A$5:$A$15,0))</f>
        <v/>
      </c>
      <c r="W126" s="15">
        <f>INDEX('5_UK_DefaultRisk_Input'!$D$20:$D$44,MATCH($E126,'5_UK_DefaultRisk_Input'!$A$20:$A$44,0))</f>
        <v/>
      </c>
      <c r="X126" s="15">
        <f>INDEX('5_UK_DefaultRisk_Input'!$D$49:$D$122,MATCH($D126,'5_UK_DefaultRisk_Input'!$A$49:$A$122,0))</f>
        <v/>
      </c>
      <c r="Y126" s="15">
        <f>INDEX('5_UK_DefaultRisk_Input'!$D$127:$D$289,MATCH($A126,'5_UK_DefaultRisk_Input'!$A$127:$A$289,0))</f>
        <v/>
      </c>
      <c r="Z126" s="16">
        <f>(W126/V126)*(X126/W126)*(Y126/X126)</f>
        <v/>
      </c>
      <c r="AA126" s="17">
        <f>INDEX('3_UK_L1_Input'!$D$4:$D$14,MATCH($C126,'3_UK_L1_Input'!$A$4:$A$14,0))*Z126</f>
        <v/>
      </c>
    </row>
    <row r="127">
      <c r="A127" s="7" t="n">
        <v>45203010</v>
      </c>
      <c r="B127" s="7" t="inlineStr">
        <is>
          <t>Electronic Equipment &amp; Instruments</t>
        </is>
      </c>
      <c r="C127" s="7" t="n">
        <v>45</v>
      </c>
      <c r="D127" s="7" t="n">
        <v>452030</v>
      </c>
      <c r="E127" s="7" t="n">
        <v>4520</v>
      </c>
      <c r="F127" s="9" t="n">
        <v>1190000000</v>
      </c>
      <c r="G127" s="10" t="n">
        <v>10.82</v>
      </c>
      <c r="H127" s="16">
        <f>IFERROR(SUMPRODUCT(($C$3:$C$165=C127)*ISNUMBER($G$3:$G$165)*ISNUMBER($F$3:$F$165)*IF(ISNUMBER($F$3:$F$165),$F$3:$F$165,0)*IF(ISNUMBER($G$3:$G$165),$G$3:$G$165,0))/SUMPRODUCT(($C$3:$C$165=C127)*ISNUMBER($G$3:$G$165)*ISNUMBER($F$3:$F$165)*IF(ISNUMBER($F$3:$F$165),$F$3:$F$165,0)),"")</f>
        <v/>
      </c>
      <c r="I127" s="16">
        <f>IFERROR(SUMPRODUCT(($C$3:$C$165=C127)*ISNUMBER($G$3:$G$165)*IF(ISNUMBER($G$3:$G$165),$G$3:$G$165,0))/SUMPRODUCT(($C$3:$C$165=C127)*ISNUMBER($G$3:$G$165)),"")</f>
        <v/>
      </c>
      <c r="J127" s="16">
        <f>IF(OR(G127="",H127=""),"",G127/H127)</f>
        <v/>
      </c>
      <c r="K127" s="16">
        <f>IF(OR(G127="",I127=""),"",G127/I127)</f>
        <v/>
      </c>
      <c r="L127" s="14">
        <f>INDEX('4_UK_Beta_Input'!$D$5:$D$15,MATCH($C127,'4_UK_Beta_Input'!$A$5:$A$15,0))</f>
        <v/>
      </c>
      <c r="M127" s="14">
        <f>INDEX('4_UK_Beta_Input'!$D$20:$D$44,MATCH($E127,'4_UK_Beta_Input'!$A$20:$A$44,0))</f>
        <v/>
      </c>
      <c r="N127" s="14">
        <f>INDEX('4_UK_Beta_Input'!$D$49:$D$122,MATCH($D127,'4_UK_Beta_Input'!$A$49:$A$122,0))</f>
        <v/>
      </c>
      <c r="O127" s="14">
        <f>INDEX('4_UK_Beta_Input'!$D$127:$D$289,MATCH($A127,'4_UK_Beta_Input'!$A$127:$A$289,0))</f>
        <v/>
      </c>
      <c r="P127" s="16">
        <f>(M127/L127)*(N127/M127)*(O127/N127)</f>
        <v/>
      </c>
      <c r="Q127" s="17">
        <f>IF(J127="",INDEX('3_UK_L1_Input'!$D$4:$D$14,MATCH($C127,'3_UK_L1_Input'!$A$4:$A$14,0))*P127,INDEX('3_UK_L1_Input'!$D$4:$D$14,MATCH($C127,'3_UK_L1_Input'!$A$4:$A$14,0))*J127)</f>
        <v/>
      </c>
      <c r="R127" s="17">
        <f>IF(K127="",INDEX('3_UK_L1_Input'!$D$4:$D$14,MATCH($C127,'3_UK_L1_Input'!$A$4:$A$14,0))*P127,INDEX('3_UK_L1_Input'!$D$4:$D$14,MATCH($C127,'3_UK_L1_Input'!$A$4:$A$14,0))*K127)</f>
        <v/>
      </c>
      <c r="S127" s="18">
        <f>IF(G127="","BETA CASCADE FALLBACK (dummy — replace with real beta)","REAL (Bloomberg UK)")</f>
        <v/>
      </c>
      <c r="T127" s="17">
        <f>INDEX('3_UK_L1_Input'!$C$4:$C$14,MATCH($C127,'3_UK_L1_Input'!$A$4:$A$14,0))</f>
        <v/>
      </c>
      <c r="U127" s="17">
        <f>INDEX('3_UK_L1_Input'!$C$4:$C$14,MATCH($C127,'3_UK_L1_Input'!$A$4:$A$14,0))*P127</f>
        <v/>
      </c>
      <c r="V127" s="15">
        <f>INDEX('5_UK_DefaultRisk_Input'!$D$5:$D$15,MATCH($C127,'5_UK_DefaultRisk_Input'!$A$5:$A$15,0))</f>
        <v/>
      </c>
      <c r="W127" s="15">
        <f>INDEX('5_UK_DefaultRisk_Input'!$D$20:$D$44,MATCH($E127,'5_UK_DefaultRisk_Input'!$A$20:$A$44,0))</f>
        <v/>
      </c>
      <c r="X127" s="15">
        <f>INDEX('5_UK_DefaultRisk_Input'!$D$49:$D$122,MATCH($D127,'5_UK_DefaultRisk_Input'!$A$49:$A$122,0))</f>
        <v/>
      </c>
      <c r="Y127" s="15">
        <f>INDEX('5_UK_DefaultRisk_Input'!$D$127:$D$289,MATCH($A127,'5_UK_DefaultRisk_Input'!$A$127:$A$289,0))</f>
        <v/>
      </c>
      <c r="Z127" s="16">
        <f>(W127/V127)*(X127/W127)*(Y127/X127)</f>
        <v/>
      </c>
      <c r="AA127" s="17">
        <f>INDEX('3_UK_L1_Input'!$D$4:$D$14,MATCH($C127,'3_UK_L1_Input'!$A$4:$A$14,0))*Z127</f>
        <v/>
      </c>
    </row>
    <row r="128">
      <c r="A128" s="7" t="n">
        <v>45203015</v>
      </c>
      <c r="B128" s="7" t="inlineStr">
        <is>
          <t>Electronic Components</t>
        </is>
      </c>
      <c r="C128" s="7" t="n">
        <v>45</v>
      </c>
      <c r="D128" s="7" t="n">
        <v>452030</v>
      </c>
      <c r="E128" s="7" t="n">
        <v>4520</v>
      </c>
      <c r="F128" s="9" t="n">
        <v>317770000</v>
      </c>
      <c r="G128" s="10" t="n">
        <v>6.98</v>
      </c>
      <c r="H128" s="16">
        <f>IFERROR(SUMPRODUCT(($C$3:$C$165=C128)*ISNUMBER($G$3:$G$165)*ISNUMBER($F$3:$F$165)*IF(ISNUMBER($F$3:$F$165),$F$3:$F$165,0)*IF(ISNUMBER($G$3:$G$165),$G$3:$G$165,0))/SUMPRODUCT(($C$3:$C$165=C128)*ISNUMBER($G$3:$G$165)*ISNUMBER($F$3:$F$165)*IF(ISNUMBER($F$3:$F$165),$F$3:$F$165,0)),"")</f>
        <v/>
      </c>
      <c r="I128" s="16">
        <f>IFERROR(SUMPRODUCT(($C$3:$C$165=C128)*ISNUMBER($G$3:$G$165)*IF(ISNUMBER($G$3:$G$165),$G$3:$G$165,0))/SUMPRODUCT(($C$3:$C$165=C128)*ISNUMBER($G$3:$G$165)),"")</f>
        <v/>
      </c>
      <c r="J128" s="16">
        <f>IF(OR(G128="",H128=""),"",G128/H128)</f>
        <v/>
      </c>
      <c r="K128" s="16">
        <f>IF(OR(G128="",I128=""),"",G128/I128)</f>
        <v/>
      </c>
      <c r="L128" s="14">
        <f>INDEX('4_UK_Beta_Input'!$D$5:$D$15,MATCH($C128,'4_UK_Beta_Input'!$A$5:$A$15,0))</f>
        <v/>
      </c>
      <c r="M128" s="14">
        <f>INDEX('4_UK_Beta_Input'!$D$20:$D$44,MATCH($E128,'4_UK_Beta_Input'!$A$20:$A$44,0))</f>
        <v/>
      </c>
      <c r="N128" s="14">
        <f>INDEX('4_UK_Beta_Input'!$D$49:$D$122,MATCH($D128,'4_UK_Beta_Input'!$A$49:$A$122,0))</f>
        <v/>
      </c>
      <c r="O128" s="14">
        <f>INDEX('4_UK_Beta_Input'!$D$127:$D$289,MATCH($A128,'4_UK_Beta_Input'!$A$127:$A$289,0))</f>
        <v/>
      </c>
      <c r="P128" s="16">
        <f>(M128/L128)*(N128/M128)*(O128/N128)</f>
        <v/>
      </c>
      <c r="Q128" s="17">
        <f>IF(J128="",INDEX('3_UK_L1_Input'!$D$4:$D$14,MATCH($C128,'3_UK_L1_Input'!$A$4:$A$14,0))*P128,INDEX('3_UK_L1_Input'!$D$4:$D$14,MATCH($C128,'3_UK_L1_Input'!$A$4:$A$14,0))*J128)</f>
        <v/>
      </c>
      <c r="R128" s="17">
        <f>IF(K128="",INDEX('3_UK_L1_Input'!$D$4:$D$14,MATCH($C128,'3_UK_L1_Input'!$A$4:$A$14,0))*P128,INDEX('3_UK_L1_Input'!$D$4:$D$14,MATCH($C128,'3_UK_L1_Input'!$A$4:$A$14,0))*K128)</f>
        <v/>
      </c>
      <c r="S128" s="18">
        <f>IF(G128="","BETA CASCADE FALLBACK (dummy — replace with real beta)","REAL (Bloomberg UK)")</f>
        <v/>
      </c>
      <c r="T128" s="17">
        <f>INDEX('3_UK_L1_Input'!$C$4:$C$14,MATCH($C128,'3_UK_L1_Input'!$A$4:$A$14,0))</f>
        <v/>
      </c>
      <c r="U128" s="17">
        <f>INDEX('3_UK_L1_Input'!$C$4:$C$14,MATCH($C128,'3_UK_L1_Input'!$A$4:$A$14,0))*P128</f>
        <v/>
      </c>
      <c r="V128" s="15">
        <f>INDEX('5_UK_DefaultRisk_Input'!$D$5:$D$15,MATCH($C128,'5_UK_DefaultRisk_Input'!$A$5:$A$15,0))</f>
        <v/>
      </c>
      <c r="W128" s="15">
        <f>INDEX('5_UK_DefaultRisk_Input'!$D$20:$D$44,MATCH($E128,'5_UK_DefaultRisk_Input'!$A$20:$A$44,0))</f>
        <v/>
      </c>
      <c r="X128" s="15">
        <f>INDEX('5_UK_DefaultRisk_Input'!$D$49:$D$122,MATCH($D128,'5_UK_DefaultRisk_Input'!$A$49:$A$122,0))</f>
        <v/>
      </c>
      <c r="Y128" s="15">
        <f>INDEX('5_UK_DefaultRisk_Input'!$D$127:$D$289,MATCH($A128,'5_UK_DefaultRisk_Input'!$A$127:$A$289,0))</f>
        <v/>
      </c>
      <c r="Z128" s="16">
        <f>(W128/V128)*(X128/W128)*(Y128/X128)</f>
        <v/>
      </c>
      <c r="AA128" s="17">
        <f>INDEX('3_UK_L1_Input'!$D$4:$D$14,MATCH($C128,'3_UK_L1_Input'!$A$4:$A$14,0))*Z128</f>
        <v/>
      </c>
    </row>
    <row r="129">
      <c r="A129" s="7" t="n">
        <v>45203020</v>
      </c>
      <c r="B129" s="7" t="inlineStr">
        <is>
          <t>Electronic Manufacturing Services</t>
        </is>
      </c>
      <c r="C129" s="7" t="n">
        <v>45</v>
      </c>
      <c r="D129" s="7" t="n">
        <v>452030</v>
      </c>
      <c r="E129" s="7" t="n">
        <v>4520</v>
      </c>
      <c r="F129" s="9" t="n">
        <v>161480000</v>
      </c>
      <c r="G129" s="10" t="n">
        <v>13.61</v>
      </c>
      <c r="H129" s="16">
        <f>IFERROR(SUMPRODUCT(($C$3:$C$165=C129)*ISNUMBER($G$3:$G$165)*ISNUMBER($F$3:$F$165)*IF(ISNUMBER($F$3:$F$165),$F$3:$F$165,0)*IF(ISNUMBER($G$3:$G$165),$G$3:$G$165,0))/SUMPRODUCT(($C$3:$C$165=C129)*ISNUMBER($G$3:$G$165)*ISNUMBER($F$3:$F$165)*IF(ISNUMBER($F$3:$F$165),$F$3:$F$165,0)),"")</f>
        <v/>
      </c>
      <c r="I129" s="16">
        <f>IFERROR(SUMPRODUCT(($C$3:$C$165=C129)*ISNUMBER($G$3:$G$165)*IF(ISNUMBER($G$3:$G$165),$G$3:$G$165,0))/SUMPRODUCT(($C$3:$C$165=C129)*ISNUMBER($G$3:$G$165)),"")</f>
        <v/>
      </c>
      <c r="J129" s="16">
        <f>IF(OR(G129="",H129=""),"",G129/H129)</f>
        <v/>
      </c>
      <c r="K129" s="16">
        <f>IF(OR(G129="",I129=""),"",G129/I129)</f>
        <v/>
      </c>
      <c r="L129" s="14">
        <f>INDEX('4_UK_Beta_Input'!$D$5:$D$15,MATCH($C129,'4_UK_Beta_Input'!$A$5:$A$15,0))</f>
        <v/>
      </c>
      <c r="M129" s="14">
        <f>INDEX('4_UK_Beta_Input'!$D$20:$D$44,MATCH($E129,'4_UK_Beta_Input'!$A$20:$A$44,0))</f>
        <v/>
      </c>
      <c r="N129" s="14">
        <f>INDEX('4_UK_Beta_Input'!$D$49:$D$122,MATCH($D129,'4_UK_Beta_Input'!$A$49:$A$122,0))</f>
        <v/>
      </c>
      <c r="O129" s="14">
        <f>INDEX('4_UK_Beta_Input'!$D$127:$D$289,MATCH($A129,'4_UK_Beta_Input'!$A$127:$A$289,0))</f>
        <v/>
      </c>
      <c r="P129" s="16">
        <f>(M129/L129)*(N129/M129)*(O129/N129)</f>
        <v/>
      </c>
      <c r="Q129" s="17">
        <f>IF(J129="",INDEX('3_UK_L1_Input'!$D$4:$D$14,MATCH($C129,'3_UK_L1_Input'!$A$4:$A$14,0))*P129,INDEX('3_UK_L1_Input'!$D$4:$D$14,MATCH($C129,'3_UK_L1_Input'!$A$4:$A$14,0))*J129)</f>
        <v/>
      </c>
      <c r="R129" s="17">
        <f>IF(K129="",INDEX('3_UK_L1_Input'!$D$4:$D$14,MATCH($C129,'3_UK_L1_Input'!$A$4:$A$14,0))*P129,INDEX('3_UK_L1_Input'!$D$4:$D$14,MATCH($C129,'3_UK_L1_Input'!$A$4:$A$14,0))*K129)</f>
        <v/>
      </c>
      <c r="S129" s="18">
        <f>IF(G129="","BETA CASCADE FALLBACK (dummy — replace with real beta)","REAL (Bloomberg UK)")</f>
        <v/>
      </c>
      <c r="T129" s="17">
        <f>INDEX('3_UK_L1_Input'!$C$4:$C$14,MATCH($C129,'3_UK_L1_Input'!$A$4:$A$14,0))</f>
        <v/>
      </c>
      <c r="U129" s="17">
        <f>INDEX('3_UK_L1_Input'!$C$4:$C$14,MATCH($C129,'3_UK_L1_Input'!$A$4:$A$14,0))*P129</f>
        <v/>
      </c>
      <c r="V129" s="15">
        <f>INDEX('5_UK_DefaultRisk_Input'!$D$5:$D$15,MATCH($C129,'5_UK_DefaultRisk_Input'!$A$5:$A$15,0))</f>
        <v/>
      </c>
      <c r="W129" s="15">
        <f>INDEX('5_UK_DefaultRisk_Input'!$D$20:$D$44,MATCH($E129,'5_UK_DefaultRisk_Input'!$A$20:$A$44,0))</f>
        <v/>
      </c>
      <c r="X129" s="15">
        <f>INDEX('5_UK_DefaultRisk_Input'!$D$49:$D$122,MATCH($D129,'5_UK_DefaultRisk_Input'!$A$49:$A$122,0))</f>
        <v/>
      </c>
      <c r="Y129" s="15">
        <f>INDEX('5_UK_DefaultRisk_Input'!$D$127:$D$289,MATCH($A129,'5_UK_DefaultRisk_Input'!$A$127:$A$289,0))</f>
        <v/>
      </c>
      <c r="Z129" s="16">
        <f>(W129/V129)*(X129/W129)*(Y129/X129)</f>
        <v/>
      </c>
      <c r="AA129" s="17">
        <f>INDEX('3_UK_L1_Input'!$D$4:$D$14,MATCH($C129,'3_UK_L1_Input'!$A$4:$A$14,0))*Z129</f>
        <v/>
      </c>
    </row>
    <row r="130">
      <c r="A130" s="7" t="n">
        <v>45203030</v>
      </c>
      <c r="B130" s="7" t="inlineStr">
        <is>
          <t>Technology Distributors</t>
        </is>
      </c>
      <c r="C130" s="7" t="n">
        <v>45</v>
      </c>
      <c r="D130" s="7" t="n">
        <v>452030</v>
      </c>
      <c r="E130" s="7" t="n">
        <v>4520</v>
      </c>
      <c r="F130" s="9" t="n">
        <v>681150000</v>
      </c>
      <c r="G130" s="10" t="n">
        <v>5</v>
      </c>
      <c r="H130" s="16">
        <f>IFERROR(SUMPRODUCT(($C$3:$C$165=C130)*ISNUMBER($G$3:$G$165)*ISNUMBER($F$3:$F$165)*IF(ISNUMBER($F$3:$F$165),$F$3:$F$165,0)*IF(ISNUMBER($G$3:$G$165),$G$3:$G$165,0))/SUMPRODUCT(($C$3:$C$165=C130)*ISNUMBER($G$3:$G$165)*ISNUMBER($F$3:$F$165)*IF(ISNUMBER($F$3:$F$165),$F$3:$F$165,0)),"")</f>
        <v/>
      </c>
      <c r="I130" s="16">
        <f>IFERROR(SUMPRODUCT(($C$3:$C$165=C130)*ISNUMBER($G$3:$G$165)*IF(ISNUMBER($G$3:$G$165),$G$3:$G$165,0))/SUMPRODUCT(($C$3:$C$165=C130)*ISNUMBER($G$3:$G$165)),"")</f>
        <v/>
      </c>
      <c r="J130" s="16">
        <f>IF(OR(G130="",H130=""),"",G130/H130)</f>
        <v/>
      </c>
      <c r="K130" s="16">
        <f>IF(OR(G130="",I130=""),"",G130/I130)</f>
        <v/>
      </c>
      <c r="L130" s="14">
        <f>INDEX('4_UK_Beta_Input'!$D$5:$D$15,MATCH($C130,'4_UK_Beta_Input'!$A$5:$A$15,0))</f>
        <v/>
      </c>
      <c r="M130" s="14">
        <f>INDEX('4_UK_Beta_Input'!$D$20:$D$44,MATCH($E130,'4_UK_Beta_Input'!$A$20:$A$44,0))</f>
        <v/>
      </c>
      <c r="N130" s="14">
        <f>INDEX('4_UK_Beta_Input'!$D$49:$D$122,MATCH($D130,'4_UK_Beta_Input'!$A$49:$A$122,0))</f>
        <v/>
      </c>
      <c r="O130" s="14">
        <f>INDEX('4_UK_Beta_Input'!$D$127:$D$289,MATCH($A130,'4_UK_Beta_Input'!$A$127:$A$289,0))</f>
        <v/>
      </c>
      <c r="P130" s="16">
        <f>(M130/L130)*(N130/M130)*(O130/N130)</f>
        <v/>
      </c>
      <c r="Q130" s="17">
        <f>IF(J130="",INDEX('3_UK_L1_Input'!$D$4:$D$14,MATCH($C130,'3_UK_L1_Input'!$A$4:$A$14,0))*P130,INDEX('3_UK_L1_Input'!$D$4:$D$14,MATCH($C130,'3_UK_L1_Input'!$A$4:$A$14,0))*J130)</f>
        <v/>
      </c>
      <c r="R130" s="17">
        <f>IF(K130="",INDEX('3_UK_L1_Input'!$D$4:$D$14,MATCH($C130,'3_UK_L1_Input'!$A$4:$A$14,0))*P130,INDEX('3_UK_L1_Input'!$D$4:$D$14,MATCH($C130,'3_UK_L1_Input'!$A$4:$A$14,0))*K130)</f>
        <v/>
      </c>
      <c r="S130" s="18">
        <f>IF(G130="","BETA CASCADE FALLBACK (dummy — replace with real beta)","REAL (Bloomberg UK)")</f>
        <v/>
      </c>
      <c r="T130" s="17">
        <f>INDEX('3_UK_L1_Input'!$C$4:$C$14,MATCH($C130,'3_UK_L1_Input'!$A$4:$A$14,0))</f>
        <v/>
      </c>
      <c r="U130" s="17">
        <f>INDEX('3_UK_L1_Input'!$C$4:$C$14,MATCH($C130,'3_UK_L1_Input'!$A$4:$A$14,0))*P130</f>
        <v/>
      </c>
      <c r="V130" s="15">
        <f>INDEX('5_UK_DefaultRisk_Input'!$D$5:$D$15,MATCH($C130,'5_UK_DefaultRisk_Input'!$A$5:$A$15,0))</f>
        <v/>
      </c>
      <c r="W130" s="15">
        <f>INDEX('5_UK_DefaultRisk_Input'!$D$20:$D$44,MATCH($E130,'5_UK_DefaultRisk_Input'!$A$20:$A$44,0))</f>
        <v/>
      </c>
      <c r="X130" s="15">
        <f>INDEX('5_UK_DefaultRisk_Input'!$D$49:$D$122,MATCH($D130,'5_UK_DefaultRisk_Input'!$A$49:$A$122,0))</f>
        <v/>
      </c>
      <c r="Y130" s="15">
        <f>INDEX('5_UK_DefaultRisk_Input'!$D$127:$D$289,MATCH($A130,'5_UK_DefaultRisk_Input'!$A$127:$A$289,0))</f>
        <v/>
      </c>
      <c r="Z130" s="16">
        <f>(W130/V130)*(X130/W130)*(Y130/X130)</f>
        <v/>
      </c>
      <c r="AA130" s="17">
        <f>INDEX('3_UK_L1_Input'!$D$4:$D$14,MATCH($C130,'3_UK_L1_Input'!$A$4:$A$14,0))*Z130</f>
        <v/>
      </c>
    </row>
    <row r="131">
      <c r="A131" s="7" t="n">
        <v>45301010</v>
      </c>
      <c r="B131" s="7" t="inlineStr">
        <is>
          <t>Semiconductor Materials &amp; Equipment</t>
        </is>
      </c>
      <c r="C131" s="7" t="n">
        <v>45</v>
      </c>
      <c r="D131" s="7" t="n">
        <v>453010</v>
      </c>
      <c r="E131" s="7" t="n">
        <v>4530</v>
      </c>
      <c r="F131" s="9" t="n">
        <v>51220000</v>
      </c>
      <c r="G131" s="10" t="n">
        <v>56.45</v>
      </c>
      <c r="H131" s="16">
        <f>IFERROR(SUMPRODUCT(($C$3:$C$165=C131)*ISNUMBER($G$3:$G$165)*ISNUMBER($F$3:$F$165)*IF(ISNUMBER($F$3:$F$165),$F$3:$F$165,0)*IF(ISNUMBER($G$3:$G$165),$G$3:$G$165,0))/SUMPRODUCT(($C$3:$C$165=C131)*ISNUMBER($G$3:$G$165)*ISNUMBER($F$3:$F$165)*IF(ISNUMBER($F$3:$F$165),$F$3:$F$165,0)),"")</f>
        <v/>
      </c>
      <c r="I131" s="16">
        <f>IFERROR(SUMPRODUCT(($C$3:$C$165=C131)*ISNUMBER($G$3:$G$165)*IF(ISNUMBER($G$3:$G$165),$G$3:$G$165,0))/SUMPRODUCT(($C$3:$C$165=C131)*ISNUMBER($G$3:$G$165)),"")</f>
        <v/>
      </c>
      <c r="J131" s="16">
        <f>IF(OR(G131="",H131=""),"",G131/H131)</f>
        <v/>
      </c>
      <c r="K131" s="16">
        <f>IF(OR(G131="",I131=""),"",G131/I131)</f>
        <v/>
      </c>
      <c r="L131" s="14">
        <f>INDEX('4_UK_Beta_Input'!$D$5:$D$15,MATCH($C131,'4_UK_Beta_Input'!$A$5:$A$15,0))</f>
        <v/>
      </c>
      <c r="M131" s="14">
        <f>INDEX('4_UK_Beta_Input'!$D$20:$D$44,MATCH($E131,'4_UK_Beta_Input'!$A$20:$A$44,0))</f>
        <v/>
      </c>
      <c r="N131" s="14">
        <f>INDEX('4_UK_Beta_Input'!$D$49:$D$122,MATCH($D131,'4_UK_Beta_Input'!$A$49:$A$122,0))</f>
        <v/>
      </c>
      <c r="O131" s="14">
        <f>INDEX('4_UK_Beta_Input'!$D$127:$D$289,MATCH($A131,'4_UK_Beta_Input'!$A$127:$A$289,0))</f>
        <v/>
      </c>
      <c r="P131" s="16">
        <f>(M131/L131)*(N131/M131)*(O131/N131)</f>
        <v/>
      </c>
      <c r="Q131" s="17">
        <f>IF(J131="",INDEX('3_UK_L1_Input'!$D$4:$D$14,MATCH($C131,'3_UK_L1_Input'!$A$4:$A$14,0))*P131,INDEX('3_UK_L1_Input'!$D$4:$D$14,MATCH($C131,'3_UK_L1_Input'!$A$4:$A$14,0))*J131)</f>
        <v/>
      </c>
      <c r="R131" s="17">
        <f>IF(K131="",INDEX('3_UK_L1_Input'!$D$4:$D$14,MATCH($C131,'3_UK_L1_Input'!$A$4:$A$14,0))*P131,INDEX('3_UK_L1_Input'!$D$4:$D$14,MATCH($C131,'3_UK_L1_Input'!$A$4:$A$14,0))*K131)</f>
        <v/>
      </c>
      <c r="S131" s="18">
        <f>IF(G131="","BETA CASCADE FALLBACK (dummy — replace with real beta)","REAL (Bloomberg UK)")</f>
        <v/>
      </c>
      <c r="T131" s="17">
        <f>INDEX('3_UK_L1_Input'!$C$4:$C$14,MATCH($C131,'3_UK_L1_Input'!$A$4:$A$14,0))</f>
        <v/>
      </c>
      <c r="U131" s="17">
        <f>INDEX('3_UK_L1_Input'!$C$4:$C$14,MATCH($C131,'3_UK_L1_Input'!$A$4:$A$14,0))*P131</f>
        <v/>
      </c>
      <c r="V131" s="15">
        <f>INDEX('5_UK_DefaultRisk_Input'!$D$5:$D$15,MATCH($C131,'5_UK_DefaultRisk_Input'!$A$5:$A$15,0))</f>
        <v/>
      </c>
      <c r="W131" s="15">
        <f>INDEX('5_UK_DefaultRisk_Input'!$D$20:$D$44,MATCH($E131,'5_UK_DefaultRisk_Input'!$A$20:$A$44,0))</f>
        <v/>
      </c>
      <c r="X131" s="15">
        <f>INDEX('5_UK_DefaultRisk_Input'!$D$49:$D$122,MATCH($D131,'5_UK_DefaultRisk_Input'!$A$49:$A$122,0))</f>
        <v/>
      </c>
      <c r="Y131" s="15">
        <f>INDEX('5_UK_DefaultRisk_Input'!$D$127:$D$289,MATCH($A131,'5_UK_DefaultRisk_Input'!$A$127:$A$289,0))</f>
        <v/>
      </c>
      <c r="Z131" s="16">
        <f>(W131/V131)*(X131/W131)*(Y131/X131)</f>
        <v/>
      </c>
      <c r="AA131" s="17">
        <f>INDEX('3_UK_L1_Input'!$D$4:$D$14,MATCH($C131,'3_UK_L1_Input'!$A$4:$A$14,0))*Z131</f>
        <v/>
      </c>
    </row>
    <row r="132">
      <c r="A132" s="7" t="n">
        <v>45301020</v>
      </c>
      <c r="B132" s="7" t="inlineStr">
        <is>
          <t>Semiconductors</t>
        </is>
      </c>
      <c r="C132" s="7" t="n">
        <v>45</v>
      </c>
      <c r="D132" s="7" t="n">
        <v>453010</v>
      </c>
      <c r="E132" s="7" t="n">
        <v>4530</v>
      </c>
      <c r="F132" s="9" t="n">
        <v>752070000</v>
      </c>
      <c r="G132" s="10" t="n">
        <v>43.11</v>
      </c>
      <c r="H132" s="16">
        <f>IFERROR(SUMPRODUCT(($C$3:$C$165=C132)*ISNUMBER($G$3:$G$165)*ISNUMBER($F$3:$F$165)*IF(ISNUMBER($F$3:$F$165),$F$3:$F$165,0)*IF(ISNUMBER($G$3:$G$165),$G$3:$G$165,0))/SUMPRODUCT(($C$3:$C$165=C132)*ISNUMBER($G$3:$G$165)*ISNUMBER($F$3:$F$165)*IF(ISNUMBER($F$3:$F$165),$F$3:$F$165,0)),"")</f>
        <v/>
      </c>
      <c r="I132" s="16">
        <f>IFERROR(SUMPRODUCT(($C$3:$C$165=C132)*ISNUMBER($G$3:$G$165)*IF(ISNUMBER($G$3:$G$165),$G$3:$G$165,0))/SUMPRODUCT(($C$3:$C$165=C132)*ISNUMBER($G$3:$G$165)),"")</f>
        <v/>
      </c>
      <c r="J132" s="16">
        <f>IF(OR(G132="",H132=""),"",G132/H132)</f>
        <v/>
      </c>
      <c r="K132" s="16">
        <f>IF(OR(G132="",I132=""),"",G132/I132)</f>
        <v/>
      </c>
      <c r="L132" s="14">
        <f>INDEX('4_UK_Beta_Input'!$D$5:$D$15,MATCH($C132,'4_UK_Beta_Input'!$A$5:$A$15,0))</f>
        <v/>
      </c>
      <c r="M132" s="14">
        <f>INDEX('4_UK_Beta_Input'!$D$20:$D$44,MATCH($E132,'4_UK_Beta_Input'!$A$20:$A$44,0))</f>
        <v/>
      </c>
      <c r="N132" s="14">
        <f>INDEX('4_UK_Beta_Input'!$D$49:$D$122,MATCH($D132,'4_UK_Beta_Input'!$A$49:$A$122,0))</f>
        <v/>
      </c>
      <c r="O132" s="14">
        <f>INDEX('4_UK_Beta_Input'!$D$127:$D$289,MATCH($A132,'4_UK_Beta_Input'!$A$127:$A$289,0))</f>
        <v/>
      </c>
      <c r="P132" s="16">
        <f>(M132/L132)*(N132/M132)*(O132/N132)</f>
        <v/>
      </c>
      <c r="Q132" s="17">
        <f>IF(J132="",INDEX('3_UK_L1_Input'!$D$4:$D$14,MATCH($C132,'3_UK_L1_Input'!$A$4:$A$14,0))*P132,INDEX('3_UK_L1_Input'!$D$4:$D$14,MATCH($C132,'3_UK_L1_Input'!$A$4:$A$14,0))*J132)</f>
        <v/>
      </c>
      <c r="R132" s="17">
        <f>IF(K132="",INDEX('3_UK_L1_Input'!$D$4:$D$14,MATCH($C132,'3_UK_L1_Input'!$A$4:$A$14,0))*P132,INDEX('3_UK_L1_Input'!$D$4:$D$14,MATCH($C132,'3_UK_L1_Input'!$A$4:$A$14,0))*K132)</f>
        <v/>
      </c>
      <c r="S132" s="18">
        <f>IF(G132="","BETA CASCADE FALLBACK (dummy — replace with real beta)","REAL (Bloomberg UK)")</f>
        <v/>
      </c>
      <c r="T132" s="17">
        <f>INDEX('3_UK_L1_Input'!$C$4:$C$14,MATCH($C132,'3_UK_L1_Input'!$A$4:$A$14,0))</f>
        <v/>
      </c>
      <c r="U132" s="17">
        <f>INDEX('3_UK_L1_Input'!$C$4:$C$14,MATCH($C132,'3_UK_L1_Input'!$A$4:$A$14,0))*P132</f>
        <v/>
      </c>
      <c r="V132" s="15">
        <f>INDEX('5_UK_DefaultRisk_Input'!$D$5:$D$15,MATCH($C132,'5_UK_DefaultRisk_Input'!$A$5:$A$15,0))</f>
        <v/>
      </c>
      <c r="W132" s="15">
        <f>INDEX('5_UK_DefaultRisk_Input'!$D$20:$D$44,MATCH($E132,'5_UK_DefaultRisk_Input'!$A$20:$A$44,0))</f>
        <v/>
      </c>
      <c r="X132" s="15">
        <f>INDEX('5_UK_DefaultRisk_Input'!$D$49:$D$122,MATCH($D132,'5_UK_DefaultRisk_Input'!$A$49:$A$122,0))</f>
        <v/>
      </c>
      <c r="Y132" s="15">
        <f>INDEX('5_UK_DefaultRisk_Input'!$D$127:$D$289,MATCH($A132,'5_UK_DefaultRisk_Input'!$A$127:$A$289,0))</f>
        <v/>
      </c>
      <c r="Z132" s="16">
        <f>(W132/V132)*(X132/W132)*(Y132/X132)</f>
        <v/>
      </c>
      <c r="AA132" s="17">
        <f>INDEX('3_UK_L1_Input'!$D$4:$D$14,MATCH($C132,'3_UK_L1_Input'!$A$4:$A$14,0))*Z132</f>
        <v/>
      </c>
    </row>
    <row r="133">
      <c r="A133" s="7" t="n">
        <v>50101010</v>
      </c>
      <c r="B133" s="7" t="inlineStr">
        <is>
          <t>Alternative Carriers</t>
        </is>
      </c>
      <c r="C133" s="7" t="n">
        <v>50</v>
      </c>
      <c r="D133" s="7" t="n">
        <v>501010</v>
      </c>
      <c r="E133" s="7" t="n">
        <v>5010</v>
      </c>
      <c r="F133" s="9" t="n">
        <v>2770000000</v>
      </c>
      <c r="G133" s="10" t="n">
        <v>6.31</v>
      </c>
      <c r="H133" s="16">
        <f>IFERROR(SUMPRODUCT(($C$3:$C$165=C133)*ISNUMBER($G$3:$G$165)*ISNUMBER($F$3:$F$165)*IF(ISNUMBER($F$3:$F$165),$F$3:$F$165,0)*IF(ISNUMBER($G$3:$G$165),$G$3:$G$165,0))/SUMPRODUCT(($C$3:$C$165=C133)*ISNUMBER($G$3:$G$165)*ISNUMBER($F$3:$F$165)*IF(ISNUMBER($F$3:$F$165),$F$3:$F$165,0)),"")</f>
        <v/>
      </c>
      <c r="I133" s="16">
        <f>IFERROR(SUMPRODUCT(($C$3:$C$165=C133)*ISNUMBER($G$3:$G$165)*IF(ISNUMBER($G$3:$G$165),$G$3:$G$165,0))/SUMPRODUCT(($C$3:$C$165=C133)*ISNUMBER($G$3:$G$165)),"")</f>
        <v/>
      </c>
      <c r="J133" s="16">
        <f>IF(OR(G133="",H133=""),"",G133/H133)</f>
        <v/>
      </c>
      <c r="K133" s="16">
        <f>IF(OR(G133="",I133=""),"",G133/I133)</f>
        <v/>
      </c>
      <c r="L133" s="14">
        <f>INDEX('4_UK_Beta_Input'!$D$5:$D$15,MATCH($C133,'4_UK_Beta_Input'!$A$5:$A$15,0))</f>
        <v/>
      </c>
      <c r="M133" s="14">
        <f>INDEX('4_UK_Beta_Input'!$D$20:$D$44,MATCH($E133,'4_UK_Beta_Input'!$A$20:$A$44,0))</f>
        <v/>
      </c>
      <c r="N133" s="14">
        <f>INDEX('4_UK_Beta_Input'!$D$49:$D$122,MATCH($D133,'4_UK_Beta_Input'!$A$49:$A$122,0))</f>
        <v/>
      </c>
      <c r="O133" s="14">
        <f>INDEX('4_UK_Beta_Input'!$D$127:$D$289,MATCH($A133,'4_UK_Beta_Input'!$A$127:$A$289,0))</f>
        <v/>
      </c>
      <c r="P133" s="16">
        <f>(M133/L133)*(N133/M133)*(O133/N133)</f>
        <v/>
      </c>
      <c r="Q133" s="17">
        <f>IF(J133="",INDEX('3_UK_L1_Input'!$D$4:$D$14,MATCH($C133,'3_UK_L1_Input'!$A$4:$A$14,0))*P133,INDEX('3_UK_L1_Input'!$D$4:$D$14,MATCH($C133,'3_UK_L1_Input'!$A$4:$A$14,0))*J133)</f>
        <v/>
      </c>
      <c r="R133" s="17">
        <f>IF(K133="",INDEX('3_UK_L1_Input'!$D$4:$D$14,MATCH($C133,'3_UK_L1_Input'!$A$4:$A$14,0))*P133,INDEX('3_UK_L1_Input'!$D$4:$D$14,MATCH($C133,'3_UK_L1_Input'!$A$4:$A$14,0))*K133)</f>
        <v/>
      </c>
      <c r="S133" s="18">
        <f>IF(G133="","BETA CASCADE FALLBACK (dummy — replace with real beta)","REAL (Bloomberg UK)")</f>
        <v/>
      </c>
      <c r="T133" s="17">
        <f>INDEX('3_UK_L1_Input'!$C$4:$C$14,MATCH($C133,'3_UK_L1_Input'!$A$4:$A$14,0))</f>
        <v/>
      </c>
      <c r="U133" s="17">
        <f>INDEX('3_UK_L1_Input'!$C$4:$C$14,MATCH($C133,'3_UK_L1_Input'!$A$4:$A$14,0))*P133</f>
        <v/>
      </c>
      <c r="V133" s="15">
        <f>INDEX('5_UK_DefaultRisk_Input'!$D$5:$D$15,MATCH($C133,'5_UK_DefaultRisk_Input'!$A$5:$A$15,0))</f>
        <v/>
      </c>
      <c r="W133" s="15">
        <f>INDEX('5_UK_DefaultRisk_Input'!$D$20:$D$44,MATCH($E133,'5_UK_DefaultRisk_Input'!$A$20:$A$44,0))</f>
        <v/>
      </c>
      <c r="X133" s="15">
        <f>INDEX('5_UK_DefaultRisk_Input'!$D$49:$D$122,MATCH($D133,'5_UK_DefaultRisk_Input'!$A$49:$A$122,0))</f>
        <v/>
      </c>
      <c r="Y133" s="15">
        <f>INDEX('5_UK_DefaultRisk_Input'!$D$127:$D$289,MATCH($A133,'5_UK_DefaultRisk_Input'!$A$127:$A$289,0))</f>
        <v/>
      </c>
      <c r="Z133" s="16">
        <f>(W133/V133)*(X133/W133)*(Y133/X133)</f>
        <v/>
      </c>
      <c r="AA133" s="17">
        <f>INDEX('3_UK_L1_Input'!$D$4:$D$14,MATCH($C133,'3_UK_L1_Input'!$A$4:$A$14,0))*Z133</f>
        <v/>
      </c>
    </row>
    <row r="134">
      <c r="A134" s="7" t="n">
        <v>50101020</v>
      </c>
      <c r="B134" s="7" t="inlineStr">
        <is>
          <t>Integrated Telecommunication Services</t>
        </is>
      </c>
      <c r="C134" s="7" t="n">
        <v>50</v>
      </c>
      <c r="D134" s="7" t="n">
        <v>501010</v>
      </c>
      <c r="E134" s="7" t="n">
        <v>5010</v>
      </c>
      <c r="F134" s="9" t="n">
        <v>5180000000</v>
      </c>
      <c r="G134" s="10" t="n">
        <v>5.63</v>
      </c>
      <c r="H134" s="16">
        <f>IFERROR(SUMPRODUCT(($C$3:$C$165=C134)*ISNUMBER($G$3:$G$165)*ISNUMBER($F$3:$F$165)*IF(ISNUMBER($F$3:$F$165),$F$3:$F$165,0)*IF(ISNUMBER($G$3:$G$165),$G$3:$G$165,0))/SUMPRODUCT(($C$3:$C$165=C134)*ISNUMBER($G$3:$G$165)*ISNUMBER($F$3:$F$165)*IF(ISNUMBER($F$3:$F$165),$F$3:$F$165,0)),"")</f>
        <v/>
      </c>
      <c r="I134" s="16">
        <f>IFERROR(SUMPRODUCT(($C$3:$C$165=C134)*ISNUMBER($G$3:$G$165)*IF(ISNUMBER($G$3:$G$165),$G$3:$G$165,0))/SUMPRODUCT(($C$3:$C$165=C134)*ISNUMBER($G$3:$G$165)),"")</f>
        <v/>
      </c>
      <c r="J134" s="16">
        <f>IF(OR(G134="",H134=""),"",G134/H134)</f>
        <v/>
      </c>
      <c r="K134" s="16">
        <f>IF(OR(G134="",I134=""),"",G134/I134)</f>
        <v/>
      </c>
      <c r="L134" s="14">
        <f>INDEX('4_UK_Beta_Input'!$D$5:$D$15,MATCH($C134,'4_UK_Beta_Input'!$A$5:$A$15,0))</f>
        <v/>
      </c>
      <c r="M134" s="14">
        <f>INDEX('4_UK_Beta_Input'!$D$20:$D$44,MATCH($E134,'4_UK_Beta_Input'!$A$20:$A$44,0))</f>
        <v/>
      </c>
      <c r="N134" s="14">
        <f>INDEX('4_UK_Beta_Input'!$D$49:$D$122,MATCH($D134,'4_UK_Beta_Input'!$A$49:$A$122,0))</f>
        <v/>
      </c>
      <c r="O134" s="14">
        <f>INDEX('4_UK_Beta_Input'!$D$127:$D$289,MATCH($A134,'4_UK_Beta_Input'!$A$127:$A$289,0))</f>
        <v/>
      </c>
      <c r="P134" s="16">
        <f>(M134/L134)*(N134/M134)*(O134/N134)</f>
        <v/>
      </c>
      <c r="Q134" s="17">
        <f>IF(J134="",INDEX('3_UK_L1_Input'!$D$4:$D$14,MATCH($C134,'3_UK_L1_Input'!$A$4:$A$14,0))*P134,INDEX('3_UK_L1_Input'!$D$4:$D$14,MATCH($C134,'3_UK_L1_Input'!$A$4:$A$14,0))*J134)</f>
        <v/>
      </c>
      <c r="R134" s="17">
        <f>IF(K134="",INDEX('3_UK_L1_Input'!$D$4:$D$14,MATCH($C134,'3_UK_L1_Input'!$A$4:$A$14,0))*P134,INDEX('3_UK_L1_Input'!$D$4:$D$14,MATCH($C134,'3_UK_L1_Input'!$A$4:$A$14,0))*K134)</f>
        <v/>
      </c>
      <c r="S134" s="18">
        <f>IF(G134="","BETA CASCADE FALLBACK (dummy — replace with real beta)","REAL (Bloomberg UK)")</f>
        <v/>
      </c>
      <c r="T134" s="17">
        <f>INDEX('3_UK_L1_Input'!$C$4:$C$14,MATCH($C134,'3_UK_L1_Input'!$A$4:$A$14,0))</f>
        <v/>
      </c>
      <c r="U134" s="17">
        <f>INDEX('3_UK_L1_Input'!$C$4:$C$14,MATCH($C134,'3_UK_L1_Input'!$A$4:$A$14,0))*P134</f>
        <v/>
      </c>
      <c r="V134" s="15">
        <f>INDEX('5_UK_DefaultRisk_Input'!$D$5:$D$15,MATCH($C134,'5_UK_DefaultRisk_Input'!$A$5:$A$15,0))</f>
        <v/>
      </c>
      <c r="W134" s="15">
        <f>INDEX('5_UK_DefaultRisk_Input'!$D$20:$D$44,MATCH($E134,'5_UK_DefaultRisk_Input'!$A$20:$A$44,0))</f>
        <v/>
      </c>
      <c r="X134" s="15">
        <f>INDEX('5_UK_DefaultRisk_Input'!$D$49:$D$122,MATCH($D134,'5_UK_DefaultRisk_Input'!$A$49:$A$122,0))</f>
        <v/>
      </c>
      <c r="Y134" s="15">
        <f>INDEX('5_UK_DefaultRisk_Input'!$D$127:$D$289,MATCH($A134,'5_UK_DefaultRisk_Input'!$A$127:$A$289,0))</f>
        <v/>
      </c>
      <c r="Z134" s="16">
        <f>(W134/V134)*(X134/W134)*(Y134/X134)</f>
        <v/>
      </c>
      <c r="AA134" s="17">
        <f>INDEX('3_UK_L1_Input'!$D$4:$D$14,MATCH($C134,'3_UK_L1_Input'!$A$4:$A$14,0))*Z134</f>
        <v/>
      </c>
    </row>
    <row r="135">
      <c r="A135" s="7" t="n">
        <v>50102010</v>
      </c>
      <c r="B135" s="7" t="inlineStr">
        <is>
          <t>Wireless Telecommunication Services</t>
        </is>
      </c>
      <c r="C135" s="7" t="n">
        <v>50</v>
      </c>
      <c r="D135" s="7" t="n">
        <v>501020</v>
      </c>
      <c r="E135" s="7" t="n">
        <v>5010</v>
      </c>
      <c r="F135" s="9" t="n">
        <v>23660000000</v>
      </c>
      <c r="G135" s="10" t="n">
        <v>5.13</v>
      </c>
      <c r="H135" s="16">
        <f>IFERROR(SUMPRODUCT(($C$3:$C$165=C135)*ISNUMBER($G$3:$G$165)*ISNUMBER($F$3:$F$165)*IF(ISNUMBER($F$3:$F$165),$F$3:$F$165,0)*IF(ISNUMBER($G$3:$G$165),$G$3:$G$165,0))/SUMPRODUCT(($C$3:$C$165=C135)*ISNUMBER($G$3:$G$165)*ISNUMBER($F$3:$F$165)*IF(ISNUMBER($F$3:$F$165),$F$3:$F$165,0)),"")</f>
        <v/>
      </c>
      <c r="I135" s="16">
        <f>IFERROR(SUMPRODUCT(($C$3:$C$165=C135)*ISNUMBER($G$3:$G$165)*IF(ISNUMBER($G$3:$G$165),$G$3:$G$165,0))/SUMPRODUCT(($C$3:$C$165=C135)*ISNUMBER($G$3:$G$165)),"")</f>
        <v/>
      </c>
      <c r="J135" s="16">
        <f>IF(OR(G135="",H135=""),"",G135/H135)</f>
        <v/>
      </c>
      <c r="K135" s="16">
        <f>IF(OR(G135="",I135=""),"",G135/I135)</f>
        <v/>
      </c>
      <c r="L135" s="14">
        <f>INDEX('4_UK_Beta_Input'!$D$5:$D$15,MATCH($C135,'4_UK_Beta_Input'!$A$5:$A$15,0))</f>
        <v/>
      </c>
      <c r="M135" s="14">
        <f>INDEX('4_UK_Beta_Input'!$D$20:$D$44,MATCH($E135,'4_UK_Beta_Input'!$A$20:$A$44,0))</f>
        <v/>
      </c>
      <c r="N135" s="14">
        <f>INDEX('4_UK_Beta_Input'!$D$49:$D$122,MATCH($D135,'4_UK_Beta_Input'!$A$49:$A$122,0))</f>
        <v/>
      </c>
      <c r="O135" s="14">
        <f>INDEX('4_UK_Beta_Input'!$D$127:$D$289,MATCH($A135,'4_UK_Beta_Input'!$A$127:$A$289,0))</f>
        <v/>
      </c>
      <c r="P135" s="16">
        <f>(M135/L135)*(N135/M135)*(O135/N135)</f>
        <v/>
      </c>
      <c r="Q135" s="17">
        <f>IF(J135="",INDEX('3_UK_L1_Input'!$D$4:$D$14,MATCH($C135,'3_UK_L1_Input'!$A$4:$A$14,0))*P135,INDEX('3_UK_L1_Input'!$D$4:$D$14,MATCH($C135,'3_UK_L1_Input'!$A$4:$A$14,0))*J135)</f>
        <v/>
      </c>
      <c r="R135" s="17">
        <f>IF(K135="",INDEX('3_UK_L1_Input'!$D$4:$D$14,MATCH($C135,'3_UK_L1_Input'!$A$4:$A$14,0))*P135,INDEX('3_UK_L1_Input'!$D$4:$D$14,MATCH($C135,'3_UK_L1_Input'!$A$4:$A$14,0))*K135)</f>
        <v/>
      </c>
      <c r="S135" s="18">
        <f>IF(G135="","BETA CASCADE FALLBACK (dummy — replace with real beta)","REAL (Bloomberg UK)")</f>
        <v/>
      </c>
      <c r="T135" s="17">
        <f>INDEX('3_UK_L1_Input'!$C$4:$C$14,MATCH($C135,'3_UK_L1_Input'!$A$4:$A$14,0))</f>
        <v/>
      </c>
      <c r="U135" s="17">
        <f>INDEX('3_UK_L1_Input'!$C$4:$C$14,MATCH($C135,'3_UK_L1_Input'!$A$4:$A$14,0))*P135</f>
        <v/>
      </c>
      <c r="V135" s="15">
        <f>INDEX('5_UK_DefaultRisk_Input'!$D$5:$D$15,MATCH($C135,'5_UK_DefaultRisk_Input'!$A$5:$A$15,0))</f>
        <v/>
      </c>
      <c r="W135" s="15">
        <f>INDEX('5_UK_DefaultRisk_Input'!$D$20:$D$44,MATCH($E135,'5_UK_DefaultRisk_Input'!$A$20:$A$44,0))</f>
        <v/>
      </c>
      <c r="X135" s="15">
        <f>INDEX('5_UK_DefaultRisk_Input'!$D$49:$D$122,MATCH($D135,'5_UK_DefaultRisk_Input'!$A$49:$A$122,0))</f>
        <v/>
      </c>
      <c r="Y135" s="15">
        <f>INDEX('5_UK_DefaultRisk_Input'!$D$127:$D$289,MATCH($A135,'5_UK_DefaultRisk_Input'!$A$127:$A$289,0))</f>
        <v/>
      </c>
      <c r="Z135" s="16">
        <f>(W135/V135)*(X135/W135)*(Y135/X135)</f>
        <v/>
      </c>
      <c r="AA135" s="17">
        <f>INDEX('3_UK_L1_Input'!$D$4:$D$14,MATCH($C135,'3_UK_L1_Input'!$A$4:$A$14,0))*Z135</f>
        <v/>
      </c>
    </row>
    <row r="136">
      <c r="A136" s="7" t="n">
        <v>50201010</v>
      </c>
      <c r="B136" s="7" t="inlineStr">
        <is>
          <t>Advertising</t>
        </is>
      </c>
      <c r="C136" s="7" t="n">
        <v>50</v>
      </c>
      <c r="D136" s="7" t="n">
        <v>502010</v>
      </c>
      <c r="E136" s="7" t="n">
        <v>5020</v>
      </c>
      <c r="F136" s="9" t="n">
        <v>1100000000</v>
      </c>
      <c r="G136" s="10" t="n">
        <v>6.25</v>
      </c>
      <c r="H136" s="16">
        <f>IFERROR(SUMPRODUCT(($C$3:$C$165=C136)*ISNUMBER($G$3:$G$165)*ISNUMBER($F$3:$F$165)*IF(ISNUMBER($F$3:$F$165),$F$3:$F$165,0)*IF(ISNUMBER($G$3:$G$165),$G$3:$G$165,0))/SUMPRODUCT(($C$3:$C$165=C136)*ISNUMBER($G$3:$G$165)*ISNUMBER($F$3:$F$165)*IF(ISNUMBER($F$3:$F$165),$F$3:$F$165,0)),"")</f>
        <v/>
      </c>
      <c r="I136" s="16">
        <f>IFERROR(SUMPRODUCT(($C$3:$C$165=C136)*ISNUMBER($G$3:$G$165)*IF(ISNUMBER($G$3:$G$165),$G$3:$G$165,0))/SUMPRODUCT(($C$3:$C$165=C136)*ISNUMBER($G$3:$G$165)),"")</f>
        <v/>
      </c>
      <c r="J136" s="16">
        <f>IF(OR(G136="",H136=""),"",G136/H136)</f>
        <v/>
      </c>
      <c r="K136" s="16">
        <f>IF(OR(G136="",I136=""),"",G136/I136)</f>
        <v/>
      </c>
      <c r="L136" s="14">
        <f>INDEX('4_UK_Beta_Input'!$D$5:$D$15,MATCH($C136,'4_UK_Beta_Input'!$A$5:$A$15,0))</f>
        <v/>
      </c>
      <c r="M136" s="14">
        <f>INDEX('4_UK_Beta_Input'!$D$20:$D$44,MATCH($E136,'4_UK_Beta_Input'!$A$20:$A$44,0))</f>
        <v/>
      </c>
      <c r="N136" s="14">
        <f>INDEX('4_UK_Beta_Input'!$D$49:$D$122,MATCH($D136,'4_UK_Beta_Input'!$A$49:$A$122,0))</f>
        <v/>
      </c>
      <c r="O136" s="14">
        <f>INDEX('4_UK_Beta_Input'!$D$127:$D$289,MATCH($A136,'4_UK_Beta_Input'!$A$127:$A$289,0))</f>
        <v/>
      </c>
      <c r="P136" s="16">
        <f>(M136/L136)*(N136/M136)*(O136/N136)</f>
        <v/>
      </c>
      <c r="Q136" s="17">
        <f>IF(J136="",INDEX('3_UK_L1_Input'!$D$4:$D$14,MATCH($C136,'3_UK_L1_Input'!$A$4:$A$14,0))*P136,INDEX('3_UK_L1_Input'!$D$4:$D$14,MATCH($C136,'3_UK_L1_Input'!$A$4:$A$14,0))*J136)</f>
        <v/>
      </c>
      <c r="R136" s="17">
        <f>IF(K136="",INDEX('3_UK_L1_Input'!$D$4:$D$14,MATCH($C136,'3_UK_L1_Input'!$A$4:$A$14,0))*P136,INDEX('3_UK_L1_Input'!$D$4:$D$14,MATCH($C136,'3_UK_L1_Input'!$A$4:$A$14,0))*K136)</f>
        <v/>
      </c>
      <c r="S136" s="18">
        <f>IF(G136="","BETA CASCADE FALLBACK (dummy — replace with real beta)","REAL (Bloomberg UK)")</f>
        <v/>
      </c>
      <c r="T136" s="17">
        <f>INDEX('3_UK_L1_Input'!$C$4:$C$14,MATCH($C136,'3_UK_L1_Input'!$A$4:$A$14,0))</f>
        <v/>
      </c>
      <c r="U136" s="17">
        <f>INDEX('3_UK_L1_Input'!$C$4:$C$14,MATCH($C136,'3_UK_L1_Input'!$A$4:$A$14,0))*P136</f>
        <v/>
      </c>
      <c r="V136" s="15">
        <f>INDEX('5_UK_DefaultRisk_Input'!$D$5:$D$15,MATCH($C136,'5_UK_DefaultRisk_Input'!$A$5:$A$15,0))</f>
        <v/>
      </c>
      <c r="W136" s="15">
        <f>INDEX('5_UK_DefaultRisk_Input'!$D$20:$D$44,MATCH($E136,'5_UK_DefaultRisk_Input'!$A$20:$A$44,0))</f>
        <v/>
      </c>
      <c r="X136" s="15">
        <f>INDEX('5_UK_DefaultRisk_Input'!$D$49:$D$122,MATCH($D136,'5_UK_DefaultRisk_Input'!$A$49:$A$122,0))</f>
        <v/>
      </c>
      <c r="Y136" s="15">
        <f>INDEX('5_UK_DefaultRisk_Input'!$D$127:$D$289,MATCH($A136,'5_UK_DefaultRisk_Input'!$A$127:$A$289,0))</f>
        <v/>
      </c>
      <c r="Z136" s="16">
        <f>(W136/V136)*(X136/W136)*(Y136/X136)</f>
        <v/>
      </c>
      <c r="AA136" s="17">
        <f>INDEX('3_UK_L1_Input'!$D$4:$D$14,MATCH($C136,'3_UK_L1_Input'!$A$4:$A$14,0))*Z136</f>
        <v/>
      </c>
    </row>
    <row r="137">
      <c r="A137" s="7" t="n">
        <v>50201020</v>
      </c>
      <c r="B137" s="7" t="inlineStr">
        <is>
          <t>Broadcasting</t>
        </is>
      </c>
      <c r="C137" s="7" t="n">
        <v>50</v>
      </c>
      <c r="D137" s="7" t="n">
        <v>502010</v>
      </c>
      <c r="E137" s="7" t="n">
        <v>5020</v>
      </c>
      <c r="F137" s="9" t="n">
        <v>1850000000</v>
      </c>
      <c r="G137" s="10" t="n">
        <v>5.32</v>
      </c>
      <c r="H137" s="16">
        <f>IFERROR(SUMPRODUCT(($C$3:$C$165=C137)*ISNUMBER($G$3:$G$165)*ISNUMBER($F$3:$F$165)*IF(ISNUMBER($F$3:$F$165),$F$3:$F$165,0)*IF(ISNUMBER($G$3:$G$165),$G$3:$G$165,0))/SUMPRODUCT(($C$3:$C$165=C137)*ISNUMBER($G$3:$G$165)*ISNUMBER($F$3:$F$165)*IF(ISNUMBER($F$3:$F$165),$F$3:$F$165,0)),"")</f>
        <v/>
      </c>
      <c r="I137" s="16">
        <f>IFERROR(SUMPRODUCT(($C$3:$C$165=C137)*ISNUMBER($G$3:$G$165)*IF(ISNUMBER($G$3:$G$165),$G$3:$G$165,0))/SUMPRODUCT(($C$3:$C$165=C137)*ISNUMBER($G$3:$G$165)),"")</f>
        <v/>
      </c>
      <c r="J137" s="16">
        <f>IF(OR(G137="",H137=""),"",G137/H137)</f>
        <v/>
      </c>
      <c r="K137" s="16">
        <f>IF(OR(G137="",I137=""),"",G137/I137)</f>
        <v/>
      </c>
      <c r="L137" s="14">
        <f>INDEX('4_UK_Beta_Input'!$D$5:$D$15,MATCH($C137,'4_UK_Beta_Input'!$A$5:$A$15,0))</f>
        <v/>
      </c>
      <c r="M137" s="14">
        <f>INDEX('4_UK_Beta_Input'!$D$20:$D$44,MATCH($E137,'4_UK_Beta_Input'!$A$20:$A$44,0))</f>
        <v/>
      </c>
      <c r="N137" s="14">
        <f>INDEX('4_UK_Beta_Input'!$D$49:$D$122,MATCH($D137,'4_UK_Beta_Input'!$A$49:$A$122,0))</f>
        <v/>
      </c>
      <c r="O137" s="14">
        <f>INDEX('4_UK_Beta_Input'!$D$127:$D$289,MATCH($A137,'4_UK_Beta_Input'!$A$127:$A$289,0))</f>
        <v/>
      </c>
      <c r="P137" s="16">
        <f>(M137/L137)*(N137/M137)*(O137/N137)</f>
        <v/>
      </c>
      <c r="Q137" s="17">
        <f>IF(J137="",INDEX('3_UK_L1_Input'!$D$4:$D$14,MATCH($C137,'3_UK_L1_Input'!$A$4:$A$14,0))*P137,INDEX('3_UK_L1_Input'!$D$4:$D$14,MATCH($C137,'3_UK_L1_Input'!$A$4:$A$14,0))*J137)</f>
        <v/>
      </c>
      <c r="R137" s="17">
        <f>IF(K137="",INDEX('3_UK_L1_Input'!$D$4:$D$14,MATCH($C137,'3_UK_L1_Input'!$A$4:$A$14,0))*P137,INDEX('3_UK_L1_Input'!$D$4:$D$14,MATCH($C137,'3_UK_L1_Input'!$A$4:$A$14,0))*K137)</f>
        <v/>
      </c>
      <c r="S137" s="18">
        <f>IF(G137="","BETA CASCADE FALLBACK (dummy — replace with real beta)","REAL (Bloomberg UK)")</f>
        <v/>
      </c>
      <c r="T137" s="17">
        <f>INDEX('3_UK_L1_Input'!$C$4:$C$14,MATCH($C137,'3_UK_L1_Input'!$A$4:$A$14,0))</f>
        <v/>
      </c>
      <c r="U137" s="17">
        <f>INDEX('3_UK_L1_Input'!$C$4:$C$14,MATCH($C137,'3_UK_L1_Input'!$A$4:$A$14,0))*P137</f>
        <v/>
      </c>
      <c r="V137" s="15">
        <f>INDEX('5_UK_DefaultRisk_Input'!$D$5:$D$15,MATCH($C137,'5_UK_DefaultRisk_Input'!$A$5:$A$15,0))</f>
        <v/>
      </c>
      <c r="W137" s="15">
        <f>INDEX('5_UK_DefaultRisk_Input'!$D$20:$D$44,MATCH($E137,'5_UK_DefaultRisk_Input'!$A$20:$A$44,0))</f>
        <v/>
      </c>
      <c r="X137" s="15">
        <f>INDEX('5_UK_DefaultRisk_Input'!$D$49:$D$122,MATCH($D137,'5_UK_DefaultRisk_Input'!$A$49:$A$122,0))</f>
        <v/>
      </c>
      <c r="Y137" s="15">
        <f>INDEX('5_UK_DefaultRisk_Input'!$D$127:$D$289,MATCH($A137,'5_UK_DefaultRisk_Input'!$A$127:$A$289,0))</f>
        <v/>
      </c>
      <c r="Z137" s="16">
        <f>(W137/V137)*(X137/W137)*(Y137/X137)</f>
        <v/>
      </c>
      <c r="AA137" s="17">
        <f>INDEX('3_UK_L1_Input'!$D$4:$D$14,MATCH($C137,'3_UK_L1_Input'!$A$4:$A$14,0))*Z137</f>
        <v/>
      </c>
    </row>
    <row r="138">
      <c r="A138" s="7" t="n">
        <v>50201030</v>
      </c>
      <c r="B138" s="7" t="inlineStr">
        <is>
          <t>Cable &amp; Satellite</t>
        </is>
      </c>
      <c r="C138" s="7" t="n">
        <v>50</v>
      </c>
      <c r="D138" s="7" t="n">
        <v>502010</v>
      </c>
      <c r="E138" s="7" t="n">
        <v>5020</v>
      </c>
      <c r="F138" s="8" t="n"/>
      <c r="G138" s="8" t="n"/>
      <c r="H138" s="16">
        <f>IFERROR(SUMPRODUCT(($C$3:$C$165=C138)*ISNUMBER($G$3:$G$165)*ISNUMBER($F$3:$F$165)*IF(ISNUMBER($F$3:$F$165),$F$3:$F$165,0)*IF(ISNUMBER($G$3:$G$165),$G$3:$G$165,0))/SUMPRODUCT(($C$3:$C$165=C138)*ISNUMBER($G$3:$G$165)*ISNUMBER($F$3:$F$165)*IF(ISNUMBER($F$3:$F$165),$F$3:$F$165,0)),"")</f>
        <v/>
      </c>
      <c r="I138" s="16">
        <f>IFERROR(SUMPRODUCT(($C$3:$C$165=C138)*ISNUMBER($G$3:$G$165)*IF(ISNUMBER($G$3:$G$165),$G$3:$G$165,0))/SUMPRODUCT(($C$3:$C$165=C138)*ISNUMBER($G$3:$G$165)),"")</f>
        <v/>
      </c>
      <c r="J138" s="16">
        <f>IF(OR(G138="",H138=""),"",G138/H138)</f>
        <v/>
      </c>
      <c r="K138" s="16">
        <f>IF(OR(G138="",I138=""),"",G138/I138)</f>
        <v/>
      </c>
      <c r="L138" s="14">
        <f>INDEX('4_UK_Beta_Input'!$D$5:$D$15,MATCH($C138,'4_UK_Beta_Input'!$A$5:$A$15,0))</f>
        <v/>
      </c>
      <c r="M138" s="14">
        <f>INDEX('4_UK_Beta_Input'!$D$20:$D$44,MATCH($E138,'4_UK_Beta_Input'!$A$20:$A$44,0))</f>
        <v/>
      </c>
      <c r="N138" s="14">
        <f>INDEX('4_UK_Beta_Input'!$D$49:$D$122,MATCH($D138,'4_UK_Beta_Input'!$A$49:$A$122,0))</f>
        <v/>
      </c>
      <c r="O138" s="14">
        <f>INDEX('4_UK_Beta_Input'!$D$127:$D$289,MATCH($A138,'4_UK_Beta_Input'!$A$127:$A$289,0))</f>
        <v/>
      </c>
      <c r="P138" s="16">
        <f>(M138/L138)*(N138/M138)*(O138/N138)</f>
        <v/>
      </c>
      <c r="Q138" s="17">
        <f>IF(J138="",INDEX('3_UK_L1_Input'!$D$4:$D$14,MATCH($C138,'3_UK_L1_Input'!$A$4:$A$14,0))*P138,INDEX('3_UK_L1_Input'!$D$4:$D$14,MATCH($C138,'3_UK_L1_Input'!$A$4:$A$14,0))*J138)</f>
        <v/>
      </c>
      <c r="R138" s="17">
        <f>IF(K138="",INDEX('3_UK_L1_Input'!$D$4:$D$14,MATCH($C138,'3_UK_L1_Input'!$A$4:$A$14,0))*P138,INDEX('3_UK_L1_Input'!$D$4:$D$14,MATCH($C138,'3_UK_L1_Input'!$A$4:$A$14,0))*K138)</f>
        <v/>
      </c>
      <c r="S138" s="19">
        <f>IF(G138="","BETA CASCADE FALLBACK (dummy — replace with real beta)","REAL (Bloomberg UK)")</f>
        <v/>
      </c>
      <c r="T138" s="17">
        <f>INDEX('3_UK_L1_Input'!$C$4:$C$14,MATCH($C138,'3_UK_L1_Input'!$A$4:$A$14,0))</f>
        <v/>
      </c>
      <c r="U138" s="17">
        <f>INDEX('3_UK_L1_Input'!$C$4:$C$14,MATCH($C138,'3_UK_L1_Input'!$A$4:$A$14,0))*P138</f>
        <v/>
      </c>
      <c r="V138" s="15">
        <f>INDEX('5_UK_DefaultRisk_Input'!$D$5:$D$15,MATCH($C138,'5_UK_DefaultRisk_Input'!$A$5:$A$15,0))</f>
        <v/>
      </c>
      <c r="W138" s="15">
        <f>INDEX('5_UK_DefaultRisk_Input'!$D$20:$D$44,MATCH($E138,'5_UK_DefaultRisk_Input'!$A$20:$A$44,0))</f>
        <v/>
      </c>
      <c r="X138" s="15">
        <f>INDEX('5_UK_DefaultRisk_Input'!$D$49:$D$122,MATCH($D138,'5_UK_DefaultRisk_Input'!$A$49:$A$122,0))</f>
        <v/>
      </c>
      <c r="Y138" s="15">
        <f>INDEX('5_UK_DefaultRisk_Input'!$D$127:$D$289,MATCH($A138,'5_UK_DefaultRisk_Input'!$A$127:$A$289,0))</f>
        <v/>
      </c>
      <c r="Z138" s="16">
        <f>(W138/V138)*(X138/W138)*(Y138/X138)</f>
        <v/>
      </c>
      <c r="AA138" s="17">
        <f>INDEX('3_UK_L1_Input'!$D$4:$D$14,MATCH($C138,'3_UK_L1_Input'!$A$4:$A$14,0))*Z138</f>
        <v/>
      </c>
    </row>
    <row r="139">
      <c r="A139" s="7" t="n">
        <v>50201040</v>
      </c>
      <c r="B139" s="7" t="inlineStr">
        <is>
          <t>Publishing</t>
        </is>
      </c>
      <c r="C139" s="7" t="n">
        <v>50</v>
      </c>
      <c r="D139" s="7" t="n">
        <v>502010</v>
      </c>
      <c r="E139" s="7" t="n">
        <v>5020</v>
      </c>
      <c r="F139" s="9" t="n">
        <v>2100000000</v>
      </c>
      <c r="G139" s="10" t="n">
        <v>4.14</v>
      </c>
      <c r="H139" s="16">
        <f>IFERROR(SUMPRODUCT(($C$3:$C$165=C139)*ISNUMBER($G$3:$G$165)*ISNUMBER($F$3:$F$165)*IF(ISNUMBER($F$3:$F$165),$F$3:$F$165,0)*IF(ISNUMBER($G$3:$G$165),$G$3:$G$165,0))/SUMPRODUCT(($C$3:$C$165=C139)*ISNUMBER($G$3:$G$165)*ISNUMBER($F$3:$F$165)*IF(ISNUMBER($F$3:$F$165),$F$3:$F$165,0)),"")</f>
        <v/>
      </c>
      <c r="I139" s="16">
        <f>IFERROR(SUMPRODUCT(($C$3:$C$165=C139)*ISNUMBER($G$3:$G$165)*IF(ISNUMBER($G$3:$G$165),$G$3:$G$165,0))/SUMPRODUCT(($C$3:$C$165=C139)*ISNUMBER($G$3:$G$165)),"")</f>
        <v/>
      </c>
      <c r="J139" s="16">
        <f>IF(OR(G139="",H139=""),"",G139/H139)</f>
        <v/>
      </c>
      <c r="K139" s="16">
        <f>IF(OR(G139="",I139=""),"",G139/I139)</f>
        <v/>
      </c>
      <c r="L139" s="14">
        <f>INDEX('4_UK_Beta_Input'!$D$5:$D$15,MATCH($C139,'4_UK_Beta_Input'!$A$5:$A$15,0))</f>
        <v/>
      </c>
      <c r="M139" s="14">
        <f>INDEX('4_UK_Beta_Input'!$D$20:$D$44,MATCH($E139,'4_UK_Beta_Input'!$A$20:$A$44,0))</f>
        <v/>
      </c>
      <c r="N139" s="14">
        <f>INDEX('4_UK_Beta_Input'!$D$49:$D$122,MATCH($D139,'4_UK_Beta_Input'!$A$49:$A$122,0))</f>
        <v/>
      </c>
      <c r="O139" s="14">
        <f>INDEX('4_UK_Beta_Input'!$D$127:$D$289,MATCH($A139,'4_UK_Beta_Input'!$A$127:$A$289,0))</f>
        <v/>
      </c>
      <c r="P139" s="16">
        <f>(M139/L139)*(N139/M139)*(O139/N139)</f>
        <v/>
      </c>
      <c r="Q139" s="17">
        <f>IF(J139="",INDEX('3_UK_L1_Input'!$D$4:$D$14,MATCH($C139,'3_UK_L1_Input'!$A$4:$A$14,0))*P139,INDEX('3_UK_L1_Input'!$D$4:$D$14,MATCH($C139,'3_UK_L1_Input'!$A$4:$A$14,0))*J139)</f>
        <v/>
      </c>
      <c r="R139" s="17">
        <f>IF(K139="",INDEX('3_UK_L1_Input'!$D$4:$D$14,MATCH($C139,'3_UK_L1_Input'!$A$4:$A$14,0))*P139,INDEX('3_UK_L1_Input'!$D$4:$D$14,MATCH($C139,'3_UK_L1_Input'!$A$4:$A$14,0))*K139)</f>
        <v/>
      </c>
      <c r="S139" s="18">
        <f>IF(G139="","BETA CASCADE FALLBACK (dummy — replace with real beta)","REAL (Bloomberg UK)")</f>
        <v/>
      </c>
      <c r="T139" s="17">
        <f>INDEX('3_UK_L1_Input'!$C$4:$C$14,MATCH($C139,'3_UK_L1_Input'!$A$4:$A$14,0))</f>
        <v/>
      </c>
      <c r="U139" s="17">
        <f>INDEX('3_UK_L1_Input'!$C$4:$C$14,MATCH($C139,'3_UK_L1_Input'!$A$4:$A$14,0))*P139</f>
        <v/>
      </c>
      <c r="V139" s="15">
        <f>INDEX('5_UK_DefaultRisk_Input'!$D$5:$D$15,MATCH($C139,'5_UK_DefaultRisk_Input'!$A$5:$A$15,0))</f>
        <v/>
      </c>
      <c r="W139" s="15">
        <f>INDEX('5_UK_DefaultRisk_Input'!$D$20:$D$44,MATCH($E139,'5_UK_DefaultRisk_Input'!$A$20:$A$44,0))</f>
        <v/>
      </c>
      <c r="X139" s="15">
        <f>INDEX('5_UK_DefaultRisk_Input'!$D$49:$D$122,MATCH($D139,'5_UK_DefaultRisk_Input'!$A$49:$A$122,0))</f>
        <v/>
      </c>
      <c r="Y139" s="15">
        <f>INDEX('5_UK_DefaultRisk_Input'!$D$127:$D$289,MATCH($A139,'5_UK_DefaultRisk_Input'!$A$127:$A$289,0))</f>
        <v/>
      </c>
      <c r="Z139" s="16">
        <f>(W139/V139)*(X139/W139)*(Y139/X139)</f>
        <v/>
      </c>
      <c r="AA139" s="17">
        <f>INDEX('3_UK_L1_Input'!$D$4:$D$14,MATCH($C139,'3_UK_L1_Input'!$A$4:$A$14,0))*Z139</f>
        <v/>
      </c>
    </row>
    <row r="140">
      <c r="A140" s="7" t="n">
        <v>50202010</v>
      </c>
      <c r="B140" s="7" t="inlineStr">
        <is>
          <t>Movies &amp; Entertainment</t>
        </is>
      </c>
      <c r="C140" s="7" t="n">
        <v>50</v>
      </c>
      <c r="D140" s="7" t="n">
        <v>502020</v>
      </c>
      <c r="E140" s="7" t="n">
        <v>5020</v>
      </c>
      <c r="F140" s="9" t="n">
        <v>109680000</v>
      </c>
      <c r="G140" s="10" t="n">
        <v>5.93</v>
      </c>
      <c r="H140" s="16">
        <f>IFERROR(SUMPRODUCT(($C$3:$C$165=C140)*ISNUMBER($G$3:$G$165)*ISNUMBER($F$3:$F$165)*IF(ISNUMBER($F$3:$F$165),$F$3:$F$165,0)*IF(ISNUMBER($G$3:$G$165),$G$3:$G$165,0))/SUMPRODUCT(($C$3:$C$165=C140)*ISNUMBER($G$3:$G$165)*ISNUMBER($F$3:$F$165)*IF(ISNUMBER($F$3:$F$165),$F$3:$F$165,0)),"")</f>
        <v/>
      </c>
      <c r="I140" s="16">
        <f>IFERROR(SUMPRODUCT(($C$3:$C$165=C140)*ISNUMBER($G$3:$G$165)*IF(ISNUMBER($G$3:$G$165),$G$3:$G$165,0))/SUMPRODUCT(($C$3:$C$165=C140)*ISNUMBER($G$3:$G$165)),"")</f>
        <v/>
      </c>
      <c r="J140" s="16">
        <f>IF(OR(G140="",H140=""),"",G140/H140)</f>
        <v/>
      </c>
      <c r="K140" s="16">
        <f>IF(OR(G140="",I140=""),"",G140/I140)</f>
        <v/>
      </c>
      <c r="L140" s="14">
        <f>INDEX('4_UK_Beta_Input'!$D$5:$D$15,MATCH($C140,'4_UK_Beta_Input'!$A$5:$A$15,0))</f>
        <v/>
      </c>
      <c r="M140" s="14">
        <f>INDEX('4_UK_Beta_Input'!$D$20:$D$44,MATCH($E140,'4_UK_Beta_Input'!$A$20:$A$44,0))</f>
        <v/>
      </c>
      <c r="N140" s="14">
        <f>INDEX('4_UK_Beta_Input'!$D$49:$D$122,MATCH($D140,'4_UK_Beta_Input'!$A$49:$A$122,0))</f>
        <v/>
      </c>
      <c r="O140" s="14">
        <f>INDEX('4_UK_Beta_Input'!$D$127:$D$289,MATCH($A140,'4_UK_Beta_Input'!$A$127:$A$289,0))</f>
        <v/>
      </c>
      <c r="P140" s="16">
        <f>(M140/L140)*(N140/M140)*(O140/N140)</f>
        <v/>
      </c>
      <c r="Q140" s="17">
        <f>IF(J140="",INDEX('3_UK_L1_Input'!$D$4:$D$14,MATCH($C140,'3_UK_L1_Input'!$A$4:$A$14,0))*P140,INDEX('3_UK_L1_Input'!$D$4:$D$14,MATCH($C140,'3_UK_L1_Input'!$A$4:$A$14,0))*J140)</f>
        <v/>
      </c>
      <c r="R140" s="17">
        <f>IF(K140="",INDEX('3_UK_L1_Input'!$D$4:$D$14,MATCH($C140,'3_UK_L1_Input'!$A$4:$A$14,0))*P140,INDEX('3_UK_L1_Input'!$D$4:$D$14,MATCH($C140,'3_UK_L1_Input'!$A$4:$A$14,0))*K140)</f>
        <v/>
      </c>
      <c r="S140" s="18">
        <f>IF(G140="","BETA CASCADE FALLBACK (dummy — replace with real beta)","REAL (Bloomberg UK)")</f>
        <v/>
      </c>
      <c r="T140" s="17">
        <f>INDEX('3_UK_L1_Input'!$C$4:$C$14,MATCH($C140,'3_UK_L1_Input'!$A$4:$A$14,0))</f>
        <v/>
      </c>
      <c r="U140" s="17">
        <f>INDEX('3_UK_L1_Input'!$C$4:$C$14,MATCH($C140,'3_UK_L1_Input'!$A$4:$A$14,0))*P140</f>
        <v/>
      </c>
      <c r="V140" s="15">
        <f>INDEX('5_UK_DefaultRisk_Input'!$D$5:$D$15,MATCH($C140,'5_UK_DefaultRisk_Input'!$A$5:$A$15,0))</f>
        <v/>
      </c>
      <c r="W140" s="15">
        <f>INDEX('5_UK_DefaultRisk_Input'!$D$20:$D$44,MATCH($E140,'5_UK_DefaultRisk_Input'!$A$20:$A$44,0))</f>
        <v/>
      </c>
      <c r="X140" s="15">
        <f>INDEX('5_UK_DefaultRisk_Input'!$D$49:$D$122,MATCH($D140,'5_UK_DefaultRisk_Input'!$A$49:$A$122,0))</f>
        <v/>
      </c>
      <c r="Y140" s="15">
        <f>INDEX('5_UK_DefaultRisk_Input'!$D$127:$D$289,MATCH($A140,'5_UK_DefaultRisk_Input'!$A$127:$A$289,0))</f>
        <v/>
      </c>
      <c r="Z140" s="16">
        <f>(W140/V140)*(X140/W140)*(Y140/X140)</f>
        <v/>
      </c>
      <c r="AA140" s="17">
        <f>INDEX('3_UK_L1_Input'!$D$4:$D$14,MATCH($C140,'3_UK_L1_Input'!$A$4:$A$14,0))*Z140</f>
        <v/>
      </c>
    </row>
    <row r="141">
      <c r="A141" s="7" t="n">
        <v>50202020</v>
      </c>
      <c r="B141" s="7" t="inlineStr">
        <is>
          <t>Interactive Home Entertainment</t>
        </is>
      </c>
      <c r="C141" s="7" t="n">
        <v>50</v>
      </c>
      <c r="D141" s="7" t="n">
        <v>502020</v>
      </c>
      <c r="E141" s="7" t="n">
        <v>5020</v>
      </c>
      <c r="F141" s="9" t="n">
        <v>62650000</v>
      </c>
      <c r="G141" s="10" t="n">
        <v>4.49</v>
      </c>
      <c r="H141" s="16">
        <f>IFERROR(SUMPRODUCT(($C$3:$C$165=C141)*ISNUMBER($G$3:$G$165)*ISNUMBER($F$3:$F$165)*IF(ISNUMBER($F$3:$F$165),$F$3:$F$165,0)*IF(ISNUMBER($G$3:$G$165),$G$3:$G$165,0))/SUMPRODUCT(($C$3:$C$165=C141)*ISNUMBER($G$3:$G$165)*ISNUMBER($F$3:$F$165)*IF(ISNUMBER($F$3:$F$165),$F$3:$F$165,0)),"")</f>
        <v/>
      </c>
      <c r="I141" s="16">
        <f>IFERROR(SUMPRODUCT(($C$3:$C$165=C141)*ISNUMBER($G$3:$G$165)*IF(ISNUMBER($G$3:$G$165),$G$3:$G$165,0))/SUMPRODUCT(($C$3:$C$165=C141)*ISNUMBER($G$3:$G$165)),"")</f>
        <v/>
      </c>
      <c r="J141" s="16">
        <f>IF(OR(G141="",H141=""),"",G141/H141)</f>
        <v/>
      </c>
      <c r="K141" s="16">
        <f>IF(OR(G141="",I141=""),"",G141/I141)</f>
        <v/>
      </c>
      <c r="L141" s="14">
        <f>INDEX('4_UK_Beta_Input'!$D$5:$D$15,MATCH($C141,'4_UK_Beta_Input'!$A$5:$A$15,0))</f>
        <v/>
      </c>
      <c r="M141" s="14">
        <f>INDEX('4_UK_Beta_Input'!$D$20:$D$44,MATCH($E141,'4_UK_Beta_Input'!$A$20:$A$44,0))</f>
        <v/>
      </c>
      <c r="N141" s="14">
        <f>INDEX('4_UK_Beta_Input'!$D$49:$D$122,MATCH($D141,'4_UK_Beta_Input'!$A$49:$A$122,0))</f>
        <v/>
      </c>
      <c r="O141" s="14">
        <f>INDEX('4_UK_Beta_Input'!$D$127:$D$289,MATCH($A141,'4_UK_Beta_Input'!$A$127:$A$289,0))</f>
        <v/>
      </c>
      <c r="P141" s="16">
        <f>(M141/L141)*(N141/M141)*(O141/N141)</f>
        <v/>
      </c>
      <c r="Q141" s="17">
        <f>IF(J141="",INDEX('3_UK_L1_Input'!$D$4:$D$14,MATCH($C141,'3_UK_L1_Input'!$A$4:$A$14,0))*P141,INDEX('3_UK_L1_Input'!$D$4:$D$14,MATCH($C141,'3_UK_L1_Input'!$A$4:$A$14,0))*J141)</f>
        <v/>
      </c>
      <c r="R141" s="17">
        <f>IF(K141="",INDEX('3_UK_L1_Input'!$D$4:$D$14,MATCH($C141,'3_UK_L1_Input'!$A$4:$A$14,0))*P141,INDEX('3_UK_L1_Input'!$D$4:$D$14,MATCH($C141,'3_UK_L1_Input'!$A$4:$A$14,0))*K141)</f>
        <v/>
      </c>
      <c r="S141" s="18">
        <f>IF(G141="","BETA CASCADE FALLBACK (dummy — replace with real beta)","REAL (Bloomberg UK)")</f>
        <v/>
      </c>
      <c r="T141" s="17">
        <f>INDEX('3_UK_L1_Input'!$C$4:$C$14,MATCH($C141,'3_UK_L1_Input'!$A$4:$A$14,0))</f>
        <v/>
      </c>
      <c r="U141" s="17">
        <f>INDEX('3_UK_L1_Input'!$C$4:$C$14,MATCH($C141,'3_UK_L1_Input'!$A$4:$A$14,0))*P141</f>
        <v/>
      </c>
      <c r="V141" s="15">
        <f>INDEX('5_UK_DefaultRisk_Input'!$D$5:$D$15,MATCH($C141,'5_UK_DefaultRisk_Input'!$A$5:$A$15,0))</f>
        <v/>
      </c>
      <c r="W141" s="15">
        <f>INDEX('5_UK_DefaultRisk_Input'!$D$20:$D$44,MATCH($E141,'5_UK_DefaultRisk_Input'!$A$20:$A$44,0))</f>
        <v/>
      </c>
      <c r="X141" s="15">
        <f>INDEX('5_UK_DefaultRisk_Input'!$D$49:$D$122,MATCH($D141,'5_UK_DefaultRisk_Input'!$A$49:$A$122,0))</f>
        <v/>
      </c>
      <c r="Y141" s="15">
        <f>INDEX('5_UK_DefaultRisk_Input'!$D$127:$D$289,MATCH($A141,'5_UK_DefaultRisk_Input'!$A$127:$A$289,0))</f>
        <v/>
      </c>
      <c r="Z141" s="16">
        <f>(W141/V141)*(X141/W141)*(Y141/X141)</f>
        <v/>
      </c>
      <c r="AA141" s="17">
        <f>INDEX('3_UK_L1_Input'!$D$4:$D$14,MATCH($C141,'3_UK_L1_Input'!$A$4:$A$14,0))*Z141</f>
        <v/>
      </c>
    </row>
    <row r="142">
      <c r="A142" s="7" t="n">
        <v>50203010</v>
      </c>
      <c r="B142" s="7" t="inlineStr">
        <is>
          <t>Interactive Media &amp; Services</t>
        </is>
      </c>
      <c r="C142" s="7" t="n">
        <v>50</v>
      </c>
      <c r="D142" s="7" t="n">
        <v>502030</v>
      </c>
      <c r="E142" s="7" t="n">
        <v>5020</v>
      </c>
      <c r="F142" s="9" t="n">
        <v>237960000</v>
      </c>
      <c r="G142" s="10" t="n">
        <v>14.42</v>
      </c>
      <c r="H142" s="16">
        <f>IFERROR(SUMPRODUCT(($C$3:$C$165=C142)*ISNUMBER($G$3:$G$165)*ISNUMBER($F$3:$F$165)*IF(ISNUMBER($F$3:$F$165),$F$3:$F$165,0)*IF(ISNUMBER($G$3:$G$165),$G$3:$G$165,0))/SUMPRODUCT(($C$3:$C$165=C142)*ISNUMBER($G$3:$G$165)*ISNUMBER($F$3:$F$165)*IF(ISNUMBER($F$3:$F$165),$F$3:$F$165,0)),"")</f>
        <v/>
      </c>
      <c r="I142" s="16">
        <f>IFERROR(SUMPRODUCT(($C$3:$C$165=C142)*ISNUMBER($G$3:$G$165)*IF(ISNUMBER($G$3:$G$165),$G$3:$G$165,0))/SUMPRODUCT(($C$3:$C$165=C142)*ISNUMBER($G$3:$G$165)),"")</f>
        <v/>
      </c>
      <c r="J142" s="16">
        <f>IF(OR(G142="",H142=""),"",G142/H142)</f>
        <v/>
      </c>
      <c r="K142" s="16">
        <f>IF(OR(G142="",I142=""),"",G142/I142)</f>
        <v/>
      </c>
      <c r="L142" s="14">
        <f>INDEX('4_UK_Beta_Input'!$D$5:$D$15,MATCH($C142,'4_UK_Beta_Input'!$A$5:$A$15,0))</f>
        <v/>
      </c>
      <c r="M142" s="14">
        <f>INDEX('4_UK_Beta_Input'!$D$20:$D$44,MATCH($E142,'4_UK_Beta_Input'!$A$20:$A$44,0))</f>
        <v/>
      </c>
      <c r="N142" s="14">
        <f>INDEX('4_UK_Beta_Input'!$D$49:$D$122,MATCH($D142,'4_UK_Beta_Input'!$A$49:$A$122,0))</f>
        <v/>
      </c>
      <c r="O142" s="14">
        <f>INDEX('4_UK_Beta_Input'!$D$127:$D$289,MATCH($A142,'4_UK_Beta_Input'!$A$127:$A$289,0))</f>
        <v/>
      </c>
      <c r="P142" s="16">
        <f>(M142/L142)*(N142/M142)*(O142/N142)</f>
        <v/>
      </c>
      <c r="Q142" s="17">
        <f>IF(J142="",INDEX('3_UK_L1_Input'!$D$4:$D$14,MATCH($C142,'3_UK_L1_Input'!$A$4:$A$14,0))*P142,INDEX('3_UK_L1_Input'!$D$4:$D$14,MATCH($C142,'3_UK_L1_Input'!$A$4:$A$14,0))*J142)</f>
        <v/>
      </c>
      <c r="R142" s="17">
        <f>IF(K142="",INDEX('3_UK_L1_Input'!$D$4:$D$14,MATCH($C142,'3_UK_L1_Input'!$A$4:$A$14,0))*P142,INDEX('3_UK_L1_Input'!$D$4:$D$14,MATCH($C142,'3_UK_L1_Input'!$A$4:$A$14,0))*K142)</f>
        <v/>
      </c>
      <c r="S142" s="18">
        <f>IF(G142="","BETA CASCADE FALLBACK (dummy — replace with real beta)","REAL (Bloomberg UK)")</f>
        <v/>
      </c>
      <c r="T142" s="17">
        <f>INDEX('3_UK_L1_Input'!$C$4:$C$14,MATCH($C142,'3_UK_L1_Input'!$A$4:$A$14,0))</f>
        <v/>
      </c>
      <c r="U142" s="17">
        <f>INDEX('3_UK_L1_Input'!$C$4:$C$14,MATCH($C142,'3_UK_L1_Input'!$A$4:$A$14,0))*P142</f>
        <v/>
      </c>
      <c r="V142" s="15">
        <f>INDEX('5_UK_DefaultRisk_Input'!$D$5:$D$15,MATCH($C142,'5_UK_DefaultRisk_Input'!$A$5:$A$15,0))</f>
        <v/>
      </c>
      <c r="W142" s="15">
        <f>INDEX('5_UK_DefaultRisk_Input'!$D$20:$D$44,MATCH($E142,'5_UK_DefaultRisk_Input'!$A$20:$A$44,0))</f>
        <v/>
      </c>
      <c r="X142" s="15">
        <f>INDEX('5_UK_DefaultRisk_Input'!$D$49:$D$122,MATCH($D142,'5_UK_DefaultRisk_Input'!$A$49:$A$122,0))</f>
        <v/>
      </c>
      <c r="Y142" s="15">
        <f>INDEX('5_UK_DefaultRisk_Input'!$D$127:$D$289,MATCH($A142,'5_UK_DefaultRisk_Input'!$A$127:$A$289,0))</f>
        <v/>
      </c>
      <c r="Z142" s="16">
        <f>(W142/V142)*(X142/W142)*(Y142/X142)</f>
        <v/>
      </c>
      <c r="AA142" s="17">
        <f>INDEX('3_UK_L1_Input'!$D$4:$D$14,MATCH($C142,'3_UK_L1_Input'!$A$4:$A$14,0))*Z142</f>
        <v/>
      </c>
    </row>
    <row r="143">
      <c r="A143" s="7" t="n">
        <v>55101010</v>
      </c>
      <c r="B143" s="7" t="inlineStr">
        <is>
          <t>Electric Utilities</t>
        </is>
      </c>
      <c r="C143" s="7" t="n">
        <v>55</v>
      </c>
      <c r="D143" s="7" t="n">
        <v>551010</v>
      </c>
      <c r="E143" s="7" t="n">
        <v>5510</v>
      </c>
      <c r="F143" s="9" t="n">
        <v>3450000000</v>
      </c>
      <c r="G143" s="10" t="n">
        <v>10.21</v>
      </c>
      <c r="H143" s="16">
        <f>IFERROR(SUMPRODUCT(($C$3:$C$165=C143)*ISNUMBER($G$3:$G$165)*ISNUMBER($F$3:$F$165)*IF(ISNUMBER($F$3:$F$165),$F$3:$F$165,0)*IF(ISNUMBER($G$3:$G$165),$G$3:$G$165,0))/SUMPRODUCT(($C$3:$C$165=C143)*ISNUMBER($G$3:$G$165)*ISNUMBER($F$3:$F$165)*IF(ISNUMBER($F$3:$F$165),$F$3:$F$165,0)),"")</f>
        <v/>
      </c>
      <c r="I143" s="16">
        <f>IFERROR(SUMPRODUCT(($C$3:$C$165=C143)*ISNUMBER($G$3:$G$165)*IF(ISNUMBER($G$3:$G$165),$G$3:$G$165,0))/SUMPRODUCT(($C$3:$C$165=C143)*ISNUMBER($G$3:$G$165)),"")</f>
        <v/>
      </c>
      <c r="J143" s="16">
        <f>IF(OR(G143="",H143=""),"",G143/H143)</f>
        <v/>
      </c>
      <c r="K143" s="16">
        <f>IF(OR(G143="",I143=""),"",G143/I143)</f>
        <v/>
      </c>
      <c r="L143" s="14">
        <f>INDEX('4_UK_Beta_Input'!$D$5:$D$15,MATCH($C143,'4_UK_Beta_Input'!$A$5:$A$15,0))</f>
        <v/>
      </c>
      <c r="M143" s="14">
        <f>INDEX('4_UK_Beta_Input'!$D$20:$D$44,MATCH($E143,'4_UK_Beta_Input'!$A$20:$A$44,0))</f>
        <v/>
      </c>
      <c r="N143" s="14">
        <f>INDEX('4_UK_Beta_Input'!$D$49:$D$122,MATCH($D143,'4_UK_Beta_Input'!$A$49:$A$122,0))</f>
        <v/>
      </c>
      <c r="O143" s="14">
        <f>INDEX('4_UK_Beta_Input'!$D$127:$D$289,MATCH($A143,'4_UK_Beta_Input'!$A$127:$A$289,0))</f>
        <v/>
      </c>
      <c r="P143" s="16">
        <f>(M143/L143)*(N143/M143)*(O143/N143)</f>
        <v/>
      </c>
      <c r="Q143" s="17">
        <f>IF(J143="",INDEX('3_UK_L1_Input'!$D$4:$D$14,MATCH($C143,'3_UK_L1_Input'!$A$4:$A$14,0))*P143,INDEX('3_UK_L1_Input'!$D$4:$D$14,MATCH($C143,'3_UK_L1_Input'!$A$4:$A$14,0))*J143)</f>
        <v/>
      </c>
      <c r="R143" s="17">
        <f>IF(K143="",INDEX('3_UK_L1_Input'!$D$4:$D$14,MATCH($C143,'3_UK_L1_Input'!$A$4:$A$14,0))*P143,INDEX('3_UK_L1_Input'!$D$4:$D$14,MATCH($C143,'3_UK_L1_Input'!$A$4:$A$14,0))*K143)</f>
        <v/>
      </c>
      <c r="S143" s="18">
        <f>IF(G143="","BETA CASCADE FALLBACK (dummy — replace with real beta)","REAL (Bloomberg UK)")</f>
        <v/>
      </c>
      <c r="T143" s="17">
        <f>INDEX('3_UK_L1_Input'!$C$4:$C$14,MATCH($C143,'3_UK_L1_Input'!$A$4:$A$14,0))</f>
        <v/>
      </c>
      <c r="U143" s="17">
        <f>INDEX('3_UK_L1_Input'!$C$4:$C$14,MATCH($C143,'3_UK_L1_Input'!$A$4:$A$14,0))*P143</f>
        <v/>
      </c>
      <c r="V143" s="15">
        <f>INDEX('5_UK_DefaultRisk_Input'!$D$5:$D$15,MATCH($C143,'5_UK_DefaultRisk_Input'!$A$5:$A$15,0))</f>
        <v/>
      </c>
      <c r="W143" s="15">
        <f>INDEX('5_UK_DefaultRisk_Input'!$D$20:$D$44,MATCH($E143,'5_UK_DefaultRisk_Input'!$A$20:$A$44,0))</f>
        <v/>
      </c>
      <c r="X143" s="15">
        <f>INDEX('5_UK_DefaultRisk_Input'!$D$49:$D$122,MATCH($D143,'5_UK_DefaultRisk_Input'!$A$49:$A$122,0))</f>
        <v/>
      </c>
      <c r="Y143" s="15">
        <f>INDEX('5_UK_DefaultRisk_Input'!$D$127:$D$289,MATCH($A143,'5_UK_DefaultRisk_Input'!$A$127:$A$289,0))</f>
        <v/>
      </c>
      <c r="Z143" s="16">
        <f>(W143/V143)*(X143/W143)*(Y143/X143)</f>
        <v/>
      </c>
      <c r="AA143" s="17">
        <f>INDEX('3_UK_L1_Input'!$D$4:$D$14,MATCH($C143,'3_UK_L1_Input'!$A$4:$A$14,0))*Z143</f>
        <v/>
      </c>
    </row>
    <row r="144">
      <c r="A144" s="7" t="n">
        <v>55102010</v>
      </c>
      <c r="B144" s="7" t="inlineStr">
        <is>
          <t>Gas Utilities</t>
        </is>
      </c>
      <c r="C144" s="7" t="n">
        <v>55</v>
      </c>
      <c r="D144" s="7" t="n">
        <v>551020</v>
      </c>
      <c r="E144" s="7" t="n">
        <v>5510</v>
      </c>
      <c r="F144" s="8" t="n"/>
      <c r="G144" s="8" t="n"/>
      <c r="H144" s="16">
        <f>IFERROR(SUMPRODUCT(($C$3:$C$165=C144)*ISNUMBER($G$3:$G$165)*ISNUMBER($F$3:$F$165)*IF(ISNUMBER($F$3:$F$165),$F$3:$F$165,0)*IF(ISNUMBER($G$3:$G$165),$G$3:$G$165,0))/SUMPRODUCT(($C$3:$C$165=C144)*ISNUMBER($G$3:$G$165)*ISNUMBER($F$3:$F$165)*IF(ISNUMBER($F$3:$F$165),$F$3:$F$165,0)),"")</f>
        <v/>
      </c>
      <c r="I144" s="16">
        <f>IFERROR(SUMPRODUCT(($C$3:$C$165=C144)*ISNUMBER($G$3:$G$165)*IF(ISNUMBER($G$3:$G$165),$G$3:$G$165,0))/SUMPRODUCT(($C$3:$C$165=C144)*ISNUMBER($G$3:$G$165)),"")</f>
        <v/>
      </c>
      <c r="J144" s="16">
        <f>IF(OR(G144="",H144=""),"",G144/H144)</f>
        <v/>
      </c>
      <c r="K144" s="16">
        <f>IF(OR(G144="",I144=""),"",G144/I144)</f>
        <v/>
      </c>
      <c r="L144" s="14">
        <f>INDEX('4_UK_Beta_Input'!$D$5:$D$15,MATCH($C144,'4_UK_Beta_Input'!$A$5:$A$15,0))</f>
        <v/>
      </c>
      <c r="M144" s="14">
        <f>INDEX('4_UK_Beta_Input'!$D$20:$D$44,MATCH($E144,'4_UK_Beta_Input'!$A$20:$A$44,0))</f>
        <v/>
      </c>
      <c r="N144" s="14">
        <f>INDEX('4_UK_Beta_Input'!$D$49:$D$122,MATCH($D144,'4_UK_Beta_Input'!$A$49:$A$122,0))</f>
        <v/>
      </c>
      <c r="O144" s="14">
        <f>INDEX('4_UK_Beta_Input'!$D$127:$D$289,MATCH($A144,'4_UK_Beta_Input'!$A$127:$A$289,0))</f>
        <v/>
      </c>
      <c r="P144" s="16">
        <f>(M144/L144)*(N144/M144)*(O144/N144)</f>
        <v/>
      </c>
      <c r="Q144" s="17">
        <f>IF(J144="",INDEX('3_UK_L1_Input'!$D$4:$D$14,MATCH($C144,'3_UK_L1_Input'!$A$4:$A$14,0))*P144,INDEX('3_UK_L1_Input'!$D$4:$D$14,MATCH($C144,'3_UK_L1_Input'!$A$4:$A$14,0))*J144)</f>
        <v/>
      </c>
      <c r="R144" s="17">
        <f>IF(K144="",INDEX('3_UK_L1_Input'!$D$4:$D$14,MATCH($C144,'3_UK_L1_Input'!$A$4:$A$14,0))*P144,INDEX('3_UK_L1_Input'!$D$4:$D$14,MATCH($C144,'3_UK_L1_Input'!$A$4:$A$14,0))*K144)</f>
        <v/>
      </c>
      <c r="S144" s="19">
        <f>IF(G144="","BETA CASCADE FALLBACK (dummy — replace with real beta)","REAL (Bloomberg UK)")</f>
        <v/>
      </c>
      <c r="T144" s="17">
        <f>INDEX('3_UK_L1_Input'!$C$4:$C$14,MATCH($C144,'3_UK_L1_Input'!$A$4:$A$14,0))</f>
        <v/>
      </c>
      <c r="U144" s="17">
        <f>INDEX('3_UK_L1_Input'!$C$4:$C$14,MATCH($C144,'3_UK_L1_Input'!$A$4:$A$14,0))*P144</f>
        <v/>
      </c>
      <c r="V144" s="15">
        <f>INDEX('5_UK_DefaultRisk_Input'!$D$5:$D$15,MATCH($C144,'5_UK_DefaultRisk_Input'!$A$5:$A$15,0))</f>
        <v/>
      </c>
      <c r="W144" s="15">
        <f>INDEX('5_UK_DefaultRisk_Input'!$D$20:$D$44,MATCH($E144,'5_UK_DefaultRisk_Input'!$A$20:$A$44,0))</f>
        <v/>
      </c>
      <c r="X144" s="15">
        <f>INDEX('5_UK_DefaultRisk_Input'!$D$49:$D$122,MATCH($D144,'5_UK_DefaultRisk_Input'!$A$49:$A$122,0))</f>
        <v/>
      </c>
      <c r="Y144" s="15">
        <f>INDEX('5_UK_DefaultRisk_Input'!$D$127:$D$289,MATCH($A144,'5_UK_DefaultRisk_Input'!$A$127:$A$289,0))</f>
        <v/>
      </c>
      <c r="Z144" s="16">
        <f>(W144/V144)*(X144/W144)*(Y144/X144)</f>
        <v/>
      </c>
      <c r="AA144" s="17">
        <f>INDEX('3_UK_L1_Input'!$D$4:$D$14,MATCH($C144,'3_UK_L1_Input'!$A$4:$A$14,0))*Z144</f>
        <v/>
      </c>
    </row>
    <row r="145">
      <c r="A145" s="7" t="n">
        <v>55103010</v>
      </c>
      <c r="B145" s="7" t="inlineStr">
        <is>
          <t>Multi-Utilities</t>
        </is>
      </c>
      <c r="C145" s="7" t="n">
        <v>55</v>
      </c>
      <c r="D145" s="7" t="n">
        <v>551030</v>
      </c>
      <c r="E145" s="7" t="n">
        <v>5510</v>
      </c>
      <c r="F145" s="9" t="n">
        <v>13060000000</v>
      </c>
      <c r="G145" s="10" t="n">
        <v>8.119999999999999</v>
      </c>
      <c r="H145" s="16">
        <f>IFERROR(SUMPRODUCT(($C$3:$C$165=C145)*ISNUMBER($G$3:$G$165)*ISNUMBER($F$3:$F$165)*IF(ISNUMBER($F$3:$F$165),$F$3:$F$165,0)*IF(ISNUMBER($G$3:$G$165),$G$3:$G$165,0))/SUMPRODUCT(($C$3:$C$165=C145)*ISNUMBER($G$3:$G$165)*ISNUMBER($F$3:$F$165)*IF(ISNUMBER($F$3:$F$165),$F$3:$F$165,0)),"")</f>
        <v/>
      </c>
      <c r="I145" s="16">
        <f>IFERROR(SUMPRODUCT(($C$3:$C$165=C145)*ISNUMBER($G$3:$G$165)*IF(ISNUMBER($G$3:$G$165),$G$3:$G$165,0))/SUMPRODUCT(($C$3:$C$165=C145)*ISNUMBER($G$3:$G$165)),"")</f>
        <v/>
      </c>
      <c r="J145" s="16">
        <f>IF(OR(G145="",H145=""),"",G145/H145)</f>
        <v/>
      </c>
      <c r="K145" s="16">
        <f>IF(OR(G145="",I145=""),"",G145/I145)</f>
        <v/>
      </c>
      <c r="L145" s="14">
        <f>INDEX('4_UK_Beta_Input'!$D$5:$D$15,MATCH($C145,'4_UK_Beta_Input'!$A$5:$A$15,0))</f>
        <v/>
      </c>
      <c r="M145" s="14">
        <f>INDEX('4_UK_Beta_Input'!$D$20:$D$44,MATCH($E145,'4_UK_Beta_Input'!$A$20:$A$44,0))</f>
        <v/>
      </c>
      <c r="N145" s="14">
        <f>INDEX('4_UK_Beta_Input'!$D$49:$D$122,MATCH($D145,'4_UK_Beta_Input'!$A$49:$A$122,0))</f>
        <v/>
      </c>
      <c r="O145" s="14">
        <f>INDEX('4_UK_Beta_Input'!$D$127:$D$289,MATCH($A145,'4_UK_Beta_Input'!$A$127:$A$289,0))</f>
        <v/>
      </c>
      <c r="P145" s="16">
        <f>(M145/L145)*(N145/M145)*(O145/N145)</f>
        <v/>
      </c>
      <c r="Q145" s="17">
        <f>IF(J145="",INDEX('3_UK_L1_Input'!$D$4:$D$14,MATCH($C145,'3_UK_L1_Input'!$A$4:$A$14,0))*P145,INDEX('3_UK_L1_Input'!$D$4:$D$14,MATCH($C145,'3_UK_L1_Input'!$A$4:$A$14,0))*J145)</f>
        <v/>
      </c>
      <c r="R145" s="17">
        <f>IF(K145="",INDEX('3_UK_L1_Input'!$D$4:$D$14,MATCH($C145,'3_UK_L1_Input'!$A$4:$A$14,0))*P145,INDEX('3_UK_L1_Input'!$D$4:$D$14,MATCH($C145,'3_UK_L1_Input'!$A$4:$A$14,0))*K145)</f>
        <v/>
      </c>
      <c r="S145" s="18">
        <f>IF(G145="","BETA CASCADE FALLBACK (dummy — replace with real beta)","REAL (Bloomberg UK)")</f>
        <v/>
      </c>
      <c r="T145" s="17">
        <f>INDEX('3_UK_L1_Input'!$C$4:$C$14,MATCH($C145,'3_UK_L1_Input'!$A$4:$A$14,0))</f>
        <v/>
      </c>
      <c r="U145" s="17">
        <f>INDEX('3_UK_L1_Input'!$C$4:$C$14,MATCH($C145,'3_UK_L1_Input'!$A$4:$A$14,0))*P145</f>
        <v/>
      </c>
      <c r="V145" s="15">
        <f>INDEX('5_UK_DefaultRisk_Input'!$D$5:$D$15,MATCH($C145,'5_UK_DefaultRisk_Input'!$A$5:$A$15,0))</f>
        <v/>
      </c>
      <c r="W145" s="15">
        <f>INDEX('5_UK_DefaultRisk_Input'!$D$20:$D$44,MATCH($E145,'5_UK_DefaultRisk_Input'!$A$20:$A$44,0))</f>
        <v/>
      </c>
      <c r="X145" s="15">
        <f>INDEX('5_UK_DefaultRisk_Input'!$D$49:$D$122,MATCH($D145,'5_UK_DefaultRisk_Input'!$A$49:$A$122,0))</f>
        <v/>
      </c>
      <c r="Y145" s="15">
        <f>INDEX('5_UK_DefaultRisk_Input'!$D$127:$D$289,MATCH($A145,'5_UK_DefaultRisk_Input'!$A$127:$A$289,0))</f>
        <v/>
      </c>
      <c r="Z145" s="16">
        <f>(W145/V145)*(X145/W145)*(Y145/X145)</f>
        <v/>
      </c>
      <c r="AA145" s="17">
        <f>INDEX('3_UK_L1_Input'!$D$4:$D$14,MATCH($C145,'3_UK_L1_Input'!$A$4:$A$14,0))*Z145</f>
        <v/>
      </c>
    </row>
    <row r="146">
      <c r="A146" s="7" t="n">
        <v>55104010</v>
      </c>
      <c r="B146" s="7" t="inlineStr">
        <is>
          <t>Water Utilities</t>
        </is>
      </c>
      <c r="C146" s="7" t="n">
        <v>55</v>
      </c>
      <c r="D146" s="7" t="n">
        <v>551040</v>
      </c>
      <c r="E146" s="7" t="n">
        <v>5510</v>
      </c>
      <c r="F146" s="9" t="n">
        <v>2250000000</v>
      </c>
      <c r="G146" s="10" t="n">
        <v>12.92</v>
      </c>
      <c r="H146" s="16">
        <f>IFERROR(SUMPRODUCT(($C$3:$C$165=C146)*ISNUMBER($G$3:$G$165)*ISNUMBER($F$3:$F$165)*IF(ISNUMBER($F$3:$F$165),$F$3:$F$165,0)*IF(ISNUMBER($G$3:$G$165),$G$3:$G$165,0))/SUMPRODUCT(($C$3:$C$165=C146)*ISNUMBER($G$3:$G$165)*ISNUMBER($F$3:$F$165)*IF(ISNUMBER($F$3:$F$165),$F$3:$F$165,0)),"")</f>
        <v/>
      </c>
      <c r="I146" s="16">
        <f>IFERROR(SUMPRODUCT(($C$3:$C$165=C146)*ISNUMBER($G$3:$G$165)*IF(ISNUMBER($G$3:$G$165),$G$3:$G$165,0))/SUMPRODUCT(($C$3:$C$165=C146)*ISNUMBER($G$3:$G$165)),"")</f>
        <v/>
      </c>
      <c r="J146" s="16">
        <f>IF(OR(G146="",H146=""),"",G146/H146)</f>
        <v/>
      </c>
      <c r="K146" s="16">
        <f>IF(OR(G146="",I146=""),"",G146/I146)</f>
        <v/>
      </c>
      <c r="L146" s="14">
        <f>INDEX('4_UK_Beta_Input'!$D$5:$D$15,MATCH($C146,'4_UK_Beta_Input'!$A$5:$A$15,0))</f>
        <v/>
      </c>
      <c r="M146" s="14">
        <f>INDEX('4_UK_Beta_Input'!$D$20:$D$44,MATCH($E146,'4_UK_Beta_Input'!$A$20:$A$44,0))</f>
        <v/>
      </c>
      <c r="N146" s="14">
        <f>INDEX('4_UK_Beta_Input'!$D$49:$D$122,MATCH($D146,'4_UK_Beta_Input'!$A$49:$A$122,0))</f>
        <v/>
      </c>
      <c r="O146" s="14">
        <f>INDEX('4_UK_Beta_Input'!$D$127:$D$289,MATCH($A146,'4_UK_Beta_Input'!$A$127:$A$289,0))</f>
        <v/>
      </c>
      <c r="P146" s="16">
        <f>(M146/L146)*(N146/M146)*(O146/N146)</f>
        <v/>
      </c>
      <c r="Q146" s="17">
        <f>IF(J146="",INDEX('3_UK_L1_Input'!$D$4:$D$14,MATCH($C146,'3_UK_L1_Input'!$A$4:$A$14,0))*P146,INDEX('3_UK_L1_Input'!$D$4:$D$14,MATCH($C146,'3_UK_L1_Input'!$A$4:$A$14,0))*J146)</f>
        <v/>
      </c>
      <c r="R146" s="17">
        <f>IF(K146="",INDEX('3_UK_L1_Input'!$D$4:$D$14,MATCH($C146,'3_UK_L1_Input'!$A$4:$A$14,0))*P146,INDEX('3_UK_L1_Input'!$D$4:$D$14,MATCH($C146,'3_UK_L1_Input'!$A$4:$A$14,0))*K146)</f>
        <v/>
      </c>
      <c r="S146" s="18">
        <f>IF(G146="","BETA CASCADE FALLBACK (dummy — replace with real beta)","REAL (Bloomberg UK)")</f>
        <v/>
      </c>
      <c r="T146" s="17">
        <f>INDEX('3_UK_L1_Input'!$C$4:$C$14,MATCH($C146,'3_UK_L1_Input'!$A$4:$A$14,0))</f>
        <v/>
      </c>
      <c r="U146" s="17">
        <f>INDEX('3_UK_L1_Input'!$C$4:$C$14,MATCH($C146,'3_UK_L1_Input'!$A$4:$A$14,0))*P146</f>
        <v/>
      </c>
      <c r="V146" s="15">
        <f>INDEX('5_UK_DefaultRisk_Input'!$D$5:$D$15,MATCH($C146,'5_UK_DefaultRisk_Input'!$A$5:$A$15,0))</f>
        <v/>
      </c>
      <c r="W146" s="15">
        <f>INDEX('5_UK_DefaultRisk_Input'!$D$20:$D$44,MATCH($E146,'5_UK_DefaultRisk_Input'!$A$20:$A$44,0))</f>
        <v/>
      </c>
      <c r="X146" s="15">
        <f>INDEX('5_UK_DefaultRisk_Input'!$D$49:$D$122,MATCH($D146,'5_UK_DefaultRisk_Input'!$A$49:$A$122,0))</f>
        <v/>
      </c>
      <c r="Y146" s="15">
        <f>INDEX('5_UK_DefaultRisk_Input'!$D$127:$D$289,MATCH($A146,'5_UK_DefaultRisk_Input'!$A$127:$A$289,0))</f>
        <v/>
      </c>
      <c r="Z146" s="16">
        <f>(W146/V146)*(X146/W146)*(Y146/X146)</f>
        <v/>
      </c>
      <c r="AA146" s="17">
        <f>INDEX('3_UK_L1_Input'!$D$4:$D$14,MATCH($C146,'3_UK_L1_Input'!$A$4:$A$14,0))*Z146</f>
        <v/>
      </c>
    </row>
    <row r="147">
      <c r="A147" s="7" t="n">
        <v>55105010</v>
      </c>
      <c r="B147" s="7" t="inlineStr">
        <is>
          <t>Independent Power Producers &amp; Energy Traders</t>
        </is>
      </c>
      <c r="C147" s="7" t="n">
        <v>55</v>
      </c>
      <c r="D147" s="7" t="n">
        <v>551050</v>
      </c>
      <c r="E147" s="7" t="n">
        <v>5510</v>
      </c>
      <c r="F147" s="9" t="n">
        <v>204040000</v>
      </c>
      <c r="G147" s="10" t="n">
        <v>4.83</v>
      </c>
      <c r="H147" s="16">
        <f>IFERROR(SUMPRODUCT(($C$3:$C$165=C147)*ISNUMBER($G$3:$G$165)*ISNUMBER($F$3:$F$165)*IF(ISNUMBER($F$3:$F$165),$F$3:$F$165,0)*IF(ISNUMBER($G$3:$G$165),$G$3:$G$165,0))/SUMPRODUCT(($C$3:$C$165=C147)*ISNUMBER($G$3:$G$165)*ISNUMBER($F$3:$F$165)*IF(ISNUMBER($F$3:$F$165),$F$3:$F$165,0)),"")</f>
        <v/>
      </c>
      <c r="I147" s="16">
        <f>IFERROR(SUMPRODUCT(($C$3:$C$165=C147)*ISNUMBER($G$3:$G$165)*IF(ISNUMBER($G$3:$G$165),$G$3:$G$165,0))/SUMPRODUCT(($C$3:$C$165=C147)*ISNUMBER($G$3:$G$165)),"")</f>
        <v/>
      </c>
      <c r="J147" s="16">
        <f>IF(OR(G147="",H147=""),"",G147/H147)</f>
        <v/>
      </c>
      <c r="K147" s="16">
        <f>IF(OR(G147="",I147=""),"",G147/I147)</f>
        <v/>
      </c>
      <c r="L147" s="14">
        <f>INDEX('4_UK_Beta_Input'!$D$5:$D$15,MATCH($C147,'4_UK_Beta_Input'!$A$5:$A$15,0))</f>
        <v/>
      </c>
      <c r="M147" s="14">
        <f>INDEX('4_UK_Beta_Input'!$D$20:$D$44,MATCH($E147,'4_UK_Beta_Input'!$A$20:$A$44,0))</f>
        <v/>
      </c>
      <c r="N147" s="14">
        <f>INDEX('4_UK_Beta_Input'!$D$49:$D$122,MATCH($D147,'4_UK_Beta_Input'!$A$49:$A$122,0))</f>
        <v/>
      </c>
      <c r="O147" s="14">
        <f>INDEX('4_UK_Beta_Input'!$D$127:$D$289,MATCH($A147,'4_UK_Beta_Input'!$A$127:$A$289,0))</f>
        <v/>
      </c>
      <c r="P147" s="16">
        <f>(M147/L147)*(N147/M147)*(O147/N147)</f>
        <v/>
      </c>
      <c r="Q147" s="17">
        <f>IF(J147="",INDEX('3_UK_L1_Input'!$D$4:$D$14,MATCH($C147,'3_UK_L1_Input'!$A$4:$A$14,0))*P147,INDEX('3_UK_L1_Input'!$D$4:$D$14,MATCH($C147,'3_UK_L1_Input'!$A$4:$A$14,0))*J147)</f>
        <v/>
      </c>
      <c r="R147" s="17">
        <f>IF(K147="",INDEX('3_UK_L1_Input'!$D$4:$D$14,MATCH($C147,'3_UK_L1_Input'!$A$4:$A$14,0))*P147,INDEX('3_UK_L1_Input'!$D$4:$D$14,MATCH($C147,'3_UK_L1_Input'!$A$4:$A$14,0))*K147)</f>
        <v/>
      </c>
      <c r="S147" s="18">
        <f>IF(G147="","BETA CASCADE FALLBACK (dummy — replace with real beta)","REAL (Bloomberg UK)")</f>
        <v/>
      </c>
      <c r="T147" s="17">
        <f>INDEX('3_UK_L1_Input'!$C$4:$C$14,MATCH($C147,'3_UK_L1_Input'!$A$4:$A$14,0))</f>
        <v/>
      </c>
      <c r="U147" s="17">
        <f>INDEX('3_UK_L1_Input'!$C$4:$C$14,MATCH($C147,'3_UK_L1_Input'!$A$4:$A$14,0))*P147</f>
        <v/>
      </c>
      <c r="V147" s="15">
        <f>INDEX('5_UK_DefaultRisk_Input'!$D$5:$D$15,MATCH($C147,'5_UK_DefaultRisk_Input'!$A$5:$A$15,0))</f>
        <v/>
      </c>
      <c r="W147" s="15">
        <f>INDEX('5_UK_DefaultRisk_Input'!$D$20:$D$44,MATCH($E147,'5_UK_DefaultRisk_Input'!$A$20:$A$44,0))</f>
        <v/>
      </c>
      <c r="X147" s="15">
        <f>INDEX('5_UK_DefaultRisk_Input'!$D$49:$D$122,MATCH($D147,'5_UK_DefaultRisk_Input'!$A$49:$A$122,0))</f>
        <v/>
      </c>
      <c r="Y147" s="15">
        <f>INDEX('5_UK_DefaultRisk_Input'!$D$127:$D$289,MATCH($A147,'5_UK_DefaultRisk_Input'!$A$127:$A$289,0))</f>
        <v/>
      </c>
      <c r="Z147" s="16">
        <f>(W147/V147)*(X147/W147)*(Y147/X147)</f>
        <v/>
      </c>
      <c r="AA147" s="17">
        <f>INDEX('3_UK_L1_Input'!$D$4:$D$14,MATCH($C147,'3_UK_L1_Input'!$A$4:$A$14,0))*Z147</f>
        <v/>
      </c>
    </row>
    <row r="148">
      <c r="A148" s="7" t="n">
        <v>55105020</v>
      </c>
      <c r="B148" s="7" t="inlineStr">
        <is>
          <t>Renewable Electricity</t>
        </is>
      </c>
      <c r="C148" s="7" t="n">
        <v>55</v>
      </c>
      <c r="D148" s="7" t="n">
        <v>551050</v>
      </c>
      <c r="E148" s="7" t="n">
        <v>5510</v>
      </c>
      <c r="F148" s="9" t="n">
        <v>1740000000</v>
      </c>
      <c r="G148" s="10" t="n">
        <v>3.84</v>
      </c>
      <c r="H148" s="16">
        <f>IFERROR(SUMPRODUCT(($C$3:$C$165=C148)*ISNUMBER($G$3:$G$165)*ISNUMBER($F$3:$F$165)*IF(ISNUMBER($F$3:$F$165),$F$3:$F$165,0)*IF(ISNUMBER($G$3:$G$165),$G$3:$G$165,0))/SUMPRODUCT(($C$3:$C$165=C148)*ISNUMBER($G$3:$G$165)*ISNUMBER($F$3:$F$165)*IF(ISNUMBER($F$3:$F$165),$F$3:$F$165,0)),"")</f>
        <v/>
      </c>
      <c r="I148" s="16">
        <f>IFERROR(SUMPRODUCT(($C$3:$C$165=C148)*ISNUMBER($G$3:$G$165)*IF(ISNUMBER($G$3:$G$165),$G$3:$G$165,0))/SUMPRODUCT(($C$3:$C$165=C148)*ISNUMBER($G$3:$G$165)),"")</f>
        <v/>
      </c>
      <c r="J148" s="16">
        <f>IF(OR(G148="",H148=""),"",G148/H148)</f>
        <v/>
      </c>
      <c r="K148" s="16">
        <f>IF(OR(G148="",I148=""),"",G148/I148)</f>
        <v/>
      </c>
      <c r="L148" s="14">
        <f>INDEX('4_UK_Beta_Input'!$D$5:$D$15,MATCH($C148,'4_UK_Beta_Input'!$A$5:$A$15,0))</f>
        <v/>
      </c>
      <c r="M148" s="14">
        <f>INDEX('4_UK_Beta_Input'!$D$20:$D$44,MATCH($E148,'4_UK_Beta_Input'!$A$20:$A$44,0))</f>
        <v/>
      </c>
      <c r="N148" s="14">
        <f>INDEX('4_UK_Beta_Input'!$D$49:$D$122,MATCH($D148,'4_UK_Beta_Input'!$A$49:$A$122,0))</f>
        <v/>
      </c>
      <c r="O148" s="14">
        <f>INDEX('4_UK_Beta_Input'!$D$127:$D$289,MATCH($A148,'4_UK_Beta_Input'!$A$127:$A$289,0))</f>
        <v/>
      </c>
      <c r="P148" s="16">
        <f>(M148/L148)*(N148/M148)*(O148/N148)</f>
        <v/>
      </c>
      <c r="Q148" s="17">
        <f>IF(J148="",INDEX('3_UK_L1_Input'!$D$4:$D$14,MATCH($C148,'3_UK_L1_Input'!$A$4:$A$14,0))*P148,INDEX('3_UK_L1_Input'!$D$4:$D$14,MATCH($C148,'3_UK_L1_Input'!$A$4:$A$14,0))*J148)</f>
        <v/>
      </c>
      <c r="R148" s="17">
        <f>IF(K148="",INDEX('3_UK_L1_Input'!$D$4:$D$14,MATCH($C148,'3_UK_L1_Input'!$A$4:$A$14,0))*P148,INDEX('3_UK_L1_Input'!$D$4:$D$14,MATCH($C148,'3_UK_L1_Input'!$A$4:$A$14,0))*K148)</f>
        <v/>
      </c>
      <c r="S148" s="18">
        <f>IF(G148="","BETA CASCADE FALLBACK (dummy — replace with real beta)","REAL (Bloomberg UK)")</f>
        <v/>
      </c>
      <c r="T148" s="17">
        <f>INDEX('3_UK_L1_Input'!$C$4:$C$14,MATCH($C148,'3_UK_L1_Input'!$A$4:$A$14,0))</f>
        <v/>
      </c>
      <c r="U148" s="17">
        <f>INDEX('3_UK_L1_Input'!$C$4:$C$14,MATCH($C148,'3_UK_L1_Input'!$A$4:$A$14,0))*P148</f>
        <v/>
      </c>
      <c r="V148" s="15">
        <f>INDEX('5_UK_DefaultRisk_Input'!$D$5:$D$15,MATCH($C148,'5_UK_DefaultRisk_Input'!$A$5:$A$15,0))</f>
        <v/>
      </c>
      <c r="W148" s="15">
        <f>INDEX('5_UK_DefaultRisk_Input'!$D$20:$D$44,MATCH($E148,'5_UK_DefaultRisk_Input'!$A$20:$A$44,0))</f>
        <v/>
      </c>
      <c r="X148" s="15">
        <f>INDEX('5_UK_DefaultRisk_Input'!$D$49:$D$122,MATCH($D148,'5_UK_DefaultRisk_Input'!$A$49:$A$122,0))</f>
        <v/>
      </c>
      <c r="Y148" s="15">
        <f>INDEX('5_UK_DefaultRisk_Input'!$D$127:$D$289,MATCH($A148,'5_UK_DefaultRisk_Input'!$A$127:$A$289,0))</f>
        <v/>
      </c>
      <c r="Z148" s="16">
        <f>(W148/V148)*(X148/W148)*(Y148/X148)</f>
        <v/>
      </c>
      <c r="AA148" s="17">
        <f>INDEX('3_UK_L1_Input'!$D$4:$D$14,MATCH($C148,'3_UK_L1_Input'!$A$4:$A$14,0))*Z148</f>
        <v/>
      </c>
    </row>
    <row r="149">
      <c r="A149" s="7" t="n">
        <v>60101010</v>
      </c>
      <c r="B149" s="7" t="inlineStr">
        <is>
          <t>Diversified REITs*</t>
        </is>
      </c>
      <c r="C149" s="7" t="n">
        <v>60</v>
      </c>
      <c r="D149" s="7" t="n">
        <v>601010</v>
      </c>
      <c r="E149" s="7" t="n">
        <v>6010</v>
      </c>
      <c r="F149" s="9" t="n">
        <v>147210000</v>
      </c>
      <c r="G149" s="10" t="n">
        <v>17.7</v>
      </c>
      <c r="H149" s="16">
        <f>IFERROR(SUMPRODUCT(($C$3:$C$165=C149)*ISNUMBER($G$3:$G$165)*ISNUMBER($F$3:$F$165)*IF(ISNUMBER($F$3:$F$165),$F$3:$F$165,0)*IF(ISNUMBER($G$3:$G$165),$G$3:$G$165,0))/SUMPRODUCT(($C$3:$C$165=C149)*ISNUMBER($G$3:$G$165)*ISNUMBER($F$3:$F$165)*IF(ISNUMBER($F$3:$F$165),$F$3:$F$165,0)),"")</f>
        <v/>
      </c>
      <c r="I149" s="16">
        <f>IFERROR(SUMPRODUCT(($C$3:$C$165=C149)*ISNUMBER($G$3:$G$165)*IF(ISNUMBER($G$3:$G$165),$G$3:$G$165,0))/SUMPRODUCT(($C$3:$C$165=C149)*ISNUMBER($G$3:$G$165)),"")</f>
        <v/>
      </c>
      <c r="J149" s="16">
        <f>IF(OR(G149="",H149=""),"",G149/H149)</f>
        <v/>
      </c>
      <c r="K149" s="16">
        <f>IF(OR(G149="",I149=""),"",G149/I149)</f>
        <v/>
      </c>
      <c r="L149" s="14">
        <f>INDEX('4_UK_Beta_Input'!$D$5:$D$15,MATCH($C149,'4_UK_Beta_Input'!$A$5:$A$15,0))</f>
        <v/>
      </c>
      <c r="M149" s="14">
        <f>INDEX('4_UK_Beta_Input'!$D$20:$D$44,MATCH($E149,'4_UK_Beta_Input'!$A$20:$A$44,0))</f>
        <v/>
      </c>
      <c r="N149" s="14">
        <f>INDEX('4_UK_Beta_Input'!$D$49:$D$122,MATCH($D149,'4_UK_Beta_Input'!$A$49:$A$122,0))</f>
        <v/>
      </c>
      <c r="O149" s="14">
        <f>INDEX('4_UK_Beta_Input'!$D$127:$D$289,MATCH($A149,'4_UK_Beta_Input'!$A$127:$A$289,0))</f>
        <v/>
      </c>
      <c r="P149" s="16">
        <f>(M149/L149)*(N149/M149)*(O149/N149)</f>
        <v/>
      </c>
      <c r="Q149" s="17">
        <f>IF(J149="",INDEX('3_UK_L1_Input'!$D$4:$D$14,MATCH($C149,'3_UK_L1_Input'!$A$4:$A$14,0))*P149,INDEX('3_UK_L1_Input'!$D$4:$D$14,MATCH($C149,'3_UK_L1_Input'!$A$4:$A$14,0))*J149)</f>
        <v/>
      </c>
      <c r="R149" s="17">
        <f>IF(K149="",INDEX('3_UK_L1_Input'!$D$4:$D$14,MATCH($C149,'3_UK_L1_Input'!$A$4:$A$14,0))*P149,INDEX('3_UK_L1_Input'!$D$4:$D$14,MATCH($C149,'3_UK_L1_Input'!$A$4:$A$14,0))*K149)</f>
        <v/>
      </c>
      <c r="S149" s="18">
        <f>IF(G149="","BETA CASCADE FALLBACK (dummy — replace with real beta)","REAL (Bloomberg UK)")</f>
        <v/>
      </c>
      <c r="T149" s="17">
        <f>INDEX('3_UK_L1_Input'!$C$4:$C$14,MATCH($C149,'3_UK_L1_Input'!$A$4:$A$14,0))</f>
        <v/>
      </c>
      <c r="U149" s="17">
        <f>INDEX('3_UK_L1_Input'!$C$4:$C$14,MATCH($C149,'3_UK_L1_Input'!$A$4:$A$14,0))*P149</f>
        <v/>
      </c>
      <c r="V149" s="15">
        <f>INDEX('5_UK_DefaultRisk_Input'!$D$5:$D$15,MATCH($C149,'5_UK_DefaultRisk_Input'!$A$5:$A$15,0))</f>
        <v/>
      </c>
      <c r="W149" s="15">
        <f>INDEX('5_UK_DefaultRisk_Input'!$D$20:$D$44,MATCH($E149,'5_UK_DefaultRisk_Input'!$A$20:$A$44,0))</f>
        <v/>
      </c>
      <c r="X149" s="15">
        <f>INDEX('5_UK_DefaultRisk_Input'!$D$49:$D$122,MATCH($D149,'5_UK_DefaultRisk_Input'!$A$49:$A$122,0))</f>
        <v/>
      </c>
      <c r="Y149" s="15">
        <f>INDEX('5_UK_DefaultRisk_Input'!$D$127:$D$289,MATCH($A149,'5_UK_DefaultRisk_Input'!$A$127:$A$289,0))</f>
        <v/>
      </c>
      <c r="Z149" s="16">
        <f>(W149/V149)*(X149/W149)*(Y149/X149)</f>
        <v/>
      </c>
      <c r="AA149" s="17">
        <f>INDEX('3_UK_L1_Input'!$D$4:$D$14,MATCH($C149,'3_UK_L1_Input'!$A$4:$A$14,0))*Z149</f>
        <v/>
      </c>
    </row>
    <row r="150">
      <c r="A150" s="7" t="n">
        <v>60102510</v>
      </c>
      <c r="B150" s="7" t="inlineStr">
        <is>
          <t>Industrial REITs*</t>
        </is>
      </c>
      <c r="C150" s="7" t="n">
        <v>60</v>
      </c>
      <c r="D150" s="7" t="n">
        <v>601025</v>
      </c>
      <c r="E150" s="7" t="n">
        <v>6010</v>
      </c>
      <c r="F150" s="9" t="n">
        <v>528430000</v>
      </c>
      <c r="G150" s="10" t="n">
        <v>21.79</v>
      </c>
      <c r="H150" s="16">
        <f>IFERROR(SUMPRODUCT(($C$3:$C$165=C150)*ISNUMBER($G$3:$G$165)*ISNUMBER($F$3:$F$165)*IF(ISNUMBER($F$3:$F$165),$F$3:$F$165,0)*IF(ISNUMBER($G$3:$G$165),$G$3:$G$165,0))/SUMPRODUCT(($C$3:$C$165=C150)*ISNUMBER($G$3:$G$165)*ISNUMBER($F$3:$F$165)*IF(ISNUMBER($F$3:$F$165),$F$3:$F$165,0)),"")</f>
        <v/>
      </c>
      <c r="I150" s="16">
        <f>IFERROR(SUMPRODUCT(($C$3:$C$165=C150)*ISNUMBER($G$3:$G$165)*IF(ISNUMBER($G$3:$G$165),$G$3:$G$165,0))/SUMPRODUCT(($C$3:$C$165=C150)*ISNUMBER($G$3:$G$165)),"")</f>
        <v/>
      </c>
      <c r="J150" s="16">
        <f>IF(OR(G150="",H150=""),"",G150/H150)</f>
        <v/>
      </c>
      <c r="K150" s="16">
        <f>IF(OR(G150="",I150=""),"",G150/I150)</f>
        <v/>
      </c>
      <c r="L150" s="14">
        <f>INDEX('4_UK_Beta_Input'!$D$5:$D$15,MATCH($C150,'4_UK_Beta_Input'!$A$5:$A$15,0))</f>
        <v/>
      </c>
      <c r="M150" s="14">
        <f>INDEX('4_UK_Beta_Input'!$D$20:$D$44,MATCH($E150,'4_UK_Beta_Input'!$A$20:$A$44,0))</f>
        <v/>
      </c>
      <c r="N150" s="14">
        <f>INDEX('4_UK_Beta_Input'!$D$49:$D$122,MATCH($D150,'4_UK_Beta_Input'!$A$49:$A$122,0))</f>
        <v/>
      </c>
      <c r="O150" s="14">
        <f>INDEX('4_UK_Beta_Input'!$D$127:$D$289,MATCH($A150,'4_UK_Beta_Input'!$A$127:$A$289,0))</f>
        <v/>
      </c>
      <c r="P150" s="16">
        <f>(M150/L150)*(N150/M150)*(O150/N150)</f>
        <v/>
      </c>
      <c r="Q150" s="17">
        <f>IF(J150="",INDEX('3_UK_L1_Input'!$D$4:$D$14,MATCH($C150,'3_UK_L1_Input'!$A$4:$A$14,0))*P150,INDEX('3_UK_L1_Input'!$D$4:$D$14,MATCH($C150,'3_UK_L1_Input'!$A$4:$A$14,0))*J150)</f>
        <v/>
      </c>
      <c r="R150" s="17">
        <f>IF(K150="",INDEX('3_UK_L1_Input'!$D$4:$D$14,MATCH($C150,'3_UK_L1_Input'!$A$4:$A$14,0))*P150,INDEX('3_UK_L1_Input'!$D$4:$D$14,MATCH($C150,'3_UK_L1_Input'!$A$4:$A$14,0))*K150)</f>
        <v/>
      </c>
      <c r="S150" s="18">
        <f>IF(G150="","BETA CASCADE FALLBACK (dummy — replace with real beta)","REAL (Bloomberg UK)")</f>
        <v/>
      </c>
      <c r="T150" s="17">
        <f>INDEX('3_UK_L1_Input'!$C$4:$C$14,MATCH($C150,'3_UK_L1_Input'!$A$4:$A$14,0))</f>
        <v/>
      </c>
      <c r="U150" s="17">
        <f>INDEX('3_UK_L1_Input'!$C$4:$C$14,MATCH($C150,'3_UK_L1_Input'!$A$4:$A$14,0))*P150</f>
        <v/>
      </c>
      <c r="V150" s="15">
        <f>INDEX('5_UK_DefaultRisk_Input'!$D$5:$D$15,MATCH($C150,'5_UK_DefaultRisk_Input'!$A$5:$A$15,0))</f>
        <v/>
      </c>
      <c r="W150" s="15">
        <f>INDEX('5_UK_DefaultRisk_Input'!$D$20:$D$44,MATCH($E150,'5_UK_DefaultRisk_Input'!$A$20:$A$44,0))</f>
        <v/>
      </c>
      <c r="X150" s="15">
        <f>INDEX('5_UK_DefaultRisk_Input'!$D$49:$D$122,MATCH($D150,'5_UK_DefaultRisk_Input'!$A$49:$A$122,0))</f>
        <v/>
      </c>
      <c r="Y150" s="15">
        <f>INDEX('5_UK_DefaultRisk_Input'!$D$127:$D$289,MATCH($A150,'5_UK_DefaultRisk_Input'!$A$127:$A$289,0))</f>
        <v/>
      </c>
      <c r="Z150" s="16">
        <f>(W150/V150)*(X150/W150)*(Y150/X150)</f>
        <v/>
      </c>
      <c r="AA150" s="17">
        <f>INDEX('3_UK_L1_Input'!$D$4:$D$14,MATCH($C150,'3_UK_L1_Input'!$A$4:$A$14,0))*Z150</f>
        <v/>
      </c>
    </row>
    <row r="151">
      <c r="A151" s="7" t="n">
        <v>60103010</v>
      </c>
      <c r="B151" s="7" t="inlineStr">
        <is>
          <t>Hotel &amp; Resort REITs*</t>
        </is>
      </c>
      <c r="C151" s="7" t="n">
        <v>60</v>
      </c>
      <c r="D151" s="7" t="n">
        <v>601030</v>
      </c>
      <c r="E151" s="7" t="n">
        <v>6010</v>
      </c>
      <c r="F151" s="8" t="n"/>
      <c r="G151" s="8" t="n"/>
      <c r="H151" s="16">
        <f>IFERROR(SUMPRODUCT(($C$3:$C$165=C151)*ISNUMBER($G$3:$G$165)*ISNUMBER($F$3:$F$165)*IF(ISNUMBER($F$3:$F$165),$F$3:$F$165,0)*IF(ISNUMBER($G$3:$G$165),$G$3:$G$165,0))/SUMPRODUCT(($C$3:$C$165=C151)*ISNUMBER($G$3:$G$165)*ISNUMBER($F$3:$F$165)*IF(ISNUMBER($F$3:$F$165),$F$3:$F$165,0)),"")</f>
        <v/>
      </c>
      <c r="I151" s="16">
        <f>IFERROR(SUMPRODUCT(($C$3:$C$165=C151)*ISNUMBER($G$3:$G$165)*IF(ISNUMBER($G$3:$G$165),$G$3:$G$165,0))/SUMPRODUCT(($C$3:$C$165=C151)*ISNUMBER($G$3:$G$165)),"")</f>
        <v/>
      </c>
      <c r="J151" s="16">
        <f>IF(OR(G151="",H151=""),"",G151/H151)</f>
        <v/>
      </c>
      <c r="K151" s="16">
        <f>IF(OR(G151="",I151=""),"",G151/I151)</f>
        <v/>
      </c>
      <c r="L151" s="14">
        <f>INDEX('4_UK_Beta_Input'!$D$5:$D$15,MATCH($C151,'4_UK_Beta_Input'!$A$5:$A$15,0))</f>
        <v/>
      </c>
      <c r="M151" s="14">
        <f>INDEX('4_UK_Beta_Input'!$D$20:$D$44,MATCH($E151,'4_UK_Beta_Input'!$A$20:$A$44,0))</f>
        <v/>
      </c>
      <c r="N151" s="14">
        <f>INDEX('4_UK_Beta_Input'!$D$49:$D$122,MATCH($D151,'4_UK_Beta_Input'!$A$49:$A$122,0))</f>
        <v/>
      </c>
      <c r="O151" s="14">
        <f>INDEX('4_UK_Beta_Input'!$D$127:$D$289,MATCH($A151,'4_UK_Beta_Input'!$A$127:$A$289,0))</f>
        <v/>
      </c>
      <c r="P151" s="16">
        <f>(M151/L151)*(N151/M151)*(O151/N151)</f>
        <v/>
      </c>
      <c r="Q151" s="17">
        <f>IF(J151="",INDEX('3_UK_L1_Input'!$D$4:$D$14,MATCH($C151,'3_UK_L1_Input'!$A$4:$A$14,0))*P151,INDEX('3_UK_L1_Input'!$D$4:$D$14,MATCH($C151,'3_UK_L1_Input'!$A$4:$A$14,0))*J151)</f>
        <v/>
      </c>
      <c r="R151" s="17">
        <f>IF(K151="",INDEX('3_UK_L1_Input'!$D$4:$D$14,MATCH($C151,'3_UK_L1_Input'!$A$4:$A$14,0))*P151,INDEX('3_UK_L1_Input'!$D$4:$D$14,MATCH($C151,'3_UK_L1_Input'!$A$4:$A$14,0))*K151)</f>
        <v/>
      </c>
      <c r="S151" s="19">
        <f>IF(G151="","BETA CASCADE FALLBACK (dummy — replace with real beta)","REAL (Bloomberg UK)")</f>
        <v/>
      </c>
      <c r="T151" s="17">
        <f>INDEX('3_UK_L1_Input'!$C$4:$C$14,MATCH($C151,'3_UK_L1_Input'!$A$4:$A$14,0))</f>
        <v/>
      </c>
      <c r="U151" s="17">
        <f>INDEX('3_UK_L1_Input'!$C$4:$C$14,MATCH($C151,'3_UK_L1_Input'!$A$4:$A$14,0))*P151</f>
        <v/>
      </c>
      <c r="V151" s="15">
        <f>INDEX('5_UK_DefaultRisk_Input'!$D$5:$D$15,MATCH($C151,'5_UK_DefaultRisk_Input'!$A$5:$A$15,0))</f>
        <v/>
      </c>
      <c r="W151" s="15">
        <f>INDEX('5_UK_DefaultRisk_Input'!$D$20:$D$44,MATCH($E151,'5_UK_DefaultRisk_Input'!$A$20:$A$44,0))</f>
        <v/>
      </c>
      <c r="X151" s="15">
        <f>INDEX('5_UK_DefaultRisk_Input'!$D$49:$D$122,MATCH($D151,'5_UK_DefaultRisk_Input'!$A$49:$A$122,0))</f>
        <v/>
      </c>
      <c r="Y151" s="15">
        <f>INDEX('5_UK_DefaultRisk_Input'!$D$127:$D$289,MATCH($A151,'5_UK_DefaultRisk_Input'!$A$127:$A$289,0))</f>
        <v/>
      </c>
      <c r="Z151" s="16">
        <f>(W151/V151)*(X151/W151)*(Y151/X151)</f>
        <v/>
      </c>
      <c r="AA151" s="17">
        <f>INDEX('3_UK_L1_Input'!$D$4:$D$14,MATCH($C151,'3_UK_L1_Input'!$A$4:$A$14,0))*Z151</f>
        <v/>
      </c>
    </row>
    <row r="152">
      <c r="A152" s="7" t="n">
        <v>60104010</v>
      </c>
      <c r="B152" s="7" t="inlineStr">
        <is>
          <t>Office REITs*</t>
        </is>
      </c>
      <c r="C152" s="7" t="n">
        <v>60</v>
      </c>
      <c r="D152" s="7" t="n">
        <v>601040</v>
      </c>
      <c r="E152" s="7" t="n">
        <v>6010</v>
      </c>
      <c r="F152" s="9" t="n">
        <v>786290000</v>
      </c>
      <c r="G152" s="10" t="n">
        <v>21.47</v>
      </c>
      <c r="H152" s="16">
        <f>IFERROR(SUMPRODUCT(($C$3:$C$165=C152)*ISNUMBER($G$3:$G$165)*ISNUMBER($F$3:$F$165)*IF(ISNUMBER($F$3:$F$165),$F$3:$F$165,0)*IF(ISNUMBER($G$3:$G$165),$G$3:$G$165,0))/SUMPRODUCT(($C$3:$C$165=C152)*ISNUMBER($G$3:$G$165)*ISNUMBER($F$3:$F$165)*IF(ISNUMBER($F$3:$F$165),$F$3:$F$165,0)),"")</f>
        <v/>
      </c>
      <c r="I152" s="16">
        <f>IFERROR(SUMPRODUCT(($C$3:$C$165=C152)*ISNUMBER($G$3:$G$165)*IF(ISNUMBER($G$3:$G$165),$G$3:$G$165,0))/SUMPRODUCT(($C$3:$C$165=C152)*ISNUMBER($G$3:$G$165)),"")</f>
        <v/>
      </c>
      <c r="J152" s="16">
        <f>IF(OR(G152="",H152=""),"",G152/H152)</f>
        <v/>
      </c>
      <c r="K152" s="16">
        <f>IF(OR(G152="",I152=""),"",G152/I152)</f>
        <v/>
      </c>
      <c r="L152" s="14">
        <f>INDEX('4_UK_Beta_Input'!$D$5:$D$15,MATCH($C152,'4_UK_Beta_Input'!$A$5:$A$15,0))</f>
        <v/>
      </c>
      <c r="M152" s="14">
        <f>INDEX('4_UK_Beta_Input'!$D$20:$D$44,MATCH($E152,'4_UK_Beta_Input'!$A$20:$A$44,0))</f>
        <v/>
      </c>
      <c r="N152" s="14">
        <f>INDEX('4_UK_Beta_Input'!$D$49:$D$122,MATCH($D152,'4_UK_Beta_Input'!$A$49:$A$122,0))</f>
        <v/>
      </c>
      <c r="O152" s="14">
        <f>INDEX('4_UK_Beta_Input'!$D$127:$D$289,MATCH($A152,'4_UK_Beta_Input'!$A$127:$A$289,0))</f>
        <v/>
      </c>
      <c r="P152" s="16">
        <f>(M152/L152)*(N152/M152)*(O152/N152)</f>
        <v/>
      </c>
      <c r="Q152" s="17">
        <f>IF(J152="",INDEX('3_UK_L1_Input'!$D$4:$D$14,MATCH($C152,'3_UK_L1_Input'!$A$4:$A$14,0))*P152,INDEX('3_UK_L1_Input'!$D$4:$D$14,MATCH($C152,'3_UK_L1_Input'!$A$4:$A$14,0))*J152)</f>
        <v/>
      </c>
      <c r="R152" s="17">
        <f>IF(K152="",INDEX('3_UK_L1_Input'!$D$4:$D$14,MATCH($C152,'3_UK_L1_Input'!$A$4:$A$14,0))*P152,INDEX('3_UK_L1_Input'!$D$4:$D$14,MATCH($C152,'3_UK_L1_Input'!$A$4:$A$14,0))*K152)</f>
        <v/>
      </c>
      <c r="S152" s="18">
        <f>IF(G152="","BETA CASCADE FALLBACK (dummy — replace with real beta)","REAL (Bloomberg UK)")</f>
        <v/>
      </c>
      <c r="T152" s="17">
        <f>INDEX('3_UK_L1_Input'!$C$4:$C$14,MATCH($C152,'3_UK_L1_Input'!$A$4:$A$14,0))</f>
        <v/>
      </c>
      <c r="U152" s="17">
        <f>INDEX('3_UK_L1_Input'!$C$4:$C$14,MATCH($C152,'3_UK_L1_Input'!$A$4:$A$14,0))*P152</f>
        <v/>
      </c>
      <c r="V152" s="15">
        <f>INDEX('5_UK_DefaultRisk_Input'!$D$5:$D$15,MATCH($C152,'5_UK_DefaultRisk_Input'!$A$5:$A$15,0))</f>
        <v/>
      </c>
      <c r="W152" s="15">
        <f>INDEX('5_UK_DefaultRisk_Input'!$D$20:$D$44,MATCH($E152,'5_UK_DefaultRisk_Input'!$A$20:$A$44,0))</f>
        <v/>
      </c>
      <c r="X152" s="15">
        <f>INDEX('5_UK_DefaultRisk_Input'!$D$49:$D$122,MATCH($D152,'5_UK_DefaultRisk_Input'!$A$49:$A$122,0))</f>
        <v/>
      </c>
      <c r="Y152" s="15">
        <f>INDEX('5_UK_DefaultRisk_Input'!$D$127:$D$289,MATCH($A152,'5_UK_DefaultRisk_Input'!$A$127:$A$289,0))</f>
        <v/>
      </c>
      <c r="Z152" s="16">
        <f>(W152/V152)*(X152/W152)*(Y152/X152)</f>
        <v/>
      </c>
      <c r="AA152" s="17">
        <f>INDEX('3_UK_L1_Input'!$D$4:$D$14,MATCH($C152,'3_UK_L1_Input'!$A$4:$A$14,0))*Z152</f>
        <v/>
      </c>
    </row>
    <row r="153">
      <c r="A153" s="7" t="n">
        <v>60105010</v>
      </c>
      <c r="B153" s="7" t="inlineStr">
        <is>
          <t>Health Care REITs*</t>
        </is>
      </c>
      <c r="C153" s="7" t="n">
        <v>60</v>
      </c>
      <c r="D153" s="7" t="n">
        <v>601050</v>
      </c>
      <c r="E153" s="7" t="n">
        <v>6010</v>
      </c>
      <c r="F153" s="9" t="n">
        <v>220460000</v>
      </c>
      <c r="G153" s="10" t="n">
        <v>16.71</v>
      </c>
      <c r="H153" s="16">
        <f>IFERROR(SUMPRODUCT(($C$3:$C$165=C153)*ISNUMBER($G$3:$G$165)*ISNUMBER($F$3:$F$165)*IF(ISNUMBER($F$3:$F$165),$F$3:$F$165,0)*IF(ISNUMBER($G$3:$G$165),$G$3:$G$165,0))/SUMPRODUCT(($C$3:$C$165=C153)*ISNUMBER($G$3:$G$165)*ISNUMBER($F$3:$F$165)*IF(ISNUMBER($F$3:$F$165),$F$3:$F$165,0)),"")</f>
        <v/>
      </c>
      <c r="I153" s="16">
        <f>IFERROR(SUMPRODUCT(($C$3:$C$165=C153)*ISNUMBER($G$3:$G$165)*IF(ISNUMBER($G$3:$G$165),$G$3:$G$165,0))/SUMPRODUCT(($C$3:$C$165=C153)*ISNUMBER($G$3:$G$165)),"")</f>
        <v/>
      </c>
      <c r="J153" s="16">
        <f>IF(OR(G153="",H153=""),"",G153/H153)</f>
        <v/>
      </c>
      <c r="K153" s="16">
        <f>IF(OR(G153="",I153=""),"",G153/I153)</f>
        <v/>
      </c>
      <c r="L153" s="14">
        <f>INDEX('4_UK_Beta_Input'!$D$5:$D$15,MATCH($C153,'4_UK_Beta_Input'!$A$5:$A$15,0))</f>
        <v/>
      </c>
      <c r="M153" s="14">
        <f>INDEX('4_UK_Beta_Input'!$D$20:$D$44,MATCH($E153,'4_UK_Beta_Input'!$A$20:$A$44,0))</f>
        <v/>
      </c>
      <c r="N153" s="14">
        <f>INDEX('4_UK_Beta_Input'!$D$49:$D$122,MATCH($D153,'4_UK_Beta_Input'!$A$49:$A$122,0))</f>
        <v/>
      </c>
      <c r="O153" s="14">
        <f>INDEX('4_UK_Beta_Input'!$D$127:$D$289,MATCH($A153,'4_UK_Beta_Input'!$A$127:$A$289,0))</f>
        <v/>
      </c>
      <c r="P153" s="16">
        <f>(M153/L153)*(N153/M153)*(O153/N153)</f>
        <v/>
      </c>
      <c r="Q153" s="17">
        <f>IF(J153="",INDEX('3_UK_L1_Input'!$D$4:$D$14,MATCH($C153,'3_UK_L1_Input'!$A$4:$A$14,0))*P153,INDEX('3_UK_L1_Input'!$D$4:$D$14,MATCH($C153,'3_UK_L1_Input'!$A$4:$A$14,0))*J153)</f>
        <v/>
      </c>
      <c r="R153" s="17">
        <f>IF(K153="",INDEX('3_UK_L1_Input'!$D$4:$D$14,MATCH($C153,'3_UK_L1_Input'!$A$4:$A$14,0))*P153,INDEX('3_UK_L1_Input'!$D$4:$D$14,MATCH($C153,'3_UK_L1_Input'!$A$4:$A$14,0))*K153)</f>
        <v/>
      </c>
      <c r="S153" s="18">
        <f>IF(G153="","BETA CASCADE FALLBACK (dummy — replace with real beta)","REAL (Bloomberg UK)")</f>
        <v/>
      </c>
      <c r="T153" s="17">
        <f>INDEX('3_UK_L1_Input'!$C$4:$C$14,MATCH($C153,'3_UK_L1_Input'!$A$4:$A$14,0))</f>
        <v/>
      </c>
      <c r="U153" s="17">
        <f>INDEX('3_UK_L1_Input'!$C$4:$C$14,MATCH($C153,'3_UK_L1_Input'!$A$4:$A$14,0))*P153</f>
        <v/>
      </c>
      <c r="V153" s="15">
        <f>INDEX('5_UK_DefaultRisk_Input'!$D$5:$D$15,MATCH($C153,'5_UK_DefaultRisk_Input'!$A$5:$A$15,0))</f>
        <v/>
      </c>
      <c r="W153" s="15">
        <f>INDEX('5_UK_DefaultRisk_Input'!$D$20:$D$44,MATCH($E153,'5_UK_DefaultRisk_Input'!$A$20:$A$44,0))</f>
        <v/>
      </c>
      <c r="X153" s="15">
        <f>INDEX('5_UK_DefaultRisk_Input'!$D$49:$D$122,MATCH($D153,'5_UK_DefaultRisk_Input'!$A$49:$A$122,0))</f>
        <v/>
      </c>
      <c r="Y153" s="15">
        <f>INDEX('5_UK_DefaultRisk_Input'!$D$127:$D$289,MATCH($A153,'5_UK_DefaultRisk_Input'!$A$127:$A$289,0))</f>
        <v/>
      </c>
      <c r="Z153" s="16">
        <f>(W153/V153)*(X153/W153)*(Y153/X153)</f>
        <v/>
      </c>
      <c r="AA153" s="17">
        <f>INDEX('3_UK_L1_Input'!$D$4:$D$14,MATCH($C153,'3_UK_L1_Input'!$A$4:$A$14,0))*Z153</f>
        <v/>
      </c>
    </row>
    <row r="154">
      <c r="A154" s="7" t="n">
        <v>60106010</v>
      </c>
      <c r="B154" s="7" t="inlineStr">
        <is>
          <t>Multi-Family Residential REITs*</t>
        </is>
      </c>
      <c r="C154" s="7" t="n">
        <v>60</v>
      </c>
      <c r="D154" s="7" t="n">
        <v>601060</v>
      </c>
      <c r="E154" s="7" t="n">
        <v>6010</v>
      </c>
      <c r="F154" s="9" t="n">
        <v>112670000</v>
      </c>
      <c r="G154" s="10" t="n">
        <v>18.42</v>
      </c>
      <c r="H154" s="16">
        <f>IFERROR(SUMPRODUCT(($C$3:$C$165=C154)*ISNUMBER($G$3:$G$165)*ISNUMBER($F$3:$F$165)*IF(ISNUMBER($F$3:$F$165),$F$3:$F$165,0)*IF(ISNUMBER($G$3:$G$165),$G$3:$G$165,0))/SUMPRODUCT(($C$3:$C$165=C154)*ISNUMBER($G$3:$G$165)*ISNUMBER($F$3:$F$165)*IF(ISNUMBER($F$3:$F$165),$F$3:$F$165,0)),"")</f>
        <v/>
      </c>
      <c r="I154" s="16">
        <f>IFERROR(SUMPRODUCT(($C$3:$C$165=C154)*ISNUMBER($G$3:$G$165)*IF(ISNUMBER($G$3:$G$165),$G$3:$G$165,0))/SUMPRODUCT(($C$3:$C$165=C154)*ISNUMBER($G$3:$G$165)),"")</f>
        <v/>
      </c>
      <c r="J154" s="16">
        <f>IF(OR(G154="",H154=""),"",G154/H154)</f>
        <v/>
      </c>
      <c r="K154" s="16">
        <f>IF(OR(G154="",I154=""),"",G154/I154)</f>
        <v/>
      </c>
      <c r="L154" s="14">
        <f>INDEX('4_UK_Beta_Input'!$D$5:$D$15,MATCH($C154,'4_UK_Beta_Input'!$A$5:$A$15,0))</f>
        <v/>
      </c>
      <c r="M154" s="14">
        <f>INDEX('4_UK_Beta_Input'!$D$20:$D$44,MATCH($E154,'4_UK_Beta_Input'!$A$20:$A$44,0))</f>
        <v/>
      </c>
      <c r="N154" s="14">
        <f>INDEX('4_UK_Beta_Input'!$D$49:$D$122,MATCH($D154,'4_UK_Beta_Input'!$A$49:$A$122,0))</f>
        <v/>
      </c>
      <c r="O154" s="14">
        <f>INDEX('4_UK_Beta_Input'!$D$127:$D$289,MATCH($A154,'4_UK_Beta_Input'!$A$127:$A$289,0))</f>
        <v/>
      </c>
      <c r="P154" s="16">
        <f>(M154/L154)*(N154/M154)*(O154/N154)</f>
        <v/>
      </c>
      <c r="Q154" s="17">
        <f>IF(J154="",INDEX('3_UK_L1_Input'!$D$4:$D$14,MATCH($C154,'3_UK_L1_Input'!$A$4:$A$14,0))*P154,INDEX('3_UK_L1_Input'!$D$4:$D$14,MATCH($C154,'3_UK_L1_Input'!$A$4:$A$14,0))*J154)</f>
        <v/>
      </c>
      <c r="R154" s="17">
        <f>IF(K154="",INDEX('3_UK_L1_Input'!$D$4:$D$14,MATCH($C154,'3_UK_L1_Input'!$A$4:$A$14,0))*P154,INDEX('3_UK_L1_Input'!$D$4:$D$14,MATCH($C154,'3_UK_L1_Input'!$A$4:$A$14,0))*K154)</f>
        <v/>
      </c>
      <c r="S154" s="18">
        <f>IF(G154="","BETA CASCADE FALLBACK (dummy — replace with real beta)","REAL (Bloomberg UK)")</f>
        <v/>
      </c>
      <c r="T154" s="17">
        <f>INDEX('3_UK_L1_Input'!$C$4:$C$14,MATCH($C154,'3_UK_L1_Input'!$A$4:$A$14,0))</f>
        <v/>
      </c>
      <c r="U154" s="17">
        <f>INDEX('3_UK_L1_Input'!$C$4:$C$14,MATCH($C154,'3_UK_L1_Input'!$A$4:$A$14,0))*P154</f>
        <v/>
      </c>
      <c r="V154" s="15">
        <f>INDEX('5_UK_DefaultRisk_Input'!$D$5:$D$15,MATCH($C154,'5_UK_DefaultRisk_Input'!$A$5:$A$15,0))</f>
        <v/>
      </c>
      <c r="W154" s="15">
        <f>INDEX('5_UK_DefaultRisk_Input'!$D$20:$D$44,MATCH($E154,'5_UK_DefaultRisk_Input'!$A$20:$A$44,0))</f>
        <v/>
      </c>
      <c r="X154" s="15">
        <f>INDEX('5_UK_DefaultRisk_Input'!$D$49:$D$122,MATCH($D154,'5_UK_DefaultRisk_Input'!$A$49:$A$122,0))</f>
        <v/>
      </c>
      <c r="Y154" s="15">
        <f>INDEX('5_UK_DefaultRisk_Input'!$D$127:$D$289,MATCH($A154,'5_UK_DefaultRisk_Input'!$A$127:$A$289,0))</f>
        <v/>
      </c>
      <c r="Z154" s="16">
        <f>(W154/V154)*(X154/W154)*(Y154/X154)</f>
        <v/>
      </c>
      <c r="AA154" s="17">
        <f>INDEX('3_UK_L1_Input'!$D$4:$D$14,MATCH($C154,'3_UK_L1_Input'!$A$4:$A$14,0))*Z154</f>
        <v/>
      </c>
    </row>
    <row r="155">
      <c r="A155" s="7" t="n">
        <v>60106020</v>
      </c>
      <c r="B155" s="7" t="inlineStr">
        <is>
          <t>Single-Family Residential REITs*</t>
        </is>
      </c>
      <c r="C155" s="7" t="n">
        <v>60</v>
      </c>
      <c r="D155" s="7" t="n">
        <v>601060</v>
      </c>
      <c r="E155" s="7" t="n">
        <v>6010</v>
      </c>
      <c r="F155" s="8" t="n"/>
      <c r="G155" s="8" t="n"/>
      <c r="H155" s="16">
        <f>IFERROR(SUMPRODUCT(($C$3:$C$165=C155)*ISNUMBER($G$3:$G$165)*ISNUMBER($F$3:$F$165)*IF(ISNUMBER($F$3:$F$165),$F$3:$F$165,0)*IF(ISNUMBER($G$3:$G$165),$G$3:$G$165,0))/SUMPRODUCT(($C$3:$C$165=C155)*ISNUMBER($G$3:$G$165)*ISNUMBER($F$3:$F$165)*IF(ISNUMBER($F$3:$F$165),$F$3:$F$165,0)),"")</f>
        <v/>
      </c>
      <c r="I155" s="16">
        <f>IFERROR(SUMPRODUCT(($C$3:$C$165=C155)*ISNUMBER($G$3:$G$165)*IF(ISNUMBER($G$3:$G$165),$G$3:$G$165,0))/SUMPRODUCT(($C$3:$C$165=C155)*ISNUMBER($G$3:$G$165)),"")</f>
        <v/>
      </c>
      <c r="J155" s="16">
        <f>IF(OR(G155="",H155=""),"",G155/H155)</f>
        <v/>
      </c>
      <c r="K155" s="16">
        <f>IF(OR(G155="",I155=""),"",G155/I155)</f>
        <v/>
      </c>
      <c r="L155" s="14">
        <f>INDEX('4_UK_Beta_Input'!$D$5:$D$15,MATCH($C155,'4_UK_Beta_Input'!$A$5:$A$15,0))</f>
        <v/>
      </c>
      <c r="M155" s="14">
        <f>INDEX('4_UK_Beta_Input'!$D$20:$D$44,MATCH($E155,'4_UK_Beta_Input'!$A$20:$A$44,0))</f>
        <v/>
      </c>
      <c r="N155" s="14">
        <f>INDEX('4_UK_Beta_Input'!$D$49:$D$122,MATCH($D155,'4_UK_Beta_Input'!$A$49:$A$122,0))</f>
        <v/>
      </c>
      <c r="O155" s="14">
        <f>INDEX('4_UK_Beta_Input'!$D$127:$D$289,MATCH($A155,'4_UK_Beta_Input'!$A$127:$A$289,0))</f>
        <v/>
      </c>
      <c r="P155" s="16">
        <f>(M155/L155)*(N155/M155)*(O155/N155)</f>
        <v/>
      </c>
      <c r="Q155" s="17">
        <f>IF(J155="",INDEX('3_UK_L1_Input'!$D$4:$D$14,MATCH($C155,'3_UK_L1_Input'!$A$4:$A$14,0))*P155,INDEX('3_UK_L1_Input'!$D$4:$D$14,MATCH($C155,'3_UK_L1_Input'!$A$4:$A$14,0))*J155)</f>
        <v/>
      </c>
      <c r="R155" s="17">
        <f>IF(K155="",INDEX('3_UK_L1_Input'!$D$4:$D$14,MATCH($C155,'3_UK_L1_Input'!$A$4:$A$14,0))*P155,INDEX('3_UK_L1_Input'!$D$4:$D$14,MATCH($C155,'3_UK_L1_Input'!$A$4:$A$14,0))*K155)</f>
        <v/>
      </c>
      <c r="S155" s="19">
        <f>IF(G155="","BETA CASCADE FALLBACK (dummy — replace with real beta)","REAL (Bloomberg UK)")</f>
        <v/>
      </c>
      <c r="T155" s="17">
        <f>INDEX('3_UK_L1_Input'!$C$4:$C$14,MATCH($C155,'3_UK_L1_Input'!$A$4:$A$14,0))</f>
        <v/>
      </c>
      <c r="U155" s="17">
        <f>INDEX('3_UK_L1_Input'!$C$4:$C$14,MATCH($C155,'3_UK_L1_Input'!$A$4:$A$14,0))*P155</f>
        <v/>
      </c>
      <c r="V155" s="15">
        <f>INDEX('5_UK_DefaultRisk_Input'!$D$5:$D$15,MATCH($C155,'5_UK_DefaultRisk_Input'!$A$5:$A$15,0))</f>
        <v/>
      </c>
      <c r="W155" s="15">
        <f>INDEX('5_UK_DefaultRisk_Input'!$D$20:$D$44,MATCH($E155,'5_UK_DefaultRisk_Input'!$A$20:$A$44,0))</f>
        <v/>
      </c>
      <c r="X155" s="15">
        <f>INDEX('5_UK_DefaultRisk_Input'!$D$49:$D$122,MATCH($D155,'5_UK_DefaultRisk_Input'!$A$49:$A$122,0))</f>
        <v/>
      </c>
      <c r="Y155" s="15">
        <f>INDEX('5_UK_DefaultRisk_Input'!$D$127:$D$289,MATCH($A155,'5_UK_DefaultRisk_Input'!$A$127:$A$289,0))</f>
        <v/>
      </c>
      <c r="Z155" s="16">
        <f>(W155/V155)*(X155/W155)*(Y155/X155)</f>
        <v/>
      </c>
      <c r="AA155" s="17">
        <f>INDEX('3_UK_L1_Input'!$D$4:$D$14,MATCH($C155,'3_UK_L1_Input'!$A$4:$A$14,0))*Z155</f>
        <v/>
      </c>
    </row>
    <row r="156">
      <c r="A156" s="7" t="n">
        <v>60107010</v>
      </c>
      <c r="B156" s="7" t="inlineStr">
        <is>
          <t>Retail REITs*</t>
        </is>
      </c>
      <c r="C156" s="7" t="n">
        <v>60</v>
      </c>
      <c r="D156" s="7" t="n">
        <v>601070</v>
      </c>
      <c r="E156" s="7" t="n">
        <v>6010</v>
      </c>
      <c r="F156" s="9" t="n">
        <v>151040000</v>
      </c>
      <c r="G156" s="10" t="n">
        <v>17</v>
      </c>
      <c r="H156" s="16">
        <f>IFERROR(SUMPRODUCT(($C$3:$C$165=C156)*ISNUMBER($G$3:$G$165)*ISNUMBER($F$3:$F$165)*IF(ISNUMBER($F$3:$F$165),$F$3:$F$165,0)*IF(ISNUMBER($G$3:$G$165),$G$3:$G$165,0))/SUMPRODUCT(($C$3:$C$165=C156)*ISNUMBER($G$3:$G$165)*ISNUMBER($F$3:$F$165)*IF(ISNUMBER($F$3:$F$165),$F$3:$F$165,0)),"")</f>
        <v/>
      </c>
      <c r="I156" s="16">
        <f>IFERROR(SUMPRODUCT(($C$3:$C$165=C156)*ISNUMBER($G$3:$G$165)*IF(ISNUMBER($G$3:$G$165),$G$3:$G$165,0))/SUMPRODUCT(($C$3:$C$165=C156)*ISNUMBER($G$3:$G$165)),"")</f>
        <v/>
      </c>
      <c r="J156" s="16">
        <f>IF(OR(G156="",H156=""),"",G156/H156)</f>
        <v/>
      </c>
      <c r="K156" s="16">
        <f>IF(OR(G156="",I156=""),"",G156/I156)</f>
        <v/>
      </c>
      <c r="L156" s="14">
        <f>INDEX('4_UK_Beta_Input'!$D$5:$D$15,MATCH($C156,'4_UK_Beta_Input'!$A$5:$A$15,0))</f>
        <v/>
      </c>
      <c r="M156" s="14">
        <f>INDEX('4_UK_Beta_Input'!$D$20:$D$44,MATCH($E156,'4_UK_Beta_Input'!$A$20:$A$44,0))</f>
        <v/>
      </c>
      <c r="N156" s="14">
        <f>INDEX('4_UK_Beta_Input'!$D$49:$D$122,MATCH($D156,'4_UK_Beta_Input'!$A$49:$A$122,0))</f>
        <v/>
      </c>
      <c r="O156" s="14">
        <f>INDEX('4_UK_Beta_Input'!$D$127:$D$289,MATCH($A156,'4_UK_Beta_Input'!$A$127:$A$289,0))</f>
        <v/>
      </c>
      <c r="P156" s="16">
        <f>(M156/L156)*(N156/M156)*(O156/N156)</f>
        <v/>
      </c>
      <c r="Q156" s="17">
        <f>IF(J156="",INDEX('3_UK_L1_Input'!$D$4:$D$14,MATCH($C156,'3_UK_L1_Input'!$A$4:$A$14,0))*P156,INDEX('3_UK_L1_Input'!$D$4:$D$14,MATCH($C156,'3_UK_L1_Input'!$A$4:$A$14,0))*J156)</f>
        <v/>
      </c>
      <c r="R156" s="17">
        <f>IF(K156="",INDEX('3_UK_L1_Input'!$D$4:$D$14,MATCH($C156,'3_UK_L1_Input'!$A$4:$A$14,0))*P156,INDEX('3_UK_L1_Input'!$D$4:$D$14,MATCH($C156,'3_UK_L1_Input'!$A$4:$A$14,0))*K156)</f>
        <v/>
      </c>
      <c r="S156" s="18">
        <f>IF(G156="","BETA CASCADE FALLBACK (dummy — replace with real beta)","REAL (Bloomberg UK)")</f>
        <v/>
      </c>
      <c r="T156" s="17">
        <f>INDEX('3_UK_L1_Input'!$C$4:$C$14,MATCH($C156,'3_UK_L1_Input'!$A$4:$A$14,0))</f>
        <v/>
      </c>
      <c r="U156" s="17">
        <f>INDEX('3_UK_L1_Input'!$C$4:$C$14,MATCH($C156,'3_UK_L1_Input'!$A$4:$A$14,0))*P156</f>
        <v/>
      </c>
      <c r="V156" s="15">
        <f>INDEX('5_UK_DefaultRisk_Input'!$D$5:$D$15,MATCH($C156,'5_UK_DefaultRisk_Input'!$A$5:$A$15,0))</f>
        <v/>
      </c>
      <c r="W156" s="15">
        <f>INDEX('5_UK_DefaultRisk_Input'!$D$20:$D$44,MATCH($E156,'5_UK_DefaultRisk_Input'!$A$20:$A$44,0))</f>
        <v/>
      </c>
      <c r="X156" s="15">
        <f>INDEX('5_UK_DefaultRisk_Input'!$D$49:$D$122,MATCH($D156,'5_UK_DefaultRisk_Input'!$A$49:$A$122,0))</f>
        <v/>
      </c>
      <c r="Y156" s="15">
        <f>INDEX('5_UK_DefaultRisk_Input'!$D$127:$D$289,MATCH($A156,'5_UK_DefaultRisk_Input'!$A$127:$A$289,0))</f>
        <v/>
      </c>
      <c r="Z156" s="16">
        <f>(W156/V156)*(X156/W156)*(Y156/X156)</f>
        <v/>
      </c>
      <c r="AA156" s="17">
        <f>INDEX('3_UK_L1_Input'!$D$4:$D$14,MATCH($C156,'3_UK_L1_Input'!$A$4:$A$14,0))*Z156</f>
        <v/>
      </c>
    </row>
    <row r="157">
      <c r="A157" s="7" t="n">
        <v>60108010</v>
      </c>
      <c r="B157" s="7" t="inlineStr">
        <is>
          <t>Other Specialized REITs*</t>
        </is>
      </c>
      <c r="C157" s="7" t="n">
        <v>60</v>
      </c>
      <c r="D157" s="7" t="n">
        <v>601080</v>
      </c>
      <c r="E157" s="7" t="n">
        <v>6010</v>
      </c>
      <c r="F157" s="8" t="n"/>
      <c r="G157" s="8" t="n"/>
      <c r="H157" s="16">
        <f>IFERROR(SUMPRODUCT(($C$3:$C$165=C157)*ISNUMBER($G$3:$G$165)*ISNUMBER($F$3:$F$165)*IF(ISNUMBER($F$3:$F$165),$F$3:$F$165,0)*IF(ISNUMBER($G$3:$G$165),$G$3:$G$165,0))/SUMPRODUCT(($C$3:$C$165=C157)*ISNUMBER($G$3:$G$165)*ISNUMBER($F$3:$F$165)*IF(ISNUMBER($F$3:$F$165),$F$3:$F$165,0)),"")</f>
        <v/>
      </c>
      <c r="I157" s="16">
        <f>IFERROR(SUMPRODUCT(($C$3:$C$165=C157)*ISNUMBER($G$3:$G$165)*IF(ISNUMBER($G$3:$G$165),$G$3:$G$165,0))/SUMPRODUCT(($C$3:$C$165=C157)*ISNUMBER($G$3:$G$165)),"")</f>
        <v/>
      </c>
      <c r="J157" s="16">
        <f>IF(OR(G157="",H157=""),"",G157/H157)</f>
        <v/>
      </c>
      <c r="K157" s="16">
        <f>IF(OR(G157="",I157=""),"",G157/I157)</f>
        <v/>
      </c>
      <c r="L157" s="14">
        <f>INDEX('4_UK_Beta_Input'!$D$5:$D$15,MATCH($C157,'4_UK_Beta_Input'!$A$5:$A$15,0))</f>
        <v/>
      </c>
      <c r="M157" s="14">
        <f>INDEX('4_UK_Beta_Input'!$D$20:$D$44,MATCH($E157,'4_UK_Beta_Input'!$A$20:$A$44,0))</f>
        <v/>
      </c>
      <c r="N157" s="14">
        <f>INDEX('4_UK_Beta_Input'!$D$49:$D$122,MATCH($D157,'4_UK_Beta_Input'!$A$49:$A$122,0))</f>
        <v/>
      </c>
      <c r="O157" s="14">
        <f>INDEX('4_UK_Beta_Input'!$D$127:$D$289,MATCH($A157,'4_UK_Beta_Input'!$A$127:$A$289,0))</f>
        <v/>
      </c>
      <c r="P157" s="16">
        <f>(M157/L157)*(N157/M157)*(O157/N157)</f>
        <v/>
      </c>
      <c r="Q157" s="17">
        <f>IF(J157="",INDEX('3_UK_L1_Input'!$D$4:$D$14,MATCH($C157,'3_UK_L1_Input'!$A$4:$A$14,0))*P157,INDEX('3_UK_L1_Input'!$D$4:$D$14,MATCH($C157,'3_UK_L1_Input'!$A$4:$A$14,0))*J157)</f>
        <v/>
      </c>
      <c r="R157" s="17">
        <f>IF(K157="",INDEX('3_UK_L1_Input'!$D$4:$D$14,MATCH($C157,'3_UK_L1_Input'!$A$4:$A$14,0))*P157,INDEX('3_UK_L1_Input'!$D$4:$D$14,MATCH($C157,'3_UK_L1_Input'!$A$4:$A$14,0))*K157)</f>
        <v/>
      </c>
      <c r="S157" s="19">
        <f>IF(G157="","BETA CASCADE FALLBACK (dummy — replace with real beta)","REAL (Bloomberg UK)")</f>
        <v/>
      </c>
      <c r="T157" s="17">
        <f>INDEX('3_UK_L1_Input'!$C$4:$C$14,MATCH($C157,'3_UK_L1_Input'!$A$4:$A$14,0))</f>
        <v/>
      </c>
      <c r="U157" s="17">
        <f>INDEX('3_UK_L1_Input'!$C$4:$C$14,MATCH($C157,'3_UK_L1_Input'!$A$4:$A$14,0))*P157</f>
        <v/>
      </c>
      <c r="V157" s="15">
        <f>INDEX('5_UK_DefaultRisk_Input'!$D$5:$D$15,MATCH($C157,'5_UK_DefaultRisk_Input'!$A$5:$A$15,0))</f>
        <v/>
      </c>
      <c r="W157" s="15">
        <f>INDEX('5_UK_DefaultRisk_Input'!$D$20:$D$44,MATCH($E157,'5_UK_DefaultRisk_Input'!$A$20:$A$44,0))</f>
        <v/>
      </c>
      <c r="X157" s="15">
        <f>INDEX('5_UK_DefaultRisk_Input'!$D$49:$D$122,MATCH($D157,'5_UK_DefaultRisk_Input'!$A$49:$A$122,0))</f>
        <v/>
      </c>
      <c r="Y157" s="15">
        <f>INDEX('5_UK_DefaultRisk_Input'!$D$127:$D$289,MATCH($A157,'5_UK_DefaultRisk_Input'!$A$127:$A$289,0))</f>
        <v/>
      </c>
      <c r="Z157" s="16">
        <f>(W157/V157)*(X157/W157)*(Y157/X157)</f>
        <v/>
      </c>
      <c r="AA157" s="17">
        <f>INDEX('3_UK_L1_Input'!$D$4:$D$14,MATCH($C157,'3_UK_L1_Input'!$A$4:$A$14,0))*Z157</f>
        <v/>
      </c>
    </row>
    <row r="158">
      <c r="A158" s="7" t="n">
        <v>60108020</v>
      </c>
      <c r="B158" s="7" t="inlineStr">
        <is>
          <t>Self-Storage REITs*</t>
        </is>
      </c>
      <c r="C158" s="7" t="n">
        <v>60</v>
      </c>
      <c r="D158" s="7" t="n">
        <v>601080</v>
      </c>
      <c r="E158" s="7" t="n">
        <v>6010</v>
      </c>
      <c r="F158" s="9" t="n">
        <v>225590000</v>
      </c>
      <c r="G158" s="10" t="n">
        <v>16.98</v>
      </c>
      <c r="H158" s="16">
        <f>IFERROR(SUMPRODUCT(($C$3:$C$165=C158)*ISNUMBER($G$3:$G$165)*ISNUMBER($F$3:$F$165)*IF(ISNUMBER($F$3:$F$165),$F$3:$F$165,0)*IF(ISNUMBER($G$3:$G$165),$G$3:$G$165,0))/SUMPRODUCT(($C$3:$C$165=C158)*ISNUMBER($G$3:$G$165)*ISNUMBER($F$3:$F$165)*IF(ISNUMBER($F$3:$F$165),$F$3:$F$165,0)),"")</f>
        <v/>
      </c>
      <c r="I158" s="16">
        <f>IFERROR(SUMPRODUCT(($C$3:$C$165=C158)*ISNUMBER($G$3:$G$165)*IF(ISNUMBER($G$3:$G$165),$G$3:$G$165,0))/SUMPRODUCT(($C$3:$C$165=C158)*ISNUMBER($G$3:$G$165)),"")</f>
        <v/>
      </c>
      <c r="J158" s="16">
        <f>IF(OR(G158="",H158=""),"",G158/H158)</f>
        <v/>
      </c>
      <c r="K158" s="16">
        <f>IF(OR(G158="",I158=""),"",G158/I158)</f>
        <v/>
      </c>
      <c r="L158" s="14">
        <f>INDEX('4_UK_Beta_Input'!$D$5:$D$15,MATCH($C158,'4_UK_Beta_Input'!$A$5:$A$15,0))</f>
        <v/>
      </c>
      <c r="M158" s="14">
        <f>INDEX('4_UK_Beta_Input'!$D$20:$D$44,MATCH($E158,'4_UK_Beta_Input'!$A$20:$A$44,0))</f>
        <v/>
      </c>
      <c r="N158" s="14">
        <f>INDEX('4_UK_Beta_Input'!$D$49:$D$122,MATCH($D158,'4_UK_Beta_Input'!$A$49:$A$122,0))</f>
        <v/>
      </c>
      <c r="O158" s="14">
        <f>INDEX('4_UK_Beta_Input'!$D$127:$D$289,MATCH($A158,'4_UK_Beta_Input'!$A$127:$A$289,0))</f>
        <v/>
      </c>
      <c r="P158" s="16">
        <f>(M158/L158)*(N158/M158)*(O158/N158)</f>
        <v/>
      </c>
      <c r="Q158" s="17">
        <f>IF(J158="",INDEX('3_UK_L1_Input'!$D$4:$D$14,MATCH($C158,'3_UK_L1_Input'!$A$4:$A$14,0))*P158,INDEX('3_UK_L1_Input'!$D$4:$D$14,MATCH($C158,'3_UK_L1_Input'!$A$4:$A$14,0))*J158)</f>
        <v/>
      </c>
      <c r="R158" s="17">
        <f>IF(K158="",INDEX('3_UK_L1_Input'!$D$4:$D$14,MATCH($C158,'3_UK_L1_Input'!$A$4:$A$14,0))*P158,INDEX('3_UK_L1_Input'!$D$4:$D$14,MATCH($C158,'3_UK_L1_Input'!$A$4:$A$14,0))*K158)</f>
        <v/>
      </c>
      <c r="S158" s="18">
        <f>IF(G158="","BETA CASCADE FALLBACK (dummy — replace with real beta)","REAL (Bloomberg UK)")</f>
        <v/>
      </c>
      <c r="T158" s="17">
        <f>INDEX('3_UK_L1_Input'!$C$4:$C$14,MATCH($C158,'3_UK_L1_Input'!$A$4:$A$14,0))</f>
        <v/>
      </c>
      <c r="U158" s="17">
        <f>INDEX('3_UK_L1_Input'!$C$4:$C$14,MATCH($C158,'3_UK_L1_Input'!$A$4:$A$14,0))*P158</f>
        <v/>
      </c>
      <c r="V158" s="15">
        <f>INDEX('5_UK_DefaultRisk_Input'!$D$5:$D$15,MATCH($C158,'5_UK_DefaultRisk_Input'!$A$5:$A$15,0))</f>
        <v/>
      </c>
      <c r="W158" s="15">
        <f>INDEX('5_UK_DefaultRisk_Input'!$D$20:$D$44,MATCH($E158,'5_UK_DefaultRisk_Input'!$A$20:$A$44,0))</f>
        <v/>
      </c>
      <c r="X158" s="15">
        <f>INDEX('5_UK_DefaultRisk_Input'!$D$49:$D$122,MATCH($D158,'5_UK_DefaultRisk_Input'!$A$49:$A$122,0))</f>
        <v/>
      </c>
      <c r="Y158" s="15">
        <f>INDEX('5_UK_DefaultRisk_Input'!$D$127:$D$289,MATCH($A158,'5_UK_DefaultRisk_Input'!$A$127:$A$289,0))</f>
        <v/>
      </c>
      <c r="Z158" s="16">
        <f>(W158/V158)*(X158/W158)*(Y158/X158)</f>
        <v/>
      </c>
      <c r="AA158" s="17">
        <f>INDEX('3_UK_L1_Input'!$D$4:$D$14,MATCH($C158,'3_UK_L1_Input'!$A$4:$A$14,0))*Z158</f>
        <v/>
      </c>
    </row>
    <row r="159">
      <c r="A159" s="7" t="n">
        <v>60108030</v>
      </c>
      <c r="B159" s="7" t="inlineStr">
        <is>
          <t>Telecom Tower REITs*</t>
        </is>
      </c>
      <c r="C159" s="7" t="n">
        <v>60</v>
      </c>
      <c r="D159" s="7" t="n">
        <v>601080</v>
      </c>
      <c r="E159" s="7" t="n">
        <v>6010</v>
      </c>
      <c r="F159" s="8" t="n"/>
      <c r="G159" s="8" t="n"/>
      <c r="H159" s="16">
        <f>IFERROR(SUMPRODUCT(($C$3:$C$165=C159)*ISNUMBER($G$3:$G$165)*ISNUMBER($F$3:$F$165)*IF(ISNUMBER($F$3:$F$165),$F$3:$F$165,0)*IF(ISNUMBER($G$3:$G$165),$G$3:$G$165,0))/SUMPRODUCT(($C$3:$C$165=C159)*ISNUMBER($G$3:$G$165)*ISNUMBER($F$3:$F$165)*IF(ISNUMBER($F$3:$F$165),$F$3:$F$165,0)),"")</f>
        <v/>
      </c>
      <c r="I159" s="16">
        <f>IFERROR(SUMPRODUCT(($C$3:$C$165=C159)*ISNUMBER($G$3:$G$165)*IF(ISNUMBER($G$3:$G$165),$G$3:$G$165,0))/SUMPRODUCT(($C$3:$C$165=C159)*ISNUMBER($G$3:$G$165)),"")</f>
        <v/>
      </c>
      <c r="J159" s="16">
        <f>IF(OR(G159="",H159=""),"",G159/H159)</f>
        <v/>
      </c>
      <c r="K159" s="16">
        <f>IF(OR(G159="",I159=""),"",G159/I159)</f>
        <v/>
      </c>
      <c r="L159" s="14">
        <f>INDEX('4_UK_Beta_Input'!$D$5:$D$15,MATCH($C159,'4_UK_Beta_Input'!$A$5:$A$15,0))</f>
        <v/>
      </c>
      <c r="M159" s="14">
        <f>INDEX('4_UK_Beta_Input'!$D$20:$D$44,MATCH($E159,'4_UK_Beta_Input'!$A$20:$A$44,0))</f>
        <v/>
      </c>
      <c r="N159" s="14">
        <f>INDEX('4_UK_Beta_Input'!$D$49:$D$122,MATCH($D159,'4_UK_Beta_Input'!$A$49:$A$122,0))</f>
        <v/>
      </c>
      <c r="O159" s="14">
        <f>INDEX('4_UK_Beta_Input'!$D$127:$D$289,MATCH($A159,'4_UK_Beta_Input'!$A$127:$A$289,0))</f>
        <v/>
      </c>
      <c r="P159" s="16">
        <f>(M159/L159)*(N159/M159)*(O159/N159)</f>
        <v/>
      </c>
      <c r="Q159" s="17">
        <f>IF(J159="",INDEX('3_UK_L1_Input'!$D$4:$D$14,MATCH($C159,'3_UK_L1_Input'!$A$4:$A$14,0))*P159,INDEX('3_UK_L1_Input'!$D$4:$D$14,MATCH($C159,'3_UK_L1_Input'!$A$4:$A$14,0))*J159)</f>
        <v/>
      </c>
      <c r="R159" s="17">
        <f>IF(K159="",INDEX('3_UK_L1_Input'!$D$4:$D$14,MATCH($C159,'3_UK_L1_Input'!$A$4:$A$14,0))*P159,INDEX('3_UK_L1_Input'!$D$4:$D$14,MATCH($C159,'3_UK_L1_Input'!$A$4:$A$14,0))*K159)</f>
        <v/>
      </c>
      <c r="S159" s="19">
        <f>IF(G159="","BETA CASCADE FALLBACK (dummy — replace with real beta)","REAL (Bloomberg UK)")</f>
        <v/>
      </c>
      <c r="T159" s="17">
        <f>INDEX('3_UK_L1_Input'!$C$4:$C$14,MATCH($C159,'3_UK_L1_Input'!$A$4:$A$14,0))</f>
        <v/>
      </c>
      <c r="U159" s="17">
        <f>INDEX('3_UK_L1_Input'!$C$4:$C$14,MATCH($C159,'3_UK_L1_Input'!$A$4:$A$14,0))*P159</f>
        <v/>
      </c>
      <c r="V159" s="15">
        <f>INDEX('5_UK_DefaultRisk_Input'!$D$5:$D$15,MATCH($C159,'5_UK_DefaultRisk_Input'!$A$5:$A$15,0))</f>
        <v/>
      </c>
      <c r="W159" s="15">
        <f>INDEX('5_UK_DefaultRisk_Input'!$D$20:$D$44,MATCH($E159,'5_UK_DefaultRisk_Input'!$A$20:$A$44,0))</f>
        <v/>
      </c>
      <c r="X159" s="15">
        <f>INDEX('5_UK_DefaultRisk_Input'!$D$49:$D$122,MATCH($D159,'5_UK_DefaultRisk_Input'!$A$49:$A$122,0))</f>
        <v/>
      </c>
      <c r="Y159" s="15">
        <f>INDEX('5_UK_DefaultRisk_Input'!$D$127:$D$289,MATCH($A159,'5_UK_DefaultRisk_Input'!$A$127:$A$289,0))</f>
        <v/>
      </c>
      <c r="Z159" s="16">
        <f>(W159/V159)*(X159/W159)*(Y159/X159)</f>
        <v/>
      </c>
      <c r="AA159" s="17">
        <f>INDEX('3_UK_L1_Input'!$D$4:$D$14,MATCH($C159,'3_UK_L1_Input'!$A$4:$A$14,0))*Z159</f>
        <v/>
      </c>
    </row>
    <row r="160">
      <c r="A160" s="7" t="n">
        <v>60108040</v>
      </c>
      <c r="B160" s="7" t="inlineStr">
        <is>
          <t>Timber REITs*</t>
        </is>
      </c>
      <c r="C160" s="7" t="n">
        <v>60</v>
      </c>
      <c r="D160" s="7" t="n">
        <v>601080</v>
      </c>
      <c r="E160" s="7" t="n">
        <v>6010</v>
      </c>
      <c r="F160" s="8" t="n"/>
      <c r="G160" s="8" t="n"/>
      <c r="H160" s="16">
        <f>IFERROR(SUMPRODUCT(($C$3:$C$165=C160)*ISNUMBER($G$3:$G$165)*ISNUMBER($F$3:$F$165)*IF(ISNUMBER($F$3:$F$165),$F$3:$F$165,0)*IF(ISNUMBER($G$3:$G$165),$G$3:$G$165,0))/SUMPRODUCT(($C$3:$C$165=C160)*ISNUMBER($G$3:$G$165)*ISNUMBER($F$3:$F$165)*IF(ISNUMBER($F$3:$F$165),$F$3:$F$165,0)),"")</f>
        <v/>
      </c>
      <c r="I160" s="16">
        <f>IFERROR(SUMPRODUCT(($C$3:$C$165=C160)*ISNUMBER($G$3:$G$165)*IF(ISNUMBER($G$3:$G$165),$G$3:$G$165,0))/SUMPRODUCT(($C$3:$C$165=C160)*ISNUMBER($G$3:$G$165)),"")</f>
        <v/>
      </c>
      <c r="J160" s="16">
        <f>IF(OR(G160="",H160=""),"",G160/H160)</f>
        <v/>
      </c>
      <c r="K160" s="16">
        <f>IF(OR(G160="",I160=""),"",G160/I160)</f>
        <v/>
      </c>
      <c r="L160" s="14">
        <f>INDEX('4_UK_Beta_Input'!$D$5:$D$15,MATCH($C160,'4_UK_Beta_Input'!$A$5:$A$15,0))</f>
        <v/>
      </c>
      <c r="M160" s="14">
        <f>INDEX('4_UK_Beta_Input'!$D$20:$D$44,MATCH($E160,'4_UK_Beta_Input'!$A$20:$A$44,0))</f>
        <v/>
      </c>
      <c r="N160" s="14">
        <f>INDEX('4_UK_Beta_Input'!$D$49:$D$122,MATCH($D160,'4_UK_Beta_Input'!$A$49:$A$122,0))</f>
        <v/>
      </c>
      <c r="O160" s="14">
        <f>INDEX('4_UK_Beta_Input'!$D$127:$D$289,MATCH($A160,'4_UK_Beta_Input'!$A$127:$A$289,0))</f>
        <v/>
      </c>
      <c r="P160" s="16">
        <f>(M160/L160)*(N160/M160)*(O160/N160)</f>
        <v/>
      </c>
      <c r="Q160" s="17">
        <f>IF(J160="",INDEX('3_UK_L1_Input'!$D$4:$D$14,MATCH($C160,'3_UK_L1_Input'!$A$4:$A$14,0))*P160,INDEX('3_UK_L1_Input'!$D$4:$D$14,MATCH($C160,'3_UK_L1_Input'!$A$4:$A$14,0))*J160)</f>
        <v/>
      </c>
      <c r="R160" s="17">
        <f>IF(K160="",INDEX('3_UK_L1_Input'!$D$4:$D$14,MATCH($C160,'3_UK_L1_Input'!$A$4:$A$14,0))*P160,INDEX('3_UK_L1_Input'!$D$4:$D$14,MATCH($C160,'3_UK_L1_Input'!$A$4:$A$14,0))*K160)</f>
        <v/>
      </c>
      <c r="S160" s="19">
        <f>IF(G160="","BETA CASCADE FALLBACK (dummy — replace with real beta)","REAL (Bloomberg UK)")</f>
        <v/>
      </c>
      <c r="T160" s="17">
        <f>INDEX('3_UK_L1_Input'!$C$4:$C$14,MATCH($C160,'3_UK_L1_Input'!$A$4:$A$14,0))</f>
        <v/>
      </c>
      <c r="U160" s="17">
        <f>INDEX('3_UK_L1_Input'!$C$4:$C$14,MATCH($C160,'3_UK_L1_Input'!$A$4:$A$14,0))*P160</f>
        <v/>
      </c>
      <c r="V160" s="15">
        <f>INDEX('5_UK_DefaultRisk_Input'!$D$5:$D$15,MATCH($C160,'5_UK_DefaultRisk_Input'!$A$5:$A$15,0))</f>
        <v/>
      </c>
      <c r="W160" s="15">
        <f>INDEX('5_UK_DefaultRisk_Input'!$D$20:$D$44,MATCH($E160,'5_UK_DefaultRisk_Input'!$A$20:$A$44,0))</f>
        <v/>
      </c>
      <c r="X160" s="15">
        <f>INDEX('5_UK_DefaultRisk_Input'!$D$49:$D$122,MATCH($D160,'5_UK_DefaultRisk_Input'!$A$49:$A$122,0))</f>
        <v/>
      </c>
      <c r="Y160" s="15">
        <f>INDEX('5_UK_DefaultRisk_Input'!$D$127:$D$289,MATCH($A160,'5_UK_DefaultRisk_Input'!$A$127:$A$289,0))</f>
        <v/>
      </c>
      <c r="Z160" s="16">
        <f>(W160/V160)*(X160/W160)*(Y160/X160)</f>
        <v/>
      </c>
      <c r="AA160" s="17">
        <f>INDEX('3_UK_L1_Input'!$D$4:$D$14,MATCH($C160,'3_UK_L1_Input'!$A$4:$A$14,0))*Z160</f>
        <v/>
      </c>
    </row>
    <row r="161">
      <c r="A161" s="7" t="n">
        <v>60108050</v>
      </c>
      <c r="B161" s="7" t="inlineStr">
        <is>
          <t>Data Center REITs*</t>
        </is>
      </c>
      <c r="C161" s="7" t="n">
        <v>60</v>
      </c>
      <c r="D161" s="7" t="n">
        <v>601080</v>
      </c>
      <c r="E161" s="7" t="n">
        <v>6010</v>
      </c>
      <c r="F161" s="8" t="n"/>
      <c r="G161" s="8" t="n"/>
      <c r="H161" s="16">
        <f>IFERROR(SUMPRODUCT(($C$3:$C$165=C161)*ISNUMBER($G$3:$G$165)*ISNUMBER($F$3:$F$165)*IF(ISNUMBER($F$3:$F$165),$F$3:$F$165,0)*IF(ISNUMBER($G$3:$G$165),$G$3:$G$165,0))/SUMPRODUCT(($C$3:$C$165=C161)*ISNUMBER($G$3:$G$165)*ISNUMBER($F$3:$F$165)*IF(ISNUMBER($F$3:$F$165),$F$3:$F$165,0)),"")</f>
        <v/>
      </c>
      <c r="I161" s="16">
        <f>IFERROR(SUMPRODUCT(($C$3:$C$165=C161)*ISNUMBER($G$3:$G$165)*IF(ISNUMBER($G$3:$G$165),$G$3:$G$165,0))/SUMPRODUCT(($C$3:$C$165=C161)*ISNUMBER($G$3:$G$165)),"")</f>
        <v/>
      </c>
      <c r="J161" s="16">
        <f>IF(OR(G161="",H161=""),"",G161/H161)</f>
        <v/>
      </c>
      <c r="K161" s="16">
        <f>IF(OR(G161="",I161=""),"",G161/I161)</f>
        <v/>
      </c>
      <c r="L161" s="14">
        <f>INDEX('4_UK_Beta_Input'!$D$5:$D$15,MATCH($C161,'4_UK_Beta_Input'!$A$5:$A$15,0))</f>
        <v/>
      </c>
      <c r="M161" s="14">
        <f>INDEX('4_UK_Beta_Input'!$D$20:$D$44,MATCH($E161,'4_UK_Beta_Input'!$A$20:$A$44,0))</f>
        <v/>
      </c>
      <c r="N161" s="14">
        <f>INDEX('4_UK_Beta_Input'!$D$49:$D$122,MATCH($D161,'4_UK_Beta_Input'!$A$49:$A$122,0))</f>
        <v/>
      </c>
      <c r="O161" s="14">
        <f>INDEX('4_UK_Beta_Input'!$D$127:$D$289,MATCH($A161,'4_UK_Beta_Input'!$A$127:$A$289,0))</f>
        <v/>
      </c>
      <c r="P161" s="16">
        <f>(M161/L161)*(N161/M161)*(O161/N161)</f>
        <v/>
      </c>
      <c r="Q161" s="17">
        <f>IF(J161="",INDEX('3_UK_L1_Input'!$D$4:$D$14,MATCH($C161,'3_UK_L1_Input'!$A$4:$A$14,0))*P161,INDEX('3_UK_L1_Input'!$D$4:$D$14,MATCH($C161,'3_UK_L1_Input'!$A$4:$A$14,0))*J161)</f>
        <v/>
      </c>
      <c r="R161" s="17">
        <f>IF(K161="",INDEX('3_UK_L1_Input'!$D$4:$D$14,MATCH($C161,'3_UK_L1_Input'!$A$4:$A$14,0))*P161,INDEX('3_UK_L1_Input'!$D$4:$D$14,MATCH($C161,'3_UK_L1_Input'!$A$4:$A$14,0))*K161)</f>
        <v/>
      </c>
      <c r="S161" s="19">
        <f>IF(G161="","BETA CASCADE FALLBACK (dummy — replace with real beta)","REAL (Bloomberg UK)")</f>
        <v/>
      </c>
      <c r="T161" s="17">
        <f>INDEX('3_UK_L1_Input'!$C$4:$C$14,MATCH($C161,'3_UK_L1_Input'!$A$4:$A$14,0))</f>
        <v/>
      </c>
      <c r="U161" s="17">
        <f>INDEX('3_UK_L1_Input'!$C$4:$C$14,MATCH($C161,'3_UK_L1_Input'!$A$4:$A$14,0))*P161</f>
        <v/>
      </c>
      <c r="V161" s="15">
        <f>INDEX('5_UK_DefaultRisk_Input'!$D$5:$D$15,MATCH($C161,'5_UK_DefaultRisk_Input'!$A$5:$A$15,0))</f>
        <v/>
      </c>
      <c r="W161" s="15">
        <f>INDEX('5_UK_DefaultRisk_Input'!$D$20:$D$44,MATCH($E161,'5_UK_DefaultRisk_Input'!$A$20:$A$44,0))</f>
        <v/>
      </c>
      <c r="X161" s="15">
        <f>INDEX('5_UK_DefaultRisk_Input'!$D$49:$D$122,MATCH($D161,'5_UK_DefaultRisk_Input'!$A$49:$A$122,0))</f>
        <v/>
      </c>
      <c r="Y161" s="15">
        <f>INDEX('5_UK_DefaultRisk_Input'!$D$127:$D$289,MATCH($A161,'5_UK_DefaultRisk_Input'!$A$127:$A$289,0))</f>
        <v/>
      </c>
      <c r="Z161" s="16">
        <f>(W161/V161)*(X161/W161)*(Y161/X161)</f>
        <v/>
      </c>
      <c r="AA161" s="17">
        <f>INDEX('3_UK_L1_Input'!$D$4:$D$14,MATCH($C161,'3_UK_L1_Input'!$A$4:$A$14,0))*Z161</f>
        <v/>
      </c>
    </row>
    <row r="162">
      <c r="A162" s="7" t="n">
        <v>60201010</v>
      </c>
      <c r="B162" s="7" t="inlineStr">
        <is>
          <t>Diversified Real Estate Activities</t>
        </is>
      </c>
      <c r="C162" s="7" t="n">
        <v>60</v>
      </c>
      <c r="D162" s="7" t="n">
        <v>602010</v>
      </c>
      <c r="E162" s="7" t="n">
        <v>6020</v>
      </c>
      <c r="F162" s="9" t="n">
        <v>9730000</v>
      </c>
      <c r="G162" s="10" t="n">
        <v>6.6</v>
      </c>
      <c r="H162" s="16">
        <f>IFERROR(SUMPRODUCT(($C$3:$C$165=C162)*ISNUMBER($G$3:$G$165)*ISNUMBER($F$3:$F$165)*IF(ISNUMBER($F$3:$F$165),$F$3:$F$165,0)*IF(ISNUMBER($G$3:$G$165),$G$3:$G$165,0))/SUMPRODUCT(($C$3:$C$165=C162)*ISNUMBER($G$3:$G$165)*ISNUMBER($F$3:$F$165)*IF(ISNUMBER($F$3:$F$165),$F$3:$F$165,0)),"")</f>
        <v/>
      </c>
      <c r="I162" s="16">
        <f>IFERROR(SUMPRODUCT(($C$3:$C$165=C162)*ISNUMBER($G$3:$G$165)*IF(ISNUMBER($G$3:$G$165),$G$3:$G$165,0))/SUMPRODUCT(($C$3:$C$165=C162)*ISNUMBER($G$3:$G$165)),"")</f>
        <v/>
      </c>
      <c r="J162" s="16">
        <f>IF(OR(G162="",H162=""),"",G162/H162)</f>
        <v/>
      </c>
      <c r="K162" s="16">
        <f>IF(OR(G162="",I162=""),"",G162/I162)</f>
        <v/>
      </c>
      <c r="L162" s="14">
        <f>INDEX('4_UK_Beta_Input'!$D$5:$D$15,MATCH($C162,'4_UK_Beta_Input'!$A$5:$A$15,0))</f>
        <v/>
      </c>
      <c r="M162" s="14">
        <f>INDEX('4_UK_Beta_Input'!$D$20:$D$44,MATCH($E162,'4_UK_Beta_Input'!$A$20:$A$44,0))</f>
        <v/>
      </c>
      <c r="N162" s="14">
        <f>INDEX('4_UK_Beta_Input'!$D$49:$D$122,MATCH($D162,'4_UK_Beta_Input'!$A$49:$A$122,0))</f>
        <v/>
      </c>
      <c r="O162" s="14">
        <f>INDEX('4_UK_Beta_Input'!$D$127:$D$289,MATCH($A162,'4_UK_Beta_Input'!$A$127:$A$289,0))</f>
        <v/>
      </c>
      <c r="P162" s="16">
        <f>(M162/L162)*(N162/M162)*(O162/N162)</f>
        <v/>
      </c>
      <c r="Q162" s="17">
        <f>IF(J162="",INDEX('3_UK_L1_Input'!$D$4:$D$14,MATCH($C162,'3_UK_L1_Input'!$A$4:$A$14,0))*P162,INDEX('3_UK_L1_Input'!$D$4:$D$14,MATCH($C162,'3_UK_L1_Input'!$A$4:$A$14,0))*J162)</f>
        <v/>
      </c>
      <c r="R162" s="17">
        <f>IF(K162="",INDEX('3_UK_L1_Input'!$D$4:$D$14,MATCH($C162,'3_UK_L1_Input'!$A$4:$A$14,0))*P162,INDEX('3_UK_L1_Input'!$D$4:$D$14,MATCH($C162,'3_UK_L1_Input'!$A$4:$A$14,0))*K162)</f>
        <v/>
      </c>
      <c r="S162" s="18">
        <f>IF(G162="","BETA CASCADE FALLBACK (dummy — replace with real beta)","REAL (Bloomberg UK)")</f>
        <v/>
      </c>
      <c r="T162" s="17">
        <f>INDEX('3_UK_L1_Input'!$C$4:$C$14,MATCH($C162,'3_UK_L1_Input'!$A$4:$A$14,0))</f>
        <v/>
      </c>
      <c r="U162" s="17">
        <f>INDEX('3_UK_L1_Input'!$C$4:$C$14,MATCH($C162,'3_UK_L1_Input'!$A$4:$A$14,0))*P162</f>
        <v/>
      </c>
      <c r="V162" s="15">
        <f>INDEX('5_UK_DefaultRisk_Input'!$D$5:$D$15,MATCH($C162,'5_UK_DefaultRisk_Input'!$A$5:$A$15,0))</f>
        <v/>
      </c>
      <c r="W162" s="15">
        <f>INDEX('5_UK_DefaultRisk_Input'!$D$20:$D$44,MATCH($E162,'5_UK_DefaultRisk_Input'!$A$20:$A$44,0))</f>
        <v/>
      </c>
      <c r="X162" s="15">
        <f>INDEX('5_UK_DefaultRisk_Input'!$D$49:$D$122,MATCH($D162,'5_UK_DefaultRisk_Input'!$A$49:$A$122,0))</f>
        <v/>
      </c>
      <c r="Y162" s="15">
        <f>INDEX('5_UK_DefaultRisk_Input'!$D$127:$D$289,MATCH($A162,'5_UK_DefaultRisk_Input'!$A$127:$A$289,0))</f>
        <v/>
      </c>
      <c r="Z162" s="16">
        <f>(W162/V162)*(X162/W162)*(Y162/X162)</f>
        <v/>
      </c>
      <c r="AA162" s="17">
        <f>INDEX('3_UK_L1_Input'!$D$4:$D$14,MATCH($C162,'3_UK_L1_Input'!$A$4:$A$14,0))*Z162</f>
        <v/>
      </c>
    </row>
    <row r="163">
      <c r="A163" s="7" t="n">
        <v>60201020</v>
      </c>
      <c r="B163" s="7" t="inlineStr">
        <is>
          <t>Real Estate Operating Companies</t>
        </is>
      </c>
      <c r="C163" s="7" t="n">
        <v>60</v>
      </c>
      <c r="D163" s="7" t="n">
        <v>602010</v>
      </c>
      <c r="E163" s="7" t="n">
        <v>6020</v>
      </c>
      <c r="F163" s="9" t="n">
        <v>71110000</v>
      </c>
      <c r="G163" s="10" t="n">
        <v>8.26</v>
      </c>
      <c r="H163" s="16">
        <f>IFERROR(SUMPRODUCT(($C$3:$C$165=C163)*ISNUMBER($G$3:$G$165)*ISNUMBER($F$3:$F$165)*IF(ISNUMBER($F$3:$F$165),$F$3:$F$165,0)*IF(ISNUMBER($G$3:$G$165),$G$3:$G$165,0))/SUMPRODUCT(($C$3:$C$165=C163)*ISNUMBER($G$3:$G$165)*ISNUMBER($F$3:$F$165)*IF(ISNUMBER($F$3:$F$165),$F$3:$F$165,0)),"")</f>
        <v/>
      </c>
      <c r="I163" s="16">
        <f>IFERROR(SUMPRODUCT(($C$3:$C$165=C163)*ISNUMBER($G$3:$G$165)*IF(ISNUMBER($G$3:$G$165),$G$3:$G$165,0))/SUMPRODUCT(($C$3:$C$165=C163)*ISNUMBER($G$3:$G$165)),"")</f>
        <v/>
      </c>
      <c r="J163" s="16">
        <f>IF(OR(G163="",H163=""),"",G163/H163)</f>
        <v/>
      </c>
      <c r="K163" s="16">
        <f>IF(OR(G163="",I163=""),"",G163/I163)</f>
        <v/>
      </c>
      <c r="L163" s="14">
        <f>INDEX('4_UK_Beta_Input'!$D$5:$D$15,MATCH($C163,'4_UK_Beta_Input'!$A$5:$A$15,0))</f>
        <v/>
      </c>
      <c r="M163" s="14">
        <f>INDEX('4_UK_Beta_Input'!$D$20:$D$44,MATCH($E163,'4_UK_Beta_Input'!$A$20:$A$44,0))</f>
        <v/>
      </c>
      <c r="N163" s="14">
        <f>INDEX('4_UK_Beta_Input'!$D$49:$D$122,MATCH($D163,'4_UK_Beta_Input'!$A$49:$A$122,0))</f>
        <v/>
      </c>
      <c r="O163" s="14">
        <f>INDEX('4_UK_Beta_Input'!$D$127:$D$289,MATCH($A163,'4_UK_Beta_Input'!$A$127:$A$289,0))</f>
        <v/>
      </c>
      <c r="P163" s="16">
        <f>(M163/L163)*(N163/M163)*(O163/N163)</f>
        <v/>
      </c>
      <c r="Q163" s="17">
        <f>IF(J163="",INDEX('3_UK_L1_Input'!$D$4:$D$14,MATCH($C163,'3_UK_L1_Input'!$A$4:$A$14,0))*P163,INDEX('3_UK_L1_Input'!$D$4:$D$14,MATCH($C163,'3_UK_L1_Input'!$A$4:$A$14,0))*J163)</f>
        <v/>
      </c>
      <c r="R163" s="17">
        <f>IF(K163="",INDEX('3_UK_L1_Input'!$D$4:$D$14,MATCH($C163,'3_UK_L1_Input'!$A$4:$A$14,0))*P163,INDEX('3_UK_L1_Input'!$D$4:$D$14,MATCH($C163,'3_UK_L1_Input'!$A$4:$A$14,0))*K163)</f>
        <v/>
      </c>
      <c r="S163" s="18">
        <f>IF(G163="","BETA CASCADE FALLBACK (dummy — replace with real beta)","REAL (Bloomberg UK)")</f>
        <v/>
      </c>
      <c r="T163" s="17">
        <f>INDEX('3_UK_L1_Input'!$C$4:$C$14,MATCH($C163,'3_UK_L1_Input'!$A$4:$A$14,0))</f>
        <v/>
      </c>
      <c r="U163" s="17">
        <f>INDEX('3_UK_L1_Input'!$C$4:$C$14,MATCH($C163,'3_UK_L1_Input'!$A$4:$A$14,0))*P163</f>
        <v/>
      </c>
      <c r="V163" s="15">
        <f>INDEX('5_UK_DefaultRisk_Input'!$D$5:$D$15,MATCH($C163,'5_UK_DefaultRisk_Input'!$A$5:$A$15,0))</f>
        <v/>
      </c>
      <c r="W163" s="15">
        <f>INDEX('5_UK_DefaultRisk_Input'!$D$20:$D$44,MATCH($E163,'5_UK_DefaultRisk_Input'!$A$20:$A$44,0))</f>
        <v/>
      </c>
      <c r="X163" s="15">
        <f>INDEX('5_UK_DefaultRisk_Input'!$D$49:$D$122,MATCH($D163,'5_UK_DefaultRisk_Input'!$A$49:$A$122,0))</f>
        <v/>
      </c>
      <c r="Y163" s="15">
        <f>INDEX('5_UK_DefaultRisk_Input'!$D$127:$D$289,MATCH($A163,'5_UK_DefaultRisk_Input'!$A$127:$A$289,0))</f>
        <v/>
      </c>
      <c r="Z163" s="16">
        <f>(W163/V163)*(X163/W163)*(Y163/X163)</f>
        <v/>
      </c>
      <c r="AA163" s="17">
        <f>INDEX('3_UK_L1_Input'!$D$4:$D$14,MATCH($C163,'3_UK_L1_Input'!$A$4:$A$14,0))*Z163</f>
        <v/>
      </c>
    </row>
    <row r="164">
      <c r="A164" s="7" t="n">
        <v>60201030</v>
      </c>
      <c r="B164" s="7" t="inlineStr">
        <is>
          <t>Real Estate Development</t>
        </is>
      </c>
      <c r="C164" s="7" t="n">
        <v>60</v>
      </c>
      <c r="D164" s="7" t="n">
        <v>602010</v>
      </c>
      <c r="E164" s="7" t="n">
        <v>6020</v>
      </c>
      <c r="F164" s="9" t="n">
        <v>699210000</v>
      </c>
      <c r="G164" s="10" t="n">
        <v>45.19</v>
      </c>
      <c r="H164" s="16">
        <f>IFERROR(SUMPRODUCT(($C$3:$C$165=C164)*ISNUMBER($G$3:$G$165)*ISNUMBER($F$3:$F$165)*IF(ISNUMBER($F$3:$F$165),$F$3:$F$165,0)*IF(ISNUMBER($G$3:$G$165),$G$3:$G$165,0))/SUMPRODUCT(($C$3:$C$165=C164)*ISNUMBER($G$3:$G$165)*ISNUMBER($F$3:$F$165)*IF(ISNUMBER($F$3:$F$165),$F$3:$F$165,0)),"")</f>
        <v/>
      </c>
      <c r="I164" s="16">
        <f>IFERROR(SUMPRODUCT(($C$3:$C$165=C164)*ISNUMBER($G$3:$G$165)*IF(ISNUMBER($G$3:$G$165),$G$3:$G$165,0))/SUMPRODUCT(($C$3:$C$165=C164)*ISNUMBER($G$3:$G$165)),"")</f>
        <v/>
      </c>
      <c r="J164" s="16">
        <f>IF(OR(G164="",H164=""),"",G164/H164)</f>
        <v/>
      </c>
      <c r="K164" s="16">
        <f>IF(OR(G164="",I164=""),"",G164/I164)</f>
        <v/>
      </c>
      <c r="L164" s="14">
        <f>INDEX('4_UK_Beta_Input'!$D$5:$D$15,MATCH($C164,'4_UK_Beta_Input'!$A$5:$A$15,0))</f>
        <v/>
      </c>
      <c r="M164" s="14">
        <f>INDEX('4_UK_Beta_Input'!$D$20:$D$44,MATCH($E164,'4_UK_Beta_Input'!$A$20:$A$44,0))</f>
        <v/>
      </c>
      <c r="N164" s="14">
        <f>INDEX('4_UK_Beta_Input'!$D$49:$D$122,MATCH($D164,'4_UK_Beta_Input'!$A$49:$A$122,0))</f>
        <v/>
      </c>
      <c r="O164" s="14">
        <f>INDEX('4_UK_Beta_Input'!$D$127:$D$289,MATCH($A164,'4_UK_Beta_Input'!$A$127:$A$289,0))</f>
        <v/>
      </c>
      <c r="P164" s="16">
        <f>(M164/L164)*(N164/M164)*(O164/N164)</f>
        <v/>
      </c>
      <c r="Q164" s="17">
        <f>IF(J164="",INDEX('3_UK_L1_Input'!$D$4:$D$14,MATCH($C164,'3_UK_L1_Input'!$A$4:$A$14,0))*P164,INDEX('3_UK_L1_Input'!$D$4:$D$14,MATCH($C164,'3_UK_L1_Input'!$A$4:$A$14,0))*J164)</f>
        <v/>
      </c>
      <c r="R164" s="17">
        <f>IF(K164="",INDEX('3_UK_L1_Input'!$D$4:$D$14,MATCH($C164,'3_UK_L1_Input'!$A$4:$A$14,0))*P164,INDEX('3_UK_L1_Input'!$D$4:$D$14,MATCH($C164,'3_UK_L1_Input'!$A$4:$A$14,0))*K164)</f>
        <v/>
      </c>
      <c r="S164" s="18">
        <f>IF(G164="","BETA CASCADE FALLBACK (dummy — replace with real beta)","REAL (Bloomberg UK)")</f>
        <v/>
      </c>
      <c r="T164" s="17">
        <f>INDEX('3_UK_L1_Input'!$C$4:$C$14,MATCH($C164,'3_UK_L1_Input'!$A$4:$A$14,0))</f>
        <v/>
      </c>
      <c r="U164" s="17">
        <f>INDEX('3_UK_L1_Input'!$C$4:$C$14,MATCH($C164,'3_UK_L1_Input'!$A$4:$A$14,0))*P164</f>
        <v/>
      </c>
      <c r="V164" s="15">
        <f>INDEX('5_UK_DefaultRisk_Input'!$D$5:$D$15,MATCH($C164,'5_UK_DefaultRisk_Input'!$A$5:$A$15,0))</f>
        <v/>
      </c>
      <c r="W164" s="15">
        <f>INDEX('5_UK_DefaultRisk_Input'!$D$20:$D$44,MATCH($E164,'5_UK_DefaultRisk_Input'!$A$20:$A$44,0))</f>
        <v/>
      </c>
      <c r="X164" s="15">
        <f>INDEX('5_UK_DefaultRisk_Input'!$D$49:$D$122,MATCH($D164,'5_UK_DefaultRisk_Input'!$A$49:$A$122,0))</f>
        <v/>
      </c>
      <c r="Y164" s="15">
        <f>INDEX('5_UK_DefaultRisk_Input'!$D$127:$D$289,MATCH($A164,'5_UK_DefaultRisk_Input'!$A$127:$A$289,0))</f>
        <v/>
      </c>
      <c r="Z164" s="16">
        <f>(W164/V164)*(X164/W164)*(Y164/X164)</f>
        <v/>
      </c>
      <c r="AA164" s="17">
        <f>INDEX('3_UK_L1_Input'!$D$4:$D$14,MATCH($C164,'3_UK_L1_Input'!$A$4:$A$14,0))*Z164</f>
        <v/>
      </c>
    </row>
    <row r="165">
      <c r="A165" s="7" t="n">
        <v>60201040</v>
      </c>
      <c r="B165" s="7" t="inlineStr">
        <is>
          <t>Real Estate Services</t>
        </is>
      </c>
      <c r="C165" s="7" t="n">
        <v>60</v>
      </c>
      <c r="D165" s="7" t="n">
        <v>602010</v>
      </c>
      <c r="E165" s="7" t="n">
        <v>6020</v>
      </c>
      <c r="F165" s="9" t="n">
        <v>595940000</v>
      </c>
      <c r="G165" s="10" t="n">
        <v>5.38</v>
      </c>
      <c r="H165" s="16">
        <f>IFERROR(SUMPRODUCT(($C$3:$C$165=C165)*ISNUMBER($G$3:$G$165)*ISNUMBER($F$3:$F$165)*IF(ISNUMBER($F$3:$F$165),$F$3:$F$165,0)*IF(ISNUMBER($G$3:$G$165),$G$3:$G$165,0))/SUMPRODUCT(($C$3:$C$165=C165)*ISNUMBER($G$3:$G$165)*ISNUMBER($F$3:$F$165)*IF(ISNUMBER($F$3:$F$165),$F$3:$F$165,0)),"")</f>
        <v/>
      </c>
      <c r="I165" s="16">
        <f>IFERROR(SUMPRODUCT(($C$3:$C$165=C165)*ISNUMBER($G$3:$G$165)*IF(ISNUMBER($G$3:$G$165),$G$3:$G$165,0))/SUMPRODUCT(($C$3:$C$165=C165)*ISNUMBER($G$3:$G$165)),"")</f>
        <v/>
      </c>
      <c r="J165" s="16">
        <f>IF(OR(G165="",H165=""),"",G165/H165)</f>
        <v/>
      </c>
      <c r="K165" s="16">
        <f>IF(OR(G165="",I165=""),"",G165/I165)</f>
        <v/>
      </c>
      <c r="L165" s="14">
        <f>INDEX('4_UK_Beta_Input'!$D$5:$D$15,MATCH($C165,'4_UK_Beta_Input'!$A$5:$A$15,0))</f>
        <v/>
      </c>
      <c r="M165" s="14">
        <f>INDEX('4_UK_Beta_Input'!$D$20:$D$44,MATCH($E165,'4_UK_Beta_Input'!$A$20:$A$44,0))</f>
        <v/>
      </c>
      <c r="N165" s="14">
        <f>INDEX('4_UK_Beta_Input'!$D$49:$D$122,MATCH($D165,'4_UK_Beta_Input'!$A$49:$A$122,0))</f>
        <v/>
      </c>
      <c r="O165" s="14">
        <f>INDEX('4_UK_Beta_Input'!$D$127:$D$289,MATCH($A165,'4_UK_Beta_Input'!$A$127:$A$289,0))</f>
        <v/>
      </c>
      <c r="P165" s="16">
        <f>(M165/L165)*(N165/M165)*(O165/N165)</f>
        <v/>
      </c>
      <c r="Q165" s="17">
        <f>IF(J165="",INDEX('3_UK_L1_Input'!$D$4:$D$14,MATCH($C165,'3_UK_L1_Input'!$A$4:$A$14,0))*P165,INDEX('3_UK_L1_Input'!$D$4:$D$14,MATCH($C165,'3_UK_L1_Input'!$A$4:$A$14,0))*J165)</f>
        <v/>
      </c>
      <c r="R165" s="17">
        <f>IF(K165="",INDEX('3_UK_L1_Input'!$D$4:$D$14,MATCH($C165,'3_UK_L1_Input'!$A$4:$A$14,0))*P165,INDEX('3_UK_L1_Input'!$D$4:$D$14,MATCH($C165,'3_UK_L1_Input'!$A$4:$A$14,0))*K165)</f>
        <v/>
      </c>
      <c r="S165" s="18">
        <f>IF(G165="","BETA CASCADE FALLBACK (dummy — replace with real beta)","REAL (Bloomberg UK)")</f>
        <v/>
      </c>
      <c r="T165" s="17">
        <f>INDEX('3_UK_L1_Input'!$C$4:$C$14,MATCH($C165,'3_UK_L1_Input'!$A$4:$A$14,0))</f>
        <v/>
      </c>
      <c r="U165" s="17">
        <f>INDEX('3_UK_L1_Input'!$C$4:$C$14,MATCH($C165,'3_UK_L1_Input'!$A$4:$A$14,0))*P165</f>
        <v/>
      </c>
      <c r="V165" s="15">
        <f>INDEX('5_UK_DefaultRisk_Input'!$D$5:$D$15,MATCH($C165,'5_UK_DefaultRisk_Input'!$A$5:$A$15,0))</f>
        <v/>
      </c>
      <c r="W165" s="15">
        <f>INDEX('5_UK_DefaultRisk_Input'!$D$20:$D$44,MATCH($E165,'5_UK_DefaultRisk_Input'!$A$20:$A$44,0))</f>
        <v/>
      </c>
      <c r="X165" s="15">
        <f>INDEX('5_UK_DefaultRisk_Input'!$D$49:$D$122,MATCH($D165,'5_UK_DefaultRisk_Input'!$A$49:$A$122,0))</f>
        <v/>
      </c>
      <c r="Y165" s="15">
        <f>INDEX('5_UK_DefaultRisk_Input'!$D$127:$D$289,MATCH($A165,'5_UK_DefaultRisk_Input'!$A$127:$A$289,0))</f>
        <v/>
      </c>
      <c r="Z165" s="16">
        <f>(W165/V165)*(X165/W165)*(Y165/X165)</f>
        <v/>
      </c>
      <c r="AA165" s="17">
        <f>INDEX('3_UK_L1_Input'!$D$4:$D$14,MATCH($C165,'3_UK_L1_Input'!$A$4:$A$14,0))*Z165</f>
        <v/>
      </c>
    </row>
  </sheetData>
  <mergeCells count="1">
    <mergeCell ref="A1:AA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9"/>
  <sheetViews>
    <sheetView showGridLines="0" workbookViewId="0">
      <pane ySplit="1" topLeftCell="A2" activePane="bottomLeft" state="frozen"/>
      <selection pane="bottomLeft" activeCell="A1" sqref="A1"/>
    </sheetView>
  </sheetViews>
  <sheetFormatPr baseColWidth="8" defaultRowHeight="15" outlineLevelCol="0"/>
  <cols>
    <col width="10" customWidth="1" min="1" max="1"/>
    <col width="24" customWidth="1" min="2" max="2"/>
    <col width="14" customWidth="1" min="3" max="3"/>
    <col width="14" customWidth="1" min="4" max="4"/>
    <col width="12" customWidth="1" min="5" max="5"/>
    <col width="10" customWidth="1" min="6" max="6"/>
  </cols>
  <sheetData>
    <row r="1" ht="18" customHeight="1">
      <c r="A1" s="20" t="inlineStr">
        <is>
          <t>BLOCK 1 — Revenue, flat pass-through (should reconstruct the L1 input EXACTLY, no weighting)</t>
        </is>
      </c>
    </row>
    <row r="2">
      <c r="A2" s="6" t="inlineStr">
        <is>
          <t>Sector Code</t>
        </is>
      </c>
      <c r="B2" s="6" t="inlineStr">
        <is>
          <t>GICS Sector</t>
        </is>
      </c>
      <c r="C2" s="6" t="inlineStr">
        <is>
          <t>L1 Input</t>
        </is>
      </c>
      <c r="D2" s="6" t="inlineStr">
        <is>
          <t>Reconstructed</t>
        </is>
      </c>
      <c r="E2" s="6" t="inlineStr">
        <is>
          <t>Variance</t>
        </is>
      </c>
      <c r="F2" s="6" t="inlineStr">
        <is>
          <t>n (used)</t>
        </is>
      </c>
    </row>
    <row r="3">
      <c r="A3" s="7" t="n">
        <v>10</v>
      </c>
      <c r="B3" s="7" t="inlineStr">
        <is>
          <t>Energy</t>
        </is>
      </c>
      <c r="C3" s="21">
        <f>'3_UK_L1_Input'!C4</f>
        <v/>
      </c>
      <c r="D3" s="17">
        <f>AVERAGEIF('6_Cascade_Engine'!$C$3:$C$165,A3,'6_Cascade_Engine'!$T$3:$T$165)</f>
        <v/>
      </c>
      <c r="E3" s="22">
        <f>D3-C3</f>
        <v/>
      </c>
      <c r="F3" s="7">
        <f>COUNTIF('6_Cascade_Engine'!$C$3:$C$165,A3)</f>
        <v/>
      </c>
    </row>
    <row r="4">
      <c r="A4" s="7" t="n">
        <v>15</v>
      </c>
      <c r="B4" s="7" t="inlineStr">
        <is>
          <t>Materials</t>
        </is>
      </c>
      <c r="C4" s="21">
        <f>'3_UK_L1_Input'!C5</f>
        <v/>
      </c>
      <c r="D4" s="17">
        <f>AVERAGEIF('6_Cascade_Engine'!$C$3:$C$165,A4,'6_Cascade_Engine'!$T$3:$T$165)</f>
        <v/>
      </c>
      <c r="E4" s="22">
        <f>D4-C4</f>
        <v/>
      </c>
      <c r="F4" s="7">
        <f>COUNTIF('6_Cascade_Engine'!$C$3:$C$165,A4)</f>
        <v/>
      </c>
    </row>
    <row r="5">
      <c r="A5" s="7" t="n">
        <v>20</v>
      </c>
      <c r="B5" s="7" t="inlineStr">
        <is>
          <t>Industrials</t>
        </is>
      </c>
      <c r="C5" s="21">
        <f>'3_UK_L1_Input'!C6</f>
        <v/>
      </c>
      <c r="D5" s="17">
        <f>AVERAGEIF('6_Cascade_Engine'!$C$3:$C$165,A5,'6_Cascade_Engine'!$T$3:$T$165)</f>
        <v/>
      </c>
      <c r="E5" s="22">
        <f>D5-C5</f>
        <v/>
      </c>
      <c r="F5" s="7">
        <f>COUNTIF('6_Cascade_Engine'!$C$3:$C$165,A5)</f>
        <v/>
      </c>
    </row>
    <row r="6">
      <c r="A6" s="7" t="n">
        <v>25</v>
      </c>
      <c r="B6" s="7" t="inlineStr">
        <is>
          <t>Consumer Discretionary</t>
        </is>
      </c>
      <c r="C6" s="21">
        <f>'3_UK_L1_Input'!C7</f>
        <v/>
      </c>
      <c r="D6" s="17">
        <f>AVERAGEIF('6_Cascade_Engine'!$C$3:$C$165,A6,'6_Cascade_Engine'!$T$3:$T$165)</f>
        <v/>
      </c>
      <c r="E6" s="22">
        <f>D6-C6</f>
        <v/>
      </c>
      <c r="F6" s="7">
        <f>COUNTIF('6_Cascade_Engine'!$C$3:$C$165,A6)</f>
        <v/>
      </c>
    </row>
    <row r="7">
      <c r="A7" s="7" t="n">
        <v>30</v>
      </c>
      <c r="B7" s="7" t="inlineStr">
        <is>
          <t>Consumer Staples</t>
        </is>
      </c>
      <c r="C7" s="21">
        <f>'3_UK_L1_Input'!C8</f>
        <v/>
      </c>
      <c r="D7" s="17">
        <f>AVERAGEIF('6_Cascade_Engine'!$C$3:$C$165,A7,'6_Cascade_Engine'!$T$3:$T$165)</f>
        <v/>
      </c>
      <c r="E7" s="22">
        <f>D7-C7</f>
        <v/>
      </c>
      <c r="F7" s="7">
        <f>COUNTIF('6_Cascade_Engine'!$C$3:$C$165,A7)</f>
        <v/>
      </c>
    </row>
    <row r="8">
      <c r="A8" s="7" t="n">
        <v>35</v>
      </c>
      <c r="B8" s="7" t="inlineStr">
        <is>
          <t>Health Care</t>
        </is>
      </c>
      <c r="C8" s="21">
        <f>'3_UK_L1_Input'!C9</f>
        <v/>
      </c>
      <c r="D8" s="17">
        <f>AVERAGEIF('6_Cascade_Engine'!$C$3:$C$165,A8,'6_Cascade_Engine'!$T$3:$T$165)</f>
        <v/>
      </c>
      <c r="E8" s="22">
        <f>D8-C8</f>
        <v/>
      </c>
      <c r="F8" s="7">
        <f>COUNTIF('6_Cascade_Engine'!$C$3:$C$165,A8)</f>
        <v/>
      </c>
    </row>
    <row r="9">
      <c r="A9" s="7" t="n">
        <v>40</v>
      </c>
      <c r="B9" s="7" t="inlineStr">
        <is>
          <t>Financials</t>
        </is>
      </c>
      <c r="C9" s="21">
        <f>'3_UK_L1_Input'!C10</f>
        <v/>
      </c>
      <c r="D9" s="17">
        <f>AVERAGEIF('6_Cascade_Engine'!$C$3:$C$165,A9,'6_Cascade_Engine'!$T$3:$T$165)</f>
        <v/>
      </c>
      <c r="E9" s="22">
        <f>D9-C9</f>
        <v/>
      </c>
      <c r="F9" s="7">
        <f>COUNTIF('6_Cascade_Engine'!$C$3:$C$165,A9)</f>
        <v/>
      </c>
    </row>
    <row r="10">
      <c r="A10" s="7" t="n">
        <v>45</v>
      </c>
      <c r="B10" s="7" t="inlineStr">
        <is>
          <t>Information Technology</t>
        </is>
      </c>
      <c r="C10" s="21">
        <f>'3_UK_L1_Input'!C11</f>
        <v/>
      </c>
      <c r="D10" s="17">
        <f>AVERAGEIF('6_Cascade_Engine'!$C$3:$C$165,A10,'6_Cascade_Engine'!$T$3:$T$165)</f>
        <v/>
      </c>
      <c r="E10" s="22">
        <f>D10-C10</f>
        <v/>
      </c>
      <c r="F10" s="7">
        <f>COUNTIF('6_Cascade_Engine'!$C$3:$C$165,A10)</f>
        <v/>
      </c>
    </row>
    <row r="11">
      <c r="A11" s="7" t="n">
        <v>50</v>
      </c>
      <c r="B11" s="7" t="inlineStr">
        <is>
          <t>Communication Services</t>
        </is>
      </c>
      <c r="C11" s="21">
        <f>'3_UK_L1_Input'!C12</f>
        <v/>
      </c>
      <c r="D11" s="17">
        <f>AVERAGEIF('6_Cascade_Engine'!$C$3:$C$165,A11,'6_Cascade_Engine'!$T$3:$T$165)</f>
        <v/>
      </c>
      <c r="E11" s="22">
        <f>D11-C11</f>
        <v/>
      </c>
      <c r="F11" s="7">
        <f>COUNTIF('6_Cascade_Engine'!$C$3:$C$165,A11)</f>
        <v/>
      </c>
    </row>
    <row r="12">
      <c r="A12" s="7" t="n">
        <v>55</v>
      </c>
      <c r="B12" s="7" t="inlineStr">
        <is>
          <t>Utilities</t>
        </is>
      </c>
      <c r="C12" s="21">
        <f>'3_UK_L1_Input'!C13</f>
        <v/>
      </c>
      <c r="D12" s="17">
        <f>AVERAGEIF('6_Cascade_Engine'!$C$3:$C$165,A12,'6_Cascade_Engine'!$T$3:$T$165)</f>
        <v/>
      </c>
      <c r="E12" s="22">
        <f>D12-C12</f>
        <v/>
      </c>
      <c r="F12" s="7">
        <f>COUNTIF('6_Cascade_Engine'!$C$3:$C$165,A12)</f>
        <v/>
      </c>
    </row>
    <row r="13">
      <c r="A13" s="7" t="n">
        <v>60</v>
      </c>
      <c r="B13" s="7" t="inlineStr">
        <is>
          <t>Real Estate</t>
        </is>
      </c>
      <c r="C13" s="21">
        <f>'3_UK_L1_Input'!C14</f>
        <v/>
      </c>
      <c r="D13" s="17">
        <f>AVERAGEIF('6_Cascade_Engine'!$C$3:$C$165,A13,'6_Cascade_Engine'!$T$3:$T$165)</f>
        <v/>
      </c>
      <c r="E13" s="22">
        <f>D13-C13</f>
        <v/>
      </c>
      <c r="F13" s="7">
        <f>COUNTIF('6_Cascade_Engine'!$C$3:$C$165,A13)</f>
        <v/>
      </c>
    </row>
    <row r="15" ht="18" customHeight="1">
      <c r="A15" s="20" t="inlineStr">
        <is>
          <t>BLOCK 2 — Revenue, beta cascade (DUMMY betas — sanity-checks the FORMULA, not real magnitudes yet)</t>
        </is>
      </c>
    </row>
    <row r="16">
      <c r="A16" s="6" t="inlineStr">
        <is>
          <t>Sector Code</t>
        </is>
      </c>
      <c r="B16" s="6" t="inlineStr">
        <is>
          <t>GICS Sector</t>
        </is>
      </c>
      <c r="C16" s="6" t="inlineStr">
        <is>
          <t>L1 Input</t>
        </is>
      </c>
      <c r="D16" s="6" t="inlineStr">
        <is>
          <t>Reconstructed</t>
        </is>
      </c>
      <c r="E16" s="6" t="inlineStr">
        <is>
          <t>Variance</t>
        </is>
      </c>
      <c r="F16" s="6" t="inlineStr">
        <is>
          <t>n (used)</t>
        </is>
      </c>
    </row>
    <row r="17">
      <c r="A17" s="7" t="n">
        <v>10</v>
      </c>
      <c r="B17" s="7" t="inlineStr">
        <is>
          <t>Energy</t>
        </is>
      </c>
      <c r="C17" s="21">
        <f>'3_UK_L1_Input'!C4</f>
        <v/>
      </c>
      <c r="D17" s="17">
        <f>AVERAGEIF('6_Cascade_Engine'!$C$3:$C$165,A17,'6_Cascade_Engine'!$U$3:$U$165)</f>
        <v/>
      </c>
      <c r="E17" s="22">
        <f>D17-C17</f>
        <v/>
      </c>
      <c r="F17" s="7">
        <f>COUNTIF('6_Cascade_Engine'!$C$3:$C$165,A17)</f>
        <v/>
      </c>
    </row>
    <row r="18">
      <c r="A18" s="7" t="n">
        <v>15</v>
      </c>
      <c r="B18" s="7" t="inlineStr">
        <is>
          <t>Materials</t>
        </is>
      </c>
      <c r="C18" s="21">
        <f>'3_UK_L1_Input'!C5</f>
        <v/>
      </c>
      <c r="D18" s="17">
        <f>AVERAGEIF('6_Cascade_Engine'!$C$3:$C$165,A18,'6_Cascade_Engine'!$U$3:$U$165)</f>
        <v/>
      </c>
      <c r="E18" s="22">
        <f>D18-C18</f>
        <v/>
      </c>
      <c r="F18" s="7">
        <f>COUNTIF('6_Cascade_Engine'!$C$3:$C$165,A18)</f>
        <v/>
      </c>
    </row>
    <row r="19">
      <c r="A19" s="7" t="n">
        <v>20</v>
      </c>
      <c r="B19" s="7" t="inlineStr">
        <is>
          <t>Industrials</t>
        </is>
      </c>
      <c r="C19" s="21">
        <f>'3_UK_L1_Input'!C6</f>
        <v/>
      </c>
      <c r="D19" s="17">
        <f>AVERAGEIF('6_Cascade_Engine'!$C$3:$C$165,A19,'6_Cascade_Engine'!$U$3:$U$165)</f>
        <v/>
      </c>
      <c r="E19" s="22">
        <f>D19-C19</f>
        <v/>
      </c>
      <c r="F19" s="7">
        <f>COUNTIF('6_Cascade_Engine'!$C$3:$C$165,A19)</f>
        <v/>
      </c>
    </row>
    <row r="20">
      <c r="A20" s="7" t="n">
        <v>25</v>
      </c>
      <c r="B20" s="7" t="inlineStr">
        <is>
          <t>Consumer Discretionary</t>
        </is>
      </c>
      <c r="C20" s="21">
        <f>'3_UK_L1_Input'!C7</f>
        <v/>
      </c>
      <c r="D20" s="17">
        <f>AVERAGEIF('6_Cascade_Engine'!$C$3:$C$165,A20,'6_Cascade_Engine'!$U$3:$U$165)</f>
        <v/>
      </c>
      <c r="E20" s="22">
        <f>D20-C20</f>
        <v/>
      </c>
      <c r="F20" s="7">
        <f>COUNTIF('6_Cascade_Engine'!$C$3:$C$165,A20)</f>
        <v/>
      </c>
    </row>
    <row r="21">
      <c r="A21" s="7" t="n">
        <v>30</v>
      </c>
      <c r="B21" s="7" t="inlineStr">
        <is>
          <t>Consumer Staples</t>
        </is>
      </c>
      <c r="C21" s="21">
        <f>'3_UK_L1_Input'!C8</f>
        <v/>
      </c>
      <c r="D21" s="17">
        <f>AVERAGEIF('6_Cascade_Engine'!$C$3:$C$165,A21,'6_Cascade_Engine'!$U$3:$U$165)</f>
        <v/>
      </c>
      <c r="E21" s="22">
        <f>D21-C21</f>
        <v/>
      </c>
      <c r="F21" s="7">
        <f>COUNTIF('6_Cascade_Engine'!$C$3:$C$165,A21)</f>
        <v/>
      </c>
    </row>
    <row r="22">
      <c r="A22" s="7" t="n">
        <v>35</v>
      </c>
      <c r="B22" s="7" t="inlineStr">
        <is>
          <t>Health Care</t>
        </is>
      </c>
      <c r="C22" s="21">
        <f>'3_UK_L1_Input'!C9</f>
        <v/>
      </c>
      <c r="D22" s="17">
        <f>AVERAGEIF('6_Cascade_Engine'!$C$3:$C$165,A22,'6_Cascade_Engine'!$U$3:$U$165)</f>
        <v/>
      </c>
      <c r="E22" s="22">
        <f>D22-C22</f>
        <v/>
      </c>
      <c r="F22" s="7">
        <f>COUNTIF('6_Cascade_Engine'!$C$3:$C$165,A22)</f>
        <v/>
      </c>
    </row>
    <row r="23">
      <c r="A23" s="7" t="n">
        <v>40</v>
      </c>
      <c r="B23" s="7" t="inlineStr">
        <is>
          <t>Financials</t>
        </is>
      </c>
      <c r="C23" s="21">
        <f>'3_UK_L1_Input'!C10</f>
        <v/>
      </c>
      <c r="D23" s="17">
        <f>AVERAGEIF('6_Cascade_Engine'!$C$3:$C$165,A23,'6_Cascade_Engine'!$U$3:$U$165)</f>
        <v/>
      </c>
      <c r="E23" s="22">
        <f>D23-C23</f>
        <v/>
      </c>
      <c r="F23" s="7">
        <f>COUNTIF('6_Cascade_Engine'!$C$3:$C$165,A23)</f>
        <v/>
      </c>
    </row>
    <row r="24">
      <c r="A24" s="7" t="n">
        <v>45</v>
      </c>
      <c r="B24" s="7" t="inlineStr">
        <is>
          <t>Information Technology</t>
        </is>
      </c>
      <c r="C24" s="21">
        <f>'3_UK_L1_Input'!C11</f>
        <v/>
      </c>
      <c r="D24" s="17">
        <f>AVERAGEIF('6_Cascade_Engine'!$C$3:$C$165,A24,'6_Cascade_Engine'!$U$3:$U$165)</f>
        <v/>
      </c>
      <c r="E24" s="22">
        <f>D24-C24</f>
        <v/>
      </c>
      <c r="F24" s="7">
        <f>COUNTIF('6_Cascade_Engine'!$C$3:$C$165,A24)</f>
        <v/>
      </c>
    </row>
    <row r="25">
      <c r="A25" s="7" t="n">
        <v>50</v>
      </c>
      <c r="B25" s="7" t="inlineStr">
        <is>
          <t>Communication Services</t>
        </is>
      </c>
      <c r="C25" s="21">
        <f>'3_UK_L1_Input'!C12</f>
        <v/>
      </c>
      <c r="D25" s="17">
        <f>AVERAGEIF('6_Cascade_Engine'!$C$3:$C$165,A25,'6_Cascade_Engine'!$U$3:$U$165)</f>
        <v/>
      </c>
      <c r="E25" s="22">
        <f>D25-C25</f>
        <v/>
      </c>
      <c r="F25" s="7">
        <f>COUNTIF('6_Cascade_Engine'!$C$3:$C$165,A25)</f>
        <v/>
      </c>
    </row>
    <row r="26">
      <c r="A26" s="7" t="n">
        <v>55</v>
      </c>
      <c r="B26" s="7" t="inlineStr">
        <is>
          <t>Utilities</t>
        </is>
      </c>
      <c r="C26" s="21">
        <f>'3_UK_L1_Input'!C13</f>
        <v/>
      </c>
      <c r="D26" s="17">
        <f>AVERAGEIF('6_Cascade_Engine'!$C$3:$C$165,A26,'6_Cascade_Engine'!$U$3:$U$165)</f>
        <v/>
      </c>
      <c r="E26" s="22">
        <f>D26-C26</f>
        <v/>
      </c>
      <c r="F26" s="7">
        <f>COUNTIF('6_Cascade_Engine'!$C$3:$C$165,A26)</f>
        <v/>
      </c>
    </row>
    <row r="27">
      <c r="A27" s="7" t="n">
        <v>60</v>
      </c>
      <c r="B27" s="7" t="inlineStr">
        <is>
          <t>Real Estate</t>
        </is>
      </c>
      <c r="C27" s="21">
        <f>'3_UK_L1_Input'!C14</f>
        <v/>
      </c>
      <c r="D27" s="17">
        <f>AVERAGEIF('6_Cascade_Engine'!$C$3:$C$165,A27,'6_Cascade_Engine'!$U$3:$U$165)</f>
        <v/>
      </c>
      <c r="E27" s="22">
        <f>D27-C27</f>
        <v/>
      </c>
      <c r="F27" s="7">
        <f>COUNTIF('6_Cascade_Engine'!$C$3:$C$165,A27)</f>
        <v/>
      </c>
    </row>
    <row r="29" ht="18" customHeight="1">
      <c r="A29" s="20" t="inlineStr">
        <is>
          <t>BLOCK 3 — EV/EBITDA, Revenue-Weighted basis (REAL rows only)</t>
        </is>
      </c>
    </row>
    <row r="30">
      <c r="A30" s="6" t="inlineStr">
        <is>
          <t>Sector Code</t>
        </is>
      </c>
      <c r="B30" s="6" t="inlineStr">
        <is>
          <t>GICS Sector</t>
        </is>
      </c>
      <c r="C30" s="6" t="inlineStr">
        <is>
          <t>L1 Input</t>
        </is>
      </c>
      <c r="D30" s="6" t="inlineStr">
        <is>
          <t>Reconstructed</t>
        </is>
      </c>
      <c r="E30" s="6" t="inlineStr">
        <is>
          <t>Variance</t>
        </is>
      </c>
      <c r="F30" s="6" t="inlineStr">
        <is>
          <t>n (used)</t>
        </is>
      </c>
    </row>
    <row r="31">
      <c r="A31" s="7" t="n">
        <v>10</v>
      </c>
      <c r="B31" s="7" t="inlineStr">
        <is>
          <t>Energy</t>
        </is>
      </c>
      <c r="C31" s="21">
        <f>'3_UK_L1_Input'!D4</f>
        <v/>
      </c>
      <c r="D31" s="17">
        <f>SUMPRODUCT(('6_Cascade_Engine'!$C$3:$C$165=A31)*('6_Cascade_Engine'!$S$3:$S$165="REAL (Bloomberg UK)")*'6_Cascade_Engine'!$F$3:$F$165*'6_Cascade_Engine'!$Q$3:$Q$165)/SUMPRODUCT(('6_Cascade_Engine'!$C$3:$C$165=A31)*('6_Cascade_Engine'!$S$3:$S$165="REAL (Bloomberg UK)")*'6_Cascade_Engine'!$F$3:$F$165)</f>
        <v/>
      </c>
      <c r="E31" s="22">
        <f>D31-C31</f>
        <v/>
      </c>
      <c r="F31" s="7">
        <f>SUMPRODUCT(('6_Cascade_Engine'!$C$3:$C$165=A31)*('6_Cascade_Engine'!$S$3:$S$165="REAL (Bloomberg UK)"))</f>
        <v/>
      </c>
    </row>
    <row r="32">
      <c r="A32" s="7" t="n">
        <v>15</v>
      </c>
      <c r="B32" s="7" t="inlineStr">
        <is>
          <t>Materials</t>
        </is>
      </c>
      <c r="C32" s="21">
        <f>'3_UK_L1_Input'!D5</f>
        <v/>
      </c>
      <c r="D32" s="17">
        <f>SUMPRODUCT(('6_Cascade_Engine'!$C$3:$C$165=A32)*('6_Cascade_Engine'!$S$3:$S$165="REAL (Bloomberg UK)")*'6_Cascade_Engine'!$F$3:$F$165*'6_Cascade_Engine'!$Q$3:$Q$165)/SUMPRODUCT(('6_Cascade_Engine'!$C$3:$C$165=A32)*('6_Cascade_Engine'!$S$3:$S$165="REAL (Bloomberg UK)")*'6_Cascade_Engine'!$F$3:$F$165)</f>
        <v/>
      </c>
      <c r="E32" s="22">
        <f>D32-C32</f>
        <v/>
      </c>
      <c r="F32" s="7">
        <f>SUMPRODUCT(('6_Cascade_Engine'!$C$3:$C$165=A32)*('6_Cascade_Engine'!$S$3:$S$165="REAL (Bloomberg UK)"))</f>
        <v/>
      </c>
    </row>
    <row r="33">
      <c r="A33" s="7" t="n">
        <v>20</v>
      </c>
      <c r="B33" s="7" t="inlineStr">
        <is>
          <t>Industrials</t>
        </is>
      </c>
      <c r="C33" s="21">
        <f>'3_UK_L1_Input'!D6</f>
        <v/>
      </c>
      <c r="D33" s="17">
        <f>SUMPRODUCT(('6_Cascade_Engine'!$C$3:$C$165=A33)*('6_Cascade_Engine'!$S$3:$S$165="REAL (Bloomberg UK)")*'6_Cascade_Engine'!$F$3:$F$165*'6_Cascade_Engine'!$Q$3:$Q$165)/SUMPRODUCT(('6_Cascade_Engine'!$C$3:$C$165=A33)*('6_Cascade_Engine'!$S$3:$S$165="REAL (Bloomberg UK)")*'6_Cascade_Engine'!$F$3:$F$165)</f>
        <v/>
      </c>
      <c r="E33" s="22">
        <f>D33-C33</f>
        <v/>
      </c>
      <c r="F33" s="7">
        <f>SUMPRODUCT(('6_Cascade_Engine'!$C$3:$C$165=A33)*('6_Cascade_Engine'!$S$3:$S$165="REAL (Bloomberg UK)"))</f>
        <v/>
      </c>
    </row>
    <row r="34">
      <c r="A34" s="7" t="n">
        <v>25</v>
      </c>
      <c r="B34" s="7" t="inlineStr">
        <is>
          <t>Consumer Discretionary</t>
        </is>
      </c>
      <c r="C34" s="21">
        <f>'3_UK_L1_Input'!D7</f>
        <v/>
      </c>
      <c r="D34" s="17">
        <f>SUMPRODUCT(('6_Cascade_Engine'!$C$3:$C$165=A34)*('6_Cascade_Engine'!$S$3:$S$165="REAL (Bloomberg UK)")*'6_Cascade_Engine'!$F$3:$F$165*'6_Cascade_Engine'!$Q$3:$Q$165)/SUMPRODUCT(('6_Cascade_Engine'!$C$3:$C$165=A34)*('6_Cascade_Engine'!$S$3:$S$165="REAL (Bloomberg UK)")*'6_Cascade_Engine'!$F$3:$F$165)</f>
        <v/>
      </c>
      <c r="E34" s="22">
        <f>D34-C34</f>
        <v/>
      </c>
      <c r="F34" s="7">
        <f>SUMPRODUCT(('6_Cascade_Engine'!$C$3:$C$165=A34)*('6_Cascade_Engine'!$S$3:$S$165="REAL (Bloomberg UK)"))</f>
        <v/>
      </c>
    </row>
    <row r="35">
      <c r="A35" s="7" t="n">
        <v>30</v>
      </c>
      <c r="B35" s="7" t="inlineStr">
        <is>
          <t>Consumer Staples</t>
        </is>
      </c>
      <c r="C35" s="21">
        <f>'3_UK_L1_Input'!D8</f>
        <v/>
      </c>
      <c r="D35" s="17">
        <f>SUMPRODUCT(('6_Cascade_Engine'!$C$3:$C$165=A35)*('6_Cascade_Engine'!$S$3:$S$165="REAL (Bloomberg UK)")*'6_Cascade_Engine'!$F$3:$F$165*'6_Cascade_Engine'!$Q$3:$Q$165)/SUMPRODUCT(('6_Cascade_Engine'!$C$3:$C$165=A35)*('6_Cascade_Engine'!$S$3:$S$165="REAL (Bloomberg UK)")*'6_Cascade_Engine'!$F$3:$F$165)</f>
        <v/>
      </c>
      <c r="E35" s="22">
        <f>D35-C35</f>
        <v/>
      </c>
      <c r="F35" s="7">
        <f>SUMPRODUCT(('6_Cascade_Engine'!$C$3:$C$165=A35)*('6_Cascade_Engine'!$S$3:$S$165="REAL (Bloomberg UK)"))</f>
        <v/>
      </c>
    </row>
    <row r="36">
      <c r="A36" s="7" t="n">
        <v>35</v>
      </c>
      <c r="B36" s="7" t="inlineStr">
        <is>
          <t>Health Care</t>
        </is>
      </c>
      <c r="C36" s="21">
        <f>'3_UK_L1_Input'!D9</f>
        <v/>
      </c>
      <c r="D36" s="17">
        <f>SUMPRODUCT(('6_Cascade_Engine'!$C$3:$C$165=A36)*('6_Cascade_Engine'!$S$3:$S$165="REAL (Bloomberg UK)")*'6_Cascade_Engine'!$F$3:$F$165*'6_Cascade_Engine'!$Q$3:$Q$165)/SUMPRODUCT(('6_Cascade_Engine'!$C$3:$C$165=A36)*('6_Cascade_Engine'!$S$3:$S$165="REAL (Bloomberg UK)")*'6_Cascade_Engine'!$F$3:$F$165)</f>
        <v/>
      </c>
      <c r="E36" s="22">
        <f>D36-C36</f>
        <v/>
      </c>
      <c r="F36" s="7">
        <f>SUMPRODUCT(('6_Cascade_Engine'!$C$3:$C$165=A36)*('6_Cascade_Engine'!$S$3:$S$165="REAL (Bloomberg UK)"))</f>
        <v/>
      </c>
    </row>
    <row r="37">
      <c r="A37" s="7" t="n">
        <v>40</v>
      </c>
      <c r="B37" s="7" t="inlineStr">
        <is>
          <t>Financials</t>
        </is>
      </c>
      <c r="C37" s="21">
        <f>'3_UK_L1_Input'!D10</f>
        <v/>
      </c>
      <c r="D37" s="17">
        <f>SUMPRODUCT(('6_Cascade_Engine'!$C$3:$C$165=A37)*('6_Cascade_Engine'!$S$3:$S$165="REAL (Bloomberg UK)")*'6_Cascade_Engine'!$F$3:$F$165*'6_Cascade_Engine'!$Q$3:$Q$165)/SUMPRODUCT(('6_Cascade_Engine'!$C$3:$C$165=A37)*('6_Cascade_Engine'!$S$3:$S$165="REAL (Bloomberg UK)")*'6_Cascade_Engine'!$F$3:$F$165)</f>
        <v/>
      </c>
      <c r="E37" s="22">
        <f>D37-C37</f>
        <v/>
      </c>
      <c r="F37" s="7">
        <f>SUMPRODUCT(('6_Cascade_Engine'!$C$3:$C$165=A37)*('6_Cascade_Engine'!$S$3:$S$165="REAL (Bloomberg UK)"))</f>
        <v/>
      </c>
    </row>
    <row r="38">
      <c r="A38" s="7" t="n">
        <v>45</v>
      </c>
      <c r="B38" s="7" t="inlineStr">
        <is>
          <t>Information Technology</t>
        </is>
      </c>
      <c r="C38" s="21">
        <f>'3_UK_L1_Input'!D11</f>
        <v/>
      </c>
      <c r="D38" s="17">
        <f>SUMPRODUCT(('6_Cascade_Engine'!$C$3:$C$165=A38)*('6_Cascade_Engine'!$S$3:$S$165="REAL (Bloomberg UK)")*'6_Cascade_Engine'!$F$3:$F$165*'6_Cascade_Engine'!$Q$3:$Q$165)/SUMPRODUCT(('6_Cascade_Engine'!$C$3:$C$165=A38)*('6_Cascade_Engine'!$S$3:$S$165="REAL (Bloomberg UK)")*'6_Cascade_Engine'!$F$3:$F$165)</f>
        <v/>
      </c>
      <c r="E38" s="22">
        <f>D38-C38</f>
        <v/>
      </c>
      <c r="F38" s="7">
        <f>SUMPRODUCT(('6_Cascade_Engine'!$C$3:$C$165=A38)*('6_Cascade_Engine'!$S$3:$S$165="REAL (Bloomberg UK)"))</f>
        <v/>
      </c>
    </row>
    <row r="39">
      <c r="A39" s="7" t="n">
        <v>50</v>
      </c>
      <c r="B39" s="7" t="inlineStr">
        <is>
          <t>Communication Services</t>
        </is>
      </c>
      <c r="C39" s="21">
        <f>'3_UK_L1_Input'!D12</f>
        <v/>
      </c>
      <c r="D39" s="17">
        <f>SUMPRODUCT(('6_Cascade_Engine'!$C$3:$C$165=A39)*('6_Cascade_Engine'!$S$3:$S$165="REAL (Bloomberg UK)")*'6_Cascade_Engine'!$F$3:$F$165*'6_Cascade_Engine'!$Q$3:$Q$165)/SUMPRODUCT(('6_Cascade_Engine'!$C$3:$C$165=A39)*('6_Cascade_Engine'!$S$3:$S$165="REAL (Bloomberg UK)")*'6_Cascade_Engine'!$F$3:$F$165)</f>
        <v/>
      </c>
      <c r="E39" s="22">
        <f>D39-C39</f>
        <v/>
      </c>
      <c r="F39" s="7">
        <f>SUMPRODUCT(('6_Cascade_Engine'!$C$3:$C$165=A39)*('6_Cascade_Engine'!$S$3:$S$165="REAL (Bloomberg UK)"))</f>
        <v/>
      </c>
    </row>
    <row r="40">
      <c r="A40" s="7" t="n">
        <v>55</v>
      </c>
      <c r="B40" s="7" t="inlineStr">
        <is>
          <t>Utilities</t>
        </is>
      </c>
      <c r="C40" s="21">
        <f>'3_UK_L1_Input'!D13</f>
        <v/>
      </c>
      <c r="D40" s="17">
        <f>SUMPRODUCT(('6_Cascade_Engine'!$C$3:$C$165=A40)*('6_Cascade_Engine'!$S$3:$S$165="REAL (Bloomberg UK)")*'6_Cascade_Engine'!$F$3:$F$165*'6_Cascade_Engine'!$Q$3:$Q$165)/SUMPRODUCT(('6_Cascade_Engine'!$C$3:$C$165=A40)*('6_Cascade_Engine'!$S$3:$S$165="REAL (Bloomberg UK)")*'6_Cascade_Engine'!$F$3:$F$165)</f>
        <v/>
      </c>
      <c r="E40" s="22">
        <f>D40-C40</f>
        <v/>
      </c>
      <c r="F40" s="7">
        <f>SUMPRODUCT(('6_Cascade_Engine'!$C$3:$C$165=A40)*('6_Cascade_Engine'!$S$3:$S$165="REAL (Bloomberg UK)"))</f>
        <v/>
      </c>
    </row>
    <row r="41">
      <c r="A41" s="7" t="n">
        <v>60</v>
      </c>
      <c r="B41" s="7" t="inlineStr">
        <is>
          <t>Real Estate</t>
        </is>
      </c>
      <c r="C41" s="21">
        <f>'3_UK_L1_Input'!D14</f>
        <v/>
      </c>
      <c r="D41" s="17">
        <f>SUMPRODUCT(('6_Cascade_Engine'!$C$3:$C$165=A41)*('6_Cascade_Engine'!$S$3:$S$165="REAL (Bloomberg UK)")*'6_Cascade_Engine'!$F$3:$F$165*'6_Cascade_Engine'!$Q$3:$Q$165)/SUMPRODUCT(('6_Cascade_Engine'!$C$3:$C$165=A41)*('6_Cascade_Engine'!$S$3:$S$165="REAL (Bloomberg UK)")*'6_Cascade_Engine'!$F$3:$F$165)</f>
        <v/>
      </c>
      <c r="E41" s="22">
        <f>D41-C41</f>
        <v/>
      </c>
      <c r="F41" s="7">
        <f>SUMPRODUCT(('6_Cascade_Engine'!$C$3:$C$165=A41)*('6_Cascade_Engine'!$S$3:$S$165="REAL (Bloomberg UK)"))</f>
        <v/>
      </c>
    </row>
    <row r="43" ht="18" customHeight="1">
      <c r="A43" s="20" t="inlineStr">
        <is>
          <t>BLOCK 4 — EV/EBITDA, Equal-Weighted basis (REAL rows only)</t>
        </is>
      </c>
    </row>
    <row r="44">
      <c r="A44" s="6" t="inlineStr">
        <is>
          <t>Sector Code</t>
        </is>
      </c>
      <c r="B44" s="6" t="inlineStr">
        <is>
          <t>GICS Sector</t>
        </is>
      </c>
      <c r="C44" s="6" t="inlineStr">
        <is>
          <t>L1 Input</t>
        </is>
      </c>
      <c r="D44" s="6" t="inlineStr">
        <is>
          <t>Reconstructed</t>
        </is>
      </c>
      <c r="E44" s="6" t="inlineStr">
        <is>
          <t>Variance</t>
        </is>
      </c>
      <c r="F44" s="6" t="inlineStr">
        <is>
          <t>n (used)</t>
        </is>
      </c>
    </row>
    <row r="45">
      <c r="A45" s="7" t="n">
        <v>10</v>
      </c>
      <c r="B45" s="7" t="inlineStr">
        <is>
          <t>Energy</t>
        </is>
      </c>
      <c r="C45" s="21">
        <f>'3_UK_L1_Input'!D4</f>
        <v/>
      </c>
      <c r="D45" s="17">
        <f>SUMPRODUCT(('6_Cascade_Engine'!$C$3:$C$165=A45)*('6_Cascade_Engine'!$S$3:$S$165="REAL (Bloomberg UK)")*'6_Cascade_Engine'!$R$3:$R$165)/SUMPRODUCT(('6_Cascade_Engine'!$C$3:$C$165=A45)*('6_Cascade_Engine'!$S$3:$S$165="REAL (Bloomberg UK)"))</f>
        <v/>
      </c>
      <c r="E45" s="22">
        <f>D45-C45</f>
        <v/>
      </c>
      <c r="F45" s="7">
        <f>SUMPRODUCT(('6_Cascade_Engine'!$C$3:$C$165=A45)*('6_Cascade_Engine'!$S$3:$S$165="REAL (Bloomberg UK)"))</f>
        <v/>
      </c>
    </row>
    <row r="46">
      <c r="A46" s="7" t="n">
        <v>15</v>
      </c>
      <c r="B46" s="7" t="inlineStr">
        <is>
          <t>Materials</t>
        </is>
      </c>
      <c r="C46" s="21">
        <f>'3_UK_L1_Input'!D5</f>
        <v/>
      </c>
      <c r="D46" s="17">
        <f>SUMPRODUCT(('6_Cascade_Engine'!$C$3:$C$165=A46)*('6_Cascade_Engine'!$S$3:$S$165="REAL (Bloomberg UK)")*'6_Cascade_Engine'!$R$3:$R$165)/SUMPRODUCT(('6_Cascade_Engine'!$C$3:$C$165=A46)*('6_Cascade_Engine'!$S$3:$S$165="REAL (Bloomberg UK)"))</f>
        <v/>
      </c>
      <c r="E46" s="22">
        <f>D46-C46</f>
        <v/>
      </c>
      <c r="F46" s="7">
        <f>SUMPRODUCT(('6_Cascade_Engine'!$C$3:$C$165=A46)*('6_Cascade_Engine'!$S$3:$S$165="REAL (Bloomberg UK)"))</f>
        <v/>
      </c>
    </row>
    <row r="47">
      <c r="A47" s="7" t="n">
        <v>20</v>
      </c>
      <c r="B47" s="7" t="inlineStr">
        <is>
          <t>Industrials</t>
        </is>
      </c>
      <c r="C47" s="21">
        <f>'3_UK_L1_Input'!D6</f>
        <v/>
      </c>
      <c r="D47" s="17">
        <f>SUMPRODUCT(('6_Cascade_Engine'!$C$3:$C$165=A47)*('6_Cascade_Engine'!$S$3:$S$165="REAL (Bloomberg UK)")*'6_Cascade_Engine'!$R$3:$R$165)/SUMPRODUCT(('6_Cascade_Engine'!$C$3:$C$165=A47)*('6_Cascade_Engine'!$S$3:$S$165="REAL (Bloomberg UK)"))</f>
        <v/>
      </c>
      <c r="E47" s="22">
        <f>D47-C47</f>
        <v/>
      </c>
      <c r="F47" s="7">
        <f>SUMPRODUCT(('6_Cascade_Engine'!$C$3:$C$165=A47)*('6_Cascade_Engine'!$S$3:$S$165="REAL (Bloomberg UK)"))</f>
        <v/>
      </c>
    </row>
    <row r="48">
      <c r="A48" s="7" t="n">
        <v>25</v>
      </c>
      <c r="B48" s="7" t="inlineStr">
        <is>
          <t>Consumer Discretionary</t>
        </is>
      </c>
      <c r="C48" s="21">
        <f>'3_UK_L1_Input'!D7</f>
        <v/>
      </c>
      <c r="D48" s="17">
        <f>SUMPRODUCT(('6_Cascade_Engine'!$C$3:$C$165=A48)*('6_Cascade_Engine'!$S$3:$S$165="REAL (Bloomberg UK)")*'6_Cascade_Engine'!$R$3:$R$165)/SUMPRODUCT(('6_Cascade_Engine'!$C$3:$C$165=A48)*('6_Cascade_Engine'!$S$3:$S$165="REAL (Bloomberg UK)"))</f>
        <v/>
      </c>
      <c r="E48" s="22">
        <f>D48-C48</f>
        <v/>
      </c>
      <c r="F48" s="7">
        <f>SUMPRODUCT(('6_Cascade_Engine'!$C$3:$C$165=A48)*('6_Cascade_Engine'!$S$3:$S$165="REAL (Bloomberg UK)"))</f>
        <v/>
      </c>
    </row>
    <row r="49">
      <c r="A49" s="7" t="n">
        <v>30</v>
      </c>
      <c r="B49" s="7" t="inlineStr">
        <is>
          <t>Consumer Staples</t>
        </is>
      </c>
      <c r="C49" s="21">
        <f>'3_UK_L1_Input'!D8</f>
        <v/>
      </c>
      <c r="D49" s="17">
        <f>SUMPRODUCT(('6_Cascade_Engine'!$C$3:$C$165=A49)*('6_Cascade_Engine'!$S$3:$S$165="REAL (Bloomberg UK)")*'6_Cascade_Engine'!$R$3:$R$165)/SUMPRODUCT(('6_Cascade_Engine'!$C$3:$C$165=A49)*('6_Cascade_Engine'!$S$3:$S$165="REAL (Bloomberg UK)"))</f>
        <v/>
      </c>
      <c r="E49" s="22">
        <f>D49-C49</f>
        <v/>
      </c>
      <c r="F49" s="7">
        <f>SUMPRODUCT(('6_Cascade_Engine'!$C$3:$C$165=A49)*('6_Cascade_Engine'!$S$3:$S$165="REAL (Bloomberg UK)"))</f>
        <v/>
      </c>
    </row>
    <row r="50">
      <c r="A50" s="7" t="n">
        <v>35</v>
      </c>
      <c r="B50" s="7" t="inlineStr">
        <is>
          <t>Health Care</t>
        </is>
      </c>
      <c r="C50" s="21">
        <f>'3_UK_L1_Input'!D9</f>
        <v/>
      </c>
      <c r="D50" s="17">
        <f>SUMPRODUCT(('6_Cascade_Engine'!$C$3:$C$165=A50)*('6_Cascade_Engine'!$S$3:$S$165="REAL (Bloomberg UK)")*'6_Cascade_Engine'!$R$3:$R$165)/SUMPRODUCT(('6_Cascade_Engine'!$C$3:$C$165=A50)*('6_Cascade_Engine'!$S$3:$S$165="REAL (Bloomberg UK)"))</f>
        <v/>
      </c>
      <c r="E50" s="22">
        <f>D50-C50</f>
        <v/>
      </c>
      <c r="F50" s="7">
        <f>SUMPRODUCT(('6_Cascade_Engine'!$C$3:$C$165=A50)*('6_Cascade_Engine'!$S$3:$S$165="REAL (Bloomberg UK)"))</f>
        <v/>
      </c>
    </row>
    <row r="51">
      <c r="A51" s="7" t="n">
        <v>40</v>
      </c>
      <c r="B51" s="7" t="inlineStr">
        <is>
          <t>Financials</t>
        </is>
      </c>
      <c r="C51" s="21">
        <f>'3_UK_L1_Input'!D10</f>
        <v/>
      </c>
      <c r="D51" s="17">
        <f>SUMPRODUCT(('6_Cascade_Engine'!$C$3:$C$165=A51)*('6_Cascade_Engine'!$S$3:$S$165="REAL (Bloomberg UK)")*'6_Cascade_Engine'!$R$3:$R$165)/SUMPRODUCT(('6_Cascade_Engine'!$C$3:$C$165=A51)*('6_Cascade_Engine'!$S$3:$S$165="REAL (Bloomberg UK)"))</f>
        <v/>
      </c>
      <c r="E51" s="22">
        <f>D51-C51</f>
        <v/>
      </c>
      <c r="F51" s="7">
        <f>SUMPRODUCT(('6_Cascade_Engine'!$C$3:$C$165=A51)*('6_Cascade_Engine'!$S$3:$S$165="REAL (Bloomberg UK)"))</f>
        <v/>
      </c>
    </row>
    <row r="52">
      <c r="A52" s="7" t="n">
        <v>45</v>
      </c>
      <c r="B52" s="7" t="inlineStr">
        <is>
          <t>Information Technology</t>
        </is>
      </c>
      <c r="C52" s="21">
        <f>'3_UK_L1_Input'!D11</f>
        <v/>
      </c>
      <c r="D52" s="17">
        <f>SUMPRODUCT(('6_Cascade_Engine'!$C$3:$C$165=A52)*('6_Cascade_Engine'!$S$3:$S$165="REAL (Bloomberg UK)")*'6_Cascade_Engine'!$R$3:$R$165)/SUMPRODUCT(('6_Cascade_Engine'!$C$3:$C$165=A52)*('6_Cascade_Engine'!$S$3:$S$165="REAL (Bloomberg UK)"))</f>
        <v/>
      </c>
      <c r="E52" s="22">
        <f>D52-C52</f>
        <v/>
      </c>
      <c r="F52" s="7">
        <f>SUMPRODUCT(('6_Cascade_Engine'!$C$3:$C$165=A52)*('6_Cascade_Engine'!$S$3:$S$165="REAL (Bloomberg UK)"))</f>
        <v/>
      </c>
    </row>
    <row r="53">
      <c r="A53" s="7" t="n">
        <v>50</v>
      </c>
      <c r="B53" s="7" t="inlineStr">
        <is>
          <t>Communication Services</t>
        </is>
      </c>
      <c r="C53" s="21">
        <f>'3_UK_L1_Input'!D12</f>
        <v/>
      </c>
      <c r="D53" s="17">
        <f>SUMPRODUCT(('6_Cascade_Engine'!$C$3:$C$165=A53)*('6_Cascade_Engine'!$S$3:$S$165="REAL (Bloomberg UK)")*'6_Cascade_Engine'!$R$3:$R$165)/SUMPRODUCT(('6_Cascade_Engine'!$C$3:$C$165=A53)*('6_Cascade_Engine'!$S$3:$S$165="REAL (Bloomberg UK)"))</f>
        <v/>
      </c>
      <c r="E53" s="22">
        <f>D53-C53</f>
        <v/>
      </c>
      <c r="F53" s="7">
        <f>SUMPRODUCT(('6_Cascade_Engine'!$C$3:$C$165=A53)*('6_Cascade_Engine'!$S$3:$S$165="REAL (Bloomberg UK)"))</f>
        <v/>
      </c>
    </row>
    <row r="54">
      <c r="A54" s="7" t="n">
        <v>55</v>
      </c>
      <c r="B54" s="7" t="inlineStr">
        <is>
          <t>Utilities</t>
        </is>
      </c>
      <c r="C54" s="21">
        <f>'3_UK_L1_Input'!D13</f>
        <v/>
      </c>
      <c r="D54" s="17">
        <f>SUMPRODUCT(('6_Cascade_Engine'!$C$3:$C$165=A54)*('6_Cascade_Engine'!$S$3:$S$165="REAL (Bloomberg UK)")*'6_Cascade_Engine'!$R$3:$R$165)/SUMPRODUCT(('6_Cascade_Engine'!$C$3:$C$165=A54)*('6_Cascade_Engine'!$S$3:$S$165="REAL (Bloomberg UK)"))</f>
        <v/>
      </c>
      <c r="E54" s="22">
        <f>D54-C54</f>
        <v/>
      </c>
      <c r="F54" s="7">
        <f>SUMPRODUCT(('6_Cascade_Engine'!$C$3:$C$165=A54)*('6_Cascade_Engine'!$S$3:$S$165="REAL (Bloomberg UK)"))</f>
        <v/>
      </c>
    </row>
    <row r="55">
      <c r="A55" s="7" t="n">
        <v>60</v>
      </c>
      <c r="B55" s="7" t="inlineStr">
        <is>
          <t>Real Estate</t>
        </is>
      </c>
      <c r="C55" s="21">
        <f>'3_UK_L1_Input'!D14</f>
        <v/>
      </c>
      <c r="D55" s="17">
        <f>SUMPRODUCT(('6_Cascade_Engine'!$C$3:$C$165=A55)*('6_Cascade_Engine'!$S$3:$S$165="REAL (Bloomberg UK)")*'6_Cascade_Engine'!$R$3:$R$165)/SUMPRODUCT(('6_Cascade_Engine'!$C$3:$C$165=A55)*('6_Cascade_Engine'!$S$3:$S$165="REAL (Bloomberg UK)"))</f>
        <v/>
      </c>
      <c r="E55" s="22">
        <f>D55-C55</f>
        <v/>
      </c>
      <c r="F55" s="7">
        <f>SUMPRODUCT(('6_Cascade_Engine'!$C$3:$C$165=A55)*('6_Cascade_Engine'!$S$3:$S$165="REAL (Bloomberg UK)"))</f>
        <v/>
      </c>
    </row>
    <row r="57" ht="18" customHeight="1">
      <c r="A57" s="20" t="inlineStr">
        <is>
          <t>BLOCK 5 — EV/EBITDA, Spread cascade (DUMMY spreads — sanity-checks the FORMULA, not real magnitudes yet)</t>
        </is>
      </c>
    </row>
    <row r="58">
      <c r="A58" s="6" t="inlineStr">
        <is>
          <t>Sector Code</t>
        </is>
      </c>
      <c r="B58" s="6" t="inlineStr">
        <is>
          <t>GICS Sector</t>
        </is>
      </c>
      <c r="C58" s="6" t="inlineStr">
        <is>
          <t>L1 Input</t>
        </is>
      </c>
      <c r="D58" s="6" t="inlineStr">
        <is>
          <t>Reconstructed</t>
        </is>
      </c>
      <c r="E58" s="6" t="inlineStr">
        <is>
          <t>Variance</t>
        </is>
      </c>
      <c r="F58" s="6" t="inlineStr">
        <is>
          <t>n (used)</t>
        </is>
      </c>
    </row>
    <row r="59">
      <c r="A59" s="7" t="n">
        <v>10</v>
      </c>
      <c r="B59" s="7" t="inlineStr">
        <is>
          <t>Energy</t>
        </is>
      </c>
      <c r="C59" s="21">
        <f>'3_UK_L1_Input'!D4</f>
        <v/>
      </c>
      <c r="D59" s="17">
        <f>AVERAGEIF('6_Cascade_Engine'!$C$3:$C$165,A59,'6_Cascade_Engine'!$AA$3:$AA$165)</f>
        <v/>
      </c>
      <c r="E59" s="22">
        <f>D59-C59</f>
        <v/>
      </c>
      <c r="F59" s="7">
        <f>COUNTIF('6_Cascade_Engine'!$C$3:$C$165,A59)</f>
        <v/>
      </c>
    </row>
    <row r="60">
      <c r="A60" s="7" t="n">
        <v>15</v>
      </c>
      <c r="B60" s="7" t="inlineStr">
        <is>
          <t>Materials</t>
        </is>
      </c>
      <c r="C60" s="21">
        <f>'3_UK_L1_Input'!D5</f>
        <v/>
      </c>
      <c r="D60" s="17">
        <f>AVERAGEIF('6_Cascade_Engine'!$C$3:$C$165,A60,'6_Cascade_Engine'!$AA$3:$AA$165)</f>
        <v/>
      </c>
      <c r="E60" s="22">
        <f>D60-C60</f>
        <v/>
      </c>
      <c r="F60" s="7">
        <f>COUNTIF('6_Cascade_Engine'!$C$3:$C$165,A60)</f>
        <v/>
      </c>
    </row>
    <row r="61">
      <c r="A61" s="7" t="n">
        <v>20</v>
      </c>
      <c r="B61" s="7" t="inlineStr">
        <is>
          <t>Industrials</t>
        </is>
      </c>
      <c r="C61" s="21">
        <f>'3_UK_L1_Input'!D6</f>
        <v/>
      </c>
      <c r="D61" s="17">
        <f>AVERAGEIF('6_Cascade_Engine'!$C$3:$C$165,A61,'6_Cascade_Engine'!$AA$3:$AA$165)</f>
        <v/>
      </c>
      <c r="E61" s="22">
        <f>D61-C61</f>
        <v/>
      </c>
      <c r="F61" s="7">
        <f>COUNTIF('6_Cascade_Engine'!$C$3:$C$165,A61)</f>
        <v/>
      </c>
    </row>
    <row r="62">
      <c r="A62" s="7" t="n">
        <v>25</v>
      </c>
      <c r="B62" s="7" t="inlineStr">
        <is>
          <t>Consumer Discretionary</t>
        </is>
      </c>
      <c r="C62" s="21">
        <f>'3_UK_L1_Input'!D7</f>
        <v/>
      </c>
      <c r="D62" s="17">
        <f>AVERAGEIF('6_Cascade_Engine'!$C$3:$C$165,A62,'6_Cascade_Engine'!$AA$3:$AA$165)</f>
        <v/>
      </c>
      <c r="E62" s="22">
        <f>D62-C62</f>
        <v/>
      </c>
      <c r="F62" s="7">
        <f>COUNTIF('6_Cascade_Engine'!$C$3:$C$165,A62)</f>
        <v/>
      </c>
    </row>
    <row r="63">
      <c r="A63" s="7" t="n">
        <v>30</v>
      </c>
      <c r="B63" s="7" t="inlineStr">
        <is>
          <t>Consumer Staples</t>
        </is>
      </c>
      <c r="C63" s="21">
        <f>'3_UK_L1_Input'!D8</f>
        <v/>
      </c>
      <c r="D63" s="17">
        <f>AVERAGEIF('6_Cascade_Engine'!$C$3:$C$165,A63,'6_Cascade_Engine'!$AA$3:$AA$165)</f>
        <v/>
      </c>
      <c r="E63" s="22">
        <f>D63-C63</f>
        <v/>
      </c>
      <c r="F63" s="7">
        <f>COUNTIF('6_Cascade_Engine'!$C$3:$C$165,A63)</f>
        <v/>
      </c>
    </row>
    <row r="64">
      <c r="A64" s="7" t="n">
        <v>35</v>
      </c>
      <c r="B64" s="7" t="inlineStr">
        <is>
          <t>Health Care</t>
        </is>
      </c>
      <c r="C64" s="21">
        <f>'3_UK_L1_Input'!D9</f>
        <v/>
      </c>
      <c r="D64" s="17">
        <f>AVERAGEIF('6_Cascade_Engine'!$C$3:$C$165,A64,'6_Cascade_Engine'!$AA$3:$AA$165)</f>
        <v/>
      </c>
      <c r="E64" s="22">
        <f>D64-C64</f>
        <v/>
      </c>
      <c r="F64" s="7">
        <f>COUNTIF('6_Cascade_Engine'!$C$3:$C$165,A64)</f>
        <v/>
      </c>
    </row>
    <row r="65">
      <c r="A65" s="7" t="n">
        <v>40</v>
      </c>
      <c r="B65" s="7" t="inlineStr">
        <is>
          <t>Financials</t>
        </is>
      </c>
      <c r="C65" s="21">
        <f>'3_UK_L1_Input'!D10</f>
        <v/>
      </c>
      <c r="D65" s="17">
        <f>AVERAGEIF('6_Cascade_Engine'!$C$3:$C$165,A65,'6_Cascade_Engine'!$AA$3:$AA$165)</f>
        <v/>
      </c>
      <c r="E65" s="22">
        <f>D65-C65</f>
        <v/>
      </c>
      <c r="F65" s="7">
        <f>COUNTIF('6_Cascade_Engine'!$C$3:$C$165,A65)</f>
        <v/>
      </c>
    </row>
    <row r="66">
      <c r="A66" s="7" t="n">
        <v>45</v>
      </c>
      <c r="B66" s="7" t="inlineStr">
        <is>
          <t>Information Technology</t>
        </is>
      </c>
      <c r="C66" s="21">
        <f>'3_UK_L1_Input'!D11</f>
        <v/>
      </c>
      <c r="D66" s="17">
        <f>AVERAGEIF('6_Cascade_Engine'!$C$3:$C$165,A66,'6_Cascade_Engine'!$AA$3:$AA$165)</f>
        <v/>
      </c>
      <c r="E66" s="22">
        <f>D66-C66</f>
        <v/>
      </c>
      <c r="F66" s="7">
        <f>COUNTIF('6_Cascade_Engine'!$C$3:$C$165,A66)</f>
        <v/>
      </c>
    </row>
    <row r="67">
      <c r="A67" s="7" t="n">
        <v>50</v>
      </c>
      <c r="B67" s="7" t="inlineStr">
        <is>
          <t>Communication Services</t>
        </is>
      </c>
      <c r="C67" s="21">
        <f>'3_UK_L1_Input'!D12</f>
        <v/>
      </c>
      <c r="D67" s="17">
        <f>AVERAGEIF('6_Cascade_Engine'!$C$3:$C$165,A67,'6_Cascade_Engine'!$AA$3:$AA$165)</f>
        <v/>
      </c>
      <c r="E67" s="22">
        <f>D67-C67</f>
        <v/>
      </c>
      <c r="F67" s="7">
        <f>COUNTIF('6_Cascade_Engine'!$C$3:$C$165,A67)</f>
        <v/>
      </c>
    </row>
    <row r="68">
      <c r="A68" s="7" t="n">
        <v>55</v>
      </c>
      <c r="B68" s="7" t="inlineStr">
        <is>
          <t>Utilities</t>
        </is>
      </c>
      <c r="C68" s="21">
        <f>'3_UK_L1_Input'!D13</f>
        <v/>
      </c>
      <c r="D68" s="17">
        <f>AVERAGEIF('6_Cascade_Engine'!$C$3:$C$165,A68,'6_Cascade_Engine'!$AA$3:$AA$165)</f>
        <v/>
      </c>
      <c r="E68" s="22">
        <f>D68-C68</f>
        <v/>
      </c>
      <c r="F68" s="7">
        <f>COUNTIF('6_Cascade_Engine'!$C$3:$C$165,A68)</f>
        <v/>
      </c>
    </row>
    <row r="69">
      <c r="A69" s="7" t="n">
        <v>60</v>
      </c>
      <c r="B69" s="7" t="inlineStr">
        <is>
          <t>Real Estate</t>
        </is>
      </c>
      <c r="C69" s="21">
        <f>'3_UK_L1_Input'!D14</f>
        <v/>
      </c>
      <c r="D69" s="17">
        <f>AVERAGEIF('6_Cascade_Engine'!$C$3:$C$165,A69,'6_Cascade_Engine'!$AA$3:$AA$165)</f>
        <v/>
      </c>
      <c r="E69" s="22">
        <f>D69-C69</f>
        <v/>
      </c>
      <c r="F69" s="7">
        <f>COUNTIF('6_Cascade_Engine'!$C$3:$C$165,A69)</f>
        <v/>
      </c>
    </row>
  </sheetData>
  <mergeCells count="5">
    <mergeCell ref="A1:F1"/>
    <mergeCell ref="A15:F15"/>
    <mergeCell ref="A43:F43"/>
    <mergeCell ref="A29:F29"/>
    <mergeCell ref="A57:F5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5"/>
  <sheetViews>
    <sheetView showGridLines="0" workbookViewId="0">
      <pane ySplit="2" topLeftCell="A3" activePane="bottomLeft" state="frozen"/>
      <selection pane="bottomLeft" activeCell="A1" sqref="A1"/>
    </sheetView>
  </sheetViews>
  <sheetFormatPr baseColWidth="8" defaultRowHeight="15"/>
  <cols>
    <col width="12" customWidth="1" min="1" max="1"/>
    <col width="34" customWidth="1" min="2" max="2"/>
    <col width="10" customWidth="1" min="3" max="3"/>
    <col width="15" customWidth="1" min="4" max="4"/>
    <col width="15" customWidth="1" min="5" max="5"/>
    <col width="15" customWidth="1" min="6" max="6"/>
    <col width="15" customWidth="1" min="7" max="7"/>
    <col width="15" customWidth="1" min="8" max="8"/>
    <col width="26" customWidth="1" min="9" max="9"/>
  </cols>
  <sheetData>
    <row r="1">
      <c r="A1" t="inlineStr">
        <is>
          <t>STEP 8 — Clean output. VLOOKUP your loan tape's GICS Sub-Industry code against column A.</t>
        </is>
      </c>
    </row>
    <row r="2" ht="30" customHeight="1">
      <c r="A2" s="6" t="inlineStr">
        <is>
          <t>Sub-Ind Code</t>
        </is>
      </c>
      <c r="B2" s="6" t="inlineStr">
        <is>
          <t>Sub-Industry</t>
        </is>
      </c>
      <c r="C2" s="6" t="inlineStr">
        <is>
          <t>Sector</t>
        </is>
      </c>
      <c r="D2" s="6" t="inlineStr">
        <is>
          <t>Revenue Shock
(flat)</t>
        </is>
      </c>
      <c r="E2" s="6" t="inlineStr">
        <is>
          <t>Revenue Shock
(beta cascade)</t>
        </is>
      </c>
      <c r="F2" s="6" t="inlineStr">
        <is>
          <t>EV/EBITDA Shock
(Rev-Wtd basis)</t>
        </is>
      </c>
      <c r="G2" s="6" t="inlineStr">
        <is>
          <t>EV/EBITDA Shock
(Eq-Wtd basis)</t>
        </is>
      </c>
      <c r="H2" s="6" t="inlineStr">
        <is>
          <t>EV/EBITDA Shock
(Spread basis, dummy)</t>
        </is>
      </c>
      <c r="I2" s="6" t="inlineStr">
        <is>
          <t>EV/EBITDA Source</t>
        </is>
      </c>
    </row>
    <row r="3">
      <c r="A3" s="7">
        <f>'6_Cascade_Engine'!A3</f>
        <v/>
      </c>
      <c r="B3" s="7">
        <f>'6_Cascade_Engine'!B3</f>
        <v/>
      </c>
      <c r="C3" s="7">
        <f>'1_GICS_Structure'!B3</f>
        <v/>
      </c>
      <c r="D3" s="17">
        <f>'6_Cascade_Engine'!T3</f>
        <v/>
      </c>
      <c r="E3" s="17">
        <f>'6_Cascade_Engine'!U3</f>
        <v/>
      </c>
      <c r="F3" s="17">
        <f>'6_Cascade_Engine'!Q3</f>
        <v/>
      </c>
      <c r="G3" s="17">
        <f>'6_Cascade_Engine'!R3</f>
        <v/>
      </c>
      <c r="H3" s="17">
        <f>'6_Cascade_Engine'!AA3</f>
        <v/>
      </c>
      <c r="I3" s="7">
        <f>'6_Cascade_Engine'!S3</f>
        <v/>
      </c>
    </row>
    <row r="4">
      <c r="A4" s="7">
        <f>'6_Cascade_Engine'!A4</f>
        <v/>
      </c>
      <c r="B4" s="7">
        <f>'6_Cascade_Engine'!B4</f>
        <v/>
      </c>
      <c r="C4" s="7">
        <f>'1_GICS_Structure'!B4</f>
        <v/>
      </c>
      <c r="D4" s="17">
        <f>'6_Cascade_Engine'!T4</f>
        <v/>
      </c>
      <c r="E4" s="17">
        <f>'6_Cascade_Engine'!U4</f>
        <v/>
      </c>
      <c r="F4" s="17">
        <f>'6_Cascade_Engine'!Q4</f>
        <v/>
      </c>
      <c r="G4" s="17">
        <f>'6_Cascade_Engine'!R4</f>
        <v/>
      </c>
      <c r="H4" s="17">
        <f>'6_Cascade_Engine'!AA4</f>
        <v/>
      </c>
      <c r="I4" s="7">
        <f>'6_Cascade_Engine'!S4</f>
        <v/>
      </c>
    </row>
    <row r="5">
      <c r="A5" s="7">
        <f>'6_Cascade_Engine'!A5</f>
        <v/>
      </c>
      <c r="B5" s="7">
        <f>'6_Cascade_Engine'!B5</f>
        <v/>
      </c>
      <c r="C5" s="7">
        <f>'1_GICS_Structure'!B5</f>
        <v/>
      </c>
      <c r="D5" s="17">
        <f>'6_Cascade_Engine'!T5</f>
        <v/>
      </c>
      <c r="E5" s="17">
        <f>'6_Cascade_Engine'!U5</f>
        <v/>
      </c>
      <c r="F5" s="17">
        <f>'6_Cascade_Engine'!Q5</f>
        <v/>
      </c>
      <c r="G5" s="17">
        <f>'6_Cascade_Engine'!R5</f>
        <v/>
      </c>
      <c r="H5" s="17">
        <f>'6_Cascade_Engine'!AA5</f>
        <v/>
      </c>
      <c r="I5" s="7">
        <f>'6_Cascade_Engine'!S5</f>
        <v/>
      </c>
    </row>
    <row r="6">
      <c r="A6" s="7">
        <f>'6_Cascade_Engine'!A6</f>
        <v/>
      </c>
      <c r="B6" s="7">
        <f>'6_Cascade_Engine'!B6</f>
        <v/>
      </c>
      <c r="C6" s="7">
        <f>'1_GICS_Structure'!B6</f>
        <v/>
      </c>
      <c r="D6" s="17">
        <f>'6_Cascade_Engine'!T6</f>
        <v/>
      </c>
      <c r="E6" s="17">
        <f>'6_Cascade_Engine'!U6</f>
        <v/>
      </c>
      <c r="F6" s="17">
        <f>'6_Cascade_Engine'!Q6</f>
        <v/>
      </c>
      <c r="G6" s="17">
        <f>'6_Cascade_Engine'!R6</f>
        <v/>
      </c>
      <c r="H6" s="17">
        <f>'6_Cascade_Engine'!AA6</f>
        <v/>
      </c>
      <c r="I6" s="7">
        <f>'6_Cascade_Engine'!S6</f>
        <v/>
      </c>
    </row>
    <row r="7">
      <c r="A7" s="7">
        <f>'6_Cascade_Engine'!A7</f>
        <v/>
      </c>
      <c r="B7" s="7">
        <f>'6_Cascade_Engine'!B7</f>
        <v/>
      </c>
      <c r="C7" s="7">
        <f>'1_GICS_Structure'!B7</f>
        <v/>
      </c>
      <c r="D7" s="17">
        <f>'6_Cascade_Engine'!T7</f>
        <v/>
      </c>
      <c r="E7" s="17">
        <f>'6_Cascade_Engine'!U7</f>
        <v/>
      </c>
      <c r="F7" s="17">
        <f>'6_Cascade_Engine'!Q7</f>
        <v/>
      </c>
      <c r="G7" s="17">
        <f>'6_Cascade_Engine'!R7</f>
        <v/>
      </c>
      <c r="H7" s="17">
        <f>'6_Cascade_Engine'!AA7</f>
        <v/>
      </c>
      <c r="I7" s="7">
        <f>'6_Cascade_Engine'!S7</f>
        <v/>
      </c>
    </row>
    <row r="8">
      <c r="A8" s="7">
        <f>'6_Cascade_Engine'!A8</f>
        <v/>
      </c>
      <c r="B8" s="7">
        <f>'6_Cascade_Engine'!B8</f>
        <v/>
      </c>
      <c r="C8" s="7">
        <f>'1_GICS_Structure'!B8</f>
        <v/>
      </c>
      <c r="D8" s="17">
        <f>'6_Cascade_Engine'!T8</f>
        <v/>
      </c>
      <c r="E8" s="17">
        <f>'6_Cascade_Engine'!U8</f>
        <v/>
      </c>
      <c r="F8" s="17">
        <f>'6_Cascade_Engine'!Q8</f>
        <v/>
      </c>
      <c r="G8" s="17">
        <f>'6_Cascade_Engine'!R8</f>
        <v/>
      </c>
      <c r="H8" s="17">
        <f>'6_Cascade_Engine'!AA8</f>
        <v/>
      </c>
      <c r="I8" s="7">
        <f>'6_Cascade_Engine'!S8</f>
        <v/>
      </c>
    </row>
    <row r="9">
      <c r="A9" s="7">
        <f>'6_Cascade_Engine'!A9</f>
        <v/>
      </c>
      <c r="B9" s="7">
        <f>'6_Cascade_Engine'!B9</f>
        <v/>
      </c>
      <c r="C9" s="7">
        <f>'1_GICS_Structure'!B9</f>
        <v/>
      </c>
      <c r="D9" s="17">
        <f>'6_Cascade_Engine'!T9</f>
        <v/>
      </c>
      <c r="E9" s="17">
        <f>'6_Cascade_Engine'!U9</f>
        <v/>
      </c>
      <c r="F9" s="17">
        <f>'6_Cascade_Engine'!Q9</f>
        <v/>
      </c>
      <c r="G9" s="17">
        <f>'6_Cascade_Engine'!R9</f>
        <v/>
      </c>
      <c r="H9" s="17">
        <f>'6_Cascade_Engine'!AA9</f>
        <v/>
      </c>
      <c r="I9" s="7">
        <f>'6_Cascade_Engine'!S9</f>
        <v/>
      </c>
    </row>
    <row r="10">
      <c r="A10" s="7">
        <f>'6_Cascade_Engine'!A10</f>
        <v/>
      </c>
      <c r="B10" s="7">
        <f>'6_Cascade_Engine'!B10</f>
        <v/>
      </c>
      <c r="C10" s="7">
        <f>'1_GICS_Structure'!B10</f>
        <v/>
      </c>
      <c r="D10" s="17">
        <f>'6_Cascade_Engine'!T10</f>
        <v/>
      </c>
      <c r="E10" s="17">
        <f>'6_Cascade_Engine'!U10</f>
        <v/>
      </c>
      <c r="F10" s="17">
        <f>'6_Cascade_Engine'!Q10</f>
        <v/>
      </c>
      <c r="G10" s="17">
        <f>'6_Cascade_Engine'!R10</f>
        <v/>
      </c>
      <c r="H10" s="17">
        <f>'6_Cascade_Engine'!AA10</f>
        <v/>
      </c>
      <c r="I10" s="7">
        <f>'6_Cascade_Engine'!S10</f>
        <v/>
      </c>
    </row>
    <row r="11">
      <c r="A11" s="7">
        <f>'6_Cascade_Engine'!A11</f>
        <v/>
      </c>
      <c r="B11" s="7">
        <f>'6_Cascade_Engine'!B11</f>
        <v/>
      </c>
      <c r="C11" s="7">
        <f>'1_GICS_Structure'!B11</f>
        <v/>
      </c>
      <c r="D11" s="17">
        <f>'6_Cascade_Engine'!T11</f>
        <v/>
      </c>
      <c r="E11" s="17">
        <f>'6_Cascade_Engine'!U11</f>
        <v/>
      </c>
      <c r="F11" s="17">
        <f>'6_Cascade_Engine'!Q11</f>
        <v/>
      </c>
      <c r="G11" s="17">
        <f>'6_Cascade_Engine'!R11</f>
        <v/>
      </c>
      <c r="H11" s="17">
        <f>'6_Cascade_Engine'!AA11</f>
        <v/>
      </c>
      <c r="I11" s="7">
        <f>'6_Cascade_Engine'!S11</f>
        <v/>
      </c>
    </row>
    <row r="12">
      <c r="A12" s="7">
        <f>'6_Cascade_Engine'!A12</f>
        <v/>
      </c>
      <c r="B12" s="7">
        <f>'6_Cascade_Engine'!B12</f>
        <v/>
      </c>
      <c r="C12" s="7">
        <f>'1_GICS_Structure'!B12</f>
        <v/>
      </c>
      <c r="D12" s="17">
        <f>'6_Cascade_Engine'!T12</f>
        <v/>
      </c>
      <c r="E12" s="17">
        <f>'6_Cascade_Engine'!U12</f>
        <v/>
      </c>
      <c r="F12" s="17">
        <f>'6_Cascade_Engine'!Q12</f>
        <v/>
      </c>
      <c r="G12" s="17">
        <f>'6_Cascade_Engine'!R12</f>
        <v/>
      </c>
      <c r="H12" s="17">
        <f>'6_Cascade_Engine'!AA12</f>
        <v/>
      </c>
      <c r="I12" s="7">
        <f>'6_Cascade_Engine'!S12</f>
        <v/>
      </c>
    </row>
    <row r="13">
      <c r="A13" s="7">
        <f>'6_Cascade_Engine'!A13</f>
        <v/>
      </c>
      <c r="B13" s="7">
        <f>'6_Cascade_Engine'!B13</f>
        <v/>
      </c>
      <c r="C13" s="7">
        <f>'1_GICS_Structure'!B13</f>
        <v/>
      </c>
      <c r="D13" s="17">
        <f>'6_Cascade_Engine'!T13</f>
        <v/>
      </c>
      <c r="E13" s="17">
        <f>'6_Cascade_Engine'!U13</f>
        <v/>
      </c>
      <c r="F13" s="17">
        <f>'6_Cascade_Engine'!Q13</f>
        <v/>
      </c>
      <c r="G13" s="17">
        <f>'6_Cascade_Engine'!R13</f>
        <v/>
      </c>
      <c r="H13" s="17">
        <f>'6_Cascade_Engine'!AA13</f>
        <v/>
      </c>
      <c r="I13" s="7">
        <f>'6_Cascade_Engine'!S13</f>
        <v/>
      </c>
    </row>
    <row r="14">
      <c r="A14" s="7">
        <f>'6_Cascade_Engine'!A14</f>
        <v/>
      </c>
      <c r="B14" s="7">
        <f>'6_Cascade_Engine'!B14</f>
        <v/>
      </c>
      <c r="C14" s="7">
        <f>'1_GICS_Structure'!B14</f>
        <v/>
      </c>
      <c r="D14" s="17">
        <f>'6_Cascade_Engine'!T14</f>
        <v/>
      </c>
      <c r="E14" s="17">
        <f>'6_Cascade_Engine'!U14</f>
        <v/>
      </c>
      <c r="F14" s="17">
        <f>'6_Cascade_Engine'!Q14</f>
        <v/>
      </c>
      <c r="G14" s="17">
        <f>'6_Cascade_Engine'!R14</f>
        <v/>
      </c>
      <c r="H14" s="17">
        <f>'6_Cascade_Engine'!AA14</f>
        <v/>
      </c>
      <c r="I14" s="7">
        <f>'6_Cascade_Engine'!S14</f>
        <v/>
      </c>
    </row>
    <row r="15">
      <c r="A15" s="7">
        <f>'6_Cascade_Engine'!A15</f>
        <v/>
      </c>
      <c r="B15" s="7">
        <f>'6_Cascade_Engine'!B15</f>
        <v/>
      </c>
      <c r="C15" s="7">
        <f>'1_GICS_Structure'!B15</f>
        <v/>
      </c>
      <c r="D15" s="17">
        <f>'6_Cascade_Engine'!T15</f>
        <v/>
      </c>
      <c r="E15" s="17">
        <f>'6_Cascade_Engine'!U15</f>
        <v/>
      </c>
      <c r="F15" s="17">
        <f>'6_Cascade_Engine'!Q15</f>
        <v/>
      </c>
      <c r="G15" s="17">
        <f>'6_Cascade_Engine'!R15</f>
        <v/>
      </c>
      <c r="H15" s="17">
        <f>'6_Cascade_Engine'!AA15</f>
        <v/>
      </c>
      <c r="I15" s="7">
        <f>'6_Cascade_Engine'!S15</f>
        <v/>
      </c>
    </row>
    <row r="16">
      <c r="A16" s="7">
        <f>'6_Cascade_Engine'!A16</f>
        <v/>
      </c>
      <c r="B16" s="7">
        <f>'6_Cascade_Engine'!B16</f>
        <v/>
      </c>
      <c r="C16" s="7">
        <f>'1_GICS_Structure'!B16</f>
        <v/>
      </c>
      <c r="D16" s="17">
        <f>'6_Cascade_Engine'!T16</f>
        <v/>
      </c>
      <c r="E16" s="17">
        <f>'6_Cascade_Engine'!U16</f>
        <v/>
      </c>
      <c r="F16" s="17">
        <f>'6_Cascade_Engine'!Q16</f>
        <v/>
      </c>
      <c r="G16" s="17">
        <f>'6_Cascade_Engine'!R16</f>
        <v/>
      </c>
      <c r="H16" s="17">
        <f>'6_Cascade_Engine'!AA16</f>
        <v/>
      </c>
      <c r="I16" s="7">
        <f>'6_Cascade_Engine'!S16</f>
        <v/>
      </c>
    </row>
    <row r="17">
      <c r="A17" s="7">
        <f>'6_Cascade_Engine'!A17</f>
        <v/>
      </c>
      <c r="B17" s="7">
        <f>'6_Cascade_Engine'!B17</f>
        <v/>
      </c>
      <c r="C17" s="7">
        <f>'1_GICS_Structure'!B17</f>
        <v/>
      </c>
      <c r="D17" s="17">
        <f>'6_Cascade_Engine'!T17</f>
        <v/>
      </c>
      <c r="E17" s="17">
        <f>'6_Cascade_Engine'!U17</f>
        <v/>
      </c>
      <c r="F17" s="17">
        <f>'6_Cascade_Engine'!Q17</f>
        <v/>
      </c>
      <c r="G17" s="17">
        <f>'6_Cascade_Engine'!R17</f>
        <v/>
      </c>
      <c r="H17" s="17">
        <f>'6_Cascade_Engine'!AA17</f>
        <v/>
      </c>
      <c r="I17" s="7">
        <f>'6_Cascade_Engine'!S17</f>
        <v/>
      </c>
    </row>
    <row r="18">
      <c r="A18" s="7">
        <f>'6_Cascade_Engine'!A18</f>
        <v/>
      </c>
      <c r="B18" s="7">
        <f>'6_Cascade_Engine'!B18</f>
        <v/>
      </c>
      <c r="C18" s="7">
        <f>'1_GICS_Structure'!B18</f>
        <v/>
      </c>
      <c r="D18" s="17">
        <f>'6_Cascade_Engine'!T18</f>
        <v/>
      </c>
      <c r="E18" s="17">
        <f>'6_Cascade_Engine'!U18</f>
        <v/>
      </c>
      <c r="F18" s="17">
        <f>'6_Cascade_Engine'!Q18</f>
        <v/>
      </c>
      <c r="G18" s="17">
        <f>'6_Cascade_Engine'!R18</f>
        <v/>
      </c>
      <c r="H18" s="17">
        <f>'6_Cascade_Engine'!AA18</f>
        <v/>
      </c>
      <c r="I18" s="7">
        <f>'6_Cascade_Engine'!S18</f>
        <v/>
      </c>
    </row>
    <row r="19">
      <c r="A19" s="7">
        <f>'6_Cascade_Engine'!A19</f>
        <v/>
      </c>
      <c r="B19" s="7">
        <f>'6_Cascade_Engine'!B19</f>
        <v/>
      </c>
      <c r="C19" s="7">
        <f>'1_GICS_Structure'!B19</f>
        <v/>
      </c>
      <c r="D19" s="17">
        <f>'6_Cascade_Engine'!T19</f>
        <v/>
      </c>
      <c r="E19" s="17">
        <f>'6_Cascade_Engine'!U19</f>
        <v/>
      </c>
      <c r="F19" s="17">
        <f>'6_Cascade_Engine'!Q19</f>
        <v/>
      </c>
      <c r="G19" s="17">
        <f>'6_Cascade_Engine'!R19</f>
        <v/>
      </c>
      <c r="H19" s="17">
        <f>'6_Cascade_Engine'!AA19</f>
        <v/>
      </c>
      <c r="I19" s="7">
        <f>'6_Cascade_Engine'!S19</f>
        <v/>
      </c>
    </row>
    <row r="20">
      <c r="A20" s="7">
        <f>'6_Cascade_Engine'!A20</f>
        <v/>
      </c>
      <c r="B20" s="7">
        <f>'6_Cascade_Engine'!B20</f>
        <v/>
      </c>
      <c r="C20" s="7">
        <f>'1_GICS_Structure'!B20</f>
        <v/>
      </c>
      <c r="D20" s="17">
        <f>'6_Cascade_Engine'!T20</f>
        <v/>
      </c>
      <c r="E20" s="17">
        <f>'6_Cascade_Engine'!U20</f>
        <v/>
      </c>
      <c r="F20" s="17">
        <f>'6_Cascade_Engine'!Q20</f>
        <v/>
      </c>
      <c r="G20" s="17">
        <f>'6_Cascade_Engine'!R20</f>
        <v/>
      </c>
      <c r="H20" s="17">
        <f>'6_Cascade_Engine'!AA20</f>
        <v/>
      </c>
      <c r="I20" s="7">
        <f>'6_Cascade_Engine'!S20</f>
        <v/>
      </c>
    </row>
    <row r="21">
      <c r="A21" s="7">
        <f>'6_Cascade_Engine'!A21</f>
        <v/>
      </c>
      <c r="B21" s="7">
        <f>'6_Cascade_Engine'!B21</f>
        <v/>
      </c>
      <c r="C21" s="7">
        <f>'1_GICS_Structure'!B21</f>
        <v/>
      </c>
      <c r="D21" s="17">
        <f>'6_Cascade_Engine'!T21</f>
        <v/>
      </c>
      <c r="E21" s="17">
        <f>'6_Cascade_Engine'!U21</f>
        <v/>
      </c>
      <c r="F21" s="17">
        <f>'6_Cascade_Engine'!Q21</f>
        <v/>
      </c>
      <c r="G21" s="17">
        <f>'6_Cascade_Engine'!R21</f>
        <v/>
      </c>
      <c r="H21" s="17">
        <f>'6_Cascade_Engine'!AA21</f>
        <v/>
      </c>
      <c r="I21" s="7">
        <f>'6_Cascade_Engine'!S21</f>
        <v/>
      </c>
    </row>
    <row r="22">
      <c r="A22" s="7">
        <f>'6_Cascade_Engine'!A22</f>
        <v/>
      </c>
      <c r="B22" s="7">
        <f>'6_Cascade_Engine'!B22</f>
        <v/>
      </c>
      <c r="C22" s="7">
        <f>'1_GICS_Structure'!B22</f>
        <v/>
      </c>
      <c r="D22" s="17">
        <f>'6_Cascade_Engine'!T22</f>
        <v/>
      </c>
      <c r="E22" s="17">
        <f>'6_Cascade_Engine'!U22</f>
        <v/>
      </c>
      <c r="F22" s="17">
        <f>'6_Cascade_Engine'!Q22</f>
        <v/>
      </c>
      <c r="G22" s="17">
        <f>'6_Cascade_Engine'!R22</f>
        <v/>
      </c>
      <c r="H22" s="17">
        <f>'6_Cascade_Engine'!AA22</f>
        <v/>
      </c>
      <c r="I22" s="7">
        <f>'6_Cascade_Engine'!S22</f>
        <v/>
      </c>
    </row>
    <row r="23">
      <c r="A23" s="7">
        <f>'6_Cascade_Engine'!A23</f>
        <v/>
      </c>
      <c r="B23" s="7">
        <f>'6_Cascade_Engine'!B23</f>
        <v/>
      </c>
      <c r="C23" s="7">
        <f>'1_GICS_Structure'!B23</f>
        <v/>
      </c>
      <c r="D23" s="17">
        <f>'6_Cascade_Engine'!T23</f>
        <v/>
      </c>
      <c r="E23" s="17">
        <f>'6_Cascade_Engine'!U23</f>
        <v/>
      </c>
      <c r="F23" s="17">
        <f>'6_Cascade_Engine'!Q23</f>
        <v/>
      </c>
      <c r="G23" s="17">
        <f>'6_Cascade_Engine'!R23</f>
        <v/>
      </c>
      <c r="H23" s="17">
        <f>'6_Cascade_Engine'!AA23</f>
        <v/>
      </c>
      <c r="I23" s="7">
        <f>'6_Cascade_Engine'!S23</f>
        <v/>
      </c>
    </row>
    <row r="24">
      <c r="A24" s="7">
        <f>'6_Cascade_Engine'!A24</f>
        <v/>
      </c>
      <c r="B24" s="7">
        <f>'6_Cascade_Engine'!B24</f>
        <v/>
      </c>
      <c r="C24" s="7">
        <f>'1_GICS_Structure'!B24</f>
        <v/>
      </c>
      <c r="D24" s="17">
        <f>'6_Cascade_Engine'!T24</f>
        <v/>
      </c>
      <c r="E24" s="17">
        <f>'6_Cascade_Engine'!U24</f>
        <v/>
      </c>
      <c r="F24" s="17">
        <f>'6_Cascade_Engine'!Q24</f>
        <v/>
      </c>
      <c r="G24" s="17">
        <f>'6_Cascade_Engine'!R24</f>
        <v/>
      </c>
      <c r="H24" s="17">
        <f>'6_Cascade_Engine'!AA24</f>
        <v/>
      </c>
      <c r="I24" s="7">
        <f>'6_Cascade_Engine'!S24</f>
        <v/>
      </c>
    </row>
    <row r="25">
      <c r="A25" s="7">
        <f>'6_Cascade_Engine'!A25</f>
        <v/>
      </c>
      <c r="B25" s="7">
        <f>'6_Cascade_Engine'!B25</f>
        <v/>
      </c>
      <c r="C25" s="7">
        <f>'1_GICS_Structure'!B25</f>
        <v/>
      </c>
      <c r="D25" s="17">
        <f>'6_Cascade_Engine'!T25</f>
        <v/>
      </c>
      <c r="E25" s="17">
        <f>'6_Cascade_Engine'!U25</f>
        <v/>
      </c>
      <c r="F25" s="17">
        <f>'6_Cascade_Engine'!Q25</f>
        <v/>
      </c>
      <c r="G25" s="17">
        <f>'6_Cascade_Engine'!R25</f>
        <v/>
      </c>
      <c r="H25" s="17">
        <f>'6_Cascade_Engine'!AA25</f>
        <v/>
      </c>
      <c r="I25" s="7">
        <f>'6_Cascade_Engine'!S25</f>
        <v/>
      </c>
    </row>
    <row r="26">
      <c r="A26" s="7">
        <f>'6_Cascade_Engine'!A26</f>
        <v/>
      </c>
      <c r="B26" s="7">
        <f>'6_Cascade_Engine'!B26</f>
        <v/>
      </c>
      <c r="C26" s="7">
        <f>'1_GICS_Structure'!B26</f>
        <v/>
      </c>
      <c r="D26" s="17">
        <f>'6_Cascade_Engine'!T26</f>
        <v/>
      </c>
      <c r="E26" s="17">
        <f>'6_Cascade_Engine'!U26</f>
        <v/>
      </c>
      <c r="F26" s="17">
        <f>'6_Cascade_Engine'!Q26</f>
        <v/>
      </c>
      <c r="G26" s="17">
        <f>'6_Cascade_Engine'!R26</f>
        <v/>
      </c>
      <c r="H26" s="17">
        <f>'6_Cascade_Engine'!AA26</f>
        <v/>
      </c>
      <c r="I26" s="7">
        <f>'6_Cascade_Engine'!S26</f>
        <v/>
      </c>
    </row>
    <row r="27">
      <c r="A27" s="7">
        <f>'6_Cascade_Engine'!A27</f>
        <v/>
      </c>
      <c r="B27" s="7">
        <f>'6_Cascade_Engine'!B27</f>
        <v/>
      </c>
      <c r="C27" s="7">
        <f>'1_GICS_Structure'!B27</f>
        <v/>
      </c>
      <c r="D27" s="17">
        <f>'6_Cascade_Engine'!T27</f>
        <v/>
      </c>
      <c r="E27" s="17">
        <f>'6_Cascade_Engine'!U27</f>
        <v/>
      </c>
      <c r="F27" s="17">
        <f>'6_Cascade_Engine'!Q27</f>
        <v/>
      </c>
      <c r="G27" s="17">
        <f>'6_Cascade_Engine'!R27</f>
        <v/>
      </c>
      <c r="H27" s="17">
        <f>'6_Cascade_Engine'!AA27</f>
        <v/>
      </c>
      <c r="I27" s="7">
        <f>'6_Cascade_Engine'!S27</f>
        <v/>
      </c>
    </row>
    <row r="28">
      <c r="A28" s="7">
        <f>'6_Cascade_Engine'!A28</f>
        <v/>
      </c>
      <c r="B28" s="7">
        <f>'6_Cascade_Engine'!B28</f>
        <v/>
      </c>
      <c r="C28" s="7">
        <f>'1_GICS_Structure'!B28</f>
        <v/>
      </c>
      <c r="D28" s="17">
        <f>'6_Cascade_Engine'!T28</f>
        <v/>
      </c>
      <c r="E28" s="17">
        <f>'6_Cascade_Engine'!U28</f>
        <v/>
      </c>
      <c r="F28" s="17">
        <f>'6_Cascade_Engine'!Q28</f>
        <v/>
      </c>
      <c r="G28" s="17">
        <f>'6_Cascade_Engine'!R28</f>
        <v/>
      </c>
      <c r="H28" s="17">
        <f>'6_Cascade_Engine'!AA28</f>
        <v/>
      </c>
      <c r="I28" s="7">
        <f>'6_Cascade_Engine'!S28</f>
        <v/>
      </c>
    </row>
    <row r="29">
      <c r="A29" s="7">
        <f>'6_Cascade_Engine'!A29</f>
        <v/>
      </c>
      <c r="B29" s="7">
        <f>'6_Cascade_Engine'!B29</f>
        <v/>
      </c>
      <c r="C29" s="7">
        <f>'1_GICS_Structure'!B29</f>
        <v/>
      </c>
      <c r="D29" s="17">
        <f>'6_Cascade_Engine'!T29</f>
        <v/>
      </c>
      <c r="E29" s="17">
        <f>'6_Cascade_Engine'!U29</f>
        <v/>
      </c>
      <c r="F29" s="17">
        <f>'6_Cascade_Engine'!Q29</f>
        <v/>
      </c>
      <c r="G29" s="17">
        <f>'6_Cascade_Engine'!R29</f>
        <v/>
      </c>
      <c r="H29" s="17">
        <f>'6_Cascade_Engine'!AA29</f>
        <v/>
      </c>
      <c r="I29" s="7">
        <f>'6_Cascade_Engine'!S29</f>
        <v/>
      </c>
    </row>
    <row r="30">
      <c r="A30" s="7">
        <f>'6_Cascade_Engine'!A30</f>
        <v/>
      </c>
      <c r="B30" s="7">
        <f>'6_Cascade_Engine'!B30</f>
        <v/>
      </c>
      <c r="C30" s="7">
        <f>'1_GICS_Structure'!B30</f>
        <v/>
      </c>
      <c r="D30" s="17">
        <f>'6_Cascade_Engine'!T30</f>
        <v/>
      </c>
      <c r="E30" s="17">
        <f>'6_Cascade_Engine'!U30</f>
        <v/>
      </c>
      <c r="F30" s="17">
        <f>'6_Cascade_Engine'!Q30</f>
        <v/>
      </c>
      <c r="G30" s="17">
        <f>'6_Cascade_Engine'!R30</f>
        <v/>
      </c>
      <c r="H30" s="17">
        <f>'6_Cascade_Engine'!AA30</f>
        <v/>
      </c>
      <c r="I30" s="7">
        <f>'6_Cascade_Engine'!S30</f>
        <v/>
      </c>
    </row>
    <row r="31">
      <c r="A31" s="7">
        <f>'6_Cascade_Engine'!A31</f>
        <v/>
      </c>
      <c r="B31" s="7">
        <f>'6_Cascade_Engine'!B31</f>
        <v/>
      </c>
      <c r="C31" s="7">
        <f>'1_GICS_Structure'!B31</f>
        <v/>
      </c>
      <c r="D31" s="17">
        <f>'6_Cascade_Engine'!T31</f>
        <v/>
      </c>
      <c r="E31" s="17">
        <f>'6_Cascade_Engine'!U31</f>
        <v/>
      </c>
      <c r="F31" s="17">
        <f>'6_Cascade_Engine'!Q31</f>
        <v/>
      </c>
      <c r="G31" s="17">
        <f>'6_Cascade_Engine'!R31</f>
        <v/>
      </c>
      <c r="H31" s="17">
        <f>'6_Cascade_Engine'!AA31</f>
        <v/>
      </c>
      <c r="I31" s="7">
        <f>'6_Cascade_Engine'!S31</f>
        <v/>
      </c>
    </row>
    <row r="32">
      <c r="A32" s="7">
        <f>'6_Cascade_Engine'!A32</f>
        <v/>
      </c>
      <c r="B32" s="7">
        <f>'6_Cascade_Engine'!B32</f>
        <v/>
      </c>
      <c r="C32" s="7">
        <f>'1_GICS_Structure'!B32</f>
        <v/>
      </c>
      <c r="D32" s="17">
        <f>'6_Cascade_Engine'!T32</f>
        <v/>
      </c>
      <c r="E32" s="17">
        <f>'6_Cascade_Engine'!U32</f>
        <v/>
      </c>
      <c r="F32" s="17">
        <f>'6_Cascade_Engine'!Q32</f>
        <v/>
      </c>
      <c r="G32" s="17">
        <f>'6_Cascade_Engine'!R32</f>
        <v/>
      </c>
      <c r="H32" s="17">
        <f>'6_Cascade_Engine'!AA32</f>
        <v/>
      </c>
      <c r="I32" s="7">
        <f>'6_Cascade_Engine'!S32</f>
        <v/>
      </c>
    </row>
    <row r="33">
      <c r="A33" s="7">
        <f>'6_Cascade_Engine'!A33</f>
        <v/>
      </c>
      <c r="B33" s="7">
        <f>'6_Cascade_Engine'!B33</f>
        <v/>
      </c>
      <c r="C33" s="7">
        <f>'1_GICS_Structure'!B33</f>
        <v/>
      </c>
      <c r="D33" s="17">
        <f>'6_Cascade_Engine'!T33</f>
        <v/>
      </c>
      <c r="E33" s="17">
        <f>'6_Cascade_Engine'!U33</f>
        <v/>
      </c>
      <c r="F33" s="17">
        <f>'6_Cascade_Engine'!Q33</f>
        <v/>
      </c>
      <c r="G33" s="17">
        <f>'6_Cascade_Engine'!R33</f>
        <v/>
      </c>
      <c r="H33" s="17">
        <f>'6_Cascade_Engine'!AA33</f>
        <v/>
      </c>
      <c r="I33" s="7">
        <f>'6_Cascade_Engine'!S33</f>
        <v/>
      </c>
    </row>
    <row r="34">
      <c r="A34" s="7">
        <f>'6_Cascade_Engine'!A34</f>
        <v/>
      </c>
      <c r="B34" s="7">
        <f>'6_Cascade_Engine'!B34</f>
        <v/>
      </c>
      <c r="C34" s="7">
        <f>'1_GICS_Structure'!B34</f>
        <v/>
      </c>
      <c r="D34" s="17">
        <f>'6_Cascade_Engine'!T34</f>
        <v/>
      </c>
      <c r="E34" s="17">
        <f>'6_Cascade_Engine'!U34</f>
        <v/>
      </c>
      <c r="F34" s="17">
        <f>'6_Cascade_Engine'!Q34</f>
        <v/>
      </c>
      <c r="G34" s="17">
        <f>'6_Cascade_Engine'!R34</f>
        <v/>
      </c>
      <c r="H34" s="17">
        <f>'6_Cascade_Engine'!AA34</f>
        <v/>
      </c>
      <c r="I34" s="7">
        <f>'6_Cascade_Engine'!S34</f>
        <v/>
      </c>
    </row>
    <row r="35">
      <c r="A35" s="7">
        <f>'6_Cascade_Engine'!A35</f>
        <v/>
      </c>
      <c r="B35" s="7">
        <f>'6_Cascade_Engine'!B35</f>
        <v/>
      </c>
      <c r="C35" s="7">
        <f>'1_GICS_Structure'!B35</f>
        <v/>
      </c>
      <c r="D35" s="17">
        <f>'6_Cascade_Engine'!T35</f>
        <v/>
      </c>
      <c r="E35" s="17">
        <f>'6_Cascade_Engine'!U35</f>
        <v/>
      </c>
      <c r="F35" s="17">
        <f>'6_Cascade_Engine'!Q35</f>
        <v/>
      </c>
      <c r="G35" s="17">
        <f>'6_Cascade_Engine'!R35</f>
        <v/>
      </c>
      <c r="H35" s="17">
        <f>'6_Cascade_Engine'!AA35</f>
        <v/>
      </c>
      <c r="I35" s="7">
        <f>'6_Cascade_Engine'!S35</f>
        <v/>
      </c>
    </row>
    <row r="36">
      <c r="A36" s="7">
        <f>'6_Cascade_Engine'!A36</f>
        <v/>
      </c>
      <c r="B36" s="7">
        <f>'6_Cascade_Engine'!B36</f>
        <v/>
      </c>
      <c r="C36" s="7">
        <f>'1_GICS_Structure'!B36</f>
        <v/>
      </c>
      <c r="D36" s="17">
        <f>'6_Cascade_Engine'!T36</f>
        <v/>
      </c>
      <c r="E36" s="17">
        <f>'6_Cascade_Engine'!U36</f>
        <v/>
      </c>
      <c r="F36" s="17">
        <f>'6_Cascade_Engine'!Q36</f>
        <v/>
      </c>
      <c r="G36" s="17">
        <f>'6_Cascade_Engine'!R36</f>
        <v/>
      </c>
      <c r="H36" s="17">
        <f>'6_Cascade_Engine'!AA36</f>
        <v/>
      </c>
      <c r="I36" s="7">
        <f>'6_Cascade_Engine'!S36</f>
        <v/>
      </c>
    </row>
    <row r="37">
      <c r="A37" s="7">
        <f>'6_Cascade_Engine'!A37</f>
        <v/>
      </c>
      <c r="B37" s="7">
        <f>'6_Cascade_Engine'!B37</f>
        <v/>
      </c>
      <c r="C37" s="7">
        <f>'1_GICS_Structure'!B37</f>
        <v/>
      </c>
      <c r="D37" s="17">
        <f>'6_Cascade_Engine'!T37</f>
        <v/>
      </c>
      <c r="E37" s="17">
        <f>'6_Cascade_Engine'!U37</f>
        <v/>
      </c>
      <c r="F37" s="17">
        <f>'6_Cascade_Engine'!Q37</f>
        <v/>
      </c>
      <c r="G37" s="17">
        <f>'6_Cascade_Engine'!R37</f>
        <v/>
      </c>
      <c r="H37" s="17">
        <f>'6_Cascade_Engine'!AA37</f>
        <v/>
      </c>
      <c r="I37" s="7">
        <f>'6_Cascade_Engine'!S37</f>
        <v/>
      </c>
    </row>
    <row r="38">
      <c r="A38" s="7">
        <f>'6_Cascade_Engine'!A38</f>
        <v/>
      </c>
      <c r="B38" s="7">
        <f>'6_Cascade_Engine'!B38</f>
        <v/>
      </c>
      <c r="C38" s="7">
        <f>'1_GICS_Structure'!B38</f>
        <v/>
      </c>
      <c r="D38" s="17">
        <f>'6_Cascade_Engine'!T38</f>
        <v/>
      </c>
      <c r="E38" s="17">
        <f>'6_Cascade_Engine'!U38</f>
        <v/>
      </c>
      <c r="F38" s="17">
        <f>'6_Cascade_Engine'!Q38</f>
        <v/>
      </c>
      <c r="G38" s="17">
        <f>'6_Cascade_Engine'!R38</f>
        <v/>
      </c>
      <c r="H38" s="17">
        <f>'6_Cascade_Engine'!AA38</f>
        <v/>
      </c>
      <c r="I38" s="7">
        <f>'6_Cascade_Engine'!S38</f>
        <v/>
      </c>
    </row>
    <row r="39">
      <c r="A39" s="7">
        <f>'6_Cascade_Engine'!A39</f>
        <v/>
      </c>
      <c r="B39" s="7">
        <f>'6_Cascade_Engine'!B39</f>
        <v/>
      </c>
      <c r="C39" s="7">
        <f>'1_GICS_Structure'!B39</f>
        <v/>
      </c>
      <c r="D39" s="17">
        <f>'6_Cascade_Engine'!T39</f>
        <v/>
      </c>
      <c r="E39" s="17">
        <f>'6_Cascade_Engine'!U39</f>
        <v/>
      </c>
      <c r="F39" s="17">
        <f>'6_Cascade_Engine'!Q39</f>
        <v/>
      </c>
      <c r="G39" s="17">
        <f>'6_Cascade_Engine'!R39</f>
        <v/>
      </c>
      <c r="H39" s="17">
        <f>'6_Cascade_Engine'!AA39</f>
        <v/>
      </c>
      <c r="I39" s="7">
        <f>'6_Cascade_Engine'!S39</f>
        <v/>
      </c>
    </row>
    <row r="40">
      <c r="A40" s="7">
        <f>'6_Cascade_Engine'!A40</f>
        <v/>
      </c>
      <c r="B40" s="7">
        <f>'6_Cascade_Engine'!B40</f>
        <v/>
      </c>
      <c r="C40" s="7">
        <f>'1_GICS_Structure'!B40</f>
        <v/>
      </c>
      <c r="D40" s="17">
        <f>'6_Cascade_Engine'!T40</f>
        <v/>
      </c>
      <c r="E40" s="17">
        <f>'6_Cascade_Engine'!U40</f>
        <v/>
      </c>
      <c r="F40" s="17">
        <f>'6_Cascade_Engine'!Q40</f>
        <v/>
      </c>
      <c r="G40" s="17">
        <f>'6_Cascade_Engine'!R40</f>
        <v/>
      </c>
      <c r="H40" s="17">
        <f>'6_Cascade_Engine'!AA40</f>
        <v/>
      </c>
      <c r="I40" s="7">
        <f>'6_Cascade_Engine'!S40</f>
        <v/>
      </c>
    </row>
    <row r="41">
      <c r="A41" s="7">
        <f>'6_Cascade_Engine'!A41</f>
        <v/>
      </c>
      <c r="B41" s="7">
        <f>'6_Cascade_Engine'!B41</f>
        <v/>
      </c>
      <c r="C41" s="7">
        <f>'1_GICS_Structure'!B41</f>
        <v/>
      </c>
      <c r="D41" s="17">
        <f>'6_Cascade_Engine'!T41</f>
        <v/>
      </c>
      <c r="E41" s="17">
        <f>'6_Cascade_Engine'!U41</f>
        <v/>
      </c>
      <c r="F41" s="17">
        <f>'6_Cascade_Engine'!Q41</f>
        <v/>
      </c>
      <c r="G41" s="17">
        <f>'6_Cascade_Engine'!R41</f>
        <v/>
      </c>
      <c r="H41" s="17">
        <f>'6_Cascade_Engine'!AA41</f>
        <v/>
      </c>
      <c r="I41" s="7">
        <f>'6_Cascade_Engine'!S41</f>
        <v/>
      </c>
    </row>
    <row r="42">
      <c r="A42" s="7">
        <f>'6_Cascade_Engine'!A42</f>
        <v/>
      </c>
      <c r="B42" s="7">
        <f>'6_Cascade_Engine'!B42</f>
        <v/>
      </c>
      <c r="C42" s="7">
        <f>'1_GICS_Structure'!B42</f>
        <v/>
      </c>
      <c r="D42" s="17">
        <f>'6_Cascade_Engine'!T42</f>
        <v/>
      </c>
      <c r="E42" s="17">
        <f>'6_Cascade_Engine'!U42</f>
        <v/>
      </c>
      <c r="F42" s="17">
        <f>'6_Cascade_Engine'!Q42</f>
        <v/>
      </c>
      <c r="G42" s="17">
        <f>'6_Cascade_Engine'!R42</f>
        <v/>
      </c>
      <c r="H42" s="17">
        <f>'6_Cascade_Engine'!AA42</f>
        <v/>
      </c>
      <c r="I42" s="7">
        <f>'6_Cascade_Engine'!S42</f>
        <v/>
      </c>
    </row>
    <row r="43">
      <c r="A43" s="7">
        <f>'6_Cascade_Engine'!A43</f>
        <v/>
      </c>
      <c r="B43" s="7">
        <f>'6_Cascade_Engine'!B43</f>
        <v/>
      </c>
      <c r="C43" s="7">
        <f>'1_GICS_Structure'!B43</f>
        <v/>
      </c>
      <c r="D43" s="17">
        <f>'6_Cascade_Engine'!T43</f>
        <v/>
      </c>
      <c r="E43" s="17">
        <f>'6_Cascade_Engine'!U43</f>
        <v/>
      </c>
      <c r="F43" s="17">
        <f>'6_Cascade_Engine'!Q43</f>
        <v/>
      </c>
      <c r="G43" s="17">
        <f>'6_Cascade_Engine'!R43</f>
        <v/>
      </c>
      <c r="H43" s="17">
        <f>'6_Cascade_Engine'!AA43</f>
        <v/>
      </c>
      <c r="I43" s="7">
        <f>'6_Cascade_Engine'!S43</f>
        <v/>
      </c>
    </row>
    <row r="44">
      <c r="A44" s="7">
        <f>'6_Cascade_Engine'!A44</f>
        <v/>
      </c>
      <c r="B44" s="7">
        <f>'6_Cascade_Engine'!B44</f>
        <v/>
      </c>
      <c r="C44" s="7">
        <f>'1_GICS_Structure'!B44</f>
        <v/>
      </c>
      <c r="D44" s="17">
        <f>'6_Cascade_Engine'!T44</f>
        <v/>
      </c>
      <c r="E44" s="17">
        <f>'6_Cascade_Engine'!U44</f>
        <v/>
      </c>
      <c r="F44" s="17">
        <f>'6_Cascade_Engine'!Q44</f>
        <v/>
      </c>
      <c r="G44" s="17">
        <f>'6_Cascade_Engine'!R44</f>
        <v/>
      </c>
      <c r="H44" s="17">
        <f>'6_Cascade_Engine'!AA44</f>
        <v/>
      </c>
      <c r="I44" s="7">
        <f>'6_Cascade_Engine'!S44</f>
        <v/>
      </c>
    </row>
    <row r="45">
      <c r="A45" s="7">
        <f>'6_Cascade_Engine'!A45</f>
        <v/>
      </c>
      <c r="B45" s="7">
        <f>'6_Cascade_Engine'!B45</f>
        <v/>
      </c>
      <c r="C45" s="7">
        <f>'1_GICS_Structure'!B45</f>
        <v/>
      </c>
      <c r="D45" s="17">
        <f>'6_Cascade_Engine'!T45</f>
        <v/>
      </c>
      <c r="E45" s="17">
        <f>'6_Cascade_Engine'!U45</f>
        <v/>
      </c>
      <c r="F45" s="17">
        <f>'6_Cascade_Engine'!Q45</f>
        <v/>
      </c>
      <c r="G45" s="17">
        <f>'6_Cascade_Engine'!R45</f>
        <v/>
      </c>
      <c r="H45" s="17">
        <f>'6_Cascade_Engine'!AA45</f>
        <v/>
      </c>
      <c r="I45" s="7">
        <f>'6_Cascade_Engine'!S45</f>
        <v/>
      </c>
    </row>
    <row r="46">
      <c r="A46" s="7">
        <f>'6_Cascade_Engine'!A46</f>
        <v/>
      </c>
      <c r="B46" s="7">
        <f>'6_Cascade_Engine'!B46</f>
        <v/>
      </c>
      <c r="C46" s="7">
        <f>'1_GICS_Structure'!B46</f>
        <v/>
      </c>
      <c r="D46" s="17">
        <f>'6_Cascade_Engine'!T46</f>
        <v/>
      </c>
      <c r="E46" s="17">
        <f>'6_Cascade_Engine'!U46</f>
        <v/>
      </c>
      <c r="F46" s="17">
        <f>'6_Cascade_Engine'!Q46</f>
        <v/>
      </c>
      <c r="G46" s="17">
        <f>'6_Cascade_Engine'!R46</f>
        <v/>
      </c>
      <c r="H46" s="17">
        <f>'6_Cascade_Engine'!AA46</f>
        <v/>
      </c>
      <c r="I46" s="7">
        <f>'6_Cascade_Engine'!S46</f>
        <v/>
      </c>
    </row>
    <row r="47">
      <c r="A47" s="7">
        <f>'6_Cascade_Engine'!A47</f>
        <v/>
      </c>
      <c r="B47" s="7">
        <f>'6_Cascade_Engine'!B47</f>
        <v/>
      </c>
      <c r="C47" s="7">
        <f>'1_GICS_Structure'!B47</f>
        <v/>
      </c>
      <c r="D47" s="17">
        <f>'6_Cascade_Engine'!T47</f>
        <v/>
      </c>
      <c r="E47" s="17">
        <f>'6_Cascade_Engine'!U47</f>
        <v/>
      </c>
      <c r="F47" s="17">
        <f>'6_Cascade_Engine'!Q47</f>
        <v/>
      </c>
      <c r="G47" s="17">
        <f>'6_Cascade_Engine'!R47</f>
        <v/>
      </c>
      <c r="H47" s="17">
        <f>'6_Cascade_Engine'!AA47</f>
        <v/>
      </c>
      <c r="I47" s="7">
        <f>'6_Cascade_Engine'!S47</f>
        <v/>
      </c>
    </row>
    <row r="48">
      <c r="A48" s="7">
        <f>'6_Cascade_Engine'!A48</f>
        <v/>
      </c>
      <c r="B48" s="7">
        <f>'6_Cascade_Engine'!B48</f>
        <v/>
      </c>
      <c r="C48" s="7">
        <f>'1_GICS_Structure'!B48</f>
        <v/>
      </c>
      <c r="D48" s="17">
        <f>'6_Cascade_Engine'!T48</f>
        <v/>
      </c>
      <c r="E48" s="17">
        <f>'6_Cascade_Engine'!U48</f>
        <v/>
      </c>
      <c r="F48" s="17">
        <f>'6_Cascade_Engine'!Q48</f>
        <v/>
      </c>
      <c r="G48" s="17">
        <f>'6_Cascade_Engine'!R48</f>
        <v/>
      </c>
      <c r="H48" s="17">
        <f>'6_Cascade_Engine'!AA48</f>
        <v/>
      </c>
      <c r="I48" s="7">
        <f>'6_Cascade_Engine'!S48</f>
        <v/>
      </c>
    </row>
    <row r="49">
      <c r="A49" s="7">
        <f>'6_Cascade_Engine'!A49</f>
        <v/>
      </c>
      <c r="B49" s="7">
        <f>'6_Cascade_Engine'!B49</f>
        <v/>
      </c>
      <c r="C49" s="7">
        <f>'1_GICS_Structure'!B49</f>
        <v/>
      </c>
      <c r="D49" s="17">
        <f>'6_Cascade_Engine'!T49</f>
        <v/>
      </c>
      <c r="E49" s="17">
        <f>'6_Cascade_Engine'!U49</f>
        <v/>
      </c>
      <c r="F49" s="17">
        <f>'6_Cascade_Engine'!Q49</f>
        <v/>
      </c>
      <c r="G49" s="17">
        <f>'6_Cascade_Engine'!R49</f>
        <v/>
      </c>
      <c r="H49" s="17">
        <f>'6_Cascade_Engine'!AA49</f>
        <v/>
      </c>
      <c r="I49" s="7">
        <f>'6_Cascade_Engine'!S49</f>
        <v/>
      </c>
    </row>
    <row r="50">
      <c r="A50" s="7">
        <f>'6_Cascade_Engine'!A50</f>
        <v/>
      </c>
      <c r="B50" s="7">
        <f>'6_Cascade_Engine'!B50</f>
        <v/>
      </c>
      <c r="C50" s="7">
        <f>'1_GICS_Structure'!B50</f>
        <v/>
      </c>
      <c r="D50" s="17">
        <f>'6_Cascade_Engine'!T50</f>
        <v/>
      </c>
      <c r="E50" s="17">
        <f>'6_Cascade_Engine'!U50</f>
        <v/>
      </c>
      <c r="F50" s="17">
        <f>'6_Cascade_Engine'!Q50</f>
        <v/>
      </c>
      <c r="G50" s="17">
        <f>'6_Cascade_Engine'!R50</f>
        <v/>
      </c>
      <c r="H50" s="17">
        <f>'6_Cascade_Engine'!AA50</f>
        <v/>
      </c>
      <c r="I50" s="7">
        <f>'6_Cascade_Engine'!S50</f>
        <v/>
      </c>
    </row>
    <row r="51">
      <c r="A51" s="7">
        <f>'6_Cascade_Engine'!A51</f>
        <v/>
      </c>
      <c r="B51" s="7">
        <f>'6_Cascade_Engine'!B51</f>
        <v/>
      </c>
      <c r="C51" s="7">
        <f>'1_GICS_Structure'!B51</f>
        <v/>
      </c>
      <c r="D51" s="17">
        <f>'6_Cascade_Engine'!T51</f>
        <v/>
      </c>
      <c r="E51" s="17">
        <f>'6_Cascade_Engine'!U51</f>
        <v/>
      </c>
      <c r="F51" s="17">
        <f>'6_Cascade_Engine'!Q51</f>
        <v/>
      </c>
      <c r="G51" s="17">
        <f>'6_Cascade_Engine'!R51</f>
        <v/>
      </c>
      <c r="H51" s="17">
        <f>'6_Cascade_Engine'!AA51</f>
        <v/>
      </c>
      <c r="I51" s="7">
        <f>'6_Cascade_Engine'!S51</f>
        <v/>
      </c>
    </row>
    <row r="52">
      <c r="A52" s="7">
        <f>'6_Cascade_Engine'!A52</f>
        <v/>
      </c>
      <c r="B52" s="7">
        <f>'6_Cascade_Engine'!B52</f>
        <v/>
      </c>
      <c r="C52" s="7">
        <f>'1_GICS_Structure'!B52</f>
        <v/>
      </c>
      <c r="D52" s="17">
        <f>'6_Cascade_Engine'!T52</f>
        <v/>
      </c>
      <c r="E52" s="17">
        <f>'6_Cascade_Engine'!U52</f>
        <v/>
      </c>
      <c r="F52" s="17">
        <f>'6_Cascade_Engine'!Q52</f>
        <v/>
      </c>
      <c r="G52" s="17">
        <f>'6_Cascade_Engine'!R52</f>
        <v/>
      </c>
      <c r="H52" s="17">
        <f>'6_Cascade_Engine'!AA52</f>
        <v/>
      </c>
      <c r="I52" s="7">
        <f>'6_Cascade_Engine'!S52</f>
        <v/>
      </c>
    </row>
    <row r="53">
      <c r="A53" s="7">
        <f>'6_Cascade_Engine'!A53</f>
        <v/>
      </c>
      <c r="B53" s="7">
        <f>'6_Cascade_Engine'!B53</f>
        <v/>
      </c>
      <c r="C53" s="7">
        <f>'1_GICS_Structure'!B53</f>
        <v/>
      </c>
      <c r="D53" s="17">
        <f>'6_Cascade_Engine'!T53</f>
        <v/>
      </c>
      <c r="E53" s="17">
        <f>'6_Cascade_Engine'!U53</f>
        <v/>
      </c>
      <c r="F53" s="17">
        <f>'6_Cascade_Engine'!Q53</f>
        <v/>
      </c>
      <c r="G53" s="17">
        <f>'6_Cascade_Engine'!R53</f>
        <v/>
      </c>
      <c r="H53" s="17">
        <f>'6_Cascade_Engine'!AA53</f>
        <v/>
      </c>
      <c r="I53" s="7">
        <f>'6_Cascade_Engine'!S53</f>
        <v/>
      </c>
    </row>
    <row r="54">
      <c r="A54" s="7">
        <f>'6_Cascade_Engine'!A54</f>
        <v/>
      </c>
      <c r="B54" s="7">
        <f>'6_Cascade_Engine'!B54</f>
        <v/>
      </c>
      <c r="C54" s="7">
        <f>'1_GICS_Structure'!B54</f>
        <v/>
      </c>
      <c r="D54" s="17">
        <f>'6_Cascade_Engine'!T54</f>
        <v/>
      </c>
      <c r="E54" s="17">
        <f>'6_Cascade_Engine'!U54</f>
        <v/>
      </c>
      <c r="F54" s="17">
        <f>'6_Cascade_Engine'!Q54</f>
        <v/>
      </c>
      <c r="G54" s="17">
        <f>'6_Cascade_Engine'!R54</f>
        <v/>
      </c>
      <c r="H54" s="17">
        <f>'6_Cascade_Engine'!AA54</f>
        <v/>
      </c>
      <c r="I54" s="7">
        <f>'6_Cascade_Engine'!S54</f>
        <v/>
      </c>
    </row>
    <row r="55">
      <c r="A55" s="7">
        <f>'6_Cascade_Engine'!A55</f>
        <v/>
      </c>
      <c r="B55" s="7">
        <f>'6_Cascade_Engine'!B55</f>
        <v/>
      </c>
      <c r="C55" s="7">
        <f>'1_GICS_Structure'!B55</f>
        <v/>
      </c>
      <c r="D55" s="17">
        <f>'6_Cascade_Engine'!T55</f>
        <v/>
      </c>
      <c r="E55" s="17">
        <f>'6_Cascade_Engine'!U55</f>
        <v/>
      </c>
      <c r="F55" s="17">
        <f>'6_Cascade_Engine'!Q55</f>
        <v/>
      </c>
      <c r="G55" s="17">
        <f>'6_Cascade_Engine'!R55</f>
        <v/>
      </c>
      <c r="H55" s="17">
        <f>'6_Cascade_Engine'!AA55</f>
        <v/>
      </c>
      <c r="I55" s="7">
        <f>'6_Cascade_Engine'!S55</f>
        <v/>
      </c>
    </row>
    <row r="56">
      <c r="A56" s="7">
        <f>'6_Cascade_Engine'!A56</f>
        <v/>
      </c>
      <c r="B56" s="7">
        <f>'6_Cascade_Engine'!B56</f>
        <v/>
      </c>
      <c r="C56" s="7">
        <f>'1_GICS_Structure'!B56</f>
        <v/>
      </c>
      <c r="D56" s="17">
        <f>'6_Cascade_Engine'!T56</f>
        <v/>
      </c>
      <c r="E56" s="17">
        <f>'6_Cascade_Engine'!U56</f>
        <v/>
      </c>
      <c r="F56" s="17">
        <f>'6_Cascade_Engine'!Q56</f>
        <v/>
      </c>
      <c r="G56" s="17">
        <f>'6_Cascade_Engine'!R56</f>
        <v/>
      </c>
      <c r="H56" s="17">
        <f>'6_Cascade_Engine'!AA56</f>
        <v/>
      </c>
      <c r="I56" s="7">
        <f>'6_Cascade_Engine'!S56</f>
        <v/>
      </c>
    </row>
    <row r="57">
      <c r="A57" s="7">
        <f>'6_Cascade_Engine'!A57</f>
        <v/>
      </c>
      <c r="B57" s="7">
        <f>'6_Cascade_Engine'!B57</f>
        <v/>
      </c>
      <c r="C57" s="7">
        <f>'1_GICS_Structure'!B57</f>
        <v/>
      </c>
      <c r="D57" s="17">
        <f>'6_Cascade_Engine'!T57</f>
        <v/>
      </c>
      <c r="E57" s="17">
        <f>'6_Cascade_Engine'!U57</f>
        <v/>
      </c>
      <c r="F57" s="17">
        <f>'6_Cascade_Engine'!Q57</f>
        <v/>
      </c>
      <c r="G57" s="17">
        <f>'6_Cascade_Engine'!R57</f>
        <v/>
      </c>
      <c r="H57" s="17">
        <f>'6_Cascade_Engine'!AA57</f>
        <v/>
      </c>
      <c r="I57" s="7">
        <f>'6_Cascade_Engine'!S57</f>
        <v/>
      </c>
    </row>
    <row r="58">
      <c r="A58" s="7">
        <f>'6_Cascade_Engine'!A58</f>
        <v/>
      </c>
      <c r="B58" s="7">
        <f>'6_Cascade_Engine'!B58</f>
        <v/>
      </c>
      <c r="C58" s="7">
        <f>'1_GICS_Structure'!B58</f>
        <v/>
      </c>
      <c r="D58" s="17">
        <f>'6_Cascade_Engine'!T58</f>
        <v/>
      </c>
      <c r="E58" s="17">
        <f>'6_Cascade_Engine'!U58</f>
        <v/>
      </c>
      <c r="F58" s="17">
        <f>'6_Cascade_Engine'!Q58</f>
        <v/>
      </c>
      <c r="G58" s="17">
        <f>'6_Cascade_Engine'!R58</f>
        <v/>
      </c>
      <c r="H58" s="17">
        <f>'6_Cascade_Engine'!AA58</f>
        <v/>
      </c>
      <c r="I58" s="7">
        <f>'6_Cascade_Engine'!S58</f>
        <v/>
      </c>
    </row>
    <row r="59">
      <c r="A59" s="7">
        <f>'6_Cascade_Engine'!A59</f>
        <v/>
      </c>
      <c r="B59" s="7">
        <f>'6_Cascade_Engine'!B59</f>
        <v/>
      </c>
      <c r="C59" s="7">
        <f>'1_GICS_Structure'!B59</f>
        <v/>
      </c>
      <c r="D59" s="17">
        <f>'6_Cascade_Engine'!T59</f>
        <v/>
      </c>
      <c r="E59" s="17">
        <f>'6_Cascade_Engine'!U59</f>
        <v/>
      </c>
      <c r="F59" s="17">
        <f>'6_Cascade_Engine'!Q59</f>
        <v/>
      </c>
      <c r="G59" s="17">
        <f>'6_Cascade_Engine'!R59</f>
        <v/>
      </c>
      <c r="H59" s="17">
        <f>'6_Cascade_Engine'!AA59</f>
        <v/>
      </c>
      <c r="I59" s="7">
        <f>'6_Cascade_Engine'!S59</f>
        <v/>
      </c>
    </row>
    <row r="60">
      <c r="A60" s="7">
        <f>'6_Cascade_Engine'!A60</f>
        <v/>
      </c>
      <c r="B60" s="7">
        <f>'6_Cascade_Engine'!B60</f>
        <v/>
      </c>
      <c r="C60" s="7">
        <f>'1_GICS_Structure'!B60</f>
        <v/>
      </c>
      <c r="D60" s="17">
        <f>'6_Cascade_Engine'!T60</f>
        <v/>
      </c>
      <c r="E60" s="17">
        <f>'6_Cascade_Engine'!U60</f>
        <v/>
      </c>
      <c r="F60" s="17">
        <f>'6_Cascade_Engine'!Q60</f>
        <v/>
      </c>
      <c r="G60" s="17">
        <f>'6_Cascade_Engine'!R60</f>
        <v/>
      </c>
      <c r="H60" s="17">
        <f>'6_Cascade_Engine'!AA60</f>
        <v/>
      </c>
      <c r="I60" s="7">
        <f>'6_Cascade_Engine'!S60</f>
        <v/>
      </c>
    </row>
    <row r="61">
      <c r="A61" s="7">
        <f>'6_Cascade_Engine'!A61</f>
        <v/>
      </c>
      <c r="B61" s="7">
        <f>'6_Cascade_Engine'!B61</f>
        <v/>
      </c>
      <c r="C61" s="7">
        <f>'1_GICS_Structure'!B61</f>
        <v/>
      </c>
      <c r="D61" s="17">
        <f>'6_Cascade_Engine'!T61</f>
        <v/>
      </c>
      <c r="E61" s="17">
        <f>'6_Cascade_Engine'!U61</f>
        <v/>
      </c>
      <c r="F61" s="17">
        <f>'6_Cascade_Engine'!Q61</f>
        <v/>
      </c>
      <c r="G61" s="17">
        <f>'6_Cascade_Engine'!R61</f>
        <v/>
      </c>
      <c r="H61" s="17">
        <f>'6_Cascade_Engine'!AA61</f>
        <v/>
      </c>
      <c r="I61" s="7">
        <f>'6_Cascade_Engine'!S61</f>
        <v/>
      </c>
    </row>
    <row r="62">
      <c r="A62" s="7">
        <f>'6_Cascade_Engine'!A62</f>
        <v/>
      </c>
      <c r="B62" s="7">
        <f>'6_Cascade_Engine'!B62</f>
        <v/>
      </c>
      <c r="C62" s="7">
        <f>'1_GICS_Structure'!B62</f>
        <v/>
      </c>
      <c r="D62" s="17">
        <f>'6_Cascade_Engine'!T62</f>
        <v/>
      </c>
      <c r="E62" s="17">
        <f>'6_Cascade_Engine'!U62</f>
        <v/>
      </c>
      <c r="F62" s="17">
        <f>'6_Cascade_Engine'!Q62</f>
        <v/>
      </c>
      <c r="G62" s="17">
        <f>'6_Cascade_Engine'!R62</f>
        <v/>
      </c>
      <c r="H62" s="17">
        <f>'6_Cascade_Engine'!AA62</f>
        <v/>
      </c>
      <c r="I62" s="7">
        <f>'6_Cascade_Engine'!S62</f>
        <v/>
      </c>
    </row>
    <row r="63">
      <c r="A63" s="7">
        <f>'6_Cascade_Engine'!A63</f>
        <v/>
      </c>
      <c r="B63" s="7">
        <f>'6_Cascade_Engine'!B63</f>
        <v/>
      </c>
      <c r="C63" s="7">
        <f>'1_GICS_Structure'!B63</f>
        <v/>
      </c>
      <c r="D63" s="17">
        <f>'6_Cascade_Engine'!T63</f>
        <v/>
      </c>
      <c r="E63" s="17">
        <f>'6_Cascade_Engine'!U63</f>
        <v/>
      </c>
      <c r="F63" s="17">
        <f>'6_Cascade_Engine'!Q63</f>
        <v/>
      </c>
      <c r="G63" s="17">
        <f>'6_Cascade_Engine'!R63</f>
        <v/>
      </c>
      <c r="H63" s="17">
        <f>'6_Cascade_Engine'!AA63</f>
        <v/>
      </c>
      <c r="I63" s="7">
        <f>'6_Cascade_Engine'!S63</f>
        <v/>
      </c>
    </row>
    <row r="64">
      <c r="A64" s="7">
        <f>'6_Cascade_Engine'!A64</f>
        <v/>
      </c>
      <c r="B64" s="7">
        <f>'6_Cascade_Engine'!B64</f>
        <v/>
      </c>
      <c r="C64" s="7">
        <f>'1_GICS_Structure'!B64</f>
        <v/>
      </c>
      <c r="D64" s="17">
        <f>'6_Cascade_Engine'!T64</f>
        <v/>
      </c>
      <c r="E64" s="17">
        <f>'6_Cascade_Engine'!U64</f>
        <v/>
      </c>
      <c r="F64" s="17">
        <f>'6_Cascade_Engine'!Q64</f>
        <v/>
      </c>
      <c r="G64" s="17">
        <f>'6_Cascade_Engine'!R64</f>
        <v/>
      </c>
      <c r="H64" s="17">
        <f>'6_Cascade_Engine'!AA64</f>
        <v/>
      </c>
      <c r="I64" s="7">
        <f>'6_Cascade_Engine'!S64</f>
        <v/>
      </c>
    </row>
    <row r="65">
      <c r="A65" s="7">
        <f>'6_Cascade_Engine'!A65</f>
        <v/>
      </c>
      <c r="B65" s="7">
        <f>'6_Cascade_Engine'!B65</f>
        <v/>
      </c>
      <c r="C65" s="7">
        <f>'1_GICS_Structure'!B65</f>
        <v/>
      </c>
      <c r="D65" s="17">
        <f>'6_Cascade_Engine'!T65</f>
        <v/>
      </c>
      <c r="E65" s="17">
        <f>'6_Cascade_Engine'!U65</f>
        <v/>
      </c>
      <c r="F65" s="17">
        <f>'6_Cascade_Engine'!Q65</f>
        <v/>
      </c>
      <c r="G65" s="17">
        <f>'6_Cascade_Engine'!R65</f>
        <v/>
      </c>
      <c r="H65" s="17">
        <f>'6_Cascade_Engine'!AA65</f>
        <v/>
      </c>
      <c r="I65" s="7">
        <f>'6_Cascade_Engine'!S65</f>
        <v/>
      </c>
    </row>
    <row r="66">
      <c r="A66" s="7">
        <f>'6_Cascade_Engine'!A66</f>
        <v/>
      </c>
      <c r="B66" s="7">
        <f>'6_Cascade_Engine'!B66</f>
        <v/>
      </c>
      <c r="C66" s="7">
        <f>'1_GICS_Structure'!B66</f>
        <v/>
      </c>
      <c r="D66" s="17">
        <f>'6_Cascade_Engine'!T66</f>
        <v/>
      </c>
      <c r="E66" s="17">
        <f>'6_Cascade_Engine'!U66</f>
        <v/>
      </c>
      <c r="F66" s="17">
        <f>'6_Cascade_Engine'!Q66</f>
        <v/>
      </c>
      <c r="G66" s="17">
        <f>'6_Cascade_Engine'!R66</f>
        <v/>
      </c>
      <c r="H66" s="17">
        <f>'6_Cascade_Engine'!AA66</f>
        <v/>
      </c>
      <c r="I66" s="7">
        <f>'6_Cascade_Engine'!S66</f>
        <v/>
      </c>
    </row>
    <row r="67">
      <c r="A67" s="7">
        <f>'6_Cascade_Engine'!A67</f>
        <v/>
      </c>
      <c r="B67" s="7">
        <f>'6_Cascade_Engine'!B67</f>
        <v/>
      </c>
      <c r="C67" s="7">
        <f>'1_GICS_Structure'!B67</f>
        <v/>
      </c>
      <c r="D67" s="17">
        <f>'6_Cascade_Engine'!T67</f>
        <v/>
      </c>
      <c r="E67" s="17">
        <f>'6_Cascade_Engine'!U67</f>
        <v/>
      </c>
      <c r="F67" s="17">
        <f>'6_Cascade_Engine'!Q67</f>
        <v/>
      </c>
      <c r="G67" s="17">
        <f>'6_Cascade_Engine'!R67</f>
        <v/>
      </c>
      <c r="H67" s="17">
        <f>'6_Cascade_Engine'!AA67</f>
        <v/>
      </c>
      <c r="I67" s="7">
        <f>'6_Cascade_Engine'!S67</f>
        <v/>
      </c>
    </row>
    <row r="68">
      <c r="A68" s="7">
        <f>'6_Cascade_Engine'!A68</f>
        <v/>
      </c>
      <c r="B68" s="7">
        <f>'6_Cascade_Engine'!B68</f>
        <v/>
      </c>
      <c r="C68" s="7">
        <f>'1_GICS_Structure'!B68</f>
        <v/>
      </c>
      <c r="D68" s="17">
        <f>'6_Cascade_Engine'!T68</f>
        <v/>
      </c>
      <c r="E68" s="17">
        <f>'6_Cascade_Engine'!U68</f>
        <v/>
      </c>
      <c r="F68" s="17">
        <f>'6_Cascade_Engine'!Q68</f>
        <v/>
      </c>
      <c r="G68" s="17">
        <f>'6_Cascade_Engine'!R68</f>
        <v/>
      </c>
      <c r="H68" s="17">
        <f>'6_Cascade_Engine'!AA68</f>
        <v/>
      </c>
      <c r="I68" s="7">
        <f>'6_Cascade_Engine'!S68</f>
        <v/>
      </c>
    </row>
    <row r="69">
      <c r="A69" s="7">
        <f>'6_Cascade_Engine'!A69</f>
        <v/>
      </c>
      <c r="B69" s="7">
        <f>'6_Cascade_Engine'!B69</f>
        <v/>
      </c>
      <c r="C69" s="7">
        <f>'1_GICS_Structure'!B69</f>
        <v/>
      </c>
      <c r="D69" s="17">
        <f>'6_Cascade_Engine'!T69</f>
        <v/>
      </c>
      <c r="E69" s="17">
        <f>'6_Cascade_Engine'!U69</f>
        <v/>
      </c>
      <c r="F69" s="17">
        <f>'6_Cascade_Engine'!Q69</f>
        <v/>
      </c>
      <c r="G69" s="17">
        <f>'6_Cascade_Engine'!R69</f>
        <v/>
      </c>
      <c r="H69" s="17">
        <f>'6_Cascade_Engine'!AA69</f>
        <v/>
      </c>
      <c r="I69" s="7">
        <f>'6_Cascade_Engine'!S69</f>
        <v/>
      </c>
    </row>
    <row r="70">
      <c r="A70" s="7">
        <f>'6_Cascade_Engine'!A70</f>
        <v/>
      </c>
      <c r="B70" s="7">
        <f>'6_Cascade_Engine'!B70</f>
        <v/>
      </c>
      <c r="C70" s="7">
        <f>'1_GICS_Structure'!B70</f>
        <v/>
      </c>
      <c r="D70" s="17">
        <f>'6_Cascade_Engine'!T70</f>
        <v/>
      </c>
      <c r="E70" s="17">
        <f>'6_Cascade_Engine'!U70</f>
        <v/>
      </c>
      <c r="F70" s="17">
        <f>'6_Cascade_Engine'!Q70</f>
        <v/>
      </c>
      <c r="G70" s="17">
        <f>'6_Cascade_Engine'!R70</f>
        <v/>
      </c>
      <c r="H70" s="17">
        <f>'6_Cascade_Engine'!AA70</f>
        <v/>
      </c>
      <c r="I70" s="7">
        <f>'6_Cascade_Engine'!S70</f>
        <v/>
      </c>
    </row>
    <row r="71">
      <c r="A71" s="7">
        <f>'6_Cascade_Engine'!A71</f>
        <v/>
      </c>
      <c r="B71" s="7">
        <f>'6_Cascade_Engine'!B71</f>
        <v/>
      </c>
      <c r="C71" s="7">
        <f>'1_GICS_Structure'!B71</f>
        <v/>
      </c>
      <c r="D71" s="17">
        <f>'6_Cascade_Engine'!T71</f>
        <v/>
      </c>
      <c r="E71" s="17">
        <f>'6_Cascade_Engine'!U71</f>
        <v/>
      </c>
      <c r="F71" s="17">
        <f>'6_Cascade_Engine'!Q71</f>
        <v/>
      </c>
      <c r="G71" s="17">
        <f>'6_Cascade_Engine'!R71</f>
        <v/>
      </c>
      <c r="H71" s="17">
        <f>'6_Cascade_Engine'!AA71</f>
        <v/>
      </c>
      <c r="I71" s="7">
        <f>'6_Cascade_Engine'!S71</f>
        <v/>
      </c>
    </row>
    <row r="72">
      <c r="A72" s="7">
        <f>'6_Cascade_Engine'!A72</f>
        <v/>
      </c>
      <c r="B72" s="7">
        <f>'6_Cascade_Engine'!B72</f>
        <v/>
      </c>
      <c r="C72" s="7">
        <f>'1_GICS_Structure'!B72</f>
        <v/>
      </c>
      <c r="D72" s="17">
        <f>'6_Cascade_Engine'!T72</f>
        <v/>
      </c>
      <c r="E72" s="17">
        <f>'6_Cascade_Engine'!U72</f>
        <v/>
      </c>
      <c r="F72" s="17">
        <f>'6_Cascade_Engine'!Q72</f>
        <v/>
      </c>
      <c r="G72" s="17">
        <f>'6_Cascade_Engine'!R72</f>
        <v/>
      </c>
      <c r="H72" s="17">
        <f>'6_Cascade_Engine'!AA72</f>
        <v/>
      </c>
      <c r="I72" s="7">
        <f>'6_Cascade_Engine'!S72</f>
        <v/>
      </c>
    </row>
    <row r="73">
      <c r="A73" s="7">
        <f>'6_Cascade_Engine'!A73</f>
        <v/>
      </c>
      <c r="B73" s="7">
        <f>'6_Cascade_Engine'!B73</f>
        <v/>
      </c>
      <c r="C73" s="7">
        <f>'1_GICS_Structure'!B73</f>
        <v/>
      </c>
      <c r="D73" s="17">
        <f>'6_Cascade_Engine'!T73</f>
        <v/>
      </c>
      <c r="E73" s="17">
        <f>'6_Cascade_Engine'!U73</f>
        <v/>
      </c>
      <c r="F73" s="17">
        <f>'6_Cascade_Engine'!Q73</f>
        <v/>
      </c>
      <c r="G73" s="17">
        <f>'6_Cascade_Engine'!R73</f>
        <v/>
      </c>
      <c r="H73" s="17">
        <f>'6_Cascade_Engine'!AA73</f>
        <v/>
      </c>
      <c r="I73" s="7">
        <f>'6_Cascade_Engine'!S73</f>
        <v/>
      </c>
    </row>
    <row r="74">
      <c r="A74" s="7">
        <f>'6_Cascade_Engine'!A74</f>
        <v/>
      </c>
      <c r="B74" s="7">
        <f>'6_Cascade_Engine'!B74</f>
        <v/>
      </c>
      <c r="C74" s="7">
        <f>'1_GICS_Structure'!B74</f>
        <v/>
      </c>
      <c r="D74" s="17">
        <f>'6_Cascade_Engine'!T74</f>
        <v/>
      </c>
      <c r="E74" s="17">
        <f>'6_Cascade_Engine'!U74</f>
        <v/>
      </c>
      <c r="F74" s="17">
        <f>'6_Cascade_Engine'!Q74</f>
        <v/>
      </c>
      <c r="G74" s="17">
        <f>'6_Cascade_Engine'!R74</f>
        <v/>
      </c>
      <c r="H74" s="17">
        <f>'6_Cascade_Engine'!AA74</f>
        <v/>
      </c>
      <c r="I74" s="7">
        <f>'6_Cascade_Engine'!S74</f>
        <v/>
      </c>
    </row>
    <row r="75">
      <c r="A75" s="7">
        <f>'6_Cascade_Engine'!A75</f>
        <v/>
      </c>
      <c r="B75" s="7">
        <f>'6_Cascade_Engine'!B75</f>
        <v/>
      </c>
      <c r="C75" s="7">
        <f>'1_GICS_Structure'!B75</f>
        <v/>
      </c>
      <c r="D75" s="17">
        <f>'6_Cascade_Engine'!T75</f>
        <v/>
      </c>
      <c r="E75" s="17">
        <f>'6_Cascade_Engine'!U75</f>
        <v/>
      </c>
      <c r="F75" s="17">
        <f>'6_Cascade_Engine'!Q75</f>
        <v/>
      </c>
      <c r="G75" s="17">
        <f>'6_Cascade_Engine'!R75</f>
        <v/>
      </c>
      <c r="H75" s="17">
        <f>'6_Cascade_Engine'!AA75</f>
        <v/>
      </c>
      <c r="I75" s="7">
        <f>'6_Cascade_Engine'!S75</f>
        <v/>
      </c>
    </row>
    <row r="76">
      <c r="A76" s="7">
        <f>'6_Cascade_Engine'!A76</f>
        <v/>
      </c>
      <c r="B76" s="7">
        <f>'6_Cascade_Engine'!B76</f>
        <v/>
      </c>
      <c r="C76" s="7">
        <f>'1_GICS_Structure'!B76</f>
        <v/>
      </c>
      <c r="D76" s="17">
        <f>'6_Cascade_Engine'!T76</f>
        <v/>
      </c>
      <c r="E76" s="17">
        <f>'6_Cascade_Engine'!U76</f>
        <v/>
      </c>
      <c r="F76" s="17">
        <f>'6_Cascade_Engine'!Q76</f>
        <v/>
      </c>
      <c r="G76" s="17">
        <f>'6_Cascade_Engine'!R76</f>
        <v/>
      </c>
      <c r="H76" s="17">
        <f>'6_Cascade_Engine'!AA76</f>
        <v/>
      </c>
      <c r="I76" s="7">
        <f>'6_Cascade_Engine'!S76</f>
        <v/>
      </c>
    </row>
    <row r="77">
      <c r="A77" s="7">
        <f>'6_Cascade_Engine'!A77</f>
        <v/>
      </c>
      <c r="B77" s="7">
        <f>'6_Cascade_Engine'!B77</f>
        <v/>
      </c>
      <c r="C77" s="7">
        <f>'1_GICS_Structure'!B77</f>
        <v/>
      </c>
      <c r="D77" s="17">
        <f>'6_Cascade_Engine'!T77</f>
        <v/>
      </c>
      <c r="E77" s="17">
        <f>'6_Cascade_Engine'!U77</f>
        <v/>
      </c>
      <c r="F77" s="17">
        <f>'6_Cascade_Engine'!Q77</f>
        <v/>
      </c>
      <c r="G77" s="17">
        <f>'6_Cascade_Engine'!R77</f>
        <v/>
      </c>
      <c r="H77" s="17">
        <f>'6_Cascade_Engine'!AA77</f>
        <v/>
      </c>
      <c r="I77" s="7">
        <f>'6_Cascade_Engine'!S77</f>
        <v/>
      </c>
    </row>
    <row r="78">
      <c r="A78" s="7">
        <f>'6_Cascade_Engine'!A78</f>
        <v/>
      </c>
      <c r="B78" s="7">
        <f>'6_Cascade_Engine'!B78</f>
        <v/>
      </c>
      <c r="C78" s="7">
        <f>'1_GICS_Structure'!B78</f>
        <v/>
      </c>
      <c r="D78" s="17">
        <f>'6_Cascade_Engine'!T78</f>
        <v/>
      </c>
      <c r="E78" s="17">
        <f>'6_Cascade_Engine'!U78</f>
        <v/>
      </c>
      <c r="F78" s="17">
        <f>'6_Cascade_Engine'!Q78</f>
        <v/>
      </c>
      <c r="G78" s="17">
        <f>'6_Cascade_Engine'!R78</f>
        <v/>
      </c>
      <c r="H78" s="17">
        <f>'6_Cascade_Engine'!AA78</f>
        <v/>
      </c>
      <c r="I78" s="7">
        <f>'6_Cascade_Engine'!S78</f>
        <v/>
      </c>
    </row>
    <row r="79">
      <c r="A79" s="7">
        <f>'6_Cascade_Engine'!A79</f>
        <v/>
      </c>
      <c r="B79" s="7">
        <f>'6_Cascade_Engine'!B79</f>
        <v/>
      </c>
      <c r="C79" s="7">
        <f>'1_GICS_Structure'!B79</f>
        <v/>
      </c>
      <c r="D79" s="17">
        <f>'6_Cascade_Engine'!T79</f>
        <v/>
      </c>
      <c r="E79" s="17">
        <f>'6_Cascade_Engine'!U79</f>
        <v/>
      </c>
      <c r="F79" s="17">
        <f>'6_Cascade_Engine'!Q79</f>
        <v/>
      </c>
      <c r="G79" s="17">
        <f>'6_Cascade_Engine'!R79</f>
        <v/>
      </c>
      <c r="H79" s="17">
        <f>'6_Cascade_Engine'!AA79</f>
        <v/>
      </c>
      <c r="I79" s="7">
        <f>'6_Cascade_Engine'!S79</f>
        <v/>
      </c>
    </row>
    <row r="80">
      <c r="A80" s="7">
        <f>'6_Cascade_Engine'!A80</f>
        <v/>
      </c>
      <c r="B80" s="7">
        <f>'6_Cascade_Engine'!B80</f>
        <v/>
      </c>
      <c r="C80" s="7">
        <f>'1_GICS_Structure'!B80</f>
        <v/>
      </c>
      <c r="D80" s="17">
        <f>'6_Cascade_Engine'!T80</f>
        <v/>
      </c>
      <c r="E80" s="17">
        <f>'6_Cascade_Engine'!U80</f>
        <v/>
      </c>
      <c r="F80" s="17">
        <f>'6_Cascade_Engine'!Q80</f>
        <v/>
      </c>
      <c r="G80" s="17">
        <f>'6_Cascade_Engine'!R80</f>
        <v/>
      </c>
      <c r="H80" s="17">
        <f>'6_Cascade_Engine'!AA80</f>
        <v/>
      </c>
      <c r="I80" s="7">
        <f>'6_Cascade_Engine'!S80</f>
        <v/>
      </c>
    </row>
    <row r="81">
      <c r="A81" s="7">
        <f>'6_Cascade_Engine'!A81</f>
        <v/>
      </c>
      <c r="B81" s="7">
        <f>'6_Cascade_Engine'!B81</f>
        <v/>
      </c>
      <c r="C81" s="7">
        <f>'1_GICS_Structure'!B81</f>
        <v/>
      </c>
      <c r="D81" s="17">
        <f>'6_Cascade_Engine'!T81</f>
        <v/>
      </c>
      <c r="E81" s="17">
        <f>'6_Cascade_Engine'!U81</f>
        <v/>
      </c>
      <c r="F81" s="17">
        <f>'6_Cascade_Engine'!Q81</f>
        <v/>
      </c>
      <c r="G81" s="17">
        <f>'6_Cascade_Engine'!R81</f>
        <v/>
      </c>
      <c r="H81" s="17">
        <f>'6_Cascade_Engine'!AA81</f>
        <v/>
      </c>
      <c r="I81" s="7">
        <f>'6_Cascade_Engine'!S81</f>
        <v/>
      </c>
    </row>
    <row r="82">
      <c r="A82" s="7">
        <f>'6_Cascade_Engine'!A82</f>
        <v/>
      </c>
      <c r="B82" s="7">
        <f>'6_Cascade_Engine'!B82</f>
        <v/>
      </c>
      <c r="C82" s="7">
        <f>'1_GICS_Structure'!B82</f>
        <v/>
      </c>
      <c r="D82" s="17">
        <f>'6_Cascade_Engine'!T82</f>
        <v/>
      </c>
      <c r="E82" s="17">
        <f>'6_Cascade_Engine'!U82</f>
        <v/>
      </c>
      <c r="F82" s="17">
        <f>'6_Cascade_Engine'!Q82</f>
        <v/>
      </c>
      <c r="G82" s="17">
        <f>'6_Cascade_Engine'!R82</f>
        <v/>
      </c>
      <c r="H82" s="17">
        <f>'6_Cascade_Engine'!AA82</f>
        <v/>
      </c>
      <c r="I82" s="7">
        <f>'6_Cascade_Engine'!S82</f>
        <v/>
      </c>
    </row>
    <row r="83">
      <c r="A83" s="7">
        <f>'6_Cascade_Engine'!A83</f>
        <v/>
      </c>
      <c r="B83" s="7">
        <f>'6_Cascade_Engine'!B83</f>
        <v/>
      </c>
      <c r="C83" s="7">
        <f>'1_GICS_Structure'!B83</f>
        <v/>
      </c>
      <c r="D83" s="17">
        <f>'6_Cascade_Engine'!T83</f>
        <v/>
      </c>
      <c r="E83" s="17">
        <f>'6_Cascade_Engine'!U83</f>
        <v/>
      </c>
      <c r="F83" s="17">
        <f>'6_Cascade_Engine'!Q83</f>
        <v/>
      </c>
      <c r="G83" s="17">
        <f>'6_Cascade_Engine'!R83</f>
        <v/>
      </c>
      <c r="H83" s="17">
        <f>'6_Cascade_Engine'!AA83</f>
        <v/>
      </c>
      <c r="I83" s="7">
        <f>'6_Cascade_Engine'!S83</f>
        <v/>
      </c>
    </row>
    <row r="84">
      <c r="A84" s="7">
        <f>'6_Cascade_Engine'!A84</f>
        <v/>
      </c>
      <c r="B84" s="7">
        <f>'6_Cascade_Engine'!B84</f>
        <v/>
      </c>
      <c r="C84" s="7">
        <f>'1_GICS_Structure'!B84</f>
        <v/>
      </c>
      <c r="D84" s="17">
        <f>'6_Cascade_Engine'!T84</f>
        <v/>
      </c>
      <c r="E84" s="17">
        <f>'6_Cascade_Engine'!U84</f>
        <v/>
      </c>
      <c r="F84" s="17">
        <f>'6_Cascade_Engine'!Q84</f>
        <v/>
      </c>
      <c r="G84" s="17">
        <f>'6_Cascade_Engine'!R84</f>
        <v/>
      </c>
      <c r="H84" s="17">
        <f>'6_Cascade_Engine'!AA84</f>
        <v/>
      </c>
      <c r="I84" s="7">
        <f>'6_Cascade_Engine'!S84</f>
        <v/>
      </c>
    </row>
    <row r="85">
      <c r="A85" s="7">
        <f>'6_Cascade_Engine'!A85</f>
        <v/>
      </c>
      <c r="B85" s="7">
        <f>'6_Cascade_Engine'!B85</f>
        <v/>
      </c>
      <c r="C85" s="7">
        <f>'1_GICS_Structure'!B85</f>
        <v/>
      </c>
      <c r="D85" s="17">
        <f>'6_Cascade_Engine'!T85</f>
        <v/>
      </c>
      <c r="E85" s="17">
        <f>'6_Cascade_Engine'!U85</f>
        <v/>
      </c>
      <c r="F85" s="17">
        <f>'6_Cascade_Engine'!Q85</f>
        <v/>
      </c>
      <c r="G85" s="17">
        <f>'6_Cascade_Engine'!R85</f>
        <v/>
      </c>
      <c r="H85" s="17">
        <f>'6_Cascade_Engine'!AA85</f>
        <v/>
      </c>
      <c r="I85" s="7">
        <f>'6_Cascade_Engine'!S85</f>
        <v/>
      </c>
    </row>
    <row r="86">
      <c r="A86" s="7">
        <f>'6_Cascade_Engine'!A86</f>
        <v/>
      </c>
      <c r="B86" s="7">
        <f>'6_Cascade_Engine'!B86</f>
        <v/>
      </c>
      <c r="C86" s="7">
        <f>'1_GICS_Structure'!B86</f>
        <v/>
      </c>
      <c r="D86" s="17">
        <f>'6_Cascade_Engine'!T86</f>
        <v/>
      </c>
      <c r="E86" s="17">
        <f>'6_Cascade_Engine'!U86</f>
        <v/>
      </c>
      <c r="F86" s="17">
        <f>'6_Cascade_Engine'!Q86</f>
        <v/>
      </c>
      <c r="G86" s="17">
        <f>'6_Cascade_Engine'!R86</f>
        <v/>
      </c>
      <c r="H86" s="17">
        <f>'6_Cascade_Engine'!AA86</f>
        <v/>
      </c>
      <c r="I86" s="7">
        <f>'6_Cascade_Engine'!S86</f>
        <v/>
      </c>
    </row>
    <row r="87">
      <c r="A87" s="7">
        <f>'6_Cascade_Engine'!A87</f>
        <v/>
      </c>
      <c r="B87" s="7">
        <f>'6_Cascade_Engine'!B87</f>
        <v/>
      </c>
      <c r="C87" s="7">
        <f>'1_GICS_Structure'!B87</f>
        <v/>
      </c>
      <c r="D87" s="17">
        <f>'6_Cascade_Engine'!T87</f>
        <v/>
      </c>
      <c r="E87" s="17">
        <f>'6_Cascade_Engine'!U87</f>
        <v/>
      </c>
      <c r="F87" s="17">
        <f>'6_Cascade_Engine'!Q87</f>
        <v/>
      </c>
      <c r="G87" s="17">
        <f>'6_Cascade_Engine'!R87</f>
        <v/>
      </c>
      <c r="H87" s="17">
        <f>'6_Cascade_Engine'!AA87</f>
        <v/>
      </c>
      <c r="I87" s="7">
        <f>'6_Cascade_Engine'!S87</f>
        <v/>
      </c>
    </row>
    <row r="88">
      <c r="A88" s="7">
        <f>'6_Cascade_Engine'!A88</f>
        <v/>
      </c>
      <c r="B88" s="7">
        <f>'6_Cascade_Engine'!B88</f>
        <v/>
      </c>
      <c r="C88" s="7">
        <f>'1_GICS_Structure'!B88</f>
        <v/>
      </c>
      <c r="D88" s="17">
        <f>'6_Cascade_Engine'!T88</f>
        <v/>
      </c>
      <c r="E88" s="17">
        <f>'6_Cascade_Engine'!U88</f>
        <v/>
      </c>
      <c r="F88" s="17">
        <f>'6_Cascade_Engine'!Q88</f>
        <v/>
      </c>
      <c r="G88" s="17">
        <f>'6_Cascade_Engine'!R88</f>
        <v/>
      </c>
      <c r="H88" s="17">
        <f>'6_Cascade_Engine'!AA88</f>
        <v/>
      </c>
      <c r="I88" s="7">
        <f>'6_Cascade_Engine'!S88</f>
        <v/>
      </c>
    </row>
    <row r="89">
      <c r="A89" s="7">
        <f>'6_Cascade_Engine'!A89</f>
        <v/>
      </c>
      <c r="B89" s="7">
        <f>'6_Cascade_Engine'!B89</f>
        <v/>
      </c>
      <c r="C89" s="7">
        <f>'1_GICS_Structure'!B89</f>
        <v/>
      </c>
      <c r="D89" s="17">
        <f>'6_Cascade_Engine'!T89</f>
        <v/>
      </c>
      <c r="E89" s="17">
        <f>'6_Cascade_Engine'!U89</f>
        <v/>
      </c>
      <c r="F89" s="17">
        <f>'6_Cascade_Engine'!Q89</f>
        <v/>
      </c>
      <c r="G89" s="17">
        <f>'6_Cascade_Engine'!R89</f>
        <v/>
      </c>
      <c r="H89" s="17">
        <f>'6_Cascade_Engine'!AA89</f>
        <v/>
      </c>
      <c r="I89" s="7">
        <f>'6_Cascade_Engine'!S89</f>
        <v/>
      </c>
    </row>
    <row r="90">
      <c r="A90" s="7">
        <f>'6_Cascade_Engine'!A90</f>
        <v/>
      </c>
      <c r="B90" s="7">
        <f>'6_Cascade_Engine'!B90</f>
        <v/>
      </c>
      <c r="C90" s="7">
        <f>'1_GICS_Structure'!B90</f>
        <v/>
      </c>
      <c r="D90" s="17">
        <f>'6_Cascade_Engine'!T90</f>
        <v/>
      </c>
      <c r="E90" s="17">
        <f>'6_Cascade_Engine'!U90</f>
        <v/>
      </c>
      <c r="F90" s="17">
        <f>'6_Cascade_Engine'!Q90</f>
        <v/>
      </c>
      <c r="G90" s="17">
        <f>'6_Cascade_Engine'!R90</f>
        <v/>
      </c>
      <c r="H90" s="17">
        <f>'6_Cascade_Engine'!AA90</f>
        <v/>
      </c>
      <c r="I90" s="7">
        <f>'6_Cascade_Engine'!S90</f>
        <v/>
      </c>
    </row>
    <row r="91">
      <c r="A91" s="7">
        <f>'6_Cascade_Engine'!A91</f>
        <v/>
      </c>
      <c r="B91" s="7">
        <f>'6_Cascade_Engine'!B91</f>
        <v/>
      </c>
      <c r="C91" s="7">
        <f>'1_GICS_Structure'!B91</f>
        <v/>
      </c>
      <c r="D91" s="17">
        <f>'6_Cascade_Engine'!T91</f>
        <v/>
      </c>
      <c r="E91" s="17">
        <f>'6_Cascade_Engine'!U91</f>
        <v/>
      </c>
      <c r="F91" s="17">
        <f>'6_Cascade_Engine'!Q91</f>
        <v/>
      </c>
      <c r="G91" s="17">
        <f>'6_Cascade_Engine'!R91</f>
        <v/>
      </c>
      <c r="H91" s="17">
        <f>'6_Cascade_Engine'!AA91</f>
        <v/>
      </c>
      <c r="I91" s="7">
        <f>'6_Cascade_Engine'!S91</f>
        <v/>
      </c>
    </row>
    <row r="92">
      <c r="A92" s="7">
        <f>'6_Cascade_Engine'!A92</f>
        <v/>
      </c>
      <c r="B92" s="7">
        <f>'6_Cascade_Engine'!B92</f>
        <v/>
      </c>
      <c r="C92" s="7">
        <f>'1_GICS_Structure'!B92</f>
        <v/>
      </c>
      <c r="D92" s="17">
        <f>'6_Cascade_Engine'!T92</f>
        <v/>
      </c>
      <c r="E92" s="17">
        <f>'6_Cascade_Engine'!U92</f>
        <v/>
      </c>
      <c r="F92" s="17">
        <f>'6_Cascade_Engine'!Q92</f>
        <v/>
      </c>
      <c r="G92" s="17">
        <f>'6_Cascade_Engine'!R92</f>
        <v/>
      </c>
      <c r="H92" s="17">
        <f>'6_Cascade_Engine'!AA92</f>
        <v/>
      </c>
      <c r="I92" s="7">
        <f>'6_Cascade_Engine'!S92</f>
        <v/>
      </c>
    </row>
    <row r="93">
      <c r="A93" s="7">
        <f>'6_Cascade_Engine'!A93</f>
        <v/>
      </c>
      <c r="B93" s="7">
        <f>'6_Cascade_Engine'!B93</f>
        <v/>
      </c>
      <c r="C93" s="7">
        <f>'1_GICS_Structure'!B93</f>
        <v/>
      </c>
      <c r="D93" s="17">
        <f>'6_Cascade_Engine'!T93</f>
        <v/>
      </c>
      <c r="E93" s="17">
        <f>'6_Cascade_Engine'!U93</f>
        <v/>
      </c>
      <c r="F93" s="17">
        <f>'6_Cascade_Engine'!Q93</f>
        <v/>
      </c>
      <c r="G93" s="17">
        <f>'6_Cascade_Engine'!R93</f>
        <v/>
      </c>
      <c r="H93" s="17">
        <f>'6_Cascade_Engine'!AA93</f>
        <v/>
      </c>
      <c r="I93" s="7">
        <f>'6_Cascade_Engine'!S93</f>
        <v/>
      </c>
    </row>
    <row r="94">
      <c r="A94" s="7">
        <f>'6_Cascade_Engine'!A94</f>
        <v/>
      </c>
      <c r="B94" s="7">
        <f>'6_Cascade_Engine'!B94</f>
        <v/>
      </c>
      <c r="C94" s="7">
        <f>'1_GICS_Structure'!B94</f>
        <v/>
      </c>
      <c r="D94" s="17">
        <f>'6_Cascade_Engine'!T94</f>
        <v/>
      </c>
      <c r="E94" s="17">
        <f>'6_Cascade_Engine'!U94</f>
        <v/>
      </c>
      <c r="F94" s="17">
        <f>'6_Cascade_Engine'!Q94</f>
        <v/>
      </c>
      <c r="G94" s="17">
        <f>'6_Cascade_Engine'!R94</f>
        <v/>
      </c>
      <c r="H94" s="17">
        <f>'6_Cascade_Engine'!AA94</f>
        <v/>
      </c>
      <c r="I94" s="7">
        <f>'6_Cascade_Engine'!S94</f>
        <v/>
      </c>
    </row>
    <row r="95">
      <c r="A95" s="7">
        <f>'6_Cascade_Engine'!A95</f>
        <v/>
      </c>
      <c r="B95" s="7">
        <f>'6_Cascade_Engine'!B95</f>
        <v/>
      </c>
      <c r="C95" s="7">
        <f>'1_GICS_Structure'!B95</f>
        <v/>
      </c>
      <c r="D95" s="17">
        <f>'6_Cascade_Engine'!T95</f>
        <v/>
      </c>
      <c r="E95" s="17">
        <f>'6_Cascade_Engine'!U95</f>
        <v/>
      </c>
      <c r="F95" s="17">
        <f>'6_Cascade_Engine'!Q95</f>
        <v/>
      </c>
      <c r="G95" s="17">
        <f>'6_Cascade_Engine'!R95</f>
        <v/>
      </c>
      <c r="H95" s="17">
        <f>'6_Cascade_Engine'!AA95</f>
        <v/>
      </c>
      <c r="I95" s="7">
        <f>'6_Cascade_Engine'!S95</f>
        <v/>
      </c>
    </row>
    <row r="96">
      <c r="A96" s="7">
        <f>'6_Cascade_Engine'!A96</f>
        <v/>
      </c>
      <c r="B96" s="7">
        <f>'6_Cascade_Engine'!B96</f>
        <v/>
      </c>
      <c r="C96" s="7">
        <f>'1_GICS_Structure'!B96</f>
        <v/>
      </c>
      <c r="D96" s="17">
        <f>'6_Cascade_Engine'!T96</f>
        <v/>
      </c>
      <c r="E96" s="17">
        <f>'6_Cascade_Engine'!U96</f>
        <v/>
      </c>
      <c r="F96" s="17">
        <f>'6_Cascade_Engine'!Q96</f>
        <v/>
      </c>
      <c r="G96" s="17">
        <f>'6_Cascade_Engine'!R96</f>
        <v/>
      </c>
      <c r="H96" s="17">
        <f>'6_Cascade_Engine'!AA96</f>
        <v/>
      </c>
      <c r="I96" s="7">
        <f>'6_Cascade_Engine'!S96</f>
        <v/>
      </c>
    </row>
    <row r="97">
      <c r="A97" s="7">
        <f>'6_Cascade_Engine'!A97</f>
        <v/>
      </c>
      <c r="B97" s="7">
        <f>'6_Cascade_Engine'!B97</f>
        <v/>
      </c>
      <c r="C97" s="7">
        <f>'1_GICS_Structure'!B97</f>
        <v/>
      </c>
      <c r="D97" s="17">
        <f>'6_Cascade_Engine'!T97</f>
        <v/>
      </c>
      <c r="E97" s="17">
        <f>'6_Cascade_Engine'!U97</f>
        <v/>
      </c>
      <c r="F97" s="17">
        <f>'6_Cascade_Engine'!Q97</f>
        <v/>
      </c>
      <c r="G97" s="17">
        <f>'6_Cascade_Engine'!R97</f>
        <v/>
      </c>
      <c r="H97" s="17">
        <f>'6_Cascade_Engine'!AA97</f>
        <v/>
      </c>
      <c r="I97" s="7">
        <f>'6_Cascade_Engine'!S97</f>
        <v/>
      </c>
    </row>
    <row r="98">
      <c r="A98" s="7">
        <f>'6_Cascade_Engine'!A98</f>
        <v/>
      </c>
      <c r="B98" s="7">
        <f>'6_Cascade_Engine'!B98</f>
        <v/>
      </c>
      <c r="C98" s="7">
        <f>'1_GICS_Structure'!B98</f>
        <v/>
      </c>
      <c r="D98" s="17">
        <f>'6_Cascade_Engine'!T98</f>
        <v/>
      </c>
      <c r="E98" s="17">
        <f>'6_Cascade_Engine'!U98</f>
        <v/>
      </c>
      <c r="F98" s="17">
        <f>'6_Cascade_Engine'!Q98</f>
        <v/>
      </c>
      <c r="G98" s="17">
        <f>'6_Cascade_Engine'!R98</f>
        <v/>
      </c>
      <c r="H98" s="17">
        <f>'6_Cascade_Engine'!AA98</f>
        <v/>
      </c>
      <c r="I98" s="7">
        <f>'6_Cascade_Engine'!S98</f>
        <v/>
      </c>
    </row>
    <row r="99">
      <c r="A99" s="7">
        <f>'6_Cascade_Engine'!A99</f>
        <v/>
      </c>
      <c r="B99" s="7">
        <f>'6_Cascade_Engine'!B99</f>
        <v/>
      </c>
      <c r="C99" s="7">
        <f>'1_GICS_Structure'!B99</f>
        <v/>
      </c>
      <c r="D99" s="17">
        <f>'6_Cascade_Engine'!T99</f>
        <v/>
      </c>
      <c r="E99" s="17">
        <f>'6_Cascade_Engine'!U99</f>
        <v/>
      </c>
      <c r="F99" s="17">
        <f>'6_Cascade_Engine'!Q99</f>
        <v/>
      </c>
      <c r="G99" s="17">
        <f>'6_Cascade_Engine'!R99</f>
        <v/>
      </c>
      <c r="H99" s="17">
        <f>'6_Cascade_Engine'!AA99</f>
        <v/>
      </c>
      <c r="I99" s="7">
        <f>'6_Cascade_Engine'!S99</f>
        <v/>
      </c>
    </row>
    <row r="100">
      <c r="A100" s="7">
        <f>'6_Cascade_Engine'!A100</f>
        <v/>
      </c>
      <c r="B100" s="7">
        <f>'6_Cascade_Engine'!B100</f>
        <v/>
      </c>
      <c r="C100" s="7">
        <f>'1_GICS_Structure'!B100</f>
        <v/>
      </c>
      <c r="D100" s="17">
        <f>'6_Cascade_Engine'!T100</f>
        <v/>
      </c>
      <c r="E100" s="17">
        <f>'6_Cascade_Engine'!U100</f>
        <v/>
      </c>
      <c r="F100" s="17">
        <f>'6_Cascade_Engine'!Q100</f>
        <v/>
      </c>
      <c r="G100" s="17">
        <f>'6_Cascade_Engine'!R100</f>
        <v/>
      </c>
      <c r="H100" s="17">
        <f>'6_Cascade_Engine'!AA100</f>
        <v/>
      </c>
      <c r="I100" s="7">
        <f>'6_Cascade_Engine'!S100</f>
        <v/>
      </c>
    </row>
    <row r="101">
      <c r="A101" s="7">
        <f>'6_Cascade_Engine'!A101</f>
        <v/>
      </c>
      <c r="B101" s="7">
        <f>'6_Cascade_Engine'!B101</f>
        <v/>
      </c>
      <c r="C101" s="7">
        <f>'1_GICS_Structure'!B101</f>
        <v/>
      </c>
      <c r="D101" s="17">
        <f>'6_Cascade_Engine'!T101</f>
        <v/>
      </c>
      <c r="E101" s="17">
        <f>'6_Cascade_Engine'!U101</f>
        <v/>
      </c>
      <c r="F101" s="17">
        <f>'6_Cascade_Engine'!Q101</f>
        <v/>
      </c>
      <c r="G101" s="17">
        <f>'6_Cascade_Engine'!R101</f>
        <v/>
      </c>
      <c r="H101" s="17">
        <f>'6_Cascade_Engine'!AA101</f>
        <v/>
      </c>
      <c r="I101" s="7">
        <f>'6_Cascade_Engine'!S101</f>
        <v/>
      </c>
    </row>
    <row r="102">
      <c r="A102" s="7">
        <f>'6_Cascade_Engine'!A102</f>
        <v/>
      </c>
      <c r="B102" s="7">
        <f>'6_Cascade_Engine'!B102</f>
        <v/>
      </c>
      <c r="C102" s="7">
        <f>'1_GICS_Structure'!B102</f>
        <v/>
      </c>
      <c r="D102" s="17">
        <f>'6_Cascade_Engine'!T102</f>
        <v/>
      </c>
      <c r="E102" s="17">
        <f>'6_Cascade_Engine'!U102</f>
        <v/>
      </c>
      <c r="F102" s="17">
        <f>'6_Cascade_Engine'!Q102</f>
        <v/>
      </c>
      <c r="G102" s="17">
        <f>'6_Cascade_Engine'!R102</f>
        <v/>
      </c>
      <c r="H102" s="17">
        <f>'6_Cascade_Engine'!AA102</f>
        <v/>
      </c>
      <c r="I102" s="7">
        <f>'6_Cascade_Engine'!S102</f>
        <v/>
      </c>
    </row>
    <row r="103">
      <c r="A103" s="7">
        <f>'6_Cascade_Engine'!A103</f>
        <v/>
      </c>
      <c r="B103" s="7">
        <f>'6_Cascade_Engine'!B103</f>
        <v/>
      </c>
      <c r="C103" s="7">
        <f>'1_GICS_Structure'!B103</f>
        <v/>
      </c>
      <c r="D103" s="17">
        <f>'6_Cascade_Engine'!T103</f>
        <v/>
      </c>
      <c r="E103" s="17">
        <f>'6_Cascade_Engine'!U103</f>
        <v/>
      </c>
      <c r="F103" s="17">
        <f>'6_Cascade_Engine'!Q103</f>
        <v/>
      </c>
      <c r="G103" s="17">
        <f>'6_Cascade_Engine'!R103</f>
        <v/>
      </c>
      <c r="H103" s="17">
        <f>'6_Cascade_Engine'!AA103</f>
        <v/>
      </c>
      <c r="I103" s="7">
        <f>'6_Cascade_Engine'!S103</f>
        <v/>
      </c>
    </row>
    <row r="104">
      <c r="A104" s="7">
        <f>'6_Cascade_Engine'!A104</f>
        <v/>
      </c>
      <c r="B104" s="7">
        <f>'6_Cascade_Engine'!B104</f>
        <v/>
      </c>
      <c r="C104" s="7">
        <f>'1_GICS_Structure'!B104</f>
        <v/>
      </c>
      <c r="D104" s="17">
        <f>'6_Cascade_Engine'!T104</f>
        <v/>
      </c>
      <c r="E104" s="17">
        <f>'6_Cascade_Engine'!U104</f>
        <v/>
      </c>
      <c r="F104" s="17">
        <f>'6_Cascade_Engine'!Q104</f>
        <v/>
      </c>
      <c r="G104" s="17">
        <f>'6_Cascade_Engine'!R104</f>
        <v/>
      </c>
      <c r="H104" s="17">
        <f>'6_Cascade_Engine'!AA104</f>
        <v/>
      </c>
      <c r="I104" s="7">
        <f>'6_Cascade_Engine'!S104</f>
        <v/>
      </c>
    </row>
    <row r="105">
      <c r="A105" s="7">
        <f>'6_Cascade_Engine'!A105</f>
        <v/>
      </c>
      <c r="B105" s="7">
        <f>'6_Cascade_Engine'!B105</f>
        <v/>
      </c>
      <c r="C105" s="7">
        <f>'1_GICS_Structure'!B105</f>
        <v/>
      </c>
      <c r="D105" s="17">
        <f>'6_Cascade_Engine'!T105</f>
        <v/>
      </c>
      <c r="E105" s="17">
        <f>'6_Cascade_Engine'!U105</f>
        <v/>
      </c>
      <c r="F105" s="17">
        <f>'6_Cascade_Engine'!Q105</f>
        <v/>
      </c>
      <c r="G105" s="17">
        <f>'6_Cascade_Engine'!R105</f>
        <v/>
      </c>
      <c r="H105" s="17">
        <f>'6_Cascade_Engine'!AA105</f>
        <v/>
      </c>
      <c r="I105" s="7">
        <f>'6_Cascade_Engine'!S105</f>
        <v/>
      </c>
    </row>
    <row r="106">
      <c r="A106" s="7">
        <f>'6_Cascade_Engine'!A106</f>
        <v/>
      </c>
      <c r="B106" s="7">
        <f>'6_Cascade_Engine'!B106</f>
        <v/>
      </c>
      <c r="C106" s="7">
        <f>'1_GICS_Structure'!B106</f>
        <v/>
      </c>
      <c r="D106" s="17">
        <f>'6_Cascade_Engine'!T106</f>
        <v/>
      </c>
      <c r="E106" s="17">
        <f>'6_Cascade_Engine'!U106</f>
        <v/>
      </c>
      <c r="F106" s="17">
        <f>'6_Cascade_Engine'!Q106</f>
        <v/>
      </c>
      <c r="G106" s="17">
        <f>'6_Cascade_Engine'!R106</f>
        <v/>
      </c>
      <c r="H106" s="17">
        <f>'6_Cascade_Engine'!AA106</f>
        <v/>
      </c>
      <c r="I106" s="7">
        <f>'6_Cascade_Engine'!S106</f>
        <v/>
      </c>
    </row>
    <row r="107">
      <c r="A107" s="7">
        <f>'6_Cascade_Engine'!A107</f>
        <v/>
      </c>
      <c r="B107" s="7">
        <f>'6_Cascade_Engine'!B107</f>
        <v/>
      </c>
      <c r="C107" s="7">
        <f>'1_GICS_Structure'!B107</f>
        <v/>
      </c>
      <c r="D107" s="17">
        <f>'6_Cascade_Engine'!T107</f>
        <v/>
      </c>
      <c r="E107" s="17">
        <f>'6_Cascade_Engine'!U107</f>
        <v/>
      </c>
      <c r="F107" s="17">
        <f>'6_Cascade_Engine'!Q107</f>
        <v/>
      </c>
      <c r="G107" s="17">
        <f>'6_Cascade_Engine'!R107</f>
        <v/>
      </c>
      <c r="H107" s="17">
        <f>'6_Cascade_Engine'!AA107</f>
        <v/>
      </c>
      <c r="I107" s="7">
        <f>'6_Cascade_Engine'!S107</f>
        <v/>
      </c>
    </row>
    <row r="108">
      <c r="A108" s="7">
        <f>'6_Cascade_Engine'!A108</f>
        <v/>
      </c>
      <c r="B108" s="7">
        <f>'6_Cascade_Engine'!B108</f>
        <v/>
      </c>
      <c r="C108" s="7">
        <f>'1_GICS_Structure'!B108</f>
        <v/>
      </c>
      <c r="D108" s="17">
        <f>'6_Cascade_Engine'!T108</f>
        <v/>
      </c>
      <c r="E108" s="17">
        <f>'6_Cascade_Engine'!U108</f>
        <v/>
      </c>
      <c r="F108" s="17">
        <f>'6_Cascade_Engine'!Q108</f>
        <v/>
      </c>
      <c r="G108" s="17">
        <f>'6_Cascade_Engine'!R108</f>
        <v/>
      </c>
      <c r="H108" s="17">
        <f>'6_Cascade_Engine'!AA108</f>
        <v/>
      </c>
      <c r="I108" s="7">
        <f>'6_Cascade_Engine'!S108</f>
        <v/>
      </c>
    </row>
    <row r="109">
      <c r="A109" s="7">
        <f>'6_Cascade_Engine'!A109</f>
        <v/>
      </c>
      <c r="B109" s="7">
        <f>'6_Cascade_Engine'!B109</f>
        <v/>
      </c>
      <c r="C109" s="7">
        <f>'1_GICS_Structure'!B109</f>
        <v/>
      </c>
      <c r="D109" s="17">
        <f>'6_Cascade_Engine'!T109</f>
        <v/>
      </c>
      <c r="E109" s="17">
        <f>'6_Cascade_Engine'!U109</f>
        <v/>
      </c>
      <c r="F109" s="17">
        <f>'6_Cascade_Engine'!Q109</f>
        <v/>
      </c>
      <c r="G109" s="17">
        <f>'6_Cascade_Engine'!R109</f>
        <v/>
      </c>
      <c r="H109" s="17">
        <f>'6_Cascade_Engine'!AA109</f>
        <v/>
      </c>
      <c r="I109" s="7">
        <f>'6_Cascade_Engine'!S109</f>
        <v/>
      </c>
    </row>
    <row r="110">
      <c r="A110" s="7">
        <f>'6_Cascade_Engine'!A110</f>
        <v/>
      </c>
      <c r="B110" s="7">
        <f>'6_Cascade_Engine'!B110</f>
        <v/>
      </c>
      <c r="C110" s="7">
        <f>'1_GICS_Structure'!B110</f>
        <v/>
      </c>
      <c r="D110" s="17">
        <f>'6_Cascade_Engine'!T110</f>
        <v/>
      </c>
      <c r="E110" s="17">
        <f>'6_Cascade_Engine'!U110</f>
        <v/>
      </c>
      <c r="F110" s="17">
        <f>'6_Cascade_Engine'!Q110</f>
        <v/>
      </c>
      <c r="G110" s="17">
        <f>'6_Cascade_Engine'!R110</f>
        <v/>
      </c>
      <c r="H110" s="17">
        <f>'6_Cascade_Engine'!AA110</f>
        <v/>
      </c>
      <c r="I110" s="7">
        <f>'6_Cascade_Engine'!S110</f>
        <v/>
      </c>
    </row>
    <row r="111">
      <c r="A111" s="7">
        <f>'6_Cascade_Engine'!A111</f>
        <v/>
      </c>
      <c r="B111" s="7">
        <f>'6_Cascade_Engine'!B111</f>
        <v/>
      </c>
      <c r="C111" s="7">
        <f>'1_GICS_Structure'!B111</f>
        <v/>
      </c>
      <c r="D111" s="17">
        <f>'6_Cascade_Engine'!T111</f>
        <v/>
      </c>
      <c r="E111" s="17">
        <f>'6_Cascade_Engine'!U111</f>
        <v/>
      </c>
      <c r="F111" s="17">
        <f>'6_Cascade_Engine'!Q111</f>
        <v/>
      </c>
      <c r="G111" s="17">
        <f>'6_Cascade_Engine'!R111</f>
        <v/>
      </c>
      <c r="H111" s="17">
        <f>'6_Cascade_Engine'!AA111</f>
        <v/>
      </c>
      <c r="I111" s="7">
        <f>'6_Cascade_Engine'!S111</f>
        <v/>
      </c>
    </row>
    <row r="112">
      <c r="A112" s="7">
        <f>'6_Cascade_Engine'!A112</f>
        <v/>
      </c>
      <c r="B112" s="7">
        <f>'6_Cascade_Engine'!B112</f>
        <v/>
      </c>
      <c r="C112" s="7">
        <f>'1_GICS_Structure'!B112</f>
        <v/>
      </c>
      <c r="D112" s="17">
        <f>'6_Cascade_Engine'!T112</f>
        <v/>
      </c>
      <c r="E112" s="17">
        <f>'6_Cascade_Engine'!U112</f>
        <v/>
      </c>
      <c r="F112" s="17">
        <f>'6_Cascade_Engine'!Q112</f>
        <v/>
      </c>
      <c r="G112" s="17">
        <f>'6_Cascade_Engine'!R112</f>
        <v/>
      </c>
      <c r="H112" s="17">
        <f>'6_Cascade_Engine'!AA112</f>
        <v/>
      </c>
      <c r="I112" s="7">
        <f>'6_Cascade_Engine'!S112</f>
        <v/>
      </c>
    </row>
    <row r="113">
      <c r="A113" s="7">
        <f>'6_Cascade_Engine'!A113</f>
        <v/>
      </c>
      <c r="B113" s="7">
        <f>'6_Cascade_Engine'!B113</f>
        <v/>
      </c>
      <c r="C113" s="7">
        <f>'1_GICS_Structure'!B113</f>
        <v/>
      </c>
      <c r="D113" s="17">
        <f>'6_Cascade_Engine'!T113</f>
        <v/>
      </c>
      <c r="E113" s="17">
        <f>'6_Cascade_Engine'!U113</f>
        <v/>
      </c>
      <c r="F113" s="17">
        <f>'6_Cascade_Engine'!Q113</f>
        <v/>
      </c>
      <c r="G113" s="17">
        <f>'6_Cascade_Engine'!R113</f>
        <v/>
      </c>
      <c r="H113" s="17">
        <f>'6_Cascade_Engine'!AA113</f>
        <v/>
      </c>
      <c r="I113" s="7">
        <f>'6_Cascade_Engine'!S113</f>
        <v/>
      </c>
    </row>
    <row r="114">
      <c r="A114" s="7">
        <f>'6_Cascade_Engine'!A114</f>
        <v/>
      </c>
      <c r="B114" s="7">
        <f>'6_Cascade_Engine'!B114</f>
        <v/>
      </c>
      <c r="C114" s="7">
        <f>'1_GICS_Structure'!B114</f>
        <v/>
      </c>
      <c r="D114" s="17">
        <f>'6_Cascade_Engine'!T114</f>
        <v/>
      </c>
      <c r="E114" s="17">
        <f>'6_Cascade_Engine'!U114</f>
        <v/>
      </c>
      <c r="F114" s="17">
        <f>'6_Cascade_Engine'!Q114</f>
        <v/>
      </c>
      <c r="G114" s="17">
        <f>'6_Cascade_Engine'!R114</f>
        <v/>
      </c>
      <c r="H114" s="17">
        <f>'6_Cascade_Engine'!AA114</f>
        <v/>
      </c>
      <c r="I114" s="7">
        <f>'6_Cascade_Engine'!S114</f>
        <v/>
      </c>
    </row>
    <row r="115">
      <c r="A115" s="7">
        <f>'6_Cascade_Engine'!A115</f>
        <v/>
      </c>
      <c r="B115" s="7">
        <f>'6_Cascade_Engine'!B115</f>
        <v/>
      </c>
      <c r="C115" s="7">
        <f>'1_GICS_Structure'!B115</f>
        <v/>
      </c>
      <c r="D115" s="17">
        <f>'6_Cascade_Engine'!T115</f>
        <v/>
      </c>
      <c r="E115" s="17">
        <f>'6_Cascade_Engine'!U115</f>
        <v/>
      </c>
      <c r="F115" s="17">
        <f>'6_Cascade_Engine'!Q115</f>
        <v/>
      </c>
      <c r="G115" s="17">
        <f>'6_Cascade_Engine'!R115</f>
        <v/>
      </c>
      <c r="H115" s="17">
        <f>'6_Cascade_Engine'!AA115</f>
        <v/>
      </c>
      <c r="I115" s="7">
        <f>'6_Cascade_Engine'!S115</f>
        <v/>
      </c>
    </row>
    <row r="116">
      <c r="A116" s="7">
        <f>'6_Cascade_Engine'!A116</f>
        <v/>
      </c>
      <c r="B116" s="7">
        <f>'6_Cascade_Engine'!B116</f>
        <v/>
      </c>
      <c r="C116" s="7">
        <f>'1_GICS_Structure'!B116</f>
        <v/>
      </c>
      <c r="D116" s="17">
        <f>'6_Cascade_Engine'!T116</f>
        <v/>
      </c>
      <c r="E116" s="17">
        <f>'6_Cascade_Engine'!U116</f>
        <v/>
      </c>
      <c r="F116" s="17">
        <f>'6_Cascade_Engine'!Q116</f>
        <v/>
      </c>
      <c r="G116" s="17">
        <f>'6_Cascade_Engine'!R116</f>
        <v/>
      </c>
      <c r="H116" s="17">
        <f>'6_Cascade_Engine'!AA116</f>
        <v/>
      </c>
      <c r="I116" s="7">
        <f>'6_Cascade_Engine'!S116</f>
        <v/>
      </c>
    </row>
    <row r="117">
      <c r="A117" s="7">
        <f>'6_Cascade_Engine'!A117</f>
        <v/>
      </c>
      <c r="B117" s="7">
        <f>'6_Cascade_Engine'!B117</f>
        <v/>
      </c>
      <c r="C117" s="7">
        <f>'1_GICS_Structure'!B117</f>
        <v/>
      </c>
      <c r="D117" s="17">
        <f>'6_Cascade_Engine'!T117</f>
        <v/>
      </c>
      <c r="E117" s="17">
        <f>'6_Cascade_Engine'!U117</f>
        <v/>
      </c>
      <c r="F117" s="17">
        <f>'6_Cascade_Engine'!Q117</f>
        <v/>
      </c>
      <c r="G117" s="17">
        <f>'6_Cascade_Engine'!R117</f>
        <v/>
      </c>
      <c r="H117" s="17">
        <f>'6_Cascade_Engine'!AA117</f>
        <v/>
      </c>
      <c r="I117" s="7">
        <f>'6_Cascade_Engine'!S117</f>
        <v/>
      </c>
    </row>
    <row r="118">
      <c r="A118" s="7">
        <f>'6_Cascade_Engine'!A118</f>
        <v/>
      </c>
      <c r="B118" s="7">
        <f>'6_Cascade_Engine'!B118</f>
        <v/>
      </c>
      <c r="C118" s="7">
        <f>'1_GICS_Structure'!B118</f>
        <v/>
      </c>
      <c r="D118" s="17">
        <f>'6_Cascade_Engine'!T118</f>
        <v/>
      </c>
      <c r="E118" s="17">
        <f>'6_Cascade_Engine'!U118</f>
        <v/>
      </c>
      <c r="F118" s="17">
        <f>'6_Cascade_Engine'!Q118</f>
        <v/>
      </c>
      <c r="G118" s="17">
        <f>'6_Cascade_Engine'!R118</f>
        <v/>
      </c>
      <c r="H118" s="17">
        <f>'6_Cascade_Engine'!AA118</f>
        <v/>
      </c>
      <c r="I118" s="7">
        <f>'6_Cascade_Engine'!S118</f>
        <v/>
      </c>
    </row>
    <row r="119">
      <c r="A119" s="7">
        <f>'6_Cascade_Engine'!A119</f>
        <v/>
      </c>
      <c r="B119" s="7">
        <f>'6_Cascade_Engine'!B119</f>
        <v/>
      </c>
      <c r="C119" s="7">
        <f>'1_GICS_Structure'!B119</f>
        <v/>
      </c>
      <c r="D119" s="17">
        <f>'6_Cascade_Engine'!T119</f>
        <v/>
      </c>
      <c r="E119" s="17">
        <f>'6_Cascade_Engine'!U119</f>
        <v/>
      </c>
      <c r="F119" s="17">
        <f>'6_Cascade_Engine'!Q119</f>
        <v/>
      </c>
      <c r="G119" s="17">
        <f>'6_Cascade_Engine'!R119</f>
        <v/>
      </c>
      <c r="H119" s="17">
        <f>'6_Cascade_Engine'!AA119</f>
        <v/>
      </c>
      <c r="I119" s="7">
        <f>'6_Cascade_Engine'!S119</f>
        <v/>
      </c>
    </row>
    <row r="120">
      <c r="A120" s="7">
        <f>'6_Cascade_Engine'!A120</f>
        <v/>
      </c>
      <c r="B120" s="7">
        <f>'6_Cascade_Engine'!B120</f>
        <v/>
      </c>
      <c r="C120" s="7">
        <f>'1_GICS_Structure'!B120</f>
        <v/>
      </c>
      <c r="D120" s="17">
        <f>'6_Cascade_Engine'!T120</f>
        <v/>
      </c>
      <c r="E120" s="17">
        <f>'6_Cascade_Engine'!U120</f>
        <v/>
      </c>
      <c r="F120" s="17">
        <f>'6_Cascade_Engine'!Q120</f>
        <v/>
      </c>
      <c r="G120" s="17">
        <f>'6_Cascade_Engine'!R120</f>
        <v/>
      </c>
      <c r="H120" s="17">
        <f>'6_Cascade_Engine'!AA120</f>
        <v/>
      </c>
      <c r="I120" s="7">
        <f>'6_Cascade_Engine'!S120</f>
        <v/>
      </c>
    </row>
    <row r="121">
      <c r="A121" s="7">
        <f>'6_Cascade_Engine'!A121</f>
        <v/>
      </c>
      <c r="B121" s="7">
        <f>'6_Cascade_Engine'!B121</f>
        <v/>
      </c>
      <c r="C121" s="7">
        <f>'1_GICS_Structure'!B121</f>
        <v/>
      </c>
      <c r="D121" s="17">
        <f>'6_Cascade_Engine'!T121</f>
        <v/>
      </c>
      <c r="E121" s="17">
        <f>'6_Cascade_Engine'!U121</f>
        <v/>
      </c>
      <c r="F121" s="17">
        <f>'6_Cascade_Engine'!Q121</f>
        <v/>
      </c>
      <c r="G121" s="17">
        <f>'6_Cascade_Engine'!R121</f>
        <v/>
      </c>
      <c r="H121" s="17">
        <f>'6_Cascade_Engine'!AA121</f>
        <v/>
      </c>
      <c r="I121" s="7">
        <f>'6_Cascade_Engine'!S121</f>
        <v/>
      </c>
    </row>
    <row r="122">
      <c r="A122" s="7">
        <f>'6_Cascade_Engine'!A122</f>
        <v/>
      </c>
      <c r="B122" s="7">
        <f>'6_Cascade_Engine'!B122</f>
        <v/>
      </c>
      <c r="C122" s="7">
        <f>'1_GICS_Structure'!B122</f>
        <v/>
      </c>
      <c r="D122" s="17">
        <f>'6_Cascade_Engine'!T122</f>
        <v/>
      </c>
      <c r="E122" s="17">
        <f>'6_Cascade_Engine'!U122</f>
        <v/>
      </c>
      <c r="F122" s="17">
        <f>'6_Cascade_Engine'!Q122</f>
        <v/>
      </c>
      <c r="G122" s="17">
        <f>'6_Cascade_Engine'!R122</f>
        <v/>
      </c>
      <c r="H122" s="17">
        <f>'6_Cascade_Engine'!AA122</f>
        <v/>
      </c>
      <c r="I122" s="7">
        <f>'6_Cascade_Engine'!S122</f>
        <v/>
      </c>
    </row>
    <row r="123">
      <c r="A123" s="7">
        <f>'6_Cascade_Engine'!A123</f>
        <v/>
      </c>
      <c r="B123" s="7">
        <f>'6_Cascade_Engine'!B123</f>
        <v/>
      </c>
      <c r="C123" s="7">
        <f>'1_GICS_Structure'!B123</f>
        <v/>
      </c>
      <c r="D123" s="17">
        <f>'6_Cascade_Engine'!T123</f>
        <v/>
      </c>
      <c r="E123" s="17">
        <f>'6_Cascade_Engine'!U123</f>
        <v/>
      </c>
      <c r="F123" s="17">
        <f>'6_Cascade_Engine'!Q123</f>
        <v/>
      </c>
      <c r="G123" s="17">
        <f>'6_Cascade_Engine'!R123</f>
        <v/>
      </c>
      <c r="H123" s="17">
        <f>'6_Cascade_Engine'!AA123</f>
        <v/>
      </c>
      <c r="I123" s="7">
        <f>'6_Cascade_Engine'!S123</f>
        <v/>
      </c>
    </row>
    <row r="124">
      <c r="A124" s="7">
        <f>'6_Cascade_Engine'!A124</f>
        <v/>
      </c>
      <c r="B124" s="7">
        <f>'6_Cascade_Engine'!B124</f>
        <v/>
      </c>
      <c r="C124" s="7">
        <f>'1_GICS_Structure'!B124</f>
        <v/>
      </c>
      <c r="D124" s="17">
        <f>'6_Cascade_Engine'!T124</f>
        <v/>
      </c>
      <c r="E124" s="17">
        <f>'6_Cascade_Engine'!U124</f>
        <v/>
      </c>
      <c r="F124" s="17">
        <f>'6_Cascade_Engine'!Q124</f>
        <v/>
      </c>
      <c r="G124" s="17">
        <f>'6_Cascade_Engine'!R124</f>
        <v/>
      </c>
      <c r="H124" s="17">
        <f>'6_Cascade_Engine'!AA124</f>
        <v/>
      </c>
      <c r="I124" s="7">
        <f>'6_Cascade_Engine'!S124</f>
        <v/>
      </c>
    </row>
    <row r="125">
      <c r="A125" s="7">
        <f>'6_Cascade_Engine'!A125</f>
        <v/>
      </c>
      <c r="B125" s="7">
        <f>'6_Cascade_Engine'!B125</f>
        <v/>
      </c>
      <c r="C125" s="7">
        <f>'1_GICS_Structure'!B125</f>
        <v/>
      </c>
      <c r="D125" s="17">
        <f>'6_Cascade_Engine'!T125</f>
        <v/>
      </c>
      <c r="E125" s="17">
        <f>'6_Cascade_Engine'!U125</f>
        <v/>
      </c>
      <c r="F125" s="17">
        <f>'6_Cascade_Engine'!Q125</f>
        <v/>
      </c>
      <c r="G125" s="17">
        <f>'6_Cascade_Engine'!R125</f>
        <v/>
      </c>
      <c r="H125" s="17">
        <f>'6_Cascade_Engine'!AA125</f>
        <v/>
      </c>
      <c r="I125" s="7">
        <f>'6_Cascade_Engine'!S125</f>
        <v/>
      </c>
    </row>
    <row r="126">
      <c r="A126" s="7">
        <f>'6_Cascade_Engine'!A126</f>
        <v/>
      </c>
      <c r="B126" s="7">
        <f>'6_Cascade_Engine'!B126</f>
        <v/>
      </c>
      <c r="C126" s="7">
        <f>'1_GICS_Structure'!B126</f>
        <v/>
      </c>
      <c r="D126" s="17">
        <f>'6_Cascade_Engine'!T126</f>
        <v/>
      </c>
      <c r="E126" s="17">
        <f>'6_Cascade_Engine'!U126</f>
        <v/>
      </c>
      <c r="F126" s="17">
        <f>'6_Cascade_Engine'!Q126</f>
        <v/>
      </c>
      <c r="G126" s="17">
        <f>'6_Cascade_Engine'!R126</f>
        <v/>
      </c>
      <c r="H126" s="17">
        <f>'6_Cascade_Engine'!AA126</f>
        <v/>
      </c>
      <c r="I126" s="7">
        <f>'6_Cascade_Engine'!S126</f>
        <v/>
      </c>
    </row>
    <row r="127">
      <c r="A127" s="7">
        <f>'6_Cascade_Engine'!A127</f>
        <v/>
      </c>
      <c r="B127" s="7">
        <f>'6_Cascade_Engine'!B127</f>
        <v/>
      </c>
      <c r="C127" s="7">
        <f>'1_GICS_Structure'!B127</f>
        <v/>
      </c>
      <c r="D127" s="17">
        <f>'6_Cascade_Engine'!T127</f>
        <v/>
      </c>
      <c r="E127" s="17">
        <f>'6_Cascade_Engine'!U127</f>
        <v/>
      </c>
      <c r="F127" s="17">
        <f>'6_Cascade_Engine'!Q127</f>
        <v/>
      </c>
      <c r="G127" s="17">
        <f>'6_Cascade_Engine'!R127</f>
        <v/>
      </c>
      <c r="H127" s="17">
        <f>'6_Cascade_Engine'!AA127</f>
        <v/>
      </c>
      <c r="I127" s="7">
        <f>'6_Cascade_Engine'!S127</f>
        <v/>
      </c>
    </row>
    <row r="128">
      <c r="A128" s="7">
        <f>'6_Cascade_Engine'!A128</f>
        <v/>
      </c>
      <c r="B128" s="7">
        <f>'6_Cascade_Engine'!B128</f>
        <v/>
      </c>
      <c r="C128" s="7">
        <f>'1_GICS_Structure'!B128</f>
        <v/>
      </c>
      <c r="D128" s="17">
        <f>'6_Cascade_Engine'!T128</f>
        <v/>
      </c>
      <c r="E128" s="17">
        <f>'6_Cascade_Engine'!U128</f>
        <v/>
      </c>
      <c r="F128" s="17">
        <f>'6_Cascade_Engine'!Q128</f>
        <v/>
      </c>
      <c r="G128" s="17">
        <f>'6_Cascade_Engine'!R128</f>
        <v/>
      </c>
      <c r="H128" s="17">
        <f>'6_Cascade_Engine'!AA128</f>
        <v/>
      </c>
      <c r="I128" s="7">
        <f>'6_Cascade_Engine'!S128</f>
        <v/>
      </c>
    </row>
    <row r="129">
      <c r="A129" s="7">
        <f>'6_Cascade_Engine'!A129</f>
        <v/>
      </c>
      <c r="B129" s="7">
        <f>'6_Cascade_Engine'!B129</f>
        <v/>
      </c>
      <c r="C129" s="7">
        <f>'1_GICS_Structure'!B129</f>
        <v/>
      </c>
      <c r="D129" s="17">
        <f>'6_Cascade_Engine'!T129</f>
        <v/>
      </c>
      <c r="E129" s="17">
        <f>'6_Cascade_Engine'!U129</f>
        <v/>
      </c>
      <c r="F129" s="17">
        <f>'6_Cascade_Engine'!Q129</f>
        <v/>
      </c>
      <c r="G129" s="17">
        <f>'6_Cascade_Engine'!R129</f>
        <v/>
      </c>
      <c r="H129" s="17">
        <f>'6_Cascade_Engine'!AA129</f>
        <v/>
      </c>
      <c r="I129" s="7">
        <f>'6_Cascade_Engine'!S129</f>
        <v/>
      </c>
    </row>
    <row r="130">
      <c r="A130" s="7">
        <f>'6_Cascade_Engine'!A130</f>
        <v/>
      </c>
      <c r="B130" s="7">
        <f>'6_Cascade_Engine'!B130</f>
        <v/>
      </c>
      <c r="C130" s="7">
        <f>'1_GICS_Structure'!B130</f>
        <v/>
      </c>
      <c r="D130" s="17">
        <f>'6_Cascade_Engine'!T130</f>
        <v/>
      </c>
      <c r="E130" s="17">
        <f>'6_Cascade_Engine'!U130</f>
        <v/>
      </c>
      <c r="F130" s="17">
        <f>'6_Cascade_Engine'!Q130</f>
        <v/>
      </c>
      <c r="G130" s="17">
        <f>'6_Cascade_Engine'!R130</f>
        <v/>
      </c>
      <c r="H130" s="17">
        <f>'6_Cascade_Engine'!AA130</f>
        <v/>
      </c>
      <c r="I130" s="7">
        <f>'6_Cascade_Engine'!S130</f>
        <v/>
      </c>
    </row>
    <row r="131">
      <c r="A131" s="7">
        <f>'6_Cascade_Engine'!A131</f>
        <v/>
      </c>
      <c r="B131" s="7">
        <f>'6_Cascade_Engine'!B131</f>
        <v/>
      </c>
      <c r="C131" s="7">
        <f>'1_GICS_Structure'!B131</f>
        <v/>
      </c>
      <c r="D131" s="17">
        <f>'6_Cascade_Engine'!T131</f>
        <v/>
      </c>
      <c r="E131" s="17">
        <f>'6_Cascade_Engine'!U131</f>
        <v/>
      </c>
      <c r="F131" s="17">
        <f>'6_Cascade_Engine'!Q131</f>
        <v/>
      </c>
      <c r="G131" s="17">
        <f>'6_Cascade_Engine'!R131</f>
        <v/>
      </c>
      <c r="H131" s="17">
        <f>'6_Cascade_Engine'!AA131</f>
        <v/>
      </c>
      <c r="I131" s="7">
        <f>'6_Cascade_Engine'!S131</f>
        <v/>
      </c>
    </row>
    <row r="132">
      <c r="A132" s="7">
        <f>'6_Cascade_Engine'!A132</f>
        <v/>
      </c>
      <c r="B132" s="7">
        <f>'6_Cascade_Engine'!B132</f>
        <v/>
      </c>
      <c r="C132" s="7">
        <f>'1_GICS_Structure'!B132</f>
        <v/>
      </c>
      <c r="D132" s="17">
        <f>'6_Cascade_Engine'!T132</f>
        <v/>
      </c>
      <c r="E132" s="17">
        <f>'6_Cascade_Engine'!U132</f>
        <v/>
      </c>
      <c r="F132" s="17">
        <f>'6_Cascade_Engine'!Q132</f>
        <v/>
      </c>
      <c r="G132" s="17">
        <f>'6_Cascade_Engine'!R132</f>
        <v/>
      </c>
      <c r="H132" s="17">
        <f>'6_Cascade_Engine'!AA132</f>
        <v/>
      </c>
      <c r="I132" s="7">
        <f>'6_Cascade_Engine'!S132</f>
        <v/>
      </c>
    </row>
    <row r="133">
      <c r="A133" s="7">
        <f>'6_Cascade_Engine'!A133</f>
        <v/>
      </c>
      <c r="B133" s="7">
        <f>'6_Cascade_Engine'!B133</f>
        <v/>
      </c>
      <c r="C133" s="7">
        <f>'1_GICS_Structure'!B133</f>
        <v/>
      </c>
      <c r="D133" s="17">
        <f>'6_Cascade_Engine'!T133</f>
        <v/>
      </c>
      <c r="E133" s="17">
        <f>'6_Cascade_Engine'!U133</f>
        <v/>
      </c>
      <c r="F133" s="17">
        <f>'6_Cascade_Engine'!Q133</f>
        <v/>
      </c>
      <c r="G133" s="17">
        <f>'6_Cascade_Engine'!R133</f>
        <v/>
      </c>
      <c r="H133" s="17">
        <f>'6_Cascade_Engine'!AA133</f>
        <v/>
      </c>
      <c r="I133" s="7">
        <f>'6_Cascade_Engine'!S133</f>
        <v/>
      </c>
    </row>
    <row r="134">
      <c r="A134" s="7">
        <f>'6_Cascade_Engine'!A134</f>
        <v/>
      </c>
      <c r="B134" s="7">
        <f>'6_Cascade_Engine'!B134</f>
        <v/>
      </c>
      <c r="C134" s="7">
        <f>'1_GICS_Structure'!B134</f>
        <v/>
      </c>
      <c r="D134" s="17">
        <f>'6_Cascade_Engine'!T134</f>
        <v/>
      </c>
      <c r="E134" s="17">
        <f>'6_Cascade_Engine'!U134</f>
        <v/>
      </c>
      <c r="F134" s="17">
        <f>'6_Cascade_Engine'!Q134</f>
        <v/>
      </c>
      <c r="G134" s="17">
        <f>'6_Cascade_Engine'!R134</f>
        <v/>
      </c>
      <c r="H134" s="17">
        <f>'6_Cascade_Engine'!AA134</f>
        <v/>
      </c>
      <c r="I134" s="7">
        <f>'6_Cascade_Engine'!S134</f>
        <v/>
      </c>
    </row>
    <row r="135">
      <c r="A135" s="7">
        <f>'6_Cascade_Engine'!A135</f>
        <v/>
      </c>
      <c r="B135" s="7">
        <f>'6_Cascade_Engine'!B135</f>
        <v/>
      </c>
      <c r="C135" s="7">
        <f>'1_GICS_Structure'!B135</f>
        <v/>
      </c>
      <c r="D135" s="17">
        <f>'6_Cascade_Engine'!T135</f>
        <v/>
      </c>
      <c r="E135" s="17">
        <f>'6_Cascade_Engine'!U135</f>
        <v/>
      </c>
      <c r="F135" s="17">
        <f>'6_Cascade_Engine'!Q135</f>
        <v/>
      </c>
      <c r="G135" s="17">
        <f>'6_Cascade_Engine'!R135</f>
        <v/>
      </c>
      <c r="H135" s="17">
        <f>'6_Cascade_Engine'!AA135</f>
        <v/>
      </c>
      <c r="I135" s="7">
        <f>'6_Cascade_Engine'!S135</f>
        <v/>
      </c>
    </row>
    <row r="136">
      <c r="A136" s="7">
        <f>'6_Cascade_Engine'!A136</f>
        <v/>
      </c>
      <c r="B136" s="7">
        <f>'6_Cascade_Engine'!B136</f>
        <v/>
      </c>
      <c r="C136" s="7">
        <f>'1_GICS_Structure'!B136</f>
        <v/>
      </c>
      <c r="D136" s="17">
        <f>'6_Cascade_Engine'!T136</f>
        <v/>
      </c>
      <c r="E136" s="17">
        <f>'6_Cascade_Engine'!U136</f>
        <v/>
      </c>
      <c r="F136" s="17">
        <f>'6_Cascade_Engine'!Q136</f>
        <v/>
      </c>
      <c r="G136" s="17">
        <f>'6_Cascade_Engine'!R136</f>
        <v/>
      </c>
      <c r="H136" s="17">
        <f>'6_Cascade_Engine'!AA136</f>
        <v/>
      </c>
      <c r="I136" s="7">
        <f>'6_Cascade_Engine'!S136</f>
        <v/>
      </c>
    </row>
    <row r="137">
      <c r="A137" s="7">
        <f>'6_Cascade_Engine'!A137</f>
        <v/>
      </c>
      <c r="B137" s="7">
        <f>'6_Cascade_Engine'!B137</f>
        <v/>
      </c>
      <c r="C137" s="7">
        <f>'1_GICS_Structure'!B137</f>
        <v/>
      </c>
      <c r="D137" s="17">
        <f>'6_Cascade_Engine'!T137</f>
        <v/>
      </c>
      <c r="E137" s="17">
        <f>'6_Cascade_Engine'!U137</f>
        <v/>
      </c>
      <c r="F137" s="17">
        <f>'6_Cascade_Engine'!Q137</f>
        <v/>
      </c>
      <c r="G137" s="17">
        <f>'6_Cascade_Engine'!R137</f>
        <v/>
      </c>
      <c r="H137" s="17">
        <f>'6_Cascade_Engine'!AA137</f>
        <v/>
      </c>
      <c r="I137" s="7">
        <f>'6_Cascade_Engine'!S137</f>
        <v/>
      </c>
    </row>
    <row r="138">
      <c r="A138" s="7">
        <f>'6_Cascade_Engine'!A138</f>
        <v/>
      </c>
      <c r="B138" s="7">
        <f>'6_Cascade_Engine'!B138</f>
        <v/>
      </c>
      <c r="C138" s="7">
        <f>'1_GICS_Structure'!B138</f>
        <v/>
      </c>
      <c r="D138" s="17">
        <f>'6_Cascade_Engine'!T138</f>
        <v/>
      </c>
      <c r="E138" s="17">
        <f>'6_Cascade_Engine'!U138</f>
        <v/>
      </c>
      <c r="F138" s="17">
        <f>'6_Cascade_Engine'!Q138</f>
        <v/>
      </c>
      <c r="G138" s="17">
        <f>'6_Cascade_Engine'!R138</f>
        <v/>
      </c>
      <c r="H138" s="17">
        <f>'6_Cascade_Engine'!AA138</f>
        <v/>
      </c>
      <c r="I138" s="7">
        <f>'6_Cascade_Engine'!S138</f>
        <v/>
      </c>
    </row>
    <row r="139">
      <c r="A139" s="7">
        <f>'6_Cascade_Engine'!A139</f>
        <v/>
      </c>
      <c r="B139" s="7">
        <f>'6_Cascade_Engine'!B139</f>
        <v/>
      </c>
      <c r="C139" s="7">
        <f>'1_GICS_Structure'!B139</f>
        <v/>
      </c>
      <c r="D139" s="17">
        <f>'6_Cascade_Engine'!T139</f>
        <v/>
      </c>
      <c r="E139" s="17">
        <f>'6_Cascade_Engine'!U139</f>
        <v/>
      </c>
      <c r="F139" s="17">
        <f>'6_Cascade_Engine'!Q139</f>
        <v/>
      </c>
      <c r="G139" s="17">
        <f>'6_Cascade_Engine'!R139</f>
        <v/>
      </c>
      <c r="H139" s="17">
        <f>'6_Cascade_Engine'!AA139</f>
        <v/>
      </c>
      <c r="I139" s="7">
        <f>'6_Cascade_Engine'!S139</f>
        <v/>
      </c>
    </row>
    <row r="140">
      <c r="A140" s="7">
        <f>'6_Cascade_Engine'!A140</f>
        <v/>
      </c>
      <c r="B140" s="7">
        <f>'6_Cascade_Engine'!B140</f>
        <v/>
      </c>
      <c r="C140" s="7">
        <f>'1_GICS_Structure'!B140</f>
        <v/>
      </c>
      <c r="D140" s="17">
        <f>'6_Cascade_Engine'!T140</f>
        <v/>
      </c>
      <c r="E140" s="17">
        <f>'6_Cascade_Engine'!U140</f>
        <v/>
      </c>
      <c r="F140" s="17">
        <f>'6_Cascade_Engine'!Q140</f>
        <v/>
      </c>
      <c r="G140" s="17">
        <f>'6_Cascade_Engine'!R140</f>
        <v/>
      </c>
      <c r="H140" s="17">
        <f>'6_Cascade_Engine'!AA140</f>
        <v/>
      </c>
      <c r="I140" s="7">
        <f>'6_Cascade_Engine'!S140</f>
        <v/>
      </c>
    </row>
    <row r="141">
      <c r="A141" s="7">
        <f>'6_Cascade_Engine'!A141</f>
        <v/>
      </c>
      <c r="B141" s="7">
        <f>'6_Cascade_Engine'!B141</f>
        <v/>
      </c>
      <c r="C141" s="7">
        <f>'1_GICS_Structure'!B141</f>
        <v/>
      </c>
      <c r="D141" s="17">
        <f>'6_Cascade_Engine'!T141</f>
        <v/>
      </c>
      <c r="E141" s="17">
        <f>'6_Cascade_Engine'!U141</f>
        <v/>
      </c>
      <c r="F141" s="17">
        <f>'6_Cascade_Engine'!Q141</f>
        <v/>
      </c>
      <c r="G141" s="17">
        <f>'6_Cascade_Engine'!R141</f>
        <v/>
      </c>
      <c r="H141" s="17">
        <f>'6_Cascade_Engine'!AA141</f>
        <v/>
      </c>
      <c r="I141" s="7">
        <f>'6_Cascade_Engine'!S141</f>
        <v/>
      </c>
    </row>
    <row r="142">
      <c r="A142" s="7">
        <f>'6_Cascade_Engine'!A142</f>
        <v/>
      </c>
      <c r="B142" s="7">
        <f>'6_Cascade_Engine'!B142</f>
        <v/>
      </c>
      <c r="C142" s="7">
        <f>'1_GICS_Structure'!B142</f>
        <v/>
      </c>
      <c r="D142" s="17">
        <f>'6_Cascade_Engine'!T142</f>
        <v/>
      </c>
      <c r="E142" s="17">
        <f>'6_Cascade_Engine'!U142</f>
        <v/>
      </c>
      <c r="F142" s="17">
        <f>'6_Cascade_Engine'!Q142</f>
        <v/>
      </c>
      <c r="G142" s="17">
        <f>'6_Cascade_Engine'!R142</f>
        <v/>
      </c>
      <c r="H142" s="17">
        <f>'6_Cascade_Engine'!AA142</f>
        <v/>
      </c>
      <c r="I142" s="7">
        <f>'6_Cascade_Engine'!S142</f>
        <v/>
      </c>
    </row>
    <row r="143">
      <c r="A143" s="7">
        <f>'6_Cascade_Engine'!A143</f>
        <v/>
      </c>
      <c r="B143" s="7">
        <f>'6_Cascade_Engine'!B143</f>
        <v/>
      </c>
      <c r="C143" s="7">
        <f>'1_GICS_Structure'!B143</f>
        <v/>
      </c>
      <c r="D143" s="17">
        <f>'6_Cascade_Engine'!T143</f>
        <v/>
      </c>
      <c r="E143" s="17">
        <f>'6_Cascade_Engine'!U143</f>
        <v/>
      </c>
      <c r="F143" s="17">
        <f>'6_Cascade_Engine'!Q143</f>
        <v/>
      </c>
      <c r="G143" s="17">
        <f>'6_Cascade_Engine'!R143</f>
        <v/>
      </c>
      <c r="H143" s="17">
        <f>'6_Cascade_Engine'!AA143</f>
        <v/>
      </c>
      <c r="I143" s="7">
        <f>'6_Cascade_Engine'!S143</f>
        <v/>
      </c>
    </row>
    <row r="144">
      <c r="A144" s="7">
        <f>'6_Cascade_Engine'!A144</f>
        <v/>
      </c>
      <c r="B144" s="7">
        <f>'6_Cascade_Engine'!B144</f>
        <v/>
      </c>
      <c r="C144" s="7">
        <f>'1_GICS_Structure'!B144</f>
        <v/>
      </c>
      <c r="D144" s="17">
        <f>'6_Cascade_Engine'!T144</f>
        <v/>
      </c>
      <c r="E144" s="17">
        <f>'6_Cascade_Engine'!U144</f>
        <v/>
      </c>
      <c r="F144" s="17">
        <f>'6_Cascade_Engine'!Q144</f>
        <v/>
      </c>
      <c r="G144" s="17">
        <f>'6_Cascade_Engine'!R144</f>
        <v/>
      </c>
      <c r="H144" s="17">
        <f>'6_Cascade_Engine'!AA144</f>
        <v/>
      </c>
      <c r="I144" s="7">
        <f>'6_Cascade_Engine'!S144</f>
        <v/>
      </c>
    </row>
    <row r="145">
      <c r="A145" s="7">
        <f>'6_Cascade_Engine'!A145</f>
        <v/>
      </c>
      <c r="B145" s="7">
        <f>'6_Cascade_Engine'!B145</f>
        <v/>
      </c>
      <c r="C145" s="7">
        <f>'1_GICS_Structure'!B145</f>
        <v/>
      </c>
      <c r="D145" s="17">
        <f>'6_Cascade_Engine'!T145</f>
        <v/>
      </c>
      <c r="E145" s="17">
        <f>'6_Cascade_Engine'!U145</f>
        <v/>
      </c>
      <c r="F145" s="17">
        <f>'6_Cascade_Engine'!Q145</f>
        <v/>
      </c>
      <c r="G145" s="17">
        <f>'6_Cascade_Engine'!R145</f>
        <v/>
      </c>
      <c r="H145" s="17">
        <f>'6_Cascade_Engine'!AA145</f>
        <v/>
      </c>
      <c r="I145" s="7">
        <f>'6_Cascade_Engine'!S145</f>
        <v/>
      </c>
    </row>
    <row r="146">
      <c r="A146" s="7">
        <f>'6_Cascade_Engine'!A146</f>
        <v/>
      </c>
      <c r="B146" s="7">
        <f>'6_Cascade_Engine'!B146</f>
        <v/>
      </c>
      <c r="C146" s="7">
        <f>'1_GICS_Structure'!B146</f>
        <v/>
      </c>
      <c r="D146" s="17">
        <f>'6_Cascade_Engine'!T146</f>
        <v/>
      </c>
      <c r="E146" s="17">
        <f>'6_Cascade_Engine'!U146</f>
        <v/>
      </c>
      <c r="F146" s="17">
        <f>'6_Cascade_Engine'!Q146</f>
        <v/>
      </c>
      <c r="G146" s="17">
        <f>'6_Cascade_Engine'!R146</f>
        <v/>
      </c>
      <c r="H146" s="17">
        <f>'6_Cascade_Engine'!AA146</f>
        <v/>
      </c>
      <c r="I146" s="7">
        <f>'6_Cascade_Engine'!S146</f>
        <v/>
      </c>
    </row>
    <row r="147">
      <c r="A147" s="7">
        <f>'6_Cascade_Engine'!A147</f>
        <v/>
      </c>
      <c r="B147" s="7">
        <f>'6_Cascade_Engine'!B147</f>
        <v/>
      </c>
      <c r="C147" s="7">
        <f>'1_GICS_Structure'!B147</f>
        <v/>
      </c>
      <c r="D147" s="17">
        <f>'6_Cascade_Engine'!T147</f>
        <v/>
      </c>
      <c r="E147" s="17">
        <f>'6_Cascade_Engine'!U147</f>
        <v/>
      </c>
      <c r="F147" s="17">
        <f>'6_Cascade_Engine'!Q147</f>
        <v/>
      </c>
      <c r="G147" s="17">
        <f>'6_Cascade_Engine'!R147</f>
        <v/>
      </c>
      <c r="H147" s="17">
        <f>'6_Cascade_Engine'!AA147</f>
        <v/>
      </c>
      <c r="I147" s="7">
        <f>'6_Cascade_Engine'!S147</f>
        <v/>
      </c>
    </row>
    <row r="148">
      <c r="A148" s="7">
        <f>'6_Cascade_Engine'!A148</f>
        <v/>
      </c>
      <c r="B148" s="7">
        <f>'6_Cascade_Engine'!B148</f>
        <v/>
      </c>
      <c r="C148" s="7">
        <f>'1_GICS_Structure'!B148</f>
        <v/>
      </c>
      <c r="D148" s="17">
        <f>'6_Cascade_Engine'!T148</f>
        <v/>
      </c>
      <c r="E148" s="17">
        <f>'6_Cascade_Engine'!U148</f>
        <v/>
      </c>
      <c r="F148" s="17">
        <f>'6_Cascade_Engine'!Q148</f>
        <v/>
      </c>
      <c r="G148" s="17">
        <f>'6_Cascade_Engine'!R148</f>
        <v/>
      </c>
      <c r="H148" s="17">
        <f>'6_Cascade_Engine'!AA148</f>
        <v/>
      </c>
      <c r="I148" s="7">
        <f>'6_Cascade_Engine'!S148</f>
        <v/>
      </c>
    </row>
    <row r="149">
      <c r="A149" s="7">
        <f>'6_Cascade_Engine'!A149</f>
        <v/>
      </c>
      <c r="B149" s="7">
        <f>'6_Cascade_Engine'!B149</f>
        <v/>
      </c>
      <c r="C149" s="7">
        <f>'1_GICS_Structure'!B149</f>
        <v/>
      </c>
      <c r="D149" s="17">
        <f>'6_Cascade_Engine'!T149</f>
        <v/>
      </c>
      <c r="E149" s="17">
        <f>'6_Cascade_Engine'!U149</f>
        <v/>
      </c>
      <c r="F149" s="17">
        <f>'6_Cascade_Engine'!Q149</f>
        <v/>
      </c>
      <c r="G149" s="17">
        <f>'6_Cascade_Engine'!R149</f>
        <v/>
      </c>
      <c r="H149" s="17">
        <f>'6_Cascade_Engine'!AA149</f>
        <v/>
      </c>
      <c r="I149" s="7">
        <f>'6_Cascade_Engine'!S149</f>
        <v/>
      </c>
    </row>
    <row r="150">
      <c r="A150" s="7">
        <f>'6_Cascade_Engine'!A150</f>
        <v/>
      </c>
      <c r="B150" s="7">
        <f>'6_Cascade_Engine'!B150</f>
        <v/>
      </c>
      <c r="C150" s="7">
        <f>'1_GICS_Structure'!B150</f>
        <v/>
      </c>
      <c r="D150" s="17">
        <f>'6_Cascade_Engine'!T150</f>
        <v/>
      </c>
      <c r="E150" s="17">
        <f>'6_Cascade_Engine'!U150</f>
        <v/>
      </c>
      <c r="F150" s="17">
        <f>'6_Cascade_Engine'!Q150</f>
        <v/>
      </c>
      <c r="G150" s="17">
        <f>'6_Cascade_Engine'!R150</f>
        <v/>
      </c>
      <c r="H150" s="17">
        <f>'6_Cascade_Engine'!AA150</f>
        <v/>
      </c>
      <c r="I150" s="7">
        <f>'6_Cascade_Engine'!S150</f>
        <v/>
      </c>
    </row>
    <row r="151">
      <c r="A151" s="7">
        <f>'6_Cascade_Engine'!A151</f>
        <v/>
      </c>
      <c r="B151" s="7">
        <f>'6_Cascade_Engine'!B151</f>
        <v/>
      </c>
      <c r="C151" s="7">
        <f>'1_GICS_Structure'!B151</f>
        <v/>
      </c>
      <c r="D151" s="17">
        <f>'6_Cascade_Engine'!T151</f>
        <v/>
      </c>
      <c r="E151" s="17">
        <f>'6_Cascade_Engine'!U151</f>
        <v/>
      </c>
      <c r="F151" s="17">
        <f>'6_Cascade_Engine'!Q151</f>
        <v/>
      </c>
      <c r="G151" s="17">
        <f>'6_Cascade_Engine'!R151</f>
        <v/>
      </c>
      <c r="H151" s="17">
        <f>'6_Cascade_Engine'!AA151</f>
        <v/>
      </c>
      <c r="I151" s="7">
        <f>'6_Cascade_Engine'!S151</f>
        <v/>
      </c>
    </row>
    <row r="152">
      <c r="A152" s="7">
        <f>'6_Cascade_Engine'!A152</f>
        <v/>
      </c>
      <c r="B152" s="7">
        <f>'6_Cascade_Engine'!B152</f>
        <v/>
      </c>
      <c r="C152" s="7">
        <f>'1_GICS_Structure'!B152</f>
        <v/>
      </c>
      <c r="D152" s="17">
        <f>'6_Cascade_Engine'!T152</f>
        <v/>
      </c>
      <c r="E152" s="17">
        <f>'6_Cascade_Engine'!U152</f>
        <v/>
      </c>
      <c r="F152" s="17">
        <f>'6_Cascade_Engine'!Q152</f>
        <v/>
      </c>
      <c r="G152" s="17">
        <f>'6_Cascade_Engine'!R152</f>
        <v/>
      </c>
      <c r="H152" s="17">
        <f>'6_Cascade_Engine'!AA152</f>
        <v/>
      </c>
      <c r="I152" s="7">
        <f>'6_Cascade_Engine'!S152</f>
        <v/>
      </c>
    </row>
    <row r="153">
      <c r="A153" s="7">
        <f>'6_Cascade_Engine'!A153</f>
        <v/>
      </c>
      <c r="B153" s="7">
        <f>'6_Cascade_Engine'!B153</f>
        <v/>
      </c>
      <c r="C153" s="7">
        <f>'1_GICS_Structure'!B153</f>
        <v/>
      </c>
      <c r="D153" s="17">
        <f>'6_Cascade_Engine'!T153</f>
        <v/>
      </c>
      <c r="E153" s="17">
        <f>'6_Cascade_Engine'!U153</f>
        <v/>
      </c>
      <c r="F153" s="17">
        <f>'6_Cascade_Engine'!Q153</f>
        <v/>
      </c>
      <c r="G153" s="17">
        <f>'6_Cascade_Engine'!R153</f>
        <v/>
      </c>
      <c r="H153" s="17">
        <f>'6_Cascade_Engine'!AA153</f>
        <v/>
      </c>
      <c r="I153" s="7">
        <f>'6_Cascade_Engine'!S153</f>
        <v/>
      </c>
    </row>
    <row r="154">
      <c r="A154" s="7">
        <f>'6_Cascade_Engine'!A154</f>
        <v/>
      </c>
      <c r="B154" s="7">
        <f>'6_Cascade_Engine'!B154</f>
        <v/>
      </c>
      <c r="C154" s="7">
        <f>'1_GICS_Structure'!B154</f>
        <v/>
      </c>
      <c r="D154" s="17">
        <f>'6_Cascade_Engine'!T154</f>
        <v/>
      </c>
      <c r="E154" s="17">
        <f>'6_Cascade_Engine'!U154</f>
        <v/>
      </c>
      <c r="F154" s="17">
        <f>'6_Cascade_Engine'!Q154</f>
        <v/>
      </c>
      <c r="G154" s="17">
        <f>'6_Cascade_Engine'!R154</f>
        <v/>
      </c>
      <c r="H154" s="17">
        <f>'6_Cascade_Engine'!AA154</f>
        <v/>
      </c>
      <c r="I154" s="7">
        <f>'6_Cascade_Engine'!S154</f>
        <v/>
      </c>
    </row>
    <row r="155">
      <c r="A155" s="7">
        <f>'6_Cascade_Engine'!A155</f>
        <v/>
      </c>
      <c r="B155" s="7">
        <f>'6_Cascade_Engine'!B155</f>
        <v/>
      </c>
      <c r="C155" s="7">
        <f>'1_GICS_Structure'!B155</f>
        <v/>
      </c>
      <c r="D155" s="17">
        <f>'6_Cascade_Engine'!T155</f>
        <v/>
      </c>
      <c r="E155" s="17">
        <f>'6_Cascade_Engine'!U155</f>
        <v/>
      </c>
      <c r="F155" s="17">
        <f>'6_Cascade_Engine'!Q155</f>
        <v/>
      </c>
      <c r="G155" s="17">
        <f>'6_Cascade_Engine'!R155</f>
        <v/>
      </c>
      <c r="H155" s="17">
        <f>'6_Cascade_Engine'!AA155</f>
        <v/>
      </c>
      <c r="I155" s="7">
        <f>'6_Cascade_Engine'!S155</f>
        <v/>
      </c>
    </row>
    <row r="156">
      <c r="A156" s="7">
        <f>'6_Cascade_Engine'!A156</f>
        <v/>
      </c>
      <c r="B156" s="7">
        <f>'6_Cascade_Engine'!B156</f>
        <v/>
      </c>
      <c r="C156" s="7">
        <f>'1_GICS_Structure'!B156</f>
        <v/>
      </c>
      <c r="D156" s="17">
        <f>'6_Cascade_Engine'!T156</f>
        <v/>
      </c>
      <c r="E156" s="17">
        <f>'6_Cascade_Engine'!U156</f>
        <v/>
      </c>
      <c r="F156" s="17">
        <f>'6_Cascade_Engine'!Q156</f>
        <v/>
      </c>
      <c r="G156" s="17">
        <f>'6_Cascade_Engine'!R156</f>
        <v/>
      </c>
      <c r="H156" s="17">
        <f>'6_Cascade_Engine'!AA156</f>
        <v/>
      </c>
      <c r="I156" s="7">
        <f>'6_Cascade_Engine'!S156</f>
        <v/>
      </c>
    </row>
    <row r="157">
      <c r="A157" s="7">
        <f>'6_Cascade_Engine'!A157</f>
        <v/>
      </c>
      <c r="B157" s="7">
        <f>'6_Cascade_Engine'!B157</f>
        <v/>
      </c>
      <c r="C157" s="7">
        <f>'1_GICS_Structure'!B157</f>
        <v/>
      </c>
      <c r="D157" s="17">
        <f>'6_Cascade_Engine'!T157</f>
        <v/>
      </c>
      <c r="E157" s="17">
        <f>'6_Cascade_Engine'!U157</f>
        <v/>
      </c>
      <c r="F157" s="17">
        <f>'6_Cascade_Engine'!Q157</f>
        <v/>
      </c>
      <c r="G157" s="17">
        <f>'6_Cascade_Engine'!R157</f>
        <v/>
      </c>
      <c r="H157" s="17">
        <f>'6_Cascade_Engine'!AA157</f>
        <v/>
      </c>
      <c r="I157" s="7">
        <f>'6_Cascade_Engine'!S157</f>
        <v/>
      </c>
    </row>
    <row r="158">
      <c r="A158" s="7">
        <f>'6_Cascade_Engine'!A158</f>
        <v/>
      </c>
      <c r="B158" s="7">
        <f>'6_Cascade_Engine'!B158</f>
        <v/>
      </c>
      <c r="C158" s="7">
        <f>'1_GICS_Structure'!B158</f>
        <v/>
      </c>
      <c r="D158" s="17">
        <f>'6_Cascade_Engine'!T158</f>
        <v/>
      </c>
      <c r="E158" s="17">
        <f>'6_Cascade_Engine'!U158</f>
        <v/>
      </c>
      <c r="F158" s="17">
        <f>'6_Cascade_Engine'!Q158</f>
        <v/>
      </c>
      <c r="G158" s="17">
        <f>'6_Cascade_Engine'!R158</f>
        <v/>
      </c>
      <c r="H158" s="17">
        <f>'6_Cascade_Engine'!AA158</f>
        <v/>
      </c>
      <c r="I158" s="7">
        <f>'6_Cascade_Engine'!S158</f>
        <v/>
      </c>
    </row>
    <row r="159">
      <c r="A159" s="7">
        <f>'6_Cascade_Engine'!A159</f>
        <v/>
      </c>
      <c r="B159" s="7">
        <f>'6_Cascade_Engine'!B159</f>
        <v/>
      </c>
      <c r="C159" s="7">
        <f>'1_GICS_Structure'!B159</f>
        <v/>
      </c>
      <c r="D159" s="17">
        <f>'6_Cascade_Engine'!T159</f>
        <v/>
      </c>
      <c r="E159" s="17">
        <f>'6_Cascade_Engine'!U159</f>
        <v/>
      </c>
      <c r="F159" s="17">
        <f>'6_Cascade_Engine'!Q159</f>
        <v/>
      </c>
      <c r="G159" s="17">
        <f>'6_Cascade_Engine'!R159</f>
        <v/>
      </c>
      <c r="H159" s="17">
        <f>'6_Cascade_Engine'!AA159</f>
        <v/>
      </c>
      <c r="I159" s="7">
        <f>'6_Cascade_Engine'!S159</f>
        <v/>
      </c>
    </row>
    <row r="160">
      <c r="A160" s="7">
        <f>'6_Cascade_Engine'!A160</f>
        <v/>
      </c>
      <c r="B160" s="7">
        <f>'6_Cascade_Engine'!B160</f>
        <v/>
      </c>
      <c r="C160" s="7">
        <f>'1_GICS_Structure'!B160</f>
        <v/>
      </c>
      <c r="D160" s="17">
        <f>'6_Cascade_Engine'!T160</f>
        <v/>
      </c>
      <c r="E160" s="17">
        <f>'6_Cascade_Engine'!U160</f>
        <v/>
      </c>
      <c r="F160" s="17">
        <f>'6_Cascade_Engine'!Q160</f>
        <v/>
      </c>
      <c r="G160" s="17">
        <f>'6_Cascade_Engine'!R160</f>
        <v/>
      </c>
      <c r="H160" s="17">
        <f>'6_Cascade_Engine'!AA160</f>
        <v/>
      </c>
      <c r="I160" s="7">
        <f>'6_Cascade_Engine'!S160</f>
        <v/>
      </c>
    </row>
    <row r="161">
      <c r="A161" s="7">
        <f>'6_Cascade_Engine'!A161</f>
        <v/>
      </c>
      <c r="B161" s="7">
        <f>'6_Cascade_Engine'!B161</f>
        <v/>
      </c>
      <c r="C161" s="7">
        <f>'1_GICS_Structure'!B161</f>
        <v/>
      </c>
      <c r="D161" s="17">
        <f>'6_Cascade_Engine'!T161</f>
        <v/>
      </c>
      <c r="E161" s="17">
        <f>'6_Cascade_Engine'!U161</f>
        <v/>
      </c>
      <c r="F161" s="17">
        <f>'6_Cascade_Engine'!Q161</f>
        <v/>
      </c>
      <c r="G161" s="17">
        <f>'6_Cascade_Engine'!R161</f>
        <v/>
      </c>
      <c r="H161" s="17">
        <f>'6_Cascade_Engine'!AA161</f>
        <v/>
      </c>
      <c r="I161" s="7">
        <f>'6_Cascade_Engine'!S161</f>
        <v/>
      </c>
    </row>
    <row r="162">
      <c r="A162" s="7">
        <f>'6_Cascade_Engine'!A162</f>
        <v/>
      </c>
      <c r="B162" s="7">
        <f>'6_Cascade_Engine'!B162</f>
        <v/>
      </c>
      <c r="C162" s="7">
        <f>'1_GICS_Structure'!B162</f>
        <v/>
      </c>
      <c r="D162" s="17">
        <f>'6_Cascade_Engine'!T162</f>
        <v/>
      </c>
      <c r="E162" s="17">
        <f>'6_Cascade_Engine'!U162</f>
        <v/>
      </c>
      <c r="F162" s="17">
        <f>'6_Cascade_Engine'!Q162</f>
        <v/>
      </c>
      <c r="G162" s="17">
        <f>'6_Cascade_Engine'!R162</f>
        <v/>
      </c>
      <c r="H162" s="17">
        <f>'6_Cascade_Engine'!AA162</f>
        <v/>
      </c>
      <c r="I162" s="7">
        <f>'6_Cascade_Engine'!S162</f>
        <v/>
      </c>
    </row>
    <row r="163">
      <c r="A163" s="7">
        <f>'6_Cascade_Engine'!A163</f>
        <v/>
      </c>
      <c r="B163" s="7">
        <f>'6_Cascade_Engine'!B163</f>
        <v/>
      </c>
      <c r="C163" s="7">
        <f>'1_GICS_Structure'!B163</f>
        <v/>
      </c>
      <c r="D163" s="17">
        <f>'6_Cascade_Engine'!T163</f>
        <v/>
      </c>
      <c r="E163" s="17">
        <f>'6_Cascade_Engine'!U163</f>
        <v/>
      </c>
      <c r="F163" s="17">
        <f>'6_Cascade_Engine'!Q163</f>
        <v/>
      </c>
      <c r="G163" s="17">
        <f>'6_Cascade_Engine'!R163</f>
        <v/>
      </c>
      <c r="H163" s="17">
        <f>'6_Cascade_Engine'!AA163</f>
        <v/>
      </c>
      <c r="I163" s="7">
        <f>'6_Cascade_Engine'!S163</f>
        <v/>
      </c>
    </row>
    <row r="164">
      <c r="A164" s="7">
        <f>'6_Cascade_Engine'!A164</f>
        <v/>
      </c>
      <c r="B164" s="7">
        <f>'6_Cascade_Engine'!B164</f>
        <v/>
      </c>
      <c r="C164" s="7">
        <f>'1_GICS_Structure'!B164</f>
        <v/>
      </c>
      <c r="D164" s="17">
        <f>'6_Cascade_Engine'!T164</f>
        <v/>
      </c>
      <c r="E164" s="17">
        <f>'6_Cascade_Engine'!U164</f>
        <v/>
      </c>
      <c r="F164" s="17">
        <f>'6_Cascade_Engine'!Q164</f>
        <v/>
      </c>
      <c r="G164" s="17">
        <f>'6_Cascade_Engine'!R164</f>
        <v/>
      </c>
      <c r="H164" s="17">
        <f>'6_Cascade_Engine'!AA164</f>
        <v/>
      </c>
      <c r="I164" s="7">
        <f>'6_Cascade_Engine'!S164</f>
        <v/>
      </c>
    </row>
    <row r="165">
      <c r="A165" s="7">
        <f>'6_Cascade_Engine'!A165</f>
        <v/>
      </c>
      <c r="B165" s="7">
        <f>'6_Cascade_Engine'!B165</f>
        <v/>
      </c>
      <c r="C165" s="7">
        <f>'1_GICS_Structure'!B165</f>
        <v/>
      </c>
      <c r="D165" s="17">
        <f>'6_Cascade_Engine'!T165</f>
        <v/>
      </c>
      <c r="E165" s="17">
        <f>'6_Cascade_Engine'!U165</f>
        <v/>
      </c>
      <c r="F165" s="17">
        <f>'6_Cascade_Engine'!Q165</f>
        <v/>
      </c>
      <c r="G165" s="17">
        <f>'6_Cascade_Engine'!R165</f>
        <v/>
      </c>
      <c r="H165" s="17">
        <f>'6_Cascade_Engine'!AA165</f>
        <v/>
      </c>
      <c r="I165" s="7">
        <f>'6_Cascade_Engine'!S165</f>
        <v/>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2026-08-12T05:54:19Z</dcterms:created>
  <dcterms:modified xmlns:dcterms="http://purl.org/dc/terms/" xmlns:xsi="http://www.w3.org/2001/XMLSchema-instance" xsi:type="dcterms:W3CDTF">2026-08-12T05:54:20Z</dcterms:modified>
</cp:coreProperties>
</file>