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O Charts" sheetId="2" state="visible" r:id="rId2"/>
    <sheet xmlns:r="http://schemas.openxmlformats.org/officeDocument/2006/relationships" name="Data Guide" sheetId="3" state="visible" r:id="rId3"/>
    <sheet xmlns:r="http://schemas.openxmlformats.org/officeDocument/2006/relationships" name="DL" sheetId="4" state="visible" r:id="rId4"/>
    <sheet xmlns:r="http://schemas.openxmlformats.org/officeDocument/2006/relationships" name="InfraDebt" sheetId="5" state="visible" r:id="rId5"/>
    <sheet xmlns:r="http://schemas.openxmlformats.org/officeDocument/2006/relationships" name="RCF" sheetId="6" state="visible" r:id="rId6"/>
    <sheet xmlns:r="http://schemas.openxmlformats.org/officeDocument/2006/relationships" name="NAV" sheetId="7" state="visible" r:id="rId7"/>
    <sheet xmlns:r="http://schemas.openxmlformats.org/officeDocument/2006/relationships" name="TWCS" sheetId="8" state="visible" r:id="rId8"/>
    <sheet xmlns:r="http://schemas.openxmlformats.org/officeDocument/2006/relationships" name="HAIL RE" sheetId="9" state="visible" r:id="rId9"/>
    <sheet xmlns:r="http://schemas.openxmlformats.org/officeDocument/2006/relationships" name="HTRE RE" sheetId="10" state="visible" r:id="rId10"/>
    <sheet xmlns:r="http://schemas.openxmlformats.org/officeDocument/2006/relationships" name="RE Asia" sheetId="11" state="visible" r:id="rId11"/>
    <sheet xmlns:r="http://schemas.openxmlformats.org/officeDocument/2006/relationships" name="REIM" sheetId="12" state="visible" r:id="rId12"/>
    <sheet xmlns:r="http://schemas.openxmlformats.org/officeDocument/2006/relationships" name="ETI" sheetId="13" state="visible" r:id="rId13"/>
    <sheet xmlns:r="http://schemas.openxmlformats.org/officeDocument/2006/relationships" name="HF" sheetId="14" state="visible" r:id="rId14"/>
    <sheet xmlns:r="http://schemas.openxmlformats.org/officeDocument/2006/relationships" name="PrivMkts" sheetId="15" state="visible" r:id="rId15"/>
    <sheet xmlns:r="http://schemas.openxmlformats.org/officeDocument/2006/relationships" name="V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ptos Narrow"/>
      <b val="1"/>
      <color rgb="00FFFFFF"/>
      <sz val="14"/>
    </font>
    <font>
      <name val="Aptos Narrow"/>
      <i val="1"/>
      <color rgb="001A1A1A"/>
      <sz val="10"/>
    </font>
    <font>
      <name val="Aptos Narrow"/>
      <b val="1"/>
      <color rgb="001A1A1A"/>
      <sz val="11"/>
    </font>
    <font>
      <name val="Aptos Narrow"/>
      <b val="1"/>
      <color rgb="00000000"/>
      <sz val="12"/>
    </font>
    <font>
      <name val="Aptos Narrow"/>
      <b val="1"/>
      <color rgb="00000000"/>
      <sz val="14"/>
    </font>
    <font>
      <name val="Aptos Narrow"/>
      <b val="1"/>
      <color rgb="00FFFFFF"/>
      <sz val="11"/>
    </font>
    <font>
      <name val="Aptos Narrow"/>
      <b val="1"/>
      <color rgb="00000000"/>
      <sz val="13"/>
    </font>
    <font>
      <name val="Aptos Narrow"/>
      <color rgb="005C6470"/>
      <sz val="11"/>
    </font>
    <font>
      <name val="Aptos Narrow"/>
      <i val="1"/>
      <color rgb="00FFFFFF"/>
      <sz val="10"/>
    </font>
    <font>
      <name val="Aptos Narrow"/>
      <color rgb="00000000"/>
      <sz val="11"/>
    </font>
    <font>
      <name val="Aptos Narrow"/>
      <i val="1"/>
      <color rgb="005C6470"/>
      <sz val="9"/>
    </font>
    <font>
      <name val="Aptos Narrow"/>
      <b val="1"/>
      <color rgb="00DB0011"/>
      <sz val="11"/>
    </font>
    <font>
      <name val="Aptos Narrow"/>
      <color rgb="00000000"/>
      <sz val="9"/>
    </font>
    <font>
      <name val="Aptos Narrow"/>
      <b val="1"/>
      <color rgb="00000000"/>
      <sz val="11"/>
    </font>
    <font>
      <name val="Aptos Narrow"/>
      <color rgb="00FFFFFF"/>
      <sz val="11"/>
    </font>
    <font>
      <name val="Aptos Narrow"/>
      <color rgb="001A1A1A"/>
      <sz val="11"/>
    </font>
    <font>
      <name val="Aptos Narrow"/>
      <b val="1"/>
      <color rgb="00FFFFFF"/>
      <sz val="9"/>
    </font>
    <font>
      <name val="Aptos Narrow"/>
      <b val="1"/>
      <color rgb="00FFFFFF"/>
      <sz val="32"/>
    </font>
    <font>
      <name val="Aptos Narrow"/>
      <i val="1"/>
      <color rgb="00FFFFFF"/>
      <sz val="9"/>
    </font>
    <font>
      <name val="Aptos Narrow"/>
      <b val="1"/>
      <color rgb="00F0FFF0"/>
      <sz val="9"/>
    </font>
    <font>
      <name val="Aptos Narrow"/>
      <i val="1"/>
      <color rgb="00F0FFF0"/>
      <sz val="9"/>
    </font>
    <font>
      <name val="Aptos Narrow"/>
      <b val="1"/>
      <color rgb="001A1A1A"/>
      <sz val="9"/>
    </font>
    <font>
      <name val="Aptos Narrow"/>
      <b val="1"/>
      <color rgb="001A1A1A"/>
      <sz val="32"/>
    </font>
    <font>
      <name val="Aptos Narrow"/>
      <i val="1"/>
      <color rgb="001A1A1A"/>
      <sz val="9"/>
    </font>
    <font>
      <name val="Aptos Narrow"/>
      <b val="1"/>
      <color rgb="00FFE8E8"/>
      <sz val="9"/>
    </font>
    <font>
      <name val="Aptos Narrow"/>
      <i val="1"/>
      <color rgb="00FFE8E8"/>
      <sz val="9"/>
    </font>
    <font>
      <name val="Aptos Narrow"/>
      <color rgb="00000000"/>
      <sz val="10"/>
    </font>
    <font>
      <name val="Aptos Narrow"/>
      <b val="1"/>
      <color rgb="001A1A1A"/>
      <sz val="12"/>
    </font>
  </fonts>
  <fills count="14">
    <fill>
      <patternFill/>
    </fill>
    <fill>
      <patternFill patternType="gray125"/>
    </fill>
    <fill>
      <patternFill patternType="solid">
        <fgColor rgb="00DB0011"/>
      </patternFill>
    </fill>
    <fill>
      <patternFill patternType="solid">
        <fgColor rgb="00FEF9E7"/>
      </patternFill>
    </fill>
    <fill>
      <patternFill patternType="solid">
        <fgColor rgb="00F5F5F5"/>
      </patternFill>
    </fill>
    <fill>
      <patternFill patternType="solid">
        <fgColor rgb="00EAF4E4"/>
      </patternFill>
    </fill>
    <fill>
      <patternFill patternType="solid">
        <fgColor rgb="001B2A4A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medium">
        <color rgb="00DB0011"/>
      </bottom>
    </border>
    <border>
      <bottom style="medium">
        <color rgb="00DB0011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0" fillId="11" borderId="0" pivotButton="0" quotePrefix="0" xfId="0"/>
    <xf numFmtId="0" fontId="6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5" fillId="1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8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23" fillId="9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0" fillId="0" borderId="7" pivotButton="0" quotePrefix="0" xfId="0"/>
    <xf numFmtId="0" fontId="27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6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RAG Distribution  –  All MATs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solidFill>
                <a:srgbClr val="FFFFF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cat>
            <numRef>
              <f>'CRO Charts'!$T$3:$W$3</f>
            </numRef>
          </cat>
          <val>
            <numRef>
              <f>'CRO Charts'!$T$7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'CRO Charts'!$T$3:$W$3</f>
            </numRef>
          </cat>
          <val>
            <numRef>
              <f>'CRO Charts'!$U$7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'CRO Charts'!$T$3:$W$3</f>
            </numRef>
          </cat>
          <val>
            <numRef>
              <f>'CRO Charts'!$V$7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'CRO Charts'!$T$3:$W$3</f>
            </numRef>
          </cat>
          <val>
            <numRef>
              <f>'CRO Charts'!$W$7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 Status by Asset Class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'CRO Charts'!T3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Charts'!$S$4:$S$6</f>
            </numRef>
          </cat>
          <val>
            <numRef>
              <f>'CRO Charts'!$T$4:$T$6</f>
            </numRef>
          </val>
        </ser>
        <ser>
          <idx val="1"/>
          <order val="1"/>
          <tx>
            <strRef>
              <f>'CRO Charts'!U3</f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Charts'!$S$4:$S$6</f>
            </numRef>
          </cat>
          <val>
            <numRef>
              <f>'CRO Charts'!$U$4:$U$6</f>
            </numRef>
          </val>
        </ser>
        <ser>
          <idx val="2"/>
          <order val="2"/>
          <tx>
            <strRef>
              <f>'CRO Charts'!V3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Charts'!$S$4:$S$6</f>
            </numRef>
          </cat>
          <val>
            <numRef>
              <f>'CRO Charts'!$V$4:$V$6</f>
            </numRef>
          </val>
        </ser>
        <ser>
          <idx val="3"/>
          <order val="3"/>
          <tx>
            <strRef>
              <f>'CRO Charts'!W3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Charts'!$S$4:$S$6</f>
            </numRef>
          </cat>
          <val>
            <numRef>
              <f>'CRO Charts'!$W$4:$W$6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Elevated Strategies  –  Amber &amp; Red MATs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'CRO Charts'!T31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Charts'!$S$32:$S$44</f>
            </numRef>
          </cat>
          <val>
            <numRef>
              <f>'CRO Charts'!$T$32:$T$44</f>
            </numRef>
          </val>
        </ser>
        <ser>
          <idx val="1"/>
          <order val="1"/>
          <tx>
            <strRef>
              <f>'CRO Charts'!U31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Charts'!$S$32:$S$44</f>
            </numRef>
          </cat>
          <val>
            <numRef>
              <f>'CRO Charts'!$U$32:$U$44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Stripe Analysis  –  Amber &amp; Red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 Charts'!V24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Charts'!$S$25:$S$29</f>
            </numRef>
          </cat>
          <val>
            <numRef>
              <f>'CRO Charts'!$V$25:$V$29</f>
            </numRef>
          </val>
        </ser>
        <ser>
          <idx val="1"/>
          <order val="1"/>
          <tx>
            <strRef>
              <f>'CRO Charts'!W24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'CRO Charts'!$S$25:$S$29</f>
            </numRef>
          </cat>
          <val>
            <numRef>
              <f>'CRO Charts'!$W$25:$W$29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 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6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61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34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B0011"/>
    <outlinePr summaryBelow="1" summaryRight="1"/>
    <pageSetUpPr/>
  </sheetPr>
  <dimension ref="A1:I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5" customWidth="1" min="9" max="9"/>
  </cols>
  <sheetData>
    <row r="1" ht="30" customHeight="1">
      <c r="A1" s="1" t="inlineStr">
        <is>
          <t xml:space="preserve">  HSBC Asset Management | Alternatives Risk</t>
        </is>
      </c>
    </row>
    <row r="2" ht="18" customHeight="1">
      <c r="A2" s="2" t="inlineStr">
        <is>
          <t xml:space="preserve">  MAT Monitoring Dashboard  ·  All figures auto-update from strategy input tabs</t>
        </is>
      </c>
    </row>
    <row r="3" ht="5" customHeight="1"/>
    <row r="4" ht="28" customHeight="1">
      <c r="A4" s="3" t="inlineStr">
        <is>
          <t>Asset Class / Fund</t>
        </is>
      </c>
      <c r="B4" s="3" t="inlineStr">
        <is>
          <t>Risk Stripe</t>
        </is>
      </c>
      <c r="C4" s="3" t="inlineStr">
        <is>
          <t>Mand.</t>
        </is>
      </c>
      <c r="D4" s="4" t="inlineStr">
        <is>
          <t>Green</t>
        </is>
      </c>
      <c r="E4" s="5" t="inlineStr">
        <is>
          <t>Amb-Grn</t>
        </is>
      </c>
      <c r="F4" s="6" t="inlineStr">
        <is>
          <t>Amber</t>
        </is>
      </c>
      <c r="G4" s="7" t="inlineStr">
        <is>
          <t>Red</t>
        </is>
      </c>
      <c r="H4" s="3" t="inlineStr">
        <is>
          <t>Total</t>
        </is>
      </c>
      <c r="I4" s="3" t="inlineStr"/>
    </row>
    <row r="5" ht="4" customHeight="1"/>
    <row r="6" ht="20" customHeight="1">
      <c r="A6" s="8" t="inlineStr">
        <is>
          <t>Private Credit &amp; Capital Solutions</t>
        </is>
      </c>
      <c r="B6" s="9" t="inlineStr"/>
      <c r="C6" s="10">
        <f>DL!B4+InfraDebt!B4+RCF!B4+NAV!B4+TWCS!B4</f>
        <v/>
      </c>
      <c r="D6" s="10">
        <f>DL!B12+InfraDebt!B12+RCF!B12+NAV!B12+TWCS!B12</f>
        <v/>
      </c>
      <c r="E6" s="10">
        <f>DL!C12+InfraDebt!C12+RCF!C12+NAV!C12+TWCS!C12</f>
        <v/>
      </c>
      <c r="F6" s="10">
        <f>DL!D12+InfraDebt!D12+RCF!D12+NAV!D12+TWCS!D12</f>
        <v/>
      </c>
      <c r="G6" s="10">
        <f>DL!E12+InfraDebt!E12+RCF!E12+NAV!E12+TWCS!E12</f>
        <v/>
      </c>
      <c r="H6" s="10">
        <f>DL!F12+InfraDebt!F12+RCF!F12+NAV!F12+TWCS!F12</f>
        <v/>
      </c>
      <c r="I6" s="9" t="inlineStr"/>
    </row>
    <row r="7" ht="16" customHeight="1">
      <c r="A7" s="11" t="inlineStr">
        <is>
          <t>Direct Lending UK &amp; EUR</t>
        </is>
      </c>
      <c r="B7" s="12" t="inlineStr">
        <is>
          <t>All risk stripes</t>
        </is>
      </c>
      <c r="C7" s="13">
        <f>DL!B4</f>
        <v/>
      </c>
      <c r="D7" s="13">
        <f>DL!B12</f>
        <v/>
      </c>
      <c r="E7" s="13">
        <f>DL!C12</f>
        <v/>
      </c>
      <c r="F7" s="13">
        <f>DL!D12</f>
        <v/>
      </c>
      <c r="G7" s="13">
        <f>DL!E12</f>
        <v/>
      </c>
      <c r="H7" s="13">
        <f>DL!F12</f>
        <v/>
      </c>
      <c r="I7" s="14">
        <f>IF(OR(DL!D12&gt;0,DL!E12&gt;0),"→","")</f>
        <v/>
      </c>
    </row>
    <row r="8" ht="13" customHeight="1">
      <c r="A8" s="15" t="inlineStr"/>
      <c r="B8" s="16" t="inlineStr">
        <is>
          <t>Market Risk</t>
        </is>
      </c>
      <c r="C8" s="15" t="inlineStr"/>
      <c r="D8" s="17">
        <f>DL!B7</f>
        <v/>
      </c>
      <c r="E8" s="17">
        <f>DL!C7</f>
        <v/>
      </c>
      <c r="F8" s="17">
        <f>DL!D7</f>
        <v/>
      </c>
      <c r="G8" s="17">
        <f>DL!E7</f>
        <v/>
      </c>
      <c r="H8" s="17">
        <f>DL!F7</f>
        <v/>
      </c>
      <c r="I8" s="15" t="inlineStr"/>
    </row>
    <row r="9" ht="13" customHeight="1">
      <c r="A9" s="15" t="inlineStr"/>
      <c r="B9" s="16" t="inlineStr">
        <is>
          <t>Liquidity Risk</t>
        </is>
      </c>
      <c r="C9" s="15" t="inlineStr"/>
      <c r="D9" s="17">
        <f>DL!B8</f>
        <v/>
      </c>
      <c r="E9" s="17">
        <f>DL!C8</f>
        <v/>
      </c>
      <c r="F9" s="17">
        <f>DL!D8</f>
        <v/>
      </c>
      <c r="G9" s="17">
        <f>DL!E8</f>
        <v/>
      </c>
      <c r="H9" s="17">
        <f>DL!F8</f>
        <v/>
      </c>
      <c r="I9" s="15" t="inlineStr"/>
    </row>
    <row r="10" ht="13" customHeight="1">
      <c r="A10" s="15" t="inlineStr"/>
      <c r="B10" s="16" t="inlineStr">
        <is>
          <t>Counterparty / CCR</t>
        </is>
      </c>
      <c r="C10" s="15" t="inlineStr"/>
      <c r="D10" s="17">
        <f>DL!B9</f>
        <v/>
      </c>
      <c r="E10" s="17">
        <f>DL!C9</f>
        <v/>
      </c>
      <c r="F10" s="17">
        <f>DL!D9</f>
        <v/>
      </c>
      <c r="G10" s="17">
        <f>DL!E9</f>
        <v/>
      </c>
      <c r="H10" s="17">
        <f>DL!F9</f>
        <v/>
      </c>
      <c r="I10" s="15" t="inlineStr"/>
    </row>
    <row r="11" ht="13" customHeight="1">
      <c r="A11" s="15" t="inlineStr"/>
      <c r="B11" s="16" t="inlineStr">
        <is>
          <t>Sustainability</t>
        </is>
      </c>
      <c r="C11" s="15" t="inlineStr"/>
      <c r="D11" s="17">
        <f>DL!B10</f>
        <v/>
      </c>
      <c r="E11" s="17">
        <f>DL!C10</f>
        <v/>
      </c>
      <c r="F11" s="17">
        <f>DL!D10</f>
        <v/>
      </c>
      <c r="G11" s="17">
        <f>DL!E10</f>
        <v/>
      </c>
      <c r="H11" s="17">
        <f>DL!F10</f>
        <v/>
      </c>
      <c r="I11" s="15" t="inlineStr"/>
    </row>
    <row r="12" ht="13" customHeight="1">
      <c r="A12" s="15" t="inlineStr"/>
      <c r="B12" s="16" t="inlineStr">
        <is>
          <t>Performance</t>
        </is>
      </c>
      <c r="C12" s="15" t="inlineStr"/>
      <c r="D12" s="17">
        <f>DL!B11</f>
        <v/>
      </c>
      <c r="E12" s="17">
        <f>DL!C11</f>
        <v/>
      </c>
      <c r="F12" s="17">
        <f>DL!D11</f>
        <v/>
      </c>
      <c r="G12" s="17">
        <f>DL!E11</f>
        <v/>
      </c>
      <c r="H12" s="17">
        <f>DL!F11</f>
        <v/>
      </c>
      <c r="I12" s="15" t="inlineStr"/>
    </row>
    <row r="13" ht="16" customHeight="1">
      <c r="A13" s="11" t="inlineStr">
        <is>
          <t>Infrastructure Debt</t>
        </is>
      </c>
      <c r="B13" s="12" t="inlineStr">
        <is>
          <t>All risk stripes</t>
        </is>
      </c>
      <c r="C13" s="13">
        <f>InfraDebt!B4</f>
        <v/>
      </c>
      <c r="D13" s="13">
        <f>InfraDebt!B12</f>
        <v/>
      </c>
      <c r="E13" s="13">
        <f>InfraDebt!C12</f>
        <v/>
      </c>
      <c r="F13" s="13">
        <f>InfraDebt!D12</f>
        <v/>
      </c>
      <c r="G13" s="13">
        <f>InfraDebt!E12</f>
        <v/>
      </c>
      <c r="H13" s="13">
        <f>InfraDebt!F12</f>
        <v/>
      </c>
      <c r="I13" s="14">
        <f>IF(OR(InfraDebt!D12&gt;0,InfraDebt!E12&gt;0),"→","")</f>
        <v/>
      </c>
    </row>
    <row r="14" ht="13" customHeight="1">
      <c r="A14" s="15" t="inlineStr"/>
      <c r="B14" s="16" t="inlineStr">
        <is>
          <t>Market Risk</t>
        </is>
      </c>
      <c r="C14" s="15" t="inlineStr"/>
      <c r="D14" s="17">
        <f>InfraDebt!B7</f>
        <v/>
      </c>
      <c r="E14" s="17">
        <f>InfraDebt!C7</f>
        <v/>
      </c>
      <c r="F14" s="17">
        <f>InfraDebt!D7</f>
        <v/>
      </c>
      <c r="G14" s="17">
        <f>InfraDebt!E7</f>
        <v/>
      </c>
      <c r="H14" s="17">
        <f>InfraDebt!F7</f>
        <v/>
      </c>
      <c r="I14" s="15" t="inlineStr"/>
    </row>
    <row r="15" ht="13" customHeight="1">
      <c r="A15" s="15" t="inlineStr"/>
      <c r="B15" s="16" t="inlineStr">
        <is>
          <t>Liquidity Risk</t>
        </is>
      </c>
      <c r="C15" s="15" t="inlineStr"/>
      <c r="D15" s="17">
        <f>InfraDebt!B8</f>
        <v/>
      </c>
      <c r="E15" s="17">
        <f>InfraDebt!C8</f>
        <v/>
      </c>
      <c r="F15" s="17">
        <f>InfraDebt!D8</f>
        <v/>
      </c>
      <c r="G15" s="17">
        <f>InfraDebt!E8</f>
        <v/>
      </c>
      <c r="H15" s="17">
        <f>InfraDebt!F8</f>
        <v/>
      </c>
      <c r="I15" s="15" t="inlineStr"/>
    </row>
    <row r="16" ht="13" customHeight="1">
      <c r="A16" s="15" t="inlineStr"/>
      <c r="B16" s="16" t="inlineStr">
        <is>
          <t>Counterparty / CCR</t>
        </is>
      </c>
      <c r="C16" s="15" t="inlineStr"/>
      <c r="D16" s="17">
        <f>InfraDebt!B9</f>
        <v/>
      </c>
      <c r="E16" s="17">
        <f>InfraDebt!C9</f>
        <v/>
      </c>
      <c r="F16" s="17">
        <f>InfraDebt!D9</f>
        <v/>
      </c>
      <c r="G16" s="17">
        <f>InfraDebt!E9</f>
        <v/>
      </c>
      <c r="H16" s="17">
        <f>InfraDebt!F9</f>
        <v/>
      </c>
      <c r="I16" s="15" t="inlineStr"/>
    </row>
    <row r="17" ht="13" customHeight="1">
      <c r="A17" s="15" t="inlineStr"/>
      <c r="B17" s="16" t="inlineStr">
        <is>
          <t>Sustainability</t>
        </is>
      </c>
      <c r="C17" s="15" t="inlineStr"/>
      <c r="D17" s="17">
        <f>InfraDebt!B10</f>
        <v/>
      </c>
      <c r="E17" s="17">
        <f>InfraDebt!C10</f>
        <v/>
      </c>
      <c r="F17" s="17">
        <f>InfraDebt!D10</f>
        <v/>
      </c>
      <c r="G17" s="17">
        <f>InfraDebt!E10</f>
        <v/>
      </c>
      <c r="H17" s="17">
        <f>InfraDebt!F10</f>
        <v/>
      </c>
      <c r="I17" s="15" t="inlineStr"/>
    </row>
    <row r="18" ht="13" customHeight="1">
      <c r="A18" s="15" t="inlineStr"/>
      <c r="B18" s="16" t="inlineStr">
        <is>
          <t>Performance</t>
        </is>
      </c>
      <c r="C18" s="15" t="inlineStr"/>
      <c r="D18" s="17">
        <f>InfraDebt!B11</f>
        <v/>
      </c>
      <c r="E18" s="17">
        <f>InfraDebt!C11</f>
        <v/>
      </c>
      <c r="F18" s="17">
        <f>InfraDebt!D11</f>
        <v/>
      </c>
      <c r="G18" s="17">
        <f>InfraDebt!E11</f>
        <v/>
      </c>
      <c r="H18" s="17">
        <f>InfraDebt!F11</f>
        <v/>
      </c>
      <c r="I18" s="15" t="inlineStr"/>
    </row>
    <row r="19" ht="16" customHeight="1">
      <c r="A19" s="11" t="inlineStr">
        <is>
          <t>RCF</t>
        </is>
      </c>
      <c r="B19" s="12" t="inlineStr">
        <is>
          <t>All risk stripes</t>
        </is>
      </c>
      <c r="C19" s="13">
        <f>RCF!B4</f>
        <v/>
      </c>
      <c r="D19" s="13">
        <f>RCF!B12</f>
        <v/>
      </c>
      <c r="E19" s="13">
        <f>RCF!C12</f>
        <v/>
      </c>
      <c r="F19" s="13">
        <f>RCF!D12</f>
        <v/>
      </c>
      <c r="G19" s="13">
        <f>RCF!E12</f>
        <v/>
      </c>
      <c r="H19" s="13">
        <f>RCF!F12</f>
        <v/>
      </c>
      <c r="I19" s="14">
        <f>IF(OR(RCF!D12&gt;0,RCF!E12&gt;0),"→","")</f>
        <v/>
      </c>
    </row>
    <row r="20" ht="13" customHeight="1">
      <c r="A20" s="15" t="inlineStr"/>
      <c r="B20" s="16" t="inlineStr">
        <is>
          <t>Market Risk</t>
        </is>
      </c>
      <c r="C20" s="15" t="inlineStr"/>
      <c r="D20" s="17">
        <f>RCF!B7</f>
        <v/>
      </c>
      <c r="E20" s="17">
        <f>RCF!C7</f>
        <v/>
      </c>
      <c r="F20" s="17">
        <f>RCF!D7</f>
        <v/>
      </c>
      <c r="G20" s="17">
        <f>RCF!E7</f>
        <v/>
      </c>
      <c r="H20" s="17">
        <f>RCF!F7</f>
        <v/>
      </c>
      <c r="I20" s="15" t="inlineStr"/>
    </row>
    <row r="21" ht="13" customHeight="1">
      <c r="A21" s="15" t="inlineStr"/>
      <c r="B21" s="16" t="inlineStr">
        <is>
          <t>Liquidity Risk</t>
        </is>
      </c>
      <c r="C21" s="15" t="inlineStr"/>
      <c r="D21" s="17">
        <f>RCF!B8</f>
        <v/>
      </c>
      <c r="E21" s="17">
        <f>RCF!C8</f>
        <v/>
      </c>
      <c r="F21" s="17">
        <f>RCF!D8</f>
        <v/>
      </c>
      <c r="G21" s="17">
        <f>RCF!E8</f>
        <v/>
      </c>
      <c r="H21" s="17">
        <f>RCF!F8</f>
        <v/>
      </c>
      <c r="I21" s="15" t="inlineStr"/>
    </row>
    <row r="22" ht="13" customHeight="1">
      <c r="A22" s="15" t="inlineStr"/>
      <c r="B22" s="16" t="inlineStr">
        <is>
          <t>Counterparty / CCR</t>
        </is>
      </c>
      <c r="C22" s="15" t="inlineStr"/>
      <c r="D22" s="17">
        <f>RCF!B9</f>
        <v/>
      </c>
      <c r="E22" s="17">
        <f>RCF!C9</f>
        <v/>
      </c>
      <c r="F22" s="17">
        <f>RCF!D9</f>
        <v/>
      </c>
      <c r="G22" s="17">
        <f>RCF!E9</f>
        <v/>
      </c>
      <c r="H22" s="17">
        <f>RCF!F9</f>
        <v/>
      </c>
      <c r="I22" s="15" t="inlineStr"/>
    </row>
    <row r="23" ht="13" customHeight="1">
      <c r="A23" s="15" t="inlineStr"/>
      <c r="B23" s="16" t="inlineStr">
        <is>
          <t>Sustainability</t>
        </is>
      </c>
      <c r="C23" s="15" t="inlineStr"/>
      <c r="D23" s="17">
        <f>RCF!B10</f>
        <v/>
      </c>
      <c r="E23" s="17">
        <f>RCF!C10</f>
        <v/>
      </c>
      <c r="F23" s="17">
        <f>RCF!D10</f>
        <v/>
      </c>
      <c r="G23" s="17">
        <f>RCF!E10</f>
        <v/>
      </c>
      <c r="H23" s="17">
        <f>RCF!F10</f>
        <v/>
      </c>
      <c r="I23" s="15" t="inlineStr"/>
    </row>
    <row r="24" ht="13" customHeight="1">
      <c r="A24" s="15" t="inlineStr"/>
      <c r="B24" s="16" t="inlineStr">
        <is>
          <t>Performance</t>
        </is>
      </c>
      <c r="C24" s="15" t="inlineStr"/>
      <c r="D24" s="17">
        <f>RCF!B11</f>
        <v/>
      </c>
      <c r="E24" s="17">
        <f>RCF!C11</f>
        <v/>
      </c>
      <c r="F24" s="17">
        <f>RCF!D11</f>
        <v/>
      </c>
      <c r="G24" s="17">
        <f>RCF!E11</f>
        <v/>
      </c>
      <c r="H24" s="17">
        <f>RCF!F11</f>
        <v/>
      </c>
      <c r="I24" s="15" t="inlineStr"/>
    </row>
    <row r="25" ht="16" customHeight="1">
      <c r="A25" s="11" t="inlineStr">
        <is>
          <t>NAV Financing</t>
        </is>
      </c>
      <c r="B25" s="12" t="inlineStr">
        <is>
          <t>All risk stripes</t>
        </is>
      </c>
      <c r="C25" s="13">
        <f>NAV!B4</f>
        <v/>
      </c>
      <c r="D25" s="13">
        <f>NAV!B12</f>
        <v/>
      </c>
      <c r="E25" s="13">
        <f>NAV!C12</f>
        <v/>
      </c>
      <c r="F25" s="13">
        <f>NAV!D12</f>
        <v/>
      </c>
      <c r="G25" s="13">
        <f>NAV!E12</f>
        <v/>
      </c>
      <c r="H25" s="13">
        <f>NAV!F12</f>
        <v/>
      </c>
      <c r="I25" s="14">
        <f>IF(OR(NAV!D12&gt;0,NAV!E12&gt;0),"→","")</f>
        <v/>
      </c>
    </row>
    <row r="26" ht="13" customHeight="1">
      <c r="A26" s="15" t="inlineStr"/>
      <c r="B26" s="16" t="inlineStr">
        <is>
          <t>Market Risk</t>
        </is>
      </c>
      <c r="C26" s="15" t="inlineStr"/>
      <c r="D26" s="17">
        <f>NAV!B7</f>
        <v/>
      </c>
      <c r="E26" s="17">
        <f>NAV!C7</f>
        <v/>
      </c>
      <c r="F26" s="17">
        <f>NAV!D7</f>
        <v/>
      </c>
      <c r="G26" s="17">
        <f>NAV!E7</f>
        <v/>
      </c>
      <c r="H26" s="17">
        <f>NAV!F7</f>
        <v/>
      </c>
      <c r="I26" s="15" t="inlineStr"/>
    </row>
    <row r="27" ht="13" customHeight="1">
      <c r="A27" s="15" t="inlineStr"/>
      <c r="B27" s="16" t="inlineStr">
        <is>
          <t>Liquidity Risk</t>
        </is>
      </c>
      <c r="C27" s="15" t="inlineStr"/>
      <c r="D27" s="17">
        <f>NAV!B8</f>
        <v/>
      </c>
      <c r="E27" s="17">
        <f>NAV!C8</f>
        <v/>
      </c>
      <c r="F27" s="17">
        <f>NAV!D8</f>
        <v/>
      </c>
      <c r="G27" s="17">
        <f>NAV!E8</f>
        <v/>
      </c>
      <c r="H27" s="17">
        <f>NAV!F8</f>
        <v/>
      </c>
      <c r="I27" s="15" t="inlineStr"/>
    </row>
    <row r="28" ht="13" customHeight="1">
      <c r="A28" s="15" t="inlineStr"/>
      <c r="B28" s="16" t="inlineStr">
        <is>
          <t>Counterparty / CCR</t>
        </is>
      </c>
      <c r="C28" s="15" t="inlineStr"/>
      <c r="D28" s="17">
        <f>NAV!B9</f>
        <v/>
      </c>
      <c r="E28" s="17">
        <f>NAV!C9</f>
        <v/>
      </c>
      <c r="F28" s="17">
        <f>NAV!D9</f>
        <v/>
      </c>
      <c r="G28" s="17">
        <f>NAV!E9</f>
        <v/>
      </c>
      <c r="H28" s="17">
        <f>NAV!F9</f>
        <v/>
      </c>
      <c r="I28" s="15" t="inlineStr"/>
    </row>
    <row r="29" ht="13" customHeight="1">
      <c r="A29" s="15" t="inlineStr"/>
      <c r="B29" s="16" t="inlineStr">
        <is>
          <t>Sustainability</t>
        </is>
      </c>
      <c r="C29" s="15" t="inlineStr"/>
      <c r="D29" s="17">
        <f>NAV!B10</f>
        <v/>
      </c>
      <c r="E29" s="17">
        <f>NAV!C10</f>
        <v/>
      </c>
      <c r="F29" s="17">
        <f>NAV!D10</f>
        <v/>
      </c>
      <c r="G29" s="17">
        <f>NAV!E10</f>
        <v/>
      </c>
      <c r="H29" s="17">
        <f>NAV!F10</f>
        <v/>
      </c>
      <c r="I29" s="15" t="inlineStr"/>
    </row>
    <row r="30" ht="13" customHeight="1">
      <c r="A30" s="15" t="inlineStr"/>
      <c r="B30" s="16" t="inlineStr">
        <is>
          <t>Performance</t>
        </is>
      </c>
      <c r="C30" s="15" t="inlineStr"/>
      <c r="D30" s="17">
        <f>NAV!B11</f>
        <v/>
      </c>
      <c r="E30" s="17">
        <f>NAV!C11</f>
        <v/>
      </c>
      <c r="F30" s="17">
        <f>NAV!D11</f>
        <v/>
      </c>
      <c r="G30" s="17">
        <f>NAV!E11</f>
        <v/>
      </c>
      <c r="H30" s="17">
        <f>NAV!F11</f>
        <v/>
      </c>
      <c r="I30" s="15" t="inlineStr"/>
    </row>
    <row r="31" ht="16" customHeight="1">
      <c r="A31" s="11" t="inlineStr">
        <is>
          <t>Trade &amp; Working Capital</t>
        </is>
      </c>
      <c r="B31" s="12" t="inlineStr">
        <is>
          <t>All risk stripes</t>
        </is>
      </c>
      <c r="C31" s="13">
        <f>TWCS!B4</f>
        <v/>
      </c>
      <c r="D31" s="13">
        <f>TWCS!B12</f>
        <v/>
      </c>
      <c r="E31" s="13">
        <f>TWCS!C12</f>
        <v/>
      </c>
      <c r="F31" s="13">
        <f>TWCS!D12</f>
        <v/>
      </c>
      <c r="G31" s="13">
        <f>TWCS!E12</f>
        <v/>
      </c>
      <c r="H31" s="13">
        <f>TWCS!F12</f>
        <v/>
      </c>
      <c r="I31" s="14">
        <f>IF(OR(TWCS!D12&gt;0,TWCS!E12&gt;0),"→","")</f>
        <v/>
      </c>
    </row>
    <row r="32" ht="13" customHeight="1">
      <c r="A32" s="15" t="inlineStr"/>
      <c r="B32" s="16" t="inlineStr">
        <is>
          <t>Market Risk</t>
        </is>
      </c>
      <c r="C32" s="15" t="inlineStr"/>
      <c r="D32" s="17">
        <f>TWCS!B7</f>
        <v/>
      </c>
      <c r="E32" s="17">
        <f>TWCS!C7</f>
        <v/>
      </c>
      <c r="F32" s="17">
        <f>TWCS!D7</f>
        <v/>
      </c>
      <c r="G32" s="17">
        <f>TWCS!E7</f>
        <v/>
      </c>
      <c r="H32" s="17">
        <f>TWCS!F7</f>
        <v/>
      </c>
      <c r="I32" s="15" t="inlineStr"/>
    </row>
    <row r="33" ht="13" customHeight="1">
      <c r="A33" s="15" t="inlineStr"/>
      <c r="B33" s="16" t="inlineStr">
        <is>
          <t>Liquidity Risk</t>
        </is>
      </c>
      <c r="C33" s="15" t="inlineStr"/>
      <c r="D33" s="17">
        <f>TWCS!B8</f>
        <v/>
      </c>
      <c r="E33" s="17">
        <f>TWCS!C8</f>
        <v/>
      </c>
      <c r="F33" s="17">
        <f>TWCS!D8</f>
        <v/>
      </c>
      <c r="G33" s="17">
        <f>TWCS!E8</f>
        <v/>
      </c>
      <c r="H33" s="17">
        <f>TWCS!F8</f>
        <v/>
      </c>
      <c r="I33" s="15" t="inlineStr"/>
    </row>
    <row r="34" ht="13" customHeight="1">
      <c r="A34" s="15" t="inlineStr"/>
      <c r="B34" s="16" t="inlineStr">
        <is>
          <t>Counterparty / CCR</t>
        </is>
      </c>
      <c r="C34" s="15" t="inlineStr"/>
      <c r="D34" s="17">
        <f>TWCS!B9</f>
        <v/>
      </c>
      <c r="E34" s="17">
        <f>TWCS!C9</f>
        <v/>
      </c>
      <c r="F34" s="17">
        <f>TWCS!D9</f>
        <v/>
      </c>
      <c r="G34" s="17">
        <f>TWCS!E9</f>
        <v/>
      </c>
      <c r="H34" s="17">
        <f>TWCS!F9</f>
        <v/>
      </c>
      <c r="I34" s="15" t="inlineStr"/>
    </row>
    <row r="35" ht="13" customHeight="1">
      <c r="A35" s="15" t="inlineStr"/>
      <c r="B35" s="16" t="inlineStr">
        <is>
          <t>Sustainability</t>
        </is>
      </c>
      <c r="C35" s="15" t="inlineStr"/>
      <c r="D35" s="17">
        <f>TWCS!B10</f>
        <v/>
      </c>
      <c r="E35" s="17">
        <f>TWCS!C10</f>
        <v/>
      </c>
      <c r="F35" s="17">
        <f>TWCS!D10</f>
        <v/>
      </c>
      <c r="G35" s="17">
        <f>TWCS!E10</f>
        <v/>
      </c>
      <c r="H35" s="17">
        <f>TWCS!F10</f>
        <v/>
      </c>
      <c r="I35" s="15" t="inlineStr"/>
    </row>
    <row r="36" ht="13" customHeight="1">
      <c r="A36" s="15" t="inlineStr"/>
      <c r="B36" s="16" t="inlineStr">
        <is>
          <t>Performance</t>
        </is>
      </c>
      <c r="C36" s="15" t="inlineStr"/>
      <c r="D36" s="17">
        <f>TWCS!B11</f>
        <v/>
      </c>
      <c r="E36" s="17">
        <f>TWCS!C11</f>
        <v/>
      </c>
      <c r="F36" s="17">
        <f>TWCS!D11</f>
        <v/>
      </c>
      <c r="G36" s="17">
        <f>TWCS!E11</f>
        <v/>
      </c>
      <c r="H36" s="17">
        <f>TWCS!F11</f>
        <v/>
      </c>
      <c r="I36" s="15" t="inlineStr"/>
    </row>
    <row r="37" ht="6" customHeight="1"/>
    <row r="38" ht="20" customHeight="1">
      <c r="A38" s="8" t="inlineStr">
        <is>
          <t>Real Asset</t>
        </is>
      </c>
      <c r="B38" s="9" t="inlineStr"/>
      <c r="C38" s="10">
        <f>'HAIL RE'!B4+'HTRE RE'!B4+'RE Asia'!B4+REIM!B4+ETI!B4</f>
        <v/>
      </c>
      <c r="D38" s="10">
        <f>'HAIL RE'!B12+'HTRE RE'!B12+'RE Asia'!B12+REIM!B12+ETI!B12</f>
        <v/>
      </c>
      <c r="E38" s="10">
        <f>'HAIL RE'!C12+'HTRE RE'!C12+'RE Asia'!C12+REIM!C12+ETI!C12</f>
        <v/>
      </c>
      <c r="F38" s="10">
        <f>'HAIL RE'!D12+'HTRE RE'!D12+'RE Asia'!D12+REIM!D12+ETI!D12</f>
        <v/>
      </c>
      <c r="G38" s="10">
        <f>'HAIL RE'!E12+'HTRE RE'!E12+'RE Asia'!E12+REIM!E12+ETI!E12</f>
        <v/>
      </c>
      <c r="H38" s="10">
        <f>'HAIL RE'!F12+'HTRE RE'!F12+'RE Asia'!F12+REIM!F12+ETI!F12</f>
        <v/>
      </c>
      <c r="I38" s="9" t="inlineStr"/>
    </row>
    <row r="39" ht="16" customHeight="1">
      <c r="A39" s="11" t="inlineStr">
        <is>
          <t>HAIL Direct RE</t>
        </is>
      </c>
      <c r="B39" s="12" t="inlineStr">
        <is>
          <t>All risk stripes</t>
        </is>
      </c>
      <c r="C39" s="13">
        <f>'HAIL RE'!B4</f>
        <v/>
      </c>
      <c r="D39" s="13">
        <f>'HAIL RE'!B12</f>
        <v/>
      </c>
      <c r="E39" s="13">
        <f>'HAIL RE'!C12</f>
        <v/>
      </c>
      <c r="F39" s="13">
        <f>'HAIL RE'!D12</f>
        <v/>
      </c>
      <c r="G39" s="13">
        <f>'HAIL RE'!E12</f>
        <v/>
      </c>
      <c r="H39" s="13">
        <f>'HAIL RE'!F12</f>
        <v/>
      </c>
      <c r="I39" s="14">
        <f>IF(OR('HAIL RE'!D12&gt;0,'HAIL RE'!E12&gt;0),"→","")</f>
        <v/>
      </c>
    </row>
    <row r="40" ht="13" customHeight="1">
      <c r="A40" s="15" t="inlineStr"/>
      <c r="B40" s="16" t="inlineStr">
        <is>
          <t>Market Risk</t>
        </is>
      </c>
      <c r="C40" s="15" t="inlineStr"/>
      <c r="D40" s="17">
        <f>'HAIL RE'!B7</f>
        <v/>
      </c>
      <c r="E40" s="17">
        <f>'HAIL RE'!C7</f>
        <v/>
      </c>
      <c r="F40" s="17">
        <f>'HAIL RE'!D7</f>
        <v/>
      </c>
      <c r="G40" s="17">
        <f>'HAIL RE'!E7</f>
        <v/>
      </c>
      <c r="H40" s="17">
        <f>'HAIL RE'!F7</f>
        <v/>
      </c>
      <c r="I40" s="15" t="inlineStr"/>
    </row>
    <row r="41" ht="13" customHeight="1">
      <c r="A41" s="15" t="inlineStr"/>
      <c r="B41" s="16" t="inlineStr">
        <is>
          <t>Liquidity Risk</t>
        </is>
      </c>
      <c r="C41" s="15" t="inlineStr"/>
      <c r="D41" s="17">
        <f>'HAIL RE'!B8</f>
        <v/>
      </c>
      <c r="E41" s="17">
        <f>'HAIL RE'!C8</f>
        <v/>
      </c>
      <c r="F41" s="17">
        <f>'HAIL RE'!D8</f>
        <v/>
      </c>
      <c r="G41" s="17">
        <f>'HAIL RE'!E8</f>
        <v/>
      </c>
      <c r="H41" s="17">
        <f>'HAIL RE'!F8</f>
        <v/>
      </c>
      <c r="I41" s="15" t="inlineStr"/>
    </row>
    <row r="42" ht="13" customHeight="1">
      <c r="A42" s="15" t="inlineStr"/>
      <c r="B42" s="16" t="inlineStr">
        <is>
          <t>Counterparty / CCR</t>
        </is>
      </c>
      <c r="C42" s="15" t="inlineStr"/>
      <c r="D42" s="17">
        <f>'HAIL RE'!B9</f>
        <v/>
      </c>
      <c r="E42" s="17">
        <f>'HAIL RE'!C9</f>
        <v/>
      </c>
      <c r="F42" s="17">
        <f>'HAIL RE'!D9</f>
        <v/>
      </c>
      <c r="G42" s="17">
        <f>'HAIL RE'!E9</f>
        <v/>
      </c>
      <c r="H42" s="17">
        <f>'HAIL RE'!F9</f>
        <v/>
      </c>
      <c r="I42" s="15" t="inlineStr"/>
    </row>
    <row r="43" ht="13" customHeight="1">
      <c r="A43" s="15" t="inlineStr"/>
      <c r="B43" s="16" t="inlineStr">
        <is>
          <t>Sustainability</t>
        </is>
      </c>
      <c r="C43" s="15" t="inlineStr"/>
      <c r="D43" s="17">
        <f>'HAIL RE'!B10</f>
        <v/>
      </c>
      <c r="E43" s="17">
        <f>'HAIL RE'!C10</f>
        <v/>
      </c>
      <c r="F43" s="17">
        <f>'HAIL RE'!D10</f>
        <v/>
      </c>
      <c r="G43" s="17">
        <f>'HAIL RE'!E10</f>
        <v/>
      </c>
      <c r="H43" s="17">
        <f>'HAIL RE'!F10</f>
        <v/>
      </c>
      <c r="I43" s="15" t="inlineStr"/>
    </row>
    <row r="44" ht="13" customHeight="1">
      <c r="A44" s="15" t="inlineStr"/>
      <c r="B44" s="16" t="inlineStr">
        <is>
          <t>Performance</t>
        </is>
      </c>
      <c r="C44" s="15" t="inlineStr"/>
      <c r="D44" s="17">
        <f>'HAIL RE'!B11</f>
        <v/>
      </c>
      <c r="E44" s="17">
        <f>'HAIL RE'!C11</f>
        <v/>
      </c>
      <c r="F44" s="17">
        <f>'HAIL RE'!D11</f>
        <v/>
      </c>
      <c r="G44" s="17">
        <f>'HAIL RE'!E11</f>
        <v/>
      </c>
      <c r="H44" s="17">
        <f>'HAIL RE'!F11</f>
        <v/>
      </c>
      <c r="I44" s="15" t="inlineStr"/>
    </row>
    <row r="45" ht="16" customHeight="1">
      <c r="A45" s="11" t="inlineStr">
        <is>
          <t>HTRE RE</t>
        </is>
      </c>
      <c r="B45" s="12" t="inlineStr">
        <is>
          <t>All risk stripes</t>
        </is>
      </c>
      <c r="C45" s="13">
        <f>'HTRE RE'!B4</f>
        <v/>
      </c>
      <c r="D45" s="13">
        <f>'HTRE RE'!B12</f>
        <v/>
      </c>
      <c r="E45" s="13">
        <f>'HTRE RE'!C12</f>
        <v/>
      </c>
      <c r="F45" s="13">
        <f>'HTRE RE'!D12</f>
        <v/>
      </c>
      <c r="G45" s="13">
        <f>'HTRE RE'!E12</f>
        <v/>
      </c>
      <c r="H45" s="13">
        <f>'HTRE RE'!F12</f>
        <v/>
      </c>
      <c r="I45" s="14">
        <f>IF(OR('HTRE RE'!D12&gt;0,'HTRE RE'!E12&gt;0),"→","")</f>
        <v/>
      </c>
    </row>
    <row r="46" ht="13" customHeight="1">
      <c r="A46" s="15" t="inlineStr"/>
      <c r="B46" s="16" t="inlineStr">
        <is>
          <t>Market Risk</t>
        </is>
      </c>
      <c r="C46" s="15" t="inlineStr"/>
      <c r="D46" s="17">
        <f>'HTRE RE'!B7</f>
        <v/>
      </c>
      <c r="E46" s="17">
        <f>'HTRE RE'!C7</f>
        <v/>
      </c>
      <c r="F46" s="17">
        <f>'HTRE RE'!D7</f>
        <v/>
      </c>
      <c r="G46" s="17">
        <f>'HTRE RE'!E7</f>
        <v/>
      </c>
      <c r="H46" s="17">
        <f>'HTRE RE'!F7</f>
        <v/>
      </c>
      <c r="I46" s="15" t="inlineStr"/>
    </row>
    <row r="47" ht="13" customHeight="1">
      <c r="A47" s="15" t="inlineStr"/>
      <c r="B47" s="16" t="inlineStr">
        <is>
          <t>Liquidity Risk</t>
        </is>
      </c>
      <c r="C47" s="15" t="inlineStr"/>
      <c r="D47" s="17">
        <f>'HTRE RE'!B8</f>
        <v/>
      </c>
      <c r="E47" s="17">
        <f>'HTRE RE'!C8</f>
        <v/>
      </c>
      <c r="F47" s="17">
        <f>'HTRE RE'!D8</f>
        <v/>
      </c>
      <c r="G47" s="17">
        <f>'HTRE RE'!E8</f>
        <v/>
      </c>
      <c r="H47" s="17">
        <f>'HTRE RE'!F8</f>
        <v/>
      </c>
      <c r="I47" s="15" t="inlineStr"/>
    </row>
    <row r="48" ht="13" customHeight="1">
      <c r="A48" s="15" t="inlineStr"/>
      <c r="B48" s="16" t="inlineStr">
        <is>
          <t>Counterparty / CCR</t>
        </is>
      </c>
      <c r="C48" s="15" t="inlineStr"/>
      <c r="D48" s="17">
        <f>'HTRE RE'!B9</f>
        <v/>
      </c>
      <c r="E48" s="17">
        <f>'HTRE RE'!C9</f>
        <v/>
      </c>
      <c r="F48" s="17">
        <f>'HTRE RE'!D9</f>
        <v/>
      </c>
      <c r="G48" s="17">
        <f>'HTRE RE'!E9</f>
        <v/>
      </c>
      <c r="H48" s="17">
        <f>'HTRE RE'!F9</f>
        <v/>
      </c>
      <c r="I48" s="15" t="inlineStr"/>
    </row>
    <row r="49" ht="13" customHeight="1">
      <c r="A49" s="15" t="inlineStr"/>
      <c r="B49" s="16" t="inlineStr">
        <is>
          <t>Sustainability</t>
        </is>
      </c>
      <c r="C49" s="15" t="inlineStr"/>
      <c r="D49" s="17">
        <f>'HTRE RE'!B10</f>
        <v/>
      </c>
      <c r="E49" s="17">
        <f>'HTRE RE'!C10</f>
        <v/>
      </c>
      <c r="F49" s="17">
        <f>'HTRE RE'!D10</f>
        <v/>
      </c>
      <c r="G49" s="17">
        <f>'HTRE RE'!E10</f>
        <v/>
      </c>
      <c r="H49" s="17">
        <f>'HTRE RE'!F10</f>
        <v/>
      </c>
      <c r="I49" s="15" t="inlineStr"/>
    </row>
    <row r="50" ht="13" customHeight="1">
      <c r="A50" s="15" t="inlineStr"/>
      <c r="B50" s="16" t="inlineStr">
        <is>
          <t>Performance</t>
        </is>
      </c>
      <c r="C50" s="15" t="inlineStr"/>
      <c r="D50" s="17">
        <f>'HTRE RE'!B11</f>
        <v/>
      </c>
      <c r="E50" s="17">
        <f>'HTRE RE'!C11</f>
        <v/>
      </c>
      <c r="F50" s="17">
        <f>'HTRE RE'!D11</f>
        <v/>
      </c>
      <c r="G50" s="17">
        <f>'HTRE RE'!E11</f>
        <v/>
      </c>
      <c r="H50" s="17">
        <f>'HTRE RE'!F11</f>
        <v/>
      </c>
      <c r="I50" s="15" t="inlineStr"/>
    </row>
    <row r="51" ht="16" customHeight="1">
      <c r="A51" s="11" t="inlineStr">
        <is>
          <t>Real Estate Asia</t>
        </is>
      </c>
      <c r="B51" s="12" t="inlineStr">
        <is>
          <t>All risk stripes</t>
        </is>
      </c>
      <c r="C51" s="13">
        <f>'RE Asia'!B4</f>
        <v/>
      </c>
      <c r="D51" s="13">
        <f>'RE Asia'!B12</f>
        <v/>
      </c>
      <c r="E51" s="13">
        <f>'RE Asia'!C12</f>
        <v/>
      </c>
      <c r="F51" s="13">
        <f>'RE Asia'!D12</f>
        <v/>
      </c>
      <c r="G51" s="13">
        <f>'RE Asia'!E12</f>
        <v/>
      </c>
      <c r="H51" s="13">
        <f>'RE Asia'!F12</f>
        <v/>
      </c>
      <c r="I51" s="14">
        <f>IF(OR('RE Asia'!D12&gt;0,'RE Asia'!E12&gt;0),"→","")</f>
        <v/>
      </c>
    </row>
    <row r="52" ht="13" customHeight="1">
      <c r="A52" s="15" t="inlineStr"/>
      <c r="B52" s="16" t="inlineStr">
        <is>
          <t>Market Risk</t>
        </is>
      </c>
      <c r="C52" s="15" t="inlineStr"/>
      <c r="D52" s="17">
        <f>'RE Asia'!B7</f>
        <v/>
      </c>
      <c r="E52" s="17">
        <f>'RE Asia'!C7</f>
        <v/>
      </c>
      <c r="F52" s="17">
        <f>'RE Asia'!D7</f>
        <v/>
      </c>
      <c r="G52" s="17">
        <f>'RE Asia'!E7</f>
        <v/>
      </c>
      <c r="H52" s="17">
        <f>'RE Asia'!F7</f>
        <v/>
      </c>
      <c r="I52" s="15" t="inlineStr"/>
    </row>
    <row r="53" ht="13" customHeight="1">
      <c r="A53" s="15" t="inlineStr"/>
      <c r="B53" s="16" t="inlineStr">
        <is>
          <t>Liquidity Risk</t>
        </is>
      </c>
      <c r="C53" s="15" t="inlineStr"/>
      <c r="D53" s="17">
        <f>'RE Asia'!B8</f>
        <v/>
      </c>
      <c r="E53" s="17">
        <f>'RE Asia'!C8</f>
        <v/>
      </c>
      <c r="F53" s="17">
        <f>'RE Asia'!D8</f>
        <v/>
      </c>
      <c r="G53" s="17">
        <f>'RE Asia'!E8</f>
        <v/>
      </c>
      <c r="H53" s="17">
        <f>'RE Asia'!F8</f>
        <v/>
      </c>
      <c r="I53" s="15" t="inlineStr"/>
    </row>
    <row r="54" ht="13" customHeight="1">
      <c r="A54" s="15" t="inlineStr"/>
      <c r="B54" s="16" t="inlineStr">
        <is>
          <t>Counterparty / CCR</t>
        </is>
      </c>
      <c r="C54" s="15" t="inlineStr"/>
      <c r="D54" s="17">
        <f>'RE Asia'!B9</f>
        <v/>
      </c>
      <c r="E54" s="17">
        <f>'RE Asia'!C9</f>
        <v/>
      </c>
      <c r="F54" s="17">
        <f>'RE Asia'!D9</f>
        <v/>
      </c>
      <c r="G54" s="17">
        <f>'RE Asia'!E9</f>
        <v/>
      </c>
      <c r="H54" s="17">
        <f>'RE Asia'!F9</f>
        <v/>
      </c>
      <c r="I54" s="15" t="inlineStr"/>
    </row>
    <row r="55" ht="13" customHeight="1">
      <c r="A55" s="15" t="inlineStr"/>
      <c r="B55" s="16" t="inlineStr">
        <is>
          <t>Sustainability</t>
        </is>
      </c>
      <c r="C55" s="15" t="inlineStr"/>
      <c r="D55" s="17">
        <f>'RE Asia'!B10</f>
        <v/>
      </c>
      <c r="E55" s="17">
        <f>'RE Asia'!C10</f>
        <v/>
      </c>
      <c r="F55" s="17">
        <f>'RE Asia'!D10</f>
        <v/>
      </c>
      <c r="G55" s="17">
        <f>'RE Asia'!E10</f>
        <v/>
      </c>
      <c r="H55" s="17">
        <f>'RE Asia'!F10</f>
        <v/>
      </c>
      <c r="I55" s="15" t="inlineStr"/>
    </row>
    <row r="56" ht="13" customHeight="1">
      <c r="A56" s="15" t="inlineStr"/>
      <c r="B56" s="16" t="inlineStr">
        <is>
          <t>Performance</t>
        </is>
      </c>
      <c r="C56" s="15" t="inlineStr"/>
      <c r="D56" s="17">
        <f>'RE Asia'!B11</f>
        <v/>
      </c>
      <c r="E56" s="17">
        <f>'RE Asia'!C11</f>
        <v/>
      </c>
      <c r="F56" s="17">
        <f>'RE Asia'!D11</f>
        <v/>
      </c>
      <c r="G56" s="17">
        <f>'RE Asia'!E11</f>
        <v/>
      </c>
      <c r="H56" s="17">
        <f>'RE Asia'!F11</f>
        <v/>
      </c>
      <c r="I56" s="15" t="inlineStr"/>
    </row>
    <row r="57" ht="16" customHeight="1">
      <c r="A57" s="11" t="inlineStr">
        <is>
          <t>REIM</t>
        </is>
      </c>
      <c r="B57" s="12" t="inlineStr">
        <is>
          <t>All risk stripes</t>
        </is>
      </c>
      <c r="C57" s="13">
        <f>REIM!B4</f>
        <v/>
      </c>
      <c r="D57" s="13">
        <f>REIM!B12</f>
        <v/>
      </c>
      <c r="E57" s="13">
        <f>REIM!C12</f>
        <v/>
      </c>
      <c r="F57" s="13">
        <f>REIM!D12</f>
        <v/>
      </c>
      <c r="G57" s="13">
        <f>REIM!E12</f>
        <v/>
      </c>
      <c r="H57" s="13">
        <f>REIM!F12</f>
        <v/>
      </c>
      <c r="I57" s="14">
        <f>IF(OR(REIM!D12&gt;0,REIM!E12&gt;0),"→","")</f>
        <v/>
      </c>
    </row>
    <row r="58" ht="13" customHeight="1">
      <c r="A58" s="15" t="inlineStr"/>
      <c r="B58" s="16" t="inlineStr">
        <is>
          <t>Market Risk</t>
        </is>
      </c>
      <c r="C58" s="15" t="inlineStr"/>
      <c r="D58" s="17">
        <f>REIM!B7</f>
        <v/>
      </c>
      <c r="E58" s="17">
        <f>REIM!C7</f>
        <v/>
      </c>
      <c r="F58" s="17">
        <f>REIM!D7</f>
        <v/>
      </c>
      <c r="G58" s="17">
        <f>REIM!E7</f>
        <v/>
      </c>
      <c r="H58" s="17">
        <f>REIM!F7</f>
        <v/>
      </c>
      <c r="I58" s="15" t="inlineStr"/>
    </row>
    <row r="59" ht="13" customHeight="1">
      <c r="A59" s="15" t="inlineStr"/>
      <c r="B59" s="16" t="inlineStr">
        <is>
          <t>Liquidity Risk</t>
        </is>
      </c>
      <c r="C59" s="15" t="inlineStr"/>
      <c r="D59" s="17">
        <f>REIM!B8</f>
        <v/>
      </c>
      <c r="E59" s="17">
        <f>REIM!C8</f>
        <v/>
      </c>
      <c r="F59" s="17">
        <f>REIM!D8</f>
        <v/>
      </c>
      <c r="G59" s="17">
        <f>REIM!E8</f>
        <v/>
      </c>
      <c r="H59" s="17">
        <f>REIM!F8</f>
        <v/>
      </c>
      <c r="I59" s="15" t="inlineStr"/>
    </row>
    <row r="60" ht="13" customHeight="1">
      <c r="A60" s="15" t="inlineStr"/>
      <c r="B60" s="16" t="inlineStr">
        <is>
          <t>Counterparty / CCR</t>
        </is>
      </c>
      <c r="C60" s="15" t="inlineStr"/>
      <c r="D60" s="17">
        <f>REIM!B9</f>
        <v/>
      </c>
      <c r="E60" s="17">
        <f>REIM!C9</f>
        <v/>
      </c>
      <c r="F60" s="17">
        <f>REIM!D9</f>
        <v/>
      </c>
      <c r="G60" s="17">
        <f>REIM!E9</f>
        <v/>
      </c>
      <c r="H60" s="17">
        <f>REIM!F9</f>
        <v/>
      </c>
      <c r="I60" s="15" t="inlineStr"/>
    </row>
    <row r="61" ht="13" customHeight="1">
      <c r="A61" s="15" t="inlineStr"/>
      <c r="B61" s="16" t="inlineStr">
        <is>
          <t>Sustainability</t>
        </is>
      </c>
      <c r="C61" s="15" t="inlineStr"/>
      <c r="D61" s="17">
        <f>REIM!B10</f>
        <v/>
      </c>
      <c r="E61" s="17">
        <f>REIM!C10</f>
        <v/>
      </c>
      <c r="F61" s="17">
        <f>REIM!D10</f>
        <v/>
      </c>
      <c r="G61" s="17">
        <f>REIM!E10</f>
        <v/>
      </c>
      <c r="H61" s="17">
        <f>REIM!F10</f>
        <v/>
      </c>
      <c r="I61" s="15" t="inlineStr"/>
    </row>
    <row r="62" ht="13" customHeight="1">
      <c r="A62" s="15" t="inlineStr"/>
      <c r="B62" s="16" t="inlineStr">
        <is>
          <t>Performance</t>
        </is>
      </c>
      <c r="C62" s="15" t="inlineStr"/>
      <c r="D62" s="17">
        <f>REIM!B11</f>
        <v/>
      </c>
      <c r="E62" s="17">
        <f>REIM!C11</f>
        <v/>
      </c>
      <c r="F62" s="17">
        <f>REIM!D11</f>
        <v/>
      </c>
      <c r="G62" s="17">
        <f>REIM!E11</f>
        <v/>
      </c>
      <c r="H62" s="17">
        <f>REIM!F11</f>
        <v/>
      </c>
      <c r="I62" s="15" t="inlineStr"/>
    </row>
    <row r="63" ht="16" customHeight="1">
      <c r="A63" s="11" t="inlineStr">
        <is>
          <t>ETI</t>
        </is>
      </c>
      <c r="B63" s="12" t="inlineStr">
        <is>
          <t>All risk stripes</t>
        </is>
      </c>
      <c r="C63" s="13">
        <f>ETI!B4</f>
        <v/>
      </c>
      <c r="D63" s="13">
        <f>ETI!B12</f>
        <v/>
      </c>
      <c r="E63" s="13">
        <f>ETI!C12</f>
        <v/>
      </c>
      <c r="F63" s="13">
        <f>ETI!D12</f>
        <v/>
      </c>
      <c r="G63" s="13">
        <f>ETI!E12</f>
        <v/>
      </c>
      <c r="H63" s="13">
        <f>ETI!F12</f>
        <v/>
      </c>
      <c r="I63" s="14">
        <f>IF(OR(ETI!D12&gt;0,ETI!E12&gt;0),"→","")</f>
        <v/>
      </c>
    </row>
    <row r="64" ht="13" customHeight="1">
      <c r="A64" s="15" t="inlineStr"/>
      <c r="B64" s="16" t="inlineStr">
        <is>
          <t>Market Risk</t>
        </is>
      </c>
      <c r="C64" s="15" t="inlineStr"/>
      <c r="D64" s="17">
        <f>ETI!B7</f>
        <v/>
      </c>
      <c r="E64" s="17">
        <f>ETI!C7</f>
        <v/>
      </c>
      <c r="F64" s="17">
        <f>ETI!D7</f>
        <v/>
      </c>
      <c r="G64" s="17">
        <f>ETI!E7</f>
        <v/>
      </c>
      <c r="H64" s="17">
        <f>ETI!F7</f>
        <v/>
      </c>
      <c r="I64" s="15" t="inlineStr"/>
    </row>
    <row r="65" ht="13" customHeight="1">
      <c r="A65" s="15" t="inlineStr"/>
      <c r="B65" s="16" t="inlineStr">
        <is>
          <t>Liquidity Risk</t>
        </is>
      </c>
      <c r="C65" s="15" t="inlineStr"/>
      <c r="D65" s="17">
        <f>ETI!B8</f>
        <v/>
      </c>
      <c r="E65" s="17">
        <f>ETI!C8</f>
        <v/>
      </c>
      <c r="F65" s="17">
        <f>ETI!D8</f>
        <v/>
      </c>
      <c r="G65" s="17">
        <f>ETI!E8</f>
        <v/>
      </c>
      <c r="H65" s="17">
        <f>ETI!F8</f>
        <v/>
      </c>
      <c r="I65" s="15" t="inlineStr"/>
    </row>
    <row r="66" ht="13" customHeight="1">
      <c r="A66" s="15" t="inlineStr"/>
      <c r="B66" s="16" t="inlineStr">
        <is>
          <t>Counterparty / CCR</t>
        </is>
      </c>
      <c r="C66" s="15" t="inlineStr"/>
      <c r="D66" s="17">
        <f>ETI!B9</f>
        <v/>
      </c>
      <c r="E66" s="17">
        <f>ETI!C9</f>
        <v/>
      </c>
      <c r="F66" s="17">
        <f>ETI!D9</f>
        <v/>
      </c>
      <c r="G66" s="17">
        <f>ETI!E9</f>
        <v/>
      </c>
      <c r="H66" s="17">
        <f>ETI!F9</f>
        <v/>
      </c>
      <c r="I66" s="15" t="inlineStr"/>
    </row>
    <row r="67" ht="13" customHeight="1">
      <c r="A67" s="15" t="inlineStr"/>
      <c r="B67" s="16" t="inlineStr">
        <is>
          <t>Sustainability</t>
        </is>
      </c>
      <c r="C67" s="15" t="inlineStr"/>
      <c r="D67" s="17">
        <f>ETI!B10</f>
        <v/>
      </c>
      <c r="E67" s="17">
        <f>ETI!C10</f>
        <v/>
      </c>
      <c r="F67" s="17">
        <f>ETI!D10</f>
        <v/>
      </c>
      <c r="G67" s="17">
        <f>ETI!E10</f>
        <v/>
      </c>
      <c r="H67" s="17">
        <f>ETI!F10</f>
        <v/>
      </c>
      <c r="I67" s="15" t="inlineStr"/>
    </row>
    <row r="68" ht="13" customHeight="1">
      <c r="A68" s="15" t="inlineStr"/>
      <c r="B68" s="16" t="inlineStr">
        <is>
          <t>Performance</t>
        </is>
      </c>
      <c r="C68" s="15" t="inlineStr"/>
      <c r="D68" s="17">
        <f>ETI!B11</f>
        <v/>
      </c>
      <c r="E68" s="17">
        <f>ETI!C11</f>
        <v/>
      </c>
      <c r="F68" s="17">
        <f>ETI!D11</f>
        <v/>
      </c>
      <c r="G68" s="17">
        <f>ETI!E11</f>
        <v/>
      </c>
      <c r="H68" s="17">
        <f>ETI!F11</f>
        <v/>
      </c>
      <c r="I68" s="15" t="inlineStr"/>
    </row>
    <row r="69" ht="6" customHeight="1"/>
    <row r="70" ht="20" customHeight="1">
      <c r="A70" s="8" t="inlineStr">
        <is>
          <t>Private Markets &amp; Hedge Funds</t>
        </is>
      </c>
      <c r="B70" s="9" t="inlineStr"/>
      <c r="C70" s="10">
        <f>HF!B4+PrivMkts!B4+VC!B4</f>
        <v/>
      </c>
      <c r="D70" s="10">
        <f>HF!B12+PrivMkts!B12+VC!B12</f>
        <v/>
      </c>
      <c r="E70" s="10">
        <f>HF!C12+PrivMkts!C12+VC!C12</f>
        <v/>
      </c>
      <c r="F70" s="10">
        <f>HF!D12+PrivMkts!D12+VC!D12</f>
        <v/>
      </c>
      <c r="G70" s="10">
        <f>HF!E12+PrivMkts!E12+VC!E12</f>
        <v/>
      </c>
      <c r="H70" s="10">
        <f>HF!F12+PrivMkts!F12+VC!F12</f>
        <v/>
      </c>
      <c r="I70" s="9" t="inlineStr"/>
    </row>
    <row r="71" ht="16" customHeight="1">
      <c r="A71" s="11" t="inlineStr">
        <is>
          <t>Hedge Funds</t>
        </is>
      </c>
      <c r="B71" s="12" t="inlineStr">
        <is>
          <t>All risk stripes</t>
        </is>
      </c>
      <c r="C71" s="13">
        <f>HF!B4</f>
        <v/>
      </c>
      <c r="D71" s="13">
        <f>HF!B12</f>
        <v/>
      </c>
      <c r="E71" s="13">
        <f>HF!C12</f>
        <v/>
      </c>
      <c r="F71" s="13">
        <f>HF!D12</f>
        <v/>
      </c>
      <c r="G71" s="13">
        <f>HF!E12</f>
        <v/>
      </c>
      <c r="H71" s="13">
        <f>HF!F12</f>
        <v/>
      </c>
      <c r="I71" s="14">
        <f>IF(OR(HF!D12&gt;0,HF!E12&gt;0),"→","")</f>
        <v/>
      </c>
    </row>
    <row r="72" ht="13" customHeight="1">
      <c r="A72" s="15" t="inlineStr"/>
      <c r="B72" s="16" t="inlineStr">
        <is>
          <t>Market Risk</t>
        </is>
      </c>
      <c r="C72" s="15" t="inlineStr"/>
      <c r="D72" s="17">
        <f>HF!B7</f>
        <v/>
      </c>
      <c r="E72" s="17">
        <f>HF!C7</f>
        <v/>
      </c>
      <c r="F72" s="17">
        <f>HF!D7</f>
        <v/>
      </c>
      <c r="G72" s="17">
        <f>HF!E7</f>
        <v/>
      </c>
      <c r="H72" s="17">
        <f>HF!F7</f>
        <v/>
      </c>
      <c r="I72" s="15" t="inlineStr"/>
    </row>
    <row r="73" ht="13" customHeight="1">
      <c r="A73" s="15" t="inlineStr"/>
      <c r="B73" s="16" t="inlineStr">
        <is>
          <t>Liquidity Risk</t>
        </is>
      </c>
      <c r="C73" s="15" t="inlineStr"/>
      <c r="D73" s="17">
        <f>HF!B8</f>
        <v/>
      </c>
      <c r="E73" s="17">
        <f>HF!C8</f>
        <v/>
      </c>
      <c r="F73" s="17">
        <f>HF!D8</f>
        <v/>
      </c>
      <c r="G73" s="17">
        <f>HF!E8</f>
        <v/>
      </c>
      <c r="H73" s="17">
        <f>HF!F8</f>
        <v/>
      </c>
      <c r="I73" s="15" t="inlineStr"/>
    </row>
    <row r="74" ht="13" customHeight="1">
      <c r="A74" s="15" t="inlineStr"/>
      <c r="B74" s="16" t="inlineStr">
        <is>
          <t>Counterparty / CCR</t>
        </is>
      </c>
      <c r="C74" s="15" t="inlineStr"/>
      <c r="D74" s="17">
        <f>HF!B9</f>
        <v/>
      </c>
      <c r="E74" s="17">
        <f>HF!C9</f>
        <v/>
      </c>
      <c r="F74" s="17">
        <f>HF!D9</f>
        <v/>
      </c>
      <c r="G74" s="17">
        <f>HF!E9</f>
        <v/>
      </c>
      <c r="H74" s="17">
        <f>HF!F9</f>
        <v/>
      </c>
      <c r="I74" s="15" t="inlineStr"/>
    </row>
    <row r="75" ht="13" customHeight="1">
      <c r="A75" s="15" t="inlineStr"/>
      <c r="B75" s="16" t="inlineStr">
        <is>
          <t>Sustainability</t>
        </is>
      </c>
      <c r="C75" s="15" t="inlineStr"/>
      <c r="D75" s="17">
        <f>HF!B10</f>
        <v/>
      </c>
      <c r="E75" s="17">
        <f>HF!C10</f>
        <v/>
      </c>
      <c r="F75" s="17">
        <f>HF!D10</f>
        <v/>
      </c>
      <c r="G75" s="17">
        <f>HF!E10</f>
        <v/>
      </c>
      <c r="H75" s="17">
        <f>HF!F10</f>
        <v/>
      </c>
      <c r="I75" s="15" t="inlineStr"/>
    </row>
    <row r="76" ht="13" customHeight="1">
      <c r="A76" s="15" t="inlineStr"/>
      <c r="B76" s="16" t="inlineStr">
        <is>
          <t>Performance</t>
        </is>
      </c>
      <c r="C76" s="15" t="inlineStr"/>
      <c r="D76" s="17">
        <f>HF!B11</f>
        <v/>
      </c>
      <c r="E76" s="17">
        <f>HF!C11</f>
        <v/>
      </c>
      <c r="F76" s="17">
        <f>HF!D11</f>
        <v/>
      </c>
      <c r="G76" s="17">
        <f>HF!E11</f>
        <v/>
      </c>
      <c r="H76" s="17">
        <f>HF!F11</f>
        <v/>
      </c>
      <c r="I76" s="15" t="inlineStr"/>
    </row>
    <row r="77" ht="16" customHeight="1">
      <c r="A77" s="11" t="inlineStr">
        <is>
          <t>Private Markets</t>
        </is>
      </c>
      <c r="B77" s="12" t="inlineStr">
        <is>
          <t>All risk stripes</t>
        </is>
      </c>
      <c r="C77" s="13">
        <f>PrivMkts!B4</f>
        <v/>
      </c>
      <c r="D77" s="13">
        <f>PrivMkts!B12</f>
        <v/>
      </c>
      <c r="E77" s="13">
        <f>PrivMkts!C12</f>
        <v/>
      </c>
      <c r="F77" s="13">
        <f>PrivMkts!D12</f>
        <v/>
      </c>
      <c r="G77" s="13">
        <f>PrivMkts!E12</f>
        <v/>
      </c>
      <c r="H77" s="13">
        <f>PrivMkts!F12</f>
        <v/>
      </c>
      <c r="I77" s="14">
        <f>IF(OR(PrivMkts!D12&gt;0,PrivMkts!E12&gt;0),"→","")</f>
        <v/>
      </c>
    </row>
    <row r="78" ht="13" customHeight="1">
      <c r="A78" s="15" t="inlineStr"/>
      <c r="B78" s="16" t="inlineStr">
        <is>
          <t>Market Risk</t>
        </is>
      </c>
      <c r="C78" s="15" t="inlineStr"/>
      <c r="D78" s="17">
        <f>PrivMkts!B7</f>
        <v/>
      </c>
      <c r="E78" s="17">
        <f>PrivMkts!C7</f>
        <v/>
      </c>
      <c r="F78" s="17">
        <f>PrivMkts!D7</f>
        <v/>
      </c>
      <c r="G78" s="17">
        <f>PrivMkts!E7</f>
        <v/>
      </c>
      <c r="H78" s="17">
        <f>PrivMkts!F7</f>
        <v/>
      </c>
      <c r="I78" s="15" t="inlineStr"/>
    </row>
    <row r="79" ht="13" customHeight="1">
      <c r="A79" s="15" t="inlineStr"/>
      <c r="B79" s="16" t="inlineStr">
        <is>
          <t>Liquidity Risk</t>
        </is>
      </c>
      <c r="C79" s="15" t="inlineStr"/>
      <c r="D79" s="17">
        <f>PrivMkts!B8</f>
        <v/>
      </c>
      <c r="E79" s="17">
        <f>PrivMkts!C8</f>
        <v/>
      </c>
      <c r="F79" s="17">
        <f>PrivMkts!D8</f>
        <v/>
      </c>
      <c r="G79" s="17">
        <f>PrivMkts!E8</f>
        <v/>
      </c>
      <c r="H79" s="17">
        <f>PrivMkts!F8</f>
        <v/>
      </c>
      <c r="I79" s="15" t="inlineStr"/>
    </row>
    <row r="80" ht="13" customHeight="1">
      <c r="A80" s="15" t="inlineStr"/>
      <c r="B80" s="16" t="inlineStr">
        <is>
          <t>Counterparty / CCR</t>
        </is>
      </c>
      <c r="C80" s="15" t="inlineStr"/>
      <c r="D80" s="17">
        <f>PrivMkts!B9</f>
        <v/>
      </c>
      <c r="E80" s="17">
        <f>PrivMkts!C9</f>
        <v/>
      </c>
      <c r="F80" s="17">
        <f>PrivMkts!D9</f>
        <v/>
      </c>
      <c r="G80" s="17">
        <f>PrivMkts!E9</f>
        <v/>
      </c>
      <c r="H80" s="17">
        <f>PrivMkts!F9</f>
        <v/>
      </c>
      <c r="I80" s="15" t="inlineStr"/>
    </row>
    <row r="81" ht="13" customHeight="1">
      <c r="A81" s="15" t="inlineStr"/>
      <c r="B81" s="16" t="inlineStr">
        <is>
          <t>Sustainability</t>
        </is>
      </c>
      <c r="C81" s="15" t="inlineStr"/>
      <c r="D81" s="17">
        <f>PrivMkts!B10</f>
        <v/>
      </c>
      <c r="E81" s="17">
        <f>PrivMkts!C10</f>
        <v/>
      </c>
      <c r="F81" s="17">
        <f>PrivMkts!D10</f>
        <v/>
      </c>
      <c r="G81" s="17">
        <f>PrivMkts!E10</f>
        <v/>
      </c>
      <c r="H81" s="17">
        <f>PrivMkts!F10</f>
        <v/>
      </c>
      <c r="I81" s="15" t="inlineStr"/>
    </row>
    <row r="82" ht="13" customHeight="1">
      <c r="A82" s="15" t="inlineStr"/>
      <c r="B82" s="16" t="inlineStr">
        <is>
          <t>Performance</t>
        </is>
      </c>
      <c r="C82" s="15" t="inlineStr"/>
      <c r="D82" s="17">
        <f>PrivMkts!B11</f>
        <v/>
      </c>
      <c r="E82" s="17">
        <f>PrivMkts!C11</f>
        <v/>
      </c>
      <c r="F82" s="17">
        <f>PrivMkts!D11</f>
        <v/>
      </c>
      <c r="G82" s="17">
        <f>PrivMkts!E11</f>
        <v/>
      </c>
      <c r="H82" s="17">
        <f>PrivMkts!F11</f>
        <v/>
      </c>
      <c r="I82" s="15" t="inlineStr"/>
    </row>
    <row r="83" ht="16" customHeight="1">
      <c r="A83" s="11" t="inlineStr">
        <is>
          <t>Venture Capital</t>
        </is>
      </c>
      <c r="B83" s="12" t="inlineStr">
        <is>
          <t>All risk stripes</t>
        </is>
      </c>
      <c r="C83" s="13">
        <f>VC!B4</f>
        <v/>
      </c>
      <c r="D83" s="13">
        <f>VC!B12</f>
        <v/>
      </c>
      <c r="E83" s="13">
        <f>VC!C12</f>
        <v/>
      </c>
      <c r="F83" s="13">
        <f>VC!D12</f>
        <v/>
      </c>
      <c r="G83" s="13">
        <f>VC!E12</f>
        <v/>
      </c>
      <c r="H83" s="13">
        <f>VC!F12</f>
        <v/>
      </c>
      <c r="I83" s="14">
        <f>IF(OR(VC!D12&gt;0,VC!E12&gt;0),"→","")</f>
        <v/>
      </c>
    </row>
    <row r="84" ht="13" customHeight="1">
      <c r="A84" s="15" t="inlineStr"/>
      <c r="B84" s="16" t="inlineStr">
        <is>
          <t>Market Risk</t>
        </is>
      </c>
      <c r="C84" s="15" t="inlineStr"/>
      <c r="D84" s="17">
        <f>VC!B7</f>
        <v/>
      </c>
      <c r="E84" s="17">
        <f>VC!C7</f>
        <v/>
      </c>
      <c r="F84" s="17">
        <f>VC!D7</f>
        <v/>
      </c>
      <c r="G84" s="17">
        <f>VC!E7</f>
        <v/>
      </c>
      <c r="H84" s="17">
        <f>VC!F7</f>
        <v/>
      </c>
      <c r="I84" s="15" t="inlineStr"/>
    </row>
    <row r="85" ht="13" customHeight="1">
      <c r="A85" s="15" t="inlineStr"/>
      <c r="B85" s="16" t="inlineStr">
        <is>
          <t>Liquidity Risk</t>
        </is>
      </c>
      <c r="C85" s="15" t="inlineStr"/>
      <c r="D85" s="17">
        <f>VC!B8</f>
        <v/>
      </c>
      <c r="E85" s="17">
        <f>VC!C8</f>
        <v/>
      </c>
      <c r="F85" s="17">
        <f>VC!D8</f>
        <v/>
      </c>
      <c r="G85" s="17">
        <f>VC!E8</f>
        <v/>
      </c>
      <c r="H85" s="17">
        <f>VC!F8</f>
        <v/>
      </c>
      <c r="I85" s="15" t="inlineStr"/>
    </row>
    <row r="86" ht="13" customHeight="1">
      <c r="A86" s="15" t="inlineStr"/>
      <c r="B86" s="16" t="inlineStr">
        <is>
          <t>Counterparty / CCR</t>
        </is>
      </c>
      <c r="C86" s="15" t="inlineStr"/>
      <c r="D86" s="17">
        <f>VC!B9</f>
        <v/>
      </c>
      <c r="E86" s="17">
        <f>VC!C9</f>
        <v/>
      </c>
      <c r="F86" s="17">
        <f>VC!D9</f>
        <v/>
      </c>
      <c r="G86" s="17">
        <f>VC!E9</f>
        <v/>
      </c>
      <c r="H86" s="17">
        <f>VC!F9</f>
        <v/>
      </c>
      <c r="I86" s="15" t="inlineStr"/>
    </row>
    <row r="87" ht="13" customHeight="1">
      <c r="A87" s="15" t="inlineStr"/>
      <c r="B87" s="16" t="inlineStr">
        <is>
          <t>Sustainability</t>
        </is>
      </c>
      <c r="C87" s="15" t="inlineStr"/>
      <c r="D87" s="17">
        <f>VC!B10</f>
        <v/>
      </c>
      <c r="E87" s="17">
        <f>VC!C10</f>
        <v/>
      </c>
      <c r="F87" s="17">
        <f>VC!D10</f>
        <v/>
      </c>
      <c r="G87" s="17">
        <f>VC!E10</f>
        <v/>
      </c>
      <c r="H87" s="17">
        <f>VC!F10</f>
        <v/>
      </c>
      <c r="I87" s="15" t="inlineStr"/>
    </row>
    <row r="88" ht="13" customHeight="1">
      <c r="A88" s="15" t="inlineStr"/>
      <c r="B88" s="16" t="inlineStr">
        <is>
          <t>Performance</t>
        </is>
      </c>
      <c r="C88" s="15" t="inlineStr"/>
      <c r="D88" s="17">
        <f>VC!B11</f>
        <v/>
      </c>
      <c r="E88" s="17">
        <f>VC!C11</f>
        <v/>
      </c>
      <c r="F88" s="17">
        <f>VC!D11</f>
        <v/>
      </c>
      <c r="G88" s="17">
        <f>VC!E11</f>
        <v/>
      </c>
      <c r="H88" s="17">
        <f>VC!F11</f>
        <v/>
      </c>
      <c r="I88" s="15" t="inlineStr"/>
    </row>
    <row r="89" ht="6" customHeight="1"/>
    <row r="90" ht="16" customHeight="1">
      <c r="A90" s="18" t="inlineStr">
        <is>
          <t>RAG STATUS DEFINITIONS</t>
        </is>
      </c>
      <c r="B90" s="19" t="n"/>
    </row>
    <row r="91" ht="14" customHeight="1">
      <c r="A91" s="20" t="inlineStr">
        <is>
          <t>▪  Green (G)</t>
        </is>
      </c>
      <c r="B91" s="21" t="inlineStr">
        <is>
          <t>No MATs triggered</t>
        </is>
      </c>
      <c r="C91" s="22" t="n"/>
      <c r="D91" s="22" t="n"/>
      <c r="E91" s="22" t="n"/>
      <c r="F91" s="22" t="n"/>
      <c r="G91" s="22" t="n"/>
      <c r="H91" s="22" t="n"/>
      <c r="I91" s="23" t="n"/>
    </row>
    <row r="92" ht="14" customHeight="1">
      <c r="A92" s="24" t="inlineStr">
        <is>
          <t>▪  Amber-Green (AG)</t>
        </is>
      </c>
      <c r="B92" s="25" t="inlineStr">
        <is>
          <t>MATs triggered but not material; portfolio under enhanced monitoring</t>
        </is>
      </c>
      <c r="C92" s="22" t="n"/>
      <c r="D92" s="22" t="n"/>
      <c r="E92" s="22" t="n"/>
      <c r="F92" s="22" t="n"/>
      <c r="G92" s="22" t="n"/>
      <c r="H92" s="22" t="n"/>
      <c r="I92" s="23" t="n"/>
    </row>
    <row r="93" ht="14" customHeight="1">
      <c r="A93" s="26" t="inlineStr">
        <is>
          <t>▪  Amber (A)</t>
        </is>
      </c>
      <c r="B93" s="27" t="inlineStr">
        <is>
          <t>MATs triggered &amp; material; action plan in place and on track</t>
        </is>
      </c>
      <c r="C93" s="22" t="n"/>
      <c r="D93" s="22" t="n"/>
      <c r="E93" s="22" t="n"/>
      <c r="F93" s="22" t="n"/>
      <c r="G93" s="22" t="n"/>
      <c r="H93" s="22" t="n"/>
      <c r="I93" s="23" t="n"/>
    </row>
    <row r="94" ht="14" customHeight="1">
      <c r="A94" s="28" t="inlineStr">
        <is>
          <t>▪  Red (R)</t>
        </is>
      </c>
      <c r="B94" s="29" t="inlineStr">
        <is>
          <t>MATs triggered &amp; material; NO action plan / not on track</t>
        </is>
      </c>
      <c r="C94" s="22" t="n"/>
      <c r="D94" s="22" t="n"/>
      <c r="E94" s="22" t="n"/>
      <c r="F94" s="22" t="n"/>
      <c r="G94" s="22" t="n"/>
      <c r="H94" s="22" t="n"/>
      <c r="I94" s="23" t="n"/>
    </row>
  </sheetData>
  <mergeCells count="7">
    <mergeCell ref="B92:I92"/>
    <mergeCell ref="A2:I2"/>
    <mergeCell ref="B91:I91"/>
    <mergeCell ref="A1:I1"/>
    <mergeCell ref="B90:I90"/>
    <mergeCell ref="B94:I94"/>
    <mergeCell ref="B93:I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Y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0" customHeight="1">
      <c r="A1" s="1" t="inlineStr">
        <is>
          <t xml:space="preserve">  HSBC Asset Management | Alternatives  ·  MAT Risk Executive Summary</t>
        </is>
      </c>
      <c r="S1" s="30" t="inlineStr">
        <is>
          <t>◀ CHART DATA ZONE – formula-driven from input tabs – do not edit manually</t>
        </is>
      </c>
    </row>
    <row r="2" ht="18" customHeight="1">
      <c r="A2" s="2" t="inlineStr">
        <is>
          <t xml:space="preserve">  CRO Dashboard  ·  Q3 2025  ·  Private Credit | Real Assets | Private Markets &amp; HF</t>
        </is>
      </c>
    </row>
    <row r="3" ht="16" customHeight="1">
      <c r="S3" s="31" t="inlineStr">
        <is>
          <t>Section</t>
        </is>
      </c>
      <c r="T3" s="31" t="inlineStr">
        <is>
          <t>Green</t>
        </is>
      </c>
      <c r="U3" s="31" t="inlineStr">
        <is>
          <t>Amb-Grn</t>
        </is>
      </c>
      <c r="V3" s="31" t="inlineStr">
        <is>
          <t>Amber</t>
        </is>
      </c>
      <c r="W3" s="31" t="inlineStr">
        <is>
          <t>Red</t>
        </is>
      </c>
      <c r="X3" s="31" t="inlineStr">
        <is>
          <t>A+R</t>
        </is>
      </c>
      <c r="Y3" s="31" t="inlineStr">
        <is>
          <t>Total</t>
        </is>
      </c>
    </row>
    <row r="4" ht="15" customHeight="1">
      <c r="A4" s="32" t="inlineStr">
        <is>
          <t>TOTAL MATs MONITORED</t>
        </is>
      </c>
      <c r="E4" s="33" t="inlineStr">
        <is>
          <t>ON TRACK  (Green + AG)</t>
        </is>
      </c>
      <c r="I4" s="34" t="inlineStr">
        <is>
          <t>UNDER WATCH  (Amber)</t>
        </is>
      </c>
      <c r="M4" s="35" t="inlineStr">
        <is>
          <t>ESCALATED  (Red)</t>
        </is>
      </c>
      <c r="S4" s="36" t="inlineStr">
        <is>
          <t>Private Credit</t>
        </is>
      </c>
      <c r="T4" s="37">
        <f>DL!B12+InfraDebt!B12+RCF!B12+NAV!B12+TWCS!B12</f>
        <v/>
      </c>
      <c r="U4" s="37">
        <f>DL!C12+InfraDebt!C12+RCF!C12+NAV!C12+TWCS!C12</f>
        <v/>
      </c>
      <c r="V4" s="37">
        <f>DL!D12+InfraDebt!D12+RCF!D12+NAV!D12+TWCS!D12</f>
        <v/>
      </c>
      <c r="W4" s="37">
        <f>DL!E12+InfraDebt!E12+RCF!E12+NAV!E12+TWCS!E12</f>
        <v/>
      </c>
      <c r="X4" s="37">
        <f>V4+W4</f>
        <v/>
      </c>
      <c r="Y4" s="37">
        <f>DL!F12+InfraDebt!F12+RCF!F12+NAV!F12+TWCS!F12</f>
        <v/>
      </c>
    </row>
    <row r="5" ht="15" customHeight="1">
      <c r="A5" s="38" t="n"/>
      <c r="B5" s="38" t="n"/>
      <c r="C5" s="38" t="n"/>
      <c r="D5" s="38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1" t="n"/>
      <c r="O5" s="41" t="n"/>
      <c r="P5" s="41" t="n"/>
      <c r="S5" s="36" t="inlineStr">
        <is>
          <t>Real Asset</t>
        </is>
      </c>
      <c r="T5" s="37">
        <f>'HAIL RE'!B12+'HTRE RE'!B12+'RE Asia'!B12+REIM!B12+ETI!B12</f>
        <v/>
      </c>
      <c r="U5" s="37">
        <f>'HAIL RE'!C12+'HTRE RE'!C12+'RE Asia'!C12+REIM!C12+ETI!C12</f>
        <v/>
      </c>
      <c r="V5" s="37">
        <f>'HAIL RE'!D12+'HTRE RE'!D12+'RE Asia'!D12+REIM!D12+ETI!D12</f>
        <v/>
      </c>
      <c r="W5" s="37">
        <f>'HAIL RE'!E12+'HTRE RE'!E12+'RE Asia'!E12+REIM!E12+ETI!E12</f>
        <v/>
      </c>
      <c r="X5" s="37">
        <f>V5+W5</f>
        <v/>
      </c>
      <c r="Y5" s="37">
        <f>'HAIL RE'!F12+'HTRE RE'!F12+'RE Asia'!F12+REIM!F12+ETI!F12</f>
        <v/>
      </c>
    </row>
    <row r="6" ht="15" customHeight="1">
      <c r="A6" s="42">
        <f>DL!F12+InfraDebt!F12+RCF!F12+NAV!F12+TWCS!F12+'HAIL RE'!F12+'HTRE RE'!F12+'RE Asia'!F12+REIM!F12+ETI!F12+HF!F12+PrivMkts!F12+VC!F12</f>
        <v/>
      </c>
      <c r="E6" s="43">
        <f>DL!B12+InfraDebt!B12+RCF!B12+NAV!B12+TWCS!B12+'HAIL RE'!B12+'HTRE RE'!B12+'RE Asia'!B12+REIM!B12+ETI!B12+HF!B12+PrivMkts!B12+VC!B12+DL!C12+InfraDebt!C12+RCF!C12+NAV!C12+TWCS!C12+'HAIL RE'!C12+'HTRE RE'!C12+'RE Asia'!C12+REIM!C12+ETI!C12+HF!C12+PrivMkts!C12+VC!C12</f>
        <v/>
      </c>
      <c r="I6" s="44">
        <f>DL!D12+InfraDebt!D12+RCF!D12+NAV!D12+TWCS!D12+'HAIL RE'!D12+'HTRE RE'!D12+'RE Asia'!D12+REIM!D12+ETI!D12+HF!D12+PrivMkts!D12+VC!D12</f>
        <v/>
      </c>
      <c r="M6" s="45">
        <f>DL!E12+InfraDebt!E12+RCF!E12+NAV!E12+TWCS!E12+'HAIL RE'!E12+'HTRE RE'!E12+'RE Asia'!E12+REIM!E12+ETI!E12+HF!E12+PrivMkts!E12+VC!E12</f>
        <v/>
      </c>
      <c r="S6" s="36" t="inlineStr">
        <is>
          <t>Priv Mkts + HF</t>
        </is>
      </c>
      <c r="T6" s="37">
        <f>HF!B12+PrivMkts!B12+VC!B12</f>
        <v/>
      </c>
      <c r="U6" s="37">
        <f>HF!C12+PrivMkts!C12+VC!C12</f>
        <v/>
      </c>
      <c r="V6" s="37">
        <f>HF!D12+PrivMkts!D12+VC!D12</f>
        <v/>
      </c>
      <c r="W6" s="37">
        <f>HF!E12+PrivMkts!E12+VC!E12</f>
        <v/>
      </c>
      <c r="X6" s="37">
        <f>V6+W6</f>
        <v/>
      </c>
      <c r="Y6" s="37">
        <f>HF!F12+PrivMkts!F12+VC!F12</f>
        <v/>
      </c>
    </row>
    <row r="7" ht="16" customHeight="1">
      <c r="S7" s="36" t="inlineStr">
        <is>
          <t>TOTAL</t>
        </is>
      </c>
      <c r="T7" s="46">
        <f>SUM(T4:T6)</f>
        <v/>
      </c>
      <c r="U7" s="46">
        <f>SUM(U4:U6)</f>
        <v/>
      </c>
      <c r="V7" s="46">
        <f>SUM(V4:V6)</f>
        <v/>
      </c>
      <c r="W7" s="46">
        <f>SUM(W4:W6)</f>
        <v/>
      </c>
      <c r="X7" s="46">
        <f>SUM(X4:X6)</f>
        <v/>
      </c>
      <c r="Y7" s="46">
        <f>SUM(Y4:Y6)</f>
        <v/>
      </c>
    </row>
    <row r="8" ht="24" customHeight="1"/>
    <row r="9" ht="16" customHeight="1">
      <c r="A9" s="47" t="inlineStr">
        <is>
          <t>Across all strategies &amp; risk stripes</t>
        </is>
      </c>
      <c r="E9" s="48" t="inlineStr">
        <is>
          <t>No escalation required</t>
        </is>
      </c>
      <c r="I9" s="49" t="inlineStr">
        <is>
          <t>Action plans in place — monitor closely</t>
        </is>
      </c>
      <c r="M9" s="50" t="inlineStr">
        <is>
          <t>Requires CRO attention &amp; action</t>
        </is>
      </c>
      <c r="S9" s="31" t="inlineStr">
        <is>
          <t>Strategy</t>
        </is>
      </c>
      <c r="T9" s="31" t="inlineStr">
        <is>
          <t>Green</t>
        </is>
      </c>
      <c r="U9" s="31" t="inlineStr">
        <is>
          <t>Amb-Grn</t>
        </is>
      </c>
      <c r="V9" s="31" t="inlineStr">
        <is>
          <t>Amber</t>
        </is>
      </c>
      <c r="W9" s="31" t="inlineStr">
        <is>
          <t>Red</t>
        </is>
      </c>
      <c r="X9" s="31" t="inlineStr">
        <is>
          <t>A+R</t>
        </is>
      </c>
      <c r="Y9" s="31" t="inlineStr">
        <is>
          <t>Total</t>
        </is>
      </c>
    </row>
    <row r="10" ht="15" customHeight="1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S10" s="52" t="inlineStr">
        <is>
          <t>Direct Lending UK …</t>
        </is>
      </c>
      <c r="T10" s="53">
        <f>DL!B12</f>
        <v/>
      </c>
      <c r="U10" s="53">
        <f>DL!C12</f>
        <v/>
      </c>
      <c r="V10" s="53">
        <f>DL!D12</f>
        <v/>
      </c>
      <c r="W10" s="53">
        <f>DL!E12</f>
        <v/>
      </c>
      <c r="X10" s="53">
        <f>V10+W10</f>
        <v/>
      </c>
      <c r="Y10" s="53">
        <f>DL!F12</f>
        <v/>
      </c>
    </row>
    <row r="11" ht="15" customHeight="1">
      <c r="S11" s="52" t="inlineStr">
        <is>
          <t>Infrastructure Debt</t>
        </is>
      </c>
      <c r="T11" s="53">
        <f>InfraDebt!B12</f>
        <v/>
      </c>
      <c r="U11" s="53">
        <f>InfraDebt!C12</f>
        <v/>
      </c>
      <c r="V11" s="53">
        <f>InfraDebt!D12</f>
        <v/>
      </c>
      <c r="W11" s="53">
        <f>InfraDebt!E12</f>
        <v/>
      </c>
      <c r="X11" s="53">
        <f>V11+W11</f>
        <v/>
      </c>
      <c r="Y11" s="53">
        <f>InfraDebt!F12</f>
        <v/>
      </c>
    </row>
    <row r="12" ht="15" customHeight="1">
      <c r="S12" s="52" t="inlineStr">
        <is>
          <t>RCF</t>
        </is>
      </c>
      <c r="T12" s="53">
        <f>RCF!B12</f>
        <v/>
      </c>
      <c r="U12" s="53">
        <f>RCF!C12</f>
        <v/>
      </c>
      <c r="V12" s="53">
        <f>RCF!D12</f>
        <v/>
      </c>
      <c r="W12" s="53">
        <f>RCF!E12</f>
        <v/>
      </c>
      <c r="X12" s="53">
        <f>V12+W12</f>
        <v/>
      </c>
      <c r="Y12" s="53">
        <f>RCF!F12</f>
        <v/>
      </c>
    </row>
    <row r="13" ht="15" customHeight="1">
      <c r="S13" s="52" t="inlineStr">
        <is>
          <t>NAV Financing</t>
        </is>
      </c>
      <c r="T13" s="53">
        <f>NAV!B12</f>
        <v/>
      </c>
      <c r="U13" s="53">
        <f>NAV!C12</f>
        <v/>
      </c>
      <c r="V13" s="53">
        <f>NAV!D12</f>
        <v/>
      </c>
      <c r="W13" s="53">
        <f>NAV!E12</f>
        <v/>
      </c>
      <c r="X13" s="53">
        <f>V13+W13</f>
        <v/>
      </c>
      <c r="Y13" s="53">
        <f>NAV!F12</f>
        <v/>
      </c>
    </row>
    <row r="14" ht="15" customHeight="1">
      <c r="S14" s="52" t="inlineStr">
        <is>
          <t>Trade &amp; Working Ca…</t>
        </is>
      </c>
      <c r="T14" s="53">
        <f>TWCS!B12</f>
        <v/>
      </c>
      <c r="U14" s="53">
        <f>TWCS!C12</f>
        <v/>
      </c>
      <c r="V14" s="53">
        <f>TWCS!D12</f>
        <v/>
      </c>
      <c r="W14" s="53">
        <f>TWCS!E12</f>
        <v/>
      </c>
      <c r="X14" s="53">
        <f>V14+W14</f>
        <v/>
      </c>
      <c r="Y14" s="53">
        <f>TWCS!F12</f>
        <v/>
      </c>
    </row>
    <row r="15" ht="15" customHeight="1">
      <c r="S15" s="52" t="inlineStr">
        <is>
          <t>HAIL Direct RE</t>
        </is>
      </c>
      <c r="T15" s="53">
        <f>'HAIL RE'!B12</f>
        <v/>
      </c>
      <c r="U15" s="53">
        <f>'HAIL RE'!C12</f>
        <v/>
      </c>
      <c r="V15" s="53">
        <f>'HAIL RE'!D12</f>
        <v/>
      </c>
      <c r="W15" s="53">
        <f>'HAIL RE'!E12</f>
        <v/>
      </c>
      <c r="X15" s="53">
        <f>V15+W15</f>
        <v/>
      </c>
      <c r="Y15" s="53">
        <f>'HAIL RE'!F12</f>
        <v/>
      </c>
    </row>
    <row r="16" ht="15" customHeight="1">
      <c r="S16" s="52" t="inlineStr">
        <is>
          <t>HTRE RE</t>
        </is>
      </c>
      <c r="T16" s="53">
        <f>'HTRE RE'!B12</f>
        <v/>
      </c>
      <c r="U16" s="53">
        <f>'HTRE RE'!C12</f>
        <v/>
      </c>
      <c r="V16" s="53">
        <f>'HTRE RE'!D12</f>
        <v/>
      </c>
      <c r="W16" s="53">
        <f>'HTRE RE'!E12</f>
        <v/>
      </c>
      <c r="X16" s="53">
        <f>V16+W16</f>
        <v/>
      </c>
      <c r="Y16" s="53">
        <f>'HTRE RE'!F12</f>
        <v/>
      </c>
    </row>
    <row r="17" ht="15" customHeight="1">
      <c r="S17" s="52" t="inlineStr">
        <is>
          <t>Real Estate Asia</t>
        </is>
      </c>
      <c r="T17" s="53">
        <f>'RE Asia'!B12</f>
        <v/>
      </c>
      <c r="U17" s="53">
        <f>'RE Asia'!C12</f>
        <v/>
      </c>
      <c r="V17" s="53">
        <f>'RE Asia'!D12</f>
        <v/>
      </c>
      <c r="W17" s="53">
        <f>'RE Asia'!E12</f>
        <v/>
      </c>
      <c r="X17" s="53">
        <f>V17+W17</f>
        <v/>
      </c>
      <c r="Y17" s="53">
        <f>'RE Asia'!F12</f>
        <v/>
      </c>
    </row>
    <row r="18" ht="15" customHeight="1">
      <c r="S18" s="52" t="inlineStr">
        <is>
          <t>REIM</t>
        </is>
      </c>
      <c r="T18" s="53">
        <f>REIM!B12</f>
        <v/>
      </c>
      <c r="U18" s="53">
        <f>REIM!C12</f>
        <v/>
      </c>
      <c r="V18" s="53">
        <f>REIM!D12</f>
        <v/>
      </c>
      <c r="W18" s="53">
        <f>REIM!E12</f>
        <v/>
      </c>
      <c r="X18" s="53">
        <f>V18+W18</f>
        <v/>
      </c>
      <c r="Y18" s="53">
        <f>REIM!F12</f>
        <v/>
      </c>
    </row>
    <row r="19" ht="15" customHeight="1">
      <c r="S19" s="52" t="inlineStr">
        <is>
          <t>ETI</t>
        </is>
      </c>
      <c r="T19" s="53">
        <f>ETI!B12</f>
        <v/>
      </c>
      <c r="U19" s="53">
        <f>ETI!C12</f>
        <v/>
      </c>
      <c r="V19" s="53">
        <f>ETI!D12</f>
        <v/>
      </c>
      <c r="W19" s="53">
        <f>ETI!E12</f>
        <v/>
      </c>
      <c r="X19" s="53">
        <f>V19+W19</f>
        <v/>
      </c>
      <c r="Y19" s="53">
        <f>ETI!F12</f>
        <v/>
      </c>
    </row>
    <row r="20" ht="15" customHeight="1">
      <c r="S20" s="52" t="inlineStr">
        <is>
          <t>Hedge Funds</t>
        </is>
      </c>
      <c r="T20" s="53">
        <f>HF!B12</f>
        <v/>
      </c>
      <c r="U20" s="53">
        <f>HF!C12</f>
        <v/>
      </c>
      <c r="V20" s="53">
        <f>HF!D12</f>
        <v/>
      </c>
      <c r="W20" s="53">
        <f>HF!E12</f>
        <v/>
      </c>
      <c r="X20" s="53">
        <f>V20+W20</f>
        <v/>
      </c>
      <c r="Y20" s="53">
        <f>HF!F12</f>
        <v/>
      </c>
    </row>
    <row r="21" ht="15" customHeight="1">
      <c r="S21" s="52" t="inlineStr">
        <is>
          <t>Private Markets</t>
        </is>
      </c>
      <c r="T21" s="53">
        <f>PrivMkts!B12</f>
        <v/>
      </c>
      <c r="U21" s="53">
        <f>PrivMkts!C12</f>
        <v/>
      </c>
      <c r="V21" s="53">
        <f>PrivMkts!D12</f>
        <v/>
      </c>
      <c r="W21" s="53">
        <f>PrivMkts!E12</f>
        <v/>
      </c>
      <c r="X21" s="53">
        <f>V21+W21</f>
        <v/>
      </c>
      <c r="Y21" s="53">
        <f>PrivMkts!F12</f>
        <v/>
      </c>
    </row>
    <row r="22" ht="15" customHeight="1">
      <c r="S22" s="52" t="inlineStr">
        <is>
          <t>Venture Capital</t>
        </is>
      </c>
      <c r="T22" s="53">
        <f>VC!B12</f>
        <v/>
      </c>
      <c r="U22" s="53">
        <f>VC!C12</f>
        <v/>
      </c>
      <c r="V22" s="53">
        <f>VC!D12</f>
        <v/>
      </c>
      <c r="W22" s="53">
        <f>VC!E12</f>
        <v/>
      </c>
      <c r="X22" s="53">
        <f>V22+W22</f>
        <v/>
      </c>
      <c r="Y22" s="53">
        <f>VC!F12</f>
        <v/>
      </c>
    </row>
    <row r="24" ht="16" customHeight="1">
      <c r="S24" s="31" t="inlineStr">
        <is>
          <t>Risk Stripe</t>
        </is>
      </c>
      <c r="T24" s="31" t="inlineStr">
        <is>
          <t>Green</t>
        </is>
      </c>
      <c r="U24" s="31" t="inlineStr">
        <is>
          <t>Amb-Grn</t>
        </is>
      </c>
      <c r="V24" s="31" t="inlineStr">
        <is>
          <t>Amber</t>
        </is>
      </c>
      <c r="W24" s="31" t="inlineStr">
        <is>
          <t>Red</t>
        </is>
      </c>
      <c r="X24" s="31" t="inlineStr">
        <is>
          <t>A+R</t>
        </is>
      </c>
      <c r="Y24" s="31" t="inlineStr">
        <is>
          <t>Total</t>
        </is>
      </c>
    </row>
    <row r="25" ht="15" customHeight="1">
      <c r="S25" s="52" t="inlineStr">
        <is>
          <t>Market Risk</t>
        </is>
      </c>
      <c r="T25" s="53">
        <f>DL!B7+InfraDebt!B7+RCF!B7+NAV!B7+TWCS!B7+'HAIL RE'!B7+'HTRE RE'!B7+'RE Asia'!B7+REIM!B7+ETI!B7+HF!B7+PrivMkts!B7+VC!B7</f>
        <v/>
      </c>
      <c r="U25" s="53">
        <f>DL!C7+InfraDebt!C7+RCF!C7+NAV!C7+TWCS!C7+'HAIL RE'!C7+'HTRE RE'!C7+'RE Asia'!C7+REIM!C7+ETI!C7+HF!C7+PrivMkts!C7+VC!C7</f>
        <v/>
      </c>
      <c r="V25" s="53">
        <f>DL!D7+InfraDebt!D7+RCF!D7+NAV!D7+TWCS!D7+'HAIL RE'!D7+'HTRE RE'!D7+'RE Asia'!D7+REIM!D7+ETI!D7+HF!D7+PrivMkts!D7+VC!D7</f>
        <v/>
      </c>
      <c r="W25" s="53">
        <f>DL!E7+InfraDebt!E7+RCF!E7+NAV!E7+TWCS!E7+'HAIL RE'!E7+'HTRE RE'!E7+'RE Asia'!E7+REIM!E7+ETI!E7+HF!E7+PrivMkts!E7+VC!E7</f>
        <v/>
      </c>
      <c r="X25" s="54">
        <f>V25+W25</f>
        <v/>
      </c>
      <c r="Y25" s="54">
        <f>DL!F7+InfraDebt!F7+RCF!F7+NAV!F7+TWCS!F7+'HAIL RE'!F7+'HTRE RE'!F7+'RE Asia'!F7+REIM!F7+ETI!F7+HF!F7+PrivMkts!F7+VC!F7</f>
        <v/>
      </c>
    </row>
    <row r="26" ht="15" customHeight="1">
      <c r="S26" s="52" t="inlineStr">
        <is>
          <t>Liquidity Risk</t>
        </is>
      </c>
      <c r="T26" s="53">
        <f>DL!B8+InfraDebt!B8+RCF!B8+NAV!B8+TWCS!B8+'HAIL RE'!B8+'HTRE RE'!B8+'RE Asia'!B8+REIM!B8+ETI!B8+HF!B8+PrivMkts!B8+VC!B8</f>
        <v/>
      </c>
      <c r="U26" s="53">
        <f>DL!C8+InfraDebt!C8+RCF!C8+NAV!C8+TWCS!C8+'HAIL RE'!C8+'HTRE RE'!C8+'RE Asia'!C8+REIM!C8+ETI!C8+HF!C8+PrivMkts!C8+VC!C8</f>
        <v/>
      </c>
      <c r="V26" s="53">
        <f>DL!D8+InfraDebt!D8+RCF!D8+NAV!D8+TWCS!D8+'HAIL RE'!D8+'HTRE RE'!D8+'RE Asia'!D8+REIM!D8+ETI!D8+HF!D8+PrivMkts!D8+VC!D8</f>
        <v/>
      </c>
      <c r="W26" s="53">
        <f>DL!E8+InfraDebt!E8+RCF!E8+NAV!E8+TWCS!E8+'HAIL RE'!E8+'HTRE RE'!E8+'RE Asia'!E8+REIM!E8+ETI!E8+HF!E8+PrivMkts!E8+VC!E8</f>
        <v/>
      </c>
      <c r="X26" s="54">
        <f>V26+W26</f>
        <v/>
      </c>
      <c r="Y26" s="54">
        <f>DL!F8+InfraDebt!F8+RCF!F8+NAV!F8+TWCS!F8+'HAIL RE'!F8+'HTRE RE'!F8+'RE Asia'!F8+REIM!F8+ETI!F8+HF!F8+PrivMkts!F8+VC!F8</f>
        <v/>
      </c>
    </row>
    <row r="27" ht="15" customHeight="1">
      <c r="S27" s="52" t="inlineStr">
        <is>
          <t>Counterparty / CCR</t>
        </is>
      </c>
      <c r="T27" s="53">
        <f>DL!B9+InfraDebt!B9+RCF!B9+NAV!B9+TWCS!B9+'HAIL RE'!B9+'HTRE RE'!B9+'RE Asia'!B9+REIM!B9+ETI!B9+HF!B9+PrivMkts!B9+VC!B9</f>
        <v/>
      </c>
      <c r="U27" s="53">
        <f>DL!C9+InfraDebt!C9+RCF!C9+NAV!C9+TWCS!C9+'HAIL RE'!C9+'HTRE RE'!C9+'RE Asia'!C9+REIM!C9+ETI!C9+HF!C9+PrivMkts!C9+VC!C9</f>
        <v/>
      </c>
      <c r="V27" s="53">
        <f>DL!D9+InfraDebt!D9+RCF!D9+NAV!D9+TWCS!D9+'HAIL RE'!D9+'HTRE RE'!D9+'RE Asia'!D9+REIM!D9+ETI!D9+HF!D9+PrivMkts!D9+VC!D9</f>
        <v/>
      </c>
      <c r="W27" s="53">
        <f>DL!E9+InfraDebt!E9+RCF!E9+NAV!E9+TWCS!E9+'HAIL RE'!E9+'HTRE RE'!E9+'RE Asia'!E9+REIM!E9+ETI!E9+HF!E9+PrivMkts!E9+VC!E9</f>
        <v/>
      </c>
      <c r="X27" s="54">
        <f>V27+W27</f>
        <v/>
      </c>
      <c r="Y27" s="54">
        <f>DL!F9+InfraDebt!F9+RCF!F9+NAV!F9+TWCS!F9+'HAIL RE'!F9+'HTRE RE'!F9+'RE Asia'!F9+REIM!F9+ETI!F9+HF!F9+PrivMkts!F9+VC!F9</f>
        <v/>
      </c>
    </row>
    <row r="28" ht="15" customHeight="1">
      <c r="S28" s="52" t="inlineStr">
        <is>
          <t>Sustainability</t>
        </is>
      </c>
      <c r="T28" s="53">
        <f>DL!B10+InfraDebt!B10+RCF!B10+NAV!B10+TWCS!B10+'HAIL RE'!B10+'HTRE RE'!B10+'RE Asia'!B10+REIM!B10+ETI!B10+HF!B10+PrivMkts!B10+VC!B10</f>
        <v/>
      </c>
      <c r="U28" s="53">
        <f>DL!C10+InfraDebt!C10+RCF!C10+NAV!C10+TWCS!C10+'HAIL RE'!C10+'HTRE RE'!C10+'RE Asia'!C10+REIM!C10+ETI!C10+HF!C10+PrivMkts!C10+VC!C10</f>
        <v/>
      </c>
      <c r="V28" s="53">
        <f>DL!D10+InfraDebt!D10+RCF!D10+NAV!D10+TWCS!D10+'HAIL RE'!D10+'HTRE RE'!D10+'RE Asia'!D10+REIM!D10+ETI!D10+HF!D10+PrivMkts!D10+VC!D10</f>
        <v/>
      </c>
      <c r="W28" s="53">
        <f>DL!E10+InfraDebt!E10+RCF!E10+NAV!E10+TWCS!E10+'HAIL RE'!E10+'HTRE RE'!E10+'RE Asia'!E10+REIM!E10+ETI!E10+HF!E10+PrivMkts!E10+VC!E10</f>
        <v/>
      </c>
      <c r="X28" s="54">
        <f>V28+W28</f>
        <v/>
      </c>
      <c r="Y28" s="54">
        <f>DL!F10+InfraDebt!F10+RCF!F10+NAV!F10+TWCS!F10+'HAIL RE'!F10+'HTRE RE'!F10+'RE Asia'!F10+REIM!F10+ETI!F10+HF!F10+PrivMkts!F10+VC!F10</f>
        <v/>
      </c>
    </row>
    <row r="29" ht="15" customHeight="1">
      <c r="S29" s="52" t="inlineStr">
        <is>
          <t>Performance</t>
        </is>
      </c>
      <c r="T29" s="53">
        <f>DL!B11+InfraDebt!B11+RCF!B11+NAV!B11+TWCS!B11+'HAIL RE'!B11+'HTRE RE'!B11+'RE Asia'!B11+REIM!B11+ETI!B11+HF!B11+PrivMkts!B11+VC!B11</f>
        <v/>
      </c>
      <c r="U29" s="53">
        <f>DL!C11+InfraDebt!C11+RCF!C11+NAV!C11+TWCS!C11+'HAIL RE'!C11+'HTRE RE'!C11+'RE Asia'!C11+REIM!C11+ETI!C11+HF!C11+PrivMkts!C11+VC!C11</f>
        <v/>
      </c>
      <c r="V29" s="53">
        <f>DL!D11+InfraDebt!D11+RCF!D11+NAV!D11+TWCS!D11+'HAIL RE'!D11+'HTRE RE'!D11+'RE Asia'!D11+REIM!D11+ETI!D11+HF!D11+PrivMkts!D11+VC!D11</f>
        <v/>
      </c>
      <c r="W29" s="53">
        <f>DL!E11+InfraDebt!E11+RCF!E11+NAV!E11+TWCS!E11+'HAIL RE'!E11+'HTRE RE'!E11+'RE Asia'!E11+REIM!E11+ETI!E11+HF!E11+PrivMkts!E11+VC!E11</f>
        <v/>
      </c>
      <c r="X29" s="54">
        <f>V29+W29</f>
        <v/>
      </c>
      <c r="Y29" s="54">
        <f>DL!F11+InfraDebt!F11+RCF!F11+NAV!F11+TWCS!F11+'HAIL RE'!F11+'HTRE RE'!F11+'RE Asia'!F11+REIM!F11+ETI!F11+HF!F11+PrivMkts!F11+VC!F11</f>
        <v/>
      </c>
    </row>
    <row r="31" ht="16" customHeight="1">
      <c r="S31" s="31" t="inlineStr">
        <is>
          <t>Strategy</t>
        </is>
      </c>
      <c r="T31" s="31" t="inlineStr">
        <is>
          <t>Amber</t>
        </is>
      </c>
      <c r="U31" s="31" t="inlineStr">
        <is>
          <t>Red</t>
        </is>
      </c>
    </row>
    <row r="32" ht="15" customHeight="1">
      <c r="S32" s="52" t="inlineStr">
        <is>
          <t>Direct Lending UK …</t>
        </is>
      </c>
      <c r="T32" s="53">
        <f>V10</f>
        <v/>
      </c>
      <c r="U32" s="53">
        <f>W10</f>
        <v/>
      </c>
    </row>
    <row r="33" ht="15" customHeight="1">
      <c r="S33" s="52" t="inlineStr">
        <is>
          <t>Infrastructure Debt</t>
        </is>
      </c>
      <c r="T33" s="53">
        <f>V11</f>
        <v/>
      </c>
      <c r="U33" s="53">
        <f>W11</f>
        <v/>
      </c>
    </row>
    <row r="34" ht="15" customHeight="1">
      <c r="S34" s="52" t="inlineStr">
        <is>
          <t>RCF</t>
        </is>
      </c>
      <c r="T34" s="53">
        <f>V12</f>
        <v/>
      </c>
      <c r="U34" s="53">
        <f>W12</f>
        <v/>
      </c>
    </row>
    <row r="35" ht="15" customHeight="1">
      <c r="S35" s="52" t="inlineStr">
        <is>
          <t>NAV Financing</t>
        </is>
      </c>
      <c r="T35" s="53">
        <f>V13</f>
        <v/>
      </c>
      <c r="U35" s="53">
        <f>W13</f>
        <v/>
      </c>
    </row>
    <row r="36" ht="15" customHeight="1">
      <c r="S36" s="52" t="inlineStr">
        <is>
          <t>Trade &amp; Working Ca…</t>
        </is>
      </c>
      <c r="T36" s="53">
        <f>V14</f>
        <v/>
      </c>
      <c r="U36" s="53">
        <f>W14</f>
        <v/>
      </c>
    </row>
    <row r="37" ht="15" customHeight="1">
      <c r="S37" s="52" t="inlineStr">
        <is>
          <t>HAIL Direct RE</t>
        </is>
      </c>
      <c r="T37" s="53">
        <f>V15</f>
        <v/>
      </c>
      <c r="U37" s="53">
        <f>W15</f>
        <v/>
      </c>
    </row>
    <row r="38" ht="15" customHeight="1">
      <c r="S38" s="52" t="inlineStr">
        <is>
          <t>HTRE RE</t>
        </is>
      </c>
      <c r="T38" s="53">
        <f>V16</f>
        <v/>
      </c>
      <c r="U38" s="53">
        <f>W16</f>
        <v/>
      </c>
    </row>
    <row r="39" ht="15" customHeight="1">
      <c r="S39" s="52" t="inlineStr">
        <is>
          <t>Real Estate Asia</t>
        </is>
      </c>
      <c r="T39" s="53">
        <f>V17</f>
        <v/>
      </c>
      <c r="U39" s="53">
        <f>W17</f>
        <v/>
      </c>
    </row>
    <row r="40" ht="15" customHeight="1">
      <c r="S40" s="52" t="inlineStr">
        <is>
          <t>REIM</t>
        </is>
      </c>
      <c r="T40" s="53">
        <f>V18</f>
        <v/>
      </c>
      <c r="U40" s="53">
        <f>W18</f>
        <v/>
      </c>
    </row>
    <row r="41" ht="15" customHeight="1">
      <c r="S41" s="52" t="inlineStr">
        <is>
          <t>ETI</t>
        </is>
      </c>
      <c r="T41" s="53">
        <f>V19</f>
        <v/>
      </c>
      <c r="U41" s="53">
        <f>W19</f>
        <v/>
      </c>
    </row>
    <row r="42" ht="15" customHeight="1">
      <c r="S42" s="52" t="inlineStr">
        <is>
          <t>Hedge Funds</t>
        </is>
      </c>
      <c r="T42" s="53">
        <f>V20</f>
        <v/>
      </c>
      <c r="U42" s="53">
        <f>W20</f>
        <v/>
      </c>
    </row>
    <row r="43" ht="15" customHeight="1">
      <c r="S43" s="52" t="inlineStr">
        <is>
          <t>Private Markets</t>
        </is>
      </c>
      <c r="T43" s="53">
        <f>V21</f>
        <v/>
      </c>
      <c r="U43" s="53">
        <f>W21</f>
        <v/>
      </c>
    </row>
    <row r="44" ht="15" customHeight="1">
      <c r="S44" s="52" t="inlineStr">
        <is>
          <t>Venture Capital</t>
        </is>
      </c>
      <c r="T44" s="53">
        <f>V22</f>
        <v/>
      </c>
      <c r="U44" s="53">
        <f>W22</f>
        <v/>
      </c>
    </row>
  </sheetData>
  <mergeCells count="14">
    <mergeCell ref="E6:H8"/>
    <mergeCell ref="I6:L8"/>
    <mergeCell ref="A9:D10"/>
    <mergeCell ref="M4:P4"/>
    <mergeCell ref="E9:H10"/>
    <mergeCell ref="M6:P8"/>
    <mergeCell ref="A2:R2"/>
    <mergeCell ref="A4:D4"/>
    <mergeCell ref="I9:L10"/>
    <mergeCell ref="E4:H4"/>
    <mergeCell ref="I4:L4"/>
    <mergeCell ref="M9:P10"/>
    <mergeCell ref="A1:R1"/>
    <mergeCell ref="A6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6" customWidth="1" min="3" max="3"/>
    <col width="16" customWidth="1" min="4" max="4"/>
  </cols>
  <sheetData>
    <row r="1" ht="30" customHeight="1">
      <c r="A1" s="1" t="inlineStr">
        <is>
          <t xml:space="preserve">  Data Guide – How to Update the Dashboard Each Quarter</t>
        </is>
      </c>
    </row>
    <row r="2" ht="8" customHeight="1"/>
    <row r="3" ht="15" customHeight="1">
      <c r="A3" s="55" t="inlineStr">
        <is>
          <t>Workflow – each quarter</t>
        </is>
      </c>
    </row>
    <row r="4" ht="6" customHeight="1">
      <c r="A4" s="56" t="inlineStr"/>
    </row>
    <row r="5" ht="15" customHeight="1">
      <c r="A5" s="56" t="inlineStr">
        <is>
          <t>1.  Open the strategy tab for the report just received (e.g. 'DL' for Direct Lending).</t>
        </is>
      </c>
    </row>
    <row r="6" ht="15" customHeight="1">
      <c r="A6" s="56" t="inlineStr">
        <is>
          <t>2.  Update cell B3 → reporting period (e.g. 'Q4 2025').</t>
        </is>
      </c>
    </row>
    <row r="7" ht="15" customHeight="1">
      <c r="A7" s="56" t="inlineStr">
        <is>
          <t>3.  Update cell B4 → number of mandates or funds in scope.</t>
        </is>
      </c>
    </row>
    <row r="8" ht="15" customHeight="1">
      <c r="A8" s="56" t="inlineStr">
        <is>
          <t>4.  PASTE your G / AG / A / R counts into the green cells B7:E11.</t>
        </is>
      </c>
    </row>
    <row r="9" ht="15" customHeight="1">
      <c r="A9" s="56" t="inlineStr">
        <is>
          <t xml:space="preserve">         Columns:  B = Green  |  C = Amber-Green  |  D = Amber  |  E = Red</t>
        </is>
      </c>
    </row>
    <row r="10" ht="15" customHeight="1">
      <c r="A10" s="56" t="inlineStr">
        <is>
          <t xml:space="preserve">         Rows:     7 = Market Risk  |  8 = Liquidity Risk  |  9 = CCR  |  10 = Sustainability  |  11 = Performance</t>
        </is>
      </c>
    </row>
    <row r="11" ht="15" customHeight="1">
      <c r="A11" s="56" t="inlineStr">
        <is>
          <t>5.  Row 12 (TOTAL) and all columns recalculate automatically – do not edit.</t>
        </is>
      </c>
    </row>
    <row r="12" ht="15" customHeight="1">
      <c r="A12" s="56" t="inlineStr">
        <is>
          <t>6.  Switch to 'Dashboard' or 'CRO Charts' – everything has refreshed.</t>
        </is>
      </c>
    </row>
    <row r="13" ht="6" customHeight="1">
      <c r="A13" s="56" t="inlineStr"/>
    </row>
    <row r="14" ht="15" customHeight="1">
      <c r="A14" s="55" t="inlineStr">
        <is>
          <t>RAG Status Guide</t>
        </is>
      </c>
    </row>
    <row r="15" ht="15" customHeight="1">
      <c r="A15" s="56" t="inlineStr">
        <is>
          <t xml:space="preserve">   G   = Green       – No MATs triggered</t>
        </is>
      </c>
    </row>
    <row r="16" ht="15" customHeight="1">
      <c r="A16" s="56" t="inlineStr">
        <is>
          <t xml:space="preserve">   AG  = Amber-Green – MATs triggered but not material</t>
        </is>
      </c>
    </row>
    <row r="17" ht="15" customHeight="1">
      <c r="A17" s="56" t="inlineStr">
        <is>
          <t xml:space="preserve">   A   = Amber       – MATs triggered; material; action plan in place</t>
        </is>
      </c>
    </row>
    <row r="18" ht="15" customHeight="1">
      <c r="A18" s="56" t="inlineStr">
        <is>
          <t xml:space="preserve">   R   = Red         – MATs triggered; material; NO action plan / not on track</t>
        </is>
      </c>
    </row>
    <row r="19" ht="6" customHeight="1">
      <c r="A19" s="56" t="inlineStr"/>
    </row>
    <row r="20" ht="15" customHeight="1">
      <c r="A20" s="55" t="inlineStr">
        <is>
          <t>Strategy tabs and sections</t>
        </is>
      </c>
    </row>
    <row r="22" ht="18" customHeight="1">
      <c r="A22" s="31" t="inlineStr">
        <is>
          <t>Tab Name</t>
        </is>
      </c>
      <c r="B22" s="31" t="inlineStr">
        <is>
          <t>Strategy</t>
        </is>
      </c>
      <c r="C22" s="31" t="inlineStr">
        <is>
          <t>Section</t>
        </is>
      </c>
      <c r="D22" s="31" t="inlineStr">
        <is>
          <t>Period</t>
        </is>
      </c>
    </row>
    <row r="23" ht="15" customHeight="1">
      <c r="A23" s="57" t="inlineStr">
        <is>
          <t>DL</t>
        </is>
      </c>
      <c r="B23" s="57" t="inlineStr">
        <is>
          <t>Direct Lending UK &amp; EUR</t>
        </is>
      </c>
      <c r="C23" s="57" t="inlineStr">
        <is>
          <t>Private Credit</t>
        </is>
      </c>
      <c r="D23" s="57" t="inlineStr">
        <is>
          <t>Q3 2025</t>
        </is>
      </c>
    </row>
    <row r="24" ht="15" customHeight="1">
      <c r="A24" s="57" t="inlineStr">
        <is>
          <t>InfraDebt</t>
        </is>
      </c>
      <c r="B24" s="57" t="inlineStr">
        <is>
          <t>Infrastructure Debt</t>
        </is>
      </c>
      <c r="C24" s="57" t="inlineStr">
        <is>
          <t>Private Credit</t>
        </is>
      </c>
      <c r="D24" s="57" t="inlineStr">
        <is>
          <t>Q3 2025</t>
        </is>
      </c>
    </row>
    <row r="25" ht="15" customHeight="1">
      <c r="A25" s="57" t="inlineStr">
        <is>
          <t>RCF</t>
        </is>
      </c>
      <c r="B25" s="57" t="inlineStr">
        <is>
          <t>RCF</t>
        </is>
      </c>
      <c r="C25" s="57" t="inlineStr">
        <is>
          <t>Private Credit</t>
        </is>
      </c>
      <c r="D25" s="57" t="inlineStr">
        <is>
          <t>Q3 2025</t>
        </is>
      </c>
    </row>
    <row r="26" ht="15" customHeight="1">
      <c r="A26" s="57" t="inlineStr">
        <is>
          <t>NAV</t>
        </is>
      </c>
      <c r="B26" s="57" t="inlineStr">
        <is>
          <t>NAV Financing</t>
        </is>
      </c>
      <c r="C26" s="57" t="inlineStr">
        <is>
          <t>Private Credit</t>
        </is>
      </c>
      <c r="D26" s="57" t="inlineStr">
        <is>
          <t>Q4 2025</t>
        </is>
      </c>
    </row>
    <row r="27" ht="15" customHeight="1">
      <c r="A27" s="57" t="inlineStr">
        <is>
          <t>TWCS</t>
        </is>
      </c>
      <c r="B27" s="57" t="inlineStr">
        <is>
          <t>Trade &amp; Working Capital</t>
        </is>
      </c>
      <c r="C27" s="57" t="inlineStr">
        <is>
          <t>Private Credit</t>
        </is>
      </c>
      <c r="D27" s="57" t="inlineStr">
        <is>
          <t>Q4 2025</t>
        </is>
      </c>
    </row>
    <row r="28" ht="15" customHeight="1">
      <c r="A28" s="57" t="inlineStr">
        <is>
          <t>HAIL RE</t>
        </is>
      </c>
      <c r="B28" s="57" t="inlineStr">
        <is>
          <t>HAIL Direct RE</t>
        </is>
      </c>
      <c r="C28" s="57" t="inlineStr">
        <is>
          <t>Real Assets</t>
        </is>
      </c>
      <c r="D28" s="57" t="inlineStr">
        <is>
          <t>Q4 2025</t>
        </is>
      </c>
    </row>
    <row r="29" ht="15" customHeight="1">
      <c r="A29" s="57" t="inlineStr">
        <is>
          <t>HTRE RE</t>
        </is>
      </c>
      <c r="B29" s="57" t="inlineStr">
        <is>
          <t>HTRE RE</t>
        </is>
      </c>
      <c r="C29" s="57" t="inlineStr">
        <is>
          <t>Real Assets</t>
        </is>
      </c>
      <c r="D29" s="57" t="inlineStr">
        <is>
          <t>Q3 2025</t>
        </is>
      </c>
    </row>
    <row r="30" ht="15" customHeight="1">
      <c r="A30" s="57" t="inlineStr">
        <is>
          <t>RE Asia</t>
        </is>
      </c>
      <c r="B30" s="57" t="inlineStr">
        <is>
          <t>Real Estate Asia</t>
        </is>
      </c>
      <c r="C30" s="57" t="inlineStr">
        <is>
          <t>Real Assets</t>
        </is>
      </c>
      <c r="D30" s="57" t="inlineStr">
        <is>
          <t>Q3 2025</t>
        </is>
      </c>
    </row>
    <row r="31" ht="15" customHeight="1">
      <c r="A31" s="57" t="inlineStr">
        <is>
          <t>REIM</t>
        </is>
      </c>
      <c r="B31" s="57" t="inlineStr">
        <is>
          <t>REIM</t>
        </is>
      </c>
      <c r="C31" s="57" t="inlineStr">
        <is>
          <t>Real Assets</t>
        </is>
      </c>
      <c r="D31" s="57" t="inlineStr">
        <is>
          <t>Q3 2025</t>
        </is>
      </c>
    </row>
    <row r="32" ht="15" customHeight="1">
      <c r="A32" s="57" t="inlineStr">
        <is>
          <t>ETI</t>
        </is>
      </c>
      <c r="B32" s="57" t="inlineStr">
        <is>
          <t>ETI</t>
        </is>
      </c>
      <c r="C32" s="57" t="inlineStr">
        <is>
          <t>Real Assets</t>
        </is>
      </c>
      <c r="D32" s="57" t="inlineStr">
        <is>
          <t>Q3 2025</t>
        </is>
      </c>
    </row>
    <row r="33" ht="15" customHeight="1">
      <c r="A33" s="57" t="inlineStr">
        <is>
          <t>HF</t>
        </is>
      </c>
      <c r="B33" s="57" t="inlineStr">
        <is>
          <t>Hedge Funds</t>
        </is>
      </c>
      <c r="C33" s="57" t="inlineStr">
        <is>
          <t>Priv Mkts + HF</t>
        </is>
      </c>
      <c r="D33" s="57" t="inlineStr">
        <is>
          <t>Q3 2025</t>
        </is>
      </c>
    </row>
    <row r="34" ht="15" customHeight="1">
      <c r="A34" s="57" t="inlineStr">
        <is>
          <t>PrivMkts</t>
        </is>
      </c>
      <c r="B34" s="57" t="inlineStr">
        <is>
          <t>Private Markets</t>
        </is>
      </c>
      <c r="C34" s="57" t="inlineStr">
        <is>
          <t>Priv Mkts + HF</t>
        </is>
      </c>
      <c r="D34" s="57" t="inlineStr">
        <is>
          <t>Q3 2025</t>
        </is>
      </c>
    </row>
    <row r="35" ht="15" customHeight="1">
      <c r="A35" s="57" t="inlineStr">
        <is>
          <t>VC</t>
        </is>
      </c>
      <c r="B35" s="57" t="inlineStr">
        <is>
          <t>Venture Capital</t>
        </is>
      </c>
      <c r="C35" s="57" t="inlineStr">
        <is>
          <t>Priv Mkts + HF</t>
        </is>
      </c>
      <c r="D35" s="57" t="inlineStr">
        <is>
          <t>Q3 2025</t>
        </is>
      </c>
    </row>
  </sheetData>
  <mergeCells count="19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Direct Lending UK &amp; EUR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7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51</v>
      </c>
      <c r="C7" s="63" t="n">
        <v>2</v>
      </c>
      <c r="D7" s="63" t="n">
        <v>1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14</v>
      </c>
      <c r="C8" s="63" t="n">
        <v>1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3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Infrastructure Debt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8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20</v>
      </c>
      <c r="C7" s="63" t="n">
        <v>1</v>
      </c>
      <c r="D7" s="63" t="n">
        <v>1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7</v>
      </c>
      <c r="C8" s="63" t="n">
        <v>0</v>
      </c>
      <c r="D8" s="63" t="n">
        <v>1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2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RCF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2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4</v>
      </c>
      <c r="C7" s="63" t="n">
        <v>0</v>
      </c>
      <c r="D7" s="63" t="n">
        <v>0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7</v>
      </c>
      <c r="C8" s="63" t="n">
        <v>1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2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NAV Financing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Q4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2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3</v>
      </c>
      <c r="C7" s="63" t="n">
        <v>0</v>
      </c>
      <c r="D7" s="63" t="n">
        <v>0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Trade &amp; Working Capital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Q4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2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5</v>
      </c>
      <c r="C7" s="63" t="n">
        <v>0</v>
      </c>
      <c r="D7" s="63" t="n">
        <v>0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HAIL Direct RE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Q4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7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7</v>
      </c>
      <c r="C7" s="63" t="n">
        <v>30</v>
      </c>
      <c r="D7" s="63" t="n">
        <v>19</v>
      </c>
      <c r="E7" s="63" t="n">
        <v>11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HTRE RE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6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6</v>
      </c>
      <c r="C7" s="63" t="n">
        <v>18</v>
      </c>
      <c r="D7" s="63" t="n">
        <v>15</v>
      </c>
      <c r="E7" s="63" t="n">
        <v>3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Real Estate Asia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5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13</v>
      </c>
      <c r="C7" s="63" t="n">
        <v>9</v>
      </c>
      <c r="D7" s="63" t="n">
        <v>3</v>
      </c>
      <c r="E7" s="63" t="n">
        <v>1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5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5</v>
      </c>
      <c r="C10" s="63" t="n">
        <v>5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REIM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3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10</v>
      </c>
      <c r="C7" s="63" t="n">
        <v>7</v>
      </c>
      <c r="D7" s="63" t="n">
        <v>3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2</v>
      </c>
      <c r="C8" s="63" t="n">
        <v>1</v>
      </c>
      <c r="D8" s="63" t="n">
        <v>0</v>
      </c>
      <c r="E8" s="63" t="n">
        <v>1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2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ETI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1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2</v>
      </c>
      <c r="C7" s="63" t="n">
        <v>2</v>
      </c>
      <c r="D7" s="63" t="n">
        <v>0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1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2</v>
      </c>
      <c r="C10" s="63" t="n">
        <v>2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Hedge Funds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5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5</v>
      </c>
      <c r="C7" s="63" t="n">
        <v>5</v>
      </c>
      <c r="D7" s="63" t="n">
        <v>4</v>
      </c>
      <c r="E7" s="63" t="n">
        <v>1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5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Private Markets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7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57</v>
      </c>
      <c r="C7" s="63" t="n">
        <v>57</v>
      </c>
      <c r="D7" s="63" t="n">
        <v>25</v>
      </c>
      <c r="E7" s="63" t="n">
        <v>32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1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C000"/>
    <outlinePr summaryBelow="1" summaryRight="1"/>
    <pageSetUpPr/>
  </sheetPr>
  <dimension ref="A1:F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 xml:space="preserve">  Venture Capital</t>
        </is>
      </c>
    </row>
    <row r="2" ht="40" customHeight="1">
      <c r="A2" s="58" t="inlineStr">
        <is>
          <t>▸  Update C3 = Reporting Period   ▸  Update C4 = Number of Mandates
▸  PASTE G / AG / A / R counts into the GREEN cells B7:E11 each quarter
▸  Row 12 (TOTAL) and the Dashboard / CRO Charts refresh automatically</t>
        </is>
      </c>
    </row>
    <row r="3" ht="18" customHeight="1">
      <c r="A3" s="59" t="inlineStr">
        <is>
          <t>Reporting Period</t>
        </is>
      </c>
      <c r="B3" s="60" t="inlineStr">
        <is>
          <t>Q3 2025</t>
        </is>
      </c>
      <c r="C3" s="22" t="n"/>
      <c r="D3" s="22" t="n"/>
      <c r="E3" s="22" t="n"/>
      <c r="F3" s="23" t="n"/>
    </row>
    <row r="4" ht="18" customHeight="1">
      <c r="A4" s="59" t="inlineStr">
        <is>
          <t>Number of Mandates / Funds</t>
        </is>
      </c>
      <c r="B4" s="61" t="n">
        <v>1</v>
      </c>
      <c r="C4" s="22" t="n"/>
      <c r="D4" s="22" t="n"/>
      <c r="E4" s="22" t="n"/>
      <c r="F4" s="23" t="n"/>
    </row>
    <row r="5" ht="8" customHeight="1"/>
    <row r="6" ht="22" customHeight="1">
      <c r="A6" s="3" t="inlineStr">
        <is>
          <t>Risk Stripe</t>
        </is>
      </c>
      <c r="B6" s="4" t="inlineStr">
        <is>
          <t>Green (G)</t>
        </is>
      </c>
      <c r="C6" s="5" t="inlineStr">
        <is>
          <t>Amber-Green (AG)</t>
        </is>
      </c>
      <c r="D6" s="6" t="inlineStr">
        <is>
          <t>Amber (A)</t>
        </is>
      </c>
      <c r="E6" s="7" t="inlineStr">
        <is>
          <t>Red (R)</t>
        </is>
      </c>
      <c r="F6" s="62" t="inlineStr">
        <is>
          <t>Row Total</t>
        </is>
      </c>
    </row>
    <row r="7" ht="18" customHeight="1">
      <c r="A7" s="59" t="inlineStr">
        <is>
          <t>Market Risk</t>
        </is>
      </c>
      <c r="B7" s="63" t="n">
        <v>1</v>
      </c>
      <c r="C7" s="63" t="n">
        <v>2</v>
      </c>
      <c r="D7" s="63" t="n">
        <v>2</v>
      </c>
      <c r="E7" s="63" t="n">
        <v>0</v>
      </c>
      <c r="F7" s="64">
        <f>SUM(B7:E7)</f>
        <v/>
      </c>
    </row>
    <row r="8" ht="18" customHeight="1">
      <c r="A8" s="59" t="inlineStr">
        <is>
          <t>Liquidity Risk</t>
        </is>
      </c>
      <c r="B8" s="63" t="n">
        <v>0</v>
      </c>
      <c r="C8" s="63" t="n">
        <v>0</v>
      </c>
      <c r="D8" s="63" t="n">
        <v>0</v>
      </c>
      <c r="E8" s="63" t="n">
        <v>0</v>
      </c>
      <c r="F8" s="64">
        <f>SUM(B8:E8)</f>
        <v/>
      </c>
    </row>
    <row r="9" ht="18" customHeight="1">
      <c r="A9" s="59" t="inlineStr">
        <is>
          <t>Counterparty / CCR</t>
        </is>
      </c>
      <c r="B9" s="63" t="n">
        <v>0</v>
      </c>
      <c r="C9" s="63" t="n">
        <v>0</v>
      </c>
      <c r="D9" s="63" t="n">
        <v>0</v>
      </c>
      <c r="E9" s="63" t="n">
        <v>0</v>
      </c>
      <c r="F9" s="64">
        <f>SUM(B9:E9)</f>
        <v/>
      </c>
    </row>
    <row r="10" ht="18" customHeight="1">
      <c r="A10" s="59" t="inlineStr">
        <is>
          <t>Sustainability</t>
        </is>
      </c>
      <c r="B10" s="63" t="n">
        <v>0</v>
      </c>
      <c r="C10" s="63" t="n">
        <v>0</v>
      </c>
      <c r="D10" s="63" t="n">
        <v>0</v>
      </c>
      <c r="E10" s="63" t="n">
        <v>0</v>
      </c>
      <c r="F10" s="64">
        <f>SUM(B10:E10)</f>
        <v/>
      </c>
    </row>
    <row r="11" ht="18" customHeight="1">
      <c r="A11" s="59" t="inlineStr">
        <is>
          <t>Performance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4">
        <f>SUM(B11:E11)</f>
        <v/>
      </c>
    </row>
    <row r="12" ht="20" customHeight="1">
      <c r="A12" s="65" t="inlineStr">
        <is>
          <t>TOTAL</t>
        </is>
      </c>
      <c r="B12" s="66">
        <f>SUM(B7:B11)</f>
        <v/>
      </c>
      <c r="C12" s="66">
        <f>SUM(C7:C11)</f>
        <v/>
      </c>
      <c r="D12" s="66">
        <f>SUM(D7:D11)</f>
        <v/>
      </c>
      <c r="E12" s="66">
        <f>SUM(E7:E11)</f>
        <v/>
      </c>
      <c r="F12" s="66">
        <f>SUM(F7:F11)</f>
        <v/>
      </c>
    </row>
  </sheetData>
  <mergeCells count="4">
    <mergeCell ref="B4:F4"/>
    <mergeCell ref="A2:F2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2026-06-15T15:34:07Z</dcterms:created>
  <dcterms:modified xmlns:dcterms="http://purl.org/dc/terms/" xmlns:xsi="http://www.w3.org/2001/XMLSchema-instance" xsi:type="dcterms:W3CDTF">2026-06-15T15:34:07Z</dcterms:modified>
</cp:coreProperties>
</file>