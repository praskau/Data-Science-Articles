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/>
  <mc:AlternateContent xmlns:mc="http://schemas.openxmlformats.org/markup-compatibility/2006">
    <mc:Choice Requires="x15">
      <x15ac:absPath xmlns:x15ac="http://schemas.microsoft.com/office/spreadsheetml/2010/11/ac" url="/private/tmp/claude-501/-Users-kaushik-Desktop-Claude/d833fb10-b955-4faa-b3f1-7c903bdfd367/scratchpad/"/>
    </mc:Choice>
  </mc:AlternateContent>
  <xr:revisionPtr revIDLastSave="0" documentId="13_ncr:1_{30DFE9F3-1055-9A41-931A-E8DE489064AF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ReadMe" sheetId="1" r:id="rId1"/>
    <sheet name="Returns" sheetId="2" r:id="rId2"/>
    <sheet name="Exposures" sheetId="3" r:id="rId3"/>
    <sheet name="CSR_FactorReturns" sheetId="4" r:id="rId4"/>
    <sheet name="FactorCovariance" sheetId="5" r:id="rId5"/>
    <sheet name="PortfolioRisk" sheetId="6" r:id="rId6"/>
    <sheet name="KAC3_Refinemen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94" i="7" l="1"/>
  <c r="A593" i="7"/>
  <c r="A592" i="7"/>
  <c r="A591" i="7"/>
  <c r="A590" i="7"/>
  <c r="A589" i="7"/>
  <c r="A588" i="7"/>
  <c r="A587" i="7"/>
  <c r="A586" i="7"/>
  <c r="A585" i="7"/>
  <c r="B223" i="7"/>
  <c r="B380" i="7" s="1"/>
  <c r="A23" i="6"/>
  <c r="A22" i="6"/>
  <c r="A21" i="6"/>
  <c r="B9" i="6"/>
  <c r="E7" i="6"/>
  <c r="D7" i="6"/>
  <c r="C7" i="6"/>
  <c r="E6" i="6"/>
  <c r="D6" i="6"/>
  <c r="C6" i="6"/>
  <c r="E5" i="6"/>
  <c r="F13" i="6" s="1"/>
  <c r="D5" i="6"/>
  <c r="C5" i="6"/>
  <c r="A2" i="4"/>
  <c r="B18" i="3" a="1"/>
  <c r="D18" i="3" s="1"/>
  <c r="K160" i="2"/>
  <c r="J160" i="2"/>
  <c r="I160" i="2"/>
  <c r="H160" i="2"/>
  <c r="G160" i="2"/>
  <c r="F160" i="2"/>
  <c r="E160" i="2"/>
  <c r="D160" i="2"/>
  <c r="C160" i="2"/>
  <c r="B160" i="2"/>
  <c r="K159" i="2"/>
  <c r="J159" i="2"/>
  <c r="I159" i="2"/>
  <c r="H159" i="2"/>
  <c r="G159" i="2"/>
  <c r="F159" i="2"/>
  <c r="E159" i="2"/>
  <c r="D159" i="2"/>
  <c r="C159" i="2"/>
  <c r="B159" i="2"/>
  <c r="A3" i="2"/>
  <c r="A3" i="4" s="1"/>
  <c r="A4" i="2" l="1"/>
  <c r="D13" i="6"/>
  <c r="C18" i="3"/>
  <c r="C20" i="3"/>
  <c r="B18" i="3"/>
  <c r="B20" i="3"/>
  <c r="D19" i="3"/>
  <c r="C19" i="3"/>
  <c r="A413" i="7"/>
  <c r="A228" i="7"/>
  <c r="A53" i="7"/>
  <c r="B19" i="3"/>
  <c r="A412" i="7"/>
  <c r="A227" i="7"/>
  <c r="A52" i="7"/>
  <c r="D20" i="3"/>
  <c r="E13" i="6"/>
  <c r="B239" i="7"/>
  <c r="B252" i="7"/>
  <c r="B265" i="7"/>
  <c r="B277" i="7"/>
  <c r="B290" i="7"/>
  <c r="B303" i="7"/>
  <c r="B316" i="7"/>
  <c r="B329" i="7"/>
  <c r="B341" i="7"/>
  <c r="B354" i="7"/>
  <c r="B367" i="7"/>
  <c r="B382" i="7"/>
  <c r="B374" i="7"/>
  <c r="B366" i="7"/>
  <c r="B358" i="7"/>
  <c r="B350" i="7"/>
  <c r="B342" i="7"/>
  <c r="B334" i="7"/>
  <c r="B326" i="7"/>
  <c r="B318" i="7"/>
  <c r="B310" i="7"/>
  <c r="B302" i="7"/>
  <c r="B294" i="7"/>
  <c r="B286" i="7"/>
  <c r="B278" i="7"/>
  <c r="B270" i="7"/>
  <c r="B262" i="7"/>
  <c r="B254" i="7"/>
  <c r="B246" i="7"/>
  <c r="B238" i="7"/>
  <c r="B230" i="7"/>
  <c r="B379" i="7"/>
  <c r="B371" i="7"/>
  <c r="B363" i="7"/>
  <c r="B355" i="7"/>
  <c r="B347" i="7"/>
  <c r="B339" i="7"/>
  <c r="B331" i="7"/>
  <c r="B323" i="7"/>
  <c r="B315" i="7"/>
  <c r="B307" i="7"/>
  <c r="B299" i="7"/>
  <c r="B291" i="7"/>
  <c r="B283" i="7"/>
  <c r="B275" i="7"/>
  <c r="B267" i="7"/>
  <c r="B259" i="7"/>
  <c r="B251" i="7"/>
  <c r="B243" i="7"/>
  <c r="B235" i="7"/>
  <c r="B227" i="7"/>
  <c r="B376" i="7"/>
  <c r="B368" i="7"/>
  <c r="B360" i="7"/>
  <c r="B352" i="7"/>
  <c r="B344" i="7"/>
  <c r="B336" i="7"/>
  <c r="B328" i="7"/>
  <c r="B320" i="7"/>
  <c r="B312" i="7"/>
  <c r="B304" i="7"/>
  <c r="B296" i="7"/>
  <c r="B288" i="7"/>
  <c r="B280" i="7"/>
  <c r="B272" i="7"/>
  <c r="B264" i="7"/>
  <c r="B256" i="7"/>
  <c r="B248" i="7"/>
  <c r="B240" i="7"/>
  <c r="B232" i="7"/>
  <c r="B231" i="7"/>
  <c r="B244" i="7"/>
  <c r="B257" i="7"/>
  <c r="B269" i="7"/>
  <c r="B282" i="7"/>
  <c r="B295" i="7"/>
  <c r="B308" i="7"/>
  <c r="B321" i="7"/>
  <c r="B333" i="7"/>
  <c r="B346" i="7"/>
  <c r="B359" i="7"/>
  <c r="B372" i="7"/>
  <c r="B236" i="7"/>
  <c r="B249" i="7"/>
  <c r="B261" i="7"/>
  <c r="B274" i="7"/>
  <c r="B287" i="7"/>
  <c r="B300" i="7"/>
  <c r="B313" i="7"/>
  <c r="B325" i="7"/>
  <c r="B338" i="7"/>
  <c r="B351" i="7"/>
  <c r="B364" i="7"/>
  <c r="B377" i="7"/>
  <c r="B228" i="7"/>
  <c r="B241" i="7"/>
  <c r="B253" i="7"/>
  <c r="B266" i="7"/>
  <c r="B279" i="7"/>
  <c r="B292" i="7"/>
  <c r="B305" i="7"/>
  <c r="B317" i="7"/>
  <c r="B330" i="7"/>
  <c r="B343" i="7"/>
  <c r="B356" i="7"/>
  <c r="B369" i="7"/>
  <c r="B381" i="7"/>
  <c r="B233" i="7"/>
  <c r="B245" i="7"/>
  <c r="B258" i="7"/>
  <c r="B271" i="7"/>
  <c r="B284" i="7"/>
  <c r="B297" i="7"/>
  <c r="B309" i="7"/>
  <c r="B322" i="7"/>
  <c r="B335" i="7"/>
  <c r="B348" i="7"/>
  <c r="B361" i="7"/>
  <c r="B373" i="7"/>
  <c r="B237" i="7"/>
  <c r="B250" i="7"/>
  <c r="B263" i="7"/>
  <c r="B276" i="7"/>
  <c r="B289" i="7"/>
  <c r="B301" i="7"/>
  <c r="B314" i="7"/>
  <c r="B327" i="7"/>
  <c r="B340" i="7"/>
  <c r="B353" i="7"/>
  <c r="B365" i="7"/>
  <c r="B378" i="7"/>
  <c r="B229" i="7"/>
  <c r="B242" i="7"/>
  <c r="B255" i="7"/>
  <c r="B268" i="7"/>
  <c r="B281" i="7"/>
  <c r="B293" i="7"/>
  <c r="B306" i="7"/>
  <c r="B319" i="7"/>
  <c r="B332" i="7"/>
  <c r="B345" i="7"/>
  <c r="B357" i="7"/>
  <c r="B370" i="7"/>
  <c r="B234" i="7"/>
  <c r="B247" i="7"/>
  <c r="B260" i="7"/>
  <c r="B273" i="7"/>
  <c r="B285" i="7"/>
  <c r="B298" i="7"/>
  <c r="B311" i="7"/>
  <c r="B324" i="7"/>
  <c r="B337" i="7"/>
  <c r="B349" i="7"/>
  <c r="B362" i="7"/>
  <c r="B375" i="7"/>
  <c r="C250" i="7" l="1"/>
  <c r="C297" i="7"/>
  <c r="C380" i="7"/>
  <c r="A4" i="4"/>
  <c r="A5" i="2"/>
  <c r="C257" i="7"/>
  <c r="C243" i="7"/>
  <c r="C307" i="7"/>
  <c r="C371" i="7"/>
  <c r="C278" i="7"/>
  <c r="C342" i="7"/>
  <c r="C341" i="7"/>
  <c r="C239" i="7"/>
  <c r="C353" i="7"/>
  <c r="C359" i="7"/>
  <c r="C272" i="7"/>
  <c r="C336" i="7"/>
  <c r="C337" i="7"/>
  <c r="C234" i="7"/>
  <c r="C281" i="7"/>
  <c r="C340" i="7"/>
  <c r="C237" i="7"/>
  <c r="C284" i="7"/>
  <c r="C343" i="7"/>
  <c r="C241" i="7"/>
  <c r="C300" i="7"/>
  <c r="C346" i="7"/>
  <c r="C244" i="7"/>
  <c r="C280" i="7"/>
  <c r="C344" i="7"/>
  <c r="C251" i="7"/>
  <c r="C315" i="7"/>
  <c r="C379" i="7"/>
  <c r="C286" i="7"/>
  <c r="C350" i="7"/>
  <c r="C329" i="7"/>
  <c r="B24" i="3" a="1"/>
  <c r="C228" i="7"/>
  <c r="C230" i="7"/>
  <c r="C358" i="7"/>
  <c r="C316" i="7"/>
  <c r="C377" i="7"/>
  <c r="C331" i="7"/>
  <c r="C238" i="7"/>
  <c r="C302" i="7"/>
  <c r="C366" i="7"/>
  <c r="C303" i="7"/>
  <c r="C364" i="7"/>
  <c r="C310" i="7"/>
  <c r="C290" i="7"/>
  <c r="C247" i="7"/>
  <c r="C253" i="7"/>
  <c r="C370" i="7"/>
  <c r="C373" i="7"/>
  <c r="C333" i="7"/>
  <c r="C288" i="7"/>
  <c r="C323" i="7"/>
  <c r="C357" i="7"/>
  <c r="C361" i="7"/>
  <c r="C274" i="7"/>
  <c r="C267" i="7"/>
  <c r="C345" i="7"/>
  <c r="C348" i="7"/>
  <c r="C261" i="7"/>
  <c r="C304" i="7"/>
  <c r="C339" i="7"/>
  <c r="C332" i="7"/>
  <c r="C335" i="7"/>
  <c r="C292" i="7"/>
  <c r="C351" i="7"/>
  <c r="C249" i="7"/>
  <c r="C295" i="7"/>
  <c r="C248" i="7"/>
  <c r="C312" i="7"/>
  <c r="C376" i="7"/>
  <c r="C283" i="7"/>
  <c r="C347" i="7"/>
  <c r="C254" i="7"/>
  <c r="C318" i="7"/>
  <c r="C382" i="7"/>
  <c r="C277" i="7"/>
  <c r="C349" i="7"/>
  <c r="C356" i="7"/>
  <c r="C324" i="7"/>
  <c r="C268" i="7"/>
  <c r="C271" i="7"/>
  <c r="C287" i="7"/>
  <c r="C352" i="7"/>
  <c r="C294" i="7"/>
  <c r="C255" i="7"/>
  <c r="C317" i="7"/>
  <c r="C232" i="7"/>
  <c r="C360" i="7"/>
  <c r="C298" i="7"/>
  <c r="C301" i="7"/>
  <c r="C305" i="7"/>
  <c r="C240" i="7"/>
  <c r="C275" i="7"/>
  <c r="C374" i="7"/>
  <c r="C229" i="7"/>
  <c r="C273" i="7"/>
  <c r="C276" i="7"/>
  <c r="C381" i="7"/>
  <c r="C279" i="7"/>
  <c r="C338" i="7"/>
  <c r="C236" i="7"/>
  <c r="C282" i="7"/>
  <c r="C256" i="7"/>
  <c r="C320" i="7"/>
  <c r="C227" i="7"/>
  <c r="C291" i="7"/>
  <c r="C355" i="7"/>
  <c r="C262" i="7"/>
  <c r="C326" i="7"/>
  <c r="C367" i="7"/>
  <c r="C265" i="7"/>
  <c r="C293" i="7"/>
  <c r="C313" i="7"/>
  <c r="C327" i="7"/>
  <c r="C330" i="7"/>
  <c r="C231" i="7"/>
  <c r="C259" i="7"/>
  <c r="C311" i="7"/>
  <c r="C314" i="7"/>
  <c r="C258" i="7"/>
  <c r="C321" i="7"/>
  <c r="C296" i="7"/>
  <c r="C242" i="7"/>
  <c r="C245" i="7"/>
  <c r="C308" i="7"/>
  <c r="C368" i="7"/>
  <c r="C246" i="7"/>
  <c r="C285" i="7"/>
  <c r="C289" i="7"/>
  <c r="C233" i="7"/>
  <c r="C375" i="7"/>
  <c r="C319" i="7"/>
  <c r="C378" i="7"/>
  <c r="C322" i="7"/>
  <c r="C362" i="7"/>
  <c r="C260" i="7"/>
  <c r="C306" i="7"/>
  <c r="C365" i="7"/>
  <c r="C263" i="7"/>
  <c r="C309" i="7"/>
  <c r="C369" i="7"/>
  <c r="C266" i="7"/>
  <c r="C325" i="7"/>
  <c r="C372" i="7"/>
  <c r="C269" i="7"/>
  <c r="C264" i="7"/>
  <c r="C328" i="7"/>
  <c r="C235" i="7"/>
  <c r="C299" i="7"/>
  <c r="C363" i="7"/>
  <c r="C270" i="7"/>
  <c r="C334" i="7"/>
  <c r="C354" i="7"/>
  <c r="C252" i="7"/>
  <c r="A5" i="4" l="1"/>
  <c r="A6" i="2"/>
  <c r="A414" i="7"/>
  <c r="A229" i="7"/>
  <c r="A54" i="7"/>
  <c r="D25" i="3"/>
  <c r="C25" i="3"/>
  <c r="B25" i="3"/>
  <c r="D24" i="3"/>
  <c r="C24" i="3"/>
  <c r="C26" i="3"/>
  <c r="D26" i="3"/>
  <c r="B26" i="3"/>
  <c r="B24" i="3"/>
  <c r="A6" i="4" l="1"/>
  <c r="A7" i="2"/>
  <c r="A55" i="7"/>
  <c r="A230" i="7"/>
  <c r="A415" i="7"/>
  <c r="B32" i="3" a="1"/>
  <c r="A7" i="4" l="1"/>
  <c r="A8" i="2"/>
  <c r="A416" i="7"/>
  <c r="A231" i="7"/>
  <c r="A56" i="7"/>
  <c r="B41" i="3"/>
  <c r="B594" i="7" s="1"/>
  <c r="C38" i="3"/>
  <c r="D35" i="3"/>
  <c r="B33" i="3"/>
  <c r="B586" i="7" s="1"/>
  <c r="D37" i="3"/>
  <c r="D40" i="3"/>
  <c r="B38" i="3"/>
  <c r="B591" i="7" s="1"/>
  <c r="C35" i="3"/>
  <c r="D32" i="3"/>
  <c r="C40" i="3"/>
  <c r="B35" i="3"/>
  <c r="B588" i="7" s="1"/>
  <c r="B40" i="3"/>
  <c r="B593" i="7" s="1"/>
  <c r="C32" i="3"/>
  <c r="D34" i="3"/>
  <c r="C37" i="3"/>
  <c r="C41" i="3"/>
  <c r="D38" i="3"/>
  <c r="B36" i="3"/>
  <c r="B589" i="7" s="1"/>
  <c r="C33" i="3"/>
  <c r="D39" i="3"/>
  <c r="D33" i="3"/>
  <c r="B37" i="3"/>
  <c r="B590" i="7" s="1"/>
  <c r="D36" i="3"/>
  <c r="C36" i="3"/>
  <c r="C39" i="3"/>
  <c r="B32" i="3"/>
  <c r="B39" i="3"/>
  <c r="B592" i="7" s="1"/>
  <c r="C34" i="3"/>
  <c r="D41" i="3"/>
  <c r="B34" i="3"/>
  <c r="B587" i="7" s="1"/>
  <c r="A8" i="4" l="1"/>
  <c r="A9" i="2"/>
  <c r="A57" i="7"/>
  <c r="A232" i="7"/>
  <c r="A417" i="7"/>
  <c r="B585" i="7"/>
  <c r="B154" i="4" a="1"/>
  <c r="B146" i="4" a="1"/>
  <c r="B138" i="4" a="1"/>
  <c r="B130" i="4" a="1"/>
  <c r="B122" i="4" a="1"/>
  <c r="B153" i="4" a="1"/>
  <c r="B145" i="4" a="1"/>
  <c r="B137" i="4" a="1"/>
  <c r="B129" i="4" a="1"/>
  <c r="B152" i="4" a="1"/>
  <c r="B144" i="4" a="1"/>
  <c r="B136" i="4" a="1"/>
  <c r="B128" i="4" a="1"/>
  <c r="B155" i="4" a="1"/>
  <c r="B147" i="4" a="1"/>
  <c r="B151" i="4" a="1"/>
  <c r="B119" i="4" a="1"/>
  <c r="B111" i="4" a="1"/>
  <c r="B103" i="4" a="1"/>
  <c r="B95" i="4" a="1"/>
  <c r="B142" i="4" a="1"/>
  <c r="B139" i="4" a="1"/>
  <c r="B118" i="4" a="1"/>
  <c r="B110" i="4" a="1"/>
  <c r="B102" i="4" a="1"/>
  <c r="B149" i="4" a="1"/>
  <c r="B124" i="4" a="1"/>
  <c r="B117" i="4" a="1"/>
  <c r="B109" i="4" a="1"/>
  <c r="B101" i="4" a="1"/>
  <c r="B143" i="4" a="1"/>
  <c r="B150" i="4" a="1"/>
  <c r="B157" i="4" a="1"/>
  <c r="B148" i="4" a="1"/>
  <c r="B125" i="4" a="1"/>
  <c r="B120" i="4" a="1"/>
  <c r="B141" i="4" a="1"/>
  <c r="B123" i="4" a="1"/>
  <c r="B98" i="4" a="1"/>
  <c r="B96" i="4" a="1"/>
  <c r="B81" i="4" a="1"/>
  <c r="B73" i="4" a="1"/>
  <c r="B93" i="4" a="1"/>
  <c r="B89" i="4" a="1"/>
  <c r="B88" i="4" a="1"/>
  <c r="B80" i="4" a="1"/>
  <c r="B127" i="4" a="1"/>
  <c r="B116" i="4" a="1"/>
  <c r="B108" i="4" a="1"/>
  <c r="B107" i="4" a="1"/>
  <c r="B106" i="4" a="1"/>
  <c r="B105" i="4" a="1"/>
  <c r="B104" i="4" a="1"/>
  <c r="B100" i="4" a="1"/>
  <c r="B87" i="4" a="1"/>
  <c r="B156" i="4" a="1"/>
  <c r="B126" i="4" a="1"/>
  <c r="B97" i="4" a="1"/>
  <c r="B94" i="4" a="1"/>
  <c r="B140" i="4" a="1"/>
  <c r="B135" i="4" a="1"/>
  <c r="B134" i="4" a="1"/>
  <c r="B131" i="4" a="1"/>
  <c r="B86" i="4" a="1"/>
  <c r="B72" i="4" a="1"/>
  <c r="B64" i="4" a="1"/>
  <c r="B56" i="4" a="1"/>
  <c r="B48" i="4" a="1"/>
  <c r="B40" i="4" a="1"/>
  <c r="B32" i="4" a="1"/>
  <c r="B24" i="4" a="1"/>
  <c r="B16" i="4" a="1"/>
  <c r="B115" i="4" a="1"/>
  <c r="B92" i="4" a="1"/>
  <c r="B90" i="4" a="1"/>
  <c r="B83" i="4" a="1"/>
  <c r="B77" i="4" a="1"/>
  <c r="B71" i="4" a="1"/>
  <c r="B63" i="4" a="1"/>
  <c r="B55" i="4" a="1"/>
  <c r="B47" i="4" a="1"/>
  <c r="B39" i="4" a="1"/>
  <c r="B31" i="4" a="1"/>
  <c r="B23" i="4" a="1"/>
  <c r="B74" i="4" a="1"/>
  <c r="B70" i="4" a="1"/>
  <c r="B62" i="4" a="1"/>
  <c r="B54" i="4" a="1"/>
  <c r="B46" i="4" a="1"/>
  <c r="B38" i="4" a="1"/>
  <c r="B30" i="4" a="1"/>
  <c r="B22" i="4" a="1"/>
  <c r="B121" i="4" a="1"/>
  <c r="B85" i="4" a="1"/>
  <c r="B79" i="4" a="1"/>
  <c r="B133" i="4" a="1"/>
  <c r="B91" i="4" a="1"/>
  <c r="B82" i="4" a="1"/>
  <c r="B132" i="4" a="1"/>
  <c r="B84" i="4" a="1"/>
  <c r="B78" i="4" a="1"/>
  <c r="B114" i="4" a="1"/>
  <c r="B113" i="4" a="1"/>
  <c r="B112" i="4" a="1"/>
  <c r="B99" i="4" a="1"/>
  <c r="B65" i="4" a="1"/>
  <c r="B57" i="4" a="1"/>
  <c r="B49" i="4" a="1"/>
  <c r="B76" i="4" a="1"/>
  <c r="B69" i="4" a="1"/>
  <c r="B53" i="4" a="1"/>
  <c r="B43" i="4" a="1"/>
  <c r="B42" i="4" a="1"/>
  <c r="B41" i="4" a="1"/>
  <c r="B5" i="4" a="1"/>
  <c r="B2" i="4" a="1"/>
  <c r="B60" i="4" a="1"/>
  <c r="B44" i="4" a="1"/>
  <c r="B13" i="4" a="1"/>
  <c r="B4" i="4" a="1"/>
  <c r="B67" i="4" a="1"/>
  <c r="B51" i="4" a="1"/>
  <c r="B29" i="4" a="1"/>
  <c r="B28" i="4" a="1"/>
  <c r="B27" i="4" a="1"/>
  <c r="B26" i="4" a="1"/>
  <c r="B25" i="4" a="1"/>
  <c r="B20" i="4" a="1"/>
  <c r="B17" i="4" a="1"/>
  <c r="B3" i="4" a="1"/>
  <c r="B14" i="4" a="1"/>
  <c r="B10" i="4" a="1"/>
  <c r="B58" i="4" a="1"/>
  <c r="B61" i="4" a="1"/>
  <c r="B45" i="4" a="1"/>
  <c r="B68" i="4" a="1"/>
  <c r="B52" i="4" a="1"/>
  <c r="B37" i="4" a="1"/>
  <c r="B36" i="4" a="1"/>
  <c r="B35" i="4" a="1"/>
  <c r="B34" i="4" a="1"/>
  <c r="B59" i="4" a="1"/>
  <c r="B75" i="4" a="1"/>
  <c r="B66" i="4" a="1"/>
  <c r="B50" i="4" a="1"/>
  <c r="B21" i="4" a="1"/>
  <c r="B12" i="4" a="1"/>
  <c r="B6" i="4" a="1"/>
  <c r="B18" i="4" a="1"/>
  <c r="B19" i="4" a="1"/>
  <c r="B15" i="4" a="1"/>
  <c r="B33" i="4" a="1"/>
  <c r="B11" i="4" a="1"/>
  <c r="B9" i="4" a="1"/>
  <c r="B8" i="4" a="1"/>
  <c r="B7" i="4" a="1"/>
  <c r="A10" i="2" l="1"/>
  <c r="A9" i="4"/>
  <c r="A233" i="7"/>
  <c r="A418" i="7"/>
  <c r="A58" i="7"/>
  <c r="B65" i="4"/>
  <c r="D65" i="4"/>
  <c r="C65" i="4"/>
  <c r="D107" i="4"/>
  <c r="C107" i="4"/>
  <c r="B107" i="4"/>
  <c r="B73" i="4"/>
  <c r="C73" i="4"/>
  <c r="D73" i="4"/>
  <c r="B148" i="4"/>
  <c r="D148" i="4"/>
  <c r="C148" i="4"/>
  <c r="D149" i="4"/>
  <c r="C149" i="4"/>
  <c r="B149" i="4"/>
  <c r="B111" i="4"/>
  <c r="D111" i="4"/>
  <c r="C111" i="4"/>
  <c r="D152" i="4"/>
  <c r="C152" i="4"/>
  <c r="B152" i="4"/>
  <c r="B146" i="4"/>
  <c r="C146" i="4"/>
  <c r="D146" i="4"/>
  <c r="C9" i="4"/>
  <c r="D9" i="4"/>
  <c r="B9" i="4"/>
  <c r="B17" i="4"/>
  <c r="D17" i="4"/>
  <c r="C17" i="4"/>
  <c r="B81" i="4"/>
  <c r="D81" i="4"/>
  <c r="C81" i="4"/>
  <c r="D157" i="4"/>
  <c r="C157" i="4"/>
  <c r="B157" i="4"/>
  <c r="C102" i="4"/>
  <c r="B102" i="4"/>
  <c r="D102" i="4"/>
  <c r="B119" i="4"/>
  <c r="C119" i="4"/>
  <c r="D119" i="4"/>
  <c r="C129" i="4"/>
  <c r="B129" i="4"/>
  <c r="D129" i="4"/>
  <c r="B154" i="4"/>
  <c r="C154" i="4"/>
  <c r="D154" i="4"/>
  <c r="D38" i="4"/>
  <c r="C38" i="4"/>
  <c r="B38" i="4"/>
  <c r="D46" i="4"/>
  <c r="C46" i="4"/>
  <c r="B46" i="4"/>
  <c r="B16" i="4"/>
  <c r="C16" i="4"/>
  <c r="D16" i="4"/>
  <c r="D150" i="4"/>
  <c r="C150" i="4"/>
  <c r="B150" i="4"/>
  <c r="C110" i="4"/>
  <c r="B110" i="4"/>
  <c r="D110" i="4"/>
  <c r="D151" i="4"/>
  <c r="C151" i="4"/>
  <c r="B151" i="4"/>
  <c r="C137" i="4"/>
  <c r="B137" i="4"/>
  <c r="D137" i="4"/>
  <c r="B41" i="4"/>
  <c r="D41" i="4"/>
  <c r="C41" i="4"/>
  <c r="C47" i="4"/>
  <c r="B47" i="4"/>
  <c r="D47" i="4"/>
  <c r="B98" i="4"/>
  <c r="D98" i="4"/>
  <c r="C98" i="4"/>
  <c r="B147" i="4"/>
  <c r="D147" i="4"/>
  <c r="C147" i="4"/>
  <c r="C145" i="4"/>
  <c r="B145" i="4"/>
  <c r="D145" i="4"/>
  <c r="D37" i="4"/>
  <c r="C37" i="4"/>
  <c r="B37" i="4"/>
  <c r="C39" i="4"/>
  <c r="B39" i="4"/>
  <c r="D39" i="4"/>
  <c r="B50" i="4"/>
  <c r="D50" i="4"/>
  <c r="C50" i="4"/>
  <c r="D99" i="4"/>
  <c r="B99" i="4"/>
  <c r="C99" i="4"/>
  <c r="D126" i="4"/>
  <c r="C126" i="4"/>
  <c r="B126" i="4"/>
  <c r="D68" i="4"/>
  <c r="C68" i="4"/>
  <c r="B68" i="4"/>
  <c r="B112" i="4"/>
  <c r="D112" i="4"/>
  <c r="C112" i="4"/>
  <c r="D86" i="4"/>
  <c r="B86" i="4"/>
  <c r="C86" i="4"/>
  <c r="C15" i="4"/>
  <c r="D15" i="4"/>
  <c r="B15" i="4"/>
  <c r="C13" i="4"/>
  <c r="B13" i="4"/>
  <c r="D13" i="4"/>
  <c r="D62" i="4"/>
  <c r="C62" i="4"/>
  <c r="B62" i="4"/>
  <c r="D127" i="4"/>
  <c r="C127" i="4"/>
  <c r="B127" i="4"/>
  <c r="D59" i="4"/>
  <c r="C59" i="4"/>
  <c r="B59" i="4"/>
  <c r="D26" i="4"/>
  <c r="C26" i="4"/>
  <c r="B26" i="4"/>
  <c r="D44" i="4"/>
  <c r="C44" i="4"/>
  <c r="B44" i="4"/>
  <c r="D69" i="4"/>
  <c r="C69" i="4"/>
  <c r="B69" i="4"/>
  <c r="D114" i="4"/>
  <c r="B114" i="4"/>
  <c r="C114" i="4"/>
  <c r="D85" i="4"/>
  <c r="C85" i="4"/>
  <c r="B85" i="4"/>
  <c r="D70" i="4"/>
  <c r="C70" i="4"/>
  <c r="B70" i="4"/>
  <c r="C71" i="4"/>
  <c r="B71" i="4"/>
  <c r="D71" i="4"/>
  <c r="B32" i="4"/>
  <c r="D32" i="4"/>
  <c r="C32" i="4"/>
  <c r="D134" i="4"/>
  <c r="B134" i="4"/>
  <c r="C134" i="4"/>
  <c r="D100" i="4"/>
  <c r="C100" i="4"/>
  <c r="B100" i="4"/>
  <c r="C80" i="4"/>
  <c r="D80" i="4"/>
  <c r="B80" i="4"/>
  <c r="B123" i="4"/>
  <c r="D123" i="4"/>
  <c r="C123" i="4"/>
  <c r="D101" i="4"/>
  <c r="C101" i="4"/>
  <c r="B101" i="4"/>
  <c r="B139" i="4"/>
  <c r="C139" i="4"/>
  <c r="D139" i="4"/>
  <c r="B155" i="4"/>
  <c r="D155" i="4"/>
  <c r="C155" i="4"/>
  <c r="C153" i="4"/>
  <c r="B153" i="4"/>
  <c r="D153" i="4"/>
  <c r="D51" i="4"/>
  <c r="C51" i="4"/>
  <c r="B51" i="4"/>
  <c r="B64" i="4"/>
  <c r="C64" i="4"/>
  <c r="D64" i="4"/>
  <c r="D52" i="4"/>
  <c r="C52" i="4"/>
  <c r="B52" i="4"/>
  <c r="D91" i="4"/>
  <c r="C91" i="4"/>
  <c r="B91" i="4"/>
  <c r="D108" i="4"/>
  <c r="C108" i="4"/>
  <c r="B108" i="4"/>
  <c r="D20" i="4"/>
  <c r="B20" i="4"/>
  <c r="C20" i="4"/>
  <c r="D54" i="4"/>
  <c r="C54" i="4"/>
  <c r="B54" i="4"/>
  <c r="B96" i="4"/>
  <c r="D96" i="4"/>
  <c r="C96" i="4"/>
  <c r="B25" i="4"/>
  <c r="D25" i="4"/>
  <c r="C25" i="4"/>
  <c r="D79" i="4"/>
  <c r="C79" i="4"/>
  <c r="B79" i="4"/>
  <c r="B24" i="4"/>
  <c r="D24" i="4"/>
  <c r="C24" i="4"/>
  <c r="D143" i="4"/>
  <c r="C143" i="4"/>
  <c r="B143" i="4"/>
  <c r="D61" i="4"/>
  <c r="C61" i="4"/>
  <c r="B61" i="4"/>
  <c r="C18" i="4"/>
  <c r="D18" i="4"/>
  <c r="B18" i="4"/>
  <c r="D34" i="4"/>
  <c r="C34" i="4"/>
  <c r="B34" i="4"/>
  <c r="B58" i="4"/>
  <c r="D58" i="4"/>
  <c r="C58" i="4"/>
  <c r="D27" i="4"/>
  <c r="C27" i="4"/>
  <c r="B27" i="4"/>
  <c r="D60" i="4"/>
  <c r="C60" i="4"/>
  <c r="B60" i="4"/>
  <c r="D76" i="4"/>
  <c r="C76" i="4"/>
  <c r="B76" i="4"/>
  <c r="D78" i="4"/>
  <c r="C78" i="4"/>
  <c r="B78" i="4"/>
  <c r="B121" i="4"/>
  <c r="D121" i="4"/>
  <c r="C121" i="4"/>
  <c r="B74" i="4"/>
  <c r="D74" i="4"/>
  <c r="C74" i="4"/>
  <c r="C77" i="4"/>
  <c r="B77" i="4"/>
  <c r="D77" i="4"/>
  <c r="B40" i="4"/>
  <c r="D40" i="4"/>
  <c r="C40" i="4"/>
  <c r="D135" i="4"/>
  <c r="C135" i="4"/>
  <c r="B135" i="4"/>
  <c r="B104" i="4"/>
  <c r="D104" i="4"/>
  <c r="C104" i="4"/>
  <c r="C88" i="4"/>
  <c r="B88" i="4"/>
  <c r="D88" i="4"/>
  <c r="C141" i="4"/>
  <c r="B141" i="4"/>
  <c r="D141" i="4"/>
  <c r="D109" i="4"/>
  <c r="C109" i="4"/>
  <c r="B109" i="4"/>
  <c r="D142" i="4"/>
  <c r="C142" i="4"/>
  <c r="B142" i="4"/>
  <c r="D128" i="4"/>
  <c r="C128" i="4"/>
  <c r="B128" i="4"/>
  <c r="B122" i="4"/>
  <c r="C122" i="4"/>
  <c r="D122" i="4"/>
  <c r="D3" i="4"/>
  <c r="C3" i="4"/>
  <c r="B3" i="4"/>
  <c r="B92" i="4"/>
  <c r="C92" i="4"/>
  <c r="D92" i="4"/>
  <c r="D11" i="4"/>
  <c r="C11" i="4"/>
  <c r="B11" i="4"/>
  <c r="B42" i="4"/>
  <c r="D42" i="4"/>
  <c r="C42" i="4"/>
  <c r="D115" i="4"/>
  <c r="B115" i="4"/>
  <c r="C115" i="4"/>
  <c r="B33" i="4"/>
  <c r="D33" i="4"/>
  <c r="C33" i="4"/>
  <c r="C4" i="4"/>
  <c r="B4" i="4"/>
  <c r="D4" i="4"/>
  <c r="C55" i="4"/>
  <c r="B55" i="4"/>
  <c r="D55" i="4"/>
  <c r="D116" i="4"/>
  <c r="C116" i="4"/>
  <c r="B116" i="4"/>
  <c r="D45" i="4"/>
  <c r="C45" i="4"/>
  <c r="B45" i="4"/>
  <c r="D113" i="4"/>
  <c r="B113" i="4"/>
  <c r="C113" i="4"/>
  <c r="B131" i="4"/>
  <c r="D131" i="4"/>
  <c r="C131" i="4"/>
  <c r="C118" i="4"/>
  <c r="B118" i="4"/>
  <c r="D118" i="4"/>
  <c r="B7" i="4"/>
  <c r="D7" i="4"/>
  <c r="C7" i="4"/>
  <c r="B6" i="4"/>
  <c r="C6" i="4"/>
  <c r="D6" i="4"/>
  <c r="D35" i="4"/>
  <c r="C35" i="4"/>
  <c r="B35" i="4"/>
  <c r="D10" i="4"/>
  <c r="C10" i="4"/>
  <c r="B10" i="4"/>
  <c r="D28" i="4"/>
  <c r="B28" i="4"/>
  <c r="C28" i="4"/>
  <c r="D2" i="4"/>
  <c r="C2" i="4"/>
  <c r="B2" i="4"/>
  <c r="B49" i="4"/>
  <c r="D49" i="4"/>
  <c r="C49" i="4"/>
  <c r="D84" i="4"/>
  <c r="C84" i="4"/>
  <c r="B84" i="4"/>
  <c r="D22" i="4"/>
  <c r="C22" i="4"/>
  <c r="B22" i="4"/>
  <c r="C23" i="4"/>
  <c r="B23" i="4"/>
  <c r="D23" i="4"/>
  <c r="C83" i="4"/>
  <c r="B83" i="4"/>
  <c r="D83" i="4"/>
  <c r="B48" i="4"/>
  <c r="C48" i="4"/>
  <c r="D48" i="4"/>
  <c r="B140" i="4"/>
  <c r="D140" i="4"/>
  <c r="C140" i="4"/>
  <c r="D105" i="4"/>
  <c r="C105" i="4"/>
  <c r="B105" i="4"/>
  <c r="C89" i="4"/>
  <c r="B89" i="4"/>
  <c r="D89" i="4"/>
  <c r="B120" i="4"/>
  <c r="D120" i="4"/>
  <c r="C120" i="4"/>
  <c r="D117" i="4"/>
  <c r="C117" i="4"/>
  <c r="B117" i="4"/>
  <c r="B95" i="4"/>
  <c r="D95" i="4"/>
  <c r="C95" i="4"/>
  <c r="D136" i="4"/>
  <c r="C136" i="4"/>
  <c r="B136" i="4"/>
  <c r="B130" i="4"/>
  <c r="D130" i="4"/>
  <c r="C130" i="4"/>
  <c r="D21" i="4"/>
  <c r="C21" i="4"/>
  <c r="B21" i="4"/>
  <c r="B82" i="4"/>
  <c r="D82" i="4"/>
  <c r="C82" i="4"/>
  <c r="D97" i="4"/>
  <c r="C97" i="4"/>
  <c r="B97" i="4"/>
  <c r="D67" i="4"/>
  <c r="C67" i="4"/>
  <c r="B67" i="4"/>
  <c r="B72" i="4"/>
  <c r="C72" i="4"/>
  <c r="D72" i="4"/>
  <c r="B66" i="4"/>
  <c r="D66" i="4"/>
  <c r="C66" i="4"/>
  <c r="B43" i="4"/>
  <c r="D43" i="4"/>
  <c r="C43" i="4"/>
  <c r="B133" i="4"/>
  <c r="D133" i="4"/>
  <c r="C133" i="4"/>
  <c r="B156" i="4"/>
  <c r="D156" i="4"/>
  <c r="C156" i="4"/>
  <c r="D75" i="4"/>
  <c r="B75" i="4"/>
  <c r="C75" i="4"/>
  <c r="D53" i="4"/>
  <c r="C53" i="4"/>
  <c r="B53" i="4"/>
  <c r="C63" i="4"/>
  <c r="B63" i="4"/>
  <c r="D63" i="4"/>
  <c r="D87" i="4"/>
  <c r="C87" i="4"/>
  <c r="B87" i="4"/>
  <c r="B19" i="4"/>
  <c r="C19" i="4"/>
  <c r="D19" i="4"/>
  <c r="D8" i="4"/>
  <c r="B8" i="4"/>
  <c r="C8" i="4"/>
  <c r="B12" i="4"/>
  <c r="D12" i="4"/>
  <c r="C12" i="4"/>
  <c r="D36" i="4"/>
  <c r="C36" i="4"/>
  <c r="B36" i="4"/>
  <c r="D14" i="4"/>
  <c r="C14" i="4"/>
  <c r="B14" i="4"/>
  <c r="D29" i="4"/>
  <c r="C29" i="4"/>
  <c r="B29" i="4"/>
  <c r="B5" i="4"/>
  <c r="C5" i="4"/>
  <c r="D5" i="4"/>
  <c r="B57" i="4"/>
  <c r="D57" i="4"/>
  <c r="C57" i="4"/>
  <c r="B132" i="4"/>
  <c r="D132" i="4"/>
  <c r="C132" i="4"/>
  <c r="D30" i="4"/>
  <c r="C30" i="4"/>
  <c r="B30" i="4"/>
  <c r="C31" i="4"/>
  <c r="B31" i="4"/>
  <c r="D31" i="4"/>
  <c r="D90" i="4"/>
  <c r="C90" i="4"/>
  <c r="B90" i="4"/>
  <c r="B56" i="4"/>
  <c r="C56" i="4"/>
  <c r="D56" i="4"/>
  <c r="C94" i="4"/>
  <c r="D94" i="4"/>
  <c r="B94" i="4"/>
  <c r="D106" i="4"/>
  <c r="C106" i="4"/>
  <c r="B106" i="4"/>
  <c r="D93" i="4"/>
  <c r="C93" i="4"/>
  <c r="B93" i="4"/>
  <c r="B125" i="4"/>
  <c r="D125" i="4"/>
  <c r="C125" i="4"/>
  <c r="D124" i="4"/>
  <c r="C124" i="4"/>
  <c r="B124" i="4"/>
  <c r="B103" i="4"/>
  <c r="D103" i="4"/>
  <c r="C103" i="4"/>
  <c r="D144" i="4"/>
  <c r="C144" i="4"/>
  <c r="B144" i="4"/>
  <c r="B138" i="4"/>
  <c r="C138" i="4"/>
  <c r="D138" i="4"/>
  <c r="A419" i="7" l="1"/>
  <c r="A59" i="7"/>
  <c r="A234" i="7"/>
  <c r="A10" i="4"/>
  <c r="A11" i="2"/>
  <c r="K56" i="4"/>
  <c r="V56" i="4" s="1"/>
  <c r="J56" i="4"/>
  <c r="U56" i="4" s="1"/>
  <c r="I56" i="4"/>
  <c r="T56" i="4" s="1"/>
  <c r="L56" i="4"/>
  <c r="W56" i="4" s="1"/>
  <c r="H56" i="4"/>
  <c r="S56" i="4" s="1"/>
  <c r="G56" i="4"/>
  <c r="R56" i="4" s="1"/>
  <c r="F56" i="4"/>
  <c r="Q56" i="4" s="1"/>
  <c r="O56" i="4"/>
  <c r="Z56" i="4" s="1"/>
  <c r="N56" i="4"/>
  <c r="Y56" i="4" s="1"/>
  <c r="M56" i="4"/>
  <c r="X56" i="4" s="1"/>
  <c r="I124" i="4"/>
  <c r="T124" i="4" s="1"/>
  <c r="H124" i="4"/>
  <c r="S124" i="4" s="1"/>
  <c r="O124" i="4"/>
  <c r="Z124" i="4" s="1"/>
  <c r="N124" i="4"/>
  <c r="Y124" i="4" s="1"/>
  <c r="M124" i="4"/>
  <c r="X124" i="4" s="1"/>
  <c r="F124" i="4"/>
  <c r="Q124" i="4" s="1"/>
  <c r="L124" i="4"/>
  <c r="W124" i="4" s="1"/>
  <c r="K124" i="4"/>
  <c r="V124" i="4" s="1"/>
  <c r="J124" i="4"/>
  <c r="U124" i="4" s="1"/>
  <c r="G124" i="4"/>
  <c r="R124" i="4" s="1"/>
  <c r="M30" i="4"/>
  <c r="X30" i="4" s="1"/>
  <c r="L30" i="4"/>
  <c r="W30" i="4" s="1"/>
  <c r="K30" i="4"/>
  <c r="V30" i="4" s="1"/>
  <c r="H30" i="4"/>
  <c r="S30" i="4" s="1"/>
  <c r="G30" i="4"/>
  <c r="R30" i="4" s="1"/>
  <c r="F30" i="4"/>
  <c r="Q30" i="4" s="1"/>
  <c r="O30" i="4"/>
  <c r="Z30" i="4" s="1"/>
  <c r="J30" i="4"/>
  <c r="U30" i="4" s="1"/>
  <c r="I30" i="4"/>
  <c r="T30" i="4" s="1"/>
  <c r="N30" i="4"/>
  <c r="Y30" i="4" s="1"/>
  <c r="J57" i="4"/>
  <c r="U57" i="4" s="1"/>
  <c r="I57" i="4"/>
  <c r="T57" i="4" s="1"/>
  <c r="H57" i="4"/>
  <c r="S57" i="4" s="1"/>
  <c r="K57" i="4"/>
  <c r="V57" i="4" s="1"/>
  <c r="O57" i="4"/>
  <c r="Z57" i="4" s="1"/>
  <c r="N57" i="4"/>
  <c r="Y57" i="4" s="1"/>
  <c r="M57" i="4"/>
  <c r="X57" i="4" s="1"/>
  <c r="L57" i="4"/>
  <c r="W57" i="4" s="1"/>
  <c r="G57" i="4"/>
  <c r="R57" i="4" s="1"/>
  <c r="F57" i="4"/>
  <c r="Q57" i="4" s="1"/>
  <c r="I75" i="4"/>
  <c r="T75" i="4" s="1"/>
  <c r="G75" i="4"/>
  <c r="R75" i="4" s="1"/>
  <c r="O75" i="4"/>
  <c r="Z75" i="4" s="1"/>
  <c r="F75" i="4"/>
  <c r="Q75" i="4" s="1"/>
  <c r="N75" i="4"/>
  <c r="Y75" i="4" s="1"/>
  <c r="K75" i="4"/>
  <c r="V75" i="4" s="1"/>
  <c r="H75" i="4"/>
  <c r="S75" i="4" s="1"/>
  <c r="M75" i="4"/>
  <c r="X75" i="4" s="1"/>
  <c r="L75" i="4"/>
  <c r="W75" i="4" s="1"/>
  <c r="J75" i="4"/>
  <c r="U75" i="4" s="1"/>
  <c r="K72" i="4"/>
  <c r="V72" i="4" s="1"/>
  <c r="J72" i="4"/>
  <c r="U72" i="4" s="1"/>
  <c r="I72" i="4"/>
  <c r="T72" i="4" s="1"/>
  <c r="L72" i="4"/>
  <c r="W72" i="4" s="1"/>
  <c r="H72" i="4"/>
  <c r="S72" i="4" s="1"/>
  <c r="G72" i="4"/>
  <c r="R72" i="4" s="1"/>
  <c r="F72" i="4"/>
  <c r="Q72" i="4" s="1"/>
  <c r="O72" i="4"/>
  <c r="Z72" i="4" s="1"/>
  <c r="N72" i="4"/>
  <c r="Y72" i="4" s="1"/>
  <c r="M72" i="4"/>
  <c r="X72" i="4" s="1"/>
  <c r="M136" i="4"/>
  <c r="X136" i="4" s="1"/>
  <c r="L136" i="4"/>
  <c r="W136" i="4" s="1"/>
  <c r="K136" i="4"/>
  <c r="V136" i="4" s="1"/>
  <c r="O136" i="4"/>
  <c r="Z136" i="4" s="1"/>
  <c r="N136" i="4"/>
  <c r="Y136" i="4" s="1"/>
  <c r="J136" i="4"/>
  <c r="U136" i="4" s="1"/>
  <c r="I136" i="4"/>
  <c r="T136" i="4" s="1"/>
  <c r="H136" i="4"/>
  <c r="S136" i="4" s="1"/>
  <c r="G136" i="4"/>
  <c r="R136" i="4" s="1"/>
  <c r="F136" i="4"/>
  <c r="Q136" i="4" s="1"/>
  <c r="C21" i="5"/>
  <c r="B21" i="5"/>
  <c r="D4" i="5"/>
  <c r="D11" i="5" s="1"/>
  <c r="C4" i="5"/>
  <c r="D21" i="5"/>
  <c r="B4" i="5"/>
  <c r="B11" i="5" s="1"/>
  <c r="E387" i="7"/>
  <c r="B394" i="7" s="1"/>
  <c r="D387" i="7"/>
  <c r="F387" i="7"/>
  <c r="H35" i="4"/>
  <c r="S35" i="4" s="1"/>
  <c r="O35" i="4"/>
  <c r="Z35" i="4" s="1"/>
  <c r="G35" i="4"/>
  <c r="R35" i="4" s="1"/>
  <c r="N35" i="4"/>
  <c r="Y35" i="4" s="1"/>
  <c r="F35" i="4"/>
  <c r="Q35" i="4" s="1"/>
  <c r="K35" i="4"/>
  <c r="V35" i="4" s="1"/>
  <c r="J35" i="4"/>
  <c r="U35" i="4" s="1"/>
  <c r="I35" i="4"/>
  <c r="T35" i="4" s="1"/>
  <c r="M35" i="4"/>
  <c r="X35" i="4" s="1"/>
  <c r="L35" i="4"/>
  <c r="W35" i="4" s="1"/>
  <c r="I7" i="4"/>
  <c r="T7" i="4" s="1"/>
  <c r="N7" i="4"/>
  <c r="Y7" i="4" s="1"/>
  <c r="H7" i="4"/>
  <c r="S7" i="4" s="1"/>
  <c r="O7" i="4"/>
  <c r="Z7" i="4" s="1"/>
  <c r="G7" i="4"/>
  <c r="R7" i="4" s="1"/>
  <c r="F7" i="4"/>
  <c r="Q7" i="4" s="1"/>
  <c r="J7" i="4"/>
  <c r="U7" i="4" s="1"/>
  <c r="K7" i="4"/>
  <c r="V7" i="4" s="1"/>
  <c r="L7" i="4"/>
  <c r="W7" i="4" s="1"/>
  <c r="M7" i="4"/>
  <c r="X7" i="4" s="1"/>
  <c r="I113" i="4"/>
  <c r="T113" i="4" s="1"/>
  <c r="H113" i="4"/>
  <c r="S113" i="4" s="1"/>
  <c r="O113" i="4"/>
  <c r="Z113" i="4" s="1"/>
  <c r="G113" i="4"/>
  <c r="R113" i="4" s="1"/>
  <c r="K113" i="4"/>
  <c r="V113" i="4" s="1"/>
  <c r="J113" i="4"/>
  <c r="U113" i="4" s="1"/>
  <c r="F113" i="4"/>
  <c r="Q113" i="4" s="1"/>
  <c r="N113" i="4"/>
  <c r="Y113" i="4" s="1"/>
  <c r="M113" i="4"/>
  <c r="X113" i="4" s="1"/>
  <c r="L113" i="4"/>
  <c r="W113" i="4" s="1"/>
  <c r="J33" i="4"/>
  <c r="U33" i="4" s="1"/>
  <c r="I33" i="4"/>
  <c r="T33" i="4" s="1"/>
  <c r="H33" i="4"/>
  <c r="S33" i="4" s="1"/>
  <c r="K33" i="4"/>
  <c r="V33" i="4" s="1"/>
  <c r="G33" i="4"/>
  <c r="R33" i="4" s="1"/>
  <c r="F33" i="4"/>
  <c r="Q33" i="4" s="1"/>
  <c r="O33" i="4"/>
  <c r="Z33" i="4" s="1"/>
  <c r="M33" i="4"/>
  <c r="X33" i="4" s="1"/>
  <c r="L33" i="4"/>
  <c r="W33" i="4" s="1"/>
  <c r="N33" i="4"/>
  <c r="Y33" i="4" s="1"/>
  <c r="L88" i="4"/>
  <c r="W88" i="4" s="1"/>
  <c r="K88" i="4"/>
  <c r="V88" i="4" s="1"/>
  <c r="J88" i="4"/>
  <c r="U88" i="4" s="1"/>
  <c r="N88" i="4"/>
  <c r="Y88" i="4" s="1"/>
  <c r="M88" i="4"/>
  <c r="X88" i="4" s="1"/>
  <c r="I88" i="4"/>
  <c r="T88" i="4" s="1"/>
  <c r="H88" i="4"/>
  <c r="S88" i="4" s="1"/>
  <c r="G88" i="4"/>
  <c r="R88" i="4" s="1"/>
  <c r="F88" i="4"/>
  <c r="Q88" i="4" s="1"/>
  <c r="O88" i="4"/>
  <c r="Z88" i="4" s="1"/>
  <c r="J74" i="4"/>
  <c r="U74" i="4" s="1"/>
  <c r="N74" i="4"/>
  <c r="Y74" i="4" s="1"/>
  <c r="M74" i="4"/>
  <c r="X74" i="4" s="1"/>
  <c r="L74" i="4"/>
  <c r="W74" i="4" s="1"/>
  <c r="H74" i="4"/>
  <c r="S74" i="4" s="1"/>
  <c r="O74" i="4"/>
  <c r="Z74" i="4" s="1"/>
  <c r="F74" i="4"/>
  <c r="Q74" i="4" s="1"/>
  <c r="K74" i="4"/>
  <c r="V74" i="4" s="1"/>
  <c r="I74" i="4"/>
  <c r="T74" i="4" s="1"/>
  <c r="G74" i="4"/>
  <c r="R74" i="4" s="1"/>
  <c r="J155" i="4"/>
  <c r="U155" i="4" s="1"/>
  <c r="I155" i="4"/>
  <c r="T155" i="4" s="1"/>
  <c r="H155" i="4"/>
  <c r="S155" i="4" s="1"/>
  <c r="K155" i="4"/>
  <c r="V155" i="4" s="1"/>
  <c r="O155" i="4"/>
  <c r="Z155" i="4" s="1"/>
  <c r="N155" i="4"/>
  <c r="Y155" i="4" s="1"/>
  <c r="M155" i="4"/>
  <c r="X155" i="4" s="1"/>
  <c r="G155" i="4"/>
  <c r="R155" i="4" s="1"/>
  <c r="F155" i="4"/>
  <c r="Q155" i="4" s="1"/>
  <c r="L155" i="4"/>
  <c r="W155" i="4" s="1"/>
  <c r="H114" i="4"/>
  <c r="S114" i="4" s="1"/>
  <c r="O114" i="4"/>
  <c r="Z114" i="4" s="1"/>
  <c r="G114" i="4"/>
  <c r="R114" i="4" s="1"/>
  <c r="N114" i="4"/>
  <c r="Y114" i="4" s="1"/>
  <c r="F114" i="4"/>
  <c r="Q114" i="4" s="1"/>
  <c r="K114" i="4"/>
  <c r="V114" i="4" s="1"/>
  <c r="J114" i="4"/>
  <c r="U114" i="4" s="1"/>
  <c r="I114" i="4"/>
  <c r="T114" i="4" s="1"/>
  <c r="M114" i="4"/>
  <c r="X114" i="4" s="1"/>
  <c r="L114" i="4"/>
  <c r="W114" i="4" s="1"/>
  <c r="I26" i="4"/>
  <c r="T26" i="4" s="1"/>
  <c r="H26" i="4"/>
  <c r="S26" i="4" s="1"/>
  <c r="O26" i="4"/>
  <c r="Z26" i="4" s="1"/>
  <c r="G26" i="4"/>
  <c r="R26" i="4" s="1"/>
  <c r="M26" i="4"/>
  <c r="X26" i="4" s="1"/>
  <c r="N26" i="4"/>
  <c r="Y26" i="4" s="1"/>
  <c r="L26" i="4"/>
  <c r="W26" i="4" s="1"/>
  <c r="F26" i="4"/>
  <c r="Q26" i="4" s="1"/>
  <c r="K26" i="4"/>
  <c r="V26" i="4" s="1"/>
  <c r="J26" i="4"/>
  <c r="U26" i="4" s="1"/>
  <c r="O68" i="4"/>
  <c r="Z68" i="4" s="1"/>
  <c r="G68" i="4"/>
  <c r="R68" i="4" s="1"/>
  <c r="N68" i="4"/>
  <c r="Y68" i="4" s="1"/>
  <c r="F68" i="4"/>
  <c r="Q68" i="4" s="1"/>
  <c r="M68" i="4"/>
  <c r="X68" i="4" s="1"/>
  <c r="H68" i="4"/>
  <c r="S68" i="4" s="1"/>
  <c r="L68" i="4"/>
  <c r="W68" i="4" s="1"/>
  <c r="K68" i="4"/>
  <c r="V68" i="4" s="1"/>
  <c r="J68" i="4"/>
  <c r="U68" i="4" s="1"/>
  <c r="I68" i="4"/>
  <c r="T68" i="4" s="1"/>
  <c r="K119" i="4"/>
  <c r="V119" i="4" s="1"/>
  <c r="J119" i="4"/>
  <c r="U119" i="4" s="1"/>
  <c r="I119" i="4"/>
  <c r="T119" i="4" s="1"/>
  <c r="L119" i="4"/>
  <c r="W119" i="4" s="1"/>
  <c r="N119" i="4"/>
  <c r="Y119" i="4" s="1"/>
  <c r="M119" i="4"/>
  <c r="X119" i="4" s="1"/>
  <c r="H119" i="4"/>
  <c r="S119" i="4" s="1"/>
  <c r="G119" i="4"/>
  <c r="R119" i="4" s="1"/>
  <c r="O119" i="4"/>
  <c r="Z119" i="4" s="1"/>
  <c r="F119" i="4"/>
  <c r="Q119" i="4" s="1"/>
  <c r="K111" i="4"/>
  <c r="V111" i="4" s="1"/>
  <c r="J111" i="4"/>
  <c r="U111" i="4" s="1"/>
  <c r="I111" i="4"/>
  <c r="T111" i="4" s="1"/>
  <c r="H111" i="4"/>
  <c r="S111" i="4" s="1"/>
  <c r="G111" i="4"/>
  <c r="R111" i="4" s="1"/>
  <c r="F111" i="4"/>
  <c r="Q111" i="4" s="1"/>
  <c r="O111" i="4"/>
  <c r="Z111" i="4" s="1"/>
  <c r="N111" i="4"/>
  <c r="Y111" i="4" s="1"/>
  <c r="M111" i="4"/>
  <c r="X111" i="4" s="1"/>
  <c r="L111" i="4"/>
  <c r="W111" i="4" s="1"/>
  <c r="J123" i="4"/>
  <c r="U123" i="4" s="1"/>
  <c r="I123" i="4"/>
  <c r="T123" i="4" s="1"/>
  <c r="H123" i="4"/>
  <c r="S123" i="4" s="1"/>
  <c r="G123" i="4"/>
  <c r="R123" i="4" s="1"/>
  <c r="F123" i="4"/>
  <c r="Q123" i="4" s="1"/>
  <c r="K123" i="4"/>
  <c r="V123" i="4" s="1"/>
  <c r="O123" i="4"/>
  <c r="Z123" i="4" s="1"/>
  <c r="N123" i="4"/>
  <c r="Y123" i="4" s="1"/>
  <c r="M123" i="4"/>
  <c r="X123" i="4" s="1"/>
  <c r="L123" i="4"/>
  <c r="W123" i="4" s="1"/>
  <c r="O134" i="4"/>
  <c r="Z134" i="4" s="1"/>
  <c r="G134" i="4"/>
  <c r="R134" i="4" s="1"/>
  <c r="N134" i="4"/>
  <c r="Y134" i="4" s="1"/>
  <c r="F134" i="4"/>
  <c r="Q134" i="4" s="1"/>
  <c r="M134" i="4"/>
  <c r="X134" i="4" s="1"/>
  <c r="L134" i="4"/>
  <c r="W134" i="4" s="1"/>
  <c r="K134" i="4"/>
  <c r="V134" i="4" s="1"/>
  <c r="J134" i="4"/>
  <c r="U134" i="4" s="1"/>
  <c r="I134" i="4"/>
  <c r="T134" i="4" s="1"/>
  <c r="H134" i="4"/>
  <c r="S134" i="4" s="1"/>
  <c r="M70" i="4"/>
  <c r="X70" i="4" s="1"/>
  <c r="L70" i="4"/>
  <c r="W70" i="4" s="1"/>
  <c r="K70" i="4"/>
  <c r="V70" i="4" s="1"/>
  <c r="N70" i="4"/>
  <c r="Y70" i="4" s="1"/>
  <c r="F70" i="4"/>
  <c r="Q70" i="4" s="1"/>
  <c r="J70" i="4"/>
  <c r="U70" i="4" s="1"/>
  <c r="I70" i="4"/>
  <c r="T70" i="4" s="1"/>
  <c r="H70" i="4"/>
  <c r="S70" i="4" s="1"/>
  <c r="G70" i="4"/>
  <c r="R70" i="4" s="1"/>
  <c r="O70" i="4"/>
  <c r="Z70" i="4" s="1"/>
  <c r="M62" i="4"/>
  <c r="X62" i="4" s="1"/>
  <c r="L62" i="4"/>
  <c r="W62" i="4" s="1"/>
  <c r="K62" i="4"/>
  <c r="V62" i="4" s="1"/>
  <c r="N62" i="4"/>
  <c r="Y62" i="4" s="1"/>
  <c r="F62" i="4"/>
  <c r="Q62" i="4" s="1"/>
  <c r="O62" i="4"/>
  <c r="Z62" i="4" s="1"/>
  <c r="J62" i="4"/>
  <c r="U62" i="4" s="1"/>
  <c r="I62" i="4"/>
  <c r="T62" i="4" s="1"/>
  <c r="H62" i="4"/>
  <c r="S62" i="4" s="1"/>
  <c r="G62" i="4"/>
  <c r="R62" i="4" s="1"/>
  <c r="J147" i="4"/>
  <c r="U147" i="4" s="1"/>
  <c r="I147" i="4"/>
  <c r="T147" i="4" s="1"/>
  <c r="H147" i="4"/>
  <c r="S147" i="4" s="1"/>
  <c r="K147" i="4"/>
  <c r="V147" i="4" s="1"/>
  <c r="G147" i="4"/>
  <c r="R147" i="4" s="1"/>
  <c r="F147" i="4"/>
  <c r="Q147" i="4" s="1"/>
  <c r="O147" i="4"/>
  <c r="Z147" i="4" s="1"/>
  <c r="N147" i="4"/>
  <c r="Y147" i="4" s="1"/>
  <c r="M147" i="4"/>
  <c r="X147" i="4" s="1"/>
  <c r="L147" i="4"/>
  <c r="W147" i="4" s="1"/>
  <c r="K16" i="4"/>
  <c r="V16" i="4" s="1"/>
  <c r="L16" i="4"/>
  <c r="W16" i="4" s="1"/>
  <c r="H16" i="4"/>
  <c r="S16" i="4" s="1"/>
  <c r="J16" i="4"/>
  <c r="U16" i="4" s="1"/>
  <c r="I16" i="4"/>
  <c r="T16" i="4" s="1"/>
  <c r="M16" i="4"/>
  <c r="X16" i="4" s="1"/>
  <c r="F16" i="4"/>
  <c r="Q16" i="4" s="1"/>
  <c r="O16" i="4"/>
  <c r="Z16" i="4" s="1"/>
  <c r="N16" i="4"/>
  <c r="Y16" i="4" s="1"/>
  <c r="G16" i="4"/>
  <c r="R16" i="4" s="1"/>
  <c r="K81" i="4"/>
  <c r="V81" i="4" s="1"/>
  <c r="J81" i="4"/>
  <c r="U81" i="4" s="1"/>
  <c r="L81" i="4"/>
  <c r="W81" i="4" s="1"/>
  <c r="I81" i="4"/>
  <c r="T81" i="4" s="1"/>
  <c r="H81" i="4"/>
  <c r="S81" i="4" s="1"/>
  <c r="G81" i="4"/>
  <c r="R81" i="4" s="1"/>
  <c r="F81" i="4"/>
  <c r="Q81" i="4" s="1"/>
  <c r="O81" i="4"/>
  <c r="Z81" i="4" s="1"/>
  <c r="N81" i="4"/>
  <c r="Y81" i="4" s="1"/>
  <c r="M81" i="4"/>
  <c r="X81" i="4" s="1"/>
  <c r="H149" i="4"/>
  <c r="S149" i="4" s="1"/>
  <c r="O149" i="4"/>
  <c r="Z149" i="4" s="1"/>
  <c r="G149" i="4"/>
  <c r="R149" i="4" s="1"/>
  <c r="N149" i="4"/>
  <c r="Y149" i="4" s="1"/>
  <c r="F149" i="4"/>
  <c r="Q149" i="4" s="1"/>
  <c r="I149" i="4"/>
  <c r="T149" i="4" s="1"/>
  <c r="M149" i="4"/>
  <c r="X149" i="4" s="1"/>
  <c r="L149" i="4"/>
  <c r="W149" i="4" s="1"/>
  <c r="K149" i="4"/>
  <c r="V149" i="4" s="1"/>
  <c r="J149" i="4"/>
  <c r="U149" i="4" s="1"/>
  <c r="K73" i="4"/>
  <c r="V73" i="4" s="1"/>
  <c r="L73" i="4"/>
  <c r="W73" i="4" s="1"/>
  <c r="J73" i="4"/>
  <c r="U73" i="4" s="1"/>
  <c r="I73" i="4"/>
  <c r="T73" i="4" s="1"/>
  <c r="O73" i="4"/>
  <c r="Z73" i="4" s="1"/>
  <c r="F73" i="4"/>
  <c r="Q73" i="4" s="1"/>
  <c r="M73" i="4"/>
  <c r="X73" i="4" s="1"/>
  <c r="N73" i="4"/>
  <c r="Y73" i="4" s="1"/>
  <c r="H73" i="4"/>
  <c r="S73" i="4" s="1"/>
  <c r="G73" i="4"/>
  <c r="R73" i="4" s="1"/>
  <c r="H90" i="4"/>
  <c r="S90" i="4" s="1"/>
  <c r="O90" i="4"/>
  <c r="Z90" i="4" s="1"/>
  <c r="F90" i="4"/>
  <c r="Q90" i="4" s="1"/>
  <c r="N90" i="4"/>
  <c r="Y90" i="4" s="1"/>
  <c r="M90" i="4"/>
  <c r="X90" i="4" s="1"/>
  <c r="G90" i="4"/>
  <c r="R90" i="4" s="1"/>
  <c r="L90" i="4"/>
  <c r="W90" i="4" s="1"/>
  <c r="K90" i="4"/>
  <c r="V90" i="4" s="1"/>
  <c r="J90" i="4"/>
  <c r="U90" i="4" s="1"/>
  <c r="I90" i="4"/>
  <c r="T90" i="4" s="1"/>
  <c r="N69" i="4"/>
  <c r="Y69" i="4" s="1"/>
  <c r="F69" i="4"/>
  <c r="Q69" i="4" s="1"/>
  <c r="M69" i="4"/>
  <c r="X69" i="4" s="1"/>
  <c r="L69" i="4"/>
  <c r="W69" i="4" s="1"/>
  <c r="O69" i="4"/>
  <c r="Z69" i="4" s="1"/>
  <c r="G69" i="4"/>
  <c r="R69" i="4" s="1"/>
  <c r="K69" i="4"/>
  <c r="V69" i="4" s="1"/>
  <c r="J69" i="4"/>
  <c r="U69" i="4" s="1"/>
  <c r="I69" i="4"/>
  <c r="T69" i="4" s="1"/>
  <c r="H69" i="4"/>
  <c r="S69" i="4" s="1"/>
  <c r="J41" i="4"/>
  <c r="U41" i="4" s="1"/>
  <c r="I41" i="4"/>
  <c r="T41" i="4" s="1"/>
  <c r="H41" i="4"/>
  <c r="S41" i="4" s="1"/>
  <c r="N41" i="4"/>
  <c r="Y41" i="4" s="1"/>
  <c r="M41" i="4"/>
  <c r="X41" i="4" s="1"/>
  <c r="L41" i="4"/>
  <c r="W41" i="4" s="1"/>
  <c r="K41" i="4"/>
  <c r="V41" i="4" s="1"/>
  <c r="G41" i="4"/>
  <c r="R41" i="4" s="1"/>
  <c r="F41" i="4"/>
  <c r="Q41" i="4" s="1"/>
  <c r="O41" i="4"/>
  <c r="Z41" i="4" s="1"/>
  <c r="L110" i="4"/>
  <c r="W110" i="4" s="1"/>
  <c r="K110" i="4"/>
  <c r="V110" i="4" s="1"/>
  <c r="J110" i="4"/>
  <c r="U110" i="4" s="1"/>
  <c r="H110" i="4"/>
  <c r="S110" i="4" s="1"/>
  <c r="G110" i="4"/>
  <c r="R110" i="4" s="1"/>
  <c r="F110" i="4"/>
  <c r="Q110" i="4" s="1"/>
  <c r="O110" i="4"/>
  <c r="Z110" i="4" s="1"/>
  <c r="N110" i="4"/>
  <c r="Y110" i="4" s="1"/>
  <c r="M110" i="4"/>
  <c r="X110" i="4" s="1"/>
  <c r="I110" i="4"/>
  <c r="T110" i="4" s="1"/>
  <c r="M46" i="4"/>
  <c r="X46" i="4" s="1"/>
  <c r="L46" i="4"/>
  <c r="W46" i="4" s="1"/>
  <c r="K46" i="4"/>
  <c r="V46" i="4" s="1"/>
  <c r="N46" i="4"/>
  <c r="Y46" i="4" s="1"/>
  <c r="F46" i="4"/>
  <c r="Q46" i="4" s="1"/>
  <c r="O46" i="4"/>
  <c r="Z46" i="4" s="1"/>
  <c r="J46" i="4"/>
  <c r="U46" i="4" s="1"/>
  <c r="I46" i="4"/>
  <c r="T46" i="4" s="1"/>
  <c r="H46" i="4"/>
  <c r="S46" i="4" s="1"/>
  <c r="G46" i="4"/>
  <c r="R46" i="4" s="1"/>
  <c r="K154" i="4"/>
  <c r="V154" i="4" s="1"/>
  <c r="J154" i="4"/>
  <c r="U154" i="4" s="1"/>
  <c r="I154" i="4"/>
  <c r="T154" i="4" s="1"/>
  <c r="L154" i="4"/>
  <c r="W154" i="4" s="1"/>
  <c r="H154" i="4"/>
  <c r="S154" i="4" s="1"/>
  <c r="G154" i="4"/>
  <c r="R154" i="4" s="1"/>
  <c r="F154" i="4"/>
  <c r="Q154" i="4" s="1"/>
  <c r="O154" i="4"/>
  <c r="Z154" i="4" s="1"/>
  <c r="N154" i="4"/>
  <c r="Y154" i="4" s="1"/>
  <c r="M154" i="4"/>
  <c r="X154" i="4" s="1"/>
  <c r="L102" i="4"/>
  <c r="W102" i="4" s="1"/>
  <c r="K102" i="4"/>
  <c r="V102" i="4" s="1"/>
  <c r="J102" i="4"/>
  <c r="U102" i="4" s="1"/>
  <c r="O102" i="4"/>
  <c r="Z102" i="4" s="1"/>
  <c r="N102" i="4"/>
  <c r="Y102" i="4" s="1"/>
  <c r="M102" i="4"/>
  <c r="X102" i="4" s="1"/>
  <c r="I102" i="4"/>
  <c r="T102" i="4" s="1"/>
  <c r="H102" i="4"/>
  <c r="S102" i="4" s="1"/>
  <c r="G102" i="4"/>
  <c r="R102" i="4" s="1"/>
  <c r="F102" i="4"/>
  <c r="Q102" i="4" s="1"/>
  <c r="K146" i="4"/>
  <c r="V146" i="4" s="1"/>
  <c r="J146" i="4"/>
  <c r="U146" i="4" s="1"/>
  <c r="I146" i="4"/>
  <c r="T146" i="4" s="1"/>
  <c r="L146" i="4"/>
  <c r="W146" i="4" s="1"/>
  <c r="O146" i="4"/>
  <c r="Z146" i="4" s="1"/>
  <c r="N146" i="4"/>
  <c r="Y146" i="4" s="1"/>
  <c r="H146" i="4"/>
  <c r="S146" i="4" s="1"/>
  <c r="G146" i="4"/>
  <c r="R146" i="4" s="1"/>
  <c r="F146" i="4"/>
  <c r="Q146" i="4" s="1"/>
  <c r="M146" i="4"/>
  <c r="X146" i="4" s="1"/>
  <c r="O107" i="4"/>
  <c r="Z107" i="4" s="1"/>
  <c r="G107" i="4"/>
  <c r="R107" i="4" s="1"/>
  <c r="N107" i="4"/>
  <c r="Y107" i="4" s="1"/>
  <c r="F107" i="4"/>
  <c r="Q107" i="4" s="1"/>
  <c r="M107" i="4"/>
  <c r="X107" i="4" s="1"/>
  <c r="H107" i="4"/>
  <c r="S107" i="4" s="1"/>
  <c r="L107" i="4"/>
  <c r="W107" i="4" s="1"/>
  <c r="K107" i="4"/>
  <c r="V107" i="4" s="1"/>
  <c r="J107" i="4"/>
  <c r="U107" i="4" s="1"/>
  <c r="I107" i="4"/>
  <c r="T107" i="4" s="1"/>
  <c r="I34" i="4"/>
  <c r="T34" i="4" s="1"/>
  <c r="H34" i="4"/>
  <c r="S34" i="4" s="1"/>
  <c r="O34" i="4"/>
  <c r="Z34" i="4" s="1"/>
  <c r="G34" i="4"/>
  <c r="R34" i="4" s="1"/>
  <c r="K34" i="4"/>
  <c r="V34" i="4" s="1"/>
  <c r="J34" i="4"/>
  <c r="U34" i="4" s="1"/>
  <c r="F34" i="4"/>
  <c r="Q34" i="4" s="1"/>
  <c r="N34" i="4"/>
  <c r="Y34" i="4" s="1"/>
  <c r="M34" i="4"/>
  <c r="X34" i="4" s="1"/>
  <c r="L34" i="4"/>
  <c r="W34" i="4" s="1"/>
  <c r="I50" i="4"/>
  <c r="T50" i="4" s="1"/>
  <c r="H50" i="4"/>
  <c r="S50" i="4" s="1"/>
  <c r="O50" i="4"/>
  <c r="Z50" i="4" s="1"/>
  <c r="G50" i="4"/>
  <c r="R50" i="4" s="1"/>
  <c r="J50" i="4"/>
  <c r="U50" i="4" s="1"/>
  <c r="N50" i="4"/>
  <c r="Y50" i="4" s="1"/>
  <c r="M50" i="4"/>
  <c r="X50" i="4" s="1"/>
  <c r="L50" i="4"/>
  <c r="W50" i="4" s="1"/>
  <c r="K50" i="4"/>
  <c r="V50" i="4" s="1"/>
  <c r="F50" i="4"/>
  <c r="Q50" i="4" s="1"/>
  <c r="M152" i="4"/>
  <c r="X152" i="4" s="1"/>
  <c r="L152" i="4"/>
  <c r="W152" i="4" s="1"/>
  <c r="K152" i="4"/>
  <c r="V152" i="4" s="1"/>
  <c r="N152" i="4"/>
  <c r="Y152" i="4" s="1"/>
  <c r="F152" i="4"/>
  <c r="Q152" i="4" s="1"/>
  <c r="J152" i="4"/>
  <c r="U152" i="4" s="1"/>
  <c r="I152" i="4"/>
  <c r="T152" i="4" s="1"/>
  <c r="H152" i="4"/>
  <c r="S152" i="4" s="1"/>
  <c r="O152" i="4"/>
  <c r="Z152" i="4" s="1"/>
  <c r="G152" i="4"/>
  <c r="R152" i="4" s="1"/>
  <c r="O150" i="4"/>
  <c r="Z150" i="4" s="1"/>
  <c r="G150" i="4"/>
  <c r="R150" i="4" s="1"/>
  <c r="N150" i="4"/>
  <c r="Y150" i="4" s="1"/>
  <c r="F150" i="4"/>
  <c r="Q150" i="4" s="1"/>
  <c r="M150" i="4"/>
  <c r="X150" i="4" s="1"/>
  <c r="H150" i="4"/>
  <c r="S150" i="4" s="1"/>
  <c r="L150" i="4"/>
  <c r="W150" i="4" s="1"/>
  <c r="K150" i="4"/>
  <c r="V150" i="4" s="1"/>
  <c r="J150" i="4"/>
  <c r="U150" i="4" s="1"/>
  <c r="I150" i="4"/>
  <c r="T150" i="4" s="1"/>
  <c r="J17" i="4"/>
  <c r="U17" i="4" s="1"/>
  <c r="N17" i="4"/>
  <c r="Y17" i="4" s="1"/>
  <c r="M17" i="4"/>
  <c r="X17" i="4" s="1"/>
  <c r="K17" i="4"/>
  <c r="V17" i="4" s="1"/>
  <c r="L17" i="4"/>
  <c r="W17" i="4" s="1"/>
  <c r="O17" i="4"/>
  <c r="Z17" i="4" s="1"/>
  <c r="F17" i="4"/>
  <c r="Q17" i="4" s="1"/>
  <c r="G17" i="4"/>
  <c r="R17" i="4" s="1"/>
  <c r="I17" i="4"/>
  <c r="T17" i="4" s="1"/>
  <c r="H17" i="4"/>
  <c r="S17" i="4" s="1"/>
  <c r="K138" i="4"/>
  <c r="V138" i="4" s="1"/>
  <c r="J138" i="4"/>
  <c r="U138" i="4" s="1"/>
  <c r="I138" i="4"/>
  <c r="T138" i="4" s="1"/>
  <c r="O138" i="4"/>
  <c r="Z138" i="4" s="1"/>
  <c r="N138" i="4"/>
  <c r="Y138" i="4" s="1"/>
  <c r="M138" i="4"/>
  <c r="X138" i="4" s="1"/>
  <c r="G138" i="4"/>
  <c r="R138" i="4" s="1"/>
  <c r="L138" i="4"/>
  <c r="W138" i="4" s="1"/>
  <c r="H138" i="4"/>
  <c r="S138" i="4" s="1"/>
  <c r="F138" i="4"/>
  <c r="Q138" i="4" s="1"/>
  <c r="I83" i="4"/>
  <c r="T83" i="4" s="1"/>
  <c r="H83" i="4"/>
  <c r="S83" i="4" s="1"/>
  <c r="N83" i="4"/>
  <c r="Y83" i="4" s="1"/>
  <c r="M83" i="4"/>
  <c r="X83" i="4" s="1"/>
  <c r="L83" i="4"/>
  <c r="W83" i="4" s="1"/>
  <c r="K83" i="4"/>
  <c r="V83" i="4" s="1"/>
  <c r="J83" i="4"/>
  <c r="U83" i="4" s="1"/>
  <c r="G83" i="4"/>
  <c r="R83" i="4" s="1"/>
  <c r="F83" i="4"/>
  <c r="Q83" i="4" s="1"/>
  <c r="O83" i="4"/>
  <c r="Z83" i="4" s="1"/>
  <c r="K24" i="4"/>
  <c r="V24" i="4" s="1"/>
  <c r="J24" i="4"/>
  <c r="U24" i="4" s="1"/>
  <c r="I24" i="4"/>
  <c r="T24" i="4" s="1"/>
  <c r="O24" i="4"/>
  <c r="Z24" i="4" s="1"/>
  <c r="N24" i="4"/>
  <c r="Y24" i="4" s="1"/>
  <c r="M24" i="4"/>
  <c r="X24" i="4" s="1"/>
  <c r="F24" i="4"/>
  <c r="Q24" i="4" s="1"/>
  <c r="G24" i="4"/>
  <c r="R24" i="4" s="1"/>
  <c r="L24" i="4"/>
  <c r="W24" i="4" s="1"/>
  <c r="H24" i="4"/>
  <c r="S24" i="4" s="1"/>
  <c r="N108" i="4"/>
  <c r="Y108" i="4" s="1"/>
  <c r="F108" i="4"/>
  <c r="Q108" i="4" s="1"/>
  <c r="M108" i="4"/>
  <c r="X108" i="4" s="1"/>
  <c r="L108" i="4"/>
  <c r="W108" i="4" s="1"/>
  <c r="H108" i="4"/>
  <c r="S108" i="4" s="1"/>
  <c r="G108" i="4"/>
  <c r="R108" i="4" s="1"/>
  <c r="O108" i="4"/>
  <c r="Z108" i="4" s="1"/>
  <c r="K108" i="4"/>
  <c r="V108" i="4" s="1"/>
  <c r="J108" i="4"/>
  <c r="U108" i="4" s="1"/>
  <c r="I108" i="4"/>
  <c r="T108" i="4" s="1"/>
  <c r="M144" i="4"/>
  <c r="X144" i="4" s="1"/>
  <c r="L144" i="4"/>
  <c r="W144" i="4" s="1"/>
  <c r="K144" i="4"/>
  <c r="V144" i="4" s="1"/>
  <c r="N144" i="4"/>
  <c r="Y144" i="4" s="1"/>
  <c r="F144" i="4"/>
  <c r="Q144" i="4" s="1"/>
  <c r="J144" i="4"/>
  <c r="U144" i="4" s="1"/>
  <c r="I144" i="4"/>
  <c r="T144" i="4" s="1"/>
  <c r="H144" i="4"/>
  <c r="S144" i="4" s="1"/>
  <c r="G144" i="4"/>
  <c r="R144" i="4" s="1"/>
  <c r="O144" i="4"/>
  <c r="Z144" i="4" s="1"/>
  <c r="K122" i="4"/>
  <c r="V122" i="4" s="1"/>
  <c r="J122" i="4"/>
  <c r="U122" i="4" s="1"/>
  <c r="M122" i="4"/>
  <c r="X122" i="4" s="1"/>
  <c r="L122" i="4"/>
  <c r="W122" i="4" s="1"/>
  <c r="I122" i="4"/>
  <c r="T122" i="4" s="1"/>
  <c r="N122" i="4"/>
  <c r="Y122" i="4" s="1"/>
  <c r="F122" i="4"/>
  <c r="Q122" i="4" s="1"/>
  <c r="O122" i="4"/>
  <c r="Z122" i="4" s="1"/>
  <c r="H122" i="4"/>
  <c r="S122" i="4" s="1"/>
  <c r="G122" i="4"/>
  <c r="R122" i="4" s="1"/>
  <c r="O60" i="4"/>
  <c r="Z60" i="4" s="1"/>
  <c r="G60" i="4"/>
  <c r="R60" i="4" s="1"/>
  <c r="N60" i="4"/>
  <c r="Y60" i="4" s="1"/>
  <c r="F60" i="4"/>
  <c r="Q60" i="4" s="1"/>
  <c r="M60" i="4"/>
  <c r="X60" i="4" s="1"/>
  <c r="H60" i="4"/>
  <c r="S60" i="4" s="1"/>
  <c r="L60" i="4"/>
  <c r="W60" i="4" s="1"/>
  <c r="K60" i="4"/>
  <c r="V60" i="4" s="1"/>
  <c r="J60" i="4"/>
  <c r="U60" i="4" s="1"/>
  <c r="I60" i="4"/>
  <c r="T60" i="4" s="1"/>
  <c r="M79" i="4"/>
  <c r="X79" i="4" s="1"/>
  <c r="L79" i="4"/>
  <c r="W79" i="4" s="1"/>
  <c r="H79" i="4"/>
  <c r="S79" i="4" s="1"/>
  <c r="G79" i="4"/>
  <c r="R79" i="4" s="1"/>
  <c r="F79" i="4"/>
  <c r="Q79" i="4" s="1"/>
  <c r="O79" i="4"/>
  <c r="Z79" i="4" s="1"/>
  <c r="N79" i="4"/>
  <c r="Y79" i="4" s="1"/>
  <c r="K79" i="4"/>
  <c r="V79" i="4" s="1"/>
  <c r="J79" i="4"/>
  <c r="U79" i="4" s="1"/>
  <c r="I79" i="4"/>
  <c r="T79" i="4" s="1"/>
  <c r="K5" i="4"/>
  <c r="V5" i="4" s="1"/>
  <c r="J5" i="4"/>
  <c r="U5" i="4" s="1"/>
  <c r="I5" i="4"/>
  <c r="T5" i="4" s="1"/>
  <c r="H5" i="4"/>
  <c r="S5" i="4" s="1"/>
  <c r="L5" i="4"/>
  <c r="W5" i="4" s="1"/>
  <c r="F5" i="4"/>
  <c r="Q5" i="4" s="1"/>
  <c r="O5" i="4"/>
  <c r="Z5" i="4" s="1"/>
  <c r="M5" i="4"/>
  <c r="X5" i="4" s="1"/>
  <c r="G5" i="4"/>
  <c r="R5" i="4" s="1"/>
  <c r="N5" i="4"/>
  <c r="Y5" i="4" s="1"/>
  <c r="M128" i="4"/>
  <c r="X128" i="4" s="1"/>
  <c r="L128" i="4"/>
  <c r="W128" i="4" s="1"/>
  <c r="K128" i="4"/>
  <c r="V128" i="4" s="1"/>
  <c r="I128" i="4"/>
  <c r="T128" i="4" s="1"/>
  <c r="H128" i="4"/>
  <c r="S128" i="4" s="1"/>
  <c r="G128" i="4"/>
  <c r="R128" i="4" s="1"/>
  <c r="J128" i="4"/>
  <c r="U128" i="4" s="1"/>
  <c r="O128" i="4"/>
  <c r="Z128" i="4" s="1"/>
  <c r="N128" i="4"/>
  <c r="Y128" i="4" s="1"/>
  <c r="F128" i="4"/>
  <c r="Q128" i="4" s="1"/>
  <c r="I140" i="4"/>
  <c r="T140" i="4" s="1"/>
  <c r="H140" i="4"/>
  <c r="S140" i="4" s="1"/>
  <c r="O140" i="4"/>
  <c r="Z140" i="4" s="1"/>
  <c r="G140" i="4"/>
  <c r="R140" i="4" s="1"/>
  <c r="J140" i="4"/>
  <c r="U140" i="4" s="1"/>
  <c r="F140" i="4"/>
  <c r="Q140" i="4" s="1"/>
  <c r="M140" i="4"/>
  <c r="X140" i="4" s="1"/>
  <c r="K140" i="4"/>
  <c r="V140" i="4" s="1"/>
  <c r="N140" i="4"/>
  <c r="Y140" i="4" s="1"/>
  <c r="L140" i="4"/>
  <c r="W140" i="4" s="1"/>
  <c r="L23" i="4"/>
  <c r="W23" i="4" s="1"/>
  <c r="K23" i="4"/>
  <c r="V23" i="4" s="1"/>
  <c r="J23" i="4"/>
  <c r="U23" i="4" s="1"/>
  <c r="O23" i="4"/>
  <c r="Z23" i="4" s="1"/>
  <c r="M23" i="4"/>
  <c r="X23" i="4" s="1"/>
  <c r="N23" i="4"/>
  <c r="Y23" i="4" s="1"/>
  <c r="F23" i="4"/>
  <c r="Q23" i="4" s="1"/>
  <c r="I23" i="4"/>
  <c r="T23" i="4" s="1"/>
  <c r="H23" i="4"/>
  <c r="S23" i="4" s="1"/>
  <c r="G23" i="4"/>
  <c r="R23" i="4" s="1"/>
  <c r="L4" i="4"/>
  <c r="W4" i="4" s="1"/>
  <c r="K4" i="4"/>
  <c r="V4" i="4" s="1"/>
  <c r="J4" i="4"/>
  <c r="U4" i="4" s="1"/>
  <c r="I4" i="4"/>
  <c r="T4" i="4" s="1"/>
  <c r="M4" i="4"/>
  <c r="X4" i="4" s="1"/>
  <c r="H4" i="4"/>
  <c r="S4" i="4" s="1"/>
  <c r="O4" i="4"/>
  <c r="Z4" i="4" s="1"/>
  <c r="G4" i="4"/>
  <c r="R4" i="4" s="1"/>
  <c r="F4" i="4"/>
  <c r="Q4" i="4" s="1"/>
  <c r="N4" i="4"/>
  <c r="Y4" i="4" s="1"/>
  <c r="O77" i="4"/>
  <c r="Z77" i="4" s="1"/>
  <c r="G77" i="4"/>
  <c r="R77" i="4" s="1"/>
  <c r="N77" i="4"/>
  <c r="Y77" i="4" s="1"/>
  <c r="F77" i="4"/>
  <c r="Q77" i="4" s="1"/>
  <c r="M77" i="4"/>
  <c r="X77" i="4" s="1"/>
  <c r="L77" i="4"/>
  <c r="W77" i="4" s="1"/>
  <c r="K77" i="4"/>
  <c r="V77" i="4" s="1"/>
  <c r="J77" i="4"/>
  <c r="U77" i="4" s="1"/>
  <c r="I77" i="4"/>
  <c r="T77" i="4" s="1"/>
  <c r="H77" i="4"/>
  <c r="S77" i="4" s="1"/>
  <c r="K64" i="4"/>
  <c r="V64" i="4" s="1"/>
  <c r="J64" i="4"/>
  <c r="U64" i="4" s="1"/>
  <c r="I64" i="4"/>
  <c r="T64" i="4" s="1"/>
  <c r="L64" i="4"/>
  <c r="W64" i="4" s="1"/>
  <c r="O64" i="4"/>
  <c r="Z64" i="4" s="1"/>
  <c r="N64" i="4"/>
  <c r="Y64" i="4" s="1"/>
  <c r="M64" i="4"/>
  <c r="X64" i="4" s="1"/>
  <c r="H64" i="4"/>
  <c r="S64" i="4" s="1"/>
  <c r="G64" i="4"/>
  <c r="R64" i="4" s="1"/>
  <c r="F64" i="4"/>
  <c r="Q64" i="4" s="1"/>
  <c r="L153" i="4"/>
  <c r="W153" i="4" s="1"/>
  <c r="K153" i="4"/>
  <c r="V153" i="4" s="1"/>
  <c r="J153" i="4"/>
  <c r="U153" i="4" s="1"/>
  <c r="M153" i="4"/>
  <c r="X153" i="4" s="1"/>
  <c r="O153" i="4"/>
  <c r="Z153" i="4" s="1"/>
  <c r="I153" i="4"/>
  <c r="T153" i="4" s="1"/>
  <c r="H153" i="4"/>
  <c r="S153" i="4" s="1"/>
  <c r="G153" i="4"/>
  <c r="R153" i="4" s="1"/>
  <c r="F153" i="4"/>
  <c r="Q153" i="4" s="1"/>
  <c r="N153" i="4"/>
  <c r="Y153" i="4" s="1"/>
  <c r="M101" i="4"/>
  <c r="X101" i="4" s="1"/>
  <c r="L101" i="4"/>
  <c r="W101" i="4" s="1"/>
  <c r="K101" i="4"/>
  <c r="V101" i="4" s="1"/>
  <c r="O101" i="4"/>
  <c r="Z101" i="4" s="1"/>
  <c r="N101" i="4"/>
  <c r="Y101" i="4" s="1"/>
  <c r="J101" i="4"/>
  <c r="U101" i="4" s="1"/>
  <c r="I101" i="4"/>
  <c r="T101" i="4" s="1"/>
  <c r="H101" i="4"/>
  <c r="S101" i="4" s="1"/>
  <c r="G101" i="4"/>
  <c r="R101" i="4" s="1"/>
  <c r="F101" i="4"/>
  <c r="Q101" i="4" s="1"/>
  <c r="O85" i="4"/>
  <c r="Z85" i="4" s="1"/>
  <c r="G85" i="4"/>
  <c r="R85" i="4" s="1"/>
  <c r="N85" i="4"/>
  <c r="Y85" i="4" s="1"/>
  <c r="F85" i="4"/>
  <c r="Q85" i="4" s="1"/>
  <c r="H85" i="4"/>
  <c r="S85" i="4" s="1"/>
  <c r="M85" i="4"/>
  <c r="X85" i="4" s="1"/>
  <c r="L85" i="4"/>
  <c r="W85" i="4" s="1"/>
  <c r="K85" i="4"/>
  <c r="V85" i="4" s="1"/>
  <c r="J85" i="4"/>
  <c r="U85" i="4" s="1"/>
  <c r="I85" i="4"/>
  <c r="T85" i="4" s="1"/>
  <c r="H98" i="4"/>
  <c r="S98" i="4" s="1"/>
  <c r="O98" i="4"/>
  <c r="Z98" i="4" s="1"/>
  <c r="G98" i="4"/>
  <c r="R98" i="4" s="1"/>
  <c r="M98" i="4"/>
  <c r="X98" i="4" s="1"/>
  <c r="L98" i="4"/>
  <c r="W98" i="4" s="1"/>
  <c r="K98" i="4"/>
  <c r="V98" i="4" s="1"/>
  <c r="J98" i="4"/>
  <c r="U98" i="4" s="1"/>
  <c r="N98" i="4"/>
  <c r="Y98" i="4" s="1"/>
  <c r="I98" i="4"/>
  <c r="T98" i="4" s="1"/>
  <c r="F98" i="4"/>
  <c r="Q98" i="4" s="1"/>
  <c r="L137" i="4"/>
  <c r="W137" i="4" s="1"/>
  <c r="K137" i="4"/>
  <c r="V137" i="4" s="1"/>
  <c r="J137" i="4"/>
  <c r="U137" i="4" s="1"/>
  <c r="O137" i="4"/>
  <c r="Z137" i="4" s="1"/>
  <c r="N137" i="4"/>
  <c r="Y137" i="4" s="1"/>
  <c r="M137" i="4"/>
  <c r="X137" i="4" s="1"/>
  <c r="G137" i="4"/>
  <c r="R137" i="4" s="1"/>
  <c r="I137" i="4"/>
  <c r="T137" i="4" s="1"/>
  <c r="H137" i="4"/>
  <c r="S137" i="4" s="1"/>
  <c r="F137" i="4"/>
  <c r="Q137" i="4" s="1"/>
  <c r="L129" i="4"/>
  <c r="W129" i="4" s="1"/>
  <c r="K129" i="4"/>
  <c r="V129" i="4" s="1"/>
  <c r="J129" i="4"/>
  <c r="U129" i="4" s="1"/>
  <c r="I129" i="4"/>
  <c r="T129" i="4" s="1"/>
  <c r="H129" i="4"/>
  <c r="S129" i="4" s="1"/>
  <c r="G129" i="4"/>
  <c r="R129" i="4" s="1"/>
  <c r="M129" i="4"/>
  <c r="X129" i="4" s="1"/>
  <c r="O129" i="4"/>
  <c r="Z129" i="4" s="1"/>
  <c r="N129" i="4"/>
  <c r="Y129" i="4" s="1"/>
  <c r="F129" i="4"/>
  <c r="Q129" i="4" s="1"/>
  <c r="H125" i="4"/>
  <c r="S125" i="4" s="1"/>
  <c r="O125" i="4"/>
  <c r="Z125" i="4" s="1"/>
  <c r="G125" i="4"/>
  <c r="R125" i="4" s="1"/>
  <c r="L125" i="4"/>
  <c r="W125" i="4" s="1"/>
  <c r="K125" i="4"/>
  <c r="V125" i="4" s="1"/>
  <c r="J125" i="4"/>
  <c r="U125" i="4" s="1"/>
  <c r="M125" i="4"/>
  <c r="X125" i="4" s="1"/>
  <c r="N125" i="4"/>
  <c r="Y125" i="4" s="1"/>
  <c r="I125" i="4"/>
  <c r="T125" i="4" s="1"/>
  <c r="F125" i="4"/>
  <c r="Q125" i="4" s="1"/>
  <c r="I132" i="4"/>
  <c r="T132" i="4" s="1"/>
  <c r="H132" i="4"/>
  <c r="S132" i="4" s="1"/>
  <c r="O132" i="4"/>
  <c r="Z132" i="4" s="1"/>
  <c r="G132" i="4"/>
  <c r="R132" i="4" s="1"/>
  <c r="L132" i="4"/>
  <c r="W132" i="4" s="1"/>
  <c r="K132" i="4"/>
  <c r="V132" i="4" s="1"/>
  <c r="J132" i="4"/>
  <c r="U132" i="4" s="1"/>
  <c r="M132" i="4"/>
  <c r="X132" i="4" s="1"/>
  <c r="N132" i="4"/>
  <c r="Y132" i="4" s="1"/>
  <c r="F132" i="4"/>
  <c r="Q132" i="4" s="1"/>
  <c r="H19" i="4"/>
  <c r="S19" i="4" s="1"/>
  <c r="O19" i="4"/>
  <c r="Z19" i="4" s="1"/>
  <c r="J19" i="4"/>
  <c r="U19" i="4" s="1"/>
  <c r="I19" i="4"/>
  <c r="T19" i="4" s="1"/>
  <c r="G19" i="4"/>
  <c r="R19" i="4" s="1"/>
  <c r="F19" i="4"/>
  <c r="Q19" i="4" s="1"/>
  <c r="K19" i="4"/>
  <c r="V19" i="4" s="1"/>
  <c r="N19" i="4"/>
  <c r="Y19" i="4" s="1"/>
  <c r="M19" i="4"/>
  <c r="X19" i="4" s="1"/>
  <c r="L19" i="4"/>
  <c r="W19" i="4" s="1"/>
  <c r="I66" i="4"/>
  <c r="T66" i="4" s="1"/>
  <c r="H66" i="4"/>
  <c r="S66" i="4" s="1"/>
  <c r="O66" i="4"/>
  <c r="Z66" i="4" s="1"/>
  <c r="G66" i="4"/>
  <c r="R66" i="4" s="1"/>
  <c r="J66" i="4"/>
  <c r="U66" i="4" s="1"/>
  <c r="N66" i="4"/>
  <c r="Y66" i="4" s="1"/>
  <c r="M66" i="4"/>
  <c r="X66" i="4" s="1"/>
  <c r="L66" i="4"/>
  <c r="W66" i="4" s="1"/>
  <c r="K66" i="4"/>
  <c r="V66" i="4" s="1"/>
  <c r="F66" i="4"/>
  <c r="Q66" i="4" s="1"/>
  <c r="K95" i="4"/>
  <c r="V95" i="4" s="1"/>
  <c r="I95" i="4"/>
  <c r="T95" i="4" s="1"/>
  <c r="H95" i="4"/>
  <c r="S95" i="4" s="1"/>
  <c r="G95" i="4"/>
  <c r="R95" i="4" s="1"/>
  <c r="O95" i="4"/>
  <c r="Z95" i="4" s="1"/>
  <c r="F95" i="4"/>
  <c r="Q95" i="4" s="1"/>
  <c r="N95" i="4"/>
  <c r="Y95" i="4" s="1"/>
  <c r="M95" i="4"/>
  <c r="X95" i="4" s="1"/>
  <c r="L95" i="4"/>
  <c r="W95" i="4" s="1"/>
  <c r="J95" i="4"/>
  <c r="U95" i="4" s="1"/>
  <c r="I89" i="4"/>
  <c r="T89" i="4" s="1"/>
  <c r="M89" i="4"/>
  <c r="X89" i="4" s="1"/>
  <c r="L89" i="4"/>
  <c r="W89" i="4" s="1"/>
  <c r="K89" i="4"/>
  <c r="V89" i="4" s="1"/>
  <c r="O89" i="4"/>
  <c r="Z89" i="4" s="1"/>
  <c r="N89" i="4"/>
  <c r="Y89" i="4" s="1"/>
  <c r="J89" i="4"/>
  <c r="U89" i="4" s="1"/>
  <c r="H89" i="4"/>
  <c r="S89" i="4" s="1"/>
  <c r="G89" i="4"/>
  <c r="R89" i="4" s="1"/>
  <c r="F89" i="4"/>
  <c r="Q89" i="4" s="1"/>
  <c r="I10" i="4"/>
  <c r="T10" i="4" s="1"/>
  <c r="O10" i="4"/>
  <c r="Z10" i="4" s="1"/>
  <c r="F10" i="4"/>
  <c r="Q10" i="4" s="1"/>
  <c r="L10" i="4"/>
  <c r="W10" i="4" s="1"/>
  <c r="N10" i="4"/>
  <c r="Y10" i="4" s="1"/>
  <c r="M10" i="4"/>
  <c r="X10" i="4" s="1"/>
  <c r="G10" i="4"/>
  <c r="R10" i="4" s="1"/>
  <c r="J10" i="4"/>
  <c r="U10" i="4" s="1"/>
  <c r="H10" i="4"/>
  <c r="S10" i="4" s="1"/>
  <c r="K10" i="4"/>
  <c r="V10" i="4" s="1"/>
  <c r="J6" i="4"/>
  <c r="U6" i="4" s="1"/>
  <c r="O6" i="4"/>
  <c r="Z6" i="4" s="1"/>
  <c r="I6" i="4"/>
  <c r="T6" i="4" s="1"/>
  <c r="H6" i="4"/>
  <c r="S6" i="4" s="1"/>
  <c r="G6" i="4"/>
  <c r="R6" i="4" s="1"/>
  <c r="K6" i="4"/>
  <c r="V6" i="4" s="1"/>
  <c r="N6" i="4"/>
  <c r="Y6" i="4" s="1"/>
  <c r="M6" i="4"/>
  <c r="X6" i="4" s="1"/>
  <c r="L6" i="4"/>
  <c r="W6" i="4" s="1"/>
  <c r="F6" i="4"/>
  <c r="Q6" i="4" s="1"/>
  <c r="N116" i="4"/>
  <c r="Y116" i="4" s="1"/>
  <c r="F116" i="4"/>
  <c r="Q116" i="4" s="1"/>
  <c r="M116" i="4"/>
  <c r="X116" i="4" s="1"/>
  <c r="L116" i="4"/>
  <c r="W116" i="4" s="1"/>
  <c r="O116" i="4"/>
  <c r="Z116" i="4" s="1"/>
  <c r="G116" i="4"/>
  <c r="R116" i="4" s="1"/>
  <c r="I116" i="4"/>
  <c r="T116" i="4" s="1"/>
  <c r="H116" i="4"/>
  <c r="S116" i="4" s="1"/>
  <c r="K116" i="4"/>
  <c r="V116" i="4" s="1"/>
  <c r="J116" i="4"/>
  <c r="U116" i="4" s="1"/>
  <c r="M3" i="4"/>
  <c r="X3" i="4" s="1"/>
  <c r="J3" i="4"/>
  <c r="U3" i="4" s="1"/>
  <c r="L3" i="4"/>
  <c r="W3" i="4" s="1"/>
  <c r="K3" i="4"/>
  <c r="V3" i="4" s="1"/>
  <c r="N3" i="4"/>
  <c r="Y3" i="4" s="1"/>
  <c r="F3" i="4"/>
  <c r="Q3" i="4" s="1"/>
  <c r="O3" i="4"/>
  <c r="Z3" i="4" s="1"/>
  <c r="I3" i="4"/>
  <c r="T3" i="4" s="1"/>
  <c r="G3" i="4"/>
  <c r="R3" i="4" s="1"/>
  <c r="H3" i="4"/>
  <c r="S3" i="4" s="1"/>
  <c r="H141" i="4"/>
  <c r="S141" i="4" s="1"/>
  <c r="O141" i="4"/>
  <c r="Z141" i="4" s="1"/>
  <c r="G141" i="4"/>
  <c r="R141" i="4" s="1"/>
  <c r="N141" i="4"/>
  <c r="Y141" i="4" s="1"/>
  <c r="F141" i="4"/>
  <c r="Q141" i="4" s="1"/>
  <c r="I141" i="4"/>
  <c r="T141" i="4" s="1"/>
  <c r="M141" i="4"/>
  <c r="X141" i="4" s="1"/>
  <c r="L141" i="4"/>
  <c r="W141" i="4" s="1"/>
  <c r="K141" i="4"/>
  <c r="V141" i="4" s="1"/>
  <c r="J141" i="4"/>
  <c r="U141" i="4" s="1"/>
  <c r="N135" i="4"/>
  <c r="Y135" i="4" s="1"/>
  <c r="F135" i="4"/>
  <c r="Q135" i="4" s="1"/>
  <c r="M135" i="4"/>
  <c r="X135" i="4" s="1"/>
  <c r="L135" i="4"/>
  <c r="W135" i="4" s="1"/>
  <c r="O135" i="4"/>
  <c r="Z135" i="4" s="1"/>
  <c r="K135" i="4"/>
  <c r="V135" i="4" s="1"/>
  <c r="J135" i="4"/>
  <c r="U135" i="4" s="1"/>
  <c r="I135" i="4"/>
  <c r="T135" i="4" s="1"/>
  <c r="H135" i="4"/>
  <c r="S135" i="4" s="1"/>
  <c r="G135" i="4"/>
  <c r="R135" i="4" s="1"/>
  <c r="H27" i="4"/>
  <c r="S27" i="4" s="1"/>
  <c r="O27" i="4"/>
  <c r="Z27" i="4" s="1"/>
  <c r="G27" i="4"/>
  <c r="R27" i="4" s="1"/>
  <c r="N27" i="4"/>
  <c r="Y27" i="4" s="1"/>
  <c r="F27" i="4"/>
  <c r="Q27" i="4" s="1"/>
  <c r="M27" i="4"/>
  <c r="X27" i="4" s="1"/>
  <c r="L27" i="4"/>
  <c r="W27" i="4" s="1"/>
  <c r="I27" i="4"/>
  <c r="T27" i="4" s="1"/>
  <c r="K27" i="4"/>
  <c r="V27" i="4" s="1"/>
  <c r="J27" i="4"/>
  <c r="U27" i="4" s="1"/>
  <c r="H51" i="4"/>
  <c r="S51" i="4" s="1"/>
  <c r="O51" i="4"/>
  <c r="Z51" i="4" s="1"/>
  <c r="G51" i="4"/>
  <c r="R51" i="4" s="1"/>
  <c r="N51" i="4"/>
  <c r="Y51" i="4" s="1"/>
  <c r="F51" i="4"/>
  <c r="Q51" i="4" s="1"/>
  <c r="I51" i="4"/>
  <c r="T51" i="4" s="1"/>
  <c r="M51" i="4"/>
  <c r="X51" i="4" s="1"/>
  <c r="L51" i="4"/>
  <c r="W51" i="4" s="1"/>
  <c r="K51" i="4"/>
  <c r="V51" i="4" s="1"/>
  <c r="J51" i="4"/>
  <c r="U51" i="4" s="1"/>
  <c r="N100" i="4"/>
  <c r="Y100" i="4" s="1"/>
  <c r="F100" i="4"/>
  <c r="Q100" i="4" s="1"/>
  <c r="M100" i="4"/>
  <c r="X100" i="4" s="1"/>
  <c r="G100" i="4"/>
  <c r="R100" i="4" s="1"/>
  <c r="O100" i="4"/>
  <c r="Z100" i="4" s="1"/>
  <c r="L100" i="4"/>
  <c r="W100" i="4" s="1"/>
  <c r="K100" i="4"/>
  <c r="V100" i="4" s="1"/>
  <c r="J100" i="4"/>
  <c r="U100" i="4" s="1"/>
  <c r="I100" i="4"/>
  <c r="T100" i="4" s="1"/>
  <c r="H100" i="4"/>
  <c r="S100" i="4" s="1"/>
  <c r="K32" i="4"/>
  <c r="V32" i="4" s="1"/>
  <c r="J32" i="4"/>
  <c r="U32" i="4" s="1"/>
  <c r="I32" i="4"/>
  <c r="T32" i="4" s="1"/>
  <c r="H32" i="4"/>
  <c r="S32" i="4" s="1"/>
  <c r="G32" i="4"/>
  <c r="R32" i="4" s="1"/>
  <c r="F32" i="4"/>
  <c r="Q32" i="4" s="1"/>
  <c r="O32" i="4"/>
  <c r="Z32" i="4" s="1"/>
  <c r="M32" i="4"/>
  <c r="X32" i="4" s="1"/>
  <c r="L32" i="4"/>
  <c r="W32" i="4" s="1"/>
  <c r="N32" i="4"/>
  <c r="Y32" i="4" s="1"/>
  <c r="O44" i="4"/>
  <c r="Z44" i="4" s="1"/>
  <c r="G44" i="4"/>
  <c r="R44" i="4" s="1"/>
  <c r="N44" i="4"/>
  <c r="Y44" i="4" s="1"/>
  <c r="F44" i="4"/>
  <c r="Q44" i="4" s="1"/>
  <c r="M44" i="4"/>
  <c r="X44" i="4" s="1"/>
  <c r="H44" i="4"/>
  <c r="S44" i="4" s="1"/>
  <c r="L44" i="4"/>
  <c r="W44" i="4" s="1"/>
  <c r="K44" i="4"/>
  <c r="V44" i="4" s="1"/>
  <c r="J44" i="4"/>
  <c r="U44" i="4" s="1"/>
  <c r="I44" i="4"/>
  <c r="T44" i="4" s="1"/>
  <c r="N13" i="4"/>
  <c r="Y13" i="4" s="1"/>
  <c r="F13" i="4"/>
  <c r="Q13" i="4" s="1"/>
  <c r="M13" i="4"/>
  <c r="X13" i="4" s="1"/>
  <c r="J13" i="4"/>
  <c r="U13" i="4" s="1"/>
  <c r="L13" i="4"/>
  <c r="W13" i="4" s="1"/>
  <c r="K13" i="4"/>
  <c r="V13" i="4" s="1"/>
  <c r="O13" i="4"/>
  <c r="Z13" i="4" s="1"/>
  <c r="H13" i="4"/>
  <c r="S13" i="4" s="1"/>
  <c r="G13" i="4"/>
  <c r="R13" i="4" s="1"/>
  <c r="I13" i="4"/>
  <c r="T13" i="4" s="1"/>
  <c r="L39" i="4"/>
  <c r="W39" i="4" s="1"/>
  <c r="K39" i="4"/>
  <c r="V39" i="4" s="1"/>
  <c r="J39" i="4"/>
  <c r="U39" i="4" s="1"/>
  <c r="N39" i="4"/>
  <c r="Y39" i="4" s="1"/>
  <c r="M39" i="4"/>
  <c r="X39" i="4" s="1"/>
  <c r="I39" i="4"/>
  <c r="T39" i="4" s="1"/>
  <c r="H39" i="4"/>
  <c r="S39" i="4" s="1"/>
  <c r="G39" i="4"/>
  <c r="R39" i="4" s="1"/>
  <c r="F39" i="4"/>
  <c r="Q39" i="4" s="1"/>
  <c r="O39" i="4"/>
  <c r="Z39" i="4" s="1"/>
  <c r="L145" i="4"/>
  <c r="W145" i="4" s="1"/>
  <c r="K145" i="4"/>
  <c r="V145" i="4" s="1"/>
  <c r="J145" i="4"/>
  <c r="U145" i="4" s="1"/>
  <c r="M145" i="4"/>
  <c r="X145" i="4" s="1"/>
  <c r="I145" i="4"/>
  <c r="T145" i="4" s="1"/>
  <c r="H145" i="4"/>
  <c r="S145" i="4" s="1"/>
  <c r="G145" i="4"/>
  <c r="R145" i="4" s="1"/>
  <c r="O145" i="4"/>
  <c r="Z145" i="4" s="1"/>
  <c r="N145" i="4"/>
  <c r="Y145" i="4" s="1"/>
  <c r="F145" i="4"/>
  <c r="Q145" i="4" s="1"/>
  <c r="M38" i="4"/>
  <c r="X38" i="4" s="1"/>
  <c r="L38" i="4"/>
  <c r="W38" i="4" s="1"/>
  <c r="K38" i="4"/>
  <c r="V38" i="4" s="1"/>
  <c r="N38" i="4"/>
  <c r="Y38" i="4" s="1"/>
  <c r="J38" i="4"/>
  <c r="U38" i="4" s="1"/>
  <c r="I38" i="4"/>
  <c r="T38" i="4" s="1"/>
  <c r="H38" i="4"/>
  <c r="S38" i="4" s="1"/>
  <c r="G38" i="4"/>
  <c r="R38" i="4" s="1"/>
  <c r="F38" i="4"/>
  <c r="Q38" i="4" s="1"/>
  <c r="O38" i="4"/>
  <c r="Z38" i="4" s="1"/>
  <c r="O9" i="4"/>
  <c r="Z9" i="4" s="1"/>
  <c r="G9" i="4"/>
  <c r="R9" i="4" s="1"/>
  <c r="N9" i="4"/>
  <c r="Y9" i="4" s="1"/>
  <c r="F9" i="4"/>
  <c r="Q9" i="4" s="1"/>
  <c r="L9" i="4"/>
  <c r="W9" i="4" s="1"/>
  <c r="M9" i="4"/>
  <c r="X9" i="4" s="1"/>
  <c r="H9" i="4"/>
  <c r="S9" i="4" s="1"/>
  <c r="K9" i="4"/>
  <c r="V9" i="4" s="1"/>
  <c r="J9" i="4"/>
  <c r="U9" i="4" s="1"/>
  <c r="I9" i="4"/>
  <c r="T9" i="4" s="1"/>
  <c r="H106" i="4"/>
  <c r="S106" i="4" s="1"/>
  <c r="O106" i="4"/>
  <c r="Z106" i="4" s="1"/>
  <c r="G106" i="4"/>
  <c r="R106" i="4" s="1"/>
  <c r="N106" i="4"/>
  <c r="Y106" i="4" s="1"/>
  <c r="F106" i="4"/>
  <c r="Q106" i="4" s="1"/>
  <c r="M106" i="4"/>
  <c r="X106" i="4" s="1"/>
  <c r="L106" i="4"/>
  <c r="W106" i="4" s="1"/>
  <c r="K106" i="4"/>
  <c r="V106" i="4" s="1"/>
  <c r="J106" i="4"/>
  <c r="U106" i="4" s="1"/>
  <c r="I106" i="4"/>
  <c r="T106" i="4" s="1"/>
  <c r="J82" i="4"/>
  <c r="U82" i="4" s="1"/>
  <c r="I82" i="4"/>
  <c r="T82" i="4" s="1"/>
  <c r="G82" i="4"/>
  <c r="R82" i="4" s="1"/>
  <c r="F82" i="4"/>
  <c r="Q82" i="4" s="1"/>
  <c r="O82" i="4"/>
  <c r="Z82" i="4" s="1"/>
  <c r="N82" i="4"/>
  <c r="Y82" i="4" s="1"/>
  <c r="M82" i="4"/>
  <c r="X82" i="4" s="1"/>
  <c r="L82" i="4"/>
  <c r="W82" i="4" s="1"/>
  <c r="K82" i="4"/>
  <c r="V82" i="4" s="1"/>
  <c r="H82" i="4"/>
  <c r="S82" i="4" s="1"/>
  <c r="H84" i="4"/>
  <c r="S84" i="4" s="1"/>
  <c r="O84" i="4"/>
  <c r="Z84" i="4" s="1"/>
  <c r="G84" i="4"/>
  <c r="R84" i="4" s="1"/>
  <c r="K84" i="4"/>
  <c r="V84" i="4" s="1"/>
  <c r="J84" i="4"/>
  <c r="U84" i="4" s="1"/>
  <c r="I84" i="4"/>
  <c r="T84" i="4" s="1"/>
  <c r="F84" i="4"/>
  <c r="Q84" i="4" s="1"/>
  <c r="N84" i="4"/>
  <c r="Y84" i="4" s="1"/>
  <c r="M84" i="4"/>
  <c r="X84" i="4" s="1"/>
  <c r="L84" i="4"/>
  <c r="W84" i="4" s="1"/>
  <c r="N61" i="4"/>
  <c r="Y61" i="4" s="1"/>
  <c r="F61" i="4"/>
  <c r="Q61" i="4" s="1"/>
  <c r="M61" i="4"/>
  <c r="X61" i="4" s="1"/>
  <c r="L61" i="4"/>
  <c r="W61" i="4" s="1"/>
  <c r="O61" i="4"/>
  <c r="Z61" i="4" s="1"/>
  <c r="G61" i="4"/>
  <c r="R61" i="4" s="1"/>
  <c r="K61" i="4"/>
  <c r="V61" i="4" s="1"/>
  <c r="J61" i="4"/>
  <c r="U61" i="4" s="1"/>
  <c r="I61" i="4"/>
  <c r="T61" i="4" s="1"/>
  <c r="H61" i="4"/>
  <c r="S61" i="4" s="1"/>
  <c r="O36" i="4"/>
  <c r="Z36" i="4" s="1"/>
  <c r="G36" i="4"/>
  <c r="R36" i="4" s="1"/>
  <c r="N36" i="4"/>
  <c r="Y36" i="4" s="1"/>
  <c r="F36" i="4"/>
  <c r="Q36" i="4" s="1"/>
  <c r="M36" i="4"/>
  <c r="X36" i="4" s="1"/>
  <c r="K36" i="4"/>
  <c r="V36" i="4" s="1"/>
  <c r="J36" i="4"/>
  <c r="U36" i="4" s="1"/>
  <c r="I36" i="4"/>
  <c r="T36" i="4" s="1"/>
  <c r="H36" i="4"/>
  <c r="S36" i="4" s="1"/>
  <c r="L36" i="4"/>
  <c r="W36" i="4" s="1"/>
  <c r="L63" i="4"/>
  <c r="W63" i="4" s="1"/>
  <c r="K63" i="4"/>
  <c r="V63" i="4" s="1"/>
  <c r="J63" i="4"/>
  <c r="U63" i="4" s="1"/>
  <c r="M63" i="4"/>
  <c r="X63" i="4" s="1"/>
  <c r="I63" i="4"/>
  <c r="T63" i="4" s="1"/>
  <c r="H63" i="4"/>
  <c r="S63" i="4" s="1"/>
  <c r="G63" i="4"/>
  <c r="R63" i="4" s="1"/>
  <c r="F63" i="4"/>
  <c r="Q63" i="4" s="1"/>
  <c r="O63" i="4"/>
  <c r="Z63" i="4" s="1"/>
  <c r="N63" i="4"/>
  <c r="Y63" i="4" s="1"/>
  <c r="H43" i="4"/>
  <c r="S43" i="4" s="1"/>
  <c r="O43" i="4"/>
  <c r="Z43" i="4" s="1"/>
  <c r="G43" i="4"/>
  <c r="R43" i="4" s="1"/>
  <c r="N43" i="4"/>
  <c r="Y43" i="4" s="1"/>
  <c r="F43" i="4"/>
  <c r="Q43" i="4" s="1"/>
  <c r="M43" i="4"/>
  <c r="X43" i="4" s="1"/>
  <c r="L43" i="4"/>
  <c r="W43" i="4" s="1"/>
  <c r="K43" i="4"/>
  <c r="V43" i="4" s="1"/>
  <c r="J43" i="4"/>
  <c r="U43" i="4" s="1"/>
  <c r="I43" i="4"/>
  <c r="T43" i="4" s="1"/>
  <c r="N21" i="4"/>
  <c r="Y21" i="4" s="1"/>
  <c r="F21" i="4"/>
  <c r="Q21" i="4" s="1"/>
  <c r="M21" i="4"/>
  <c r="X21" i="4" s="1"/>
  <c r="L21" i="4"/>
  <c r="W21" i="4" s="1"/>
  <c r="O21" i="4"/>
  <c r="Z21" i="4" s="1"/>
  <c r="K21" i="4"/>
  <c r="V21" i="4" s="1"/>
  <c r="J21" i="4"/>
  <c r="U21" i="4" s="1"/>
  <c r="I21" i="4"/>
  <c r="T21" i="4" s="1"/>
  <c r="H21" i="4"/>
  <c r="S21" i="4" s="1"/>
  <c r="G21" i="4"/>
  <c r="R21" i="4" s="1"/>
  <c r="K40" i="4"/>
  <c r="V40" i="4" s="1"/>
  <c r="J40" i="4"/>
  <c r="U40" i="4" s="1"/>
  <c r="I40" i="4"/>
  <c r="T40" i="4" s="1"/>
  <c r="N40" i="4"/>
  <c r="Y40" i="4" s="1"/>
  <c r="M40" i="4"/>
  <c r="X40" i="4" s="1"/>
  <c r="L40" i="4"/>
  <c r="W40" i="4" s="1"/>
  <c r="H40" i="4"/>
  <c r="S40" i="4" s="1"/>
  <c r="G40" i="4"/>
  <c r="R40" i="4" s="1"/>
  <c r="F40" i="4"/>
  <c r="Q40" i="4" s="1"/>
  <c r="O40" i="4"/>
  <c r="Z40" i="4" s="1"/>
  <c r="J96" i="4"/>
  <c r="U96" i="4" s="1"/>
  <c r="L96" i="4"/>
  <c r="W96" i="4" s="1"/>
  <c r="K96" i="4"/>
  <c r="V96" i="4" s="1"/>
  <c r="I96" i="4"/>
  <c r="T96" i="4" s="1"/>
  <c r="H96" i="4"/>
  <c r="S96" i="4" s="1"/>
  <c r="N96" i="4"/>
  <c r="Y96" i="4" s="1"/>
  <c r="M96" i="4"/>
  <c r="X96" i="4" s="1"/>
  <c r="G96" i="4"/>
  <c r="R96" i="4" s="1"/>
  <c r="F96" i="4"/>
  <c r="Q96" i="4" s="1"/>
  <c r="O96" i="4"/>
  <c r="Z96" i="4" s="1"/>
  <c r="J120" i="4"/>
  <c r="U120" i="4" s="1"/>
  <c r="I120" i="4"/>
  <c r="T120" i="4" s="1"/>
  <c r="H120" i="4"/>
  <c r="S120" i="4" s="1"/>
  <c r="K120" i="4"/>
  <c r="V120" i="4" s="1"/>
  <c r="O120" i="4"/>
  <c r="Z120" i="4" s="1"/>
  <c r="N120" i="4"/>
  <c r="Y120" i="4" s="1"/>
  <c r="G120" i="4"/>
  <c r="R120" i="4" s="1"/>
  <c r="F120" i="4"/>
  <c r="Q120" i="4" s="1"/>
  <c r="M120" i="4"/>
  <c r="X120" i="4" s="1"/>
  <c r="L120" i="4"/>
  <c r="W120" i="4" s="1"/>
  <c r="M54" i="4"/>
  <c r="X54" i="4" s="1"/>
  <c r="L54" i="4"/>
  <c r="W54" i="4" s="1"/>
  <c r="K54" i="4"/>
  <c r="V54" i="4" s="1"/>
  <c r="N54" i="4"/>
  <c r="Y54" i="4" s="1"/>
  <c r="F54" i="4"/>
  <c r="Q54" i="4" s="1"/>
  <c r="J54" i="4"/>
  <c r="U54" i="4" s="1"/>
  <c r="I54" i="4"/>
  <c r="T54" i="4" s="1"/>
  <c r="H54" i="4"/>
  <c r="S54" i="4" s="1"/>
  <c r="G54" i="4"/>
  <c r="R54" i="4" s="1"/>
  <c r="O54" i="4"/>
  <c r="Z54" i="4" s="1"/>
  <c r="J139" i="4"/>
  <c r="U139" i="4" s="1"/>
  <c r="I139" i="4"/>
  <c r="T139" i="4" s="1"/>
  <c r="H139" i="4"/>
  <c r="S139" i="4" s="1"/>
  <c r="O139" i="4"/>
  <c r="Z139" i="4" s="1"/>
  <c r="N139" i="4"/>
  <c r="Y139" i="4" s="1"/>
  <c r="M139" i="4"/>
  <c r="X139" i="4" s="1"/>
  <c r="G139" i="4"/>
  <c r="R139" i="4" s="1"/>
  <c r="K139" i="4"/>
  <c r="V139" i="4" s="1"/>
  <c r="F139" i="4"/>
  <c r="Q139" i="4" s="1"/>
  <c r="L139" i="4"/>
  <c r="W139" i="4" s="1"/>
  <c r="H59" i="4"/>
  <c r="S59" i="4" s="1"/>
  <c r="O59" i="4"/>
  <c r="Z59" i="4" s="1"/>
  <c r="G59" i="4"/>
  <c r="R59" i="4" s="1"/>
  <c r="N59" i="4"/>
  <c r="Y59" i="4" s="1"/>
  <c r="F59" i="4"/>
  <c r="Q59" i="4" s="1"/>
  <c r="I59" i="4"/>
  <c r="T59" i="4" s="1"/>
  <c r="M59" i="4"/>
  <c r="X59" i="4" s="1"/>
  <c r="L59" i="4"/>
  <c r="W59" i="4" s="1"/>
  <c r="K59" i="4"/>
  <c r="V59" i="4" s="1"/>
  <c r="J59" i="4"/>
  <c r="U59" i="4" s="1"/>
  <c r="O126" i="4"/>
  <c r="Z126" i="4" s="1"/>
  <c r="G126" i="4"/>
  <c r="R126" i="4" s="1"/>
  <c r="N126" i="4"/>
  <c r="Y126" i="4" s="1"/>
  <c r="F126" i="4"/>
  <c r="Q126" i="4" s="1"/>
  <c r="M126" i="4"/>
  <c r="X126" i="4" s="1"/>
  <c r="I126" i="4"/>
  <c r="T126" i="4" s="1"/>
  <c r="H126" i="4"/>
  <c r="S126" i="4" s="1"/>
  <c r="J126" i="4"/>
  <c r="U126" i="4" s="1"/>
  <c r="L126" i="4"/>
  <c r="W126" i="4" s="1"/>
  <c r="K126" i="4"/>
  <c r="V126" i="4" s="1"/>
  <c r="N29" i="4"/>
  <c r="Y29" i="4" s="1"/>
  <c r="F29" i="4"/>
  <c r="Q29" i="4" s="1"/>
  <c r="M29" i="4"/>
  <c r="X29" i="4" s="1"/>
  <c r="L29" i="4"/>
  <c r="W29" i="4" s="1"/>
  <c r="H29" i="4"/>
  <c r="S29" i="4" s="1"/>
  <c r="G29" i="4"/>
  <c r="R29" i="4" s="1"/>
  <c r="O29" i="4"/>
  <c r="Z29" i="4" s="1"/>
  <c r="J29" i="4"/>
  <c r="U29" i="4" s="1"/>
  <c r="I29" i="4"/>
  <c r="T29" i="4" s="1"/>
  <c r="K29" i="4"/>
  <c r="V29" i="4" s="1"/>
  <c r="N53" i="4"/>
  <c r="Y53" i="4" s="1"/>
  <c r="F53" i="4"/>
  <c r="Q53" i="4" s="1"/>
  <c r="M53" i="4"/>
  <c r="X53" i="4" s="1"/>
  <c r="L53" i="4"/>
  <c r="W53" i="4" s="1"/>
  <c r="O53" i="4"/>
  <c r="Z53" i="4" s="1"/>
  <c r="G53" i="4"/>
  <c r="R53" i="4" s="1"/>
  <c r="K53" i="4"/>
  <c r="V53" i="4" s="1"/>
  <c r="J53" i="4"/>
  <c r="U53" i="4" s="1"/>
  <c r="I53" i="4"/>
  <c r="T53" i="4" s="1"/>
  <c r="H53" i="4"/>
  <c r="S53" i="4" s="1"/>
  <c r="I156" i="4"/>
  <c r="T156" i="4" s="1"/>
  <c r="H156" i="4"/>
  <c r="S156" i="4" s="1"/>
  <c r="O156" i="4"/>
  <c r="Z156" i="4" s="1"/>
  <c r="G156" i="4"/>
  <c r="R156" i="4" s="1"/>
  <c r="J156" i="4"/>
  <c r="U156" i="4" s="1"/>
  <c r="F156" i="4"/>
  <c r="Q156" i="4" s="1"/>
  <c r="N156" i="4"/>
  <c r="Y156" i="4" s="1"/>
  <c r="M156" i="4"/>
  <c r="X156" i="4" s="1"/>
  <c r="L156" i="4"/>
  <c r="W156" i="4" s="1"/>
  <c r="K156" i="4"/>
  <c r="V156" i="4" s="1"/>
  <c r="I97" i="4"/>
  <c r="T97" i="4" s="1"/>
  <c r="H97" i="4"/>
  <c r="S97" i="4" s="1"/>
  <c r="F97" i="4"/>
  <c r="Q97" i="4" s="1"/>
  <c r="O97" i="4"/>
  <c r="Z97" i="4" s="1"/>
  <c r="N97" i="4"/>
  <c r="Y97" i="4" s="1"/>
  <c r="M97" i="4"/>
  <c r="X97" i="4" s="1"/>
  <c r="J97" i="4"/>
  <c r="U97" i="4" s="1"/>
  <c r="G97" i="4"/>
  <c r="R97" i="4" s="1"/>
  <c r="L97" i="4"/>
  <c r="W97" i="4" s="1"/>
  <c r="K97" i="4"/>
  <c r="V97" i="4" s="1"/>
  <c r="N78" i="4"/>
  <c r="Y78" i="4" s="1"/>
  <c r="F78" i="4"/>
  <c r="Q78" i="4" s="1"/>
  <c r="M78" i="4"/>
  <c r="X78" i="4" s="1"/>
  <c r="K78" i="4"/>
  <c r="V78" i="4" s="1"/>
  <c r="J78" i="4"/>
  <c r="U78" i="4" s="1"/>
  <c r="I78" i="4"/>
  <c r="T78" i="4" s="1"/>
  <c r="H78" i="4"/>
  <c r="S78" i="4" s="1"/>
  <c r="G78" i="4"/>
  <c r="R78" i="4" s="1"/>
  <c r="O78" i="4"/>
  <c r="Z78" i="4" s="1"/>
  <c r="L78" i="4"/>
  <c r="W78" i="4" s="1"/>
  <c r="H157" i="4"/>
  <c r="S157" i="4" s="1"/>
  <c r="O157" i="4"/>
  <c r="Z157" i="4" s="1"/>
  <c r="G157" i="4"/>
  <c r="R157" i="4" s="1"/>
  <c r="N157" i="4"/>
  <c r="Y157" i="4" s="1"/>
  <c r="F157" i="4"/>
  <c r="Q157" i="4" s="1"/>
  <c r="I157" i="4"/>
  <c r="T157" i="4" s="1"/>
  <c r="M157" i="4"/>
  <c r="X157" i="4" s="1"/>
  <c r="L157" i="4"/>
  <c r="W157" i="4" s="1"/>
  <c r="K157" i="4"/>
  <c r="V157" i="4" s="1"/>
  <c r="J157" i="4"/>
  <c r="U157" i="4" s="1"/>
  <c r="M93" i="4"/>
  <c r="X93" i="4" s="1"/>
  <c r="N93" i="4"/>
  <c r="Y93" i="4" s="1"/>
  <c r="L93" i="4"/>
  <c r="W93" i="4" s="1"/>
  <c r="K93" i="4"/>
  <c r="V93" i="4" s="1"/>
  <c r="J93" i="4"/>
  <c r="U93" i="4" s="1"/>
  <c r="O93" i="4"/>
  <c r="Z93" i="4" s="1"/>
  <c r="I93" i="4"/>
  <c r="T93" i="4" s="1"/>
  <c r="H93" i="4"/>
  <c r="S93" i="4" s="1"/>
  <c r="G93" i="4"/>
  <c r="R93" i="4" s="1"/>
  <c r="F93" i="4"/>
  <c r="Q93" i="4" s="1"/>
  <c r="L31" i="4"/>
  <c r="W31" i="4" s="1"/>
  <c r="K31" i="4"/>
  <c r="V31" i="4" s="1"/>
  <c r="J31" i="4"/>
  <c r="U31" i="4" s="1"/>
  <c r="H31" i="4"/>
  <c r="S31" i="4" s="1"/>
  <c r="G31" i="4"/>
  <c r="R31" i="4" s="1"/>
  <c r="F31" i="4"/>
  <c r="Q31" i="4" s="1"/>
  <c r="O31" i="4"/>
  <c r="Z31" i="4" s="1"/>
  <c r="M31" i="4"/>
  <c r="X31" i="4" s="1"/>
  <c r="I31" i="4"/>
  <c r="T31" i="4" s="1"/>
  <c r="N31" i="4"/>
  <c r="Y31" i="4" s="1"/>
  <c r="M87" i="4"/>
  <c r="X87" i="4" s="1"/>
  <c r="L87" i="4"/>
  <c r="W87" i="4" s="1"/>
  <c r="K87" i="4"/>
  <c r="V87" i="4" s="1"/>
  <c r="N87" i="4"/>
  <c r="Y87" i="4" s="1"/>
  <c r="J87" i="4"/>
  <c r="U87" i="4" s="1"/>
  <c r="I87" i="4"/>
  <c r="T87" i="4" s="1"/>
  <c r="H87" i="4"/>
  <c r="S87" i="4" s="1"/>
  <c r="G87" i="4"/>
  <c r="R87" i="4" s="1"/>
  <c r="F87" i="4"/>
  <c r="Q87" i="4" s="1"/>
  <c r="O87" i="4"/>
  <c r="Z87" i="4" s="1"/>
  <c r="M117" i="4"/>
  <c r="X117" i="4" s="1"/>
  <c r="L117" i="4"/>
  <c r="W117" i="4" s="1"/>
  <c r="K117" i="4"/>
  <c r="V117" i="4" s="1"/>
  <c r="N117" i="4"/>
  <c r="Y117" i="4" s="1"/>
  <c r="F117" i="4"/>
  <c r="Q117" i="4" s="1"/>
  <c r="O117" i="4"/>
  <c r="Z117" i="4" s="1"/>
  <c r="J117" i="4"/>
  <c r="U117" i="4" s="1"/>
  <c r="I117" i="4"/>
  <c r="T117" i="4" s="1"/>
  <c r="H117" i="4"/>
  <c r="S117" i="4" s="1"/>
  <c r="G117" i="4"/>
  <c r="R117" i="4" s="1"/>
  <c r="M22" i="4"/>
  <c r="X22" i="4" s="1"/>
  <c r="L22" i="4"/>
  <c r="W22" i="4" s="1"/>
  <c r="K22" i="4"/>
  <c r="V22" i="4" s="1"/>
  <c r="J22" i="4"/>
  <c r="U22" i="4" s="1"/>
  <c r="O22" i="4"/>
  <c r="Z22" i="4" s="1"/>
  <c r="N22" i="4"/>
  <c r="Y22" i="4" s="1"/>
  <c r="F22" i="4"/>
  <c r="Q22" i="4" s="1"/>
  <c r="I22" i="4"/>
  <c r="T22" i="4" s="1"/>
  <c r="H22" i="4"/>
  <c r="S22" i="4" s="1"/>
  <c r="G22" i="4"/>
  <c r="R22" i="4" s="1"/>
  <c r="J49" i="4"/>
  <c r="U49" i="4" s="1"/>
  <c r="I49" i="4"/>
  <c r="T49" i="4" s="1"/>
  <c r="H49" i="4"/>
  <c r="S49" i="4" s="1"/>
  <c r="K49" i="4"/>
  <c r="V49" i="4" s="1"/>
  <c r="G49" i="4"/>
  <c r="R49" i="4" s="1"/>
  <c r="F49" i="4"/>
  <c r="Q49" i="4" s="1"/>
  <c r="O49" i="4"/>
  <c r="Z49" i="4" s="1"/>
  <c r="N49" i="4"/>
  <c r="Y49" i="4" s="1"/>
  <c r="M49" i="4"/>
  <c r="X49" i="4" s="1"/>
  <c r="L49" i="4"/>
  <c r="W49" i="4" s="1"/>
  <c r="J131" i="4"/>
  <c r="U131" i="4" s="1"/>
  <c r="I131" i="4"/>
  <c r="T131" i="4" s="1"/>
  <c r="H131" i="4"/>
  <c r="S131" i="4" s="1"/>
  <c r="L131" i="4"/>
  <c r="W131" i="4" s="1"/>
  <c r="K131" i="4"/>
  <c r="V131" i="4" s="1"/>
  <c r="G131" i="4"/>
  <c r="R131" i="4" s="1"/>
  <c r="M131" i="4"/>
  <c r="X131" i="4" s="1"/>
  <c r="O131" i="4"/>
  <c r="Z131" i="4" s="1"/>
  <c r="N131" i="4"/>
  <c r="Y131" i="4" s="1"/>
  <c r="F131" i="4"/>
  <c r="Q131" i="4" s="1"/>
  <c r="I42" i="4"/>
  <c r="T42" i="4" s="1"/>
  <c r="H42" i="4"/>
  <c r="S42" i="4" s="1"/>
  <c r="O42" i="4"/>
  <c r="Z42" i="4" s="1"/>
  <c r="G42" i="4"/>
  <c r="R42" i="4" s="1"/>
  <c r="N42" i="4"/>
  <c r="Y42" i="4" s="1"/>
  <c r="M42" i="4"/>
  <c r="X42" i="4" s="1"/>
  <c r="L42" i="4"/>
  <c r="W42" i="4" s="1"/>
  <c r="K42" i="4"/>
  <c r="V42" i="4" s="1"/>
  <c r="J42" i="4"/>
  <c r="U42" i="4" s="1"/>
  <c r="F42" i="4"/>
  <c r="Q42" i="4" s="1"/>
  <c r="O142" i="4"/>
  <c r="Z142" i="4" s="1"/>
  <c r="G142" i="4"/>
  <c r="R142" i="4" s="1"/>
  <c r="N142" i="4"/>
  <c r="Y142" i="4" s="1"/>
  <c r="F142" i="4"/>
  <c r="Q142" i="4" s="1"/>
  <c r="M142" i="4"/>
  <c r="X142" i="4" s="1"/>
  <c r="H142" i="4"/>
  <c r="S142" i="4" s="1"/>
  <c r="L142" i="4"/>
  <c r="W142" i="4" s="1"/>
  <c r="K142" i="4"/>
  <c r="V142" i="4" s="1"/>
  <c r="I142" i="4"/>
  <c r="T142" i="4" s="1"/>
  <c r="J142" i="4"/>
  <c r="U142" i="4" s="1"/>
  <c r="I18" i="4"/>
  <c r="T18" i="4" s="1"/>
  <c r="G18" i="4"/>
  <c r="R18" i="4" s="1"/>
  <c r="M18" i="4"/>
  <c r="X18" i="4" s="1"/>
  <c r="O18" i="4"/>
  <c r="Z18" i="4" s="1"/>
  <c r="F18" i="4"/>
  <c r="Q18" i="4" s="1"/>
  <c r="N18" i="4"/>
  <c r="Y18" i="4" s="1"/>
  <c r="H18" i="4"/>
  <c r="S18" i="4" s="1"/>
  <c r="L18" i="4"/>
  <c r="W18" i="4" s="1"/>
  <c r="K18" i="4"/>
  <c r="V18" i="4" s="1"/>
  <c r="J18" i="4"/>
  <c r="U18" i="4" s="1"/>
  <c r="N127" i="4"/>
  <c r="Y127" i="4" s="1"/>
  <c r="F127" i="4"/>
  <c r="Q127" i="4" s="1"/>
  <c r="M127" i="4"/>
  <c r="X127" i="4" s="1"/>
  <c r="L127" i="4"/>
  <c r="W127" i="4" s="1"/>
  <c r="I127" i="4"/>
  <c r="T127" i="4" s="1"/>
  <c r="H127" i="4"/>
  <c r="S127" i="4" s="1"/>
  <c r="G127" i="4"/>
  <c r="R127" i="4" s="1"/>
  <c r="J127" i="4"/>
  <c r="U127" i="4" s="1"/>
  <c r="O127" i="4"/>
  <c r="Z127" i="4" s="1"/>
  <c r="K127" i="4"/>
  <c r="V127" i="4" s="1"/>
  <c r="L47" i="4"/>
  <c r="W47" i="4" s="1"/>
  <c r="K47" i="4"/>
  <c r="V47" i="4" s="1"/>
  <c r="J47" i="4"/>
  <c r="U47" i="4" s="1"/>
  <c r="M47" i="4"/>
  <c r="X47" i="4" s="1"/>
  <c r="I47" i="4"/>
  <c r="T47" i="4" s="1"/>
  <c r="H47" i="4"/>
  <c r="S47" i="4" s="1"/>
  <c r="G47" i="4"/>
  <c r="R47" i="4" s="1"/>
  <c r="F47" i="4"/>
  <c r="Q47" i="4" s="1"/>
  <c r="O47" i="4"/>
  <c r="Z47" i="4" s="1"/>
  <c r="N47" i="4"/>
  <c r="Y47" i="4" s="1"/>
  <c r="N151" i="4"/>
  <c r="Y151" i="4" s="1"/>
  <c r="F151" i="4"/>
  <c r="Q151" i="4" s="1"/>
  <c r="M151" i="4"/>
  <c r="X151" i="4" s="1"/>
  <c r="L151" i="4"/>
  <c r="W151" i="4" s="1"/>
  <c r="O151" i="4"/>
  <c r="Z151" i="4" s="1"/>
  <c r="G151" i="4"/>
  <c r="R151" i="4" s="1"/>
  <c r="K151" i="4"/>
  <c r="V151" i="4" s="1"/>
  <c r="J151" i="4"/>
  <c r="U151" i="4" s="1"/>
  <c r="I151" i="4"/>
  <c r="T151" i="4" s="1"/>
  <c r="H151" i="4"/>
  <c r="S151" i="4" s="1"/>
  <c r="I148" i="4"/>
  <c r="T148" i="4" s="1"/>
  <c r="H148" i="4"/>
  <c r="S148" i="4" s="1"/>
  <c r="O148" i="4"/>
  <c r="Z148" i="4" s="1"/>
  <c r="G148" i="4"/>
  <c r="R148" i="4" s="1"/>
  <c r="J148" i="4"/>
  <c r="U148" i="4" s="1"/>
  <c r="N148" i="4"/>
  <c r="Y148" i="4" s="1"/>
  <c r="M148" i="4"/>
  <c r="X148" i="4" s="1"/>
  <c r="L148" i="4"/>
  <c r="W148" i="4" s="1"/>
  <c r="F148" i="4"/>
  <c r="Q148" i="4" s="1"/>
  <c r="K148" i="4"/>
  <c r="V148" i="4" s="1"/>
  <c r="H8" i="4"/>
  <c r="S8" i="4" s="1"/>
  <c r="M8" i="4"/>
  <c r="X8" i="4" s="1"/>
  <c r="O8" i="4"/>
  <c r="Z8" i="4" s="1"/>
  <c r="G8" i="4"/>
  <c r="R8" i="4" s="1"/>
  <c r="N8" i="4"/>
  <c r="Y8" i="4" s="1"/>
  <c r="F8" i="4"/>
  <c r="Q8" i="4" s="1"/>
  <c r="I8" i="4"/>
  <c r="T8" i="4" s="1"/>
  <c r="J8" i="4"/>
  <c r="U8" i="4" s="1"/>
  <c r="L8" i="4"/>
  <c r="W8" i="4" s="1"/>
  <c r="K8" i="4"/>
  <c r="V8" i="4" s="1"/>
  <c r="H67" i="4"/>
  <c r="S67" i="4" s="1"/>
  <c r="O67" i="4"/>
  <c r="Z67" i="4" s="1"/>
  <c r="G67" i="4"/>
  <c r="R67" i="4" s="1"/>
  <c r="N67" i="4"/>
  <c r="Y67" i="4" s="1"/>
  <c r="F67" i="4"/>
  <c r="Q67" i="4" s="1"/>
  <c r="I67" i="4"/>
  <c r="T67" i="4" s="1"/>
  <c r="M67" i="4"/>
  <c r="X67" i="4" s="1"/>
  <c r="L67" i="4"/>
  <c r="W67" i="4" s="1"/>
  <c r="K67" i="4"/>
  <c r="V67" i="4" s="1"/>
  <c r="J67" i="4"/>
  <c r="U67" i="4" s="1"/>
  <c r="D22" i="5"/>
  <c r="C5" i="5"/>
  <c r="C12" i="5" s="1"/>
  <c r="C22" i="5"/>
  <c r="B5" i="5"/>
  <c r="B12" i="5" s="1"/>
  <c r="B22" i="5"/>
  <c r="D5" i="5"/>
  <c r="F388" i="7"/>
  <c r="B395" i="7" s="1"/>
  <c r="E388" i="7"/>
  <c r="D388" i="7"/>
  <c r="L55" i="4"/>
  <c r="W55" i="4" s="1"/>
  <c r="K55" i="4"/>
  <c r="V55" i="4" s="1"/>
  <c r="J55" i="4"/>
  <c r="U55" i="4" s="1"/>
  <c r="M55" i="4"/>
  <c r="X55" i="4" s="1"/>
  <c r="O55" i="4"/>
  <c r="Z55" i="4" s="1"/>
  <c r="N55" i="4"/>
  <c r="Y55" i="4" s="1"/>
  <c r="I55" i="4"/>
  <c r="T55" i="4" s="1"/>
  <c r="H55" i="4"/>
  <c r="S55" i="4" s="1"/>
  <c r="G55" i="4"/>
  <c r="R55" i="4" s="1"/>
  <c r="F55" i="4"/>
  <c r="Q55" i="4" s="1"/>
  <c r="M109" i="4"/>
  <c r="X109" i="4" s="1"/>
  <c r="L109" i="4"/>
  <c r="W109" i="4" s="1"/>
  <c r="K109" i="4"/>
  <c r="V109" i="4" s="1"/>
  <c r="H109" i="4"/>
  <c r="S109" i="4" s="1"/>
  <c r="G109" i="4"/>
  <c r="R109" i="4" s="1"/>
  <c r="F109" i="4"/>
  <c r="Q109" i="4" s="1"/>
  <c r="O109" i="4"/>
  <c r="Z109" i="4" s="1"/>
  <c r="N109" i="4"/>
  <c r="Y109" i="4" s="1"/>
  <c r="J109" i="4"/>
  <c r="U109" i="4" s="1"/>
  <c r="I109" i="4"/>
  <c r="T109" i="4" s="1"/>
  <c r="L118" i="4"/>
  <c r="W118" i="4" s="1"/>
  <c r="K118" i="4"/>
  <c r="V118" i="4" s="1"/>
  <c r="J118" i="4"/>
  <c r="U118" i="4" s="1"/>
  <c r="M118" i="4"/>
  <c r="X118" i="4" s="1"/>
  <c r="G118" i="4"/>
  <c r="R118" i="4" s="1"/>
  <c r="F118" i="4"/>
  <c r="Q118" i="4" s="1"/>
  <c r="O118" i="4"/>
  <c r="Z118" i="4" s="1"/>
  <c r="N118" i="4"/>
  <c r="Y118" i="4" s="1"/>
  <c r="I118" i="4"/>
  <c r="T118" i="4" s="1"/>
  <c r="H118" i="4"/>
  <c r="S118" i="4" s="1"/>
  <c r="N45" i="4"/>
  <c r="Y45" i="4" s="1"/>
  <c r="F45" i="4"/>
  <c r="Q45" i="4" s="1"/>
  <c r="M45" i="4"/>
  <c r="X45" i="4" s="1"/>
  <c r="L45" i="4"/>
  <c r="W45" i="4" s="1"/>
  <c r="O45" i="4"/>
  <c r="Z45" i="4" s="1"/>
  <c r="G45" i="4"/>
  <c r="R45" i="4" s="1"/>
  <c r="K45" i="4"/>
  <c r="V45" i="4" s="1"/>
  <c r="J45" i="4"/>
  <c r="U45" i="4" s="1"/>
  <c r="I45" i="4"/>
  <c r="T45" i="4" s="1"/>
  <c r="H45" i="4"/>
  <c r="S45" i="4" s="1"/>
  <c r="O115" i="4"/>
  <c r="Z115" i="4" s="1"/>
  <c r="G115" i="4"/>
  <c r="R115" i="4" s="1"/>
  <c r="N115" i="4"/>
  <c r="Y115" i="4" s="1"/>
  <c r="F115" i="4"/>
  <c r="Q115" i="4" s="1"/>
  <c r="M115" i="4"/>
  <c r="X115" i="4" s="1"/>
  <c r="H115" i="4"/>
  <c r="S115" i="4" s="1"/>
  <c r="L115" i="4"/>
  <c r="W115" i="4" s="1"/>
  <c r="K115" i="4"/>
  <c r="V115" i="4" s="1"/>
  <c r="J115" i="4"/>
  <c r="U115" i="4" s="1"/>
  <c r="I115" i="4"/>
  <c r="T115" i="4" s="1"/>
  <c r="I58" i="4"/>
  <c r="T58" i="4" s="1"/>
  <c r="H58" i="4"/>
  <c r="S58" i="4" s="1"/>
  <c r="O58" i="4"/>
  <c r="Z58" i="4" s="1"/>
  <c r="G58" i="4"/>
  <c r="R58" i="4" s="1"/>
  <c r="J58" i="4"/>
  <c r="U58" i="4" s="1"/>
  <c r="F58" i="4"/>
  <c r="Q58" i="4" s="1"/>
  <c r="N58" i="4"/>
  <c r="Y58" i="4" s="1"/>
  <c r="M58" i="4"/>
  <c r="X58" i="4" s="1"/>
  <c r="L58" i="4"/>
  <c r="W58" i="4" s="1"/>
  <c r="K58" i="4"/>
  <c r="V58" i="4" s="1"/>
  <c r="L80" i="4"/>
  <c r="W80" i="4" s="1"/>
  <c r="K80" i="4"/>
  <c r="V80" i="4" s="1"/>
  <c r="O80" i="4"/>
  <c r="Z80" i="4" s="1"/>
  <c r="N80" i="4"/>
  <c r="Y80" i="4" s="1"/>
  <c r="M80" i="4"/>
  <c r="X80" i="4" s="1"/>
  <c r="J80" i="4"/>
  <c r="U80" i="4" s="1"/>
  <c r="I80" i="4"/>
  <c r="T80" i="4" s="1"/>
  <c r="H80" i="4"/>
  <c r="S80" i="4" s="1"/>
  <c r="G80" i="4"/>
  <c r="R80" i="4" s="1"/>
  <c r="F80" i="4"/>
  <c r="Q80" i="4" s="1"/>
  <c r="O28" i="4"/>
  <c r="Z28" i="4" s="1"/>
  <c r="G28" i="4"/>
  <c r="R28" i="4" s="1"/>
  <c r="N28" i="4"/>
  <c r="Y28" i="4" s="1"/>
  <c r="F28" i="4"/>
  <c r="Q28" i="4" s="1"/>
  <c r="M28" i="4"/>
  <c r="X28" i="4" s="1"/>
  <c r="H28" i="4"/>
  <c r="S28" i="4" s="1"/>
  <c r="L28" i="4"/>
  <c r="W28" i="4" s="1"/>
  <c r="I28" i="4"/>
  <c r="T28" i="4" s="1"/>
  <c r="K28" i="4"/>
  <c r="V28" i="4" s="1"/>
  <c r="J28" i="4"/>
  <c r="U28" i="4" s="1"/>
  <c r="I121" i="4"/>
  <c r="T121" i="4" s="1"/>
  <c r="H121" i="4"/>
  <c r="S121" i="4" s="1"/>
  <c r="O121" i="4"/>
  <c r="Z121" i="4" s="1"/>
  <c r="G121" i="4"/>
  <c r="R121" i="4" s="1"/>
  <c r="J121" i="4"/>
  <c r="U121" i="4" s="1"/>
  <c r="L121" i="4"/>
  <c r="W121" i="4" s="1"/>
  <c r="K121" i="4"/>
  <c r="V121" i="4" s="1"/>
  <c r="F121" i="4"/>
  <c r="Q121" i="4" s="1"/>
  <c r="N121" i="4"/>
  <c r="Y121" i="4" s="1"/>
  <c r="M121" i="4"/>
  <c r="X121" i="4" s="1"/>
  <c r="N86" i="4"/>
  <c r="Y86" i="4" s="1"/>
  <c r="F86" i="4"/>
  <c r="Q86" i="4" s="1"/>
  <c r="M86" i="4"/>
  <c r="X86" i="4" s="1"/>
  <c r="O86" i="4"/>
  <c r="Z86" i="4" s="1"/>
  <c r="L86" i="4"/>
  <c r="W86" i="4" s="1"/>
  <c r="K86" i="4"/>
  <c r="V86" i="4" s="1"/>
  <c r="J86" i="4"/>
  <c r="U86" i="4" s="1"/>
  <c r="I86" i="4"/>
  <c r="T86" i="4" s="1"/>
  <c r="H86" i="4"/>
  <c r="S86" i="4" s="1"/>
  <c r="G86" i="4"/>
  <c r="R86" i="4" s="1"/>
  <c r="L94" i="4"/>
  <c r="W94" i="4" s="1"/>
  <c r="G94" i="4"/>
  <c r="R94" i="4" s="1"/>
  <c r="O94" i="4"/>
  <c r="Z94" i="4" s="1"/>
  <c r="F94" i="4"/>
  <c r="Q94" i="4" s="1"/>
  <c r="N94" i="4"/>
  <c r="Y94" i="4" s="1"/>
  <c r="M94" i="4"/>
  <c r="X94" i="4" s="1"/>
  <c r="I94" i="4"/>
  <c r="T94" i="4" s="1"/>
  <c r="H94" i="4"/>
  <c r="S94" i="4" s="1"/>
  <c r="K94" i="4"/>
  <c r="V94" i="4" s="1"/>
  <c r="J94" i="4"/>
  <c r="U94" i="4" s="1"/>
  <c r="N92" i="4"/>
  <c r="Y92" i="4" s="1"/>
  <c r="F92" i="4"/>
  <c r="Q92" i="4" s="1"/>
  <c r="K92" i="4"/>
  <c r="V92" i="4" s="1"/>
  <c r="J92" i="4"/>
  <c r="U92" i="4" s="1"/>
  <c r="I92" i="4"/>
  <c r="T92" i="4" s="1"/>
  <c r="H92" i="4"/>
  <c r="S92" i="4" s="1"/>
  <c r="O92" i="4"/>
  <c r="Z92" i="4" s="1"/>
  <c r="M92" i="4"/>
  <c r="X92" i="4" s="1"/>
  <c r="L92" i="4"/>
  <c r="W92" i="4" s="1"/>
  <c r="G92" i="4"/>
  <c r="R92" i="4" s="1"/>
  <c r="J104" i="4"/>
  <c r="U104" i="4" s="1"/>
  <c r="I104" i="4"/>
  <c r="T104" i="4" s="1"/>
  <c r="H104" i="4"/>
  <c r="S104" i="4" s="1"/>
  <c r="O104" i="4"/>
  <c r="Z104" i="4" s="1"/>
  <c r="N104" i="4"/>
  <c r="Y104" i="4" s="1"/>
  <c r="M104" i="4"/>
  <c r="X104" i="4" s="1"/>
  <c r="L104" i="4"/>
  <c r="W104" i="4" s="1"/>
  <c r="K104" i="4"/>
  <c r="V104" i="4" s="1"/>
  <c r="G104" i="4"/>
  <c r="R104" i="4" s="1"/>
  <c r="F104" i="4"/>
  <c r="Q104" i="4" s="1"/>
  <c r="N143" i="4"/>
  <c r="Y143" i="4" s="1"/>
  <c r="F143" i="4"/>
  <c r="Q143" i="4" s="1"/>
  <c r="M143" i="4"/>
  <c r="X143" i="4" s="1"/>
  <c r="L143" i="4"/>
  <c r="W143" i="4" s="1"/>
  <c r="O143" i="4"/>
  <c r="Z143" i="4" s="1"/>
  <c r="G143" i="4"/>
  <c r="R143" i="4" s="1"/>
  <c r="K143" i="4"/>
  <c r="V143" i="4" s="1"/>
  <c r="J143" i="4"/>
  <c r="U143" i="4" s="1"/>
  <c r="I143" i="4"/>
  <c r="T143" i="4" s="1"/>
  <c r="H143" i="4"/>
  <c r="S143" i="4" s="1"/>
  <c r="O91" i="4"/>
  <c r="Z91" i="4" s="1"/>
  <c r="G91" i="4"/>
  <c r="R91" i="4" s="1"/>
  <c r="I91" i="4"/>
  <c r="T91" i="4" s="1"/>
  <c r="H91" i="4"/>
  <c r="S91" i="4" s="1"/>
  <c r="F91" i="4"/>
  <c r="Q91" i="4" s="1"/>
  <c r="N91" i="4"/>
  <c r="Y91" i="4" s="1"/>
  <c r="K91" i="4"/>
  <c r="V91" i="4" s="1"/>
  <c r="J91" i="4"/>
  <c r="U91" i="4" s="1"/>
  <c r="M91" i="4"/>
  <c r="X91" i="4" s="1"/>
  <c r="L91" i="4"/>
  <c r="W91" i="4" s="1"/>
  <c r="K103" i="4"/>
  <c r="V103" i="4" s="1"/>
  <c r="J103" i="4"/>
  <c r="U103" i="4" s="1"/>
  <c r="I103" i="4"/>
  <c r="T103" i="4" s="1"/>
  <c r="O103" i="4"/>
  <c r="Z103" i="4" s="1"/>
  <c r="N103" i="4"/>
  <c r="Y103" i="4" s="1"/>
  <c r="M103" i="4"/>
  <c r="X103" i="4" s="1"/>
  <c r="L103" i="4"/>
  <c r="W103" i="4" s="1"/>
  <c r="H103" i="4"/>
  <c r="S103" i="4" s="1"/>
  <c r="G103" i="4"/>
  <c r="R103" i="4" s="1"/>
  <c r="F103" i="4"/>
  <c r="Q103" i="4" s="1"/>
  <c r="M14" i="4"/>
  <c r="X14" i="4" s="1"/>
  <c r="G14" i="4"/>
  <c r="R14" i="4" s="1"/>
  <c r="L14" i="4"/>
  <c r="W14" i="4" s="1"/>
  <c r="O14" i="4"/>
  <c r="Z14" i="4" s="1"/>
  <c r="F14" i="4"/>
  <c r="Q14" i="4" s="1"/>
  <c r="N14" i="4"/>
  <c r="Y14" i="4" s="1"/>
  <c r="H14" i="4"/>
  <c r="S14" i="4" s="1"/>
  <c r="I14" i="4"/>
  <c r="T14" i="4" s="1"/>
  <c r="K14" i="4"/>
  <c r="V14" i="4" s="1"/>
  <c r="J14" i="4"/>
  <c r="U14" i="4" s="1"/>
  <c r="O12" i="4"/>
  <c r="Z12" i="4" s="1"/>
  <c r="G12" i="4"/>
  <c r="R12" i="4" s="1"/>
  <c r="K12" i="4"/>
  <c r="V12" i="4" s="1"/>
  <c r="J12" i="4"/>
  <c r="U12" i="4" s="1"/>
  <c r="H12" i="4"/>
  <c r="S12" i="4" s="1"/>
  <c r="I12" i="4"/>
  <c r="T12" i="4" s="1"/>
  <c r="L12" i="4"/>
  <c r="W12" i="4" s="1"/>
  <c r="F12" i="4"/>
  <c r="Q12" i="4" s="1"/>
  <c r="N12" i="4"/>
  <c r="Y12" i="4" s="1"/>
  <c r="M12" i="4"/>
  <c r="X12" i="4" s="1"/>
  <c r="H133" i="4"/>
  <c r="S133" i="4" s="1"/>
  <c r="O133" i="4"/>
  <c r="Z133" i="4" s="1"/>
  <c r="G133" i="4"/>
  <c r="R133" i="4" s="1"/>
  <c r="N133" i="4"/>
  <c r="Y133" i="4" s="1"/>
  <c r="F133" i="4"/>
  <c r="Q133" i="4" s="1"/>
  <c r="L133" i="4"/>
  <c r="W133" i="4" s="1"/>
  <c r="K133" i="4"/>
  <c r="V133" i="4" s="1"/>
  <c r="J133" i="4"/>
  <c r="U133" i="4" s="1"/>
  <c r="M133" i="4"/>
  <c r="X133" i="4" s="1"/>
  <c r="I133" i="4"/>
  <c r="T133" i="4" s="1"/>
  <c r="K130" i="4"/>
  <c r="V130" i="4" s="1"/>
  <c r="J130" i="4"/>
  <c r="U130" i="4" s="1"/>
  <c r="I130" i="4"/>
  <c r="T130" i="4" s="1"/>
  <c r="L130" i="4"/>
  <c r="W130" i="4" s="1"/>
  <c r="H130" i="4"/>
  <c r="S130" i="4" s="1"/>
  <c r="G130" i="4"/>
  <c r="R130" i="4" s="1"/>
  <c r="M130" i="4"/>
  <c r="X130" i="4" s="1"/>
  <c r="O130" i="4"/>
  <c r="Z130" i="4" s="1"/>
  <c r="N130" i="4"/>
  <c r="Y130" i="4" s="1"/>
  <c r="F130" i="4"/>
  <c r="Q130" i="4" s="1"/>
  <c r="I105" i="4"/>
  <c r="T105" i="4" s="1"/>
  <c r="H105" i="4"/>
  <c r="S105" i="4" s="1"/>
  <c r="O105" i="4"/>
  <c r="Z105" i="4" s="1"/>
  <c r="G105" i="4"/>
  <c r="R105" i="4" s="1"/>
  <c r="N105" i="4"/>
  <c r="Y105" i="4" s="1"/>
  <c r="M105" i="4"/>
  <c r="X105" i="4" s="1"/>
  <c r="L105" i="4"/>
  <c r="W105" i="4" s="1"/>
  <c r="K105" i="4"/>
  <c r="V105" i="4" s="1"/>
  <c r="J105" i="4"/>
  <c r="U105" i="4" s="1"/>
  <c r="F105" i="4"/>
  <c r="Q105" i="4" s="1"/>
  <c r="K48" i="4"/>
  <c r="V48" i="4" s="1"/>
  <c r="J48" i="4"/>
  <c r="U48" i="4" s="1"/>
  <c r="I48" i="4"/>
  <c r="T48" i="4" s="1"/>
  <c r="L48" i="4"/>
  <c r="W48" i="4" s="1"/>
  <c r="O48" i="4"/>
  <c r="Z48" i="4" s="1"/>
  <c r="N48" i="4"/>
  <c r="Y48" i="4" s="1"/>
  <c r="M48" i="4"/>
  <c r="X48" i="4" s="1"/>
  <c r="H48" i="4"/>
  <c r="S48" i="4" s="1"/>
  <c r="G48" i="4"/>
  <c r="R48" i="4" s="1"/>
  <c r="F48" i="4"/>
  <c r="Q48" i="4" s="1"/>
  <c r="C3" i="5"/>
  <c r="C10" i="5" s="1"/>
  <c r="D20" i="5"/>
  <c r="C20" i="5"/>
  <c r="B20" i="5"/>
  <c r="D3" i="5"/>
  <c r="D10" i="5" s="1"/>
  <c r="B3" i="5"/>
  <c r="N2" i="4"/>
  <c r="Y2" i="4" s="1"/>
  <c r="F2" i="4"/>
  <c r="Q2" i="4" s="1"/>
  <c r="M2" i="4"/>
  <c r="X2" i="4" s="1"/>
  <c r="L2" i="4"/>
  <c r="W2" i="4" s="1"/>
  <c r="K2" i="4"/>
  <c r="V2" i="4" s="1"/>
  <c r="O2" i="4"/>
  <c r="Z2" i="4" s="1"/>
  <c r="G2" i="4"/>
  <c r="R2" i="4" s="1"/>
  <c r="I2" i="4"/>
  <c r="T2" i="4" s="1"/>
  <c r="J2" i="4"/>
  <c r="U2" i="4" s="1"/>
  <c r="H2" i="4"/>
  <c r="S2" i="4" s="1"/>
  <c r="D386" i="7"/>
  <c r="B393" i="7" s="1"/>
  <c r="F386" i="7"/>
  <c r="E386" i="7"/>
  <c r="H11" i="4"/>
  <c r="S11" i="4" s="1"/>
  <c r="I11" i="4"/>
  <c r="T11" i="4" s="1"/>
  <c r="N11" i="4"/>
  <c r="Y11" i="4" s="1"/>
  <c r="G11" i="4"/>
  <c r="R11" i="4" s="1"/>
  <c r="O11" i="4"/>
  <c r="Z11" i="4" s="1"/>
  <c r="F11" i="4"/>
  <c r="Q11" i="4" s="1"/>
  <c r="J11" i="4"/>
  <c r="U11" i="4" s="1"/>
  <c r="K11" i="4"/>
  <c r="V11" i="4" s="1"/>
  <c r="M11" i="4"/>
  <c r="X11" i="4" s="1"/>
  <c r="L11" i="4"/>
  <c r="W11" i="4" s="1"/>
  <c r="H76" i="4"/>
  <c r="S76" i="4" s="1"/>
  <c r="J76" i="4"/>
  <c r="U76" i="4" s="1"/>
  <c r="I76" i="4"/>
  <c r="T76" i="4" s="1"/>
  <c r="G76" i="4"/>
  <c r="R76" i="4" s="1"/>
  <c r="N76" i="4"/>
  <c r="Y76" i="4" s="1"/>
  <c r="M76" i="4"/>
  <c r="X76" i="4" s="1"/>
  <c r="K76" i="4"/>
  <c r="V76" i="4" s="1"/>
  <c r="O76" i="4"/>
  <c r="Z76" i="4" s="1"/>
  <c r="L76" i="4"/>
  <c r="W76" i="4" s="1"/>
  <c r="F76" i="4"/>
  <c r="Q76" i="4" s="1"/>
  <c r="J25" i="4"/>
  <c r="U25" i="4" s="1"/>
  <c r="I25" i="4"/>
  <c r="T25" i="4" s="1"/>
  <c r="H25" i="4"/>
  <c r="S25" i="4" s="1"/>
  <c r="O25" i="4"/>
  <c r="Z25" i="4" s="1"/>
  <c r="M25" i="4"/>
  <c r="X25" i="4" s="1"/>
  <c r="N25" i="4"/>
  <c r="Y25" i="4" s="1"/>
  <c r="F25" i="4"/>
  <c r="Q25" i="4" s="1"/>
  <c r="L25" i="4"/>
  <c r="W25" i="4" s="1"/>
  <c r="K25" i="4"/>
  <c r="V25" i="4" s="1"/>
  <c r="G25" i="4"/>
  <c r="R25" i="4" s="1"/>
  <c r="O20" i="4"/>
  <c r="Z20" i="4" s="1"/>
  <c r="G20" i="4"/>
  <c r="R20" i="4" s="1"/>
  <c r="N20" i="4"/>
  <c r="Y20" i="4" s="1"/>
  <c r="F20" i="4"/>
  <c r="Q20" i="4" s="1"/>
  <c r="L20" i="4"/>
  <c r="W20" i="4" s="1"/>
  <c r="M20" i="4"/>
  <c r="X20" i="4" s="1"/>
  <c r="H20" i="4"/>
  <c r="S20" i="4" s="1"/>
  <c r="I20" i="4"/>
  <c r="T20" i="4" s="1"/>
  <c r="K20" i="4"/>
  <c r="V20" i="4" s="1"/>
  <c r="J20" i="4"/>
  <c r="U20" i="4" s="1"/>
  <c r="O52" i="4"/>
  <c r="Z52" i="4" s="1"/>
  <c r="G52" i="4"/>
  <c r="R52" i="4" s="1"/>
  <c r="N52" i="4"/>
  <c r="Y52" i="4" s="1"/>
  <c r="F52" i="4"/>
  <c r="Q52" i="4" s="1"/>
  <c r="M52" i="4"/>
  <c r="X52" i="4" s="1"/>
  <c r="H52" i="4"/>
  <c r="S52" i="4" s="1"/>
  <c r="L52" i="4"/>
  <c r="W52" i="4" s="1"/>
  <c r="K52" i="4"/>
  <c r="V52" i="4" s="1"/>
  <c r="J52" i="4"/>
  <c r="U52" i="4" s="1"/>
  <c r="I52" i="4"/>
  <c r="T52" i="4" s="1"/>
  <c r="L71" i="4"/>
  <c r="W71" i="4" s="1"/>
  <c r="K71" i="4"/>
  <c r="V71" i="4" s="1"/>
  <c r="J71" i="4"/>
  <c r="U71" i="4" s="1"/>
  <c r="M71" i="4"/>
  <c r="X71" i="4" s="1"/>
  <c r="O71" i="4"/>
  <c r="Z71" i="4" s="1"/>
  <c r="N71" i="4"/>
  <c r="Y71" i="4" s="1"/>
  <c r="I71" i="4"/>
  <c r="T71" i="4" s="1"/>
  <c r="H71" i="4"/>
  <c r="S71" i="4" s="1"/>
  <c r="G71" i="4"/>
  <c r="R71" i="4" s="1"/>
  <c r="F71" i="4"/>
  <c r="Q71" i="4" s="1"/>
  <c r="L15" i="4"/>
  <c r="W15" i="4" s="1"/>
  <c r="I15" i="4"/>
  <c r="T15" i="4" s="1"/>
  <c r="H15" i="4"/>
  <c r="S15" i="4" s="1"/>
  <c r="F15" i="4"/>
  <c r="Q15" i="4" s="1"/>
  <c r="G15" i="4"/>
  <c r="R15" i="4" s="1"/>
  <c r="O15" i="4"/>
  <c r="Z15" i="4" s="1"/>
  <c r="J15" i="4"/>
  <c r="U15" i="4" s="1"/>
  <c r="N15" i="4"/>
  <c r="Y15" i="4" s="1"/>
  <c r="M15" i="4"/>
  <c r="X15" i="4" s="1"/>
  <c r="K15" i="4"/>
  <c r="V15" i="4" s="1"/>
  <c r="J112" i="4"/>
  <c r="U112" i="4" s="1"/>
  <c r="I112" i="4"/>
  <c r="T112" i="4" s="1"/>
  <c r="H112" i="4"/>
  <c r="S112" i="4" s="1"/>
  <c r="K112" i="4"/>
  <c r="V112" i="4" s="1"/>
  <c r="G112" i="4"/>
  <c r="R112" i="4" s="1"/>
  <c r="F112" i="4"/>
  <c r="Q112" i="4" s="1"/>
  <c r="O112" i="4"/>
  <c r="Z112" i="4" s="1"/>
  <c r="N112" i="4"/>
  <c r="Y112" i="4" s="1"/>
  <c r="M112" i="4"/>
  <c r="X112" i="4" s="1"/>
  <c r="L112" i="4"/>
  <c r="W112" i="4" s="1"/>
  <c r="O99" i="4"/>
  <c r="Z99" i="4" s="1"/>
  <c r="G99" i="4"/>
  <c r="R99" i="4" s="1"/>
  <c r="N99" i="4"/>
  <c r="Y99" i="4" s="1"/>
  <c r="F99" i="4"/>
  <c r="Q99" i="4" s="1"/>
  <c r="J99" i="4"/>
  <c r="U99" i="4" s="1"/>
  <c r="I99" i="4"/>
  <c r="T99" i="4" s="1"/>
  <c r="H99" i="4"/>
  <c r="S99" i="4" s="1"/>
  <c r="M99" i="4"/>
  <c r="X99" i="4" s="1"/>
  <c r="L99" i="4"/>
  <c r="W99" i="4" s="1"/>
  <c r="K99" i="4"/>
  <c r="V99" i="4" s="1"/>
  <c r="N37" i="4"/>
  <c r="Y37" i="4" s="1"/>
  <c r="F37" i="4"/>
  <c r="Q37" i="4" s="1"/>
  <c r="M37" i="4"/>
  <c r="X37" i="4" s="1"/>
  <c r="L37" i="4"/>
  <c r="W37" i="4" s="1"/>
  <c r="K37" i="4"/>
  <c r="V37" i="4" s="1"/>
  <c r="J37" i="4"/>
  <c r="U37" i="4" s="1"/>
  <c r="I37" i="4"/>
  <c r="T37" i="4" s="1"/>
  <c r="H37" i="4"/>
  <c r="S37" i="4" s="1"/>
  <c r="G37" i="4"/>
  <c r="R37" i="4" s="1"/>
  <c r="O37" i="4"/>
  <c r="Z37" i="4" s="1"/>
  <c r="J65" i="4"/>
  <c r="U65" i="4" s="1"/>
  <c r="I65" i="4"/>
  <c r="T65" i="4" s="1"/>
  <c r="H65" i="4"/>
  <c r="S65" i="4" s="1"/>
  <c r="K65" i="4"/>
  <c r="V65" i="4" s="1"/>
  <c r="G65" i="4"/>
  <c r="R65" i="4" s="1"/>
  <c r="F65" i="4"/>
  <c r="Q65" i="4" s="1"/>
  <c r="O65" i="4"/>
  <c r="Z65" i="4" s="1"/>
  <c r="N65" i="4"/>
  <c r="Y65" i="4" s="1"/>
  <c r="M65" i="4"/>
  <c r="X65" i="4" s="1"/>
  <c r="L65" i="4"/>
  <c r="W65" i="4" s="1"/>
  <c r="A420" i="7" l="1"/>
  <c r="A235" i="7"/>
  <c r="A60" i="7"/>
  <c r="A11" i="4"/>
  <c r="A12" i="2"/>
  <c r="B15" i="7"/>
  <c r="C586" i="7" s="1"/>
  <c r="B20" i="7"/>
  <c r="B17" i="7"/>
  <c r="B10" i="5"/>
  <c r="B408" i="7"/>
  <c r="C408" i="7"/>
  <c r="C11" i="5"/>
  <c r="C16" i="5" s="1"/>
  <c r="B19" i="7"/>
  <c r="B22" i="6"/>
  <c r="B21" i="7"/>
  <c r="B16" i="7"/>
  <c r="B21" i="6"/>
  <c r="B23" i="7"/>
  <c r="B14" i="7"/>
  <c r="B18" i="7"/>
  <c r="B22" i="7"/>
  <c r="B23" i="6"/>
  <c r="D408" i="7"/>
  <c r="D12" i="5"/>
  <c r="D16" i="5" s="1"/>
  <c r="A61" i="7" l="1"/>
  <c r="A421" i="7"/>
  <c r="A236" i="7"/>
  <c r="C15" i="7"/>
  <c r="H15" i="7" s="1" a="1"/>
  <c r="A12" i="4"/>
  <c r="A13" i="2"/>
  <c r="C395" i="7"/>
  <c r="D395" i="7" s="1"/>
  <c r="B213" i="7"/>
  <c r="D503" i="7"/>
  <c r="G503" i="7" s="1"/>
  <c r="D493" i="7"/>
  <c r="G493" i="7" s="1"/>
  <c r="D430" i="7"/>
  <c r="G430" i="7" s="1"/>
  <c r="D474" i="7"/>
  <c r="G474" i="7" s="1"/>
  <c r="D440" i="7"/>
  <c r="G440" i="7" s="1"/>
  <c r="D531" i="7"/>
  <c r="G531" i="7" s="1"/>
  <c r="D525" i="7"/>
  <c r="G525" i="7" s="1"/>
  <c r="D452" i="7"/>
  <c r="G452" i="7" s="1"/>
  <c r="D444" i="7"/>
  <c r="G444" i="7" s="1"/>
  <c r="D457" i="7"/>
  <c r="G457" i="7" s="1"/>
  <c r="D462" i="7"/>
  <c r="G462" i="7" s="1"/>
  <c r="D445" i="7"/>
  <c r="G445" i="7" s="1"/>
  <c r="D463" i="7"/>
  <c r="G463" i="7" s="1"/>
  <c r="D475" i="7"/>
  <c r="G475" i="7" s="1"/>
  <c r="D470" i="7"/>
  <c r="G470" i="7" s="1"/>
  <c r="D456" i="7"/>
  <c r="G456" i="7" s="1"/>
  <c r="D467" i="7"/>
  <c r="G467" i="7" s="1"/>
  <c r="D526" i="7"/>
  <c r="G526" i="7" s="1"/>
  <c r="D545" i="7"/>
  <c r="G545" i="7" s="1"/>
  <c r="D483" i="7"/>
  <c r="G483" i="7" s="1"/>
  <c r="D461" i="7"/>
  <c r="G461" i="7" s="1"/>
  <c r="D426" i="7"/>
  <c r="G426" i="7" s="1"/>
  <c r="D476" i="7"/>
  <c r="G476" i="7" s="1"/>
  <c r="D439" i="7"/>
  <c r="G439" i="7" s="1"/>
  <c r="D448" i="7"/>
  <c r="G448" i="7" s="1"/>
  <c r="D489" i="7"/>
  <c r="G489" i="7" s="1"/>
  <c r="D511" i="7"/>
  <c r="G511" i="7" s="1"/>
  <c r="D523" i="7"/>
  <c r="G523" i="7" s="1"/>
  <c r="D490" i="7"/>
  <c r="G490" i="7" s="1"/>
  <c r="D522" i="7"/>
  <c r="G522" i="7" s="1"/>
  <c r="D535" i="7"/>
  <c r="G535" i="7" s="1"/>
  <c r="D438" i="7"/>
  <c r="G438" i="7" s="1"/>
  <c r="D432" i="7"/>
  <c r="G432" i="7" s="1"/>
  <c r="D564" i="7"/>
  <c r="G564" i="7" s="1"/>
  <c r="D512" i="7"/>
  <c r="G512" i="7" s="1"/>
  <c r="D544" i="7"/>
  <c r="G544" i="7" s="1"/>
  <c r="D478" i="7"/>
  <c r="G478" i="7" s="1"/>
  <c r="D472" i="7"/>
  <c r="G472" i="7" s="1"/>
  <c r="D539" i="7"/>
  <c r="G539" i="7" s="1"/>
  <c r="D442" i="7"/>
  <c r="G442" i="7" s="1"/>
  <c r="D423" i="7"/>
  <c r="G423" i="7" s="1"/>
  <c r="D536" i="7"/>
  <c r="G536" i="7" s="1"/>
  <c r="D415" i="7"/>
  <c r="G415" i="7" s="1"/>
  <c r="D502" i="7"/>
  <c r="G502" i="7" s="1"/>
  <c r="D543" i="7"/>
  <c r="G543" i="7" s="1"/>
  <c r="D488" i="7"/>
  <c r="G488" i="7" s="1"/>
  <c r="D501" i="7"/>
  <c r="G501" i="7" s="1"/>
  <c r="D529" i="7"/>
  <c r="G529" i="7" s="1"/>
  <c r="D515" i="7"/>
  <c r="G515" i="7" s="1"/>
  <c r="D530" i="7"/>
  <c r="G530" i="7" s="1"/>
  <c r="D550" i="7"/>
  <c r="G550" i="7" s="1"/>
  <c r="D554" i="7"/>
  <c r="G554" i="7" s="1"/>
  <c r="D548" i="7"/>
  <c r="G548" i="7" s="1"/>
  <c r="D443" i="7"/>
  <c r="G443" i="7" s="1"/>
  <c r="D484" i="7"/>
  <c r="G484" i="7" s="1"/>
  <c r="D454" i="7"/>
  <c r="G454" i="7" s="1"/>
  <c r="D565" i="7"/>
  <c r="G565" i="7" s="1"/>
  <c r="D504" i="7"/>
  <c r="G504" i="7" s="1"/>
  <c r="D541" i="7"/>
  <c r="G541" i="7" s="1"/>
  <c r="D562" i="7"/>
  <c r="G562" i="7" s="1"/>
  <c r="D421" i="7"/>
  <c r="G421" i="7" s="1"/>
  <c r="D419" i="7"/>
  <c r="G419" i="7" s="1"/>
  <c r="D499" i="7"/>
  <c r="G499" i="7" s="1"/>
  <c r="D420" i="7"/>
  <c r="G420" i="7" s="1"/>
  <c r="D466" i="7"/>
  <c r="G466" i="7" s="1"/>
  <c r="D497" i="7"/>
  <c r="G497" i="7" s="1"/>
  <c r="D492" i="7"/>
  <c r="G492" i="7" s="1"/>
  <c r="D532" i="7"/>
  <c r="G532" i="7" s="1"/>
  <c r="D460" i="7"/>
  <c r="G460" i="7" s="1"/>
  <c r="D517" i="7"/>
  <c r="G517" i="7" s="1"/>
  <c r="D546" i="7"/>
  <c r="G546" i="7" s="1"/>
  <c r="D500" i="7"/>
  <c r="G500" i="7" s="1"/>
  <c r="D496" i="7"/>
  <c r="G496" i="7" s="1"/>
  <c r="D458" i="7"/>
  <c r="G458" i="7" s="1"/>
  <c r="D485" i="7"/>
  <c r="G485" i="7" s="1"/>
  <c r="D528" i="7"/>
  <c r="G528" i="7" s="1"/>
  <c r="D494" i="7"/>
  <c r="G494" i="7" s="1"/>
  <c r="D513" i="7"/>
  <c r="G513" i="7" s="1"/>
  <c r="D482" i="7"/>
  <c r="G482" i="7" s="1"/>
  <c r="D567" i="7"/>
  <c r="G567" i="7" s="1"/>
  <c r="D412" i="7"/>
  <c r="D464" i="7"/>
  <c r="G464" i="7" s="1"/>
  <c r="D507" i="7"/>
  <c r="G507" i="7" s="1"/>
  <c r="D422" i="7"/>
  <c r="G422" i="7" s="1"/>
  <c r="D540" i="7"/>
  <c r="G540" i="7" s="1"/>
  <c r="D510" i="7"/>
  <c r="G510" i="7" s="1"/>
  <c r="D516" i="7"/>
  <c r="G516" i="7" s="1"/>
  <c r="D553" i="7"/>
  <c r="G553" i="7" s="1"/>
  <c r="D481" i="7"/>
  <c r="G481" i="7" s="1"/>
  <c r="D417" i="7"/>
  <c r="G417" i="7" s="1"/>
  <c r="D453" i="7"/>
  <c r="G453" i="7" s="1"/>
  <c r="D552" i="7"/>
  <c r="G552" i="7" s="1"/>
  <c r="D509" i="7"/>
  <c r="G509" i="7" s="1"/>
  <c r="D473" i="7"/>
  <c r="G473" i="7" s="1"/>
  <c r="D451" i="7"/>
  <c r="G451" i="7" s="1"/>
  <c r="D427" i="7"/>
  <c r="G427" i="7" s="1"/>
  <c r="D534" i="7"/>
  <c r="G534" i="7" s="1"/>
  <c r="D431" i="7"/>
  <c r="G431" i="7" s="1"/>
  <c r="D428" i="7"/>
  <c r="G428" i="7" s="1"/>
  <c r="D520" i="7"/>
  <c r="G520" i="7" s="1"/>
  <c r="D487" i="7"/>
  <c r="G487" i="7" s="1"/>
  <c r="D505" i="7"/>
  <c r="G505" i="7" s="1"/>
  <c r="D449" i="7"/>
  <c r="G449" i="7" s="1"/>
  <c r="D441" i="7"/>
  <c r="G441" i="7" s="1"/>
  <c r="D459" i="7"/>
  <c r="G459" i="7" s="1"/>
  <c r="D538" i="7"/>
  <c r="G538" i="7" s="1"/>
  <c r="D469" i="7"/>
  <c r="G469" i="7" s="1"/>
  <c r="D558" i="7"/>
  <c r="G558" i="7" s="1"/>
  <c r="D450" i="7"/>
  <c r="G450" i="7" s="1"/>
  <c r="D506" i="7"/>
  <c r="G506" i="7" s="1"/>
  <c r="D465" i="7"/>
  <c r="G465" i="7" s="1"/>
  <c r="D533" i="7"/>
  <c r="G533" i="7" s="1"/>
  <c r="D557" i="7"/>
  <c r="G557" i="7" s="1"/>
  <c r="D491" i="7"/>
  <c r="G491" i="7" s="1"/>
  <c r="D549" i="7"/>
  <c r="G549" i="7" s="1"/>
  <c r="D508" i="7"/>
  <c r="G508" i="7" s="1"/>
  <c r="D555" i="7"/>
  <c r="G555" i="7" s="1"/>
  <c r="D519" i="7"/>
  <c r="G519" i="7" s="1"/>
  <c r="D527" i="7"/>
  <c r="G527" i="7" s="1"/>
  <c r="D434" i="7"/>
  <c r="G434" i="7" s="1"/>
  <c r="D537" i="7"/>
  <c r="G537" i="7" s="1"/>
  <c r="D556" i="7"/>
  <c r="G556" i="7" s="1"/>
  <c r="D436" i="7"/>
  <c r="G436" i="7" s="1"/>
  <c r="D547" i="7"/>
  <c r="G547" i="7" s="1"/>
  <c r="D424" i="7"/>
  <c r="G424" i="7" s="1"/>
  <c r="D468" i="7"/>
  <c r="G468" i="7" s="1"/>
  <c r="D433" i="7"/>
  <c r="G433" i="7" s="1"/>
  <c r="D563" i="7"/>
  <c r="G563" i="7" s="1"/>
  <c r="D425" i="7"/>
  <c r="G425" i="7" s="1"/>
  <c r="D561" i="7"/>
  <c r="G561" i="7" s="1"/>
  <c r="D524" i="7"/>
  <c r="G524" i="7" s="1"/>
  <c r="D447" i="7"/>
  <c r="G447" i="7" s="1"/>
  <c r="D559" i="7"/>
  <c r="G559" i="7" s="1"/>
  <c r="D416" i="7"/>
  <c r="G416" i="7" s="1"/>
  <c r="D551" i="7"/>
  <c r="G551" i="7" s="1"/>
  <c r="D471" i="7"/>
  <c r="G471" i="7" s="1"/>
  <c r="D480" i="7"/>
  <c r="G480" i="7" s="1"/>
  <c r="D542" i="7"/>
  <c r="G542" i="7" s="1"/>
  <c r="D455" i="7"/>
  <c r="G455" i="7" s="1"/>
  <c r="D435" i="7"/>
  <c r="G435" i="7" s="1"/>
  <c r="D495" i="7"/>
  <c r="G495" i="7" s="1"/>
  <c r="D560" i="7"/>
  <c r="G560" i="7" s="1"/>
  <c r="D418" i="7"/>
  <c r="G418" i="7" s="1"/>
  <c r="D566" i="7"/>
  <c r="G566" i="7" s="1"/>
  <c r="D514" i="7"/>
  <c r="G514" i="7" s="1"/>
  <c r="D479" i="7"/>
  <c r="G479" i="7" s="1"/>
  <c r="D498" i="7"/>
  <c r="G498" i="7" s="1"/>
  <c r="D521" i="7"/>
  <c r="G521" i="7" s="1"/>
  <c r="D518" i="7"/>
  <c r="G518" i="7" s="1"/>
  <c r="D429" i="7"/>
  <c r="G429" i="7" s="1"/>
  <c r="D414" i="7"/>
  <c r="G414" i="7" s="1"/>
  <c r="D486" i="7"/>
  <c r="G486" i="7" s="1"/>
  <c r="D446" i="7"/>
  <c r="G446" i="7" s="1"/>
  <c r="D413" i="7"/>
  <c r="G413" i="7" s="1"/>
  <c r="D437" i="7"/>
  <c r="G437" i="7" s="1"/>
  <c r="D477" i="7"/>
  <c r="G477" i="7" s="1"/>
  <c r="C589" i="7"/>
  <c r="C18" i="7"/>
  <c r="H18" i="7" s="1" a="1"/>
  <c r="H15" i="7"/>
  <c r="I15" i="7"/>
  <c r="J15" i="7"/>
  <c r="C594" i="7"/>
  <c r="C23" i="7"/>
  <c r="H23" i="7" s="1" a="1"/>
  <c r="C394" i="7"/>
  <c r="D394" i="7" s="1"/>
  <c r="B212" i="7"/>
  <c r="C585" i="7"/>
  <c r="C14" i="7"/>
  <c r="H14" i="7" s="1" a="1"/>
  <c r="C424" i="7"/>
  <c r="F424" i="7" s="1"/>
  <c r="C426" i="7"/>
  <c r="F426" i="7" s="1"/>
  <c r="C436" i="7"/>
  <c r="F436" i="7" s="1"/>
  <c r="C564" i="7"/>
  <c r="F564" i="7" s="1"/>
  <c r="C496" i="7"/>
  <c r="F496" i="7" s="1"/>
  <c r="C442" i="7"/>
  <c r="F442" i="7" s="1"/>
  <c r="C456" i="7"/>
  <c r="F456" i="7" s="1"/>
  <c r="C517" i="7"/>
  <c r="F517" i="7" s="1"/>
  <c r="C562" i="7"/>
  <c r="F562" i="7" s="1"/>
  <c r="C500" i="7"/>
  <c r="F500" i="7" s="1"/>
  <c r="C439" i="7"/>
  <c r="F439" i="7" s="1"/>
  <c r="C563" i="7"/>
  <c r="F563" i="7" s="1"/>
  <c r="C495" i="7"/>
  <c r="F495" i="7" s="1"/>
  <c r="C522" i="7"/>
  <c r="F522" i="7" s="1"/>
  <c r="C538" i="7"/>
  <c r="F538" i="7" s="1"/>
  <c r="C499" i="7"/>
  <c r="F499" i="7" s="1"/>
  <c r="C420" i="7"/>
  <c r="F420" i="7" s="1"/>
  <c r="C484" i="7"/>
  <c r="F484" i="7" s="1"/>
  <c r="C430" i="7"/>
  <c r="F430" i="7" s="1"/>
  <c r="C454" i="7"/>
  <c r="F454" i="7" s="1"/>
  <c r="C555" i="7"/>
  <c r="F555" i="7" s="1"/>
  <c r="C448" i="7"/>
  <c r="F448" i="7" s="1"/>
  <c r="C532" i="7"/>
  <c r="F532" i="7" s="1"/>
  <c r="C477" i="7"/>
  <c r="F477" i="7" s="1"/>
  <c r="C505" i="7"/>
  <c r="F505" i="7" s="1"/>
  <c r="C541" i="7"/>
  <c r="F541" i="7" s="1"/>
  <c r="C485" i="7"/>
  <c r="F485" i="7" s="1"/>
  <c r="C432" i="7"/>
  <c r="F432" i="7" s="1"/>
  <c r="C524" i="7"/>
  <c r="F524" i="7" s="1"/>
  <c r="C457" i="7"/>
  <c r="F457" i="7" s="1"/>
  <c r="C561" i="7"/>
  <c r="F561" i="7" s="1"/>
  <c r="C416" i="7"/>
  <c r="F416" i="7" s="1"/>
  <c r="C536" i="7"/>
  <c r="F536" i="7" s="1"/>
  <c r="C474" i="7"/>
  <c r="F474" i="7" s="1"/>
  <c r="C565" i="7"/>
  <c r="F565" i="7" s="1"/>
  <c r="C438" i="7"/>
  <c r="F438" i="7" s="1"/>
  <c r="C510" i="7"/>
  <c r="F510" i="7" s="1"/>
  <c r="C479" i="7"/>
  <c r="F479" i="7" s="1"/>
  <c r="C503" i="7"/>
  <c r="F503" i="7" s="1"/>
  <c r="C492" i="7"/>
  <c r="F492" i="7" s="1"/>
  <c r="C539" i="7"/>
  <c r="F539" i="7" s="1"/>
  <c r="C469" i="7"/>
  <c r="F469" i="7" s="1"/>
  <c r="C552" i="7"/>
  <c r="F552" i="7" s="1"/>
  <c r="C466" i="7"/>
  <c r="F466" i="7" s="1"/>
  <c r="C418" i="7"/>
  <c r="F418" i="7" s="1"/>
  <c r="C421" i="7"/>
  <c r="F421" i="7" s="1"/>
  <c r="C462" i="7"/>
  <c r="F462" i="7" s="1"/>
  <c r="C559" i="7"/>
  <c r="F559" i="7" s="1"/>
  <c r="C558" i="7"/>
  <c r="F558" i="7" s="1"/>
  <c r="C566" i="7"/>
  <c r="F566" i="7" s="1"/>
  <c r="C422" i="7"/>
  <c r="F422" i="7" s="1"/>
  <c r="C553" i="7"/>
  <c r="F553" i="7" s="1"/>
  <c r="C511" i="7"/>
  <c r="F511" i="7" s="1"/>
  <c r="C547" i="7"/>
  <c r="F547" i="7" s="1"/>
  <c r="C516" i="7"/>
  <c r="F516" i="7" s="1"/>
  <c r="C549" i="7"/>
  <c r="F549" i="7" s="1"/>
  <c r="C458" i="7"/>
  <c r="F458" i="7" s="1"/>
  <c r="C417" i="7"/>
  <c r="F417" i="7" s="1"/>
  <c r="C534" i="7"/>
  <c r="F534" i="7" s="1"/>
  <c r="C518" i="7"/>
  <c r="F518" i="7" s="1"/>
  <c r="C452" i="7"/>
  <c r="F452" i="7" s="1"/>
  <c r="C527" i="7"/>
  <c r="F527" i="7" s="1"/>
  <c r="C537" i="7"/>
  <c r="F537" i="7" s="1"/>
  <c r="C540" i="7"/>
  <c r="F540" i="7" s="1"/>
  <c r="C487" i="7"/>
  <c r="F487" i="7" s="1"/>
  <c r="C528" i="7"/>
  <c r="F528" i="7" s="1"/>
  <c r="C521" i="7"/>
  <c r="F521" i="7" s="1"/>
  <c r="C491" i="7"/>
  <c r="F491" i="7" s="1"/>
  <c r="C443" i="7"/>
  <c r="F443" i="7" s="1"/>
  <c r="C446" i="7"/>
  <c r="F446" i="7" s="1"/>
  <c r="C502" i="7"/>
  <c r="F502" i="7" s="1"/>
  <c r="C483" i="7"/>
  <c r="F483" i="7" s="1"/>
  <c r="C480" i="7"/>
  <c r="F480" i="7" s="1"/>
  <c r="C512" i="7"/>
  <c r="F512" i="7" s="1"/>
  <c r="C507" i="7"/>
  <c r="F507" i="7" s="1"/>
  <c r="C435" i="7"/>
  <c r="F435" i="7" s="1"/>
  <c r="C560" i="7"/>
  <c r="F560" i="7" s="1"/>
  <c r="C415" i="7"/>
  <c r="F415" i="7" s="1"/>
  <c r="C535" i="7"/>
  <c r="F535" i="7" s="1"/>
  <c r="C467" i="7"/>
  <c r="F467" i="7" s="1"/>
  <c r="C413" i="7"/>
  <c r="F413" i="7" s="1"/>
  <c r="C437" i="7"/>
  <c r="F437" i="7" s="1"/>
  <c r="C461" i="7"/>
  <c r="F461" i="7" s="1"/>
  <c r="C440" i="7"/>
  <c r="F440" i="7" s="1"/>
  <c r="C493" i="7"/>
  <c r="F493" i="7" s="1"/>
  <c r="C494" i="7"/>
  <c r="F494" i="7" s="1"/>
  <c r="C444" i="7"/>
  <c r="F444" i="7" s="1"/>
  <c r="C433" i="7"/>
  <c r="F433" i="7" s="1"/>
  <c r="C542" i="7"/>
  <c r="F542" i="7" s="1"/>
  <c r="C429" i="7"/>
  <c r="F429" i="7" s="1"/>
  <c r="C423" i="7"/>
  <c r="F423" i="7" s="1"/>
  <c r="C482" i="7"/>
  <c r="F482" i="7" s="1"/>
  <c r="C529" i="7"/>
  <c r="F529" i="7" s="1"/>
  <c r="C526" i="7"/>
  <c r="F526" i="7" s="1"/>
  <c r="C455" i="7"/>
  <c r="F455" i="7" s="1"/>
  <c r="C530" i="7"/>
  <c r="F530" i="7" s="1"/>
  <c r="C470" i="7"/>
  <c r="F470" i="7" s="1"/>
  <c r="C551" i="7"/>
  <c r="F551" i="7" s="1"/>
  <c r="C509" i="7"/>
  <c r="F509" i="7" s="1"/>
  <c r="C419" i="7"/>
  <c r="F419" i="7" s="1"/>
  <c r="C486" i="7"/>
  <c r="F486" i="7" s="1"/>
  <c r="C445" i="7"/>
  <c r="F445" i="7" s="1"/>
  <c r="C533" i="7"/>
  <c r="F533" i="7" s="1"/>
  <c r="C548" i="7"/>
  <c r="F548" i="7" s="1"/>
  <c r="C412" i="7"/>
  <c r="C468" i="7"/>
  <c r="F468" i="7" s="1"/>
  <c r="C447" i="7"/>
  <c r="F447" i="7" s="1"/>
  <c r="C531" i="7"/>
  <c r="F531" i="7" s="1"/>
  <c r="C425" i="7"/>
  <c r="F425" i="7" s="1"/>
  <c r="C525" i="7"/>
  <c r="F525" i="7" s="1"/>
  <c r="C465" i="7"/>
  <c r="F465" i="7" s="1"/>
  <c r="C473" i="7"/>
  <c r="F473" i="7" s="1"/>
  <c r="C464" i="7"/>
  <c r="F464" i="7" s="1"/>
  <c r="C488" i="7"/>
  <c r="F488" i="7" s="1"/>
  <c r="C501" i="7"/>
  <c r="F501" i="7" s="1"/>
  <c r="C428" i="7"/>
  <c r="F428" i="7" s="1"/>
  <c r="C478" i="7"/>
  <c r="F478" i="7" s="1"/>
  <c r="C556" i="7"/>
  <c r="F556" i="7" s="1"/>
  <c r="C508" i="7"/>
  <c r="F508" i="7" s="1"/>
  <c r="C427" i="7"/>
  <c r="F427" i="7" s="1"/>
  <c r="C498" i="7"/>
  <c r="F498" i="7" s="1"/>
  <c r="C431" i="7"/>
  <c r="F431" i="7" s="1"/>
  <c r="C489" i="7"/>
  <c r="F489" i="7" s="1"/>
  <c r="C463" i="7"/>
  <c r="F463" i="7" s="1"/>
  <c r="C475" i="7"/>
  <c r="F475" i="7" s="1"/>
  <c r="C471" i="7"/>
  <c r="F471" i="7" s="1"/>
  <c r="C476" i="7"/>
  <c r="F476" i="7" s="1"/>
  <c r="C490" i="7"/>
  <c r="F490" i="7" s="1"/>
  <c r="C453" i="7"/>
  <c r="F453" i="7" s="1"/>
  <c r="C544" i="7"/>
  <c r="F544" i="7" s="1"/>
  <c r="C451" i="7"/>
  <c r="F451" i="7" s="1"/>
  <c r="C460" i="7"/>
  <c r="F460" i="7" s="1"/>
  <c r="C543" i="7"/>
  <c r="F543" i="7" s="1"/>
  <c r="C515" i="7"/>
  <c r="F515" i="7" s="1"/>
  <c r="C450" i="7"/>
  <c r="F450" i="7" s="1"/>
  <c r="C506" i="7"/>
  <c r="F506" i="7" s="1"/>
  <c r="C481" i="7"/>
  <c r="F481" i="7" s="1"/>
  <c r="C519" i="7"/>
  <c r="F519" i="7" s="1"/>
  <c r="C472" i="7"/>
  <c r="F472" i="7" s="1"/>
  <c r="C520" i="7"/>
  <c r="F520" i="7" s="1"/>
  <c r="C546" i="7"/>
  <c r="F546" i="7" s="1"/>
  <c r="C554" i="7"/>
  <c r="F554" i="7" s="1"/>
  <c r="C513" i="7"/>
  <c r="F513" i="7" s="1"/>
  <c r="C414" i="7"/>
  <c r="F414" i="7" s="1"/>
  <c r="C567" i="7"/>
  <c r="F567" i="7" s="1"/>
  <c r="C550" i="7"/>
  <c r="F550" i="7" s="1"/>
  <c r="C545" i="7"/>
  <c r="F545" i="7" s="1"/>
  <c r="C449" i="7"/>
  <c r="F449" i="7" s="1"/>
  <c r="C459" i="7"/>
  <c r="F459" i="7" s="1"/>
  <c r="C441" i="7"/>
  <c r="F441" i="7" s="1"/>
  <c r="C497" i="7"/>
  <c r="F497" i="7" s="1"/>
  <c r="C523" i="7"/>
  <c r="F523" i="7" s="1"/>
  <c r="C434" i="7"/>
  <c r="F434" i="7" s="1"/>
  <c r="C557" i="7"/>
  <c r="F557" i="7" s="1"/>
  <c r="C514" i="7"/>
  <c r="F514" i="7" s="1"/>
  <c r="C504" i="7"/>
  <c r="F504" i="7" s="1"/>
  <c r="B466" i="7"/>
  <c r="E466" i="7" s="1"/>
  <c r="B484" i="7"/>
  <c r="E484" i="7" s="1"/>
  <c r="B524" i="7"/>
  <c r="E524" i="7" s="1"/>
  <c r="B478" i="7"/>
  <c r="E478" i="7" s="1"/>
  <c r="B557" i="7"/>
  <c r="E557" i="7" s="1"/>
  <c r="B493" i="7"/>
  <c r="E493" i="7" s="1"/>
  <c r="B433" i="7"/>
  <c r="E433" i="7" s="1"/>
  <c r="B487" i="7"/>
  <c r="E487" i="7" s="1"/>
  <c r="B563" i="7"/>
  <c r="E563" i="7" s="1"/>
  <c r="B535" i="7"/>
  <c r="E535" i="7" s="1"/>
  <c r="B416" i="7"/>
  <c r="E416" i="7" s="1"/>
  <c r="B545" i="7"/>
  <c r="E545" i="7" s="1"/>
  <c r="B419" i="7"/>
  <c r="E419" i="7" s="1"/>
  <c r="B464" i="7"/>
  <c r="E464" i="7" s="1"/>
  <c r="B469" i="7"/>
  <c r="E469" i="7" s="1"/>
  <c r="B439" i="7"/>
  <c r="E439" i="7" s="1"/>
  <c r="B531" i="7"/>
  <c r="E531" i="7" s="1"/>
  <c r="B435" i="7"/>
  <c r="E435" i="7" s="1"/>
  <c r="B412" i="7"/>
  <c r="B511" i="7"/>
  <c r="E511" i="7" s="1"/>
  <c r="B448" i="7"/>
  <c r="E448" i="7" s="1"/>
  <c r="B492" i="7"/>
  <c r="E492" i="7" s="1"/>
  <c r="B446" i="7"/>
  <c r="E446" i="7" s="1"/>
  <c r="B422" i="7"/>
  <c r="E422" i="7" s="1"/>
  <c r="B558" i="7"/>
  <c r="E558" i="7" s="1"/>
  <c r="B514" i="7"/>
  <c r="E514" i="7" s="1"/>
  <c r="B477" i="7"/>
  <c r="E477" i="7" s="1"/>
  <c r="B544" i="7"/>
  <c r="E544" i="7" s="1"/>
  <c r="B472" i="7"/>
  <c r="E472" i="7" s="1"/>
  <c r="B483" i="7"/>
  <c r="E483" i="7" s="1"/>
  <c r="B520" i="7"/>
  <c r="E520" i="7" s="1"/>
  <c r="B470" i="7"/>
  <c r="E470" i="7" s="1"/>
  <c r="B415" i="7"/>
  <c r="E415" i="7" s="1"/>
  <c r="B538" i="7"/>
  <c r="E538" i="7" s="1"/>
  <c r="B547" i="7"/>
  <c r="E547" i="7" s="1"/>
  <c r="B413" i="7"/>
  <c r="E413" i="7" s="1"/>
  <c r="B454" i="7"/>
  <c r="E454" i="7" s="1"/>
  <c r="B453" i="7"/>
  <c r="E453" i="7" s="1"/>
  <c r="B488" i="7"/>
  <c r="E488" i="7" s="1"/>
  <c r="B537" i="7"/>
  <c r="E537" i="7" s="1"/>
  <c r="B457" i="7"/>
  <c r="E457" i="7" s="1"/>
  <c r="B519" i="7"/>
  <c r="E519" i="7" s="1"/>
  <c r="B553" i="7"/>
  <c r="E553" i="7" s="1"/>
  <c r="B424" i="7"/>
  <c r="E424" i="7" s="1"/>
  <c r="B543" i="7"/>
  <c r="E543" i="7" s="1"/>
  <c r="B509" i="7"/>
  <c r="E509" i="7" s="1"/>
  <c r="B475" i="7"/>
  <c r="E475" i="7" s="1"/>
  <c r="B513" i="7"/>
  <c r="E513" i="7" s="1"/>
  <c r="B515" i="7"/>
  <c r="E515" i="7" s="1"/>
  <c r="B421" i="7"/>
  <c r="E421" i="7" s="1"/>
  <c r="B486" i="7"/>
  <c r="E486" i="7" s="1"/>
  <c r="B536" i="7"/>
  <c r="E536" i="7" s="1"/>
  <c r="B503" i="7"/>
  <c r="E503" i="7" s="1"/>
  <c r="B552" i="7"/>
  <c r="E552" i="7" s="1"/>
  <c r="B428" i="7"/>
  <c r="E428" i="7" s="1"/>
  <c r="B418" i="7"/>
  <c r="E418" i="7" s="1"/>
  <c r="B561" i="7"/>
  <c r="E561" i="7" s="1"/>
  <c r="B459" i="7"/>
  <c r="E459" i="7" s="1"/>
  <c r="B481" i="7"/>
  <c r="E481" i="7" s="1"/>
  <c r="B473" i="7"/>
  <c r="E473" i="7" s="1"/>
  <c r="B440" i="7"/>
  <c r="E440" i="7" s="1"/>
  <c r="B523" i="7"/>
  <c r="E523" i="7" s="1"/>
  <c r="B565" i="7"/>
  <c r="E565" i="7" s="1"/>
  <c r="B529" i="7"/>
  <c r="E529" i="7" s="1"/>
  <c r="B491" i="7"/>
  <c r="E491" i="7" s="1"/>
  <c r="B512" i="7"/>
  <c r="E512" i="7" s="1"/>
  <c r="B517" i="7"/>
  <c r="E517" i="7" s="1"/>
  <c r="B460" i="7"/>
  <c r="E460" i="7" s="1"/>
  <c r="B560" i="7"/>
  <c r="E560" i="7" s="1"/>
  <c r="B518" i="7"/>
  <c r="E518" i="7" s="1"/>
  <c r="B429" i="7"/>
  <c r="E429" i="7" s="1"/>
  <c r="B510" i="7"/>
  <c r="E510" i="7" s="1"/>
  <c r="B449" i="7"/>
  <c r="E449" i="7" s="1"/>
  <c r="B450" i="7"/>
  <c r="E450" i="7" s="1"/>
  <c r="B507" i="7"/>
  <c r="E507" i="7" s="1"/>
  <c r="B432" i="7"/>
  <c r="E432" i="7" s="1"/>
  <c r="B541" i="7"/>
  <c r="E541" i="7" s="1"/>
  <c r="B525" i="7"/>
  <c r="E525" i="7" s="1"/>
  <c r="B490" i="7"/>
  <c r="E490" i="7" s="1"/>
  <c r="B438" i="7"/>
  <c r="E438" i="7" s="1"/>
  <c r="B504" i="7"/>
  <c r="E504" i="7" s="1"/>
  <c r="B502" i="7"/>
  <c r="E502" i="7" s="1"/>
  <c r="B548" i="7"/>
  <c r="E548" i="7" s="1"/>
  <c r="B431" i="7"/>
  <c r="E431" i="7" s="1"/>
  <c r="B463" i="7"/>
  <c r="E463" i="7" s="1"/>
  <c r="B501" i="7"/>
  <c r="E501" i="7" s="1"/>
  <c r="B497" i="7"/>
  <c r="E497" i="7" s="1"/>
  <c r="B527" i="7"/>
  <c r="E527" i="7" s="1"/>
  <c r="B468" i="7"/>
  <c r="E468" i="7" s="1"/>
  <c r="B485" i="7"/>
  <c r="E485" i="7" s="1"/>
  <c r="B546" i="7"/>
  <c r="E546" i="7" s="1"/>
  <c r="B436" i="7"/>
  <c r="E436" i="7" s="1"/>
  <c r="B479" i="7"/>
  <c r="E479" i="7" s="1"/>
  <c r="B445" i="7"/>
  <c r="E445" i="7" s="1"/>
  <c r="B498" i="7"/>
  <c r="E498" i="7" s="1"/>
  <c r="B480" i="7"/>
  <c r="E480" i="7" s="1"/>
  <c r="B500" i="7"/>
  <c r="E500" i="7" s="1"/>
  <c r="B456" i="7"/>
  <c r="E456" i="7" s="1"/>
  <c r="B562" i="7"/>
  <c r="E562" i="7" s="1"/>
  <c r="B489" i="7"/>
  <c r="E489" i="7" s="1"/>
  <c r="B414" i="7"/>
  <c r="E414" i="7" s="1"/>
  <c r="B539" i="7"/>
  <c r="E539" i="7" s="1"/>
  <c r="B505" i="7"/>
  <c r="E505" i="7" s="1"/>
  <c r="B526" i="7"/>
  <c r="E526" i="7" s="1"/>
  <c r="B528" i="7"/>
  <c r="E528" i="7" s="1"/>
  <c r="B447" i="7"/>
  <c r="E447" i="7" s="1"/>
  <c r="B458" i="7"/>
  <c r="E458" i="7" s="1"/>
  <c r="B534" i="7"/>
  <c r="E534" i="7" s="1"/>
  <c r="B467" i="7"/>
  <c r="E467" i="7" s="1"/>
  <c r="B426" i="7"/>
  <c r="E426" i="7" s="1"/>
  <c r="B444" i="7"/>
  <c r="E444" i="7" s="1"/>
  <c r="B427" i="7"/>
  <c r="E427" i="7" s="1"/>
  <c r="B554" i="7"/>
  <c r="E554" i="7" s="1"/>
  <c r="B532" i="7"/>
  <c r="E532" i="7" s="1"/>
  <c r="B550" i="7"/>
  <c r="E550" i="7" s="1"/>
  <c r="B474" i="7"/>
  <c r="E474" i="7" s="1"/>
  <c r="B542" i="7"/>
  <c r="E542" i="7" s="1"/>
  <c r="B420" i="7"/>
  <c r="E420" i="7" s="1"/>
  <c r="B551" i="7"/>
  <c r="E551" i="7" s="1"/>
  <c r="B437" i="7"/>
  <c r="E437" i="7" s="1"/>
  <c r="B461" i="7"/>
  <c r="E461" i="7" s="1"/>
  <c r="B442" i="7"/>
  <c r="E442" i="7" s="1"/>
  <c r="B423" i="7"/>
  <c r="E423" i="7" s="1"/>
  <c r="B555" i="7"/>
  <c r="E555" i="7" s="1"/>
  <c r="B471" i="7"/>
  <c r="E471" i="7" s="1"/>
  <c r="B465" i="7"/>
  <c r="E465" i="7" s="1"/>
  <c r="B540" i="7"/>
  <c r="E540" i="7" s="1"/>
  <c r="B462" i="7"/>
  <c r="E462" i="7" s="1"/>
  <c r="B522" i="7"/>
  <c r="E522" i="7" s="1"/>
  <c r="B443" i="7"/>
  <c r="E443" i="7" s="1"/>
  <c r="B533" i="7"/>
  <c r="E533" i="7" s="1"/>
  <c r="B559" i="7"/>
  <c r="E559" i="7" s="1"/>
  <c r="B451" i="7"/>
  <c r="E451" i="7" s="1"/>
  <c r="B556" i="7"/>
  <c r="E556" i="7" s="1"/>
  <c r="B495" i="7"/>
  <c r="E495" i="7" s="1"/>
  <c r="B508" i="7"/>
  <c r="E508" i="7" s="1"/>
  <c r="B482" i="7"/>
  <c r="E482" i="7" s="1"/>
  <c r="B417" i="7"/>
  <c r="E417" i="7" s="1"/>
  <c r="B521" i="7"/>
  <c r="E521" i="7" s="1"/>
  <c r="B564" i="7"/>
  <c r="E564" i="7" s="1"/>
  <c r="B434" i="7"/>
  <c r="E434" i="7" s="1"/>
  <c r="B476" i="7"/>
  <c r="E476" i="7" s="1"/>
  <c r="B499" i="7"/>
  <c r="E499" i="7" s="1"/>
  <c r="B494" i="7"/>
  <c r="E494" i="7" s="1"/>
  <c r="B530" i="7"/>
  <c r="E530" i="7" s="1"/>
  <c r="B566" i="7"/>
  <c r="E566" i="7" s="1"/>
  <c r="B567" i="7"/>
  <c r="E567" i="7" s="1"/>
  <c r="B441" i="7"/>
  <c r="E441" i="7" s="1"/>
  <c r="B452" i="7"/>
  <c r="E452" i="7" s="1"/>
  <c r="B455" i="7"/>
  <c r="E455" i="7" s="1"/>
  <c r="B430" i="7"/>
  <c r="E430" i="7" s="1"/>
  <c r="B425" i="7"/>
  <c r="E425" i="7" s="1"/>
  <c r="B549" i="7"/>
  <c r="E549" i="7" s="1"/>
  <c r="B516" i="7"/>
  <c r="E516" i="7" s="1"/>
  <c r="B506" i="7"/>
  <c r="E506" i="7" s="1"/>
  <c r="B496" i="7"/>
  <c r="E496" i="7" s="1"/>
  <c r="B25" i="6"/>
  <c r="B599" i="7"/>
  <c r="B16" i="5"/>
  <c r="I13" i="6" a="1"/>
  <c r="B16" i="6" a="1"/>
  <c r="B16" i="6" s="1"/>
  <c r="C587" i="7"/>
  <c r="C16" i="7"/>
  <c r="H16" i="7" s="1" a="1"/>
  <c r="C588" i="7"/>
  <c r="C17" i="7"/>
  <c r="H17" i="7" s="1" a="1"/>
  <c r="C590" i="7"/>
  <c r="C19" i="7"/>
  <c r="H19" i="7" s="1" a="1"/>
  <c r="C593" i="7"/>
  <c r="C22" i="7"/>
  <c r="H22" i="7" s="1" a="1"/>
  <c r="C592" i="7"/>
  <c r="C21" i="7"/>
  <c r="H21" i="7" s="1" a="1"/>
  <c r="C591" i="7"/>
  <c r="C20" i="7"/>
  <c r="H20" i="7" s="1" a="1"/>
  <c r="A13" i="4" l="1"/>
  <c r="A14" i="2"/>
  <c r="A422" i="7"/>
  <c r="A62" i="7"/>
  <c r="A237" i="7"/>
  <c r="B597" i="7"/>
  <c r="B602" i="7" s="1"/>
  <c r="C602" i="7" s="1"/>
  <c r="B571" i="7"/>
  <c r="E412" i="7"/>
  <c r="C571" i="7" s="1"/>
  <c r="J18" i="7"/>
  <c r="I18" i="7"/>
  <c r="H18" i="7"/>
  <c r="J17" i="7"/>
  <c r="H17" i="7"/>
  <c r="I17" i="7"/>
  <c r="I15" i="6"/>
  <c r="J15" i="6" s="1"/>
  <c r="I14" i="6"/>
  <c r="J14" i="6" s="1"/>
  <c r="I13" i="6"/>
  <c r="J13" i="6" s="1"/>
  <c r="J16" i="6" s="1"/>
  <c r="H23" i="7"/>
  <c r="J23" i="7"/>
  <c r="I23" i="7"/>
  <c r="H19" i="7"/>
  <c r="I19" i="7"/>
  <c r="J19" i="7"/>
  <c r="B28" i="6"/>
  <c r="B29" i="6" s="1"/>
  <c r="B32" i="6"/>
  <c r="J21" i="7"/>
  <c r="H21" i="7"/>
  <c r="I21" i="7"/>
  <c r="B573" i="7"/>
  <c r="G412" i="7"/>
  <c r="C573" i="7" s="1"/>
  <c r="J22" i="7"/>
  <c r="I22" i="7"/>
  <c r="H22" i="7"/>
  <c r="B33" i="6"/>
  <c r="B572" i="7"/>
  <c r="F412" i="7"/>
  <c r="C572" i="7" s="1"/>
  <c r="J20" i="7"/>
  <c r="I20" i="7"/>
  <c r="H20" i="7"/>
  <c r="C393" i="7"/>
  <c r="D393" i="7" s="1"/>
  <c r="B211" i="7"/>
  <c r="J16" i="7"/>
  <c r="I16" i="7"/>
  <c r="H16" i="7"/>
  <c r="J14" i="7"/>
  <c r="I14" i="7"/>
  <c r="H14" i="7"/>
  <c r="A15" i="2" l="1"/>
  <c r="A14" i="4"/>
  <c r="A238" i="7"/>
  <c r="A423" i="7"/>
  <c r="A63" i="7"/>
  <c r="D27" i="7" a="1"/>
  <c r="A64" i="7" l="1"/>
  <c r="A239" i="7"/>
  <c r="A424" i="7"/>
  <c r="A16" i="2"/>
  <c r="A15" i="4"/>
  <c r="E28" i="7"/>
  <c r="D28" i="7"/>
  <c r="F27" i="7"/>
  <c r="F29" i="7"/>
  <c r="E29" i="7"/>
  <c r="D29" i="7"/>
  <c r="F28" i="7"/>
  <c r="E27" i="7"/>
  <c r="D27" i="7"/>
  <c r="A65" i="7" l="1"/>
  <c r="A425" i="7"/>
  <c r="A240" i="7"/>
  <c r="A17" i="2"/>
  <c r="A16" i="4"/>
  <c r="D33" i="7" a="1"/>
  <c r="A426" i="7" l="1"/>
  <c r="A66" i="7"/>
  <c r="A241" i="7"/>
  <c r="A18" i="2"/>
  <c r="A17" i="4"/>
  <c r="F33" i="7"/>
  <c r="E33" i="7"/>
  <c r="F35" i="7"/>
  <c r="D33" i="7"/>
  <c r="E35" i="7"/>
  <c r="D35" i="7"/>
  <c r="F34" i="7"/>
  <c r="E34" i="7"/>
  <c r="D34" i="7"/>
  <c r="A242" i="7" l="1"/>
  <c r="A67" i="7"/>
  <c r="A427" i="7"/>
  <c r="A18" i="4"/>
  <c r="A19" i="2"/>
  <c r="B39" i="7" a="1"/>
  <c r="A428" i="7" l="1"/>
  <c r="A243" i="7"/>
  <c r="A68" i="7"/>
  <c r="A20" i="2"/>
  <c r="A19" i="4"/>
  <c r="B47" i="7"/>
  <c r="C44" i="7"/>
  <c r="D41" i="7"/>
  <c r="D46" i="7"/>
  <c r="B44" i="7"/>
  <c r="C41" i="7"/>
  <c r="B39" i="7"/>
  <c r="C46" i="7"/>
  <c r="D43" i="7"/>
  <c r="B41" i="7"/>
  <c r="C48" i="7"/>
  <c r="D44" i="7"/>
  <c r="B40" i="7"/>
  <c r="B48" i="7"/>
  <c r="C43" i="7"/>
  <c r="D39" i="7"/>
  <c r="D47" i="7"/>
  <c r="B43" i="7"/>
  <c r="C39" i="7"/>
  <c r="C47" i="7"/>
  <c r="D42" i="7"/>
  <c r="B46" i="7"/>
  <c r="C42" i="7"/>
  <c r="D45" i="7"/>
  <c r="B42" i="7"/>
  <c r="C45" i="7"/>
  <c r="D40" i="7"/>
  <c r="D48" i="7"/>
  <c r="B45" i="7"/>
  <c r="C40" i="7"/>
  <c r="A429" i="7" l="1"/>
  <c r="A244" i="7"/>
  <c r="A69" i="7"/>
  <c r="A20" i="4"/>
  <c r="A21" i="2"/>
  <c r="B202" i="7" a="1"/>
  <c r="B194" i="7" a="1"/>
  <c r="B186" i="7" a="1"/>
  <c r="B178" i="7" a="1"/>
  <c r="B170" i="7" a="1"/>
  <c r="B162" i="7" a="1"/>
  <c r="B154" i="7" a="1"/>
  <c r="B146" i="7" a="1"/>
  <c r="B205" i="7" a="1"/>
  <c r="B197" i="7" a="1"/>
  <c r="B189" i="7" a="1"/>
  <c r="B181" i="7" a="1"/>
  <c r="B173" i="7" a="1"/>
  <c r="B165" i="7" a="1"/>
  <c r="B157" i="7" a="1"/>
  <c r="B149" i="7" a="1"/>
  <c r="B200" i="7" a="1"/>
  <c r="B192" i="7" a="1"/>
  <c r="B184" i="7" a="1"/>
  <c r="B176" i="7" a="1"/>
  <c r="B168" i="7" a="1"/>
  <c r="B160" i="7" a="1"/>
  <c r="B152" i="7" a="1"/>
  <c r="B204" i="7" a="1"/>
  <c r="B199" i="7" a="1"/>
  <c r="B155" i="7" a="1"/>
  <c r="B150" i="7" a="1"/>
  <c r="B145" i="7" a="1"/>
  <c r="B140" i="7" a="1"/>
  <c r="B132" i="7" a="1"/>
  <c r="B124" i="7" a="1"/>
  <c r="B116" i="7" a="1"/>
  <c r="B108" i="7" a="1"/>
  <c r="B100" i="7" a="1"/>
  <c r="B92" i="7" a="1"/>
  <c r="B84" i="7" a="1"/>
  <c r="B76" i="7" a="1"/>
  <c r="B68" i="7" a="1"/>
  <c r="B60" i="7" a="1"/>
  <c r="B52" i="7" a="1"/>
  <c r="B206" i="7" a="1"/>
  <c r="B201" i="7" a="1"/>
  <c r="B196" i="7" a="1"/>
  <c r="B191" i="7" a="1"/>
  <c r="B147" i="7" a="1"/>
  <c r="B143" i="7" a="1"/>
  <c r="B135" i="7" a="1"/>
  <c r="B127" i="7" a="1"/>
  <c r="B119" i="7" a="1"/>
  <c r="B111" i="7" a="1"/>
  <c r="B103" i="7" a="1"/>
  <c r="B95" i="7" a="1"/>
  <c r="B87" i="7" a="1"/>
  <c r="B79" i="7" a="1"/>
  <c r="B71" i="7" a="1"/>
  <c r="B63" i="7" a="1"/>
  <c r="B55" i="7" a="1"/>
  <c r="B203" i="7" a="1"/>
  <c r="B198" i="7" a="1"/>
  <c r="B193" i="7" a="1"/>
  <c r="B188" i="7" a="1"/>
  <c r="B183" i="7" a="1"/>
  <c r="B138" i="7" a="1"/>
  <c r="B130" i="7" a="1"/>
  <c r="B122" i="7" a="1"/>
  <c r="B114" i="7" a="1"/>
  <c r="B106" i="7" a="1"/>
  <c r="B98" i="7" a="1"/>
  <c r="B90" i="7" a="1"/>
  <c r="B82" i="7" a="1"/>
  <c r="B74" i="7" a="1"/>
  <c r="B66" i="7" a="1"/>
  <c r="B58" i="7" a="1"/>
  <c r="B195" i="7" a="1"/>
  <c r="B190" i="7" a="1"/>
  <c r="B185" i="7" a="1"/>
  <c r="B180" i="7" a="1"/>
  <c r="B187" i="7" a="1"/>
  <c r="B179" i="7" a="1"/>
  <c r="B207" i="7" a="1"/>
  <c r="B163" i="7" a="1"/>
  <c r="B158" i="7" a="1"/>
  <c r="B153" i="7" a="1"/>
  <c r="B148" i="7" a="1"/>
  <c r="B137" i="7" a="1"/>
  <c r="B129" i="7" a="1"/>
  <c r="B121" i="7" a="1"/>
  <c r="B174" i="7" a="1"/>
  <c r="B169" i="7" a="1"/>
  <c r="B164" i="7" a="1"/>
  <c r="B159" i="7" a="1"/>
  <c r="B131" i="7" a="1"/>
  <c r="B113" i="7" a="1"/>
  <c r="B69" i="7" a="1"/>
  <c r="B64" i="7" a="1"/>
  <c r="B59" i="7" a="1"/>
  <c r="B54" i="7" a="1"/>
  <c r="B134" i="7" a="1"/>
  <c r="B118" i="7" a="1"/>
  <c r="B115" i="7" a="1"/>
  <c r="B110" i="7" a="1"/>
  <c r="B105" i="7" a="1"/>
  <c r="B61" i="7" a="1"/>
  <c r="B56" i="7" a="1"/>
  <c r="B133" i="7" a="1"/>
  <c r="B117" i="7" a="1"/>
  <c r="B112" i="7" a="1"/>
  <c r="B107" i="7" a="1"/>
  <c r="B102" i="7" a="1"/>
  <c r="B97" i="7" a="1"/>
  <c r="B53" i="7" a="1"/>
  <c r="B177" i="7" a="1"/>
  <c r="B172" i="7" a="1"/>
  <c r="B167" i="7" a="1"/>
  <c r="B136" i="7" a="1"/>
  <c r="B120" i="7" a="1"/>
  <c r="B109" i="7" a="1"/>
  <c r="B104" i="7" a="1"/>
  <c r="B99" i="7" a="1"/>
  <c r="B94" i="7" a="1"/>
  <c r="B89" i="7" a="1"/>
  <c r="B139" i="7" a="1"/>
  <c r="B123" i="7" a="1"/>
  <c r="B101" i="7" a="1"/>
  <c r="B96" i="7" a="1"/>
  <c r="B91" i="7" a="1"/>
  <c r="B86" i="7" a="1"/>
  <c r="B81" i="7" a="1"/>
  <c r="B171" i="7" a="1"/>
  <c r="B166" i="7" a="1"/>
  <c r="B161" i="7" a="1"/>
  <c r="B156" i="7" a="1"/>
  <c r="B151" i="7" a="1"/>
  <c r="B142" i="7" a="1"/>
  <c r="B126" i="7" a="1"/>
  <c r="B93" i="7" a="1"/>
  <c r="B88" i="7" a="1"/>
  <c r="B83" i="7" a="1"/>
  <c r="B78" i="7" a="1"/>
  <c r="B73" i="7" a="1"/>
  <c r="B182" i="7" a="1"/>
  <c r="B175" i="7" a="1"/>
  <c r="B141" i="7" a="1"/>
  <c r="B125" i="7" a="1"/>
  <c r="B85" i="7" a="1"/>
  <c r="B80" i="7" a="1"/>
  <c r="B75" i="7" a="1"/>
  <c r="B70" i="7" a="1"/>
  <c r="B65" i="7" a="1"/>
  <c r="B144" i="7" a="1"/>
  <c r="B128" i="7" a="1"/>
  <c r="B77" i="7" a="1"/>
  <c r="B72" i="7" a="1"/>
  <c r="B67" i="7" a="1"/>
  <c r="B62" i="7" a="1"/>
  <c r="B57" i="7" a="1"/>
  <c r="A22" i="2" l="1"/>
  <c r="A21" i="4"/>
  <c r="A430" i="7"/>
  <c r="A70" i="7"/>
  <c r="A245" i="7"/>
  <c r="B81" i="7"/>
  <c r="D81" i="7"/>
  <c r="C81" i="7"/>
  <c r="D66" i="7"/>
  <c r="C66" i="7"/>
  <c r="B66" i="7"/>
  <c r="C63" i="7"/>
  <c r="B63" i="7"/>
  <c r="D63" i="7"/>
  <c r="C127" i="7"/>
  <c r="B127" i="7"/>
  <c r="D127" i="7"/>
  <c r="B52" i="7"/>
  <c r="D52" i="7"/>
  <c r="C52" i="7"/>
  <c r="B116" i="7"/>
  <c r="D116" i="7"/>
  <c r="C116" i="7"/>
  <c r="B204" i="7"/>
  <c r="C204" i="7"/>
  <c r="D204" i="7"/>
  <c r="C149" i="7"/>
  <c r="B149" i="7"/>
  <c r="D149" i="7"/>
  <c r="B146" i="7"/>
  <c r="D146" i="7"/>
  <c r="C146" i="7"/>
  <c r="D94" i="7"/>
  <c r="C94" i="7"/>
  <c r="B94" i="7"/>
  <c r="D174" i="7"/>
  <c r="B174" i="7"/>
  <c r="C174" i="7"/>
  <c r="B207" i="7"/>
  <c r="D207" i="7"/>
  <c r="C207" i="7"/>
  <c r="D130" i="7"/>
  <c r="C130" i="7"/>
  <c r="B130" i="7"/>
  <c r="D128" i="7"/>
  <c r="B128" i="7"/>
  <c r="C128" i="7"/>
  <c r="D141" i="7"/>
  <c r="C141" i="7"/>
  <c r="B141" i="7"/>
  <c r="B126" i="7"/>
  <c r="D126" i="7"/>
  <c r="C126" i="7"/>
  <c r="D86" i="7"/>
  <c r="C86" i="7"/>
  <c r="B86" i="7"/>
  <c r="D99" i="7"/>
  <c r="C99" i="7"/>
  <c r="B99" i="7"/>
  <c r="D53" i="7"/>
  <c r="C53" i="7"/>
  <c r="B53" i="7"/>
  <c r="D61" i="7"/>
  <c r="C61" i="7"/>
  <c r="B61" i="7"/>
  <c r="D64" i="7"/>
  <c r="B64" i="7"/>
  <c r="C64" i="7"/>
  <c r="B121" i="7"/>
  <c r="D121" i="7"/>
  <c r="C121" i="7"/>
  <c r="D179" i="7"/>
  <c r="C179" i="7"/>
  <c r="B179" i="7"/>
  <c r="D74" i="7"/>
  <c r="C74" i="7"/>
  <c r="B74" i="7"/>
  <c r="D138" i="7"/>
  <c r="C138" i="7"/>
  <c r="B138" i="7"/>
  <c r="C71" i="7"/>
  <c r="B71" i="7"/>
  <c r="D71" i="7"/>
  <c r="C135" i="7"/>
  <c r="B135" i="7"/>
  <c r="D135" i="7"/>
  <c r="B60" i="7"/>
  <c r="D60" i="7"/>
  <c r="C60" i="7"/>
  <c r="B124" i="7"/>
  <c r="C124" i="7"/>
  <c r="D124" i="7"/>
  <c r="D152" i="7"/>
  <c r="C152" i="7"/>
  <c r="B152" i="7"/>
  <c r="C157" i="7"/>
  <c r="B157" i="7"/>
  <c r="D157" i="7"/>
  <c r="B154" i="7"/>
  <c r="D154" i="7"/>
  <c r="C154" i="7"/>
  <c r="B105" i="7"/>
  <c r="C105" i="7"/>
  <c r="D105" i="7"/>
  <c r="B183" i="7"/>
  <c r="D183" i="7"/>
  <c r="C183" i="7"/>
  <c r="C79" i="7"/>
  <c r="B79" i="7"/>
  <c r="D79" i="7"/>
  <c r="C143" i="7"/>
  <c r="B143" i="7"/>
  <c r="D143" i="7"/>
  <c r="B68" i="7"/>
  <c r="D68" i="7"/>
  <c r="C68" i="7"/>
  <c r="B132" i="7"/>
  <c r="C132" i="7"/>
  <c r="D132" i="7"/>
  <c r="D160" i="7"/>
  <c r="C160" i="7"/>
  <c r="B160" i="7"/>
  <c r="C165" i="7"/>
  <c r="B165" i="7"/>
  <c r="D165" i="7"/>
  <c r="B162" i="7"/>
  <c r="D162" i="7"/>
  <c r="C162" i="7"/>
  <c r="D125" i="7"/>
  <c r="C125" i="7"/>
  <c r="B125" i="7"/>
  <c r="B97" i="7"/>
  <c r="D97" i="7"/>
  <c r="C97" i="7"/>
  <c r="D96" i="7"/>
  <c r="C96" i="7"/>
  <c r="B96" i="7"/>
  <c r="D90" i="7"/>
  <c r="C90" i="7"/>
  <c r="B90" i="7"/>
  <c r="D188" i="7"/>
  <c r="C188" i="7"/>
  <c r="B188" i="7"/>
  <c r="C87" i="7"/>
  <c r="B87" i="7"/>
  <c r="D87" i="7"/>
  <c r="D147" i="7"/>
  <c r="C147" i="7"/>
  <c r="B147" i="7"/>
  <c r="B76" i="7"/>
  <c r="D76" i="7"/>
  <c r="C76" i="7"/>
  <c r="B140" i="7"/>
  <c r="C140" i="7"/>
  <c r="D140" i="7"/>
  <c r="D168" i="7"/>
  <c r="C168" i="7"/>
  <c r="B168" i="7"/>
  <c r="C173" i="7"/>
  <c r="B173" i="7"/>
  <c r="D173" i="7"/>
  <c r="B170" i="7"/>
  <c r="D170" i="7"/>
  <c r="C170" i="7"/>
  <c r="D77" i="7"/>
  <c r="C77" i="7"/>
  <c r="B77" i="7"/>
  <c r="D69" i="7"/>
  <c r="C69" i="7"/>
  <c r="B69" i="7"/>
  <c r="B156" i="7"/>
  <c r="D156" i="7"/>
  <c r="C156" i="7"/>
  <c r="D193" i="7"/>
  <c r="C193" i="7"/>
  <c r="B193" i="7"/>
  <c r="B191" i="7"/>
  <c r="C191" i="7"/>
  <c r="D191" i="7"/>
  <c r="B84" i="7"/>
  <c r="D84" i="7"/>
  <c r="C84" i="7"/>
  <c r="B145" i="7"/>
  <c r="C145" i="7"/>
  <c r="D145" i="7"/>
  <c r="D176" i="7"/>
  <c r="C176" i="7"/>
  <c r="B176" i="7"/>
  <c r="C181" i="7"/>
  <c r="B181" i="7"/>
  <c r="D181" i="7"/>
  <c r="B178" i="7"/>
  <c r="D178" i="7"/>
  <c r="C178" i="7"/>
  <c r="D177" i="7"/>
  <c r="C177" i="7"/>
  <c r="B177" i="7"/>
  <c r="C144" i="7"/>
  <c r="B144" i="7"/>
  <c r="D144" i="7"/>
  <c r="D104" i="7"/>
  <c r="C104" i="7"/>
  <c r="B104" i="7"/>
  <c r="B129" i="7"/>
  <c r="D129" i="7"/>
  <c r="C129" i="7"/>
  <c r="B151" i="7"/>
  <c r="D151" i="7"/>
  <c r="C151" i="7"/>
  <c r="C110" i="7"/>
  <c r="B110" i="7"/>
  <c r="D110" i="7"/>
  <c r="B137" i="7"/>
  <c r="D137" i="7"/>
  <c r="C137" i="7"/>
  <c r="B57" i="7"/>
  <c r="D57" i="7"/>
  <c r="C57" i="7"/>
  <c r="D101" i="7"/>
  <c r="C101" i="7"/>
  <c r="B101" i="7"/>
  <c r="C115" i="7"/>
  <c r="B115" i="7"/>
  <c r="D115" i="7"/>
  <c r="D185" i="7"/>
  <c r="C185" i="7"/>
  <c r="B185" i="7"/>
  <c r="D75" i="7"/>
  <c r="C75" i="7"/>
  <c r="B75" i="7"/>
  <c r="D78" i="7"/>
  <c r="C78" i="7"/>
  <c r="B78" i="7"/>
  <c r="B161" i="7"/>
  <c r="D161" i="7"/>
  <c r="C161" i="7"/>
  <c r="D123" i="7"/>
  <c r="C123" i="7"/>
  <c r="B123" i="7"/>
  <c r="D136" i="7"/>
  <c r="C136" i="7"/>
  <c r="B136" i="7"/>
  <c r="D112" i="7"/>
  <c r="C112" i="7"/>
  <c r="B112" i="7"/>
  <c r="B118" i="7"/>
  <c r="C118" i="7"/>
  <c r="D118" i="7"/>
  <c r="B159" i="7"/>
  <c r="D159" i="7"/>
  <c r="C159" i="7"/>
  <c r="B153" i="7"/>
  <c r="D153" i="7"/>
  <c r="C153" i="7"/>
  <c r="D190" i="7"/>
  <c r="C190" i="7"/>
  <c r="B190" i="7"/>
  <c r="D106" i="7"/>
  <c r="C106" i="7"/>
  <c r="B106" i="7"/>
  <c r="D198" i="7"/>
  <c r="C198" i="7"/>
  <c r="B198" i="7"/>
  <c r="C103" i="7"/>
  <c r="B103" i="7"/>
  <c r="D103" i="7"/>
  <c r="C196" i="7"/>
  <c r="B196" i="7"/>
  <c r="D196" i="7"/>
  <c r="B92" i="7"/>
  <c r="D92" i="7"/>
  <c r="C92" i="7"/>
  <c r="D150" i="7"/>
  <c r="B150" i="7"/>
  <c r="C150" i="7"/>
  <c r="D184" i="7"/>
  <c r="C184" i="7"/>
  <c r="B184" i="7"/>
  <c r="C189" i="7"/>
  <c r="B189" i="7"/>
  <c r="D189" i="7"/>
  <c r="B186" i="7"/>
  <c r="C186" i="7"/>
  <c r="D186" i="7"/>
  <c r="D93" i="7"/>
  <c r="C93" i="7"/>
  <c r="B93" i="7"/>
  <c r="B59" i="7"/>
  <c r="D59" i="7"/>
  <c r="C59" i="7"/>
  <c r="B142" i="7"/>
  <c r="D142" i="7"/>
  <c r="C142" i="7"/>
  <c r="D82" i="7"/>
  <c r="C82" i="7"/>
  <c r="B82" i="7"/>
  <c r="D182" i="7"/>
  <c r="C182" i="7"/>
  <c r="B182" i="7"/>
  <c r="D102" i="7"/>
  <c r="C102" i="7"/>
  <c r="B102" i="7"/>
  <c r="B113" i="7"/>
  <c r="D113" i="7"/>
  <c r="C113" i="7"/>
  <c r="D70" i="7"/>
  <c r="C70" i="7"/>
  <c r="B70" i="7"/>
  <c r="D107" i="7"/>
  <c r="C107" i="7"/>
  <c r="B107" i="7"/>
  <c r="B148" i="7"/>
  <c r="D148" i="7"/>
  <c r="C148" i="7"/>
  <c r="C95" i="7"/>
  <c r="B95" i="7"/>
  <c r="D95" i="7"/>
  <c r="B67" i="7"/>
  <c r="D67" i="7"/>
  <c r="C67" i="7"/>
  <c r="D80" i="7"/>
  <c r="C80" i="7"/>
  <c r="B80" i="7"/>
  <c r="D83" i="7"/>
  <c r="C83" i="7"/>
  <c r="B83" i="7"/>
  <c r="D166" i="7"/>
  <c r="B166" i="7"/>
  <c r="C166" i="7"/>
  <c r="D139" i="7"/>
  <c r="C139" i="7"/>
  <c r="B139" i="7"/>
  <c r="B167" i="7"/>
  <c r="D167" i="7"/>
  <c r="C167" i="7"/>
  <c r="D117" i="7"/>
  <c r="C117" i="7"/>
  <c r="B117" i="7"/>
  <c r="B134" i="7"/>
  <c r="C134" i="7"/>
  <c r="D134" i="7"/>
  <c r="B164" i="7"/>
  <c r="D164" i="7"/>
  <c r="C164" i="7"/>
  <c r="D158" i="7"/>
  <c r="B158" i="7"/>
  <c r="C158" i="7"/>
  <c r="D195" i="7"/>
  <c r="C195" i="7"/>
  <c r="B195" i="7"/>
  <c r="D114" i="7"/>
  <c r="C114" i="7"/>
  <c r="B114" i="7"/>
  <c r="D203" i="7"/>
  <c r="C203" i="7"/>
  <c r="B203" i="7"/>
  <c r="C111" i="7"/>
  <c r="B111" i="7"/>
  <c r="D111" i="7"/>
  <c r="C201" i="7"/>
  <c r="B201" i="7"/>
  <c r="D201" i="7"/>
  <c r="B100" i="7"/>
  <c r="C100" i="7"/>
  <c r="D100" i="7"/>
  <c r="D155" i="7"/>
  <c r="C155" i="7"/>
  <c r="B155" i="7"/>
  <c r="D192" i="7"/>
  <c r="C192" i="7"/>
  <c r="B192" i="7"/>
  <c r="C197" i="7"/>
  <c r="B197" i="7"/>
  <c r="D197" i="7"/>
  <c r="B194" i="7"/>
  <c r="C194" i="7"/>
  <c r="D194" i="7"/>
  <c r="D56" i="7"/>
  <c r="C56" i="7"/>
  <c r="B56" i="7"/>
  <c r="B175" i="7"/>
  <c r="D175" i="7"/>
  <c r="C175" i="7"/>
  <c r="D91" i="7"/>
  <c r="C91" i="7"/>
  <c r="B91" i="7"/>
  <c r="D187" i="7"/>
  <c r="C187" i="7"/>
  <c r="B187" i="7"/>
  <c r="B65" i="7"/>
  <c r="D65" i="7"/>
  <c r="C65" i="7"/>
  <c r="D109" i="7"/>
  <c r="C109" i="7"/>
  <c r="B109" i="7"/>
  <c r="D180" i="7"/>
  <c r="C180" i="7"/>
  <c r="B180" i="7"/>
  <c r="B73" i="7"/>
  <c r="D73" i="7"/>
  <c r="C73" i="7"/>
  <c r="D120" i="7"/>
  <c r="C120" i="7"/>
  <c r="B120" i="7"/>
  <c r="B131" i="7"/>
  <c r="D131" i="7"/>
  <c r="C131" i="7"/>
  <c r="D98" i="7"/>
  <c r="C98" i="7"/>
  <c r="B98" i="7"/>
  <c r="B62" i="7"/>
  <c r="D62" i="7"/>
  <c r="C62" i="7"/>
  <c r="D72" i="7"/>
  <c r="B72" i="7"/>
  <c r="C72" i="7"/>
  <c r="D85" i="7"/>
  <c r="C85" i="7"/>
  <c r="B85" i="7"/>
  <c r="D88" i="7"/>
  <c r="C88" i="7"/>
  <c r="B88" i="7"/>
  <c r="D171" i="7"/>
  <c r="C171" i="7"/>
  <c r="B171" i="7"/>
  <c r="B89" i="7"/>
  <c r="D89" i="7"/>
  <c r="C89" i="7"/>
  <c r="D172" i="7"/>
  <c r="C172" i="7"/>
  <c r="B172" i="7"/>
  <c r="D133" i="7"/>
  <c r="C133" i="7"/>
  <c r="B133" i="7"/>
  <c r="B54" i="7"/>
  <c r="D54" i="7"/>
  <c r="C54" i="7"/>
  <c r="B169" i="7"/>
  <c r="D169" i="7"/>
  <c r="C169" i="7"/>
  <c r="D163" i="7"/>
  <c r="C163" i="7"/>
  <c r="B163" i="7"/>
  <c r="D58" i="7"/>
  <c r="C58" i="7"/>
  <c r="B58" i="7"/>
  <c r="D122" i="7"/>
  <c r="C122" i="7"/>
  <c r="B122" i="7"/>
  <c r="C55" i="7"/>
  <c r="B55" i="7"/>
  <c r="D55" i="7"/>
  <c r="C119" i="7"/>
  <c r="B119" i="7"/>
  <c r="D119" i="7"/>
  <c r="D206" i="7"/>
  <c r="C206" i="7"/>
  <c r="B206" i="7"/>
  <c r="B108" i="7"/>
  <c r="D108" i="7"/>
  <c r="C108" i="7"/>
  <c r="B199" i="7"/>
  <c r="C199" i="7"/>
  <c r="D199" i="7"/>
  <c r="D200" i="7"/>
  <c r="C200" i="7"/>
  <c r="B200" i="7"/>
  <c r="C205" i="7"/>
  <c r="B205" i="7"/>
  <c r="D205" i="7"/>
  <c r="B202" i="7"/>
  <c r="D202" i="7"/>
  <c r="C202" i="7"/>
  <c r="A431" i="7" l="1"/>
  <c r="A246" i="7"/>
  <c r="A71" i="7"/>
  <c r="A22" i="4"/>
  <c r="A23" i="2"/>
  <c r="C212" i="7"/>
  <c r="D212" i="7" s="1"/>
  <c r="C213" i="7"/>
  <c r="D213" i="7" s="1"/>
  <c r="C211" i="7"/>
  <c r="D211" i="7" s="1"/>
  <c r="A23" i="4" l="1"/>
  <c r="A24" i="2"/>
  <c r="A247" i="7"/>
  <c r="A72" i="7"/>
  <c r="A432" i="7"/>
  <c r="A24" i="4" l="1"/>
  <c r="A25" i="2"/>
  <c r="A433" i="7"/>
  <c r="A73" i="7"/>
  <c r="A248" i="7"/>
  <c r="A26" i="2" l="1"/>
  <c r="A25" i="4"/>
  <c r="A249" i="7"/>
  <c r="A434" i="7"/>
  <c r="A74" i="7"/>
  <c r="A250" i="7" l="1"/>
  <c r="A75" i="7"/>
  <c r="A435" i="7"/>
  <c r="A26" i="4"/>
  <c r="A27" i="2"/>
  <c r="A251" i="7" l="1"/>
  <c r="A76" i="7"/>
  <c r="A436" i="7"/>
  <c r="A28" i="2"/>
  <c r="A27" i="4"/>
  <c r="A252" i="7" l="1"/>
  <c r="A77" i="7"/>
  <c r="A437" i="7"/>
  <c r="A29" i="2"/>
  <c r="A28" i="4"/>
  <c r="A29" i="4" l="1"/>
  <c r="A30" i="2"/>
  <c r="A78" i="7"/>
  <c r="A253" i="7"/>
  <c r="A438" i="7"/>
  <c r="A30" i="4" l="1"/>
  <c r="A31" i="2"/>
  <c r="A439" i="7"/>
  <c r="A79" i="7"/>
  <c r="A254" i="7"/>
  <c r="A32" i="2" l="1"/>
  <c r="A31" i="4"/>
  <c r="A255" i="7"/>
  <c r="A80" i="7"/>
  <c r="A440" i="7"/>
  <c r="A441" i="7" l="1"/>
  <c r="A81" i="7"/>
  <c r="A256" i="7"/>
  <c r="A32" i="4"/>
  <c r="A33" i="2"/>
  <c r="A33" i="4" l="1"/>
  <c r="A34" i="2"/>
  <c r="A442" i="7"/>
  <c r="A82" i="7"/>
  <c r="A257" i="7"/>
  <c r="A35" i="2" l="1"/>
  <c r="A34" i="4"/>
  <c r="A258" i="7"/>
  <c r="A83" i="7"/>
  <c r="A443" i="7"/>
  <c r="A444" i="7" l="1"/>
  <c r="A84" i="7"/>
  <c r="A259" i="7"/>
  <c r="A35" i="4"/>
  <c r="A36" i="2"/>
  <c r="A260" i="7" l="1"/>
  <c r="A85" i="7"/>
  <c r="A445" i="7"/>
  <c r="A36" i="4"/>
  <c r="A37" i="2"/>
  <c r="A86" i="7" l="1"/>
  <c r="A261" i="7"/>
  <c r="A446" i="7"/>
  <c r="A37" i="4"/>
  <c r="A38" i="2"/>
  <c r="A39" i="2" l="1"/>
  <c r="A38" i="4"/>
  <c r="A447" i="7"/>
  <c r="A87" i="7"/>
  <c r="A262" i="7"/>
  <c r="A263" i="7" l="1"/>
  <c r="A88" i="7"/>
  <c r="A448" i="7"/>
  <c r="A39" i="4"/>
  <c r="A40" i="2"/>
  <c r="A40" i="4" l="1"/>
  <c r="A41" i="2"/>
  <c r="A89" i="7"/>
  <c r="A264" i="7"/>
  <c r="A449" i="7"/>
  <c r="A41" i="4" l="1"/>
  <c r="A42" i="2"/>
  <c r="A265" i="7"/>
  <c r="A450" i="7"/>
  <c r="A90" i="7"/>
  <c r="A42" i="4" l="1"/>
  <c r="A43" i="2"/>
  <c r="A451" i="7"/>
  <c r="A91" i="7"/>
  <c r="A266" i="7"/>
  <c r="A43" i="4" l="1"/>
  <c r="A44" i="2"/>
  <c r="A267" i="7"/>
  <c r="A452" i="7"/>
  <c r="A92" i="7"/>
  <c r="A45" i="2" l="1"/>
  <c r="A44" i="4"/>
  <c r="A268" i="7"/>
  <c r="A93" i="7"/>
  <c r="A453" i="7"/>
  <c r="A94" i="7" l="1"/>
  <c r="A269" i="7"/>
  <c r="A454" i="7"/>
  <c r="A45" i="4"/>
  <c r="A46" i="2"/>
  <c r="A455" i="7" l="1"/>
  <c r="A270" i="7"/>
  <c r="A95" i="7"/>
  <c r="A47" i="2"/>
  <c r="A46" i="4"/>
  <c r="A271" i="7" l="1"/>
  <c r="A96" i="7"/>
  <c r="A456" i="7"/>
  <c r="A47" i="4"/>
  <c r="A48" i="2"/>
  <c r="A97" i="7" l="1"/>
  <c r="A457" i="7"/>
  <c r="A272" i="7"/>
  <c r="A48" i="4"/>
  <c r="A49" i="2"/>
  <c r="A49" i="4" l="1"/>
  <c r="A50" i="2"/>
  <c r="A458" i="7"/>
  <c r="A273" i="7"/>
  <c r="A98" i="7"/>
  <c r="A51" i="2" l="1"/>
  <c r="A50" i="4"/>
  <c r="A274" i="7"/>
  <c r="A99" i="7"/>
  <c r="A459" i="7"/>
  <c r="A275" i="7" l="1"/>
  <c r="A100" i="7"/>
  <c r="A460" i="7"/>
  <c r="A52" i="2"/>
  <c r="A51" i="4"/>
  <c r="A276" i="7" l="1"/>
  <c r="A101" i="7"/>
  <c r="A461" i="7"/>
  <c r="A53" i="2"/>
  <c r="A52" i="4"/>
  <c r="A277" i="7" l="1"/>
  <c r="A102" i="7"/>
  <c r="A462" i="7"/>
  <c r="A53" i="4"/>
  <c r="A54" i="2"/>
  <c r="A55" i="2" l="1"/>
  <c r="A54" i="4"/>
  <c r="A463" i="7"/>
  <c r="A103" i="7"/>
  <c r="A278" i="7"/>
  <c r="A279" i="7" l="1"/>
  <c r="A104" i="7"/>
  <c r="A464" i="7"/>
  <c r="A56" i="2"/>
  <c r="A55" i="4"/>
  <c r="A105" i="7" l="1"/>
  <c r="A280" i="7"/>
  <c r="A465" i="7"/>
  <c r="A57" i="2"/>
  <c r="A56" i="4"/>
  <c r="A281" i="7" l="1"/>
  <c r="A106" i="7"/>
  <c r="A466" i="7"/>
  <c r="A57" i="4"/>
  <c r="A58" i="2"/>
  <c r="A58" i="4" l="1"/>
  <c r="A59" i="2"/>
  <c r="A282" i="7"/>
  <c r="A107" i="7"/>
  <c r="A467" i="7"/>
  <c r="A59" i="4" l="1"/>
  <c r="A60" i="2"/>
  <c r="A283" i="7"/>
  <c r="A108" i="7"/>
  <c r="A468" i="7"/>
  <c r="A60" i="4" l="1"/>
  <c r="A61" i="2"/>
  <c r="A284" i="7"/>
  <c r="A109" i="7"/>
  <c r="A469" i="7"/>
  <c r="A62" i="2" l="1"/>
  <c r="A61" i="4"/>
  <c r="A110" i="7"/>
  <c r="A470" i="7"/>
  <c r="A285" i="7"/>
  <c r="A286" i="7" l="1"/>
  <c r="A111" i="7"/>
  <c r="A471" i="7"/>
  <c r="A62" i="4"/>
  <c r="A63" i="2"/>
  <c r="A287" i="7" l="1"/>
  <c r="A472" i="7"/>
  <c r="A112" i="7"/>
  <c r="A64" i="2"/>
  <c r="A63" i="4"/>
  <c r="A113" i="7" l="1"/>
  <c r="A473" i="7"/>
  <c r="A288" i="7"/>
  <c r="A64" i="4"/>
  <c r="A65" i="2"/>
  <c r="A65" i="4" l="1"/>
  <c r="A66" i="2"/>
  <c r="A474" i="7"/>
  <c r="A289" i="7"/>
  <c r="A114" i="7"/>
  <c r="A66" i="4" l="1"/>
  <c r="A67" i="2"/>
  <c r="A290" i="7"/>
  <c r="A115" i="7"/>
  <c r="A475" i="7"/>
  <c r="A67" i="4" l="1"/>
  <c r="A68" i="2"/>
  <c r="A291" i="7"/>
  <c r="A116" i="7"/>
  <c r="A476" i="7"/>
  <c r="A68" i="4" l="1"/>
  <c r="A69" i="2"/>
  <c r="A292" i="7"/>
  <c r="A117" i="7"/>
  <c r="A477" i="7"/>
  <c r="A69" i="4" l="1"/>
  <c r="A70" i="2"/>
  <c r="A118" i="7"/>
  <c r="A478" i="7"/>
  <c r="A293" i="7"/>
  <c r="A71" i="2" l="1"/>
  <c r="A70" i="4"/>
  <c r="A479" i="7"/>
  <c r="A294" i="7"/>
  <c r="A119" i="7"/>
  <c r="A295" i="7" l="1"/>
  <c r="A120" i="7"/>
  <c r="A480" i="7"/>
  <c r="A72" i="2"/>
  <c r="A71" i="4"/>
  <c r="A121" i="7" l="1"/>
  <c r="A296" i="7"/>
  <c r="A481" i="7"/>
  <c r="A73" i="2"/>
  <c r="A72" i="4"/>
  <c r="A297" i="7" l="1"/>
  <c r="A122" i="7"/>
  <c r="A482" i="7"/>
  <c r="A73" i="4"/>
  <c r="A74" i="2"/>
  <c r="A298" i="7" l="1"/>
  <c r="A123" i="7"/>
  <c r="A483" i="7"/>
  <c r="A74" i="4"/>
  <c r="A75" i="2"/>
  <c r="A76" i="2" l="1"/>
  <c r="A75" i="4"/>
  <c r="A484" i="7"/>
  <c r="A124" i="7"/>
  <c r="A299" i="7"/>
  <c r="A300" i="7" l="1"/>
  <c r="A125" i="7"/>
  <c r="A485" i="7"/>
  <c r="A77" i="2"/>
  <c r="A76" i="4"/>
  <c r="A126" i="7" l="1"/>
  <c r="A301" i="7"/>
  <c r="A486" i="7"/>
  <c r="A78" i="2"/>
  <c r="A77" i="4"/>
  <c r="A302" i="7" l="1"/>
  <c r="A487" i="7"/>
  <c r="A127" i="7"/>
  <c r="A79" i="2"/>
  <c r="A78" i="4"/>
  <c r="A303" i="7" l="1"/>
  <c r="A128" i="7"/>
  <c r="A488" i="7"/>
  <c r="A80" i="2"/>
  <c r="A79" i="4"/>
  <c r="A129" i="7" l="1"/>
  <c r="A304" i="7"/>
  <c r="A489" i="7"/>
  <c r="A81" i="2"/>
  <c r="A80" i="4"/>
  <c r="A82" i="2" l="1"/>
  <c r="A81" i="4"/>
  <c r="A305" i="7"/>
  <c r="A130" i="7"/>
  <c r="A490" i="7"/>
  <c r="A306" i="7" l="1"/>
  <c r="A491" i="7"/>
  <c r="A131" i="7"/>
  <c r="A83" i="2"/>
  <c r="A82" i="4"/>
  <c r="A307" i="7" l="1"/>
  <c r="A132" i="7"/>
  <c r="A492" i="7"/>
  <c r="A84" i="2"/>
  <c r="A83" i="4"/>
  <c r="A308" i="7" l="1"/>
  <c r="A133" i="7"/>
  <c r="A493" i="7"/>
  <c r="A85" i="2"/>
  <c r="A84" i="4"/>
  <c r="A85" i="4" l="1"/>
  <c r="A86" i="2"/>
  <c r="A134" i="7"/>
  <c r="A309" i="7"/>
  <c r="A494" i="7"/>
  <c r="A86" i="4" l="1"/>
  <c r="A87" i="2"/>
  <c r="A495" i="7"/>
  <c r="A135" i="7"/>
  <c r="A310" i="7"/>
  <c r="A87" i="4" l="1"/>
  <c r="A88" i="2"/>
  <c r="A311" i="7"/>
  <c r="A136" i="7"/>
  <c r="A496" i="7"/>
  <c r="A88" i="4" l="1"/>
  <c r="A89" i="2"/>
  <c r="A137" i="7"/>
  <c r="A497" i="7"/>
  <c r="A312" i="7"/>
  <c r="A89" i="4" l="1"/>
  <c r="A90" i="2"/>
  <c r="A313" i="7"/>
  <c r="A498" i="7"/>
  <c r="A138" i="7"/>
  <c r="A91" i="2" l="1"/>
  <c r="A90" i="4"/>
  <c r="A314" i="7"/>
  <c r="A139" i="7"/>
  <c r="A499" i="7"/>
  <c r="A315" i="7" l="1"/>
  <c r="A140" i="7"/>
  <c r="A500" i="7"/>
  <c r="A91" i="4"/>
  <c r="A92" i="2"/>
  <c r="A93" i="2" l="1"/>
  <c r="A92" i="4"/>
  <c r="A316" i="7"/>
  <c r="A141" i="7"/>
  <c r="A501" i="7"/>
  <c r="A142" i="7" l="1"/>
  <c r="A502" i="7"/>
  <c r="A317" i="7"/>
  <c r="A93" i="4"/>
  <c r="A94" i="2"/>
  <c r="A95" i="2" l="1"/>
  <c r="A94" i="4"/>
  <c r="A503" i="7"/>
  <c r="A143" i="7"/>
  <c r="A318" i="7"/>
  <c r="A319" i="7" l="1"/>
  <c r="A144" i="7"/>
  <c r="A504" i="7"/>
  <c r="A95" i="4"/>
  <c r="A96" i="2"/>
  <c r="A96" i="4" l="1"/>
  <c r="A97" i="2"/>
  <c r="A145" i="7"/>
  <c r="A320" i="7"/>
  <c r="A505" i="7"/>
  <c r="A97" i="4" l="1"/>
  <c r="A98" i="2"/>
  <c r="A321" i="7"/>
  <c r="A506" i="7"/>
  <c r="A146" i="7"/>
  <c r="A98" i="4" l="1"/>
  <c r="A99" i="2"/>
  <c r="A322" i="7"/>
  <c r="A147" i="7"/>
  <c r="A507" i="7"/>
  <c r="A100" i="2" l="1"/>
  <c r="A99" i="4"/>
  <c r="A508" i="7"/>
  <c r="A323" i="7"/>
  <c r="A148" i="7"/>
  <c r="A324" i="7" l="1"/>
  <c r="A509" i="7"/>
  <c r="A149" i="7"/>
  <c r="A100" i="4"/>
  <c r="A101" i="2"/>
  <c r="A101" i="4" l="1"/>
  <c r="A102" i="2"/>
  <c r="A150" i="7"/>
  <c r="A325" i="7"/>
  <c r="A510" i="7"/>
  <c r="A103" i="2" l="1"/>
  <c r="A102" i="4"/>
  <c r="A326" i="7"/>
  <c r="A511" i="7"/>
  <c r="A151" i="7"/>
  <c r="A327" i="7" l="1"/>
  <c r="A512" i="7"/>
  <c r="A152" i="7"/>
  <c r="A103" i="4"/>
  <c r="A104" i="2"/>
  <c r="A104" i="4" l="1"/>
  <c r="A105" i="2"/>
  <c r="A328" i="7"/>
  <c r="A513" i="7"/>
  <c r="A153" i="7"/>
  <c r="A105" i="4" l="1"/>
  <c r="A106" i="2"/>
  <c r="A329" i="7"/>
  <c r="A154" i="7"/>
  <c r="A514" i="7"/>
  <c r="A106" i="4" l="1"/>
  <c r="A107" i="2"/>
  <c r="A155" i="7"/>
  <c r="A515" i="7"/>
  <c r="A330" i="7"/>
  <c r="A107" i="4" l="1"/>
  <c r="A108" i="2"/>
  <c r="A156" i="7"/>
  <c r="A331" i="7"/>
  <c r="A516" i="7"/>
  <c r="A108" i="4" l="1"/>
  <c r="A109" i="2"/>
  <c r="A332" i="7"/>
  <c r="A517" i="7"/>
  <c r="A157" i="7"/>
  <c r="A109" i="4" l="1"/>
  <c r="A110" i="2"/>
  <c r="A158" i="7"/>
  <c r="A333" i="7"/>
  <c r="A518" i="7"/>
  <c r="A110" i="4" l="1"/>
  <c r="A111" i="2"/>
  <c r="A334" i="7"/>
  <c r="A159" i="7"/>
  <c r="A519" i="7"/>
  <c r="A111" i="4" l="1"/>
  <c r="A112" i="2"/>
  <c r="A160" i="7"/>
  <c r="A335" i="7"/>
  <c r="A520" i="7"/>
  <c r="A112" i="4" l="1"/>
  <c r="A113" i="2"/>
  <c r="A161" i="7"/>
  <c r="A336" i="7"/>
  <c r="A521" i="7"/>
  <c r="A113" i="4" l="1"/>
  <c r="A114" i="2"/>
  <c r="A337" i="7"/>
  <c r="A162" i="7"/>
  <c r="A522" i="7"/>
  <c r="A114" i="4" l="1"/>
  <c r="A115" i="2"/>
  <c r="A163" i="7"/>
  <c r="A523" i="7"/>
  <c r="A338" i="7"/>
  <c r="A115" i="4" l="1"/>
  <c r="A116" i="2"/>
  <c r="A339" i="7"/>
  <c r="A524" i="7"/>
  <c r="A164" i="7"/>
  <c r="A117" i="2" l="1"/>
  <c r="A116" i="4"/>
  <c r="A165" i="7"/>
  <c r="A525" i="7"/>
  <c r="A340" i="7"/>
  <c r="A341" i="7" l="1"/>
  <c r="A166" i="7"/>
  <c r="A526" i="7"/>
  <c r="A117" i="4"/>
  <c r="A118" i="2"/>
  <c r="A119" i="2" l="1"/>
  <c r="A118" i="4"/>
  <c r="A167" i="7"/>
  <c r="A527" i="7"/>
  <c r="A342" i="7"/>
  <c r="A168" i="7" l="1"/>
  <c r="A343" i="7"/>
  <c r="A528" i="7"/>
  <c r="A119" i="4"/>
  <c r="A120" i="2"/>
  <c r="A120" i="4" l="1"/>
  <c r="A121" i="2"/>
  <c r="A344" i="7"/>
  <c r="A169" i="7"/>
  <c r="A529" i="7"/>
  <c r="A122" i="2" l="1"/>
  <c r="A121" i="4"/>
  <c r="A345" i="7"/>
  <c r="A170" i="7"/>
  <c r="A530" i="7"/>
  <c r="A171" i="7" l="1"/>
  <c r="A346" i="7"/>
  <c r="A531" i="7"/>
  <c r="A122" i="4"/>
  <c r="A123" i="2"/>
  <c r="A123" i="4" l="1"/>
  <c r="A124" i="2"/>
  <c r="A347" i="7"/>
  <c r="A532" i="7"/>
  <c r="A172" i="7"/>
  <c r="A124" i="4" l="1"/>
  <c r="A125" i="2"/>
  <c r="A173" i="7"/>
  <c r="A348" i="7"/>
  <c r="A533" i="7"/>
  <c r="A126" i="2" l="1"/>
  <c r="A125" i="4"/>
  <c r="A349" i="7"/>
  <c r="A174" i="7"/>
  <c r="A534" i="7"/>
  <c r="A350" i="7" l="1"/>
  <c r="A175" i="7"/>
  <c r="A535" i="7"/>
  <c r="A126" i="4"/>
  <c r="A127" i="2"/>
  <c r="A127" i="4" l="1"/>
  <c r="A128" i="2"/>
  <c r="A176" i="7"/>
  <c r="A351" i="7"/>
  <c r="A536" i="7"/>
  <c r="A128" i="4" l="1"/>
  <c r="A129" i="2"/>
  <c r="A352" i="7"/>
  <c r="A177" i="7"/>
  <c r="A537" i="7"/>
  <c r="A130" i="2" l="1"/>
  <c r="A129" i="4"/>
  <c r="A353" i="7"/>
  <c r="A178" i="7"/>
  <c r="A538" i="7"/>
  <c r="A354" i="7" l="1"/>
  <c r="A179" i="7"/>
  <c r="A539" i="7"/>
  <c r="A130" i="4"/>
  <c r="A131" i="2"/>
  <c r="A180" i="7" l="1"/>
  <c r="A355" i="7"/>
  <c r="A540" i="7"/>
  <c r="A132" i="2"/>
  <c r="A131" i="4"/>
  <c r="A132" i="4" l="1"/>
  <c r="A133" i="2"/>
  <c r="A181" i="7"/>
  <c r="A356" i="7"/>
  <c r="A541" i="7"/>
  <c r="A134" i="2" l="1"/>
  <c r="A133" i="4"/>
  <c r="A357" i="7"/>
  <c r="A182" i="7"/>
  <c r="A542" i="7"/>
  <c r="A183" i="7" l="1"/>
  <c r="A543" i="7"/>
  <c r="A358" i="7"/>
  <c r="A134" i="4"/>
  <c r="A135" i="2"/>
  <c r="A135" i="4" l="1"/>
  <c r="A136" i="2"/>
  <c r="A359" i="7"/>
  <c r="A184" i="7"/>
  <c r="A544" i="7"/>
  <c r="A136" i="4" l="1"/>
  <c r="A137" i="2"/>
  <c r="A360" i="7"/>
  <c r="A545" i="7"/>
  <c r="A185" i="7"/>
  <c r="A137" i="4" l="1"/>
  <c r="A138" i="2"/>
  <c r="A361" i="7"/>
  <c r="A546" i="7"/>
  <c r="A186" i="7"/>
  <c r="A139" i="2" l="1"/>
  <c r="A138" i="4"/>
  <c r="A362" i="7"/>
  <c r="A187" i="7"/>
  <c r="A547" i="7"/>
  <c r="A188" i="7" l="1"/>
  <c r="A363" i="7"/>
  <c r="A548" i="7"/>
  <c r="A139" i="4"/>
  <c r="A140" i="2"/>
  <c r="A140" i="4" l="1"/>
  <c r="A141" i="2"/>
  <c r="A364" i="7"/>
  <c r="A189" i="7"/>
  <c r="A549" i="7"/>
  <c r="A141" i="4" l="1"/>
  <c r="A142" i="2"/>
  <c r="A365" i="7"/>
  <c r="A190" i="7"/>
  <c r="A550" i="7"/>
  <c r="A143" i="2" l="1"/>
  <c r="A142" i="4"/>
  <c r="A366" i="7"/>
  <c r="A191" i="7"/>
  <c r="A551" i="7"/>
  <c r="A367" i="7" l="1"/>
  <c r="A192" i="7"/>
  <c r="A552" i="7"/>
  <c r="A143" i="4"/>
  <c r="A144" i="2"/>
  <c r="A144" i="4" l="1"/>
  <c r="A145" i="2"/>
  <c r="A193" i="7"/>
  <c r="A368" i="7"/>
  <c r="A553" i="7"/>
  <c r="A145" i="4" l="1"/>
  <c r="A146" i="2"/>
  <c r="A369" i="7"/>
  <c r="A194" i="7"/>
  <c r="A554" i="7"/>
  <c r="A146" i="4" l="1"/>
  <c r="A147" i="2"/>
  <c r="A370" i="7"/>
  <c r="A195" i="7"/>
  <c r="A555" i="7"/>
  <c r="A147" i="4" l="1"/>
  <c r="A148" i="2"/>
  <c r="A196" i="7"/>
  <c r="A371" i="7"/>
  <c r="A556" i="7"/>
  <c r="A149" i="2" l="1"/>
  <c r="A148" i="4"/>
  <c r="A372" i="7"/>
  <c r="A197" i="7"/>
  <c r="A557" i="7"/>
  <c r="A373" i="7" l="1"/>
  <c r="A198" i="7"/>
  <c r="A558" i="7"/>
  <c r="A149" i="4"/>
  <c r="A150" i="2"/>
  <c r="A374" i="7" l="1"/>
  <c r="A199" i="7"/>
  <c r="A559" i="7"/>
  <c r="A151" i="2"/>
  <c r="A150" i="4"/>
  <c r="A375" i="7" l="1"/>
  <c r="A200" i="7"/>
  <c r="A560" i="7"/>
  <c r="A152" i="2"/>
  <c r="A151" i="4"/>
  <c r="A201" i="7" l="1"/>
  <c r="A376" i="7"/>
  <c r="A561" i="7"/>
  <c r="A152" i="4"/>
  <c r="A153" i="2"/>
  <c r="A153" i="4" l="1"/>
  <c r="A154" i="2"/>
  <c r="A377" i="7"/>
  <c r="A202" i="7"/>
  <c r="A562" i="7"/>
  <c r="A154" i="4" l="1"/>
  <c r="A155" i="2"/>
  <c r="A378" i="7"/>
  <c r="A203" i="7"/>
  <c r="A563" i="7"/>
  <c r="A155" i="4" l="1"/>
  <c r="A156" i="2"/>
  <c r="A204" i="7"/>
  <c r="A379" i="7"/>
  <c r="A564" i="7"/>
  <c r="A156" i="4" l="1"/>
  <c r="A157" i="2"/>
  <c r="A157" i="4" s="1"/>
  <c r="A380" i="7"/>
  <c r="A205" i="7"/>
  <c r="A565" i="7"/>
  <c r="A567" i="7" l="1"/>
  <c r="A382" i="7"/>
  <c r="A207" i="7"/>
  <c r="A566" i="7"/>
  <c r="A206" i="7"/>
  <c r="A381" i="7"/>
</calcChain>
</file>

<file path=xl/sharedStrings.xml><?xml version="1.0" encoding="utf-8"?>
<sst xmlns="http://schemas.openxmlformats.org/spreadsheetml/2006/main" count="306" uniqueCount="188">
  <si>
    <t>Kaushik's KAC3 Factor Model — 10-Stock Universe, 3-Stock Portfolio</t>
  </si>
  <si>
    <t>PURPOSE</t>
  </si>
  <si>
    <t>A factor model is estimated once from a broad UNIVERSE of stocks (here, 10). That estimation</t>
  </si>
  <si>
    <t>produces two reusable outputs: (1) a factor covariance matrix, and (2) a specific-risk series</t>
  </si>
  <si>
    <t>for every stock in the universe. Any PORTFOLIO drawn from that universe — here, 3 stocks out</t>
  </si>
  <si>
    <t>of the 10 — can then have its risk computed by combining its own holdings' exposures with the</t>
  </si>
  <si>
    <t>universe-level factor covariance matrix. You never re-estimate the model per portfolio.</t>
  </si>
  <si>
    <t>TABS (in order)</t>
  </si>
  <si>
    <t>1. Returns            Dummy weekly returns, 10-stock universe, 3 years (156 weeks). INPUT.</t>
  </si>
  <si>
    <t>2. Exposures           Each universe stock's Market/Value/Momentum exposure + regression</t>
  </si>
  <si>
    <t xml:space="preserve">                       machinery: X'X, (X'X)^-1, P = X(X'X)^-1 (pure factor-portfolio weights).</t>
  </si>
  <si>
    <t>3. CSR_FactorReturns   Weekly cross-sectional regression across all 10 stocks: f_t = r_t' P.</t>
  </si>
  <si>
    <t xml:space="preserve">                       Produces fitted returns + residuals (specific returns) for EVERY</t>
  </si>
  <si>
    <t xml:space="preserve">                       universe stock, so any future portfolio can draw on this.</t>
  </si>
  <si>
    <t>4. FactorCovariance    Weekly &amp; annualized covariance/correlation of the 3 factor series.</t>
  </si>
  <si>
    <t>5. PortfolioRisk       The 3-stock portfolio. Holdings' exposures and specific risk are</t>
  </si>
  <si>
    <t xml:space="preserve">                       LOOKED UP from tabs 2 &amp; 3 (INDEX/MATCH) — not retyped — then combined</t>
  </si>
  <si>
    <t xml:space="preserve">                       with the universe factor covariance matrix to forecast portfolio risk.</t>
  </si>
  <si>
    <t>COLOR KEY</t>
  </si>
  <si>
    <t>Blue text  = hardcoded input (raw data or assumption)</t>
  </si>
  <si>
    <t>Black text = live formula, linked back to inputs</t>
  </si>
  <si>
    <t>FIXED IN THIS VERSION</t>
  </si>
  <si>
    <t>The v1 file showed #NAME? on covariance/variance cells. Cause: COVARIANCE.S, VAR.S and</t>
  </si>
  <si>
    <t>STDEV.S are Excel functions introduced in 2010; a formula string written by a non-Excel tool</t>
  </si>
  <si>
    <t>must carry an internal "_xlfn." prefix for Excel to resolve them (Excel itself hides the</t>
  </si>
  <si>
    <t>prefix and displays the normal function name). Every formula in this workbook has been</t>
  </si>
  <si>
    <t>verified against openpyxl's function table for this issue before saving.</t>
  </si>
  <si>
    <t>KEY SIMPLIFICATION (stated explicitly)</t>
  </si>
  <si>
    <t>Exposures are held static across the 3-year window so one matrix inversion (done once on the</t>
  </si>
  <si>
    <t>Exposures tab) serves all 156 weekly regressions. Production institutional factor risk models (what I call my KAC3 notes) refresh</t>
  </si>
  <si>
    <t>exposures periodically (e.g. monthly) and re-run the regression each period; the mechanics for</t>
  </si>
  <si>
    <t>any single period are identical to what is built here.</t>
  </si>
  <si>
    <t>KAC3 REFINEMENTS (added on the KAC3_Refinements tab)</t>
  </si>
  <si>
    <t>(A) Inverse-residual-variance regression weighting (WLS) as an alternative to the plain</t>
  </si>
  <si>
    <t xml:space="preserve">    OLS cross-sectional regression used on CSR_FactorReturns.</t>
  </si>
  <si>
    <t>(B) EWMA (half-life) factor covariance as an alternative to the flat full-sample covariance</t>
  </si>
  <si>
    <t xml:space="preserve">    on FactorCovariance, to reflect the term-structure-of-risk concept.</t>
  </si>
  <si>
    <t>(C) Bias-statistic and Q-statistic model validation (in-sample illustration, with the</t>
  </si>
  <si>
    <t xml:space="preserve">    out-of-sample caveat stated explicitly).</t>
  </si>
  <si>
    <t>(D) A worked finite-sample-adjustment demonstration on the pure Market factor portfolio,</t>
  </si>
  <si>
    <t xml:space="preserve">    showing and removing the double-counted specific-risk term.</t>
  </si>
  <si>
    <t>f_t = (X'X)^-1 X' r_t</t>
  </si>
  <si>
    <t>Portfolio risk (any subset of the universe, weights w):</t>
  </si>
  <si>
    <t>Var(portfolio) = w'X_h F X_h'w  (factor risk)  +  sum(w_i^2 * specific_var_i)  (specific risk)</t>
  </si>
  <si>
    <t>where X_h = exposures of the HELD stocks only, F = universe factor covariance matrix.</t>
  </si>
  <si>
    <t>Date</t>
  </si>
  <si>
    <t>STK_A</t>
  </si>
  <si>
    <t>STK_B</t>
  </si>
  <si>
    <t>STK_C</t>
  </si>
  <si>
    <t>STK_D</t>
  </si>
  <si>
    <t>STK_E</t>
  </si>
  <si>
    <t>STK_F</t>
  </si>
  <si>
    <t>STK_G</t>
  </si>
  <si>
    <t>STK_H</t>
  </si>
  <si>
    <t>STK_I</t>
  </si>
  <si>
    <t>STK_J</t>
  </si>
  <si>
    <t>Ann. Mean Return</t>
  </si>
  <si>
    <t>Ann. Volatility</t>
  </si>
  <si>
    <t>Stock</t>
  </si>
  <si>
    <t>Market</t>
  </si>
  <si>
    <t>Value</t>
  </si>
  <si>
    <t>Momentum</t>
  </si>
  <si>
    <t>Regression machinery</t>
  </si>
  <si>
    <t>X = the 10x3 exposure table above (B2:D11).</t>
  </si>
  <si>
    <t>X'X  (3x3)</t>
  </si>
  <si>
    <t>(X'X)^-1  (3x3)</t>
  </si>
  <si>
    <t>P = X . (X'X)^-1   [pure factor-portfolio weights: rows=stocks, cols=Market/Value/Momentum]</t>
  </si>
  <si>
    <t>Column k of P is the set of universe stock weights whose portfolio return equals f_k every week: exposure 1 to factor k, exposure 0 to the other two. The weekly regression in CSR_FactorReturns uses this directly: f_t = r_t' P.</t>
  </si>
  <si>
    <t>f_Market</t>
  </si>
  <si>
    <t>f_Value</t>
  </si>
  <si>
    <t>f_Momentum</t>
  </si>
  <si>
    <t>Fitted_A</t>
  </si>
  <si>
    <t>Fitted_B</t>
  </si>
  <si>
    <t>Fitted_C</t>
  </si>
  <si>
    <t>Fitted_D</t>
  </si>
  <si>
    <t>Fitted_E</t>
  </si>
  <si>
    <t>Fitted_F</t>
  </si>
  <si>
    <t>Fitted_G</t>
  </si>
  <si>
    <t>Fitted_H</t>
  </si>
  <si>
    <t>Fitted_I</t>
  </si>
  <si>
    <t>Fitted_J</t>
  </si>
  <si>
    <t>Resid_A</t>
  </si>
  <si>
    <t>Resid_B</t>
  </si>
  <si>
    <t>Resid_C</t>
  </si>
  <si>
    <t>Resid_D</t>
  </si>
  <si>
    <t>Resid_E</t>
  </si>
  <si>
    <t>Resid_F</t>
  </si>
  <si>
    <t>Resid_G</t>
  </si>
  <si>
    <t>Resid_H</t>
  </si>
  <si>
    <t>Resid_I</t>
  </si>
  <si>
    <t>Resid_J</t>
  </si>
  <si>
    <t>Weekly Factor Covariance Matrix</t>
  </si>
  <si>
    <t>Annualized Factor Covariance Matrix  (x 52, iid weekly assumption)</t>
  </si>
  <si>
    <t>Annualized Factor Volatility</t>
  </si>
  <si>
    <t>Factor Correlation Matrix</t>
  </si>
  <si>
    <t>Portfolio Holdings (3 of the 10-stock estimation universe)</t>
  </si>
  <si>
    <t>Exposures below are LOOKED UP from the Exposures tab (INDEX/MATCH) — you never retype a held stock's factor profile, you just point at the universe table.</t>
  </si>
  <si>
    <t>Weight</t>
  </si>
  <si>
    <t>Check (should = 100%)</t>
  </si>
  <si>
    <t>Portfolio Factor Exposure (weighted holdings)</t>
  </si>
  <si>
    <t>Factor Contribution to Risk (Euler decomposition)</t>
  </si>
  <si>
    <t>Factor</t>
  </si>
  <si>
    <t>Marginal Contrib.</t>
  </si>
  <si>
    <t>Contribution to Variance</t>
  </si>
  <si>
    <t>Factor Risk (annualized variance, X_p' F X_p)</t>
  </si>
  <si>
    <t>Factor variance =</t>
  </si>
  <si>
    <t>Sum (check vs Factor variance)</t>
  </si>
  <si>
    <t>Specific Risk (per held stock, from CSR residual variance)</t>
  </si>
  <si>
    <t>Each stock's residual column in CSR_FactorReturns is found dynamically via MATCH on the header row ("Resid_&lt;letter&gt;"), keyed off the stock code typed in the Holdings table above — change a holding and this re-points automatically.</t>
  </si>
  <si>
    <t>Ann. Specific Variance</t>
  </si>
  <si>
    <t>Portfolio specific variance (assumes zero residual cross-correlation)</t>
  </si>
  <si>
    <t>Total Portfolio Risk</t>
  </si>
  <si>
    <t>Total variance (factor + specific)</t>
  </si>
  <si>
    <t>Total annualized volatility</t>
  </si>
  <si>
    <t>Risk decomposition</t>
  </si>
  <si>
    <t>Factor risk % of total variance</t>
  </si>
  <si>
    <t>Specific risk % of total variance</t>
  </si>
  <si>
    <t>KAC3 Refinements — Applying the Methodology Notes to This Model</t>
  </si>
  <si>
    <t>This tab layers four concrete refinements from my Kaushik_KAC3_Risk_Model_Methodology_Notes.pdf onto</t>
  </si>
  <si>
    <t>the original 10-stock / 3-factor cross-sectional regression example. Each section reads from the</t>
  </si>
  <si>
    <t>existing Returns / Exposures / CSR_FactorReturns / FactorCovariance tabs without modifying them.</t>
  </si>
  <si>
    <t>(A) Inverse-Residual-Variance Regression Weighting</t>
  </si>
  <si>
    <t>Traditional practice weights the cross-sectional regression by sqrt(market cap). The weighting that</t>
  </si>
  <si>
    <t>minimizes the noise of the factor-return estimate is inverse residual variance instead. Below: each</t>
  </si>
  <si>
    <t>universe stock's OLS specific variance (from the original regression's residuals), the implied WLS</t>
  </si>
  <si>
    <t>weight, and a re-estimated pure-factor-portfolio matrix used to compute WLS factor returns.</t>
  </si>
  <si>
    <t>OLS Ann. Specific Var</t>
  </si>
  <si>
    <t>WLS Weight (=1/Var)</t>
  </si>
  <si>
    <t>X scaled by WLS weight (helper)</t>
  </si>
  <si>
    <t>X'VX (3x3)</t>
  </si>
  <si>
    <t>(X'VX)^-1 (3x3)</t>
  </si>
  <si>
    <t>P_WLS = X_scaled . (X'VX)^-1   [10x3 pure factor-portfolio weights, WLS version]</t>
  </si>
  <si>
    <t>WLS Factor Returns (156 weeks): f_WLS,t = r_t' P_WLS</t>
  </si>
  <si>
    <t>f_Market_WLS</t>
  </si>
  <si>
    <t>f_Value_WLS</t>
  </si>
  <si>
    <t>f_Momentum_WLS</t>
  </si>
  <si>
    <t>Summary: OLS vs WLS Annualized Factor Volatility</t>
  </si>
  <si>
    <t>OLS Ann. Vol</t>
  </si>
  <si>
    <t>WLS Ann. Vol</t>
  </si>
  <si>
    <t>Ratio (WLS/OLS)</t>
  </si>
  <si>
    <t>(B) EWMA (Half-Life) Factor Covariance</t>
  </si>
  <si>
    <t>Factor risk has a term structure driven by non-stationarity: recent observations are more informative</t>
  </si>
  <si>
    <t>about current risk than distant ones. An exponentially weighted moving average (EWMA), controlled by</t>
  </si>
  <si>
    <t>a half-life parameter, is the standard fix — applied here to the same 156-week factor return history</t>
  </si>
  <si>
    <t>already used for the flat full-sample covariance on FactorCovariance.</t>
  </si>
  <si>
    <t>Half-life (weeks):</t>
  </si>
  <si>
    <t>Decay λ = 0.5^(1/HL):</t>
  </si>
  <si>
    <t>EWMA weight column (156 rows; most recent week = highest weight)</t>
  </si>
  <si>
    <t>Raw weight = λ^(156-t)</t>
  </si>
  <si>
    <t>Normalized weight</t>
  </si>
  <si>
    <t>EWMA Factor Covariance (3x3)</t>
  </si>
  <si>
    <t>EWMA vs Flat-Sample Annualized Factor Volatility</t>
  </si>
  <si>
    <t>EWMA Ann. Vol</t>
  </si>
  <si>
    <t>Flat-Sample Ann. Vol</t>
  </si>
  <si>
    <t>Ratio (EWMA/Flat)</t>
  </si>
  <si>
    <t>(C) Bias Statistic &amp; Q-Statistic (In-Sample Illustration)</t>
  </si>
  <si>
    <t>z_k,t = f_k,t / σ_k is the standardized weekly factor return; its standard deviation over the sample</t>
  </si>
  <si>
    <t>(the bias statistic) should be close to 1.0 if the volatility forecast is well-calibrated. The Q-statistic,</t>
  </si>
  <si>
    <t>Q = z² - ln(z²), is a complementary metric that penalizes under-forecasting more heavily than</t>
  </si>
  <si>
    <t>over-forecasting of the same size, and is the quantity CSV scaling and forecast blending minimize.</t>
  </si>
  <si>
    <t>Caveat: σ_k below is estimated in-sample from the same 156 weeks being tested, so the bias statistic</t>
  </si>
  <si>
    <t>is close to 1 partly by construction. Production models validate out-of-sample on a rolling window.</t>
  </si>
  <si>
    <t>Weekly Factor Volatility (flat-sample, sqrt of variance)</t>
  </si>
  <si>
    <t>Weekly z-scores and Q-statistic (156 rows)</t>
  </si>
  <si>
    <t>z_Market</t>
  </si>
  <si>
    <t>z_Value</t>
  </si>
  <si>
    <t>z_Momentum</t>
  </si>
  <si>
    <t>Q_Market</t>
  </si>
  <si>
    <t>Q_Value</t>
  </si>
  <si>
    <t>Q_Momentum</t>
  </si>
  <si>
    <t>Bias Statistic (std dev of z) &amp; Mean Q-Statistic</t>
  </si>
  <si>
    <t>Bias Statistic</t>
  </si>
  <si>
    <t>Mean Q-Statistic</t>
  </si>
  <si>
    <t>(D) Finite-Sample Adjustment — Removing Double-Counted Specific Risk</t>
  </si>
  <si>
    <t>A pure factor portfolio's observed return series already reflects both the true factor return and its</t>
  </si>
  <si>
    <t>own (finite-universe) specific return, so its factor-variance estimate F_kk already contains a share of</t>
  </si>
  <si>
    <t>specific risk. The traditional Ω = X F X' + Δ formula then adds a specific-variance term Δ on top,</t>
  </si>
  <si>
    <t>double-counting that risk and overstating the portfolio's total variance. This section applies that logic</t>
  </si>
  <si>
    <t>to the pure Market-factor portfolio already computed on the Exposures tab (column P, Market).</t>
  </si>
  <si>
    <t>Pure Market-Factor Portfolio (weights reused from Exposures!B32:B41)</t>
  </si>
  <si>
    <t>OLS Ann. Specific Var (from Section A)</t>
  </si>
  <si>
    <t>Naive Ω-based variance  =  F_Market (annualized)  +  Σ(weight² × specific var)</t>
  </si>
  <si>
    <t>FSA-consistent variance  =  F_Market (annualized) alone — no added specific-risk term</t>
  </si>
  <si>
    <t>Naive overstatement (absolute / %)</t>
  </si>
  <si>
    <t>Reading this: the naive figure overstates the pure Market portfolio's true variance by the amount and</t>
  </si>
  <si>
    <t>percentage shown above, purely because the specific-risk term Δ was added on top of an F_Market</t>
  </si>
  <si>
    <t>estimate that, by construction, already embeds that same idiosyncratic component. A finite-sample-</t>
  </si>
  <si>
    <t>adjusted model instead re-derives F and Δ so that this double-counting cannot occur.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</si>
</sst>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%"/>
    <numFmt numFmtId="166" formatCode="0.000"/>
    <numFmt numFmtId="167" formatCode="0.0000"/>
    <numFmt numFmtId="168" formatCode="0.000000"/>
  </numFmts>
  <fonts count="16" x14ac:knownFonts="1">
    <font>
      <sz val="11"/>
      <color theme="1"/>
      <name val="Calibri"/>
      <family val="2"/>
      <scheme val="minor"/>
    </font>
    <font>
      <b/>
      <sz val="15"/>
      <color rgb="FF1F4E78"/>
      <name val="Calibri"/>
      <family val="2"/>
    </font>
    <font>
      <sz val="10.5"/>
      <name val="Calibri"/>
      <family val="2"/>
    </font>
    <font>
      <b/>
      <sz val="12"/>
      <color rgb="FF1F4E78"/>
      <name val="Calibri"/>
      <family val="2"/>
    </font>
    <font>
      <b/>
      <sz val="11"/>
      <color rgb="FFFFFFFF"/>
      <name val="Calibri"/>
      <family val="2"/>
    </font>
    <font>
      <sz val="11"/>
      <color rgb="FF0000CC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i/>
      <sz val="10"/>
      <color rgb="FF666666"/>
      <name val="Calibri"/>
      <family val="2"/>
    </font>
    <font>
      <b/>
      <i/>
      <sz val="11"/>
      <name val="Calibri"/>
      <family val="2"/>
    </font>
    <font>
      <b/>
      <sz val="14"/>
      <color rgb="FFFFFFFF"/>
      <name val="Calibri"/>
      <family val="2"/>
    </font>
    <font>
      <sz val="9.5"/>
      <name val="Calibri"/>
      <family val="2"/>
    </font>
    <font>
      <b/>
      <sz val="9"/>
      <color rgb="FFFFFFFF"/>
      <name val="Calibri"/>
      <family val="2"/>
    </font>
    <font>
      <i/>
      <sz val="9"/>
      <color rgb="FF666666"/>
      <name val="Calibri"/>
      <family val="2"/>
    </font>
    <font>
      <b/>
      <sz val="11"/>
      <color rgb="FF1F4E78"/>
      <name val="Calibri"/>
      <family val="2"/>
    </font>
    <font>
      <sz val="11"/>
      <color rgb="FF0000CC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164" fontId="5" fillId="0" borderId="0" xfId="0" applyNumberFormat="1" applyFont="1"/>
    <xf numFmtId="10" fontId="5" fillId="0" borderId="0" xfId="0" applyNumberFormat="1" applyFont="1"/>
    <xf numFmtId="164" fontId="6" fillId="0" borderId="0" xfId="0" applyNumberFormat="1" applyFont="1"/>
    <xf numFmtId="0" fontId="7" fillId="0" borderId="0" xfId="0" applyFont="1"/>
    <xf numFmtId="165" fontId="6" fillId="0" borderId="0" xfId="0" applyNumberFormat="1" applyFont="1"/>
    <xf numFmtId="2" fontId="5" fillId="0" borderId="0" xfId="0" applyNumberFormat="1" applyFont="1"/>
    <xf numFmtId="0" fontId="8" fillId="0" borderId="0" xfId="0" applyFont="1"/>
    <xf numFmtId="0" fontId="9" fillId="0" borderId="0" xfId="0" applyFont="1"/>
    <xf numFmtId="166" fontId="6" fillId="0" borderId="0" xfId="0" applyNumberFormat="1" applyFont="1"/>
    <xf numFmtId="167" fontId="6" fillId="0" borderId="0" xfId="0" applyNumberFormat="1" applyFont="1"/>
    <xf numFmtId="10" fontId="6" fillId="0" borderId="0" xfId="0" applyNumberFormat="1" applyFont="1"/>
    <xf numFmtId="168" fontId="6" fillId="0" borderId="0" xfId="0" applyNumberFormat="1" applyFont="1"/>
    <xf numFmtId="2" fontId="6" fillId="0" borderId="0" xfId="0" applyNumberFormat="1" applyFont="1"/>
    <xf numFmtId="0" fontId="5" fillId="0" borderId="0" xfId="0" applyFont="1"/>
    <xf numFmtId="165" fontId="5" fillId="0" borderId="0" xfId="0" applyNumberFormat="1" applyFont="1"/>
    <xf numFmtId="0" fontId="6" fillId="0" borderId="0" xfId="0" applyFont="1"/>
    <xf numFmtId="165" fontId="3" fillId="0" borderId="0" xfId="0" applyNumberFormat="1" applyFont="1"/>
    <xf numFmtId="0" fontId="10" fillId="2" borderId="0" xfId="0" applyFont="1" applyFill="1"/>
    <xf numFmtId="0" fontId="0" fillId="2" borderId="0" xfId="0" applyFill="1"/>
    <xf numFmtId="0" fontId="11" fillId="0" borderId="0" xfId="0" applyFont="1"/>
    <xf numFmtId="0" fontId="12" fillId="2" borderId="0" xfId="0" applyFont="1" applyFill="1"/>
    <xf numFmtId="0" fontId="13" fillId="0" borderId="0" xfId="0" applyFont="1"/>
    <xf numFmtId="167" fontId="0" fillId="0" borderId="0" xfId="0" applyNumberFormat="1"/>
    <xf numFmtId="2" fontId="0" fillId="0" borderId="0" xfId="0" applyNumberFormat="1"/>
    <xf numFmtId="0" fontId="14" fillId="0" borderId="0" xfId="0" applyFont="1"/>
    <xf numFmtId="164" fontId="0" fillId="0" borderId="0" xfId="0" applyNumberFormat="1"/>
    <xf numFmtId="165" fontId="0" fillId="0" borderId="0" xfId="0" applyNumberFormat="1"/>
    <xf numFmtId="1" fontId="15" fillId="0" borderId="0" xfId="0" applyNumberFormat="1" applyFont="1"/>
    <xf numFmtId="168" fontId="0" fillId="0" borderId="0" xfId="0" applyNumberFormat="1"/>
    <xf numFmtId="10" fontId="0" fillId="0" borderId="0" xfId="0" applyNumberFormat="1"/>
    <xf numFmtId="0" fontId="1" fillId="0" borderId="0" xfId="0" applyFont="1"/>
    <xf numFmtId="0" fontId="0" fillId="0" borderId="0" xfId="0"/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showGridLines="0" tabSelected="1" workbookViewId="0">
      <selection sqref="A1:F1"/>
    </sheetView>
  </sheetViews>
  <sheetFormatPr baseColWidth="10" defaultColWidth="8.83203125" defaultRowHeight="15" x14ac:dyDescent="0.2"/>
  <cols>
    <col min="1" max="1" width="112" customWidth="1"/>
  </cols>
  <sheetData>
    <row r="1" spans="1:6" ht="20" x14ac:dyDescent="0.25">
      <c r="A1" s="34" t="s">
        <v>0</v>
      </c>
      <c r="B1" s="35"/>
      <c r="C1" s="35"/>
      <c r="D1" s="35"/>
      <c r="E1" s="35"/>
      <c r="F1" s="35"/>
    </row>
    <row r="2" spans="1:6" ht="15" customHeight="1" x14ac:dyDescent="0.2">
      <c r="A2" s="1"/>
    </row>
    <row r="3" spans="1:6" ht="15" customHeight="1" x14ac:dyDescent="0.2">
      <c r="A3" s="2" t="s">
        <v>1</v>
      </c>
    </row>
    <row r="4" spans="1:6" ht="15" customHeight="1" x14ac:dyDescent="0.2">
      <c r="A4" s="1" t="s">
        <v>2</v>
      </c>
    </row>
    <row r="5" spans="1:6" ht="15" customHeight="1" x14ac:dyDescent="0.2">
      <c r="A5" s="1" t="s">
        <v>3</v>
      </c>
    </row>
    <row r="6" spans="1:6" ht="15" customHeight="1" x14ac:dyDescent="0.2">
      <c r="A6" s="1" t="s">
        <v>4</v>
      </c>
    </row>
    <row r="7" spans="1:6" ht="15" customHeight="1" x14ac:dyDescent="0.2">
      <c r="A7" s="1" t="s">
        <v>5</v>
      </c>
    </row>
    <row r="8" spans="1:6" ht="15" customHeight="1" x14ac:dyDescent="0.2">
      <c r="A8" s="1" t="s">
        <v>6</v>
      </c>
    </row>
    <row r="9" spans="1:6" ht="15" customHeight="1" x14ac:dyDescent="0.2">
      <c r="A9" s="1"/>
    </row>
    <row r="10" spans="1:6" ht="15" customHeight="1" x14ac:dyDescent="0.2">
      <c r="A10" s="2" t="s">
        <v>7</v>
      </c>
    </row>
    <row r="11" spans="1:6" ht="15" customHeight="1" x14ac:dyDescent="0.2">
      <c r="A11" s="1" t="s">
        <v>8</v>
      </c>
    </row>
    <row r="12" spans="1:6" ht="15" customHeight="1" x14ac:dyDescent="0.2">
      <c r="A12" s="1" t="s">
        <v>9</v>
      </c>
    </row>
    <row r="13" spans="1:6" ht="15" customHeight="1" x14ac:dyDescent="0.2">
      <c r="A13" s="1" t="s">
        <v>10</v>
      </c>
    </row>
    <row r="14" spans="1:6" ht="15" customHeight="1" x14ac:dyDescent="0.2">
      <c r="A14" s="1" t="s">
        <v>11</v>
      </c>
    </row>
    <row r="15" spans="1:6" ht="15" customHeight="1" x14ac:dyDescent="0.2">
      <c r="A15" s="1" t="s">
        <v>12</v>
      </c>
    </row>
    <row r="16" spans="1:6" ht="15" customHeight="1" x14ac:dyDescent="0.2">
      <c r="A16" s="1" t="s">
        <v>13</v>
      </c>
    </row>
    <row r="17" spans="1:1" ht="15" customHeight="1" x14ac:dyDescent="0.2">
      <c r="A17" s="1" t="s">
        <v>14</v>
      </c>
    </row>
    <row r="18" spans="1:1" ht="15" customHeight="1" x14ac:dyDescent="0.2">
      <c r="A18" s="1" t="s">
        <v>15</v>
      </c>
    </row>
    <row r="19" spans="1:1" ht="15" customHeight="1" x14ac:dyDescent="0.2">
      <c r="A19" s="1" t="s">
        <v>16</v>
      </c>
    </row>
    <row r="20" spans="1:1" ht="15" customHeight="1" x14ac:dyDescent="0.2">
      <c r="A20" s="1" t="s">
        <v>17</v>
      </c>
    </row>
    <row r="21" spans="1:1" ht="15" customHeight="1" x14ac:dyDescent="0.2">
      <c r="A21" s="1"/>
    </row>
    <row r="22" spans="1:1" ht="15" customHeight="1" x14ac:dyDescent="0.2">
      <c r="A22" s="2" t="s">
        <v>18</v>
      </c>
    </row>
    <row r="23" spans="1:1" ht="15" customHeight="1" x14ac:dyDescent="0.2">
      <c r="A23" s="1" t="s">
        <v>19</v>
      </c>
    </row>
    <row r="24" spans="1:1" ht="15" customHeight="1" x14ac:dyDescent="0.2">
      <c r="A24" s="1" t="s">
        <v>20</v>
      </c>
    </row>
    <row r="25" spans="1:1" ht="15" customHeight="1" x14ac:dyDescent="0.2">
      <c r="A25" s="1"/>
    </row>
    <row r="26" spans="1:1" ht="15" customHeight="1" x14ac:dyDescent="0.2">
      <c r="A26" s="2" t="s">
        <v>21</v>
      </c>
    </row>
    <row r="27" spans="1:1" ht="15" customHeight="1" x14ac:dyDescent="0.2">
      <c r="A27" s="1" t="s">
        <v>22</v>
      </c>
    </row>
    <row r="28" spans="1:1" ht="15" customHeight="1" x14ac:dyDescent="0.2">
      <c r="A28" s="1" t="s">
        <v>23</v>
      </c>
    </row>
    <row r="29" spans="1:1" ht="15" customHeight="1" x14ac:dyDescent="0.2">
      <c r="A29" s="1" t="s">
        <v>24</v>
      </c>
    </row>
    <row r="30" spans="1:1" ht="15" customHeight="1" x14ac:dyDescent="0.2">
      <c r="A30" s="1" t="s">
        <v>25</v>
      </c>
    </row>
    <row r="31" spans="1:1" ht="15" customHeight="1" x14ac:dyDescent="0.2">
      <c r="A31" s="1" t="s">
        <v>26</v>
      </c>
    </row>
    <row r="32" spans="1:1" ht="15" customHeight="1" x14ac:dyDescent="0.2">
      <c r="A32" s="1"/>
    </row>
    <row r="33" spans="1:1" ht="15" customHeight="1" x14ac:dyDescent="0.2">
      <c r="A33" s="2" t="s">
        <v>27</v>
      </c>
    </row>
    <row r="34" spans="1:1" ht="15" customHeight="1" x14ac:dyDescent="0.2">
      <c r="A34" s="1" t="s">
        <v>28</v>
      </c>
    </row>
    <row r="35" spans="1:1" ht="15" customHeight="1" x14ac:dyDescent="0.2">
      <c r="A35" s="1" t="s">
        <v>29</v>
      </c>
    </row>
    <row r="36" spans="1:1" ht="15" customHeight="1" x14ac:dyDescent="0.2">
      <c r="A36" s="1" t="s">
        <v>30</v>
      </c>
    </row>
    <row r="37" spans="1:1" ht="15" customHeight="1" x14ac:dyDescent="0.2">
      <c r="A37" s="1" t="s">
        <v>31</v>
      </c>
    </row>
    <row r="38" spans="1:1" ht="15" customHeight="1" x14ac:dyDescent="0.2">
      <c r="A38" s="1"/>
    </row>
    <row r="39" spans="1:1" ht="15" customHeight="1" x14ac:dyDescent="0.2">
      <c r="A39" s="2" t="s">
        <v>32</v>
      </c>
    </row>
    <row r="40" spans="1:1" ht="15" customHeight="1" x14ac:dyDescent="0.2">
      <c r="A40" t="s">
        <v>33</v>
      </c>
    </row>
    <row r="41" spans="1:1" ht="15" customHeight="1" x14ac:dyDescent="0.2">
      <c r="A41" t="s">
        <v>34</v>
      </c>
    </row>
    <row r="42" spans="1:1" ht="15" customHeight="1" x14ac:dyDescent="0.2">
      <c r="A42" t="s">
        <v>35</v>
      </c>
    </row>
    <row r="43" spans="1:1" ht="15" customHeight="1" x14ac:dyDescent="0.2">
      <c r="A43" t="s">
        <v>36</v>
      </c>
    </row>
    <row r="44" spans="1:1" ht="15" customHeight="1" x14ac:dyDescent="0.2">
      <c r="A44" t="s">
        <v>37</v>
      </c>
    </row>
    <row r="45" spans="1:1" x14ac:dyDescent="0.2">
      <c r="A45" t="s">
        <v>38</v>
      </c>
    </row>
    <row r="46" spans="1:1" x14ac:dyDescent="0.2">
      <c r="A46" t="s">
        <v>39</v>
      </c>
    </row>
    <row r="47" spans="1:1" ht="16" x14ac:dyDescent="0.2">
      <c r="A47" s="2" t="s">
        <v>40</v>
      </c>
    </row>
    <row r="48" spans="1:1" x14ac:dyDescent="0.2">
      <c r="A48" s="1"/>
    </row>
    <row r="49" spans="1:1" x14ac:dyDescent="0.2">
      <c r="A49" s="1" t="s">
        <v>41</v>
      </c>
    </row>
    <row r="50" spans="1:1" x14ac:dyDescent="0.2">
      <c r="A50" s="1" t="s">
        <v>42</v>
      </c>
    </row>
    <row r="51" spans="1:1" x14ac:dyDescent="0.2">
      <c r="A51" s="1" t="s">
        <v>43</v>
      </c>
    </row>
    <row r="52" spans="1:1" x14ac:dyDescent="0.2">
      <c r="A52" s="1" t="s">
        <v>44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2" customWidth="1"/>
    <col min="2" max="11" width="10" customWidth="1"/>
  </cols>
  <sheetData>
    <row r="1" spans="1:11" x14ac:dyDescent="0.2">
      <c r="A1" s="3" t="s">
        <v>45</v>
      </c>
      <c r="B1" s="3" t="s">
        <v>46</v>
      </c>
      <c r="C1" s="3" t="s">
        <v>47</v>
      </c>
      <c r="D1" s="3" t="s">
        <v>48</v>
      </c>
      <c r="E1" s="3" t="s">
        <v>49</v>
      </c>
      <c r="F1" s="3" t="s">
        <v>50</v>
      </c>
      <c r="G1" s="3" t="s">
        <v>51</v>
      </c>
      <c r="H1" s="3" t="s">
        <v>52</v>
      </c>
      <c r="I1" s="3" t="s">
        <v>53</v>
      </c>
      <c r="J1" s="3" t="s">
        <v>54</v>
      </c>
      <c r="K1" s="3" t="s">
        <v>55</v>
      </c>
    </row>
    <row r="2" spans="1:11" x14ac:dyDescent="0.2">
      <c r="A2" s="4">
        <v>44932</v>
      </c>
      <c r="B2" s="5">
        <v>-1.6818E-2</v>
      </c>
      <c r="C2" s="5">
        <v>-6.7912E-2</v>
      </c>
      <c r="D2" s="5">
        <v>-4.6266000000000002E-2</v>
      </c>
      <c r="E2" s="5">
        <v>-5.1298999999999997E-2</v>
      </c>
      <c r="F2" s="5">
        <v>-5.3506999999999999E-2</v>
      </c>
      <c r="G2" s="5">
        <v>5.1980000000000004E-3</v>
      </c>
      <c r="H2" s="5">
        <v>4.8279999999999998E-3</v>
      </c>
      <c r="I2" s="5">
        <v>-5.5551999999999997E-2</v>
      </c>
      <c r="J2" s="5">
        <v>-4.1319000000000002E-2</v>
      </c>
      <c r="K2" s="5">
        <v>-7.8766000000000003E-2</v>
      </c>
    </row>
    <row r="3" spans="1:11" x14ac:dyDescent="0.2">
      <c r="A3" s="6">
        <f t="shared" ref="A3:A34" si="0">A2+7</f>
        <v>44939</v>
      </c>
      <c r="B3" s="5">
        <v>-3.1245999999999999E-2</v>
      </c>
      <c r="C3" s="5">
        <v>-1.6621E-2</v>
      </c>
      <c r="D3" s="5">
        <v>-2.4493999999999998E-2</v>
      </c>
      <c r="E3" s="5">
        <v>-2.2123E-2</v>
      </c>
      <c r="F3" s="5">
        <v>-4.5531000000000002E-2</v>
      </c>
      <c r="G3" s="5">
        <v>-3.9814000000000002E-2</v>
      </c>
      <c r="H3" s="5">
        <v>-3.6579999999999998E-3</v>
      </c>
      <c r="I3" s="5">
        <v>6.1566999999999997E-2</v>
      </c>
      <c r="J3" s="5">
        <v>6.0647E-2</v>
      </c>
      <c r="K3" s="5">
        <v>-1.7235E-2</v>
      </c>
    </row>
    <row r="4" spans="1:11" x14ac:dyDescent="0.2">
      <c r="A4" s="6">
        <f t="shared" si="0"/>
        <v>44946</v>
      </c>
      <c r="B4" s="5">
        <v>-2.2110000000000001E-2</v>
      </c>
      <c r="C4" s="5">
        <v>-1.06E-4</v>
      </c>
      <c r="D4" s="5">
        <v>-2.4771000000000001E-2</v>
      </c>
      <c r="E4" s="5">
        <v>-1.9181E-2</v>
      </c>
      <c r="F4" s="5">
        <v>-6.117E-3</v>
      </c>
      <c r="G4" s="5">
        <v>-5.0139000000000003E-2</v>
      </c>
      <c r="H4" s="5">
        <v>2.9234E-2</v>
      </c>
      <c r="I4" s="5">
        <v>1.515E-2</v>
      </c>
      <c r="J4" s="5">
        <v>1.6410999999999999E-2</v>
      </c>
      <c r="K4" s="5">
        <v>-4.1260000000000003E-3</v>
      </c>
    </row>
    <row r="5" spans="1:11" x14ac:dyDescent="0.2">
      <c r="A5" s="6">
        <f t="shared" si="0"/>
        <v>44953</v>
      </c>
      <c r="B5" s="5">
        <v>-1.702E-2</v>
      </c>
      <c r="C5" s="5">
        <v>-2.0789999999999999E-2</v>
      </c>
      <c r="D5" s="5">
        <v>-8.345E-3</v>
      </c>
      <c r="E5" s="5">
        <v>-1.4201E-2</v>
      </c>
      <c r="F5" s="5">
        <v>4.0460000000000001E-3</v>
      </c>
      <c r="G5" s="5">
        <v>-8.0999999999999996E-4</v>
      </c>
      <c r="H5" s="5">
        <v>-4.3955000000000001E-2</v>
      </c>
      <c r="I5" s="5">
        <v>5.1310000000000001E-3</v>
      </c>
      <c r="J5" s="5">
        <v>-5.0721000000000002E-2</v>
      </c>
      <c r="K5" s="5">
        <v>-2.2849000000000001E-2</v>
      </c>
    </row>
    <row r="6" spans="1:11" x14ac:dyDescent="0.2">
      <c r="A6" s="6">
        <f t="shared" si="0"/>
        <v>44960</v>
      </c>
      <c r="B6" s="5">
        <v>-1.3865000000000001E-2</v>
      </c>
      <c r="C6" s="5">
        <v>-5.7230000000000003E-2</v>
      </c>
      <c r="D6" s="5">
        <v>-1.1023E-2</v>
      </c>
      <c r="E6" s="5">
        <v>-3.1168999999999999E-2</v>
      </c>
      <c r="F6" s="5">
        <v>-2.0184000000000001E-2</v>
      </c>
      <c r="G6" s="5">
        <v>-1.8079999999999999E-2</v>
      </c>
      <c r="H6" s="5">
        <v>-5.2035999999999999E-2</v>
      </c>
      <c r="I6" s="5">
        <v>-6.3284000000000007E-2</v>
      </c>
      <c r="J6" s="5">
        <v>-6.1099000000000001E-2</v>
      </c>
      <c r="K6" s="5">
        <v>-5.8270000000000002E-2</v>
      </c>
    </row>
    <row r="7" spans="1:11" x14ac:dyDescent="0.2">
      <c r="A7" s="6">
        <f t="shared" si="0"/>
        <v>44967</v>
      </c>
      <c r="B7" s="5">
        <v>-2.3885E-2</v>
      </c>
      <c r="C7" s="5">
        <v>-5.1219000000000001E-2</v>
      </c>
      <c r="D7" s="5">
        <v>-2.2107999999999999E-2</v>
      </c>
      <c r="E7" s="5">
        <v>-3.6888999999999998E-2</v>
      </c>
      <c r="F7" s="5">
        <v>-3.5555000000000003E-2</v>
      </c>
      <c r="G7" s="5">
        <v>-5.1499999999999997E-2</v>
      </c>
      <c r="H7" s="5">
        <v>-1.2449999999999999E-2</v>
      </c>
      <c r="I7" s="5">
        <v>-8.3098000000000005E-2</v>
      </c>
      <c r="J7" s="5">
        <v>-2.1187999999999999E-2</v>
      </c>
      <c r="K7" s="5">
        <v>-2.9609E-2</v>
      </c>
    </row>
    <row r="8" spans="1:11" x14ac:dyDescent="0.2">
      <c r="A8" s="6">
        <f t="shared" si="0"/>
        <v>44974</v>
      </c>
      <c r="B8" s="5">
        <v>1.0525E-2</v>
      </c>
      <c r="C8" s="5">
        <v>1.8862E-2</v>
      </c>
      <c r="D8" s="5">
        <v>-3.0648000000000002E-2</v>
      </c>
      <c r="E8" s="5">
        <v>-4.0681000000000002E-2</v>
      </c>
      <c r="F8" s="5">
        <v>-1.302E-3</v>
      </c>
      <c r="G8" s="5">
        <v>-6.6509999999999998E-3</v>
      </c>
      <c r="H8" s="5">
        <v>-8.1580000000000003E-3</v>
      </c>
      <c r="I8" s="5">
        <v>-3.5425999999999999E-2</v>
      </c>
      <c r="J8" s="5">
        <v>-1.6315E-2</v>
      </c>
      <c r="K8" s="5">
        <v>5.79E-3</v>
      </c>
    </row>
    <row r="9" spans="1:11" x14ac:dyDescent="0.2">
      <c r="A9" s="6">
        <f t="shared" si="0"/>
        <v>44981</v>
      </c>
      <c r="B9" s="5">
        <v>9.5790000000000007E-3</v>
      </c>
      <c r="C9" s="5">
        <v>-1.0657E-2</v>
      </c>
      <c r="D9" s="5">
        <v>-7.3126999999999998E-2</v>
      </c>
      <c r="E9" s="5">
        <v>-9.2540000000000001E-3</v>
      </c>
      <c r="F9" s="5">
        <v>-2.3503E-2</v>
      </c>
      <c r="G9" s="5">
        <v>-9.7185999999999995E-2</v>
      </c>
      <c r="H9" s="5">
        <v>-1.8811999999999999E-2</v>
      </c>
      <c r="I9" s="5">
        <v>-8.4329000000000001E-2</v>
      </c>
      <c r="J9" s="5">
        <v>-8.1481999999999999E-2</v>
      </c>
      <c r="K9" s="5">
        <v>-5.1622000000000001E-2</v>
      </c>
    </row>
    <row r="10" spans="1:11" x14ac:dyDescent="0.2">
      <c r="A10" s="6">
        <f t="shared" si="0"/>
        <v>44988</v>
      </c>
      <c r="B10" s="5">
        <v>3.0967000000000001E-2</v>
      </c>
      <c r="C10" s="5">
        <v>-6.4970000000000002E-3</v>
      </c>
      <c r="D10" s="5">
        <v>6.2379999999999996E-3</v>
      </c>
      <c r="E10" s="5">
        <v>2.7089999999999999E-2</v>
      </c>
      <c r="F10" s="5">
        <v>2.7442999999999999E-2</v>
      </c>
      <c r="G10" s="5">
        <v>-1.3344E-2</v>
      </c>
      <c r="H10" s="5">
        <v>-7.2300000000000003E-3</v>
      </c>
      <c r="I10" s="5">
        <v>-4.1214000000000001E-2</v>
      </c>
      <c r="J10" s="5">
        <v>-2.9203E-2</v>
      </c>
      <c r="K10" s="5">
        <v>7.5750000000000001E-3</v>
      </c>
    </row>
    <row r="11" spans="1:11" x14ac:dyDescent="0.2">
      <c r="A11" s="6">
        <f t="shared" si="0"/>
        <v>44995</v>
      </c>
      <c r="B11" s="5">
        <v>2.1652999999999999E-2</v>
      </c>
      <c r="C11" s="5">
        <v>2.1203E-2</v>
      </c>
      <c r="D11" s="5">
        <v>4.4188999999999999E-2</v>
      </c>
      <c r="E11" s="5">
        <v>-9.5700000000000004E-3</v>
      </c>
      <c r="F11" s="5">
        <v>6.2129999999999998E-3</v>
      </c>
      <c r="G11" s="5">
        <v>1.4772E-2</v>
      </c>
      <c r="H11" s="5">
        <v>4.6101000000000003E-2</v>
      </c>
      <c r="I11" s="5">
        <v>9.0448000000000001E-2</v>
      </c>
      <c r="J11" s="5">
        <v>3.5826999999999998E-2</v>
      </c>
      <c r="K11" s="5">
        <v>4.3790000000000001E-3</v>
      </c>
    </row>
    <row r="12" spans="1:11" x14ac:dyDescent="0.2">
      <c r="A12" s="6">
        <f t="shared" si="0"/>
        <v>45002</v>
      </c>
      <c r="B12" s="5">
        <v>1.5812E-2</v>
      </c>
      <c r="C12" s="5">
        <v>-1.8589999999999999E-2</v>
      </c>
      <c r="D12" s="5">
        <v>-4.9438999999999997E-2</v>
      </c>
      <c r="E12" s="5">
        <v>2.0220999999999999E-2</v>
      </c>
      <c r="F12" s="5">
        <v>6.9360000000000003E-3</v>
      </c>
      <c r="G12" s="5">
        <v>2.2608E-2</v>
      </c>
      <c r="H12" s="5">
        <v>-5.0541999999999997E-2</v>
      </c>
      <c r="I12" s="5">
        <v>-1.8033E-2</v>
      </c>
      <c r="J12" s="5">
        <v>-1.7180999999999998E-2</v>
      </c>
      <c r="K12" s="5">
        <v>-2.1912999999999998E-2</v>
      </c>
    </row>
    <row r="13" spans="1:11" x14ac:dyDescent="0.2">
      <c r="A13" s="6">
        <f t="shared" si="0"/>
        <v>45009</v>
      </c>
      <c r="B13" s="5">
        <v>-8.2295999999999994E-2</v>
      </c>
      <c r="C13" s="5">
        <v>-3.5951999999999998E-2</v>
      </c>
      <c r="D13" s="5">
        <v>7.4320000000000002E-3</v>
      </c>
      <c r="E13" s="5">
        <v>-9.6469999999999993E-3</v>
      </c>
      <c r="F13" s="5">
        <v>-3.4346000000000002E-2</v>
      </c>
      <c r="G13" s="5">
        <v>-2.0354000000000001E-2</v>
      </c>
      <c r="H13" s="5">
        <v>2.61E-4</v>
      </c>
      <c r="I13" s="5">
        <v>-0.15046399999999999</v>
      </c>
      <c r="J13" s="5">
        <v>-2.2747E-2</v>
      </c>
      <c r="K13" s="5">
        <v>-1.106E-3</v>
      </c>
    </row>
    <row r="14" spans="1:11" x14ac:dyDescent="0.2">
      <c r="A14" s="6">
        <f t="shared" si="0"/>
        <v>45016</v>
      </c>
      <c r="B14" s="5">
        <v>2.4962999999999999E-2</v>
      </c>
      <c r="C14" s="5">
        <v>5.4705999999999998E-2</v>
      </c>
      <c r="D14" s="5">
        <v>4.9606999999999998E-2</v>
      </c>
      <c r="E14" s="5">
        <v>2.4364E-2</v>
      </c>
      <c r="F14" s="5">
        <v>1.5852000000000002E-2</v>
      </c>
      <c r="G14" s="5">
        <v>1.4805E-2</v>
      </c>
      <c r="H14" s="5">
        <v>2.2780000000000002E-2</v>
      </c>
      <c r="I14" s="5">
        <v>4.265E-2</v>
      </c>
      <c r="J14" s="5">
        <v>7.2112999999999997E-2</v>
      </c>
      <c r="K14" s="5">
        <v>9.1285000000000005E-2</v>
      </c>
    </row>
    <row r="15" spans="1:11" x14ac:dyDescent="0.2">
      <c r="A15" s="6">
        <f t="shared" si="0"/>
        <v>45023</v>
      </c>
      <c r="B15" s="5">
        <v>-4.0563000000000002E-2</v>
      </c>
      <c r="C15" s="5">
        <v>-3.1647000000000002E-2</v>
      </c>
      <c r="D15" s="5">
        <v>-2.2305999999999999E-2</v>
      </c>
      <c r="E15" s="5">
        <v>1.9106999999999999E-2</v>
      </c>
      <c r="F15" s="5">
        <v>-2.7972E-2</v>
      </c>
      <c r="G15" s="5">
        <v>-3.1809999999999998E-3</v>
      </c>
      <c r="H15" s="5">
        <v>-1.9404999999999999E-2</v>
      </c>
      <c r="I15" s="5">
        <v>-8.43E-3</v>
      </c>
      <c r="J15" s="5">
        <v>1.2918000000000001E-2</v>
      </c>
      <c r="K15" s="5">
        <v>2.8416E-2</v>
      </c>
    </row>
    <row r="16" spans="1:11" x14ac:dyDescent="0.2">
      <c r="A16" s="6">
        <f t="shared" si="0"/>
        <v>45030</v>
      </c>
      <c r="B16" s="5">
        <v>3.3543999999999997E-2</v>
      </c>
      <c r="C16" s="5">
        <v>-3.0297000000000001E-2</v>
      </c>
      <c r="D16" s="5">
        <v>-3.0626E-2</v>
      </c>
      <c r="E16" s="5">
        <v>-9.2960000000000004E-3</v>
      </c>
      <c r="F16" s="5">
        <v>-1.4441000000000001E-2</v>
      </c>
      <c r="G16" s="5">
        <v>-3.7455000000000002E-2</v>
      </c>
      <c r="H16" s="5">
        <v>8.3040000000000006E-3</v>
      </c>
      <c r="I16" s="5">
        <v>1.1346E-2</v>
      </c>
      <c r="J16" s="5">
        <v>-1.5871E-2</v>
      </c>
      <c r="K16" s="5">
        <v>-3.7850000000000002E-2</v>
      </c>
    </row>
    <row r="17" spans="1:11" x14ac:dyDescent="0.2">
      <c r="A17" s="6">
        <f t="shared" si="0"/>
        <v>45037</v>
      </c>
      <c r="B17" s="5">
        <v>3.6844000000000002E-2</v>
      </c>
      <c r="C17" s="5">
        <v>5.1650000000000003E-3</v>
      </c>
      <c r="D17" s="5">
        <v>5.1936000000000003E-2</v>
      </c>
      <c r="E17" s="5">
        <v>1.7420000000000001E-3</v>
      </c>
      <c r="F17" s="5">
        <v>-2.153E-3</v>
      </c>
      <c r="G17" s="5">
        <v>2.0673E-2</v>
      </c>
      <c r="H17" s="5">
        <v>-3.1029999999999999E-3</v>
      </c>
      <c r="I17" s="5">
        <v>3.8965E-2</v>
      </c>
      <c r="J17" s="5">
        <v>3.2167000000000001E-2</v>
      </c>
      <c r="K17" s="5">
        <v>-8.8769999999999995E-3</v>
      </c>
    </row>
    <row r="18" spans="1:11" x14ac:dyDescent="0.2">
      <c r="A18" s="6">
        <f t="shared" si="0"/>
        <v>45044</v>
      </c>
      <c r="B18" s="5">
        <v>-2.225E-3</v>
      </c>
      <c r="C18" s="5">
        <v>-5.5900000000000004E-3</v>
      </c>
      <c r="D18" s="5">
        <v>2.402E-2</v>
      </c>
      <c r="E18" s="5">
        <v>-2.8163000000000001E-2</v>
      </c>
      <c r="F18" s="5">
        <v>-1.9612000000000001E-2</v>
      </c>
      <c r="G18" s="5">
        <v>1.3988E-2</v>
      </c>
      <c r="H18" s="5">
        <v>7.5731999999999994E-2</v>
      </c>
      <c r="I18" s="5">
        <v>0.11222500000000001</v>
      </c>
      <c r="J18" s="5">
        <v>-6.7000000000000002E-5</v>
      </c>
      <c r="K18" s="5">
        <v>-8.7100000000000003E-4</v>
      </c>
    </row>
    <row r="19" spans="1:11" x14ac:dyDescent="0.2">
      <c r="A19" s="6">
        <f t="shared" si="0"/>
        <v>45051</v>
      </c>
      <c r="B19" s="5">
        <v>3.3516999999999998E-2</v>
      </c>
      <c r="C19" s="5">
        <v>-5.816E-3</v>
      </c>
      <c r="D19" s="5">
        <v>-3.9473000000000001E-2</v>
      </c>
      <c r="E19" s="5">
        <v>-5.4799999999999996E-3</v>
      </c>
      <c r="F19" s="5">
        <v>2.7100000000000002E-3</v>
      </c>
      <c r="G19" s="5">
        <v>-3.6631999999999998E-2</v>
      </c>
      <c r="H19" s="5">
        <v>-5.3731000000000001E-2</v>
      </c>
      <c r="I19" s="5">
        <v>-5.7592999999999998E-2</v>
      </c>
      <c r="J19" s="5">
        <v>1.8402000000000002E-2</v>
      </c>
      <c r="K19" s="5">
        <v>-3.0668999999999998E-2</v>
      </c>
    </row>
    <row r="20" spans="1:11" x14ac:dyDescent="0.2">
      <c r="A20" s="6">
        <f t="shared" si="0"/>
        <v>45058</v>
      </c>
      <c r="B20" s="5">
        <v>-8.4279999999999997E-3</v>
      </c>
      <c r="C20" s="5">
        <v>-4.0959999999999998E-3</v>
      </c>
      <c r="D20" s="5">
        <v>2.0160000000000001E-2</v>
      </c>
      <c r="E20" s="5">
        <v>-1.9699999999999999E-4</v>
      </c>
      <c r="F20" s="5">
        <v>1.1207999999999999E-2</v>
      </c>
      <c r="G20" s="5">
        <v>-1.9886999999999998E-2</v>
      </c>
      <c r="H20" s="5">
        <v>-1.7929E-2</v>
      </c>
      <c r="I20" s="5">
        <v>-6.7141999999999993E-2</v>
      </c>
      <c r="J20" s="5">
        <v>4.0358999999999999E-2</v>
      </c>
      <c r="K20" s="5">
        <v>1.8810000000000001E-3</v>
      </c>
    </row>
    <row r="21" spans="1:11" x14ac:dyDescent="0.2">
      <c r="A21" s="6">
        <f t="shared" si="0"/>
        <v>45065</v>
      </c>
      <c r="B21" s="5">
        <v>-1.4286E-2</v>
      </c>
      <c r="C21" s="5">
        <v>-8.0400000000000003E-4</v>
      </c>
      <c r="D21" s="5">
        <v>-1.1557E-2</v>
      </c>
      <c r="E21" s="5">
        <v>-8.7200000000000003E-3</v>
      </c>
      <c r="F21" s="5">
        <v>-4.0252000000000003E-2</v>
      </c>
      <c r="G21" s="5">
        <v>-4.3104999999999997E-2</v>
      </c>
      <c r="H21" s="5">
        <v>-2.3746E-2</v>
      </c>
      <c r="I21" s="5">
        <v>0.123292</v>
      </c>
      <c r="J21" s="5">
        <v>7.6909999999999999E-3</v>
      </c>
      <c r="K21" s="5">
        <v>-2.5746999999999999E-2</v>
      </c>
    </row>
    <row r="22" spans="1:11" x14ac:dyDescent="0.2">
      <c r="A22" s="6">
        <f t="shared" si="0"/>
        <v>45072</v>
      </c>
      <c r="B22" s="5">
        <v>1.7132000000000001E-2</v>
      </c>
      <c r="C22" s="5">
        <v>5.0922000000000002E-2</v>
      </c>
      <c r="D22" s="5">
        <v>-9.7330000000000003E-3</v>
      </c>
      <c r="E22" s="5">
        <v>-1.0962E-2</v>
      </c>
      <c r="F22" s="5">
        <v>2.1753999999999999E-2</v>
      </c>
      <c r="G22" s="5">
        <v>5.5019999999999999E-3</v>
      </c>
      <c r="H22" s="5">
        <v>2.7777E-2</v>
      </c>
      <c r="I22" s="5">
        <v>-6.1529999999999996E-3</v>
      </c>
      <c r="J22" s="5">
        <v>7.1428000000000005E-2</v>
      </c>
      <c r="K22" s="5">
        <v>5.5635999999999998E-2</v>
      </c>
    </row>
    <row r="23" spans="1:11" x14ac:dyDescent="0.2">
      <c r="A23" s="6">
        <f t="shared" si="0"/>
        <v>45079</v>
      </c>
      <c r="B23" s="5">
        <v>4.5265E-2</v>
      </c>
      <c r="C23" s="5">
        <v>4.6281999999999997E-2</v>
      </c>
      <c r="D23" s="5">
        <v>-4.2455E-2</v>
      </c>
      <c r="E23" s="5">
        <v>3.1989999999999998E-2</v>
      </c>
      <c r="F23" s="5">
        <v>2.2675000000000001E-2</v>
      </c>
      <c r="G23" s="5">
        <v>4.6405000000000002E-2</v>
      </c>
      <c r="H23" s="5">
        <v>3.7150000000000002E-2</v>
      </c>
      <c r="I23" s="5">
        <v>9.5890000000000003E-3</v>
      </c>
      <c r="J23" s="5">
        <v>-4.8304E-2</v>
      </c>
      <c r="K23" s="5">
        <v>2.7969999999999998E-2</v>
      </c>
    </row>
    <row r="24" spans="1:11" x14ac:dyDescent="0.2">
      <c r="A24" s="6">
        <f t="shared" si="0"/>
        <v>45086</v>
      </c>
      <c r="B24" s="5">
        <v>-6.2456999999999999E-2</v>
      </c>
      <c r="C24" s="5">
        <v>-4.7384000000000003E-2</v>
      </c>
      <c r="D24" s="5">
        <v>-5.8067000000000001E-2</v>
      </c>
      <c r="E24" s="5">
        <v>-2.5111999999999999E-2</v>
      </c>
      <c r="F24" s="5">
        <v>-8.1879999999999994E-2</v>
      </c>
      <c r="G24" s="5">
        <v>-1.4123E-2</v>
      </c>
      <c r="H24" s="5">
        <v>3.5010000000000002E-3</v>
      </c>
      <c r="I24" s="5">
        <v>3.0051999999999999E-2</v>
      </c>
      <c r="J24" s="5">
        <v>7.4261999999999995E-2</v>
      </c>
      <c r="K24" s="5">
        <v>-8.3750000000000005E-3</v>
      </c>
    </row>
    <row r="25" spans="1:11" x14ac:dyDescent="0.2">
      <c r="A25" s="6">
        <f t="shared" si="0"/>
        <v>45093</v>
      </c>
      <c r="B25" s="5">
        <v>-9.6481999999999998E-2</v>
      </c>
      <c r="C25" s="5">
        <v>-7.2173000000000001E-2</v>
      </c>
      <c r="D25" s="5">
        <v>-8.8331000000000007E-2</v>
      </c>
      <c r="E25" s="5">
        <v>-4.3249999999999997E-2</v>
      </c>
      <c r="F25" s="5">
        <v>-4.2770000000000002E-2</v>
      </c>
      <c r="G25" s="5">
        <v>-0.115382</v>
      </c>
      <c r="H25" s="5">
        <v>-2.0882000000000001E-2</v>
      </c>
      <c r="I25" s="5">
        <v>-0.10953400000000001</v>
      </c>
      <c r="J25" s="5">
        <v>-1.3030999999999999E-2</v>
      </c>
      <c r="K25" s="5">
        <v>-3.3439000000000003E-2</v>
      </c>
    </row>
    <row r="26" spans="1:11" x14ac:dyDescent="0.2">
      <c r="A26" s="6">
        <f t="shared" si="0"/>
        <v>45100</v>
      </c>
      <c r="B26" s="5">
        <v>-6.1630000000000001E-3</v>
      </c>
      <c r="C26" s="5">
        <v>1.0063000000000001E-2</v>
      </c>
      <c r="D26" s="5">
        <v>-2.1309000000000002E-2</v>
      </c>
      <c r="E26" s="5">
        <v>-2.2911999999999998E-2</v>
      </c>
      <c r="F26" s="5">
        <v>-4.0619000000000002E-2</v>
      </c>
      <c r="G26" s="5">
        <v>-3.0766999999999999E-2</v>
      </c>
      <c r="H26" s="5">
        <v>7.9436999999999994E-2</v>
      </c>
      <c r="I26" s="5">
        <v>0.13453599999999999</v>
      </c>
      <c r="J26" s="5">
        <v>5.7799999999999997E-2</v>
      </c>
      <c r="K26" s="5">
        <v>2.4102999999999999E-2</v>
      </c>
    </row>
    <row r="27" spans="1:11" x14ac:dyDescent="0.2">
      <c r="A27" s="6">
        <f t="shared" si="0"/>
        <v>45107</v>
      </c>
      <c r="B27" s="5">
        <v>-2.0972000000000001E-2</v>
      </c>
      <c r="C27" s="5">
        <v>2.9628000000000002E-2</v>
      </c>
      <c r="D27" s="5">
        <v>-9.8069999999999997E-3</v>
      </c>
      <c r="E27" s="5">
        <v>-1.8662000000000002E-2</v>
      </c>
      <c r="F27" s="5">
        <v>-1.5311E-2</v>
      </c>
      <c r="G27" s="5">
        <v>-2.9819999999999998E-3</v>
      </c>
      <c r="H27" s="5">
        <v>-3.0630999999999999E-2</v>
      </c>
      <c r="I27" s="5">
        <v>-1.0161E-2</v>
      </c>
      <c r="J27" s="5">
        <v>-6.0956000000000003E-2</v>
      </c>
      <c r="K27" s="5">
        <v>-3.0981999999999999E-2</v>
      </c>
    </row>
    <row r="28" spans="1:11" x14ac:dyDescent="0.2">
      <c r="A28" s="6">
        <f t="shared" si="0"/>
        <v>45114</v>
      </c>
      <c r="B28" s="5">
        <v>6.3176999999999997E-2</v>
      </c>
      <c r="C28" s="5">
        <v>2.9859999999999999E-3</v>
      </c>
      <c r="D28" s="5">
        <v>-4.986E-3</v>
      </c>
      <c r="E28" s="5">
        <v>5.2789999999999998E-3</v>
      </c>
      <c r="F28" s="5">
        <v>1.6657999999999999E-2</v>
      </c>
      <c r="G28" s="5">
        <v>-2.5364999999999999E-2</v>
      </c>
      <c r="H28" s="5">
        <v>-1.8149999999999999E-2</v>
      </c>
      <c r="I28" s="5">
        <v>3.3280999999999998E-2</v>
      </c>
      <c r="J28" s="5">
        <v>-6.6299999999999996E-3</v>
      </c>
      <c r="K28" s="5">
        <v>-5.7809999999999997E-3</v>
      </c>
    </row>
    <row r="29" spans="1:11" x14ac:dyDescent="0.2">
      <c r="A29" s="6">
        <f t="shared" si="0"/>
        <v>45121</v>
      </c>
      <c r="B29" s="5">
        <v>4.7971E-2</v>
      </c>
      <c r="C29" s="5">
        <v>-1.022E-2</v>
      </c>
      <c r="D29" s="5">
        <v>1.5935999999999999E-2</v>
      </c>
      <c r="E29" s="5">
        <v>1.0649E-2</v>
      </c>
      <c r="F29" s="5">
        <v>4.5588999999999998E-2</v>
      </c>
      <c r="G29" s="5">
        <v>-4.1091000000000003E-2</v>
      </c>
      <c r="H29" s="5">
        <v>-1.1507E-2</v>
      </c>
      <c r="I29" s="5">
        <v>-2.9655000000000001E-2</v>
      </c>
      <c r="J29" s="5">
        <v>3.9855000000000002E-2</v>
      </c>
      <c r="K29" s="5">
        <v>3.7588000000000003E-2</v>
      </c>
    </row>
    <row r="30" spans="1:11" x14ac:dyDescent="0.2">
      <c r="A30" s="6">
        <f t="shared" si="0"/>
        <v>45128</v>
      </c>
      <c r="B30" s="5">
        <v>3.7991999999999998E-2</v>
      </c>
      <c r="C30" s="5">
        <v>-3.7942999999999998E-2</v>
      </c>
      <c r="D30" s="5">
        <v>3.1392999999999997E-2</v>
      </c>
      <c r="E30" s="5">
        <v>3.189E-3</v>
      </c>
      <c r="F30" s="5">
        <v>-6.306E-3</v>
      </c>
      <c r="G30" s="5">
        <v>3.4542999999999997E-2</v>
      </c>
      <c r="H30" s="5">
        <v>-3.3486000000000002E-2</v>
      </c>
      <c r="I30" s="5">
        <v>-0.105726</v>
      </c>
      <c r="J30" s="5">
        <v>-1.2961E-2</v>
      </c>
      <c r="K30" s="5">
        <v>-4.4164000000000002E-2</v>
      </c>
    </row>
    <row r="31" spans="1:11" x14ac:dyDescent="0.2">
      <c r="A31" s="6">
        <f t="shared" si="0"/>
        <v>45135</v>
      </c>
      <c r="B31" s="5">
        <v>-2.6745000000000001E-2</v>
      </c>
      <c r="C31" s="5">
        <v>1.534E-3</v>
      </c>
      <c r="D31" s="5">
        <v>-4.7130000000000002E-3</v>
      </c>
      <c r="E31" s="5">
        <v>5.5929999999999999E-3</v>
      </c>
      <c r="F31" s="5">
        <v>-2.2379E-2</v>
      </c>
      <c r="G31" s="5">
        <v>-7.2577000000000003E-2</v>
      </c>
      <c r="H31" s="5">
        <v>-3.9253999999999997E-2</v>
      </c>
      <c r="I31" s="5">
        <v>-3.5026000000000002E-2</v>
      </c>
      <c r="J31" s="5">
        <v>-6.7571999999999993E-2</v>
      </c>
      <c r="K31" s="5">
        <v>-1.0489999999999999E-2</v>
      </c>
    </row>
    <row r="32" spans="1:11" x14ac:dyDescent="0.2">
      <c r="A32" s="6">
        <f t="shared" si="0"/>
        <v>45142</v>
      </c>
      <c r="B32" s="5">
        <v>-1.4876E-2</v>
      </c>
      <c r="C32" s="5">
        <v>-4.7169000000000003E-2</v>
      </c>
      <c r="D32" s="5">
        <v>2.7591000000000001E-2</v>
      </c>
      <c r="E32" s="5">
        <v>6.3959999999999998E-3</v>
      </c>
      <c r="F32" s="5">
        <v>1.2041E-2</v>
      </c>
      <c r="G32" s="5">
        <v>1.136E-2</v>
      </c>
      <c r="H32" s="5">
        <v>2.1957000000000001E-2</v>
      </c>
      <c r="I32" s="5">
        <v>-5.8079999999999998E-3</v>
      </c>
      <c r="J32" s="5">
        <v>5.0094E-2</v>
      </c>
      <c r="K32" s="5">
        <v>2.0820999999999999E-2</v>
      </c>
    </row>
    <row r="33" spans="1:11" x14ac:dyDescent="0.2">
      <c r="A33" s="6">
        <f t="shared" si="0"/>
        <v>45149</v>
      </c>
      <c r="B33" s="5">
        <v>-2.8157999999999999E-2</v>
      </c>
      <c r="C33" s="5">
        <v>-3.3174000000000002E-2</v>
      </c>
      <c r="D33" s="5">
        <v>-8.6624000000000007E-2</v>
      </c>
      <c r="E33" s="5">
        <v>-3.6450000000000003E-2</v>
      </c>
      <c r="F33" s="5">
        <v>-3.9583E-2</v>
      </c>
      <c r="G33" s="5">
        <v>-1.6174000000000001E-2</v>
      </c>
      <c r="H33" s="5">
        <v>-9.0895000000000004E-2</v>
      </c>
      <c r="I33" s="5">
        <v>7.3810000000000004E-3</v>
      </c>
      <c r="J33" s="5">
        <v>-4.0299000000000001E-2</v>
      </c>
      <c r="K33" s="5">
        <v>-7.7936000000000005E-2</v>
      </c>
    </row>
    <row r="34" spans="1:11" x14ac:dyDescent="0.2">
      <c r="A34" s="6">
        <f t="shared" si="0"/>
        <v>45156</v>
      </c>
      <c r="B34" s="5">
        <v>-0.103266</v>
      </c>
      <c r="C34" s="5">
        <v>-6.1015E-2</v>
      </c>
      <c r="D34" s="5">
        <v>-5.8505000000000001E-2</v>
      </c>
      <c r="E34" s="5">
        <v>-5.4341E-2</v>
      </c>
      <c r="F34" s="5">
        <v>-5.2603999999999998E-2</v>
      </c>
      <c r="G34" s="5">
        <v>-9.7515000000000004E-2</v>
      </c>
      <c r="H34" s="5">
        <v>-2.258E-3</v>
      </c>
      <c r="I34" s="5">
        <v>-5.5065000000000003E-2</v>
      </c>
      <c r="J34" s="5">
        <v>-1.473E-2</v>
      </c>
      <c r="K34" s="5">
        <v>3.0430000000000001E-3</v>
      </c>
    </row>
    <row r="35" spans="1:11" x14ac:dyDescent="0.2">
      <c r="A35" s="6">
        <f t="shared" ref="A35:A66" si="1">A34+7</f>
        <v>45163</v>
      </c>
      <c r="B35" s="5">
        <v>8.9036000000000004E-2</v>
      </c>
      <c r="C35" s="5">
        <v>-2.9489999999999998E-3</v>
      </c>
      <c r="D35" s="5">
        <v>7.7149999999999996E-3</v>
      </c>
      <c r="E35" s="5">
        <v>1.719E-3</v>
      </c>
      <c r="F35" s="5">
        <v>4.0085999999999997E-2</v>
      </c>
      <c r="G35" s="5">
        <v>5.5800000000000001E-4</v>
      </c>
      <c r="H35" s="5">
        <v>-1.0449E-2</v>
      </c>
      <c r="I35" s="5">
        <v>-1.4300000000000001E-4</v>
      </c>
      <c r="J35" s="5">
        <v>-3.0106000000000001E-2</v>
      </c>
      <c r="K35" s="5">
        <v>-1.8641000000000001E-2</v>
      </c>
    </row>
    <row r="36" spans="1:11" x14ac:dyDescent="0.2">
      <c r="A36" s="6">
        <f t="shared" si="1"/>
        <v>45170</v>
      </c>
      <c r="B36" s="5">
        <v>4.2209999999999999E-3</v>
      </c>
      <c r="C36" s="5">
        <v>-4.1213E-2</v>
      </c>
      <c r="D36" s="5">
        <v>-3.5392E-2</v>
      </c>
      <c r="E36" s="5">
        <v>5.4000000000000001E-4</v>
      </c>
      <c r="F36" s="5">
        <v>1.8884999999999999E-2</v>
      </c>
      <c r="G36" s="5">
        <v>3.2590000000000001E-2</v>
      </c>
      <c r="H36" s="5">
        <v>-7.1517999999999998E-2</v>
      </c>
      <c r="I36" s="5">
        <v>-4.5428999999999997E-2</v>
      </c>
      <c r="J36" s="5">
        <v>1.274E-2</v>
      </c>
      <c r="K36" s="5">
        <v>1.5706000000000001E-2</v>
      </c>
    </row>
    <row r="37" spans="1:11" x14ac:dyDescent="0.2">
      <c r="A37" s="6">
        <f t="shared" si="1"/>
        <v>45177</v>
      </c>
      <c r="B37" s="5">
        <v>2.6837E-2</v>
      </c>
      <c r="C37" s="5">
        <v>8.3149999999999995E-3</v>
      </c>
      <c r="D37" s="5">
        <v>5.1878000000000001E-2</v>
      </c>
      <c r="E37" s="5">
        <v>2.1273E-2</v>
      </c>
      <c r="F37" s="5">
        <v>6.7609999999999996E-3</v>
      </c>
      <c r="G37" s="5">
        <v>2.5330000000000001E-3</v>
      </c>
      <c r="H37" s="5">
        <v>7.911E-2</v>
      </c>
      <c r="I37" s="5">
        <v>4.0524999999999999E-2</v>
      </c>
      <c r="J37" s="5">
        <v>7.6557E-2</v>
      </c>
      <c r="K37" s="5">
        <v>1.8631999999999999E-2</v>
      </c>
    </row>
    <row r="38" spans="1:11" x14ac:dyDescent="0.2">
      <c r="A38" s="6">
        <f t="shared" si="1"/>
        <v>45184</v>
      </c>
      <c r="B38" s="5">
        <v>3.2940999999999998E-2</v>
      </c>
      <c r="C38" s="5">
        <v>-1.0041E-2</v>
      </c>
      <c r="D38" s="5">
        <v>1.647E-3</v>
      </c>
      <c r="E38" s="5">
        <v>4.9981999999999999E-2</v>
      </c>
      <c r="F38" s="5">
        <v>2.2759000000000001E-2</v>
      </c>
      <c r="G38" s="5">
        <v>8.4259999999999995E-3</v>
      </c>
      <c r="H38" s="5">
        <v>-2.1375999999999999E-2</v>
      </c>
      <c r="I38" s="5">
        <v>-6.8450000000000004E-3</v>
      </c>
      <c r="J38" s="5">
        <v>2.1949E-2</v>
      </c>
      <c r="K38" s="5">
        <v>-2.546E-2</v>
      </c>
    </row>
    <row r="39" spans="1:11" x14ac:dyDescent="0.2">
      <c r="A39" s="6">
        <f t="shared" si="1"/>
        <v>45191</v>
      </c>
      <c r="B39" s="5">
        <v>-6.1955999999999997E-2</v>
      </c>
      <c r="C39" s="5">
        <v>-2.3989E-2</v>
      </c>
      <c r="D39" s="5">
        <v>-1.4397E-2</v>
      </c>
      <c r="E39" s="5">
        <v>-2.6099999999999999E-3</v>
      </c>
      <c r="F39" s="5">
        <v>1.3055000000000001E-2</v>
      </c>
      <c r="G39" s="5">
        <v>-1.0409E-2</v>
      </c>
      <c r="H39" s="5">
        <v>2.4362000000000002E-2</v>
      </c>
      <c r="I39" s="5">
        <v>-5.6179E-2</v>
      </c>
      <c r="J39" s="5">
        <v>3.5024E-2</v>
      </c>
      <c r="K39" s="5">
        <v>6.6309999999999994E-2</v>
      </c>
    </row>
    <row r="40" spans="1:11" x14ac:dyDescent="0.2">
      <c r="A40" s="6">
        <f t="shared" si="1"/>
        <v>45198</v>
      </c>
      <c r="B40" s="5">
        <v>2.0251999999999999E-2</v>
      </c>
      <c r="C40" s="5">
        <v>-2.8E-5</v>
      </c>
      <c r="D40" s="5">
        <v>4.13E-3</v>
      </c>
      <c r="E40" s="5">
        <v>2.759E-2</v>
      </c>
      <c r="F40" s="5">
        <v>-1.9435000000000001E-2</v>
      </c>
      <c r="G40" s="5">
        <v>1.6742E-2</v>
      </c>
      <c r="H40" s="5">
        <v>-1.7075E-2</v>
      </c>
      <c r="I40" s="5">
        <v>-4.9420000000000002E-3</v>
      </c>
      <c r="J40" s="5">
        <v>-4.7487000000000001E-2</v>
      </c>
      <c r="K40" s="5">
        <v>-9.5619999999999993E-3</v>
      </c>
    </row>
    <row r="41" spans="1:11" x14ac:dyDescent="0.2">
      <c r="A41" s="6">
        <f t="shared" si="1"/>
        <v>45205</v>
      </c>
      <c r="B41" s="5">
        <v>-5.0809999999999996E-3</v>
      </c>
      <c r="C41" s="5">
        <v>8.3990000000000002E-3</v>
      </c>
      <c r="D41" s="5">
        <v>-6.7159999999999997E-3</v>
      </c>
      <c r="E41" s="5">
        <v>-3.4535000000000003E-2</v>
      </c>
      <c r="F41" s="5">
        <v>-5.0379999999999999E-3</v>
      </c>
      <c r="G41" s="5">
        <v>1.7364999999999998E-2</v>
      </c>
      <c r="H41" s="5">
        <v>-2.9034999999999998E-2</v>
      </c>
      <c r="I41" s="5">
        <v>8.2419999999999993E-3</v>
      </c>
      <c r="J41" s="5">
        <v>1.6605999999999999E-2</v>
      </c>
      <c r="K41" s="5">
        <v>-4.2441E-2</v>
      </c>
    </row>
    <row r="42" spans="1:11" x14ac:dyDescent="0.2">
      <c r="A42" s="6">
        <f t="shared" si="1"/>
        <v>45212</v>
      </c>
      <c r="B42" s="5">
        <v>-1.5265000000000001E-2</v>
      </c>
      <c r="C42" s="5">
        <v>-4.4815000000000001E-2</v>
      </c>
      <c r="D42" s="5">
        <v>2.3134999999999999E-2</v>
      </c>
      <c r="E42" s="5">
        <v>4.0385999999999998E-2</v>
      </c>
      <c r="F42" s="5">
        <v>2.6297999999999998E-2</v>
      </c>
      <c r="G42" s="5">
        <v>-2.4639999999999999E-2</v>
      </c>
      <c r="H42" s="5">
        <v>1.5219999999999999E-2</v>
      </c>
      <c r="I42" s="5">
        <v>-1.3195999999999999E-2</v>
      </c>
      <c r="J42" s="5">
        <v>1.537E-3</v>
      </c>
      <c r="K42" s="5">
        <v>4.4316000000000001E-2</v>
      </c>
    </row>
    <row r="43" spans="1:11" x14ac:dyDescent="0.2">
      <c r="A43" s="6">
        <f t="shared" si="1"/>
        <v>45219</v>
      </c>
      <c r="B43" s="5">
        <v>-3.4916000000000003E-2</v>
      </c>
      <c r="C43" s="5">
        <v>2.1742999999999998E-2</v>
      </c>
      <c r="D43" s="5">
        <v>-1.426E-3</v>
      </c>
      <c r="E43" s="5">
        <v>3.5165000000000002E-2</v>
      </c>
      <c r="F43" s="5">
        <v>5.2700000000000004E-3</v>
      </c>
      <c r="G43" s="5">
        <v>-2.0348999999999999E-2</v>
      </c>
      <c r="H43" s="5">
        <v>1.2161E-2</v>
      </c>
      <c r="I43" s="5">
        <v>2.6372E-2</v>
      </c>
      <c r="J43" s="5">
        <v>8.9770000000000006E-3</v>
      </c>
      <c r="K43" s="5">
        <v>2.2030999999999999E-2</v>
      </c>
    </row>
    <row r="44" spans="1:11" x14ac:dyDescent="0.2">
      <c r="A44" s="6">
        <f t="shared" si="1"/>
        <v>45226</v>
      </c>
      <c r="B44" s="5">
        <v>-2.1482000000000001E-2</v>
      </c>
      <c r="C44" s="5">
        <v>-6.4481999999999998E-2</v>
      </c>
      <c r="D44" s="5">
        <v>1.6684999999999998E-2</v>
      </c>
      <c r="E44" s="5">
        <v>-1.7183E-2</v>
      </c>
      <c r="F44" s="5">
        <v>-1.2774000000000001E-2</v>
      </c>
      <c r="G44" s="5">
        <v>7.9670000000000001E-3</v>
      </c>
      <c r="H44" s="5">
        <v>-1.7982999999999999E-2</v>
      </c>
      <c r="I44" s="5">
        <v>-6.2164999999999998E-2</v>
      </c>
      <c r="J44" s="5">
        <v>-8.2011000000000001E-2</v>
      </c>
      <c r="K44" s="5">
        <v>-4.8232999999999998E-2</v>
      </c>
    </row>
    <row r="45" spans="1:11" x14ac:dyDescent="0.2">
      <c r="A45" s="6">
        <f t="shared" si="1"/>
        <v>45233</v>
      </c>
      <c r="B45" s="5">
        <v>1.9116999999999999E-2</v>
      </c>
      <c r="C45" s="5">
        <v>-4.7456999999999999E-2</v>
      </c>
      <c r="D45" s="5">
        <v>3.2538999999999998E-2</v>
      </c>
      <c r="E45" s="5">
        <v>-1.9119000000000001E-2</v>
      </c>
      <c r="F45" s="5">
        <v>-2.9409999999999999E-2</v>
      </c>
      <c r="G45" s="5">
        <v>4.4266E-2</v>
      </c>
      <c r="H45" s="5">
        <v>-2.3536999999999999E-2</v>
      </c>
      <c r="I45" s="5">
        <v>-8.7591000000000002E-2</v>
      </c>
      <c r="J45" s="5">
        <v>-2.8752E-2</v>
      </c>
      <c r="K45" s="5">
        <v>1.8748000000000001E-2</v>
      </c>
    </row>
    <row r="46" spans="1:11" x14ac:dyDescent="0.2">
      <c r="A46" s="6">
        <f t="shared" si="1"/>
        <v>45240</v>
      </c>
      <c r="B46" s="5">
        <v>5.4760999999999997E-2</v>
      </c>
      <c r="C46" s="5">
        <v>1.005E-2</v>
      </c>
      <c r="D46" s="5">
        <v>4.5093000000000001E-2</v>
      </c>
      <c r="E46" s="5">
        <v>5.9025000000000001E-2</v>
      </c>
      <c r="F46" s="5">
        <v>2.1512E-2</v>
      </c>
      <c r="G46" s="5">
        <v>5.4264E-2</v>
      </c>
      <c r="H46" s="5">
        <v>2.6894000000000001E-2</v>
      </c>
      <c r="I46" s="5">
        <v>-1.9803999999999999E-2</v>
      </c>
      <c r="J46" s="5">
        <v>2.1836999999999999E-2</v>
      </c>
      <c r="K46" s="5">
        <v>4.2345000000000001E-2</v>
      </c>
    </row>
    <row r="47" spans="1:11" x14ac:dyDescent="0.2">
      <c r="A47" s="6">
        <f t="shared" si="1"/>
        <v>45247</v>
      </c>
      <c r="B47" s="5">
        <v>-5.9179999999999996E-3</v>
      </c>
      <c r="C47" s="5">
        <v>-2.7872000000000001E-2</v>
      </c>
      <c r="D47" s="5">
        <v>-1.9307000000000001E-2</v>
      </c>
      <c r="E47" s="5">
        <v>2.1357000000000001E-2</v>
      </c>
      <c r="F47" s="5">
        <v>2.3879999999999999E-3</v>
      </c>
      <c r="G47" s="5">
        <v>4.6008E-2</v>
      </c>
      <c r="H47" s="5">
        <v>1.0444999999999999E-2</v>
      </c>
      <c r="I47" s="5">
        <v>-2.1066000000000001E-2</v>
      </c>
      <c r="J47" s="5">
        <v>5.9295E-2</v>
      </c>
      <c r="K47" s="5">
        <v>-3.7818999999999998E-2</v>
      </c>
    </row>
    <row r="48" spans="1:11" x14ac:dyDescent="0.2">
      <c r="A48" s="6">
        <f t="shared" si="1"/>
        <v>45254</v>
      </c>
      <c r="B48" s="5">
        <v>1.2963000000000001E-2</v>
      </c>
      <c r="C48" s="5">
        <v>-1.2867E-2</v>
      </c>
      <c r="D48" s="5">
        <v>6.0386000000000002E-2</v>
      </c>
      <c r="E48" s="5">
        <v>3.9487000000000001E-2</v>
      </c>
      <c r="F48" s="5">
        <v>-4.2548999999999997E-2</v>
      </c>
      <c r="G48" s="5">
        <v>-4.1782E-2</v>
      </c>
      <c r="H48" s="5">
        <v>3.0478999999999999E-2</v>
      </c>
      <c r="I48" s="5">
        <v>3.7032000000000002E-2</v>
      </c>
      <c r="J48" s="5">
        <v>3.9971E-2</v>
      </c>
      <c r="K48" s="5">
        <v>5.9719999999999999E-3</v>
      </c>
    </row>
    <row r="49" spans="1:11" x14ac:dyDescent="0.2">
      <c r="A49" s="6">
        <f t="shared" si="1"/>
        <v>45261</v>
      </c>
      <c r="B49" s="5">
        <v>1.9883999999999999E-2</v>
      </c>
      <c r="C49" s="5">
        <v>2.2165000000000001E-2</v>
      </c>
      <c r="D49" s="5">
        <v>8.1150000000000007E-3</v>
      </c>
      <c r="E49" s="5">
        <v>3.7067999999999997E-2</v>
      </c>
      <c r="F49" s="5">
        <v>-3.3621999999999999E-2</v>
      </c>
      <c r="G49" s="5">
        <v>3.5140999999999999E-2</v>
      </c>
      <c r="H49" s="5">
        <v>-2.1715000000000002E-2</v>
      </c>
      <c r="I49" s="5">
        <v>4.1771999999999997E-2</v>
      </c>
      <c r="J49" s="5">
        <v>6.5760000000000002E-3</v>
      </c>
      <c r="K49" s="5">
        <v>-1.4034E-2</v>
      </c>
    </row>
    <row r="50" spans="1:11" x14ac:dyDescent="0.2">
      <c r="A50" s="6">
        <f t="shared" si="1"/>
        <v>45268</v>
      </c>
      <c r="B50" s="5">
        <v>1.4300000000000001E-3</v>
      </c>
      <c r="C50" s="5">
        <v>-3.6150000000000002E-2</v>
      </c>
      <c r="D50" s="5">
        <v>-4.2390999999999998E-2</v>
      </c>
      <c r="E50" s="5">
        <v>-5.2347999999999999E-2</v>
      </c>
      <c r="F50" s="5">
        <v>-1.1024000000000001E-2</v>
      </c>
      <c r="G50" s="5">
        <v>2.6887000000000001E-2</v>
      </c>
      <c r="H50" s="5">
        <v>-1.0352E-2</v>
      </c>
      <c r="I50" s="5">
        <v>-5.1235000000000003E-2</v>
      </c>
      <c r="J50" s="5">
        <v>-7.1549999999999999E-3</v>
      </c>
      <c r="K50" s="5">
        <v>-3.0155000000000001E-2</v>
      </c>
    </row>
    <row r="51" spans="1:11" x14ac:dyDescent="0.2">
      <c r="A51" s="6">
        <f t="shared" si="1"/>
        <v>45275</v>
      </c>
      <c r="B51" s="5">
        <v>-1.0206E-2</v>
      </c>
      <c r="C51" s="5">
        <v>6.8129999999999996E-3</v>
      </c>
      <c r="D51" s="5">
        <v>2.7501000000000001E-2</v>
      </c>
      <c r="E51" s="5">
        <v>-1.9144999999999999E-2</v>
      </c>
      <c r="F51" s="5">
        <v>-1.4947E-2</v>
      </c>
      <c r="G51" s="5">
        <v>-1.7368000000000001E-2</v>
      </c>
      <c r="H51" s="5">
        <v>-5.5040000000000002E-3</v>
      </c>
      <c r="I51" s="5">
        <v>-4.0379999999999999E-2</v>
      </c>
      <c r="J51" s="5">
        <v>2.5440999999999998E-2</v>
      </c>
      <c r="K51" s="5">
        <v>-2.3979E-2</v>
      </c>
    </row>
    <row r="52" spans="1:11" x14ac:dyDescent="0.2">
      <c r="A52" s="6">
        <f t="shared" si="1"/>
        <v>45282</v>
      </c>
      <c r="B52" s="5">
        <v>1.086E-2</v>
      </c>
      <c r="C52" s="5">
        <v>-2.2943000000000002E-2</v>
      </c>
      <c r="D52" s="5">
        <v>9.9909999999999999E-3</v>
      </c>
      <c r="E52" s="5">
        <v>4.5000000000000003E-5</v>
      </c>
      <c r="F52" s="5">
        <v>-1.11E-2</v>
      </c>
      <c r="G52" s="5">
        <v>7.2411000000000003E-2</v>
      </c>
      <c r="H52" s="5">
        <v>-5.8599999999999998E-3</v>
      </c>
      <c r="I52" s="5">
        <v>5.8110000000000002E-2</v>
      </c>
      <c r="J52" s="5">
        <v>1.4574999999999999E-2</v>
      </c>
      <c r="K52" s="5">
        <v>-3.4181999999999997E-2</v>
      </c>
    </row>
    <row r="53" spans="1:11" x14ac:dyDescent="0.2">
      <c r="A53" s="6">
        <f t="shared" si="1"/>
        <v>45289</v>
      </c>
      <c r="B53" s="5">
        <v>-1.3610000000000001E-2</v>
      </c>
      <c r="C53" s="5">
        <v>5.5630000000000002E-3</v>
      </c>
      <c r="D53" s="5">
        <v>-2.0049999999999998E-3</v>
      </c>
      <c r="E53" s="5">
        <v>-3.2750000000000001E-3</v>
      </c>
      <c r="F53" s="5">
        <v>-9.8069999999999997E-3</v>
      </c>
      <c r="G53" s="5">
        <v>-6.1011999999999997E-2</v>
      </c>
      <c r="H53" s="5">
        <v>-1.2992E-2</v>
      </c>
      <c r="I53" s="5">
        <v>-0.100675</v>
      </c>
      <c r="J53" s="5">
        <v>7.2659999999999999E-3</v>
      </c>
      <c r="K53" s="5">
        <v>-2.8462999999999999E-2</v>
      </c>
    </row>
    <row r="54" spans="1:11" x14ac:dyDescent="0.2">
      <c r="A54" s="6">
        <f t="shared" si="1"/>
        <v>45296</v>
      </c>
      <c r="B54" s="5">
        <v>1.5443E-2</v>
      </c>
      <c r="C54" s="5">
        <v>3.0072000000000002E-2</v>
      </c>
      <c r="D54" s="5">
        <v>3.7837000000000003E-2</v>
      </c>
      <c r="E54" s="5">
        <v>-1.2694E-2</v>
      </c>
      <c r="F54" s="5">
        <v>-9.4839999999999994E-3</v>
      </c>
      <c r="G54" s="5">
        <v>-9.3989999999999994E-3</v>
      </c>
      <c r="H54" s="5">
        <v>-4.0139000000000001E-2</v>
      </c>
      <c r="I54" s="5">
        <v>-5.7499999999999999E-4</v>
      </c>
      <c r="J54" s="5">
        <v>7.0717000000000002E-2</v>
      </c>
      <c r="K54" s="5">
        <v>-1.6927999999999999E-2</v>
      </c>
    </row>
    <row r="55" spans="1:11" x14ac:dyDescent="0.2">
      <c r="A55" s="6">
        <f t="shared" si="1"/>
        <v>45303</v>
      </c>
      <c r="B55" s="5">
        <v>1.4540000000000001E-2</v>
      </c>
      <c r="C55" s="5">
        <v>-4.0666000000000001E-2</v>
      </c>
      <c r="D55" s="5">
        <v>8.4080000000000005E-3</v>
      </c>
      <c r="E55" s="5">
        <v>-1.141E-2</v>
      </c>
      <c r="F55" s="5">
        <v>-1.8389999999999999E-3</v>
      </c>
      <c r="G55" s="5">
        <v>3.653E-2</v>
      </c>
      <c r="H55" s="5">
        <v>2.7813000000000001E-2</v>
      </c>
      <c r="I55" s="5">
        <v>-2.8844999999999999E-2</v>
      </c>
      <c r="J55" s="5">
        <v>-2.0153000000000001E-2</v>
      </c>
      <c r="K55" s="5">
        <v>-4.5633E-2</v>
      </c>
    </row>
    <row r="56" spans="1:11" x14ac:dyDescent="0.2">
      <c r="A56" s="6">
        <f t="shared" si="1"/>
        <v>45310</v>
      </c>
      <c r="B56" s="5">
        <v>4.3052E-2</v>
      </c>
      <c r="C56" s="5">
        <v>2.1388999999999998E-2</v>
      </c>
      <c r="D56" s="5">
        <v>5.4724000000000002E-2</v>
      </c>
      <c r="E56" s="5">
        <v>1.7698999999999999E-2</v>
      </c>
      <c r="F56" s="5">
        <v>6.0290999999999997E-2</v>
      </c>
      <c r="G56" s="5">
        <v>-3.2707E-2</v>
      </c>
      <c r="H56" s="5">
        <v>4.9899999999999996E-3</v>
      </c>
      <c r="I56" s="5">
        <v>5.6848000000000003E-2</v>
      </c>
      <c r="J56" s="5">
        <v>-1.7730000000000001E-3</v>
      </c>
      <c r="K56" s="5">
        <v>-1.0097999999999999E-2</v>
      </c>
    </row>
    <row r="57" spans="1:11" x14ac:dyDescent="0.2">
      <c r="A57" s="6">
        <f t="shared" si="1"/>
        <v>45317</v>
      </c>
      <c r="B57" s="5">
        <v>2.53E-2</v>
      </c>
      <c r="C57" s="5">
        <v>1.191E-3</v>
      </c>
      <c r="D57" s="5">
        <v>2.7917999999999998E-2</v>
      </c>
      <c r="E57" s="5">
        <v>5.3698000000000003E-2</v>
      </c>
      <c r="F57" s="5">
        <v>4.3205E-2</v>
      </c>
      <c r="G57" s="5">
        <v>-1.2584E-2</v>
      </c>
      <c r="H57" s="5">
        <v>-1.8005E-2</v>
      </c>
      <c r="I57" s="5">
        <v>1.7798999999999999E-2</v>
      </c>
      <c r="J57" s="5">
        <v>3.0957999999999999E-2</v>
      </c>
      <c r="K57" s="5">
        <v>-2.4402E-2</v>
      </c>
    </row>
    <row r="58" spans="1:11" x14ac:dyDescent="0.2">
      <c r="A58" s="6">
        <f t="shared" si="1"/>
        <v>45324</v>
      </c>
      <c r="B58" s="5">
        <v>-3.5360999999999997E-2</v>
      </c>
      <c r="C58" s="5">
        <v>1.0603E-2</v>
      </c>
      <c r="D58" s="5">
        <v>1.2259000000000001E-2</v>
      </c>
      <c r="E58" s="5">
        <v>-2.1690999999999998E-2</v>
      </c>
      <c r="F58" s="5">
        <v>-4.1864999999999999E-2</v>
      </c>
      <c r="G58" s="5">
        <v>-9.1486999999999999E-2</v>
      </c>
      <c r="H58" s="5">
        <v>-1.0012999999999999E-2</v>
      </c>
      <c r="I58" s="5">
        <v>-7.0837999999999998E-2</v>
      </c>
      <c r="J58" s="5">
        <v>3.5582999999999997E-2</v>
      </c>
      <c r="K58" s="5">
        <v>-2.3354E-2</v>
      </c>
    </row>
    <row r="59" spans="1:11" x14ac:dyDescent="0.2">
      <c r="A59" s="6">
        <f t="shared" si="1"/>
        <v>45331</v>
      </c>
      <c r="B59" s="5">
        <v>4.4041999999999998E-2</v>
      </c>
      <c r="C59" s="5">
        <v>7.6304999999999998E-2</v>
      </c>
      <c r="D59" s="5">
        <v>6.6104999999999997E-2</v>
      </c>
      <c r="E59" s="5">
        <v>-1.503E-2</v>
      </c>
      <c r="F59" s="5">
        <v>4.0135999999999998E-2</v>
      </c>
      <c r="G59" s="5">
        <v>6.5049999999999997E-2</v>
      </c>
      <c r="H59" s="5">
        <v>-1.2969E-2</v>
      </c>
      <c r="I59" s="5">
        <v>-1.0423999999999999E-2</v>
      </c>
      <c r="J59" s="5">
        <v>-4.2750000000000002E-3</v>
      </c>
      <c r="K59" s="5">
        <v>-4.5574000000000003E-2</v>
      </c>
    </row>
    <row r="60" spans="1:11" x14ac:dyDescent="0.2">
      <c r="A60" s="6">
        <f t="shared" si="1"/>
        <v>45338</v>
      </c>
      <c r="B60" s="5">
        <v>6.7988000000000007E-2</v>
      </c>
      <c r="C60" s="5">
        <v>-1.7093000000000001E-2</v>
      </c>
      <c r="D60" s="5">
        <v>-6.7889999999999999E-3</v>
      </c>
      <c r="E60" s="5">
        <v>2.862E-2</v>
      </c>
      <c r="F60" s="5">
        <v>2.5359E-2</v>
      </c>
      <c r="G60" s="5">
        <v>1.4324E-2</v>
      </c>
      <c r="H60" s="5">
        <v>6.7376000000000005E-2</v>
      </c>
      <c r="I60" s="5">
        <v>6.2392000000000003E-2</v>
      </c>
      <c r="J60" s="5">
        <v>9.5882999999999996E-2</v>
      </c>
      <c r="K60" s="5">
        <v>-2.4531000000000001E-2</v>
      </c>
    </row>
    <row r="61" spans="1:11" x14ac:dyDescent="0.2">
      <c r="A61" s="6">
        <f t="shared" si="1"/>
        <v>45345</v>
      </c>
      <c r="B61" s="5">
        <v>-4.2938999999999998E-2</v>
      </c>
      <c r="C61" s="5">
        <v>-5.4669000000000002E-2</v>
      </c>
      <c r="D61" s="5">
        <v>-3.6514999999999999E-2</v>
      </c>
      <c r="E61" s="5">
        <v>-3.0438E-2</v>
      </c>
      <c r="F61" s="5">
        <v>-5.9872000000000002E-2</v>
      </c>
      <c r="G61" s="5">
        <v>-7.7269000000000004E-2</v>
      </c>
      <c r="H61" s="5">
        <v>5.5149999999999999E-3</v>
      </c>
      <c r="I61" s="5">
        <v>-1.34E-3</v>
      </c>
      <c r="J61" s="5">
        <v>-4.2097000000000002E-2</v>
      </c>
      <c r="K61" s="5">
        <v>3.8446000000000001E-2</v>
      </c>
    </row>
    <row r="62" spans="1:11" x14ac:dyDescent="0.2">
      <c r="A62" s="6">
        <f t="shared" si="1"/>
        <v>45352</v>
      </c>
      <c r="B62" s="5">
        <v>4.1710999999999998E-2</v>
      </c>
      <c r="C62" s="5">
        <v>-4.3666999999999997E-2</v>
      </c>
      <c r="D62" s="5">
        <v>-1.93E-4</v>
      </c>
      <c r="E62" s="5">
        <v>5.5306000000000001E-2</v>
      </c>
      <c r="F62" s="5">
        <v>5.9769999999999997E-3</v>
      </c>
      <c r="G62" s="5">
        <v>-2.4056999999999999E-2</v>
      </c>
      <c r="H62" s="5">
        <v>1.6912E-2</v>
      </c>
      <c r="I62" s="5">
        <v>-3.4619999999999998E-3</v>
      </c>
      <c r="J62" s="5">
        <v>2.1233999999999999E-2</v>
      </c>
      <c r="K62" s="5">
        <v>-3.47E-3</v>
      </c>
    </row>
    <row r="63" spans="1:11" x14ac:dyDescent="0.2">
      <c r="A63" s="6">
        <f t="shared" si="1"/>
        <v>45359</v>
      </c>
      <c r="B63" s="5">
        <v>-2.1881999999999999E-2</v>
      </c>
      <c r="C63" s="5">
        <v>-4.8705999999999999E-2</v>
      </c>
      <c r="D63" s="5">
        <v>-5.7251999999999997E-2</v>
      </c>
      <c r="E63" s="5">
        <v>-7.0375999999999994E-2</v>
      </c>
      <c r="F63" s="5">
        <v>-4.3845000000000002E-2</v>
      </c>
      <c r="G63" s="5">
        <v>-7.2921E-2</v>
      </c>
      <c r="H63" s="5">
        <v>-4.8078999999999997E-2</v>
      </c>
      <c r="I63" s="5">
        <v>7.7559999999999999E-3</v>
      </c>
      <c r="J63" s="5">
        <v>-3.2517999999999998E-2</v>
      </c>
      <c r="K63" s="5">
        <v>-2.8775999999999999E-2</v>
      </c>
    </row>
    <row r="64" spans="1:11" x14ac:dyDescent="0.2">
      <c r="A64" s="6">
        <f t="shared" si="1"/>
        <v>45366</v>
      </c>
      <c r="B64" s="5">
        <v>-4.287E-3</v>
      </c>
      <c r="C64" s="5">
        <v>-9.979E-3</v>
      </c>
      <c r="D64" s="5">
        <v>-1.3717E-2</v>
      </c>
      <c r="E64" s="5">
        <v>-5.3540000000000003E-3</v>
      </c>
      <c r="F64" s="5">
        <v>7.3039999999999997E-3</v>
      </c>
      <c r="G64" s="5">
        <v>-5.1397999999999999E-2</v>
      </c>
      <c r="H64" s="5">
        <v>4.8049000000000001E-2</v>
      </c>
      <c r="I64" s="5">
        <v>-1.7899999999999999E-4</v>
      </c>
      <c r="J64" s="5">
        <v>-1.4553E-2</v>
      </c>
      <c r="K64" s="5">
        <v>-1.0779E-2</v>
      </c>
    </row>
    <row r="65" spans="1:11" x14ac:dyDescent="0.2">
      <c r="A65" s="6">
        <f t="shared" si="1"/>
        <v>45373</v>
      </c>
      <c r="B65" s="5">
        <v>-5.8191E-2</v>
      </c>
      <c r="C65" s="5">
        <v>-3.6459999999999999E-2</v>
      </c>
      <c r="D65" s="5">
        <v>-6.1149000000000002E-2</v>
      </c>
      <c r="E65" s="5">
        <v>5.8900000000000001E-4</v>
      </c>
      <c r="F65" s="5">
        <v>-5.0174000000000003E-2</v>
      </c>
      <c r="G65" s="5">
        <v>-0.11572</v>
      </c>
      <c r="H65" s="5">
        <v>-4.2042999999999997E-2</v>
      </c>
      <c r="I65" s="5">
        <v>-0.11698500000000001</v>
      </c>
      <c r="J65" s="5">
        <v>-1.3138E-2</v>
      </c>
      <c r="K65" s="5">
        <v>1.5235E-2</v>
      </c>
    </row>
    <row r="66" spans="1:11" x14ac:dyDescent="0.2">
      <c r="A66" s="6">
        <f t="shared" si="1"/>
        <v>45380</v>
      </c>
      <c r="B66" s="5">
        <v>-1.5213000000000001E-2</v>
      </c>
      <c r="C66" s="5">
        <v>-6.0511000000000002E-2</v>
      </c>
      <c r="D66" s="5">
        <v>-5.9644999999999997E-2</v>
      </c>
      <c r="E66" s="5">
        <v>-9.9599999999999992E-4</v>
      </c>
      <c r="F66" s="5">
        <v>-2.8039000000000001E-2</v>
      </c>
      <c r="G66" s="5">
        <v>-3.8255999999999998E-2</v>
      </c>
      <c r="H66" s="5">
        <v>2.1519999999999998E-3</v>
      </c>
      <c r="I66" s="5">
        <v>8.2071000000000005E-2</v>
      </c>
      <c r="J66" s="5">
        <v>1.0957E-2</v>
      </c>
      <c r="K66" s="5">
        <v>-3.1022999999999998E-2</v>
      </c>
    </row>
    <row r="67" spans="1:11" x14ac:dyDescent="0.2">
      <c r="A67" s="6">
        <f t="shared" ref="A67:A98" si="2">A66+7</f>
        <v>45387</v>
      </c>
      <c r="B67" s="5">
        <v>8.9589999999999999E-3</v>
      </c>
      <c r="C67" s="5">
        <v>1.2083E-2</v>
      </c>
      <c r="D67" s="5">
        <v>-1.4619E-2</v>
      </c>
      <c r="E67" s="5">
        <v>6.29E-4</v>
      </c>
      <c r="F67" s="5">
        <v>1.0957E-2</v>
      </c>
      <c r="G67" s="5">
        <v>-1.9980000000000001E-2</v>
      </c>
      <c r="H67" s="5">
        <v>1.213E-2</v>
      </c>
      <c r="I67" s="5">
        <v>-4.4920000000000003E-3</v>
      </c>
      <c r="J67" s="5">
        <v>0.10736</v>
      </c>
      <c r="K67" s="5">
        <v>-5.6129999999999999E-3</v>
      </c>
    </row>
    <row r="68" spans="1:11" x14ac:dyDescent="0.2">
      <c r="A68" s="6">
        <f t="shared" si="2"/>
        <v>45394</v>
      </c>
      <c r="B68" s="5">
        <v>-2.1512E-2</v>
      </c>
      <c r="C68" s="5">
        <v>-2.5995000000000001E-2</v>
      </c>
      <c r="D68" s="5">
        <v>-1.583E-3</v>
      </c>
      <c r="E68" s="5">
        <v>8.1030000000000008E-3</v>
      </c>
      <c r="F68" s="5">
        <v>-2.5156000000000001E-2</v>
      </c>
      <c r="G68" s="5">
        <v>-3.3599999999999998E-2</v>
      </c>
      <c r="H68" s="5">
        <v>-7.6039999999999996E-2</v>
      </c>
      <c r="I68" s="5">
        <v>-7.5212000000000001E-2</v>
      </c>
      <c r="J68" s="5">
        <v>-2.0509999999999999E-3</v>
      </c>
      <c r="K68" s="5">
        <v>-1.5994999999999999E-2</v>
      </c>
    </row>
    <row r="69" spans="1:11" x14ac:dyDescent="0.2">
      <c r="A69" s="6">
        <f t="shared" si="2"/>
        <v>45401</v>
      </c>
      <c r="B69" s="5">
        <v>-3.4146000000000003E-2</v>
      </c>
      <c r="C69" s="5">
        <v>-1.6832E-2</v>
      </c>
      <c r="D69" s="5">
        <v>-1.1287E-2</v>
      </c>
      <c r="E69" s="5">
        <v>-1.0557E-2</v>
      </c>
      <c r="F69" s="5">
        <v>-2.6025E-2</v>
      </c>
      <c r="G69" s="5">
        <v>-2.1144E-2</v>
      </c>
      <c r="H69" s="5">
        <v>-7.4555999999999997E-2</v>
      </c>
      <c r="I69" s="5">
        <v>-5.5578000000000002E-2</v>
      </c>
      <c r="J69" s="5">
        <v>3.2939999999999997E-2</v>
      </c>
      <c r="K69" s="5">
        <v>-9.2015E-2</v>
      </c>
    </row>
    <row r="70" spans="1:11" x14ac:dyDescent="0.2">
      <c r="A70" s="6">
        <f t="shared" si="2"/>
        <v>45408</v>
      </c>
      <c r="B70" s="5">
        <v>4.3060000000000001E-2</v>
      </c>
      <c r="C70" s="5">
        <v>4.9759999999999999E-2</v>
      </c>
      <c r="D70" s="5">
        <v>3.8488000000000001E-2</v>
      </c>
      <c r="E70" s="5">
        <v>3.2913999999999999E-2</v>
      </c>
      <c r="F70" s="5">
        <v>5.1698000000000001E-2</v>
      </c>
      <c r="G70" s="5">
        <v>7.1041000000000007E-2</v>
      </c>
      <c r="H70" s="5">
        <v>2.5257999999999999E-2</v>
      </c>
      <c r="I70" s="5">
        <v>-6.2845999999999999E-2</v>
      </c>
      <c r="J70" s="5">
        <v>2.5391E-2</v>
      </c>
      <c r="K70" s="5">
        <v>1.2786E-2</v>
      </c>
    </row>
    <row r="71" spans="1:11" x14ac:dyDescent="0.2">
      <c r="A71" s="6">
        <f t="shared" si="2"/>
        <v>45415</v>
      </c>
      <c r="B71" s="5">
        <v>-3.0737E-2</v>
      </c>
      <c r="C71" s="5">
        <v>-9.2169999999999995E-3</v>
      </c>
      <c r="D71" s="5">
        <v>1.2090999999999999E-2</v>
      </c>
      <c r="E71" s="5">
        <v>2.6945E-2</v>
      </c>
      <c r="F71" s="5">
        <v>-1.7767000000000002E-2</v>
      </c>
      <c r="G71" s="5">
        <v>8.5800000000000008E-3</v>
      </c>
      <c r="H71" s="5">
        <v>5.2995E-2</v>
      </c>
      <c r="I71" s="5">
        <v>4.8857999999999999E-2</v>
      </c>
      <c r="J71" s="5">
        <v>7.5300000000000006E-2</v>
      </c>
      <c r="K71" s="5">
        <v>1.0459E-2</v>
      </c>
    </row>
    <row r="72" spans="1:11" x14ac:dyDescent="0.2">
      <c r="A72" s="6">
        <f t="shared" si="2"/>
        <v>45422</v>
      </c>
      <c r="B72" s="5">
        <v>-1.0623E-2</v>
      </c>
      <c r="C72" s="5">
        <v>1.6111E-2</v>
      </c>
      <c r="D72" s="5">
        <v>-5.6344999999999999E-2</v>
      </c>
      <c r="E72" s="5">
        <v>-1.0565E-2</v>
      </c>
      <c r="F72" s="5">
        <v>-2.1496999999999999E-2</v>
      </c>
      <c r="G72" s="5">
        <v>-2.8413000000000001E-2</v>
      </c>
      <c r="H72" s="5">
        <v>-5.9073000000000001E-2</v>
      </c>
      <c r="I72" s="5">
        <v>-2.9992000000000001E-2</v>
      </c>
      <c r="J72" s="5">
        <v>-1.1121000000000001E-2</v>
      </c>
      <c r="K72" s="5">
        <v>1.6744999999999999E-2</v>
      </c>
    </row>
    <row r="73" spans="1:11" x14ac:dyDescent="0.2">
      <c r="A73" s="6">
        <f t="shared" si="2"/>
        <v>45429</v>
      </c>
      <c r="B73" s="5">
        <v>4.1738999999999998E-2</v>
      </c>
      <c r="C73" s="5">
        <v>1.2204E-2</v>
      </c>
      <c r="D73" s="5">
        <v>5.3189999999999999E-3</v>
      </c>
      <c r="E73" s="5">
        <v>-1.9545E-2</v>
      </c>
      <c r="F73" s="5">
        <v>1.8454999999999999E-2</v>
      </c>
      <c r="G73" s="5">
        <v>1.5509999999999999E-2</v>
      </c>
      <c r="H73" s="5">
        <v>6.7549999999999997E-3</v>
      </c>
      <c r="I73" s="5">
        <v>7.2050000000000003E-2</v>
      </c>
      <c r="J73" s="5">
        <v>-2.0286999999999999E-2</v>
      </c>
      <c r="K73" s="5">
        <v>-5.7354000000000002E-2</v>
      </c>
    </row>
    <row r="74" spans="1:11" x14ac:dyDescent="0.2">
      <c r="A74" s="6">
        <f t="shared" si="2"/>
        <v>45436</v>
      </c>
      <c r="B74" s="5">
        <v>-3.3752999999999998E-2</v>
      </c>
      <c r="C74" s="5">
        <v>-5.3665999999999998E-2</v>
      </c>
      <c r="D74" s="5">
        <v>-4.2911999999999999E-2</v>
      </c>
      <c r="E74" s="5">
        <v>5.1249000000000003E-2</v>
      </c>
      <c r="F74" s="5">
        <v>9.3340000000000003E-3</v>
      </c>
      <c r="G74" s="5">
        <v>-3.5603999999999997E-2</v>
      </c>
      <c r="H74" s="5">
        <v>2.1715999999999999E-2</v>
      </c>
      <c r="I74" s="5">
        <v>1.1775000000000001E-2</v>
      </c>
      <c r="J74" s="5">
        <v>8.8870000000000008E-3</v>
      </c>
      <c r="K74" s="5">
        <v>-1.928E-3</v>
      </c>
    </row>
    <row r="75" spans="1:11" x14ac:dyDescent="0.2">
      <c r="A75" s="6">
        <f t="shared" si="2"/>
        <v>45443</v>
      </c>
      <c r="B75" s="5">
        <v>-6.2105E-2</v>
      </c>
      <c r="C75" s="5">
        <v>-5.8479999999999997E-2</v>
      </c>
      <c r="D75" s="5">
        <v>-1.7635999999999999E-2</v>
      </c>
      <c r="E75" s="5">
        <v>1.6514000000000001E-2</v>
      </c>
      <c r="F75" s="5">
        <v>-6.9589999999999999E-3</v>
      </c>
      <c r="G75" s="5">
        <v>2.4368999999999998E-2</v>
      </c>
      <c r="H75" s="5">
        <v>-2.3149999999999998E-3</v>
      </c>
      <c r="I75" s="5">
        <v>-7.5021000000000004E-2</v>
      </c>
      <c r="J75" s="5">
        <v>-7.1896000000000002E-2</v>
      </c>
      <c r="K75" s="5">
        <v>-2.0955000000000001E-2</v>
      </c>
    </row>
    <row r="76" spans="1:11" x14ac:dyDescent="0.2">
      <c r="A76" s="6">
        <f t="shared" si="2"/>
        <v>45450</v>
      </c>
      <c r="B76" s="5">
        <v>2.3768999999999998E-2</v>
      </c>
      <c r="C76" s="5">
        <v>9.3439999999999999E-3</v>
      </c>
      <c r="D76" s="5">
        <v>5.2953E-2</v>
      </c>
      <c r="E76" s="5">
        <v>2.8389000000000001E-2</v>
      </c>
      <c r="F76" s="5">
        <v>4.3889999999999997E-3</v>
      </c>
      <c r="G76" s="5">
        <v>5.8464000000000002E-2</v>
      </c>
      <c r="H76" s="5">
        <v>6.3711000000000004E-2</v>
      </c>
      <c r="I76" s="5">
        <v>4.0780999999999998E-2</v>
      </c>
      <c r="J76" s="5">
        <v>8.3072999999999994E-2</v>
      </c>
      <c r="K76" s="5">
        <v>7.5661000000000006E-2</v>
      </c>
    </row>
    <row r="77" spans="1:11" x14ac:dyDescent="0.2">
      <c r="A77" s="6">
        <f t="shared" si="2"/>
        <v>45457</v>
      </c>
      <c r="B77" s="5">
        <v>-3.895E-3</v>
      </c>
      <c r="C77" s="5">
        <v>-6.5826999999999997E-2</v>
      </c>
      <c r="D77" s="5">
        <v>-4.1063000000000002E-2</v>
      </c>
      <c r="E77" s="5">
        <v>-3.925E-2</v>
      </c>
      <c r="F77" s="5">
        <v>-4.0682000000000003E-2</v>
      </c>
      <c r="G77" s="5">
        <v>-2.0462999999999999E-2</v>
      </c>
      <c r="H77" s="5">
        <v>2.0507000000000001E-2</v>
      </c>
      <c r="I77" s="5">
        <v>-1.5206000000000001E-2</v>
      </c>
      <c r="J77" s="5">
        <v>-6.6297999999999996E-2</v>
      </c>
      <c r="K77" s="5">
        <v>3.8786000000000001E-2</v>
      </c>
    </row>
    <row r="78" spans="1:11" x14ac:dyDescent="0.2">
      <c r="A78" s="6">
        <f t="shared" si="2"/>
        <v>45464</v>
      </c>
      <c r="B78" s="5">
        <v>-7.5950000000000002E-3</v>
      </c>
      <c r="C78" s="5">
        <v>-2.5472999999999999E-2</v>
      </c>
      <c r="D78" s="5">
        <v>1.1415E-2</v>
      </c>
      <c r="E78" s="5">
        <v>1.0746E-2</v>
      </c>
      <c r="F78" s="5">
        <v>-1.1243E-2</v>
      </c>
      <c r="G78" s="5">
        <v>2.9485000000000001E-2</v>
      </c>
      <c r="H78" s="5">
        <v>-1.3709000000000001E-2</v>
      </c>
      <c r="I78" s="5">
        <v>-3.6673999999999998E-2</v>
      </c>
      <c r="J78" s="5">
        <v>7.0850000000000002E-3</v>
      </c>
      <c r="K78" s="5">
        <v>2.6467999999999998E-2</v>
      </c>
    </row>
    <row r="79" spans="1:11" x14ac:dyDescent="0.2">
      <c r="A79" s="6">
        <f t="shared" si="2"/>
        <v>45471</v>
      </c>
      <c r="B79" s="5">
        <v>7.3889999999999997E-3</v>
      </c>
      <c r="C79" s="5">
        <v>3.2689000000000003E-2</v>
      </c>
      <c r="D79" s="5">
        <v>1.6374E-2</v>
      </c>
      <c r="E79" s="5">
        <v>6.9177000000000002E-2</v>
      </c>
      <c r="F79" s="5">
        <v>3.3990000000000001E-3</v>
      </c>
      <c r="G79" s="5">
        <v>6.0887999999999998E-2</v>
      </c>
      <c r="H79" s="5">
        <v>1.5500999999999999E-2</v>
      </c>
      <c r="I79" s="5">
        <v>2.4749E-2</v>
      </c>
      <c r="J79" s="5">
        <v>3.6201999999999998E-2</v>
      </c>
      <c r="K79" s="5">
        <v>4.0939999999999997E-2</v>
      </c>
    </row>
    <row r="80" spans="1:11" x14ac:dyDescent="0.2">
      <c r="A80" s="6">
        <f t="shared" si="2"/>
        <v>45478</v>
      </c>
      <c r="B80" s="5">
        <v>5.1349999999999998E-3</v>
      </c>
      <c r="C80" s="5">
        <v>-1.5358E-2</v>
      </c>
      <c r="D80" s="5">
        <v>-4.5899000000000002E-2</v>
      </c>
      <c r="E80" s="5">
        <v>-3.2013E-2</v>
      </c>
      <c r="F80" s="5">
        <v>-1.4940999999999999E-2</v>
      </c>
      <c r="G80" s="5">
        <v>-1.6371E-2</v>
      </c>
      <c r="H80" s="5">
        <v>3.2750000000000001E-2</v>
      </c>
      <c r="I80" s="5">
        <v>8.8369999999999994E-3</v>
      </c>
      <c r="J80" s="5">
        <v>2.7158999999999999E-2</v>
      </c>
      <c r="K80" s="5">
        <v>3.2924000000000002E-2</v>
      </c>
    </row>
    <row r="81" spans="1:11" x14ac:dyDescent="0.2">
      <c r="A81" s="6">
        <f t="shared" si="2"/>
        <v>45485</v>
      </c>
      <c r="B81" s="5">
        <v>2.4086E-2</v>
      </c>
      <c r="C81" s="5">
        <v>-1.9356000000000002E-2</v>
      </c>
      <c r="D81" s="5">
        <v>-1.6070000000000001E-2</v>
      </c>
      <c r="E81" s="5">
        <v>6.2469999999999999E-3</v>
      </c>
      <c r="F81" s="5">
        <v>6.0044E-2</v>
      </c>
      <c r="G81" s="5">
        <v>8.0809999999999996E-3</v>
      </c>
      <c r="H81" s="5">
        <v>5.9403999999999998E-2</v>
      </c>
      <c r="I81" s="5">
        <v>2.4736999999999999E-2</v>
      </c>
      <c r="J81" s="5">
        <v>9.0709999999999999E-2</v>
      </c>
      <c r="K81" s="5">
        <v>6.4286999999999997E-2</v>
      </c>
    </row>
    <row r="82" spans="1:11" x14ac:dyDescent="0.2">
      <c r="A82" s="6">
        <f t="shared" si="2"/>
        <v>45492</v>
      </c>
      <c r="B82" s="5">
        <v>1.6892000000000001E-2</v>
      </c>
      <c r="C82" s="5">
        <v>6.7029999999999998E-3</v>
      </c>
      <c r="D82" s="5">
        <v>1.7906999999999999E-2</v>
      </c>
      <c r="E82" s="5">
        <v>4.7530000000000003E-3</v>
      </c>
      <c r="F82" s="5">
        <v>4.0379999999999999E-3</v>
      </c>
      <c r="G82" s="5">
        <v>3.9482999999999997E-2</v>
      </c>
      <c r="H82" s="5">
        <v>2.5760000000000002E-2</v>
      </c>
      <c r="I82" s="5">
        <v>-9.6620999999999999E-2</v>
      </c>
      <c r="J82" s="5">
        <v>-1.9002999999999999E-2</v>
      </c>
      <c r="K82" s="5">
        <v>-4.0883000000000003E-2</v>
      </c>
    </row>
    <row r="83" spans="1:11" x14ac:dyDescent="0.2">
      <c r="A83" s="6">
        <f t="shared" si="2"/>
        <v>45499</v>
      </c>
      <c r="B83" s="5">
        <v>4.5408999999999998E-2</v>
      </c>
      <c r="C83" s="5">
        <v>5.7389999999999997E-2</v>
      </c>
      <c r="D83" s="5">
        <v>3.6059000000000001E-2</v>
      </c>
      <c r="E83" s="5">
        <v>4.6106000000000001E-2</v>
      </c>
      <c r="F83" s="5">
        <v>5.3769999999999998E-3</v>
      </c>
      <c r="G83" s="5">
        <v>8.4075999999999998E-2</v>
      </c>
      <c r="H83" s="5">
        <v>1.8879999999999999E-3</v>
      </c>
      <c r="I83" s="5">
        <v>4.9667999999999997E-2</v>
      </c>
      <c r="J83" s="5">
        <v>2.3980000000000001E-2</v>
      </c>
      <c r="K83" s="5">
        <v>-5.8598999999999998E-2</v>
      </c>
    </row>
    <row r="84" spans="1:11" x14ac:dyDescent="0.2">
      <c r="A84" s="6">
        <f t="shared" si="2"/>
        <v>45506</v>
      </c>
      <c r="B84" s="5">
        <v>-1.2531E-2</v>
      </c>
      <c r="C84" s="5">
        <v>1.041E-3</v>
      </c>
      <c r="D84" s="5">
        <v>6.7752999999999994E-2</v>
      </c>
      <c r="E84" s="5">
        <v>3.6188999999999999E-2</v>
      </c>
      <c r="F84" s="5">
        <v>2.4541E-2</v>
      </c>
      <c r="G84" s="5">
        <v>-5.7070000000000003E-3</v>
      </c>
      <c r="H84" s="5">
        <v>4.1489999999999999E-2</v>
      </c>
      <c r="I84" s="5">
        <v>3.4693000000000002E-2</v>
      </c>
      <c r="J84" s="5">
        <v>1.4193000000000001E-2</v>
      </c>
      <c r="K84" s="5">
        <v>1.2810999999999999E-2</v>
      </c>
    </row>
    <row r="85" spans="1:11" x14ac:dyDescent="0.2">
      <c r="A85" s="6">
        <f t="shared" si="2"/>
        <v>45513</v>
      </c>
      <c r="B85" s="5">
        <v>-5.1976000000000001E-2</v>
      </c>
      <c r="C85" s="5">
        <v>1.123E-2</v>
      </c>
      <c r="D85" s="5">
        <v>8.6666000000000007E-2</v>
      </c>
      <c r="E85" s="5">
        <v>2.0535999999999999E-2</v>
      </c>
      <c r="F85" s="5">
        <v>2.0084000000000001E-2</v>
      </c>
      <c r="G85" s="5">
        <v>1.3420000000000001E-3</v>
      </c>
      <c r="H85" s="5">
        <v>-1.7614000000000001E-2</v>
      </c>
      <c r="I85" s="5">
        <v>5.9713000000000002E-2</v>
      </c>
      <c r="J85" s="5">
        <v>-2.3753E-2</v>
      </c>
      <c r="K85" s="5">
        <v>4.2389999999999997E-3</v>
      </c>
    </row>
    <row r="86" spans="1:11" x14ac:dyDescent="0.2">
      <c r="A86" s="6">
        <f t="shared" si="2"/>
        <v>45520</v>
      </c>
      <c r="B86" s="5">
        <v>1.7502E-2</v>
      </c>
      <c r="C86" s="5">
        <v>2.8565E-2</v>
      </c>
      <c r="D86" s="5">
        <v>1.9146E-2</v>
      </c>
      <c r="E86" s="5">
        <v>-3.0660000000000001E-3</v>
      </c>
      <c r="F86" s="5">
        <v>-1.2586999999999999E-2</v>
      </c>
      <c r="G86" s="5">
        <v>-2.6088E-2</v>
      </c>
      <c r="H86" s="5">
        <v>-1.7462999999999999E-2</v>
      </c>
      <c r="I86" s="5">
        <v>-3.7141E-2</v>
      </c>
      <c r="J86" s="5">
        <v>-7.3391999999999999E-2</v>
      </c>
      <c r="K86" s="5">
        <v>-5.815E-2</v>
      </c>
    </row>
    <row r="87" spans="1:11" x14ac:dyDescent="0.2">
      <c r="A87" s="6">
        <f t="shared" si="2"/>
        <v>45527</v>
      </c>
      <c r="B87" s="5">
        <v>1.5554999999999999E-2</v>
      </c>
      <c r="C87" s="5">
        <v>-1.8346999999999999E-2</v>
      </c>
      <c r="D87" s="5">
        <v>-2.7208E-2</v>
      </c>
      <c r="E87" s="5">
        <v>-3.5775000000000001E-2</v>
      </c>
      <c r="F87" s="5">
        <v>2.0296999999999999E-2</v>
      </c>
      <c r="G87" s="5">
        <v>4.4592E-2</v>
      </c>
      <c r="H87" s="5">
        <v>5.2039000000000002E-2</v>
      </c>
      <c r="I87" s="5">
        <v>-5.4561999999999999E-2</v>
      </c>
      <c r="J87" s="5">
        <v>-4.6018999999999997E-2</v>
      </c>
      <c r="K87" s="5">
        <v>2.0048E-2</v>
      </c>
    </row>
    <row r="88" spans="1:11" x14ac:dyDescent="0.2">
      <c r="A88" s="6">
        <f t="shared" si="2"/>
        <v>45534</v>
      </c>
      <c r="B88" s="5">
        <v>-3.7645999999999999E-2</v>
      </c>
      <c r="C88" s="5">
        <v>-3.8109999999999998E-2</v>
      </c>
      <c r="D88" s="5">
        <v>3.7222999999999999E-2</v>
      </c>
      <c r="E88" s="5">
        <v>-2.3500000000000001E-3</v>
      </c>
      <c r="F88" s="5">
        <v>-4.1508000000000003E-2</v>
      </c>
      <c r="G88" s="5">
        <v>-7.5118000000000004E-2</v>
      </c>
      <c r="H88" s="5">
        <v>2.0389999999999998E-2</v>
      </c>
      <c r="I88" s="5">
        <v>-3.339E-3</v>
      </c>
      <c r="J88" s="5">
        <v>-2.2786000000000001E-2</v>
      </c>
      <c r="K88" s="5">
        <v>-2.0220999999999999E-2</v>
      </c>
    </row>
    <row r="89" spans="1:11" x14ac:dyDescent="0.2">
      <c r="A89" s="6">
        <f t="shared" si="2"/>
        <v>45541</v>
      </c>
      <c r="B89" s="5">
        <v>6.1857000000000002E-2</v>
      </c>
      <c r="C89" s="5">
        <v>6.4260999999999999E-2</v>
      </c>
      <c r="D89" s="5">
        <v>1.7725000000000001E-2</v>
      </c>
      <c r="E89" s="5">
        <v>3.1609999999999999E-2</v>
      </c>
      <c r="F89" s="5">
        <v>4.7528000000000001E-2</v>
      </c>
      <c r="G89" s="5">
        <v>-1.9399E-2</v>
      </c>
      <c r="H89" s="5">
        <v>1.6323000000000001E-2</v>
      </c>
      <c r="I89" s="5">
        <v>7.1509000000000003E-2</v>
      </c>
      <c r="J89" s="5">
        <v>-8.4139999999999996E-3</v>
      </c>
      <c r="K89" s="5">
        <v>-5.1255000000000002E-2</v>
      </c>
    </row>
    <row r="90" spans="1:11" x14ac:dyDescent="0.2">
      <c r="A90" s="6">
        <f t="shared" si="2"/>
        <v>45548</v>
      </c>
      <c r="B90" s="5">
        <v>1.2078E-2</v>
      </c>
      <c r="C90" s="5">
        <v>3.6852999999999997E-2</v>
      </c>
      <c r="D90" s="5">
        <v>7.1970000000000006E-2</v>
      </c>
      <c r="E90" s="5">
        <v>-3.2654000000000002E-2</v>
      </c>
      <c r="F90" s="5">
        <v>6.9250000000000006E-2</v>
      </c>
      <c r="G90" s="5">
        <v>-1.8606999999999999E-2</v>
      </c>
      <c r="H90" s="5">
        <v>4.2507000000000003E-2</v>
      </c>
      <c r="I90" s="5">
        <v>7.0675000000000002E-2</v>
      </c>
      <c r="J90" s="5">
        <v>4.4192000000000002E-2</v>
      </c>
      <c r="K90" s="5">
        <v>1.6444E-2</v>
      </c>
    </row>
    <row r="91" spans="1:11" x14ac:dyDescent="0.2">
      <c r="A91" s="6">
        <f t="shared" si="2"/>
        <v>45555</v>
      </c>
      <c r="B91" s="5">
        <v>-3.1667000000000001E-2</v>
      </c>
      <c r="C91" s="5">
        <v>1.1056E-2</v>
      </c>
      <c r="D91" s="5">
        <v>-2.7612999999999999E-2</v>
      </c>
      <c r="E91" s="5">
        <v>-5.4774000000000003E-2</v>
      </c>
      <c r="F91" s="5">
        <v>5.4636999999999998E-2</v>
      </c>
      <c r="G91" s="5">
        <v>2.2342000000000001E-2</v>
      </c>
      <c r="H91" s="5">
        <v>5.0960999999999999E-2</v>
      </c>
      <c r="I91" s="5">
        <v>-4.5426000000000001E-2</v>
      </c>
      <c r="J91" s="5">
        <v>4.6321000000000001E-2</v>
      </c>
      <c r="K91" s="5">
        <v>4.7327000000000001E-2</v>
      </c>
    </row>
    <row r="92" spans="1:11" x14ac:dyDescent="0.2">
      <c r="A92" s="6">
        <f t="shared" si="2"/>
        <v>45562</v>
      </c>
      <c r="B92" s="5">
        <v>7.3098999999999997E-2</v>
      </c>
      <c r="C92" s="5">
        <v>3.6329E-2</v>
      </c>
      <c r="D92" s="5">
        <v>-9.2969999999999997E-3</v>
      </c>
      <c r="E92" s="5">
        <v>2.4031E-2</v>
      </c>
      <c r="F92" s="5">
        <v>-1.3599E-2</v>
      </c>
      <c r="G92" s="5">
        <v>-2.8212999999999998E-2</v>
      </c>
      <c r="H92" s="5">
        <v>3.7973E-2</v>
      </c>
      <c r="I92" s="5">
        <v>3.026E-3</v>
      </c>
      <c r="J92" s="5">
        <v>2.5087999999999999E-2</v>
      </c>
      <c r="K92" s="5">
        <v>2.6282E-2</v>
      </c>
    </row>
    <row r="93" spans="1:11" x14ac:dyDescent="0.2">
      <c r="A93" s="6">
        <f t="shared" si="2"/>
        <v>45569</v>
      </c>
      <c r="B93" s="5">
        <v>5.5854000000000001E-2</v>
      </c>
      <c r="C93" s="5">
        <v>3.3148999999999998E-2</v>
      </c>
      <c r="D93" s="5">
        <v>3.4999999999999997E-5</v>
      </c>
      <c r="E93" s="5">
        <v>8.7089999999999997E-3</v>
      </c>
      <c r="F93" s="5">
        <v>-1.5762000000000002E-2</v>
      </c>
      <c r="G93" s="5">
        <v>8.9929999999999993E-3</v>
      </c>
      <c r="H93" s="5">
        <v>-4.0740000000000004E-3</v>
      </c>
      <c r="I93" s="5">
        <v>-7.5289999999999996E-2</v>
      </c>
      <c r="J93" s="5">
        <v>-5.0039E-2</v>
      </c>
      <c r="K93" s="5">
        <v>-6.8547999999999998E-2</v>
      </c>
    </row>
    <row r="94" spans="1:11" x14ac:dyDescent="0.2">
      <c r="A94" s="6">
        <f t="shared" si="2"/>
        <v>45576</v>
      </c>
      <c r="B94" s="5">
        <v>1.174E-2</v>
      </c>
      <c r="C94" s="5">
        <v>4.8041E-2</v>
      </c>
      <c r="D94" s="5">
        <v>-1.6156E-2</v>
      </c>
      <c r="E94" s="5">
        <v>1.7627E-2</v>
      </c>
      <c r="F94" s="5">
        <v>-7.9930000000000001E-3</v>
      </c>
      <c r="G94" s="5">
        <v>-3.0561000000000001E-2</v>
      </c>
      <c r="H94" s="5">
        <v>-2.2398000000000001E-2</v>
      </c>
      <c r="I94" s="5">
        <v>7.5968999999999995E-2</v>
      </c>
      <c r="J94" s="5">
        <v>0.100216</v>
      </c>
      <c r="K94" s="5">
        <v>3.0367000000000002E-2</v>
      </c>
    </row>
    <row r="95" spans="1:11" x14ac:dyDescent="0.2">
      <c r="A95" s="6">
        <f t="shared" si="2"/>
        <v>45583</v>
      </c>
      <c r="B95" s="5">
        <v>-2.8173E-2</v>
      </c>
      <c r="C95" s="5">
        <v>4.4050000000000001E-3</v>
      </c>
      <c r="D95" s="5">
        <v>-2.6633E-2</v>
      </c>
      <c r="E95" s="5">
        <v>-1.0959E-2</v>
      </c>
      <c r="F95" s="5">
        <v>-1.0746E-2</v>
      </c>
      <c r="G95" s="5">
        <v>1.374E-3</v>
      </c>
      <c r="H95" s="5">
        <v>-1.3828999999999999E-2</v>
      </c>
      <c r="I95" s="5">
        <v>-4.6760000000000003E-2</v>
      </c>
      <c r="J95" s="5">
        <v>-5.3510000000000002E-2</v>
      </c>
      <c r="K95" s="5">
        <v>-8.7406999999999999E-2</v>
      </c>
    </row>
    <row r="96" spans="1:11" x14ac:dyDescent="0.2">
      <c r="A96" s="6">
        <f t="shared" si="2"/>
        <v>45590</v>
      </c>
      <c r="B96" s="5">
        <v>-2.0121E-2</v>
      </c>
      <c r="C96" s="5">
        <v>-4.2879E-2</v>
      </c>
      <c r="D96" s="5">
        <v>-1.2658000000000001E-2</v>
      </c>
      <c r="E96" s="5">
        <v>-2.3563000000000001E-2</v>
      </c>
      <c r="F96" s="5">
        <v>-4.8710000000000003E-3</v>
      </c>
      <c r="G96" s="5">
        <v>7.3610000000000004E-3</v>
      </c>
      <c r="H96" s="5">
        <v>-4.9333000000000002E-2</v>
      </c>
      <c r="I96" s="5">
        <v>-4.4568999999999998E-2</v>
      </c>
      <c r="J96" s="5">
        <v>-3.5782000000000001E-2</v>
      </c>
      <c r="K96" s="5">
        <v>2.0365999999999999E-2</v>
      </c>
    </row>
    <row r="97" spans="1:11" x14ac:dyDescent="0.2">
      <c r="A97" s="6">
        <f t="shared" si="2"/>
        <v>45597</v>
      </c>
      <c r="B97" s="5">
        <v>3.9838999999999999E-2</v>
      </c>
      <c r="C97" s="5">
        <v>1.1844E-2</v>
      </c>
      <c r="D97" s="5">
        <v>-8.1620000000000009E-3</v>
      </c>
      <c r="E97" s="5">
        <v>4.8856999999999998E-2</v>
      </c>
      <c r="F97" s="5">
        <v>-2.2773999999999999E-2</v>
      </c>
      <c r="G97" s="5">
        <v>6.5259999999999999E-2</v>
      </c>
      <c r="H97" s="5">
        <v>-1.9644999999999999E-2</v>
      </c>
      <c r="I97" s="5">
        <v>-0.14447499999999999</v>
      </c>
      <c r="J97" s="5">
        <v>0.106153</v>
      </c>
      <c r="K97" s="5">
        <v>6.5226999999999993E-2</v>
      </c>
    </row>
    <row r="98" spans="1:11" x14ac:dyDescent="0.2">
      <c r="A98" s="6">
        <f t="shared" si="2"/>
        <v>45604</v>
      </c>
      <c r="B98" s="5">
        <v>-4.8059999999999999E-2</v>
      </c>
      <c r="C98" s="5">
        <v>-1.3646E-2</v>
      </c>
      <c r="D98" s="5">
        <v>-2.9544999999999998E-2</v>
      </c>
      <c r="E98" s="5">
        <v>-1.7718999999999999E-2</v>
      </c>
      <c r="F98" s="5">
        <v>-5.3032999999999997E-2</v>
      </c>
      <c r="G98" s="5">
        <v>-5.8305999999999997E-2</v>
      </c>
      <c r="H98" s="5">
        <v>1.0088E-2</v>
      </c>
      <c r="I98" s="5">
        <v>1.1934E-2</v>
      </c>
      <c r="J98" s="5">
        <v>3.6227000000000002E-2</v>
      </c>
      <c r="K98" s="5">
        <v>-1.064E-2</v>
      </c>
    </row>
    <row r="99" spans="1:11" x14ac:dyDescent="0.2">
      <c r="A99" s="6">
        <f t="shared" ref="A99:A130" si="3">A98+7</f>
        <v>45611</v>
      </c>
      <c r="B99" s="5">
        <v>7.2874999999999995E-2</v>
      </c>
      <c r="C99" s="5">
        <v>4.2620000000000002E-3</v>
      </c>
      <c r="D99" s="5">
        <v>1.9266999999999999E-2</v>
      </c>
      <c r="E99" s="5">
        <v>-3.8059999999999997E-2</v>
      </c>
      <c r="F99" s="5">
        <v>-1.8291000000000002E-2</v>
      </c>
      <c r="G99" s="5">
        <v>3.6665000000000003E-2</v>
      </c>
      <c r="H99" s="5">
        <v>-7.2519999999999998E-3</v>
      </c>
      <c r="I99" s="5">
        <v>6.7308000000000007E-2</v>
      </c>
      <c r="J99" s="5">
        <v>1.0543E-2</v>
      </c>
      <c r="K99" s="5">
        <v>-2.5772E-2</v>
      </c>
    </row>
    <row r="100" spans="1:11" x14ac:dyDescent="0.2">
      <c r="A100" s="6">
        <f t="shared" si="3"/>
        <v>45618</v>
      </c>
      <c r="B100" s="5">
        <v>-1.8383E-2</v>
      </c>
      <c r="C100" s="5">
        <v>-2.0969000000000002E-2</v>
      </c>
      <c r="D100" s="5">
        <v>-2.7740000000000001E-2</v>
      </c>
      <c r="E100" s="5">
        <v>2.049E-3</v>
      </c>
      <c r="F100" s="5">
        <v>1.722E-3</v>
      </c>
      <c r="G100" s="5">
        <v>-3.1308000000000002E-2</v>
      </c>
      <c r="H100" s="5">
        <v>-3.8941000000000003E-2</v>
      </c>
      <c r="I100" s="5">
        <v>5.6759999999999996E-3</v>
      </c>
      <c r="J100" s="5">
        <v>-1.6338999999999999E-2</v>
      </c>
      <c r="K100" s="5">
        <v>2.0405E-2</v>
      </c>
    </row>
    <row r="101" spans="1:11" x14ac:dyDescent="0.2">
      <c r="A101" s="6">
        <f t="shared" si="3"/>
        <v>45625</v>
      </c>
      <c r="B101" s="5">
        <v>7.3134000000000005E-2</v>
      </c>
      <c r="C101" s="5">
        <v>2.5248E-2</v>
      </c>
      <c r="D101" s="5">
        <v>-6.3480000000000003E-3</v>
      </c>
      <c r="E101" s="5">
        <v>-4.0709000000000002E-2</v>
      </c>
      <c r="F101" s="5">
        <v>-2.734E-2</v>
      </c>
      <c r="G101" s="5">
        <v>-2.3068000000000002E-2</v>
      </c>
      <c r="H101" s="5">
        <v>-7.3341000000000003E-2</v>
      </c>
      <c r="I101" s="5">
        <v>-2.6453999999999998E-2</v>
      </c>
      <c r="J101" s="5">
        <v>-7.5925999999999993E-2</v>
      </c>
      <c r="K101" s="5">
        <v>-2.1007999999999999E-2</v>
      </c>
    </row>
    <row r="102" spans="1:11" x14ac:dyDescent="0.2">
      <c r="A102" s="6">
        <f t="shared" si="3"/>
        <v>45632</v>
      </c>
      <c r="B102" s="5">
        <v>-2.6159000000000002E-2</v>
      </c>
      <c r="C102" s="5">
        <v>-1.9719E-2</v>
      </c>
      <c r="D102" s="5">
        <v>-5.2863E-2</v>
      </c>
      <c r="E102" s="5">
        <v>3.7816000000000002E-2</v>
      </c>
      <c r="F102" s="5">
        <v>1.7650000000000001E-3</v>
      </c>
      <c r="G102" s="5">
        <v>4.0910000000000002E-2</v>
      </c>
      <c r="H102" s="5">
        <v>3.2286000000000002E-2</v>
      </c>
      <c r="I102" s="5">
        <v>5.6390000000000003E-2</v>
      </c>
      <c r="J102" s="5">
        <v>7.2049999999999996E-3</v>
      </c>
      <c r="K102" s="5">
        <v>3.1315000000000003E-2</v>
      </c>
    </row>
    <row r="103" spans="1:11" x14ac:dyDescent="0.2">
      <c r="A103" s="6">
        <f t="shared" si="3"/>
        <v>45639</v>
      </c>
      <c r="B103" s="5">
        <v>5.9380000000000002E-2</v>
      </c>
      <c r="C103" s="5">
        <v>-3.9176000000000002E-2</v>
      </c>
      <c r="D103" s="5">
        <v>4.2681999999999998E-2</v>
      </c>
      <c r="E103" s="5">
        <v>6.062E-2</v>
      </c>
      <c r="F103" s="5">
        <v>1.5098E-2</v>
      </c>
      <c r="G103" s="5">
        <v>2.9524000000000002E-2</v>
      </c>
      <c r="H103" s="5">
        <v>5.6468999999999998E-2</v>
      </c>
      <c r="I103" s="5">
        <v>-4.3701999999999998E-2</v>
      </c>
      <c r="J103" s="5">
        <v>4.768E-2</v>
      </c>
      <c r="K103" s="5">
        <v>-2.202E-3</v>
      </c>
    </row>
    <row r="104" spans="1:11" x14ac:dyDescent="0.2">
      <c r="A104" s="6">
        <f t="shared" si="3"/>
        <v>45646</v>
      </c>
      <c r="B104" s="5">
        <v>2.2415999999999998E-2</v>
      </c>
      <c r="C104" s="5">
        <v>1.9473000000000001E-2</v>
      </c>
      <c r="D104" s="5">
        <v>3.1794000000000003E-2</v>
      </c>
      <c r="E104" s="5">
        <v>3.1461999999999997E-2</v>
      </c>
      <c r="F104" s="5">
        <v>4.623E-2</v>
      </c>
      <c r="G104" s="5">
        <v>6.7210000000000004E-3</v>
      </c>
      <c r="H104" s="5">
        <v>7.4605000000000005E-2</v>
      </c>
      <c r="I104" s="5">
        <v>6.0752E-2</v>
      </c>
      <c r="J104" s="5">
        <v>3.5583999999999998E-2</v>
      </c>
      <c r="K104" s="5">
        <v>8.2620000000000002E-3</v>
      </c>
    </row>
    <row r="105" spans="1:11" x14ac:dyDescent="0.2">
      <c r="A105" s="6">
        <f t="shared" si="3"/>
        <v>45653</v>
      </c>
      <c r="B105" s="5">
        <v>3.9114999999999997E-2</v>
      </c>
      <c r="C105" s="5">
        <v>5.4628000000000003E-2</v>
      </c>
      <c r="D105" s="5">
        <v>5.1809000000000001E-2</v>
      </c>
      <c r="E105" s="5">
        <v>-8.7589999999999994E-3</v>
      </c>
      <c r="F105" s="5">
        <v>5.0784999999999997E-2</v>
      </c>
      <c r="G105" s="5">
        <v>0.135632</v>
      </c>
      <c r="H105" s="5">
        <v>-3.1775999999999999E-2</v>
      </c>
      <c r="I105" s="5">
        <v>8.2250000000000004E-2</v>
      </c>
      <c r="J105" s="5">
        <v>3.3695999999999997E-2</v>
      </c>
      <c r="K105" s="5">
        <v>2.1114000000000001E-2</v>
      </c>
    </row>
    <row r="106" spans="1:11" x14ac:dyDescent="0.2">
      <c r="A106" s="6">
        <f t="shared" si="3"/>
        <v>45660</v>
      </c>
      <c r="B106" s="5">
        <v>7.0130999999999999E-2</v>
      </c>
      <c r="C106" s="5">
        <v>7.1469999999999997E-3</v>
      </c>
      <c r="D106" s="5">
        <v>4.4297000000000003E-2</v>
      </c>
      <c r="E106" s="5">
        <v>7.7854999999999994E-2</v>
      </c>
      <c r="F106" s="5">
        <v>3.5722999999999998E-2</v>
      </c>
      <c r="G106" s="5">
        <v>2.1822999999999999E-2</v>
      </c>
      <c r="H106" s="5">
        <v>5.1781000000000001E-2</v>
      </c>
      <c r="I106" s="5">
        <v>2.0015999999999999E-2</v>
      </c>
      <c r="J106" s="5">
        <v>0.10891000000000001</v>
      </c>
      <c r="K106" s="5">
        <v>1.8914E-2</v>
      </c>
    </row>
    <row r="107" spans="1:11" x14ac:dyDescent="0.2">
      <c r="A107" s="6">
        <f t="shared" si="3"/>
        <v>45667</v>
      </c>
      <c r="B107" s="5">
        <v>1.4402999999999999E-2</v>
      </c>
      <c r="C107" s="5">
        <v>-4.0397000000000002E-2</v>
      </c>
      <c r="D107" s="5">
        <v>7.8480000000000008E-3</v>
      </c>
      <c r="E107" s="5">
        <v>-3.9627999999999997E-2</v>
      </c>
      <c r="F107" s="5">
        <v>-7.2669999999999998E-2</v>
      </c>
      <c r="G107" s="5">
        <v>-5.1089999999999998E-3</v>
      </c>
      <c r="H107" s="5">
        <v>-7.8726000000000004E-2</v>
      </c>
      <c r="I107" s="5">
        <v>-4.4691000000000002E-2</v>
      </c>
      <c r="J107" s="5">
        <v>-1.008E-3</v>
      </c>
      <c r="K107" s="5">
        <v>-8.1354999999999997E-2</v>
      </c>
    </row>
    <row r="108" spans="1:11" x14ac:dyDescent="0.2">
      <c r="A108" s="6">
        <f t="shared" si="3"/>
        <v>45674</v>
      </c>
      <c r="B108" s="5">
        <v>-1.7656000000000002E-2</v>
      </c>
      <c r="C108" s="5">
        <v>4.2102000000000001E-2</v>
      </c>
      <c r="D108" s="5">
        <v>2.0837000000000001E-2</v>
      </c>
      <c r="E108" s="5">
        <v>6.7257999999999998E-2</v>
      </c>
      <c r="F108" s="5">
        <v>2.6952E-2</v>
      </c>
      <c r="G108" s="5">
        <v>-1.0569E-2</v>
      </c>
      <c r="H108" s="5">
        <v>2.5950999999999998E-2</v>
      </c>
      <c r="I108" s="5">
        <v>5.7418999999999998E-2</v>
      </c>
      <c r="J108" s="5">
        <v>7.4305999999999997E-2</v>
      </c>
      <c r="K108" s="5">
        <v>3.5375999999999998E-2</v>
      </c>
    </row>
    <row r="109" spans="1:11" x14ac:dyDescent="0.2">
      <c r="A109" s="6">
        <f t="shared" si="3"/>
        <v>45681</v>
      </c>
      <c r="B109" s="5">
        <v>-8.6569999999999998E-3</v>
      </c>
      <c r="C109" s="5">
        <v>-1.1044999999999999E-2</v>
      </c>
      <c r="D109" s="5">
        <v>-3.0946999999999999E-2</v>
      </c>
      <c r="E109" s="5">
        <v>2.9798999999999999E-2</v>
      </c>
      <c r="F109" s="5">
        <v>-1.0697E-2</v>
      </c>
      <c r="G109" s="5">
        <v>-5.2221999999999998E-2</v>
      </c>
      <c r="H109" s="5">
        <v>-2.1191000000000002E-2</v>
      </c>
      <c r="I109" s="5">
        <v>2.9420999999999999E-2</v>
      </c>
      <c r="J109" s="5">
        <v>1.5883999999999999E-2</v>
      </c>
      <c r="K109" s="5">
        <v>-1.3618E-2</v>
      </c>
    </row>
    <row r="110" spans="1:11" x14ac:dyDescent="0.2">
      <c r="A110" s="6">
        <f t="shared" si="3"/>
        <v>45688</v>
      </c>
      <c r="B110" s="5">
        <v>-1.3131E-2</v>
      </c>
      <c r="C110" s="5">
        <v>6.2550000000000001E-3</v>
      </c>
      <c r="D110" s="5">
        <v>-5.5692999999999999E-2</v>
      </c>
      <c r="E110" s="5">
        <v>-2.2908999999999999E-2</v>
      </c>
      <c r="F110" s="5">
        <v>2.0230000000000001E-2</v>
      </c>
      <c r="G110" s="5">
        <v>-1.7045000000000001E-2</v>
      </c>
      <c r="H110" s="5">
        <v>2.2100000000000002E-2</v>
      </c>
      <c r="I110" s="5">
        <v>6.5880999999999995E-2</v>
      </c>
      <c r="J110" s="5">
        <v>3.2911999999999997E-2</v>
      </c>
      <c r="K110" s="5">
        <v>7.5940000000000001E-3</v>
      </c>
    </row>
    <row r="111" spans="1:11" x14ac:dyDescent="0.2">
      <c r="A111" s="6">
        <f t="shared" si="3"/>
        <v>45695</v>
      </c>
      <c r="B111" s="5">
        <v>5.5301000000000003E-2</v>
      </c>
      <c r="C111" s="5">
        <v>1.8103000000000001E-2</v>
      </c>
      <c r="D111" s="5">
        <v>-1.2387E-2</v>
      </c>
      <c r="E111" s="5">
        <v>1.4109E-2</v>
      </c>
      <c r="F111" s="5">
        <v>8.2059999999999998E-3</v>
      </c>
      <c r="G111" s="5">
        <v>-3.0769000000000001E-2</v>
      </c>
      <c r="H111" s="5">
        <v>4.2779999999999997E-3</v>
      </c>
      <c r="I111" s="5">
        <v>-1.433E-3</v>
      </c>
      <c r="J111" s="5">
        <v>-7.0552000000000004E-2</v>
      </c>
      <c r="K111" s="5">
        <v>-6.0340000000000003E-3</v>
      </c>
    </row>
    <row r="112" spans="1:11" x14ac:dyDescent="0.2">
      <c r="A112" s="6">
        <f t="shared" si="3"/>
        <v>45702</v>
      </c>
      <c r="B112" s="5">
        <v>1.7679E-2</v>
      </c>
      <c r="C112" s="5">
        <v>2.0537E-2</v>
      </c>
      <c r="D112" s="5">
        <v>-4.3869999999999999E-2</v>
      </c>
      <c r="E112" s="5">
        <v>-1.6754999999999999E-2</v>
      </c>
      <c r="F112" s="5">
        <v>8.3230000000000005E-3</v>
      </c>
      <c r="G112" s="5">
        <v>5.4400000000000004E-3</v>
      </c>
      <c r="H112" s="5">
        <v>-2.5425E-2</v>
      </c>
      <c r="I112" s="5">
        <v>7.7423000000000006E-2</v>
      </c>
      <c r="J112" s="5">
        <v>-5.1441000000000001E-2</v>
      </c>
      <c r="K112" s="5">
        <v>-1.3004999999999999E-2</v>
      </c>
    </row>
    <row r="113" spans="1:11" x14ac:dyDescent="0.2">
      <c r="A113" s="6">
        <f t="shared" si="3"/>
        <v>45709</v>
      </c>
      <c r="B113" s="5">
        <v>3.6956999999999997E-2</v>
      </c>
      <c r="C113" s="5">
        <v>-2.0084999999999999E-2</v>
      </c>
      <c r="D113" s="5">
        <v>-1.0926E-2</v>
      </c>
      <c r="E113" s="5">
        <v>3.7065000000000001E-2</v>
      </c>
      <c r="F113" s="5">
        <v>2.323E-3</v>
      </c>
      <c r="G113" s="5">
        <v>1.5973999999999999E-2</v>
      </c>
      <c r="H113" s="5">
        <v>-1.1039999999999999E-3</v>
      </c>
      <c r="I113" s="5">
        <v>1.5554999999999999E-2</v>
      </c>
      <c r="J113" s="5">
        <v>-7.9106999999999997E-2</v>
      </c>
      <c r="K113" s="5">
        <v>-2.0864000000000001E-2</v>
      </c>
    </row>
    <row r="114" spans="1:11" x14ac:dyDescent="0.2">
      <c r="A114" s="6">
        <f t="shared" si="3"/>
        <v>45716</v>
      </c>
      <c r="B114" s="5">
        <v>-5.7308999999999999E-2</v>
      </c>
      <c r="C114" s="5">
        <v>-6.4562999999999995E-2</v>
      </c>
      <c r="D114" s="5">
        <v>-6.1802999999999997E-2</v>
      </c>
      <c r="E114" s="5">
        <v>-5.0438999999999998E-2</v>
      </c>
      <c r="F114" s="5">
        <v>-2.3545E-2</v>
      </c>
      <c r="G114" s="5">
        <v>-4.1215000000000002E-2</v>
      </c>
      <c r="H114" s="5">
        <v>-5.0566E-2</v>
      </c>
      <c r="I114" s="5">
        <v>-4.8956E-2</v>
      </c>
      <c r="J114" s="5">
        <v>-7.7599000000000001E-2</v>
      </c>
      <c r="K114" s="5">
        <v>-3.7418E-2</v>
      </c>
    </row>
    <row r="115" spans="1:11" x14ac:dyDescent="0.2">
      <c r="A115" s="6">
        <f t="shared" si="3"/>
        <v>45723</v>
      </c>
      <c r="B115" s="5">
        <v>3.7544000000000001E-2</v>
      </c>
      <c r="C115" s="5">
        <v>6.1850000000000004E-3</v>
      </c>
      <c r="D115" s="5">
        <v>-1.7902000000000001E-2</v>
      </c>
      <c r="E115" s="5">
        <v>2.664E-2</v>
      </c>
      <c r="F115" s="5">
        <v>-1.107E-2</v>
      </c>
      <c r="G115" s="5">
        <v>1.7730000000000001E-3</v>
      </c>
      <c r="H115" s="5">
        <v>6.3152E-2</v>
      </c>
      <c r="I115" s="5">
        <v>-2.0722999999999998E-2</v>
      </c>
      <c r="J115" s="5">
        <v>4.1117000000000001E-2</v>
      </c>
      <c r="K115" s="5">
        <v>7.2114999999999999E-2</v>
      </c>
    </row>
    <row r="116" spans="1:11" x14ac:dyDescent="0.2">
      <c r="A116" s="6">
        <f t="shared" si="3"/>
        <v>45730</v>
      </c>
      <c r="B116" s="5">
        <v>-1.2161999999999999E-2</v>
      </c>
      <c r="C116" s="5">
        <v>1.3179999999999999E-3</v>
      </c>
      <c r="D116" s="5">
        <v>-3.7060999999999997E-2</v>
      </c>
      <c r="E116" s="5">
        <v>-2.2238000000000001E-2</v>
      </c>
      <c r="F116" s="5">
        <v>-1.1140000000000001E-2</v>
      </c>
      <c r="G116" s="5">
        <v>8.0717999999999998E-2</v>
      </c>
      <c r="H116" s="5">
        <v>-2.9304E-2</v>
      </c>
      <c r="I116" s="5">
        <v>-4.1409000000000001E-2</v>
      </c>
      <c r="J116" s="5">
        <v>-3.6873999999999997E-2</v>
      </c>
      <c r="K116" s="5">
        <v>-1.5834000000000001E-2</v>
      </c>
    </row>
    <row r="117" spans="1:11" x14ac:dyDescent="0.2">
      <c r="A117" s="6">
        <f t="shared" si="3"/>
        <v>45737</v>
      </c>
      <c r="B117" s="5">
        <v>5.6689999999999997E-2</v>
      </c>
      <c r="C117" s="5">
        <v>4.7147000000000001E-2</v>
      </c>
      <c r="D117" s="5">
        <v>0.11452</v>
      </c>
      <c r="E117" s="5">
        <v>5.5308000000000003E-2</v>
      </c>
      <c r="F117" s="5">
        <v>7.3161000000000004E-2</v>
      </c>
      <c r="G117" s="5">
        <v>4.4040000000000003E-2</v>
      </c>
      <c r="H117" s="5">
        <v>7.6924999999999993E-2</v>
      </c>
      <c r="I117" s="5">
        <v>-7.0809999999999996E-3</v>
      </c>
      <c r="J117" s="5">
        <v>5.7098999999999997E-2</v>
      </c>
      <c r="K117" s="5">
        <v>5.3001E-2</v>
      </c>
    </row>
    <row r="118" spans="1:11" x14ac:dyDescent="0.2">
      <c r="A118" s="6">
        <f t="shared" si="3"/>
        <v>45744</v>
      </c>
      <c r="B118" s="5">
        <v>-3.0377000000000001E-2</v>
      </c>
      <c r="C118" s="5">
        <v>-7.4617000000000003E-2</v>
      </c>
      <c r="D118" s="5">
        <v>6.8570000000000002E-3</v>
      </c>
      <c r="E118" s="5">
        <v>-2.9852E-2</v>
      </c>
      <c r="F118" s="5">
        <v>-3.2299000000000001E-2</v>
      </c>
      <c r="G118" s="5">
        <v>-3.2795999999999999E-2</v>
      </c>
      <c r="H118" s="5">
        <v>-2.8434000000000001E-2</v>
      </c>
      <c r="I118" s="5">
        <v>-5.7470000000000004E-3</v>
      </c>
      <c r="J118" s="5">
        <v>-6.4959000000000003E-2</v>
      </c>
      <c r="K118" s="5">
        <v>-5.1442000000000002E-2</v>
      </c>
    </row>
    <row r="119" spans="1:11" x14ac:dyDescent="0.2">
      <c r="A119" s="6">
        <f t="shared" si="3"/>
        <v>45751</v>
      </c>
      <c r="B119" s="5">
        <v>-2.8056000000000001E-2</v>
      </c>
      <c r="C119" s="5">
        <v>-2.9284999999999999E-2</v>
      </c>
      <c r="D119" s="5">
        <v>-4.3302E-2</v>
      </c>
      <c r="E119" s="5">
        <v>-2.8448000000000001E-2</v>
      </c>
      <c r="F119" s="5">
        <v>-4.5566000000000002E-2</v>
      </c>
      <c r="G119" s="5">
        <v>-4.2165000000000001E-2</v>
      </c>
      <c r="H119" s="5">
        <v>2.7983999999999998E-2</v>
      </c>
      <c r="I119" s="5">
        <v>-6.3566999999999999E-2</v>
      </c>
      <c r="J119" s="5">
        <v>5.1635E-2</v>
      </c>
      <c r="K119" s="5">
        <v>1.6289000000000001E-2</v>
      </c>
    </row>
    <row r="120" spans="1:11" x14ac:dyDescent="0.2">
      <c r="A120" s="6">
        <f t="shared" si="3"/>
        <v>45758</v>
      </c>
      <c r="B120" s="5">
        <v>3.0126E-2</v>
      </c>
      <c r="C120" s="5">
        <v>6.1948999999999997E-2</v>
      </c>
      <c r="D120" s="5">
        <v>-1.9219E-2</v>
      </c>
      <c r="E120" s="5">
        <v>-2.818E-2</v>
      </c>
      <c r="F120" s="5">
        <v>8.8699999999999998E-4</v>
      </c>
      <c r="G120" s="5">
        <v>1.6948999999999999E-2</v>
      </c>
      <c r="H120" s="5">
        <v>4.7260000000000002E-3</v>
      </c>
      <c r="I120" s="5">
        <v>2.4556000000000001E-2</v>
      </c>
      <c r="J120" s="5">
        <v>2.065E-3</v>
      </c>
      <c r="K120" s="5">
        <v>-6.3051999999999997E-2</v>
      </c>
    </row>
    <row r="121" spans="1:11" x14ac:dyDescent="0.2">
      <c r="A121" s="6">
        <f t="shared" si="3"/>
        <v>45765</v>
      </c>
      <c r="B121" s="5">
        <v>4.4980000000000003E-3</v>
      </c>
      <c r="C121" s="5">
        <v>-3.8772000000000001E-2</v>
      </c>
      <c r="D121" s="5">
        <v>-3.2306000000000001E-2</v>
      </c>
      <c r="E121" s="5">
        <v>-2.1264000000000002E-2</v>
      </c>
      <c r="F121" s="5">
        <v>-3.3968999999999999E-2</v>
      </c>
      <c r="G121" s="5">
        <v>-5.9494999999999999E-2</v>
      </c>
      <c r="H121" s="5">
        <v>-3.6701999999999999E-2</v>
      </c>
      <c r="I121" s="5">
        <v>2.3509999999999998E-3</v>
      </c>
      <c r="J121" s="5">
        <v>1.1823E-2</v>
      </c>
      <c r="K121" s="5">
        <v>7.7730000000000004E-3</v>
      </c>
    </row>
    <row r="122" spans="1:11" x14ac:dyDescent="0.2">
      <c r="A122" s="6">
        <f t="shared" si="3"/>
        <v>45772</v>
      </c>
      <c r="B122" s="5">
        <v>-4.7102999999999999E-2</v>
      </c>
      <c r="C122" s="5">
        <v>-3.9875000000000001E-2</v>
      </c>
      <c r="D122" s="5">
        <v>-4.6918000000000001E-2</v>
      </c>
      <c r="E122" s="5">
        <v>1.3457E-2</v>
      </c>
      <c r="F122" s="5">
        <v>-5.3355E-2</v>
      </c>
      <c r="G122" s="5">
        <v>1.8026E-2</v>
      </c>
      <c r="H122" s="5">
        <v>-7.659E-3</v>
      </c>
      <c r="I122" s="5">
        <v>-4.5099E-2</v>
      </c>
      <c r="J122" s="5">
        <v>3.0542E-2</v>
      </c>
      <c r="K122" s="5">
        <v>4.2381000000000002E-2</v>
      </c>
    </row>
    <row r="123" spans="1:11" x14ac:dyDescent="0.2">
      <c r="A123" s="6">
        <f t="shared" si="3"/>
        <v>45779</v>
      </c>
      <c r="B123" s="5">
        <v>-1.9438E-2</v>
      </c>
      <c r="C123" s="5">
        <v>1.95E-4</v>
      </c>
      <c r="D123" s="5">
        <v>-2.5579999999999999E-2</v>
      </c>
      <c r="E123" s="5">
        <v>-9.8309999999999995E-3</v>
      </c>
      <c r="F123" s="5">
        <v>-6.7390000000000002E-3</v>
      </c>
      <c r="G123" s="5">
        <v>-4.2297000000000001E-2</v>
      </c>
      <c r="H123" s="5">
        <v>2.0746000000000001E-2</v>
      </c>
      <c r="I123" s="5">
        <v>-4.7670000000000004E-3</v>
      </c>
      <c r="J123" s="5">
        <v>-2.5906999999999999E-2</v>
      </c>
      <c r="K123" s="5">
        <v>-6.1255999999999998E-2</v>
      </c>
    </row>
    <row r="124" spans="1:11" x14ac:dyDescent="0.2">
      <c r="A124" s="6">
        <f t="shared" si="3"/>
        <v>45786</v>
      </c>
      <c r="B124" s="5">
        <v>-1.8667E-2</v>
      </c>
      <c r="C124" s="5">
        <v>1.372E-2</v>
      </c>
      <c r="D124" s="5">
        <v>-5.2176E-2</v>
      </c>
      <c r="E124" s="5">
        <v>2.1047E-2</v>
      </c>
      <c r="F124" s="5">
        <v>9.3199999999999999E-4</v>
      </c>
      <c r="G124" s="5">
        <v>-2.0434000000000001E-2</v>
      </c>
      <c r="H124" s="5">
        <v>-3.8782999999999998E-2</v>
      </c>
      <c r="I124" s="5">
        <v>2.3071999999999999E-2</v>
      </c>
      <c r="J124" s="5">
        <v>5.7313000000000003E-2</v>
      </c>
      <c r="K124" s="5">
        <v>-5.4419999999999998E-3</v>
      </c>
    </row>
    <row r="125" spans="1:11" x14ac:dyDescent="0.2">
      <c r="A125" s="6">
        <f t="shared" si="3"/>
        <v>45793</v>
      </c>
      <c r="B125" s="5">
        <v>-6.5709999999999996E-3</v>
      </c>
      <c r="C125" s="5">
        <v>-6.4485000000000001E-2</v>
      </c>
      <c r="D125" s="5">
        <v>1.1405E-2</v>
      </c>
      <c r="E125" s="5">
        <v>-3.3246999999999999E-2</v>
      </c>
      <c r="F125" s="5">
        <v>4.4660000000000004E-3</v>
      </c>
      <c r="G125" s="5">
        <v>-7.0012000000000005E-2</v>
      </c>
      <c r="H125" s="5">
        <v>2.166E-3</v>
      </c>
      <c r="I125" s="5">
        <v>-2.0535999999999999E-2</v>
      </c>
      <c r="J125" s="5">
        <v>4.1599999999999996E-3</v>
      </c>
      <c r="K125" s="5">
        <v>-5.0858E-2</v>
      </c>
    </row>
    <row r="126" spans="1:11" x14ac:dyDescent="0.2">
      <c r="A126" s="6">
        <f t="shared" si="3"/>
        <v>45800</v>
      </c>
      <c r="B126" s="5">
        <v>-1.5620999999999999E-2</v>
      </c>
      <c r="C126" s="5">
        <v>5.5936E-2</v>
      </c>
      <c r="D126" s="5">
        <v>-3.4229000000000002E-2</v>
      </c>
      <c r="E126" s="5">
        <v>-3.2086999999999997E-2</v>
      </c>
      <c r="F126" s="5">
        <v>-1.4026E-2</v>
      </c>
      <c r="G126" s="5">
        <v>-4.6390000000000001E-2</v>
      </c>
      <c r="H126" s="5">
        <v>3.1199000000000001E-2</v>
      </c>
      <c r="I126" s="5">
        <v>8.7954000000000004E-2</v>
      </c>
      <c r="J126" s="5">
        <v>-4.0099999999999997E-2</v>
      </c>
      <c r="K126" s="5">
        <v>-7.0832000000000006E-2</v>
      </c>
    </row>
    <row r="127" spans="1:11" x14ac:dyDescent="0.2">
      <c r="A127" s="6">
        <f t="shared" si="3"/>
        <v>45807</v>
      </c>
      <c r="B127" s="5">
        <v>1.3403999999999999E-2</v>
      </c>
      <c r="C127" s="5">
        <v>5.3810000000000004E-3</v>
      </c>
      <c r="D127" s="5">
        <v>1.1587E-2</v>
      </c>
      <c r="E127" s="5">
        <v>2.297E-3</v>
      </c>
      <c r="F127" s="5">
        <v>-3.3924000000000003E-2</v>
      </c>
      <c r="G127" s="5">
        <v>-7.515E-3</v>
      </c>
      <c r="H127" s="5">
        <v>-7.9988000000000004E-2</v>
      </c>
      <c r="I127" s="5">
        <v>-0.101559</v>
      </c>
      <c r="J127" s="5">
        <v>-2.5200000000000001E-3</v>
      </c>
      <c r="K127" s="5">
        <v>-5.0236000000000003E-2</v>
      </c>
    </row>
    <row r="128" spans="1:11" x14ac:dyDescent="0.2">
      <c r="A128" s="6">
        <f t="shared" si="3"/>
        <v>45814</v>
      </c>
      <c r="B128" s="5">
        <v>7.9765000000000003E-2</v>
      </c>
      <c r="C128" s="5">
        <v>1.5342E-2</v>
      </c>
      <c r="D128" s="5">
        <v>4.6299999999999998E-4</v>
      </c>
      <c r="E128" s="5">
        <v>3.4896000000000003E-2</v>
      </c>
      <c r="F128" s="5">
        <v>6.0967E-2</v>
      </c>
      <c r="G128" s="5">
        <v>6.6354999999999997E-2</v>
      </c>
      <c r="H128" s="5">
        <v>-4.9713E-2</v>
      </c>
      <c r="I128" s="5">
        <v>-1.0433E-2</v>
      </c>
      <c r="J128" s="5">
        <v>3.9366999999999999E-2</v>
      </c>
      <c r="K128" s="5">
        <v>-1.0413E-2</v>
      </c>
    </row>
    <row r="129" spans="1:11" x14ac:dyDescent="0.2">
      <c r="A129" s="6">
        <f t="shared" si="3"/>
        <v>45821</v>
      </c>
      <c r="B129" s="5">
        <v>-5.5370000000000003E-3</v>
      </c>
      <c r="C129" s="5">
        <v>4.3395999999999997E-2</v>
      </c>
      <c r="D129" s="5">
        <v>1.5240999999999999E-2</v>
      </c>
      <c r="E129" s="5">
        <v>-1.8849999999999999E-2</v>
      </c>
      <c r="F129" s="5">
        <v>5.1E-5</v>
      </c>
      <c r="G129" s="5">
        <v>-2.9437999999999999E-2</v>
      </c>
      <c r="H129" s="5">
        <v>3.1896000000000001E-2</v>
      </c>
      <c r="I129" s="5">
        <v>4.6360999999999999E-2</v>
      </c>
      <c r="J129" s="5">
        <v>5.5541E-2</v>
      </c>
      <c r="K129" s="5">
        <v>3.3110000000000001E-2</v>
      </c>
    </row>
    <row r="130" spans="1:11" x14ac:dyDescent="0.2">
      <c r="A130" s="6">
        <f t="shared" si="3"/>
        <v>45828</v>
      </c>
      <c r="B130" s="5">
        <v>-1.4994E-2</v>
      </c>
      <c r="C130" s="5">
        <v>2.4625999999999999E-2</v>
      </c>
      <c r="D130" s="5">
        <v>4.5566000000000002E-2</v>
      </c>
      <c r="E130" s="5">
        <v>-2.5850000000000001E-3</v>
      </c>
      <c r="F130" s="5">
        <v>3.3246999999999999E-2</v>
      </c>
      <c r="G130" s="5">
        <v>2.6794999999999999E-2</v>
      </c>
      <c r="H130" s="5">
        <v>-6.8852999999999998E-2</v>
      </c>
      <c r="I130" s="5">
        <v>1.2382000000000001E-2</v>
      </c>
      <c r="J130" s="5">
        <v>-8.7925000000000003E-2</v>
      </c>
      <c r="K130" s="5">
        <v>-9.7557000000000005E-2</v>
      </c>
    </row>
    <row r="131" spans="1:11" x14ac:dyDescent="0.2">
      <c r="A131" s="6">
        <f t="shared" ref="A131:A157" si="4">A130+7</f>
        <v>45835</v>
      </c>
      <c r="B131" s="5">
        <v>2.0490999999999999E-2</v>
      </c>
      <c r="C131" s="5">
        <v>-1.4622E-2</v>
      </c>
      <c r="D131" s="5">
        <v>-1.8377999999999999E-2</v>
      </c>
      <c r="E131" s="5">
        <v>-4.1452000000000003E-2</v>
      </c>
      <c r="F131" s="5">
        <v>-3.7353999999999998E-2</v>
      </c>
      <c r="G131" s="5">
        <v>-6.4850000000000005E-2</v>
      </c>
      <c r="H131" s="5">
        <v>-6.0800000000000003E-4</v>
      </c>
      <c r="I131" s="5">
        <v>4.6225000000000002E-2</v>
      </c>
      <c r="J131" s="5">
        <v>-7.7354999999999993E-2</v>
      </c>
      <c r="K131" s="5">
        <v>2.0027E-2</v>
      </c>
    </row>
    <row r="132" spans="1:11" x14ac:dyDescent="0.2">
      <c r="A132" s="6">
        <f t="shared" si="4"/>
        <v>45842</v>
      </c>
      <c r="B132" s="5">
        <v>-3.2722000000000001E-2</v>
      </c>
      <c r="C132" s="5">
        <v>-3.4004E-2</v>
      </c>
      <c r="D132" s="5">
        <v>2.7622000000000001E-2</v>
      </c>
      <c r="E132" s="5">
        <v>2.0049000000000001E-2</v>
      </c>
      <c r="F132" s="5">
        <v>-2.2613000000000001E-2</v>
      </c>
      <c r="G132" s="5">
        <v>7.6162999999999995E-2</v>
      </c>
      <c r="H132" s="5">
        <v>-2.3366999999999999E-2</v>
      </c>
      <c r="I132" s="5">
        <v>-1.6799999999999999E-2</v>
      </c>
      <c r="J132" s="5">
        <v>2.4431000000000001E-2</v>
      </c>
      <c r="K132" s="5">
        <v>6.3045000000000004E-2</v>
      </c>
    </row>
    <row r="133" spans="1:11" x14ac:dyDescent="0.2">
      <c r="A133" s="6">
        <f t="shared" si="4"/>
        <v>45849</v>
      </c>
      <c r="B133" s="5">
        <v>2.1076000000000001E-2</v>
      </c>
      <c r="C133" s="5">
        <v>4.9403000000000002E-2</v>
      </c>
      <c r="D133" s="5">
        <v>5.2420000000000001E-3</v>
      </c>
      <c r="E133" s="5">
        <v>4.8405999999999998E-2</v>
      </c>
      <c r="F133" s="5">
        <v>1.6327999999999999E-2</v>
      </c>
      <c r="G133" s="5">
        <v>3.9123999999999999E-2</v>
      </c>
      <c r="H133" s="5">
        <v>6.3313999999999995E-2</v>
      </c>
      <c r="I133" s="5">
        <v>1.1061E-2</v>
      </c>
      <c r="J133" s="5">
        <v>8.6650000000000008E-3</v>
      </c>
      <c r="K133" s="5">
        <v>8.8368000000000002E-2</v>
      </c>
    </row>
    <row r="134" spans="1:11" x14ac:dyDescent="0.2">
      <c r="A134" s="6">
        <f t="shared" si="4"/>
        <v>45856</v>
      </c>
      <c r="B134" s="5">
        <v>9.4299999999999991E-3</v>
      </c>
      <c r="C134" s="5">
        <v>-2.1687999999999999E-2</v>
      </c>
      <c r="D134" s="5">
        <v>3.1793000000000002E-2</v>
      </c>
      <c r="E134" s="5">
        <v>-3.8739999999999998E-3</v>
      </c>
      <c r="F134" s="5">
        <v>3.2291E-2</v>
      </c>
      <c r="G134" s="5">
        <v>5.1013999999999997E-2</v>
      </c>
      <c r="H134" s="5">
        <v>-7.2610000000000001E-3</v>
      </c>
      <c r="I134" s="5">
        <v>-3.7694999999999999E-2</v>
      </c>
      <c r="J134" s="5">
        <v>2.7161000000000001E-2</v>
      </c>
      <c r="K134" s="5">
        <v>1.9445E-2</v>
      </c>
    </row>
    <row r="135" spans="1:11" x14ac:dyDescent="0.2">
      <c r="A135" s="6">
        <f t="shared" si="4"/>
        <v>45863</v>
      </c>
      <c r="B135" s="5">
        <v>-3.8143000000000003E-2</v>
      </c>
      <c r="C135" s="5">
        <v>2.8699999999999998E-4</v>
      </c>
      <c r="D135" s="5">
        <v>-8.2181000000000004E-2</v>
      </c>
      <c r="E135" s="5">
        <v>-1.3696E-2</v>
      </c>
      <c r="F135" s="5">
        <v>-1.8703000000000001E-2</v>
      </c>
      <c r="G135" s="5">
        <v>-2.3949999999999999E-2</v>
      </c>
      <c r="H135" s="5">
        <v>7.3220000000000004E-3</v>
      </c>
      <c r="I135" s="5">
        <v>-5.9854999999999998E-2</v>
      </c>
      <c r="J135" s="5">
        <v>2.1995000000000001E-2</v>
      </c>
      <c r="K135" s="5">
        <v>-8.3890000000000006E-3</v>
      </c>
    </row>
    <row r="136" spans="1:11" x14ac:dyDescent="0.2">
      <c r="A136" s="6">
        <f t="shared" si="4"/>
        <v>45870</v>
      </c>
      <c r="B136" s="5">
        <v>-4.4287E-2</v>
      </c>
      <c r="C136" s="5">
        <v>-5.9437999999999998E-2</v>
      </c>
      <c r="D136" s="5">
        <v>-6.3264000000000001E-2</v>
      </c>
      <c r="E136" s="5">
        <v>4.06E-4</v>
      </c>
      <c r="F136" s="5">
        <v>-3.943E-2</v>
      </c>
      <c r="G136" s="5">
        <v>-2.5357999999999999E-2</v>
      </c>
      <c r="H136" s="5">
        <v>2.8118000000000001E-2</v>
      </c>
      <c r="I136" s="5">
        <v>2.3192999999999998E-2</v>
      </c>
      <c r="J136" s="5">
        <v>5.8861999999999998E-2</v>
      </c>
      <c r="K136" s="5">
        <v>-1.2923E-2</v>
      </c>
    </row>
    <row r="137" spans="1:11" x14ac:dyDescent="0.2">
      <c r="A137" s="6">
        <f t="shared" si="4"/>
        <v>45877</v>
      </c>
      <c r="B137" s="5">
        <v>-4.0922E-2</v>
      </c>
      <c r="C137" s="5">
        <v>8.2649999999999998E-3</v>
      </c>
      <c r="D137" s="5">
        <v>-8.0160000000000006E-3</v>
      </c>
      <c r="E137" s="5">
        <v>-8.319E-3</v>
      </c>
      <c r="F137" s="5">
        <v>-2.0181000000000001E-2</v>
      </c>
      <c r="G137" s="5">
        <v>2.7161000000000001E-2</v>
      </c>
      <c r="H137" s="5">
        <v>-1.0201999999999999E-2</v>
      </c>
      <c r="I137" s="5">
        <v>4.666E-3</v>
      </c>
      <c r="J137" s="5">
        <v>-2.5658E-2</v>
      </c>
      <c r="K137" s="5">
        <v>-2.29E-2</v>
      </c>
    </row>
    <row r="138" spans="1:11" x14ac:dyDescent="0.2">
      <c r="A138" s="6">
        <f t="shared" si="4"/>
        <v>45884</v>
      </c>
      <c r="B138" s="5">
        <v>-3.1587999999999998E-2</v>
      </c>
      <c r="C138" s="5">
        <v>-3.0827E-2</v>
      </c>
      <c r="D138" s="5">
        <v>-1.7000000000000001E-4</v>
      </c>
      <c r="E138" s="5">
        <v>-3.7310999999999997E-2</v>
      </c>
      <c r="F138" s="5">
        <v>1.588E-3</v>
      </c>
      <c r="G138" s="5">
        <v>-4.3034999999999997E-2</v>
      </c>
      <c r="H138" s="5">
        <v>7.6689999999999996E-3</v>
      </c>
      <c r="I138" s="5">
        <v>-3.2903000000000002E-2</v>
      </c>
      <c r="J138" s="5">
        <v>-2.7571999999999999E-2</v>
      </c>
      <c r="K138" s="5">
        <v>4.1820999999999997E-2</v>
      </c>
    </row>
    <row r="139" spans="1:11" x14ac:dyDescent="0.2">
      <c r="A139" s="6">
        <f t="shared" si="4"/>
        <v>45891</v>
      </c>
      <c r="B139" s="5">
        <v>-2.9707999999999998E-2</v>
      </c>
      <c r="C139" s="5">
        <v>-4.7690999999999997E-2</v>
      </c>
      <c r="D139" s="5">
        <v>-4.7625000000000001E-2</v>
      </c>
      <c r="E139" s="5">
        <v>-3.0256999999999999E-2</v>
      </c>
      <c r="F139" s="5">
        <v>1.9498000000000001E-2</v>
      </c>
      <c r="G139" s="5">
        <v>-2.8118000000000001E-2</v>
      </c>
      <c r="H139" s="5">
        <v>1.8901999999999999E-2</v>
      </c>
      <c r="I139" s="5">
        <v>-4.3104999999999997E-2</v>
      </c>
      <c r="J139" s="5">
        <v>-7.8600000000000002E-4</v>
      </c>
      <c r="K139" s="5">
        <v>3.2669999999999999E-3</v>
      </c>
    </row>
    <row r="140" spans="1:11" x14ac:dyDescent="0.2">
      <c r="A140" s="6">
        <f t="shared" si="4"/>
        <v>45898</v>
      </c>
      <c r="B140" s="5">
        <v>8.0776000000000001E-2</v>
      </c>
      <c r="C140" s="5">
        <v>1.6150000000000001E-2</v>
      </c>
      <c r="D140" s="5">
        <v>5.7363999999999998E-2</v>
      </c>
      <c r="E140" s="5">
        <v>4.2576000000000003E-2</v>
      </c>
      <c r="F140" s="5">
        <v>1.6685999999999999E-2</v>
      </c>
      <c r="G140" s="5">
        <v>4.5992999999999999E-2</v>
      </c>
      <c r="H140" s="5">
        <v>1.6764000000000001E-2</v>
      </c>
      <c r="I140" s="5">
        <v>-8.0382999999999996E-2</v>
      </c>
      <c r="J140" s="5">
        <v>4.7990999999999999E-2</v>
      </c>
      <c r="K140" s="5">
        <v>4.9215000000000002E-2</v>
      </c>
    </row>
    <row r="141" spans="1:11" x14ac:dyDescent="0.2">
      <c r="A141" s="6">
        <f t="shared" si="4"/>
        <v>45905</v>
      </c>
      <c r="B141" s="5">
        <v>-8.234E-3</v>
      </c>
      <c r="C141" s="5">
        <v>-3.2554E-2</v>
      </c>
      <c r="D141" s="5">
        <v>5.3234999999999998E-2</v>
      </c>
      <c r="E141" s="5">
        <v>4.385E-3</v>
      </c>
      <c r="F141" s="5">
        <v>2.3028E-2</v>
      </c>
      <c r="G141" s="5">
        <v>5.9003E-2</v>
      </c>
      <c r="H141" s="5">
        <v>-2.9448999999999999E-2</v>
      </c>
      <c r="I141" s="5">
        <v>1.6872999999999999E-2</v>
      </c>
      <c r="J141" s="5">
        <v>-2.1347999999999999E-2</v>
      </c>
      <c r="K141" s="5">
        <v>-8.5500000000000003E-3</v>
      </c>
    </row>
    <row r="142" spans="1:11" x14ac:dyDescent="0.2">
      <c r="A142" s="6">
        <f t="shared" si="4"/>
        <v>45912</v>
      </c>
      <c r="B142" s="5">
        <v>-2.0240000000000002E-3</v>
      </c>
      <c r="C142" s="5">
        <v>2.5469999999999998E-3</v>
      </c>
      <c r="D142" s="5">
        <v>3.6373000000000003E-2</v>
      </c>
      <c r="E142" s="5">
        <v>-4.9569999999999996E-3</v>
      </c>
      <c r="F142" s="5">
        <v>-6.881E-3</v>
      </c>
      <c r="G142" s="5">
        <v>-1.7144E-2</v>
      </c>
      <c r="H142" s="5">
        <v>1.1076000000000001E-2</v>
      </c>
      <c r="I142" s="5">
        <v>-2.6622E-2</v>
      </c>
      <c r="J142" s="5">
        <v>-2.1843999999999999E-2</v>
      </c>
      <c r="K142" s="5">
        <v>-6.94E-3</v>
      </c>
    </row>
    <row r="143" spans="1:11" x14ac:dyDescent="0.2">
      <c r="A143" s="6">
        <f t="shared" si="4"/>
        <v>45919</v>
      </c>
      <c r="B143" s="5">
        <v>-3.3985000000000001E-2</v>
      </c>
      <c r="C143" s="5">
        <v>-2.3113999999999999E-2</v>
      </c>
      <c r="D143" s="5">
        <v>-4.1445000000000003E-2</v>
      </c>
      <c r="E143" s="5">
        <v>1.9897999999999999E-2</v>
      </c>
      <c r="F143" s="5">
        <v>6.5839999999999996E-3</v>
      </c>
      <c r="G143" s="5">
        <v>-4.4089999999999997E-3</v>
      </c>
      <c r="H143" s="5">
        <v>-2.4150000000000001E-2</v>
      </c>
      <c r="I143" s="5">
        <v>7.0467000000000002E-2</v>
      </c>
      <c r="J143" s="5">
        <v>-1.1514999999999999E-2</v>
      </c>
      <c r="K143" s="5">
        <v>-2.4716999999999999E-2</v>
      </c>
    </row>
    <row r="144" spans="1:11" x14ac:dyDescent="0.2">
      <c r="A144" s="6">
        <f t="shared" si="4"/>
        <v>45926</v>
      </c>
      <c r="B144" s="5">
        <v>2.6863000000000001E-2</v>
      </c>
      <c r="C144" s="5">
        <v>2.3195E-2</v>
      </c>
      <c r="D144" s="5">
        <v>7.1245000000000003E-2</v>
      </c>
      <c r="E144" s="5">
        <v>2.8660000000000001E-2</v>
      </c>
      <c r="F144" s="5">
        <v>6.6836999999999994E-2</v>
      </c>
      <c r="G144" s="5">
        <v>1.8940000000000001E-3</v>
      </c>
      <c r="H144" s="5">
        <v>3.9948999999999998E-2</v>
      </c>
      <c r="I144" s="5">
        <v>-3.8004999999999997E-2</v>
      </c>
      <c r="J144" s="5">
        <v>8.8204000000000005E-2</v>
      </c>
      <c r="K144" s="5">
        <v>1.5304E-2</v>
      </c>
    </row>
    <row r="145" spans="1:11" x14ac:dyDescent="0.2">
      <c r="A145" s="6">
        <f t="shared" si="4"/>
        <v>45933</v>
      </c>
      <c r="B145" s="5">
        <v>-4.6314000000000001E-2</v>
      </c>
      <c r="C145" s="5">
        <v>-1.8711999999999999E-2</v>
      </c>
      <c r="D145" s="5">
        <v>1.408E-3</v>
      </c>
      <c r="E145" s="5">
        <v>-5.6571999999999997E-2</v>
      </c>
      <c r="F145" s="5">
        <v>-4.8918999999999997E-2</v>
      </c>
      <c r="G145" s="5">
        <v>-0.101623</v>
      </c>
      <c r="H145" s="5">
        <v>-1.5299E-2</v>
      </c>
      <c r="I145" s="5">
        <v>-2.4348999999999999E-2</v>
      </c>
      <c r="J145" s="5">
        <v>-2.9260999999999999E-2</v>
      </c>
      <c r="K145" s="5">
        <v>-4.8633000000000003E-2</v>
      </c>
    </row>
    <row r="146" spans="1:11" x14ac:dyDescent="0.2">
      <c r="A146" s="6">
        <f t="shared" si="4"/>
        <v>45940</v>
      </c>
      <c r="B146" s="5">
        <v>-3.1650999999999999E-2</v>
      </c>
      <c r="C146" s="5">
        <v>-4.1668999999999998E-2</v>
      </c>
      <c r="D146" s="5">
        <v>-9.5940000000000001E-3</v>
      </c>
      <c r="E146" s="5">
        <v>-1.2385E-2</v>
      </c>
      <c r="F146" s="5">
        <v>-6.9047999999999998E-2</v>
      </c>
      <c r="G146" s="5">
        <v>-2.257E-2</v>
      </c>
      <c r="H146" s="5">
        <v>-6.2940999999999997E-2</v>
      </c>
      <c r="I146" s="5">
        <v>-1.5855000000000001E-2</v>
      </c>
      <c r="J146" s="5">
        <v>-9.1727000000000003E-2</v>
      </c>
      <c r="K146" s="5">
        <v>-5.3669000000000001E-2</v>
      </c>
    </row>
    <row r="147" spans="1:11" x14ac:dyDescent="0.2">
      <c r="A147" s="6">
        <f t="shared" si="4"/>
        <v>45947</v>
      </c>
      <c r="B147" s="5">
        <v>-6.7111000000000004E-2</v>
      </c>
      <c r="C147" s="5">
        <v>-2.7737999999999999E-2</v>
      </c>
      <c r="D147" s="5">
        <v>-3.0608E-2</v>
      </c>
      <c r="E147" s="5">
        <v>-1.9685999999999999E-2</v>
      </c>
      <c r="F147" s="5">
        <v>-2.2901000000000001E-2</v>
      </c>
      <c r="G147" s="5">
        <v>-3.7760000000000002E-2</v>
      </c>
      <c r="H147" s="5">
        <v>-7.3709999999999998E-2</v>
      </c>
      <c r="I147" s="5">
        <v>-2.5461999999999999E-2</v>
      </c>
      <c r="J147" s="5">
        <v>-2.813E-3</v>
      </c>
      <c r="K147" s="5">
        <v>-2.1770000000000001E-2</v>
      </c>
    </row>
    <row r="148" spans="1:11" x14ac:dyDescent="0.2">
      <c r="A148" s="6">
        <f t="shared" si="4"/>
        <v>45954</v>
      </c>
      <c r="B148" s="5">
        <v>-5.509E-3</v>
      </c>
      <c r="C148" s="5">
        <v>1.5690000000000001E-3</v>
      </c>
      <c r="D148" s="5">
        <v>-6.5493999999999997E-2</v>
      </c>
      <c r="E148" s="5">
        <v>-3.6832999999999998E-2</v>
      </c>
      <c r="F148" s="5">
        <v>4.0509999999999999E-3</v>
      </c>
      <c r="G148" s="5">
        <v>8.4220000000000007E-3</v>
      </c>
      <c r="H148" s="5">
        <v>-3.4390999999999998E-2</v>
      </c>
      <c r="I148" s="5">
        <v>-6.318E-2</v>
      </c>
      <c r="J148" s="5">
        <v>-3.1337999999999998E-2</v>
      </c>
      <c r="K148" s="5">
        <v>-3.1890000000000002E-2</v>
      </c>
    </row>
    <row r="149" spans="1:11" x14ac:dyDescent="0.2">
      <c r="A149" s="6">
        <f t="shared" si="4"/>
        <v>45961</v>
      </c>
      <c r="B149" s="5">
        <v>-5.9622000000000001E-2</v>
      </c>
      <c r="C149" s="5">
        <v>-1.5911999999999999E-2</v>
      </c>
      <c r="D149" s="5">
        <v>-6.3344999999999999E-2</v>
      </c>
      <c r="E149" s="5">
        <v>-3.9312E-2</v>
      </c>
      <c r="F149" s="5">
        <v>-6.3299999999999999E-4</v>
      </c>
      <c r="G149" s="5">
        <v>-5.2315E-2</v>
      </c>
      <c r="H149" s="5">
        <v>-5.1130000000000004E-3</v>
      </c>
      <c r="I149" s="5">
        <v>2.5891000000000001E-2</v>
      </c>
      <c r="J149" s="5">
        <v>2.6284999999999999E-2</v>
      </c>
      <c r="K149" s="5">
        <v>-1.9880999999999999E-2</v>
      </c>
    </row>
    <row r="150" spans="1:11" x14ac:dyDescent="0.2">
      <c r="A150" s="6">
        <f t="shared" si="4"/>
        <v>45968</v>
      </c>
      <c r="B150" s="5">
        <v>-4.8560000000000001E-3</v>
      </c>
      <c r="C150" s="5">
        <v>-2.6776999999999999E-2</v>
      </c>
      <c r="D150" s="5">
        <v>6.3858999999999999E-2</v>
      </c>
      <c r="E150" s="5">
        <v>3.9711000000000003E-2</v>
      </c>
      <c r="F150" s="5">
        <v>-1.4843E-2</v>
      </c>
      <c r="G150" s="5">
        <v>2.9450000000000001E-3</v>
      </c>
      <c r="H150" s="5">
        <v>4.3450000000000003E-2</v>
      </c>
      <c r="I150" s="5">
        <v>1.2806E-2</v>
      </c>
      <c r="J150" s="5">
        <v>0.100576</v>
      </c>
      <c r="K150" s="5">
        <v>7.2885000000000005E-2</v>
      </c>
    </row>
    <row r="151" spans="1:11" x14ac:dyDescent="0.2">
      <c r="A151" s="6">
        <f t="shared" si="4"/>
        <v>45975</v>
      </c>
      <c r="B151" s="5">
        <v>-4.8194000000000001E-2</v>
      </c>
      <c r="C151" s="5">
        <v>-2.912E-2</v>
      </c>
      <c r="D151" s="5">
        <v>-8.4691000000000002E-2</v>
      </c>
      <c r="E151" s="5">
        <v>-4.6746999999999997E-2</v>
      </c>
      <c r="F151" s="5">
        <v>-4.1172E-2</v>
      </c>
      <c r="G151" s="5">
        <v>2.7390999999999999E-2</v>
      </c>
      <c r="H151" s="5">
        <v>-2.3889000000000001E-2</v>
      </c>
      <c r="I151" s="5">
        <v>-8.7156999999999998E-2</v>
      </c>
      <c r="J151" s="5">
        <v>-6.2184999999999997E-2</v>
      </c>
      <c r="K151" s="5">
        <v>-4.0321000000000003E-2</v>
      </c>
    </row>
    <row r="152" spans="1:11" x14ac:dyDescent="0.2">
      <c r="A152" s="6">
        <f t="shared" si="4"/>
        <v>45982</v>
      </c>
      <c r="B152" s="5">
        <v>-2.1961999999999999E-2</v>
      </c>
      <c r="C152" s="5">
        <v>-1.1426E-2</v>
      </c>
      <c r="D152" s="5">
        <v>-4.5960000000000003E-3</v>
      </c>
      <c r="E152" s="5">
        <v>1.2104999999999999E-2</v>
      </c>
      <c r="F152" s="5">
        <v>4.3210000000000002E-3</v>
      </c>
      <c r="G152" s="5">
        <v>-1.9146E-2</v>
      </c>
      <c r="H152" s="5">
        <v>2.8593E-2</v>
      </c>
      <c r="I152" s="5">
        <v>-1.5980999999999999E-2</v>
      </c>
      <c r="J152" s="5">
        <v>-1.5054E-2</v>
      </c>
      <c r="K152" s="5">
        <v>-4.0423000000000001E-2</v>
      </c>
    </row>
    <row r="153" spans="1:11" x14ac:dyDescent="0.2">
      <c r="A153" s="6">
        <f t="shared" si="4"/>
        <v>45989</v>
      </c>
      <c r="B153" s="5">
        <v>-2.367E-2</v>
      </c>
      <c r="C153" s="5">
        <v>2.0348999999999999E-2</v>
      </c>
      <c r="D153" s="5">
        <v>-6.2197000000000002E-2</v>
      </c>
      <c r="E153" s="5">
        <v>-9.8289999999999992E-3</v>
      </c>
      <c r="F153" s="5">
        <v>5.6150000000000002E-3</v>
      </c>
      <c r="G153" s="5">
        <v>-4.4014999999999999E-2</v>
      </c>
      <c r="H153" s="5">
        <v>2.8513E-2</v>
      </c>
      <c r="I153" s="5">
        <v>-5.4689999999999999E-3</v>
      </c>
      <c r="J153" s="5">
        <v>6.0276000000000003E-2</v>
      </c>
      <c r="K153" s="5">
        <v>3.8636999999999998E-2</v>
      </c>
    </row>
    <row r="154" spans="1:11" x14ac:dyDescent="0.2">
      <c r="A154" s="6">
        <f t="shared" si="4"/>
        <v>45996</v>
      </c>
      <c r="B154" s="5">
        <v>-4.3095000000000001E-2</v>
      </c>
      <c r="C154" s="5">
        <v>-9.1493000000000005E-2</v>
      </c>
      <c r="D154" s="5">
        <v>-7.5202000000000005E-2</v>
      </c>
      <c r="E154" s="5">
        <v>6.1809999999999999E-3</v>
      </c>
      <c r="F154" s="5">
        <v>2.72E-4</v>
      </c>
      <c r="G154" s="5">
        <v>-3.0398000000000001E-2</v>
      </c>
      <c r="H154" s="5">
        <v>1.9961E-2</v>
      </c>
      <c r="I154" s="5">
        <v>-7.5342000000000006E-2</v>
      </c>
      <c r="J154" s="5">
        <v>-9.1269999999999997E-3</v>
      </c>
      <c r="K154" s="5">
        <v>-1.1226E-2</v>
      </c>
    </row>
    <row r="155" spans="1:11" x14ac:dyDescent="0.2">
      <c r="A155" s="6">
        <f t="shared" si="4"/>
        <v>46003</v>
      </c>
      <c r="B155" s="5">
        <v>1.8890000000000001E-2</v>
      </c>
      <c r="C155" s="5">
        <v>-2.2511E-2</v>
      </c>
      <c r="D155" s="5">
        <v>4.2539E-2</v>
      </c>
      <c r="E155" s="5">
        <v>4.2457000000000002E-2</v>
      </c>
      <c r="F155" s="5">
        <v>-1.3735000000000001E-2</v>
      </c>
      <c r="G155" s="5">
        <v>-4.8930000000000001E-2</v>
      </c>
      <c r="H155" s="5">
        <v>4.1817E-2</v>
      </c>
      <c r="I155" s="5">
        <v>6.9369999999999996E-3</v>
      </c>
      <c r="J155" s="5">
        <v>-5.1796000000000002E-2</v>
      </c>
      <c r="K155" s="5">
        <v>4.8704999999999998E-2</v>
      </c>
    </row>
    <row r="156" spans="1:11" x14ac:dyDescent="0.2">
      <c r="A156" s="6">
        <f t="shared" si="4"/>
        <v>46010</v>
      </c>
      <c r="B156" s="5">
        <v>-6.8929999999999998E-3</v>
      </c>
      <c r="C156" s="5">
        <v>-2.5668E-2</v>
      </c>
      <c r="D156" s="5">
        <v>5.6254999999999999E-2</v>
      </c>
      <c r="E156" s="5">
        <v>-3.1231999999999999E-2</v>
      </c>
      <c r="F156" s="5">
        <v>-3.4112999999999997E-2</v>
      </c>
      <c r="G156" s="5">
        <v>3.1E-4</v>
      </c>
      <c r="H156" s="5">
        <v>-7.8035999999999994E-2</v>
      </c>
      <c r="I156" s="5">
        <v>-6.6217999999999999E-2</v>
      </c>
      <c r="J156" s="5">
        <v>-4.0530999999999998E-2</v>
      </c>
      <c r="K156" s="5">
        <v>-5.9792999999999999E-2</v>
      </c>
    </row>
    <row r="157" spans="1:11" x14ac:dyDescent="0.2">
      <c r="A157" s="6">
        <f t="shared" si="4"/>
        <v>46017</v>
      </c>
      <c r="B157" s="5">
        <v>-7.9160999999999995E-2</v>
      </c>
      <c r="C157" s="5">
        <v>-2.4843E-2</v>
      </c>
      <c r="D157" s="5">
        <v>-3.4988999999999999E-2</v>
      </c>
      <c r="E157" s="5">
        <v>-3.9033999999999999E-2</v>
      </c>
      <c r="F157" s="5">
        <v>-5.3601999999999997E-2</v>
      </c>
      <c r="G157" s="5">
        <v>-6.2386999999999998E-2</v>
      </c>
      <c r="H157" s="5">
        <v>2.3540000000000002E-3</v>
      </c>
      <c r="I157" s="5">
        <v>-4.6205999999999997E-2</v>
      </c>
      <c r="J157" s="5">
        <v>2.5604999999999999E-2</v>
      </c>
      <c r="K157" s="5">
        <v>-7.9479999999999995E-2</v>
      </c>
    </row>
    <row r="159" spans="1:11" x14ac:dyDescent="0.2">
      <c r="A159" s="7" t="s">
        <v>56</v>
      </c>
      <c r="B159" s="8">
        <f t="shared" ref="B159:K159" si="5">AVERAGE(B2:B157)*52</f>
        <v>-3.7985000000000047E-2</v>
      </c>
      <c r="C159" s="8">
        <f t="shared" si="5"/>
        <v>-0.41456933333333357</v>
      </c>
      <c r="D159" s="8">
        <f t="shared" si="5"/>
        <v>-0.2355193333333333</v>
      </c>
      <c r="E159" s="8">
        <f t="shared" si="5"/>
        <v>-2.6959333333333352E-2</v>
      </c>
      <c r="F159" s="8">
        <f t="shared" si="5"/>
        <v>-0.23734899999999989</v>
      </c>
      <c r="G159" s="8">
        <f t="shared" si="5"/>
        <v>-0.35732633333333341</v>
      </c>
      <c r="H159" s="8">
        <f t="shared" si="5"/>
        <v>-6.1310999999999991E-2</v>
      </c>
      <c r="I159" s="8">
        <f t="shared" si="5"/>
        <v>-0.39918233333333331</v>
      </c>
      <c r="J159" s="8">
        <f t="shared" si="5"/>
        <v>0.23378499999999999</v>
      </c>
      <c r="K159" s="8">
        <f t="shared" si="5"/>
        <v>-0.3235723333333333</v>
      </c>
    </row>
    <row r="160" spans="1:11" x14ac:dyDescent="0.2">
      <c r="A160" s="7" t="s">
        <v>57</v>
      </c>
      <c r="B160" s="8">
        <f t="shared" ref="B160:K160" si="6">_xlfn.STDEV.S(B2:B157)*SQRT(52)</f>
        <v>0.2716457924210936</v>
      </c>
      <c r="C160" s="8">
        <f t="shared" si="6"/>
        <v>0.24085866384902946</v>
      </c>
      <c r="D160" s="8">
        <f t="shared" si="6"/>
        <v>0.28306557832835427</v>
      </c>
      <c r="E160" s="8">
        <f t="shared" si="6"/>
        <v>0.22032804940783721</v>
      </c>
      <c r="F160" s="8">
        <f t="shared" si="6"/>
        <v>0.21863540363948375</v>
      </c>
      <c r="G160" s="8">
        <f t="shared" si="6"/>
        <v>0.30490388378812389</v>
      </c>
      <c r="H160" s="8">
        <f t="shared" si="6"/>
        <v>0.26812042331826885</v>
      </c>
      <c r="I160" s="8">
        <f t="shared" si="6"/>
        <v>0.38257867843120252</v>
      </c>
      <c r="J160" s="8">
        <f t="shared" si="6"/>
        <v>0.33490925990092768</v>
      </c>
      <c r="K160" s="8">
        <f t="shared" si="6"/>
        <v>0.27880681205862706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"/>
  <sheetViews>
    <sheetView workbookViewId="0"/>
  </sheetViews>
  <sheetFormatPr baseColWidth="10" defaultColWidth="8.83203125" defaultRowHeight="15" x14ac:dyDescent="0.2"/>
  <cols>
    <col min="1" max="1" width="14" customWidth="1"/>
    <col min="2" max="4" width="11" customWidth="1"/>
    <col min="5" max="6" width="8" customWidth="1"/>
  </cols>
  <sheetData>
    <row r="1" spans="1:4" x14ac:dyDescent="0.2">
      <c r="A1" s="3" t="s">
        <v>58</v>
      </c>
      <c r="B1" s="3" t="s">
        <v>59</v>
      </c>
      <c r="C1" s="3" t="s">
        <v>60</v>
      </c>
      <c r="D1" s="3" t="s">
        <v>61</v>
      </c>
    </row>
    <row r="2" spans="1:4" x14ac:dyDescent="0.2">
      <c r="A2" s="7" t="s">
        <v>46</v>
      </c>
      <c r="B2" s="9">
        <v>1</v>
      </c>
      <c r="C2" s="9">
        <v>0.32</v>
      </c>
      <c r="D2" s="9">
        <v>1.0900000000000001</v>
      </c>
    </row>
    <row r="3" spans="1:4" x14ac:dyDescent="0.2">
      <c r="A3" s="7" t="s">
        <v>47</v>
      </c>
      <c r="B3" s="9">
        <v>1</v>
      </c>
      <c r="C3" s="9">
        <v>0.78</v>
      </c>
      <c r="D3" s="9">
        <v>0.93</v>
      </c>
    </row>
    <row r="4" spans="1:4" x14ac:dyDescent="0.2">
      <c r="A4" s="7" t="s">
        <v>48</v>
      </c>
      <c r="B4" s="9">
        <v>1</v>
      </c>
      <c r="C4" s="9">
        <v>-0.11</v>
      </c>
      <c r="D4" s="9">
        <v>0.63</v>
      </c>
    </row>
    <row r="5" spans="1:4" x14ac:dyDescent="0.2">
      <c r="A5" s="7" t="s">
        <v>49</v>
      </c>
      <c r="B5" s="9">
        <v>1</v>
      </c>
      <c r="C5" s="9">
        <v>-1.07</v>
      </c>
      <c r="D5" s="9">
        <v>-0.59</v>
      </c>
    </row>
    <row r="6" spans="1:4" x14ac:dyDescent="0.2">
      <c r="A6" s="7" t="s">
        <v>50</v>
      </c>
      <c r="B6" s="9">
        <v>1</v>
      </c>
      <c r="C6" s="9">
        <v>-0.39</v>
      </c>
      <c r="D6" s="9">
        <v>0.47</v>
      </c>
    </row>
    <row r="7" spans="1:4" x14ac:dyDescent="0.2">
      <c r="A7" s="7" t="s">
        <v>51</v>
      </c>
      <c r="B7" s="9">
        <v>1</v>
      </c>
      <c r="C7" s="9">
        <v>-1.22</v>
      </c>
      <c r="D7" s="9">
        <v>1.33</v>
      </c>
    </row>
    <row r="8" spans="1:4" x14ac:dyDescent="0.2">
      <c r="A8" s="7" t="s">
        <v>52</v>
      </c>
      <c r="B8" s="9">
        <v>1</v>
      </c>
      <c r="C8" s="9">
        <v>0.41</v>
      </c>
      <c r="D8" s="9">
        <v>-1.08</v>
      </c>
    </row>
    <row r="9" spans="1:4" x14ac:dyDescent="0.2">
      <c r="A9" s="7" t="s">
        <v>53</v>
      </c>
      <c r="B9" s="9">
        <v>1</v>
      </c>
      <c r="C9" s="9">
        <v>2.39</v>
      </c>
      <c r="D9" s="9">
        <v>-0.03</v>
      </c>
    </row>
    <row r="10" spans="1:4" x14ac:dyDescent="0.2">
      <c r="A10" s="7" t="s">
        <v>54</v>
      </c>
      <c r="B10" s="9">
        <v>1</v>
      </c>
      <c r="C10" s="9">
        <v>-0.45</v>
      </c>
      <c r="D10" s="9">
        <v>-1.74</v>
      </c>
    </row>
    <row r="11" spans="1:4" x14ac:dyDescent="0.2">
      <c r="A11" s="7" t="s">
        <v>55</v>
      </c>
      <c r="B11" s="9">
        <v>1</v>
      </c>
      <c r="C11" s="9">
        <v>-0.65</v>
      </c>
      <c r="D11" s="9">
        <v>-1.01</v>
      </c>
    </row>
    <row r="13" spans="1:4" ht="16" x14ac:dyDescent="0.2">
      <c r="A13" s="2" t="s">
        <v>62</v>
      </c>
    </row>
    <row r="14" spans="1:4" x14ac:dyDescent="0.2">
      <c r="A14" s="10" t="s">
        <v>63</v>
      </c>
    </row>
    <row r="16" spans="1:4" x14ac:dyDescent="0.2">
      <c r="A16" s="7" t="s">
        <v>64</v>
      </c>
    </row>
    <row r="17" spans="1:6" x14ac:dyDescent="0.2">
      <c r="B17" s="11" t="s">
        <v>59</v>
      </c>
      <c r="C17" s="11" t="s">
        <v>60</v>
      </c>
      <c r="D17" s="11" t="s">
        <v>61</v>
      </c>
    </row>
    <row r="18" spans="1:6" x14ac:dyDescent="0.2">
      <c r="B18" s="12">
        <f t="array" ref="B18:D20">MMULT(TRANSPOSE(B2:D11),B2:D11)</f>
        <v>10</v>
      </c>
      <c r="C18" s="12">
        <v>1.000000000000012E-2</v>
      </c>
      <c r="D18" s="12">
        <v>4.4408920985006262E-16</v>
      </c>
    </row>
    <row r="19" spans="1:6" x14ac:dyDescent="0.2">
      <c r="B19" s="12">
        <v>1.000000000000012E-2</v>
      </c>
      <c r="C19" s="12">
        <v>10.013500000000001</v>
      </c>
      <c r="D19" s="12">
        <v>0.75530000000000008</v>
      </c>
    </row>
    <row r="20" spans="1:6" x14ac:dyDescent="0.2">
      <c r="B20" s="12">
        <v>4.4408920985006262E-16</v>
      </c>
      <c r="C20" s="12">
        <v>0.75530000000000008</v>
      </c>
      <c r="D20" s="12">
        <v>10.002800000000001</v>
      </c>
    </row>
    <row r="22" spans="1:6" x14ac:dyDescent="0.2">
      <c r="A22" s="7" t="s">
        <v>65</v>
      </c>
    </row>
    <row r="23" spans="1:6" x14ac:dyDescent="0.2">
      <c r="B23" s="11" t="s">
        <v>59</v>
      </c>
      <c r="C23" s="11" t="s">
        <v>60</v>
      </c>
      <c r="D23" s="11" t="s">
        <v>61</v>
      </c>
    </row>
    <row r="24" spans="1:6" x14ac:dyDescent="0.2">
      <c r="B24" s="13">
        <f t="array" ref="B24:D26">MINVERSE(B18:D20)</f>
        <v>0.10000010043732259</v>
      </c>
      <c r="C24" s="13">
        <v>-1.0043732258384974E-4</v>
      </c>
      <c r="D24" s="13">
        <v>7.583907480659147E-6</v>
      </c>
    </row>
    <row r="25" spans="1:6" x14ac:dyDescent="0.2">
      <c r="B25" s="13">
        <v>-1.0043732258384976E-4</v>
      </c>
      <c r="C25" s="13">
        <v>0.1004373225838489</v>
      </c>
      <c r="D25" s="13">
        <v>-7.583907480663522E-3</v>
      </c>
    </row>
    <row r="26" spans="1:6" x14ac:dyDescent="0.2">
      <c r="B26" s="13">
        <v>7.5839074806591479E-6</v>
      </c>
      <c r="C26" s="13">
        <v>-7.583907480663522E-3</v>
      </c>
      <c r="D26" s="13">
        <v>0.1005446600272069</v>
      </c>
    </row>
    <row r="28" spans="1:6" x14ac:dyDescent="0.2">
      <c r="A28" s="7" t="s">
        <v>66</v>
      </c>
    </row>
    <row r="29" spans="1:6" ht="30" customHeight="1" x14ac:dyDescent="0.2">
      <c r="A29" s="36" t="s">
        <v>67</v>
      </c>
      <c r="B29" s="35"/>
      <c r="C29" s="35"/>
      <c r="D29" s="35"/>
      <c r="E29" s="35"/>
      <c r="F29" s="35"/>
    </row>
    <row r="31" spans="1:6" x14ac:dyDescent="0.2">
      <c r="B31" s="11" t="s">
        <v>59</v>
      </c>
      <c r="C31" s="11" t="s">
        <v>60</v>
      </c>
      <c r="D31" s="11" t="s">
        <v>61</v>
      </c>
    </row>
    <row r="32" spans="1:6" x14ac:dyDescent="0.2">
      <c r="A32" s="7" t="s">
        <v>46</v>
      </c>
      <c r="B32" s="13">
        <f t="array" ref="B32:D41">MMULT(B2:D11,B24:D26)</f>
        <v>9.9976226953249675E-2</v>
      </c>
      <c r="C32" s="13">
        <v>2.3773046750324558E-2</v>
      </c>
      <c r="D32" s="13">
        <v>0.10717441294332386</v>
      </c>
    </row>
    <row r="33" spans="1:4" x14ac:dyDescent="0.2">
      <c r="A33" s="7" t="s">
        <v>47</v>
      </c>
      <c r="B33" s="13">
        <v>9.9928812359664193E-2</v>
      </c>
      <c r="C33" s="13">
        <v>7.1187640335801217E-2</v>
      </c>
      <c r="D33" s="13">
        <v>8.7598669897865536E-2</v>
      </c>
    </row>
    <row r="34" spans="1:4" x14ac:dyDescent="0.2">
      <c r="A34" s="7" t="s">
        <v>48</v>
      </c>
      <c r="B34" s="13">
        <v>0.10001592640451962</v>
      </c>
      <c r="C34" s="13">
        <v>-1.5926404519625247E-2</v>
      </c>
      <c r="D34" s="13">
        <v>6.4184949547494E-2</v>
      </c>
    </row>
    <row r="35" spans="1:4" x14ac:dyDescent="0.2">
      <c r="A35" s="7" t="s">
        <v>49</v>
      </c>
      <c r="B35" s="13">
        <v>0.10010309386707372</v>
      </c>
      <c r="C35" s="13">
        <v>-0.10309386707371068</v>
      </c>
      <c r="D35" s="13">
        <v>-5.1198984504261434E-2</v>
      </c>
    </row>
    <row r="36" spans="1:4" x14ac:dyDescent="0.2">
      <c r="A36" s="7" t="s">
        <v>50</v>
      </c>
      <c r="B36" s="13">
        <v>0.10004283542964619</v>
      </c>
      <c r="C36" s="13">
        <v>-4.2835429646196771E-2</v>
      </c>
      <c r="D36" s="13">
        <v>5.0221298037726667E-2</v>
      </c>
    </row>
    <row r="37" spans="1:4" x14ac:dyDescent="0.2">
      <c r="A37" s="7" t="s">
        <v>51</v>
      </c>
      <c r="B37" s="13">
        <v>0.10013272056782416</v>
      </c>
      <c r="C37" s="13">
        <v>-0.13272056782416197</v>
      </c>
      <c r="D37" s="13">
        <v>0.14298434887007533</v>
      </c>
    </row>
    <row r="38" spans="1:4" x14ac:dyDescent="0.2">
      <c r="A38" s="7" t="s">
        <v>52</v>
      </c>
      <c r="B38" s="13">
        <v>9.9950730514984099E-2</v>
      </c>
      <c r="C38" s="13">
        <v>4.9269485015910802E-2</v>
      </c>
      <c r="D38" s="13">
        <v>-0.11169005098897485</v>
      </c>
    </row>
    <row r="39" spans="1:4" x14ac:dyDescent="0.2">
      <c r="A39" s="7" t="s">
        <v>53</v>
      </c>
      <c r="B39" s="13">
        <v>9.9759827719122771E-2</v>
      </c>
      <c r="C39" s="13">
        <v>0.24017228087723491</v>
      </c>
      <c r="D39" s="13">
        <v>-2.1134294772121368E-2</v>
      </c>
    </row>
    <row r="40" spans="1:4" x14ac:dyDescent="0.2">
      <c r="A40" s="7" t="s">
        <v>54</v>
      </c>
      <c r="B40" s="13">
        <v>0.10003210123346898</v>
      </c>
      <c r="C40" s="13">
        <v>-3.2101233468961328E-2</v>
      </c>
      <c r="D40" s="13">
        <v>-0.17152736617356076</v>
      </c>
    </row>
    <row r="41" spans="1:4" x14ac:dyDescent="0.2">
      <c r="A41" s="7" t="s">
        <v>55</v>
      </c>
      <c r="B41" s="13">
        <v>0.10005772495044662</v>
      </c>
      <c r="C41" s="13">
        <v>-5.7724950446615471E-2</v>
      </c>
      <c r="D41" s="13">
        <v>-9.6612982857567017E-2</v>
      </c>
    </row>
  </sheetData>
  <mergeCells count="1">
    <mergeCell ref="A29:F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5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2" customWidth="1"/>
    <col min="2" max="4" width="10" customWidth="1"/>
    <col min="5" max="5" width="3" customWidth="1"/>
    <col min="6" max="15" width="10" customWidth="1"/>
    <col min="16" max="16" width="3" customWidth="1"/>
    <col min="17" max="26" width="10" customWidth="1"/>
  </cols>
  <sheetData>
    <row r="1" spans="1:26" x14ac:dyDescent="0.2">
      <c r="A1" s="3" t="s">
        <v>45</v>
      </c>
      <c r="B1" s="3" t="s">
        <v>68</v>
      </c>
      <c r="C1" s="3" t="s">
        <v>69</v>
      </c>
      <c r="D1" s="3" t="s">
        <v>70</v>
      </c>
      <c r="F1" s="3" t="s">
        <v>71</v>
      </c>
      <c r="G1" s="3" t="s">
        <v>72</v>
      </c>
      <c r="H1" s="3" t="s">
        <v>73</v>
      </c>
      <c r="I1" s="3" t="s">
        <v>74</v>
      </c>
      <c r="J1" s="3" t="s">
        <v>75</v>
      </c>
      <c r="K1" s="3" t="s">
        <v>76</v>
      </c>
      <c r="L1" s="3" t="s">
        <v>77</v>
      </c>
      <c r="M1" s="3" t="s">
        <v>78</v>
      </c>
      <c r="N1" s="3" t="s">
        <v>79</v>
      </c>
      <c r="O1" s="3" t="s">
        <v>80</v>
      </c>
      <c r="Q1" s="3" t="s">
        <v>81</v>
      </c>
      <c r="R1" s="3" t="s">
        <v>82</v>
      </c>
      <c r="S1" s="3" t="s">
        <v>83</v>
      </c>
      <c r="T1" s="3" t="s">
        <v>84</v>
      </c>
      <c r="U1" s="3" t="s">
        <v>85</v>
      </c>
      <c r="V1" s="3" t="s">
        <v>86</v>
      </c>
      <c r="W1" s="3" t="s">
        <v>87</v>
      </c>
      <c r="X1" s="3" t="s">
        <v>88</v>
      </c>
      <c r="Y1" s="3" t="s">
        <v>89</v>
      </c>
      <c r="Z1" s="3" t="s">
        <v>90</v>
      </c>
    </row>
    <row r="2" spans="1:26" x14ac:dyDescent="0.2">
      <c r="A2" s="6">
        <f>Returns!A2</f>
        <v>44932</v>
      </c>
      <c r="B2" s="14">
        <f t="array" ref="B2:D2">MMULT(Returns!B2:K2,Exposures!$B$32:$D$41)</f>
        <v>-4.0136462243849265E-2</v>
      </c>
      <c r="C2" s="14">
        <v>-4.8377561507367767E-3</v>
      </c>
      <c r="D2" s="14">
        <v>5.2934275623476926E-3</v>
      </c>
      <c r="F2" s="14">
        <f>SUMPRODUCT($B2:$D2,Exposures!$B$2:$D$2)</f>
        <v>-3.591470816912605E-2</v>
      </c>
      <c r="G2" s="14">
        <f>SUMPRODUCT($B2:$D2,Exposures!$B$3:$D$3)</f>
        <v>-3.8987024408440596E-2</v>
      </c>
      <c r="H2" s="14">
        <f>SUMPRODUCT($B2:$D2,Exposures!$B$4:$D$4)</f>
        <v>-3.6269449702989176E-2</v>
      </c>
      <c r="I2" s="14">
        <f>SUMPRODUCT($B2:$D2,Exposures!$B$5:$D$5)</f>
        <v>-3.8083185424346057E-2</v>
      </c>
      <c r="J2" s="14">
        <f>SUMPRODUCT($B2:$D2,Exposures!$B$6:$D$6)</f>
        <v>-3.5761826390758505E-2</v>
      </c>
      <c r="K2" s="14">
        <f>SUMPRODUCT($B2:$D2,Exposures!$B$7:$D$7)</f>
        <v>-2.7194141082027966E-2</v>
      </c>
      <c r="L2" s="14">
        <f>SUMPRODUCT($B2:$D2,Exposures!$B$8:$D$8)</f>
        <v>-4.7836844032986853E-2</v>
      </c>
      <c r="M2" s="14">
        <f>SUMPRODUCT($B2:$D2,Exposures!$B$9:$D$9)</f>
        <v>-5.1857502270980599E-2</v>
      </c>
      <c r="N2" s="14">
        <f>SUMPRODUCT($B2:$D2,Exposures!$B$10:$D$10)</f>
        <v>-4.7170035934502696E-2</v>
      </c>
      <c r="O2" s="14">
        <f>SUMPRODUCT($B2:$D2,Exposures!$B$11:$D$11)</f>
        <v>-4.2338282583841536E-2</v>
      </c>
      <c r="Q2" s="14">
        <f>Returns!B2-F2</f>
        <v>1.909670816912605E-2</v>
      </c>
      <c r="R2" s="14">
        <f>Returns!C2-G2</f>
        <v>-2.8924975591559404E-2</v>
      </c>
      <c r="S2" s="14">
        <f>Returns!D2-H2</f>
        <v>-9.9965502970108255E-3</v>
      </c>
      <c r="T2" s="14">
        <f>Returns!E2-I2</f>
        <v>-1.3215814575653941E-2</v>
      </c>
      <c r="U2" s="14">
        <f>Returns!F2-J2</f>
        <v>-1.7745173609241494E-2</v>
      </c>
      <c r="V2" s="14">
        <f>Returns!G2-K2</f>
        <v>3.2392141082027967E-2</v>
      </c>
      <c r="W2" s="14">
        <f>Returns!H2-L2</f>
        <v>5.2664844032986852E-2</v>
      </c>
      <c r="X2" s="14">
        <f>Returns!I2-M2</f>
        <v>-3.6944977290193984E-3</v>
      </c>
      <c r="Y2" s="14">
        <f>Returns!J2-N2</f>
        <v>5.8510359345026949E-3</v>
      </c>
      <c r="Z2" s="14">
        <f>Returns!K2-O2</f>
        <v>-3.6427717416158467E-2</v>
      </c>
    </row>
    <row r="3" spans="1:26" x14ac:dyDescent="0.2">
      <c r="A3" s="6">
        <f>Returns!A3</f>
        <v>44939</v>
      </c>
      <c r="B3" s="14">
        <f t="array" ref="B3:D3">MMULT(Returns!B3:K3,Exposures!$B$32:$D$41)</f>
        <v>-7.8724338062746962E-3</v>
      </c>
      <c r="C3" s="14">
        <v>2.1633806274701413E-2</v>
      </c>
      <c r="D3" s="14">
        <v>-2.2853733342592272E-2</v>
      </c>
      <c r="F3" s="14">
        <f>SUMPRODUCT($B3:$D3,Exposures!$B$2:$D$2)</f>
        <v>-2.5860185141795819E-2</v>
      </c>
      <c r="G3" s="14">
        <f>SUMPRODUCT($B3:$D3,Exposures!$B$3:$D$3)</f>
        <v>-1.2252036920618407E-2</v>
      </c>
      <c r="H3" s="14">
        <f>SUMPRODUCT($B3:$D3,Exposures!$B$4:$D$4)</f>
        <v>-2.4650004502324983E-2</v>
      </c>
      <c r="I3" s="14">
        <f>SUMPRODUCT($B3:$D3,Exposures!$B$5:$D$5)</f>
        <v>-1.7536903848075772E-2</v>
      </c>
      <c r="J3" s="14">
        <f>SUMPRODUCT($B3:$D3,Exposures!$B$6:$D$6)</f>
        <v>-2.7050872924426615E-2</v>
      </c>
      <c r="K3" s="14">
        <f>SUMPRODUCT($B3:$D3,Exposures!$B$7:$D$7)</f>
        <v>-6.4661142807058147E-2</v>
      </c>
      <c r="L3" s="14">
        <f>SUMPRODUCT($B3:$D3,Exposures!$B$8:$D$8)</f>
        <v>2.5679458776352537E-2</v>
      </c>
      <c r="M3" s="14">
        <f>SUMPRODUCT($B3:$D3,Exposures!$B$9:$D$9)</f>
        <v>4.4517975190539447E-2</v>
      </c>
      <c r="N3" s="14">
        <f>SUMPRODUCT($B3:$D3,Exposures!$B$10:$D$10)</f>
        <v>2.2157849386220223E-2</v>
      </c>
      <c r="O3" s="14">
        <f>SUMPRODUCT($B3:$D3,Exposures!$B$11:$D$11)</f>
        <v>1.1478627911875802E-3</v>
      </c>
      <c r="Q3" s="14">
        <f>Returns!B3-F3</f>
        <v>-5.3858148582041805E-3</v>
      </c>
      <c r="R3" s="14">
        <f>Returns!C3-G3</f>
        <v>-4.3689630793815933E-3</v>
      </c>
      <c r="S3" s="14">
        <f>Returns!D3-H3</f>
        <v>1.5600450232498494E-4</v>
      </c>
      <c r="T3" s="14">
        <f>Returns!E3-I3</f>
        <v>-4.586096151924228E-3</v>
      </c>
      <c r="U3" s="14">
        <f>Returns!F3-J3</f>
        <v>-1.8480127075573387E-2</v>
      </c>
      <c r="V3" s="14">
        <f>Returns!G3-K3</f>
        <v>2.4847142807058145E-2</v>
      </c>
      <c r="W3" s="14">
        <f>Returns!H3-L3</f>
        <v>-2.9337458776352535E-2</v>
      </c>
      <c r="X3" s="14">
        <f>Returns!I3-M3</f>
        <v>1.704902480946055E-2</v>
      </c>
      <c r="Y3" s="14">
        <f>Returns!J3-N3</f>
        <v>3.8489150613779777E-2</v>
      </c>
      <c r="Z3" s="14">
        <f>Returns!K3-O3</f>
        <v>-1.8382862791187581E-2</v>
      </c>
    </row>
    <row r="4" spans="1:26" x14ac:dyDescent="0.2">
      <c r="A4" s="6">
        <f>Returns!A4</f>
        <v>44946</v>
      </c>
      <c r="B4" s="14">
        <f t="array" ref="B4:D4">MMULT(Returns!B4:K4,Exposures!$B$32:$D$41)</f>
        <v>-6.5890456033337813E-3</v>
      </c>
      <c r="C4" s="14">
        <v>1.3545603333781509E-2</v>
      </c>
      <c r="D4" s="14">
        <v>-1.6464727296157593E-2</v>
      </c>
      <c r="F4" s="14">
        <f>SUMPRODUCT($B4:$D4,Exposures!$B$2:$D$2)</f>
        <v>-2.0201005289335477E-2</v>
      </c>
      <c r="G4" s="14">
        <f>SUMPRODUCT($B4:$D4,Exposures!$B$3:$D$3)</f>
        <v>-1.1335671388410767E-2</v>
      </c>
      <c r="H4" s="14">
        <f>SUMPRODUCT($B4:$D4,Exposures!$B$4:$D$4)</f>
        <v>-1.8451840166629031E-2</v>
      </c>
      <c r="I4" s="14">
        <f>SUMPRODUCT($B4:$D4,Exposures!$B$5:$D$5)</f>
        <v>-1.1368652065747017E-2</v>
      </c>
      <c r="J4" s="14">
        <f>SUMPRODUCT($B4:$D4,Exposures!$B$6:$D$6)</f>
        <v>-1.9610252732702636E-2</v>
      </c>
      <c r="K4" s="14">
        <f>SUMPRODUCT($B4:$D4,Exposures!$B$7:$D$7)</f>
        <v>-4.5012768974436818E-2</v>
      </c>
      <c r="L4" s="14">
        <f>SUMPRODUCT($B4:$D4,Exposures!$B$8:$D$8)</f>
        <v>1.6746557243366839E-2</v>
      </c>
      <c r="M4" s="14">
        <f>SUMPRODUCT($B4:$D4,Exposures!$B$9:$D$9)</f>
        <v>2.6278888183288759E-2</v>
      </c>
      <c r="N4" s="14">
        <f>SUMPRODUCT($B4:$D4,Exposures!$B$10:$D$10)</f>
        <v>1.5964058391778752E-2</v>
      </c>
      <c r="O4" s="14">
        <f>SUMPRODUCT($B4:$D4,Exposures!$B$11:$D$11)</f>
        <v>1.2356867988274067E-3</v>
      </c>
      <c r="Q4" s="14">
        <f>Returns!B4-F4</f>
        <v>-1.9089947106645244E-3</v>
      </c>
      <c r="R4" s="14">
        <f>Returns!C4-G4</f>
        <v>1.1229671388410767E-2</v>
      </c>
      <c r="S4" s="14">
        <f>Returns!D4-H4</f>
        <v>-6.3191598333709707E-3</v>
      </c>
      <c r="T4" s="14">
        <f>Returns!E4-I4</f>
        <v>-7.812347934252983E-3</v>
      </c>
      <c r="U4" s="14">
        <f>Returns!F4-J4</f>
        <v>1.3493252732702635E-2</v>
      </c>
      <c r="V4" s="14">
        <f>Returns!G4-K4</f>
        <v>-5.1262310255631854E-3</v>
      </c>
      <c r="W4" s="14">
        <f>Returns!H4-L4</f>
        <v>1.248744275663316E-2</v>
      </c>
      <c r="X4" s="14">
        <f>Returns!I4-M4</f>
        <v>-1.1128888183288759E-2</v>
      </c>
      <c r="Y4" s="14">
        <f>Returns!J4-N4</f>
        <v>4.4694160822124698E-4</v>
      </c>
      <c r="Z4" s="14">
        <f>Returns!K4-O4</f>
        <v>-5.3616867988274071E-3</v>
      </c>
    </row>
    <row r="5" spans="1:26" x14ac:dyDescent="0.2">
      <c r="A5" s="6">
        <f>Returns!A5</f>
        <v>44953</v>
      </c>
      <c r="B5" s="14">
        <f t="array" ref="B5:D5">MMULT(Returns!B5:K5,Exposures!$B$32:$D$41)</f>
        <v>-1.6953060372880191E-2</v>
      </c>
      <c r="C5" s="14">
        <v>1.6603728801879028E-3</v>
      </c>
      <c r="D5" s="14">
        <v>1.2341992278521424E-2</v>
      </c>
      <c r="F5" s="14">
        <f>SUMPRODUCT($B5:$D5,Exposures!$B$2:$D$2)</f>
        <v>-2.9689694676317095E-3</v>
      </c>
      <c r="G5" s="14">
        <f>SUMPRODUCT($B5:$D5,Exposures!$B$3:$D$3)</f>
        <v>-4.1799167073087017E-3</v>
      </c>
      <c r="H5" s="14">
        <f>SUMPRODUCT($B5:$D5,Exposures!$B$4:$D$4)</f>
        <v>-9.3602462542323635E-3</v>
      </c>
      <c r="I5" s="14">
        <f>SUMPRODUCT($B5:$D5,Exposures!$B$5:$D$5)</f>
        <v>-2.6011434799008887E-2</v>
      </c>
      <c r="J5" s="14">
        <f>SUMPRODUCT($B5:$D5,Exposures!$B$6:$D$6)</f>
        <v>-1.1799869425248407E-2</v>
      </c>
      <c r="K5" s="14">
        <f>SUMPRODUCT($B5:$D5,Exposures!$B$7:$D$7)</f>
        <v>-2.5638655562759405E-3</v>
      </c>
      <c r="L5" s="14">
        <f>SUMPRODUCT($B5:$D5,Exposures!$B$8:$D$8)</f>
        <v>-2.9601659152806291E-2</v>
      </c>
      <c r="M5" s="14">
        <f>SUMPRODUCT($B5:$D5,Exposures!$B$9:$D$9)</f>
        <v>-1.3355028957586746E-2</v>
      </c>
      <c r="N5" s="14">
        <f>SUMPRODUCT($B5:$D5,Exposures!$B$10:$D$10)</f>
        <v>-3.917529473359202E-2</v>
      </c>
      <c r="O5" s="14">
        <f>SUMPRODUCT($B5:$D5,Exposures!$B$11:$D$11)</f>
        <v>-3.0497714946308964E-2</v>
      </c>
      <c r="Q5" s="14">
        <f>Returns!B5-F5</f>
        <v>-1.4051030532368291E-2</v>
      </c>
      <c r="R5" s="14">
        <f>Returns!C5-G5</f>
        <v>-1.6610083292691299E-2</v>
      </c>
      <c r="S5" s="14">
        <f>Returns!D5-H5</f>
        <v>1.0152462542323635E-3</v>
      </c>
      <c r="T5" s="14">
        <f>Returns!E5-I5</f>
        <v>1.1810434799008887E-2</v>
      </c>
      <c r="U5" s="14">
        <f>Returns!F5-J5</f>
        <v>1.5845869425248408E-2</v>
      </c>
      <c r="V5" s="14">
        <f>Returns!G5-K5</f>
        <v>1.7538655562759405E-3</v>
      </c>
      <c r="W5" s="14">
        <f>Returns!H5-L5</f>
        <v>-1.435334084719371E-2</v>
      </c>
      <c r="X5" s="14">
        <f>Returns!I5-M5</f>
        <v>1.8486028957586748E-2</v>
      </c>
      <c r="Y5" s="14">
        <f>Returns!J5-N5</f>
        <v>-1.1545705266407982E-2</v>
      </c>
      <c r="Z5" s="14">
        <f>Returns!K5-O5</f>
        <v>7.6487149463089626E-3</v>
      </c>
    </row>
    <row r="6" spans="1:26" x14ac:dyDescent="0.2">
      <c r="A6" s="6">
        <f>Returns!A6</f>
        <v>44960</v>
      </c>
      <c r="B6" s="14">
        <f t="array" ref="B6:D6">MMULT(Returns!B6:K6,Exposures!$B$32:$D$41)</f>
        <v>-3.8613811522309388E-2</v>
      </c>
      <c r="C6" s="14">
        <v>-1.0188477690609671E-2</v>
      </c>
      <c r="D6" s="14">
        <v>1.4049396888842876E-2</v>
      </c>
      <c r="F6" s="14">
        <f>SUMPRODUCT($B6:$D6,Exposures!$B$2:$D$2)</f>
        <v>-2.6560281774465747E-2</v>
      </c>
      <c r="G6" s="14">
        <f>SUMPRODUCT($B6:$D6,Exposures!$B$3:$D$3)</f>
        <v>-3.3494885014361056E-2</v>
      </c>
      <c r="H6" s="14">
        <f>SUMPRODUCT($B6:$D6,Exposures!$B$4:$D$4)</f>
        <v>-2.8641958936371316E-2</v>
      </c>
      <c r="I6" s="14">
        <f>SUMPRODUCT($B6:$D6,Exposures!$B$5:$D$5)</f>
        <v>-3.6001284557774335E-2</v>
      </c>
      <c r="J6" s="14">
        <f>SUMPRODUCT($B6:$D6,Exposures!$B$6:$D$6)</f>
        <v>-2.8037088685215466E-2</v>
      </c>
      <c r="K6" s="14">
        <f>SUMPRODUCT($B6:$D6,Exposures!$B$7:$D$7)</f>
        <v>-7.4981708776045604E-3</v>
      </c>
      <c r="L6" s="14">
        <f>SUMPRODUCT($B6:$D6,Exposures!$B$8:$D$8)</f>
        <v>-5.7964436015409654E-2</v>
      </c>
      <c r="M6" s="14">
        <f>SUMPRODUCT($B6:$D6,Exposures!$B$9:$D$9)</f>
        <v>-6.3385755109531788E-2</v>
      </c>
      <c r="N6" s="14">
        <f>SUMPRODUCT($B6:$D6,Exposures!$B$10:$D$10)</f>
        <v>-5.8474947148121639E-2</v>
      </c>
      <c r="O6" s="14">
        <f>SUMPRODUCT($B6:$D6,Exposures!$B$11:$D$11)</f>
        <v>-4.6181191881144411E-2</v>
      </c>
      <c r="Q6" s="14">
        <f>Returns!B6-F6</f>
        <v>1.2695281774465746E-2</v>
      </c>
      <c r="R6" s="14">
        <f>Returns!C6-G6</f>
        <v>-2.3735114985638947E-2</v>
      </c>
      <c r="S6" s="14">
        <f>Returns!D6-H6</f>
        <v>1.7618958936371318E-2</v>
      </c>
      <c r="T6" s="14">
        <f>Returns!E6-I6</f>
        <v>4.8322845577743363E-3</v>
      </c>
      <c r="U6" s="14">
        <f>Returns!F6-J6</f>
        <v>7.8530886852154654E-3</v>
      </c>
      <c r="V6" s="14">
        <f>Returns!G6-K6</f>
        <v>-1.0581829122395438E-2</v>
      </c>
      <c r="W6" s="14">
        <f>Returns!H6-L6</f>
        <v>5.9284360154096549E-3</v>
      </c>
      <c r="X6" s="14">
        <f>Returns!I6-M6</f>
        <v>1.0175510953178146E-4</v>
      </c>
      <c r="Y6" s="14">
        <f>Returns!J6-N6</f>
        <v>-2.6240528518783612E-3</v>
      </c>
      <c r="Z6" s="14">
        <f>Returns!K6-O6</f>
        <v>-1.2088808118855592E-2</v>
      </c>
    </row>
    <row r="7" spans="1:26" x14ac:dyDescent="0.2">
      <c r="A7" s="6">
        <f>Returns!A7</f>
        <v>44967</v>
      </c>
      <c r="B7" s="14">
        <f t="array" ref="B7:D7">MMULT(Returns!B7:K7,Exposures!$B$32:$D$41)</f>
        <v>-3.6740217372293354E-2</v>
      </c>
      <c r="C7" s="14">
        <v>-9.8826277066444146E-3</v>
      </c>
      <c r="D7" s="14">
        <v>-6.0845164647070262E-3</v>
      </c>
      <c r="F7" s="14">
        <f>SUMPRODUCT($B7:$D7,Exposures!$B$2:$D$2)</f>
        <v>-4.6534781184950226E-2</v>
      </c>
      <c r="G7" s="14">
        <f>SUMPRODUCT($B7:$D7,Exposures!$B$3:$D$3)</f>
        <v>-5.0107267295653533E-2</v>
      </c>
      <c r="H7" s="14">
        <f>SUMPRODUCT($B7:$D7,Exposures!$B$4:$D$4)</f>
        <v>-3.9486373697327895E-2</v>
      </c>
      <c r="I7" s="14">
        <f>SUMPRODUCT($B7:$D7,Exposures!$B$5:$D$5)</f>
        <v>-2.2575941012006683E-2</v>
      </c>
      <c r="J7" s="14">
        <f>SUMPRODUCT($B7:$D7,Exposures!$B$6:$D$6)</f>
        <v>-3.5745715305114334E-2</v>
      </c>
      <c r="K7" s="14">
        <f>SUMPRODUCT($B7:$D7,Exposures!$B$7:$D$7)</f>
        <v>-3.2775818468247515E-2</v>
      </c>
      <c r="L7" s="14">
        <f>SUMPRODUCT($B7:$D7,Exposures!$B$8:$D$8)</f>
        <v>-3.422081695013398E-2</v>
      </c>
      <c r="M7" s="14">
        <f>SUMPRODUCT($B7:$D7,Exposures!$B$9:$D$9)</f>
        <v>-6.0177162097232291E-2</v>
      </c>
      <c r="N7" s="14">
        <f>SUMPRODUCT($B7:$D7,Exposures!$B$10:$D$10)</f>
        <v>-2.170597625571314E-2</v>
      </c>
      <c r="O7" s="14">
        <f>SUMPRODUCT($B7:$D7,Exposures!$B$11:$D$11)</f>
        <v>-2.4171147733620391E-2</v>
      </c>
      <c r="Q7" s="14">
        <f>Returns!B7-F7</f>
        <v>2.2649781184950226E-2</v>
      </c>
      <c r="R7" s="14">
        <f>Returns!C7-G7</f>
        <v>-1.1117327043464673E-3</v>
      </c>
      <c r="S7" s="14">
        <f>Returns!D7-H7</f>
        <v>1.7378373697327896E-2</v>
      </c>
      <c r="T7" s="14">
        <f>Returns!E7-I7</f>
        <v>-1.4313058987993316E-2</v>
      </c>
      <c r="U7" s="14">
        <f>Returns!F7-J7</f>
        <v>1.9071530511433066E-4</v>
      </c>
      <c r="V7" s="14">
        <f>Returns!G7-K7</f>
        <v>-1.8724181531752482E-2</v>
      </c>
      <c r="W7" s="14">
        <f>Returns!H7-L7</f>
        <v>2.177081695013398E-2</v>
      </c>
      <c r="X7" s="14">
        <f>Returns!I7-M7</f>
        <v>-2.2920837902767714E-2</v>
      </c>
      <c r="Y7" s="14">
        <f>Returns!J7-N7</f>
        <v>5.1797625571314149E-4</v>
      </c>
      <c r="Z7" s="14">
        <f>Returns!K7-O7</f>
        <v>-5.4378522663796093E-3</v>
      </c>
    </row>
    <row r="8" spans="1:26" x14ac:dyDescent="0.2">
      <c r="A8" s="6">
        <f>Returns!A8</f>
        <v>44974</v>
      </c>
      <c r="B8" s="14">
        <f t="array" ref="B8:D8">MMULT(Returns!B8:K8,Exposures!$B$32:$D$41)</f>
        <v>-1.0398892743347045E-2</v>
      </c>
      <c r="C8" s="14">
        <v>-1.507256652954527E-3</v>
      </c>
      <c r="D8" s="14">
        <v>5.7785560992898539E-3</v>
      </c>
      <c r="F8" s="14">
        <f>SUMPRODUCT($B8:$D8,Exposures!$B$2:$D$2)</f>
        <v>-4.5825887240665527E-3</v>
      </c>
      <c r="G8" s="14">
        <f>SUMPRODUCT($B8:$D8,Exposures!$B$3:$D$3)</f>
        <v>-6.2004957603120116E-3</v>
      </c>
      <c r="H8" s="14">
        <f>SUMPRODUCT($B8:$D8,Exposures!$B$4:$D$4)</f>
        <v>-6.5926041689694393E-3</v>
      </c>
      <c r="I8" s="14">
        <f>SUMPRODUCT($B8:$D8,Exposures!$B$5:$D$5)</f>
        <v>-1.2195476223266714E-2</v>
      </c>
      <c r="J8" s="14">
        <f>SUMPRODUCT($B8:$D8,Exposures!$B$6:$D$6)</f>
        <v>-7.0951412820285473E-3</v>
      </c>
      <c r="K8" s="14">
        <f>SUMPRODUCT($B8:$D8,Exposures!$B$7:$D$7)</f>
        <v>-8.7456001468701628E-4</v>
      </c>
      <c r="L8" s="14">
        <f>SUMPRODUCT($B8:$D8,Exposures!$B$8:$D$8)</f>
        <v>-1.7257708558291444E-2</v>
      </c>
      <c r="M8" s="14">
        <f>SUMPRODUCT($B8:$D8,Exposures!$B$9:$D$9)</f>
        <v>-1.417459282688706E-2</v>
      </c>
      <c r="N8" s="14">
        <f>SUMPRODUCT($B8:$D8,Exposures!$B$10:$D$10)</f>
        <v>-1.9775314862281852E-2</v>
      </c>
      <c r="O8" s="14">
        <f>SUMPRODUCT($B8:$D8,Exposures!$B$11:$D$11)</f>
        <v>-1.5255517579209356E-2</v>
      </c>
      <c r="Q8" s="14">
        <f>Returns!B8-F8</f>
        <v>1.5107588724066551E-2</v>
      </c>
      <c r="R8" s="14">
        <f>Returns!C8-G8</f>
        <v>2.5062495760312012E-2</v>
      </c>
      <c r="S8" s="14">
        <f>Returns!D8-H8</f>
        <v>-2.4055395831030564E-2</v>
      </c>
      <c r="T8" s="14">
        <f>Returns!E8-I8</f>
        <v>-2.8485523776733288E-2</v>
      </c>
      <c r="U8" s="14">
        <f>Returns!F8-J8</f>
        <v>5.7931412820285471E-3</v>
      </c>
      <c r="V8" s="14">
        <f>Returns!G8-K8</f>
        <v>-5.7764399853129835E-3</v>
      </c>
      <c r="W8" s="14">
        <f>Returns!H8-L8</f>
        <v>9.0997085582914441E-3</v>
      </c>
      <c r="X8" s="14">
        <f>Returns!I8-M8</f>
        <v>-2.1251407173112941E-2</v>
      </c>
      <c r="Y8" s="14">
        <f>Returns!J8-N8</f>
        <v>3.4603148622818526E-3</v>
      </c>
      <c r="Z8" s="14">
        <f>Returns!K8-O8</f>
        <v>2.1045517579209354E-2</v>
      </c>
    </row>
    <row r="9" spans="1:26" x14ac:dyDescent="0.2">
      <c r="A9" s="6">
        <f>Returns!A9</f>
        <v>44981</v>
      </c>
      <c r="B9" s="14">
        <f t="array" ref="B9:D9">MMULT(Returns!B9:K9,Exposures!$B$32:$D$41)</f>
        <v>-4.4039208302639764E-2</v>
      </c>
      <c r="C9" s="14">
        <v>-9.1697360239517862E-5</v>
      </c>
      <c r="D9" s="14">
        <v>3.6438946111277768E-3</v>
      </c>
      <c r="F9" s="14">
        <f>SUMPRODUCT($B9:$D9,Exposures!$B$2:$D$2)</f>
        <v>-4.0096706331787135E-2</v>
      </c>
      <c r="G9" s="14">
        <f>SUMPRODUCT($B9:$D9,Exposures!$B$3:$D$3)</f>
        <v>-4.0721910255277757E-2</v>
      </c>
      <c r="H9" s="14">
        <f>SUMPRODUCT($B9:$D9,Exposures!$B$4:$D$4)</f>
        <v>-4.1733467988002912E-2</v>
      </c>
      <c r="I9" s="14">
        <f>SUMPRODUCT($B9:$D9,Exposures!$B$5:$D$5)</f>
        <v>-4.6090989947748871E-2</v>
      </c>
      <c r="J9" s="14">
        <f>SUMPRODUCT($B9:$D9,Exposures!$B$6:$D$6)</f>
        <v>-4.2290815864916301E-2</v>
      </c>
      <c r="K9" s="14">
        <f>SUMPRODUCT($B9:$D9,Exposures!$B$7:$D$7)</f>
        <v>-3.9080957690347605E-2</v>
      </c>
      <c r="L9" s="14">
        <f>SUMPRODUCT($B9:$D9,Exposures!$B$8:$D$8)</f>
        <v>-4.801221040035597E-2</v>
      </c>
      <c r="M9" s="14">
        <f>SUMPRODUCT($B9:$D9,Exposures!$B$9:$D$9)</f>
        <v>-4.4367681831946046E-2</v>
      </c>
      <c r="N9" s="14">
        <f>SUMPRODUCT($B9:$D9,Exposures!$B$10:$D$10)</f>
        <v>-5.0338321113894309E-2</v>
      </c>
      <c r="O9" s="14">
        <f>SUMPRODUCT($B9:$D9,Exposures!$B$11:$D$11)</f>
        <v>-4.7659938575723135E-2</v>
      </c>
      <c r="Q9" s="14">
        <f>Returns!B9-F9</f>
        <v>4.9675706331787139E-2</v>
      </c>
      <c r="R9" s="14">
        <f>Returns!C9-G9</f>
        <v>3.0064910255277758E-2</v>
      </c>
      <c r="S9" s="14">
        <f>Returns!D9-H9</f>
        <v>-3.1393532011997086E-2</v>
      </c>
      <c r="T9" s="14">
        <f>Returns!E9-I9</f>
        <v>3.6836989947748873E-2</v>
      </c>
      <c r="U9" s="14">
        <f>Returns!F9-J9</f>
        <v>1.8787815864916301E-2</v>
      </c>
      <c r="V9" s="14">
        <f>Returns!G9-K9</f>
        <v>-5.810504230965239E-2</v>
      </c>
      <c r="W9" s="14">
        <f>Returns!H9-L9</f>
        <v>2.9200210400355971E-2</v>
      </c>
      <c r="X9" s="14">
        <f>Returns!I9-M9</f>
        <v>-3.9961318168053955E-2</v>
      </c>
      <c r="Y9" s="14">
        <f>Returns!J9-N9</f>
        <v>-3.114367888610569E-2</v>
      </c>
      <c r="Z9" s="14">
        <f>Returns!K9-O9</f>
        <v>-3.9620614242768665E-3</v>
      </c>
    </row>
    <row r="10" spans="1:26" x14ac:dyDescent="0.2">
      <c r="A10" s="6">
        <f>Returns!A10</f>
        <v>44988</v>
      </c>
      <c r="B10" s="14">
        <f t="array" ref="B10:D10">MMULT(Returns!B10:K10,Exposures!$B$32:$D$41)</f>
        <v>1.942774903090789E-4</v>
      </c>
      <c r="C10" s="14">
        <v>-1.1777490309078036E-2</v>
      </c>
      <c r="D10" s="14">
        <v>7.1892048656822744E-3</v>
      </c>
      <c r="F10" s="14">
        <f>SUMPRODUCT($B10:$D10,Exposures!$B$2:$D$2)</f>
        <v>4.2617138949977871E-3</v>
      </c>
      <c r="G10" s="14">
        <f>SUMPRODUCT($B10:$D10,Exposures!$B$3:$D$3)</f>
        <v>-2.3062044256872728E-3</v>
      </c>
      <c r="H10" s="14">
        <f>SUMPRODUCT($B10:$D10,Exposures!$B$4:$D$4)</f>
        <v>6.0190004896874955E-3</v>
      </c>
      <c r="I10" s="14">
        <f>SUMPRODUCT($B10:$D10,Exposures!$B$5:$D$5)</f>
        <v>8.5545612502700361E-3</v>
      </c>
      <c r="J10" s="14">
        <f>SUMPRODUCT($B10:$D10,Exposures!$B$6:$D$6)</f>
        <v>8.166424997720181E-3</v>
      </c>
      <c r="K10" s="14">
        <f>SUMPRODUCT($B10:$D10,Exposures!$B$7:$D$7)</f>
        <v>2.4124458138741707E-2</v>
      </c>
      <c r="L10" s="14">
        <f>SUMPRODUCT($B10:$D10,Exposures!$B$8:$D$8)</f>
        <v>-1.2398834791349771E-2</v>
      </c>
      <c r="M10" s="14">
        <f>SUMPRODUCT($B10:$D10,Exposures!$B$9:$D$9)</f>
        <v>-2.8169600494357898E-2</v>
      </c>
      <c r="N10" s="14">
        <f>SUMPRODUCT($B10:$D10,Exposures!$B$10:$D$10)</f>
        <v>-7.0150683368929616E-3</v>
      </c>
      <c r="O10" s="14">
        <f>SUMPRODUCT($B10:$D10,Exposures!$B$11:$D$11)</f>
        <v>5.8854927687070589E-4</v>
      </c>
      <c r="Q10" s="14">
        <f>Returns!B10-F10</f>
        <v>2.6705286105002213E-2</v>
      </c>
      <c r="R10" s="14">
        <f>Returns!C10-G10</f>
        <v>-4.1907955743127273E-3</v>
      </c>
      <c r="S10" s="14">
        <f>Returns!D10-H10</f>
        <v>2.1899951031250416E-4</v>
      </c>
      <c r="T10" s="14">
        <f>Returns!E10-I10</f>
        <v>1.8535438749729963E-2</v>
      </c>
      <c r="U10" s="14">
        <f>Returns!F10-J10</f>
        <v>1.9276575002279819E-2</v>
      </c>
      <c r="V10" s="14">
        <f>Returns!G10-K10</f>
        <v>-3.7468458138741709E-2</v>
      </c>
      <c r="W10" s="14">
        <f>Returns!H10-L10</f>
        <v>5.1688347913497711E-3</v>
      </c>
      <c r="X10" s="14">
        <f>Returns!I10-M10</f>
        <v>-1.3044399505642103E-2</v>
      </c>
      <c r="Y10" s="14">
        <f>Returns!J10-N10</f>
        <v>-2.2187931663107039E-2</v>
      </c>
      <c r="Z10" s="14">
        <f>Returns!K10-O10</f>
        <v>6.9864507231292942E-3</v>
      </c>
    </row>
    <row r="11" spans="1:26" x14ac:dyDescent="0.2">
      <c r="A11" s="6">
        <f>Returns!A11</f>
        <v>44995</v>
      </c>
      <c r="B11" s="14">
        <f t="array" ref="B11:D11">MMULT(Returns!B11:K11,Exposures!$B$32:$D$41)</f>
        <v>2.7498828092474385E-2</v>
      </c>
      <c r="C11" s="14">
        <v>2.2671907525616566E-2</v>
      </c>
      <c r="D11" s="14">
        <v>-3.7005220292416338E-3</v>
      </c>
      <c r="F11" s="14">
        <f>SUMPRODUCT($B11:$D11,Exposures!$B$2:$D$2)</f>
        <v>3.0720269488798305E-2</v>
      </c>
      <c r="G11" s="14">
        <f>SUMPRODUCT($B11:$D11,Exposures!$B$3:$D$3)</f>
        <v>4.1741430475260591E-2</v>
      </c>
      <c r="H11" s="14">
        <f>SUMPRODUCT($B11:$D11,Exposures!$B$4:$D$4)</f>
        <v>2.2673589386234334E-2</v>
      </c>
      <c r="I11" s="14">
        <f>SUMPRODUCT($B11:$D11,Exposures!$B$5:$D$5)</f>
        <v>5.4231950373172244E-3</v>
      </c>
      <c r="J11" s="14">
        <f>SUMPRODUCT($B11:$D11,Exposures!$B$6:$D$6)</f>
        <v>1.6917538803740355E-2</v>
      </c>
      <c r="K11" s="14">
        <f>SUMPRODUCT($B11:$D11,Exposures!$B$7:$D$7)</f>
        <v>-5.0825933876691978E-3</v>
      </c>
      <c r="L11" s="14">
        <f>SUMPRODUCT($B11:$D11,Exposures!$B$8:$D$8)</f>
        <v>4.079087396955814E-2</v>
      </c>
      <c r="M11" s="14">
        <f>SUMPRODUCT($B11:$D11,Exposures!$B$9:$D$9)</f>
        <v>8.1795702739575218E-2</v>
      </c>
      <c r="N11" s="14">
        <f>SUMPRODUCT($B11:$D11,Exposures!$B$10:$D$10)</f>
        <v>2.3735378036827376E-2</v>
      </c>
      <c r="O11" s="14">
        <f>SUMPRODUCT($B11:$D11,Exposures!$B$11:$D$11)</f>
        <v>1.6499615450357667E-2</v>
      </c>
      <c r="Q11" s="14">
        <f>Returns!B11-F11</f>
        <v>-9.0672694887983067E-3</v>
      </c>
      <c r="R11" s="14">
        <f>Returns!C11-G11</f>
        <v>-2.0538430475260591E-2</v>
      </c>
      <c r="S11" s="14">
        <f>Returns!D11-H11</f>
        <v>2.1515410613765665E-2</v>
      </c>
      <c r="T11" s="14">
        <f>Returns!E11-I11</f>
        <v>-1.4993195037317225E-2</v>
      </c>
      <c r="U11" s="14">
        <f>Returns!F11-J11</f>
        <v>-1.0704538803740355E-2</v>
      </c>
      <c r="V11" s="14">
        <f>Returns!G11-K11</f>
        <v>1.9854593387669199E-2</v>
      </c>
      <c r="W11" s="14">
        <f>Returns!H11-L11</f>
        <v>5.3101260304418627E-3</v>
      </c>
      <c r="X11" s="14">
        <f>Returns!I11-M11</f>
        <v>8.6522972604247822E-3</v>
      </c>
      <c r="Y11" s="14">
        <f>Returns!J11-N11</f>
        <v>1.2091621963172622E-2</v>
      </c>
      <c r="Z11" s="14">
        <f>Returns!K11-O11</f>
        <v>-1.2120615450357666E-2</v>
      </c>
    </row>
    <row r="12" spans="1:26" x14ac:dyDescent="0.2">
      <c r="A12" s="6">
        <f>Returns!A12</f>
        <v>45002</v>
      </c>
      <c r="B12" s="14">
        <f t="array" ref="B12:D12">MMULT(Returns!B12:K12,Exposures!$B$32:$D$41)</f>
        <v>-1.1001552845549559E-2</v>
      </c>
      <c r="C12" s="14">
        <v>-1.0547154450439269E-2</v>
      </c>
      <c r="D12" s="14">
        <v>1.0528818506459869E-2</v>
      </c>
      <c r="F12" s="14">
        <f>SUMPRODUCT($B12:$D12,Exposures!$B$2:$D$2)</f>
        <v>-2.9002300976488666E-3</v>
      </c>
      <c r="G12" s="14">
        <f>SUMPRODUCT($B12:$D12,Exposures!$B$3:$D$3)</f>
        <v>-9.436532105884507E-3</v>
      </c>
      <c r="H12" s="14">
        <f>SUMPRODUCT($B12:$D12,Exposures!$B$4:$D$4)</f>
        <v>-3.2082101969315218E-3</v>
      </c>
      <c r="I12" s="14">
        <f>SUMPRODUCT($B12:$D12,Exposures!$B$5:$D$5)</f>
        <v>-5.9281005023908628E-3</v>
      </c>
      <c r="J12" s="14">
        <f>SUMPRODUCT($B12:$D12,Exposures!$B$6:$D$6)</f>
        <v>-1.9396179118421055E-3</v>
      </c>
      <c r="K12" s="14">
        <f>SUMPRODUCT($B12:$D12,Exposures!$B$7:$D$7)</f>
        <v>1.5869304197577976E-2</v>
      </c>
      <c r="L12" s="14">
        <f>SUMPRODUCT($B12:$D12,Exposures!$B$8:$D$8)</f>
        <v>-2.6697010157206318E-2</v>
      </c>
      <c r="M12" s="14">
        <f>SUMPRODUCT($B12:$D12,Exposures!$B$9:$D$9)</f>
        <v>-3.6525116537293206E-2</v>
      </c>
      <c r="N12" s="14">
        <f>SUMPRODUCT($B12:$D12,Exposures!$B$10:$D$10)</f>
        <v>-2.4575477544092061E-2</v>
      </c>
      <c r="O12" s="14">
        <f>SUMPRODUCT($B12:$D12,Exposures!$B$11:$D$11)</f>
        <v>-1.4780009144288501E-2</v>
      </c>
      <c r="Q12" s="14">
        <f>Returns!B12-F12</f>
        <v>1.8712230097648865E-2</v>
      </c>
      <c r="R12" s="14">
        <f>Returns!C12-G12</f>
        <v>-9.1534678941154919E-3</v>
      </c>
      <c r="S12" s="14">
        <f>Returns!D12-H12</f>
        <v>-4.6230789803068474E-2</v>
      </c>
      <c r="T12" s="14">
        <f>Returns!E12-I12</f>
        <v>2.6149100502390863E-2</v>
      </c>
      <c r="U12" s="14">
        <f>Returns!F12-J12</f>
        <v>8.8756179118421059E-3</v>
      </c>
      <c r="V12" s="14">
        <f>Returns!G12-K12</f>
        <v>6.7386958024220241E-3</v>
      </c>
      <c r="W12" s="14">
        <f>Returns!H12-L12</f>
        <v>-2.3844989842793679E-2</v>
      </c>
      <c r="X12" s="14">
        <f>Returns!I12-M12</f>
        <v>1.8492116537293206E-2</v>
      </c>
      <c r="Y12" s="14">
        <f>Returns!J12-N12</f>
        <v>7.3944775440920631E-3</v>
      </c>
      <c r="Z12" s="14">
        <f>Returns!K12-O12</f>
        <v>-7.132990855711497E-3</v>
      </c>
    </row>
    <row r="13" spans="1:26" x14ac:dyDescent="0.2">
      <c r="A13" s="6">
        <f>Returns!A13</f>
        <v>45009</v>
      </c>
      <c r="B13" s="14">
        <f t="array" ref="B13:D13">MMULT(Returns!B13:K13,Exposures!$B$32:$D$41)</f>
        <v>-3.4887102664719262E-2</v>
      </c>
      <c r="C13" s="14">
        <v>-3.4797335280736641E-2</v>
      </c>
      <c r="D13" s="14">
        <v>-8.474251475832726E-3</v>
      </c>
      <c r="F13" s="14">
        <f>SUMPRODUCT($B13:$D13,Exposures!$B$2:$D$2)</f>
        <v>-5.525918406321266E-2</v>
      </c>
      <c r="G13" s="14">
        <f>SUMPRODUCT($B13:$D13,Exposures!$B$3:$D$3)</f>
        <v>-6.9910078056218281E-2</v>
      </c>
      <c r="H13" s="14">
        <f>SUMPRODUCT($B13:$D13,Exposures!$B$4:$D$4)</f>
        <v>-3.6398174213612848E-2</v>
      </c>
      <c r="I13" s="14">
        <f>SUMPRODUCT($B13:$D13,Exposures!$B$5:$D$5)</f>
        <v>7.3458544564102566E-3</v>
      </c>
      <c r="J13" s="14">
        <f>SUMPRODUCT($B13:$D13,Exposures!$B$6:$D$6)</f>
        <v>-2.5299040098873349E-2</v>
      </c>
      <c r="K13" s="14">
        <f>SUMPRODUCT($B13:$D13,Exposures!$B$7:$D$7)</f>
        <v>-3.7051080850780838E-3</v>
      </c>
      <c r="L13" s="14">
        <f>SUMPRODUCT($B13:$D13,Exposures!$B$8:$D$8)</f>
        <v>-4.000181853592194E-2</v>
      </c>
      <c r="M13" s="14">
        <f>SUMPRODUCT($B13:$D13,Exposures!$B$9:$D$9)</f>
        <v>-0.11779850644140485</v>
      </c>
      <c r="N13" s="14">
        <f>SUMPRODUCT($B13:$D13,Exposures!$B$10:$D$10)</f>
        <v>-4.4831042204388286E-3</v>
      </c>
      <c r="O13" s="14">
        <f>SUMPRODUCT($B13:$D13,Exposures!$B$11:$D$11)</f>
        <v>-3.7098407416493919E-3</v>
      </c>
      <c r="Q13" s="14">
        <f>Returns!B13-F13</f>
        <v>-2.7036815936787334E-2</v>
      </c>
      <c r="R13" s="14">
        <f>Returns!C13-G13</f>
        <v>3.3958078056218283E-2</v>
      </c>
      <c r="S13" s="14">
        <f>Returns!D13-H13</f>
        <v>4.3830174213612849E-2</v>
      </c>
      <c r="T13" s="14">
        <f>Returns!E13-I13</f>
        <v>-1.6992854456410255E-2</v>
      </c>
      <c r="U13" s="14">
        <f>Returns!F13-J13</f>
        <v>-9.0469599011266527E-3</v>
      </c>
      <c r="V13" s="14">
        <f>Returns!G13-K13</f>
        <v>-1.6648891914921915E-2</v>
      </c>
      <c r="W13" s="14">
        <f>Returns!H13-L13</f>
        <v>4.0262818535921938E-2</v>
      </c>
      <c r="X13" s="14">
        <f>Returns!I13-M13</f>
        <v>-3.2665493558595132E-2</v>
      </c>
      <c r="Y13" s="14">
        <f>Returns!J13-N13</f>
        <v>-1.8263895779561171E-2</v>
      </c>
      <c r="Z13" s="14">
        <f>Returns!K13-O13</f>
        <v>2.6038407416493917E-3</v>
      </c>
    </row>
    <row r="14" spans="1:26" x14ac:dyDescent="0.2">
      <c r="A14" s="6">
        <f>Returns!A14</f>
        <v>45016</v>
      </c>
      <c r="B14" s="14">
        <f t="array" ref="B14:D14">MMULT(Returns!B14:K14,Exposures!$B$32:$D$41)</f>
        <v>4.1310176589448126E-2</v>
      </c>
      <c r="C14" s="14">
        <v>2.3234105518715438E-3</v>
      </c>
      <c r="D14" s="14">
        <v>-1.2317176389593773E-2</v>
      </c>
      <c r="F14" s="14">
        <f>SUMPRODUCT($B14:$D14,Exposures!$B$2:$D$2)</f>
        <v>2.8627945701389809E-2</v>
      </c>
      <c r="G14" s="14">
        <f>SUMPRODUCT($B14:$D14,Exposures!$B$3:$D$3)</f>
        <v>3.1667462777585725E-2</v>
      </c>
      <c r="H14" s="14">
        <f>SUMPRODUCT($B14:$D14,Exposures!$B$4:$D$4)</f>
        <v>3.3294780303298174E-2</v>
      </c>
      <c r="I14" s="14">
        <f>SUMPRODUCT($B14:$D14,Exposures!$B$5:$D$5)</f>
        <v>4.6091261368805904E-2</v>
      </c>
      <c r="J14" s="14">
        <f>SUMPRODUCT($B14:$D14,Exposures!$B$6:$D$6)</f>
        <v>3.4614973571109153E-2</v>
      </c>
      <c r="K14" s="14">
        <f>SUMPRODUCT($B14:$D14,Exposures!$B$7:$D$7)</f>
        <v>2.2093771118005121E-2</v>
      </c>
      <c r="L14" s="14">
        <f>SUMPRODUCT($B14:$D14,Exposures!$B$8:$D$8)</f>
        <v>5.5565325416476734E-2</v>
      </c>
      <c r="M14" s="14">
        <f>SUMPRODUCT($B14:$D14,Exposures!$B$9:$D$9)</f>
        <v>4.7232643100108933E-2</v>
      </c>
      <c r="N14" s="14">
        <f>SUMPRODUCT($B14:$D14,Exposures!$B$10:$D$10)</f>
        <v>6.16965287589991E-2</v>
      </c>
      <c r="O14" s="14">
        <f>SUMPRODUCT($B14:$D14,Exposures!$B$11:$D$11)</f>
        <v>5.2240307884221335E-2</v>
      </c>
      <c r="Q14" s="14">
        <f>Returns!B14-F14</f>
        <v>-3.6649457013898101E-3</v>
      </c>
      <c r="R14" s="14">
        <f>Returns!C14-G14</f>
        <v>2.3038537222414272E-2</v>
      </c>
      <c r="S14" s="14">
        <f>Returns!D14-H14</f>
        <v>1.6312219696701824E-2</v>
      </c>
      <c r="T14" s="14">
        <f>Returns!E14-I14</f>
        <v>-2.1727261368805904E-2</v>
      </c>
      <c r="U14" s="14">
        <f>Returns!F14-J14</f>
        <v>-1.8762973571109152E-2</v>
      </c>
      <c r="V14" s="14">
        <f>Returns!G14-K14</f>
        <v>-7.2887711180051207E-3</v>
      </c>
      <c r="W14" s="14">
        <f>Returns!H14-L14</f>
        <v>-3.2785325416476732E-2</v>
      </c>
      <c r="X14" s="14">
        <f>Returns!I14-M14</f>
        <v>-4.5826431001089324E-3</v>
      </c>
      <c r="Y14" s="14">
        <f>Returns!J14-N14</f>
        <v>1.0416471241000896E-2</v>
      </c>
      <c r="Z14" s="14">
        <f>Returns!K14-O14</f>
        <v>3.904469211577867E-2</v>
      </c>
    </row>
    <row r="15" spans="1:26" x14ac:dyDescent="0.2">
      <c r="A15" s="6">
        <f>Returns!A15</f>
        <v>45023</v>
      </c>
      <c r="B15" s="14">
        <f t="array" ref="B15:D15">MMULT(Returns!B15:K15,Exposures!$B$32:$D$41)</f>
        <v>-9.2980529126659352E-3</v>
      </c>
      <c r="C15" s="14">
        <v>-8.2470873340629771E-3</v>
      </c>
      <c r="D15" s="14">
        <v>-1.4004780155214763E-2</v>
      </c>
      <c r="F15" s="14">
        <f>SUMPRODUCT($B15:$D15,Exposures!$B$2:$D$2)</f>
        <v>-2.7202331228750182E-2</v>
      </c>
      <c r="G15" s="14">
        <f>SUMPRODUCT($B15:$D15,Exposures!$B$3:$D$3)</f>
        <v>-2.8755226577584787E-2</v>
      </c>
      <c r="H15" s="14">
        <f>SUMPRODUCT($B15:$D15,Exposures!$B$4:$D$4)</f>
        <v>-1.721388480370431E-2</v>
      </c>
      <c r="I15" s="14">
        <f>SUMPRODUCT($B15:$D15,Exposures!$B$5:$D$5)</f>
        <v>7.7891508263581606E-3</v>
      </c>
      <c r="J15" s="14">
        <f>SUMPRODUCT($B15:$D15,Exposures!$B$6:$D$6)</f>
        <v>-1.2663935525332312E-2</v>
      </c>
      <c r="K15" s="14">
        <f>SUMPRODUCT($B15:$D15,Exposures!$B$7:$D$7)</f>
        <v>-1.7862963971544736E-2</v>
      </c>
      <c r="L15" s="14">
        <f>SUMPRODUCT($B15:$D15,Exposures!$B$8:$D$8)</f>
        <v>2.445803848000189E-3</v>
      </c>
      <c r="M15" s="14">
        <f>SUMPRODUCT($B15:$D15,Exposures!$B$9:$D$9)</f>
        <v>-2.8588448236420008E-2</v>
      </c>
      <c r="N15" s="14">
        <f>SUMPRODUCT($B15:$D15,Exposures!$B$10:$D$10)</f>
        <v>1.8781453857736091E-2</v>
      </c>
      <c r="O15" s="14">
        <f>SUMPRODUCT($B15:$D15,Exposures!$B$11:$D$11)</f>
        <v>1.0207381811241912E-2</v>
      </c>
      <c r="Q15" s="14">
        <f>Returns!B15-F15</f>
        <v>-1.336066877124982E-2</v>
      </c>
      <c r="R15" s="14">
        <f>Returns!C15-G15</f>
        <v>-2.8917734224152142E-3</v>
      </c>
      <c r="S15" s="14">
        <f>Returns!D15-H15</f>
        <v>-5.0921151962956893E-3</v>
      </c>
      <c r="T15" s="14">
        <f>Returns!E15-I15</f>
        <v>1.1317849173641838E-2</v>
      </c>
      <c r="U15" s="14">
        <f>Returns!F15-J15</f>
        <v>-1.5308064474667689E-2</v>
      </c>
      <c r="V15" s="14">
        <f>Returns!G15-K15</f>
        <v>1.4681963971544736E-2</v>
      </c>
      <c r="W15" s="14">
        <f>Returns!H15-L15</f>
        <v>-2.1850803848000186E-2</v>
      </c>
      <c r="X15" s="14">
        <f>Returns!I15-M15</f>
        <v>2.0158448236420008E-2</v>
      </c>
      <c r="Y15" s="14">
        <f>Returns!J15-N15</f>
        <v>-5.8634538577360899E-3</v>
      </c>
      <c r="Z15" s="14">
        <f>Returns!K15-O15</f>
        <v>1.8208618188758088E-2</v>
      </c>
    </row>
    <row r="16" spans="1:26" x14ac:dyDescent="0.2">
      <c r="A16" s="6">
        <f>Returns!A16</f>
        <v>45030</v>
      </c>
      <c r="B16" s="14">
        <f t="array" ref="B16:D16">MMULT(Returns!B16:K16,Exposures!$B$32:$D$41)</f>
        <v>-1.2275704925654643E-2</v>
      </c>
      <c r="C16" s="14">
        <v>1.1504925654644602E-2</v>
      </c>
      <c r="D16" s="14">
        <v>-1.4175771131036373E-3</v>
      </c>
      <c r="F16" s="14">
        <f>SUMPRODUCT($B16:$D16,Exposures!$B$2:$D$2)</f>
        <v>-1.0139287769451336E-2</v>
      </c>
      <c r="G16" s="14">
        <f>SUMPRODUCT($B16:$D16,Exposures!$B$3:$D$3)</f>
        <v>-4.6202096302182362E-3</v>
      </c>
      <c r="H16" s="14">
        <f>SUMPRODUCT($B16:$D16,Exposures!$B$4:$D$4)</f>
        <v>-1.4434320328920841E-2</v>
      </c>
      <c r="I16" s="14">
        <f>SUMPRODUCT($B16:$D16,Exposures!$B$5:$D$5)</f>
        <v>-2.3749604879393222E-2</v>
      </c>
      <c r="J16" s="14">
        <f>SUMPRODUCT($B16:$D16,Exposures!$B$6:$D$6)</f>
        <v>-1.7428887174124746E-2</v>
      </c>
      <c r="K16" s="14">
        <f>SUMPRODUCT($B16:$D16,Exposures!$B$7:$D$7)</f>
        <v>-2.8197091784748891E-2</v>
      </c>
      <c r="L16" s="14">
        <f>SUMPRODUCT($B16:$D16,Exposures!$B$8:$D$8)</f>
        <v>-6.0277021250984284E-3</v>
      </c>
      <c r="M16" s="14">
        <f>SUMPRODUCT($B16:$D16,Exposures!$B$9:$D$9)</f>
        <v>1.5263594702339064E-2</v>
      </c>
      <c r="N16" s="14">
        <f>SUMPRODUCT($B16:$D16,Exposures!$B$10:$D$10)</f>
        <v>-1.4986337293444386E-2</v>
      </c>
      <c r="O16" s="14">
        <f>SUMPRODUCT($B16:$D16,Exposures!$B$11:$D$11)</f>
        <v>-1.832215371693896E-2</v>
      </c>
      <c r="Q16" s="14">
        <f>Returns!B16-F16</f>
        <v>4.3683287769451337E-2</v>
      </c>
      <c r="R16" s="14">
        <f>Returns!C16-G16</f>
        <v>-2.5676790369781766E-2</v>
      </c>
      <c r="S16" s="14">
        <f>Returns!D16-H16</f>
        <v>-1.6191679671079158E-2</v>
      </c>
      <c r="T16" s="14">
        <f>Returns!E16-I16</f>
        <v>1.4453604879393222E-2</v>
      </c>
      <c r="U16" s="14">
        <f>Returns!F16-J16</f>
        <v>2.9878871741247457E-3</v>
      </c>
      <c r="V16" s="14">
        <f>Returns!G16-K16</f>
        <v>-9.2579082152511108E-3</v>
      </c>
      <c r="W16" s="14">
        <f>Returns!H16-L16</f>
        <v>1.433170212509843E-2</v>
      </c>
      <c r="X16" s="14">
        <f>Returns!I16-M16</f>
        <v>-3.9175947023390636E-3</v>
      </c>
      <c r="Y16" s="14">
        <f>Returns!J16-N16</f>
        <v>-8.8466270655561396E-4</v>
      </c>
      <c r="Z16" s="14">
        <f>Returns!K16-O16</f>
        <v>-1.9527846283061041E-2</v>
      </c>
    </row>
    <row r="17" spans="1:26" x14ac:dyDescent="0.2">
      <c r="A17" s="6">
        <f>Returns!A17</f>
        <v>45037</v>
      </c>
      <c r="B17" s="14">
        <f t="array" ref="B17:D17">MMULT(Returns!B17:K17,Exposures!$B$32:$D$41)</f>
        <v>1.7329629418862878E-2</v>
      </c>
      <c r="C17" s="14">
        <v>6.2705811371246856E-3</v>
      </c>
      <c r="D17" s="14">
        <v>5.3564801922591377E-3</v>
      </c>
      <c r="F17" s="14">
        <f>SUMPRODUCT($B17:$D17,Exposures!$B$2:$D$2)</f>
        <v>2.5174778792305241E-2</v>
      </c>
      <c r="G17" s="14">
        <f>SUMPRODUCT($B17:$D17,Exposures!$B$3:$D$3)</f>
        <v>2.720220928462113E-2</v>
      </c>
      <c r="H17" s="14">
        <f>SUMPRODUCT($B17:$D17,Exposures!$B$4:$D$4)</f>
        <v>2.001444801490242E-2</v>
      </c>
      <c r="I17" s="14">
        <f>SUMPRODUCT($B17:$D17,Exposures!$B$5:$D$5)</f>
        <v>7.4597842887065722E-3</v>
      </c>
      <c r="J17" s="14">
        <f>SUMPRODUCT($B17:$D17,Exposures!$B$6:$D$6)</f>
        <v>1.7401648465746045E-2</v>
      </c>
      <c r="K17" s="14">
        <f>SUMPRODUCT($B17:$D17,Exposures!$B$7:$D$7)</f>
        <v>1.6803639087275415E-2</v>
      </c>
      <c r="L17" s="14">
        <f>SUMPRODUCT($B17:$D17,Exposures!$B$8:$D$8)</f>
        <v>1.4115569077444129E-2</v>
      </c>
      <c r="M17" s="14">
        <f>SUMPRODUCT($B17:$D17,Exposures!$B$9:$D$9)</f>
        <v>3.21556239308231E-2</v>
      </c>
      <c r="N17" s="14">
        <f>SUMPRODUCT($B17:$D17,Exposures!$B$10:$D$10)</f>
        <v>5.1875923726258689E-3</v>
      </c>
      <c r="O17" s="14">
        <f>SUMPRODUCT($B17:$D17,Exposures!$B$11:$D$11)</f>
        <v>7.8437066855501017E-3</v>
      </c>
      <c r="Q17" s="14">
        <f>Returns!B17-F17</f>
        <v>1.1669221207694761E-2</v>
      </c>
      <c r="R17" s="14">
        <f>Returns!C17-G17</f>
        <v>-2.2037209284621131E-2</v>
      </c>
      <c r="S17" s="14">
        <f>Returns!D17-H17</f>
        <v>3.1921551985097579E-2</v>
      </c>
      <c r="T17" s="14">
        <f>Returns!E17-I17</f>
        <v>-5.7177842887065726E-3</v>
      </c>
      <c r="U17" s="14">
        <f>Returns!F17-J17</f>
        <v>-1.9554648465746043E-2</v>
      </c>
      <c r="V17" s="14">
        <f>Returns!G17-K17</f>
        <v>3.8693609127245857E-3</v>
      </c>
      <c r="W17" s="14">
        <f>Returns!H17-L17</f>
        <v>-1.7218569077444131E-2</v>
      </c>
      <c r="X17" s="14">
        <f>Returns!I17-M17</f>
        <v>6.8093760691768992E-3</v>
      </c>
      <c r="Y17" s="14">
        <f>Returns!J17-N17</f>
        <v>2.6979407627374132E-2</v>
      </c>
      <c r="Z17" s="14">
        <f>Returns!K17-O17</f>
        <v>-1.6720706685550101E-2</v>
      </c>
    </row>
    <row r="18" spans="1:26" x14ac:dyDescent="0.2">
      <c r="A18" s="6">
        <f>Returns!A18</f>
        <v>45044</v>
      </c>
      <c r="B18" s="14">
        <f t="array" ref="B18:D18">MMULT(Returns!B18:K18,Exposures!$B$32:$D$41)</f>
        <v>1.6911909320378012E-2</v>
      </c>
      <c r="C18" s="14">
        <v>3.1790679621989823E-2</v>
      </c>
      <c r="D18" s="14">
        <v>-7.4640401006207183E-3</v>
      </c>
      <c r="F18" s="14">
        <f>SUMPRODUCT($B18:$D18,Exposures!$B$2:$D$2)</f>
        <v>1.8949123089738173E-2</v>
      </c>
      <c r="G18" s="14">
        <f>SUMPRODUCT($B18:$D18,Exposures!$B$3:$D$3)</f>
        <v>3.4767082131952808E-2</v>
      </c>
      <c r="H18" s="14">
        <f>SUMPRODUCT($B18:$D18,Exposures!$B$4:$D$4)</f>
        <v>8.7125892985680797E-3</v>
      </c>
      <c r="I18" s="14">
        <f>SUMPRODUCT($B18:$D18,Exposures!$B$5:$D$5)</f>
        <v>-1.2700334215784877E-2</v>
      </c>
      <c r="J18" s="14">
        <f>SUMPRODUCT($B18:$D18,Exposures!$B$6:$D$6)</f>
        <v>1.0054454205102423E-3</v>
      </c>
      <c r="K18" s="14">
        <f>SUMPRODUCT($B18:$D18,Exposures!$B$7:$D$7)</f>
        <v>-3.1799893152275126E-2</v>
      </c>
      <c r="L18" s="14">
        <f>SUMPRODUCT($B18:$D18,Exposures!$B$8:$D$8)</f>
        <v>3.8007251274064215E-2</v>
      </c>
      <c r="M18" s="14">
        <f>SUMPRODUCT($B18:$D18,Exposures!$B$9:$D$9)</f>
        <v>9.3115554819952318E-2</v>
      </c>
      <c r="N18" s="14">
        <f>SUMPRODUCT($B18:$D18,Exposures!$B$10:$D$10)</f>
        <v>1.5593533265562641E-2</v>
      </c>
      <c r="O18" s="14">
        <f>SUMPRODUCT($B18:$D18,Exposures!$B$11:$D$11)</f>
        <v>3.7866480677115509E-3</v>
      </c>
      <c r="Q18" s="14">
        <f>Returns!B18-F18</f>
        <v>-2.1174123089738175E-2</v>
      </c>
      <c r="R18" s="14">
        <f>Returns!C18-G18</f>
        <v>-4.0357082131952805E-2</v>
      </c>
      <c r="S18" s="14">
        <f>Returns!D18-H18</f>
        <v>1.530741070143192E-2</v>
      </c>
      <c r="T18" s="14">
        <f>Returns!E18-I18</f>
        <v>-1.5462665784215124E-2</v>
      </c>
      <c r="U18" s="14">
        <f>Returns!F18-J18</f>
        <v>-2.0617445420510243E-2</v>
      </c>
      <c r="V18" s="14">
        <f>Returns!G18-K18</f>
        <v>4.5787893152275126E-2</v>
      </c>
      <c r="W18" s="14">
        <f>Returns!H18-L18</f>
        <v>3.7724748725935779E-2</v>
      </c>
      <c r="X18" s="14">
        <f>Returns!I18-M18</f>
        <v>1.9109445180047688E-2</v>
      </c>
      <c r="Y18" s="14">
        <f>Returns!J18-N18</f>
        <v>-1.5660533265562642E-2</v>
      </c>
      <c r="Z18" s="14">
        <f>Returns!K18-O18</f>
        <v>-4.6576480677115511E-3</v>
      </c>
    </row>
    <row r="19" spans="1:26" x14ac:dyDescent="0.2">
      <c r="A19" s="6">
        <f>Returns!A19</f>
        <v>45051</v>
      </c>
      <c r="B19" s="14">
        <f t="array" ref="B19:D19">MMULT(Returns!B19:K19,Exposures!$B$32:$D$41)</f>
        <v>-1.7467522225810099E-2</v>
      </c>
      <c r="C19" s="14">
        <v>-8.9777741899028513E-3</v>
      </c>
      <c r="D19" s="14">
        <v>2.7529684533964139E-3</v>
      </c>
      <c r="F19" s="14">
        <f>SUMPRODUCT($B19:$D19,Exposures!$B$2:$D$2)</f>
        <v>-1.7339674352376919E-2</v>
      </c>
      <c r="G19" s="14">
        <f>SUMPRODUCT($B19:$D19,Exposures!$B$3:$D$3)</f>
        <v>-2.190992543227566E-2</v>
      </c>
      <c r="H19" s="14">
        <f>SUMPRODUCT($B19:$D19,Exposures!$B$4:$D$4)</f>
        <v>-1.4745596939281045E-2</v>
      </c>
      <c r="I19" s="14">
        <f>SUMPRODUCT($B19:$D19,Exposures!$B$5:$D$5)</f>
        <v>-9.4855552301179313E-3</v>
      </c>
      <c r="J19" s="14">
        <f>SUMPRODUCT($B19:$D19,Exposures!$B$6:$D$6)</f>
        <v>-1.2672295118651672E-2</v>
      </c>
      <c r="K19" s="14">
        <f>SUMPRODUCT($B19:$D19,Exposures!$B$7:$D$7)</f>
        <v>-2.8531896711113903E-3</v>
      </c>
      <c r="L19" s="14">
        <f>SUMPRODUCT($B19:$D19,Exposures!$B$8:$D$8)</f>
        <v>-2.4121615573338393E-2</v>
      </c>
      <c r="M19" s="14">
        <f>SUMPRODUCT($B19:$D19,Exposures!$B$9:$D$9)</f>
        <v>-3.9006991593279805E-2</v>
      </c>
      <c r="N19" s="14">
        <f>SUMPRODUCT($B19:$D19,Exposures!$B$10:$D$10)</f>
        <v>-1.8217688949263573E-2</v>
      </c>
      <c r="O19" s="14">
        <f>SUMPRODUCT($B19:$D19,Exposures!$B$11:$D$11)</f>
        <v>-1.4412467140303625E-2</v>
      </c>
      <c r="Q19" s="14">
        <f>Returns!B19-F19</f>
        <v>5.0856674352376917E-2</v>
      </c>
      <c r="R19" s="14">
        <f>Returns!C19-G19</f>
        <v>1.6093925432275662E-2</v>
      </c>
      <c r="S19" s="14">
        <f>Returns!D19-H19</f>
        <v>-2.4727403060718956E-2</v>
      </c>
      <c r="T19" s="14">
        <f>Returns!E19-I19</f>
        <v>4.0055552301179317E-3</v>
      </c>
      <c r="U19" s="14">
        <f>Returns!F19-J19</f>
        <v>1.5382295118651673E-2</v>
      </c>
      <c r="V19" s="14">
        <f>Returns!G19-K19</f>
        <v>-3.377881032888861E-2</v>
      </c>
      <c r="W19" s="14">
        <f>Returns!H19-L19</f>
        <v>-2.9609384426661608E-2</v>
      </c>
      <c r="X19" s="14">
        <f>Returns!I19-M19</f>
        <v>-1.8586008406720193E-2</v>
      </c>
      <c r="Y19" s="14">
        <f>Returns!J19-N19</f>
        <v>3.6619688949263575E-2</v>
      </c>
      <c r="Z19" s="14">
        <f>Returns!K19-O19</f>
        <v>-1.6256532859696374E-2</v>
      </c>
    </row>
    <row r="20" spans="1:26" x14ac:dyDescent="0.2">
      <c r="A20" s="6">
        <f>Returns!A20</f>
        <v>45058</v>
      </c>
      <c r="B20" s="14">
        <f t="array" ref="B20:D20">MMULT(Returns!B20:K20,Exposures!$B$32:$D$41)</f>
        <v>-4.3900534496078411E-3</v>
      </c>
      <c r="C20" s="14">
        <v>-1.7046550392158227E-2</v>
      </c>
      <c r="D20" s="14">
        <v>-5.9215770073182388E-3</v>
      </c>
      <c r="F20" s="14">
        <f>SUMPRODUCT($B20:$D20,Exposures!$B$2:$D$2)</f>
        <v>-1.6299468513075354E-2</v>
      </c>
      <c r="G20" s="14">
        <f>SUMPRODUCT($B20:$D20,Exposures!$B$3:$D$3)</f>
        <v>-2.3193429372297219E-2</v>
      </c>
      <c r="H20" s="14">
        <f>SUMPRODUCT($B20:$D20,Exposures!$B$4:$D$4)</f>
        <v>-6.2455264210809266E-3</v>
      </c>
      <c r="I20" s="14">
        <f>SUMPRODUCT($B20:$D20,Exposures!$B$5:$D$5)</f>
        <v>1.7343485904319222E-2</v>
      </c>
      <c r="J20" s="14">
        <f>SUMPRODUCT($B20:$D20,Exposures!$B$6:$D$6)</f>
        <v>-5.250399901057046E-4</v>
      </c>
      <c r="K20" s="14">
        <f>SUMPRODUCT($B20:$D20,Exposures!$B$7:$D$7)</f>
        <v>8.531040609091935E-3</v>
      </c>
      <c r="L20" s="14">
        <f>SUMPRODUCT($B20:$D20,Exposures!$B$8:$D$8)</f>
        <v>-4.9838359424890155E-3</v>
      </c>
      <c r="M20" s="14">
        <f>SUMPRODUCT($B20:$D20,Exposures!$B$9:$D$9)</f>
        <v>-4.4953661576646459E-2</v>
      </c>
      <c r="N20" s="14">
        <f>SUMPRODUCT($B20:$D20,Exposures!$B$10:$D$10)</f>
        <v>1.3584438219597096E-2</v>
      </c>
      <c r="O20" s="14">
        <f>SUMPRODUCT($B20:$D20,Exposures!$B$11:$D$11)</f>
        <v>1.2670997082686429E-2</v>
      </c>
      <c r="Q20" s="14">
        <f>Returns!B20-F20</f>
        <v>7.8714685130753543E-3</v>
      </c>
      <c r="R20" s="14">
        <f>Returns!C20-G20</f>
        <v>1.909742937229722E-2</v>
      </c>
      <c r="S20" s="14">
        <f>Returns!D20-H20</f>
        <v>2.6405526421080926E-2</v>
      </c>
      <c r="T20" s="14">
        <f>Returns!E20-I20</f>
        <v>-1.7540485904319222E-2</v>
      </c>
      <c r="U20" s="14">
        <f>Returns!F20-J20</f>
        <v>1.1733039990105703E-2</v>
      </c>
      <c r="V20" s="14">
        <f>Returns!G20-K20</f>
        <v>-2.8418040609091935E-2</v>
      </c>
      <c r="W20" s="14">
        <f>Returns!H20-L20</f>
        <v>-1.2945164057510984E-2</v>
      </c>
      <c r="X20" s="14">
        <f>Returns!I20-M20</f>
        <v>-2.2188338423353535E-2</v>
      </c>
      <c r="Y20" s="14">
        <f>Returns!J20-N20</f>
        <v>2.6774561780402904E-2</v>
      </c>
      <c r="Z20" s="14">
        <f>Returns!K20-O20</f>
        <v>-1.0789997082686428E-2</v>
      </c>
    </row>
    <row r="21" spans="1:26" x14ac:dyDescent="0.2">
      <c r="A21" s="6">
        <f>Returns!A21</f>
        <v>45065</v>
      </c>
      <c r="B21" s="14">
        <f t="array" ref="B21:D21">MMULT(Returns!B21:K21,Exposures!$B$32:$D$41)</f>
        <v>-3.7612120365346554E-3</v>
      </c>
      <c r="C21" s="14">
        <v>3.7812036534657617E-2</v>
      </c>
      <c r="D21" s="14">
        <v>-8.8669213814758768E-3</v>
      </c>
      <c r="F21" s="14">
        <f>SUMPRODUCT($B21:$D21,Exposures!$B$2:$D$2)</f>
        <v>-1.3263046512529235E-3</v>
      </c>
      <c r="G21" s="14">
        <f>SUMPRODUCT($B21:$D21,Exposures!$B$3:$D$3)</f>
        <v>1.7485939575725723E-2</v>
      </c>
      <c r="H21" s="14">
        <f>SUMPRODUCT($B21:$D21,Exposures!$B$4:$D$4)</f>
        <v>-1.3506696525676796E-2</v>
      </c>
      <c r="I21" s="14">
        <f>SUMPRODUCT($B21:$D21,Exposures!$B$5:$D$5)</f>
        <v>-3.8988607513547539E-2</v>
      </c>
      <c r="J21" s="14">
        <f>SUMPRODUCT($B21:$D21,Exposures!$B$6:$D$6)</f>
        <v>-2.2675359334344787E-2</v>
      </c>
      <c r="K21" s="14">
        <f>SUMPRODUCT($B21:$D21,Exposures!$B$7:$D$7)</f>
        <v>-6.1684902046179865E-2</v>
      </c>
      <c r="L21" s="14">
        <f>SUMPRODUCT($B21:$D21,Exposures!$B$8:$D$8)</f>
        <v>2.1317998034668915E-2</v>
      </c>
      <c r="M21" s="14">
        <f>SUMPRODUCT($B21:$D21,Exposures!$B$9:$D$9)</f>
        <v>8.6875562922741331E-2</v>
      </c>
      <c r="N21" s="14">
        <f>SUMPRODUCT($B21:$D21,Exposures!$B$10:$D$10)</f>
        <v>-5.3481852733625584E-3</v>
      </c>
      <c r="O21" s="14">
        <f>SUMPRODUCT($B21:$D21,Exposures!$B$11:$D$11)</f>
        <v>-1.938344518877147E-2</v>
      </c>
      <c r="Q21" s="14">
        <f>Returns!B21-F21</f>
        <v>-1.2959695348747077E-2</v>
      </c>
      <c r="R21" s="14">
        <f>Returns!C21-G21</f>
        <v>-1.8289939575725722E-2</v>
      </c>
      <c r="S21" s="14">
        <f>Returns!D21-H21</f>
        <v>1.9496965256767963E-3</v>
      </c>
      <c r="T21" s="14">
        <f>Returns!E21-I21</f>
        <v>3.0268607513547541E-2</v>
      </c>
      <c r="U21" s="14">
        <f>Returns!F21-J21</f>
        <v>-1.7576640665655216E-2</v>
      </c>
      <c r="V21" s="14">
        <f>Returns!G21-K21</f>
        <v>1.8579902046179868E-2</v>
      </c>
      <c r="W21" s="14">
        <f>Returns!H21-L21</f>
        <v>-4.5063998034668915E-2</v>
      </c>
      <c r="X21" s="14">
        <f>Returns!I21-M21</f>
        <v>3.6416437077258668E-2</v>
      </c>
      <c r="Y21" s="14">
        <f>Returns!J21-N21</f>
        <v>1.3039185273362558E-2</v>
      </c>
      <c r="Z21" s="14">
        <f>Returns!K21-O21</f>
        <v>-6.3635548112285292E-3</v>
      </c>
    </row>
    <row r="22" spans="1:26" x14ac:dyDescent="0.2">
      <c r="A22" s="6">
        <f>Returns!A22</f>
        <v>45072</v>
      </c>
      <c r="B22" s="14">
        <f t="array" ref="B22:D22">MMULT(Returns!B22:K22,Exposures!$B$32:$D$41)</f>
        <v>2.2332258380782753E-2</v>
      </c>
      <c r="C22" s="14">
        <v>-1.9583807827536839E-3</v>
      </c>
      <c r="D22" s="14">
        <v>-1.2486835185626641E-2</v>
      </c>
      <c r="F22" s="14">
        <f>SUMPRODUCT($B22:$D22,Exposures!$B$2:$D$2)</f>
        <v>8.0949261779685346E-3</v>
      </c>
      <c r="G22" s="14">
        <f>SUMPRODUCT($B22:$D22,Exposures!$B$3:$D$3)</f>
        <v>9.1919646476021025E-3</v>
      </c>
      <c r="H22" s="14">
        <f>SUMPRODUCT($B22:$D22,Exposures!$B$4:$D$4)</f>
        <v>1.4680974099940876E-2</v>
      </c>
      <c r="I22" s="14">
        <f>SUMPRODUCT($B22:$D22,Exposures!$B$5:$D$5)</f>
        <v>3.1794958577848913E-2</v>
      </c>
      <c r="J22" s="14">
        <f>SUMPRODUCT($B22:$D22,Exposures!$B$6:$D$6)</f>
        <v>1.7227214348812168E-2</v>
      </c>
      <c r="K22" s="14">
        <f>SUMPRODUCT($B22:$D22,Exposures!$B$7:$D$7)</f>
        <v>8.1139921388588138E-3</v>
      </c>
      <c r="L22" s="14">
        <f>SUMPRODUCT($B22:$D22,Exposures!$B$8:$D$8)</f>
        <v>3.5015104260330512E-2</v>
      </c>
      <c r="M22" s="14">
        <f>SUMPRODUCT($B22:$D22,Exposures!$B$9:$D$9)</f>
        <v>1.8026333365570246E-2</v>
      </c>
      <c r="N22" s="14">
        <f>SUMPRODUCT($B22:$D22,Exposures!$B$10:$D$10)</f>
        <v>4.4940622956012269E-2</v>
      </c>
      <c r="O22" s="14">
        <f>SUMPRODUCT($B22:$D22,Exposures!$B$11:$D$11)</f>
        <v>3.6216909427055556E-2</v>
      </c>
      <c r="Q22" s="14">
        <f>Returns!B22-F22</f>
        <v>9.0370738220314668E-3</v>
      </c>
      <c r="R22" s="14">
        <f>Returns!C22-G22</f>
        <v>4.1730035352397901E-2</v>
      </c>
      <c r="S22" s="14">
        <f>Returns!D22-H22</f>
        <v>-2.4413974099940876E-2</v>
      </c>
      <c r="T22" s="14">
        <f>Returns!E22-I22</f>
        <v>-4.2756958577848912E-2</v>
      </c>
      <c r="U22" s="14">
        <f>Returns!F22-J22</f>
        <v>4.5267856511878313E-3</v>
      </c>
      <c r="V22" s="14">
        <f>Returns!G22-K22</f>
        <v>-2.6119921388588138E-3</v>
      </c>
      <c r="W22" s="14">
        <f>Returns!H22-L22</f>
        <v>-7.2381042603305128E-3</v>
      </c>
      <c r="X22" s="14">
        <f>Returns!I22-M22</f>
        <v>-2.4179333365570245E-2</v>
      </c>
      <c r="Y22" s="14">
        <f>Returns!J22-N22</f>
        <v>2.6487377043987737E-2</v>
      </c>
      <c r="Z22" s="14">
        <f>Returns!K22-O22</f>
        <v>1.9419090572944442E-2</v>
      </c>
    </row>
    <row r="23" spans="1:26" x14ac:dyDescent="0.2">
      <c r="A23" s="6">
        <f>Returns!A23</f>
        <v>45079</v>
      </c>
      <c r="B23" s="14">
        <f t="array" ref="B23:D23">MMULT(Returns!B23:K23,Exposures!$B$32:$D$41)</f>
        <v>1.7658011790802574E-2</v>
      </c>
      <c r="C23" s="14">
        <v>-1.3117908025743045E-3</v>
      </c>
      <c r="D23" s="14">
        <v>1.3547871155394927E-2</v>
      </c>
      <c r="F23" s="14">
        <f>SUMPRODUCT($B23:$D23,Exposures!$B$2:$D$2)</f>
        <v>3.2005418293359268E-2</v>
      </c>
      <c r="G23" s="14">
        <f>SUMPRODUCT($B23:$D23,Exposures!$B$3:$D$3)</f>
        <v>2.9234335139311902E-2</v>
      </c>
      <c r="H23" s="14">
        <f>SUMPRODUCT($B23:$D23,Exposures!$B$4:$D$4)</f>
        <v>2.6337467606984549E-2</v>
      </c>
      <c r="I23" s="14">
        <f>SUMPRODUCT($B23:$D23,Exposures!$B$5:$D$5)</f>
        <v>1.1068383967874074E-2</v>
      </c>
      <c r="J23" s="14">
        <f>SUMPRODUCT($B23:$D23,Exposures!$B$6:$D$6)</f>
        <v>2.4537109646842171E-2</v>
      </c>
      <c r="K23" s="14">
        <f>SUMPRODUCT($B23:$D23,Exposures!$B$7:$D$7)</f>
        <v>3.7277065206618484E-2</v>
      </c>
      <c r="L23" s="14">
        <f>SUMPRODUCT($B23:$D23,Exposures!$B$8:$D$8)</f>
        <v>2.4884767139205857E-3</v>
      </c>
      <c r="M23" s="14">
        <f>SUMPRODUCT($B23:$D23,Exposures!$B$9:$D$9)</f>
        <v>1.4116395637988138E-2</v>
      </c>
      <c r="N23" s="14">
        <f>SUMPRODUCT($B23:$D23,Exposures!$B$10:$D$10)</f>
        <v>-5.3249781584261656E-3</v>
      </c>
      <c r="O23" s="14">
        <f>SUMPRODUCT($B23:$D23,Exposures!$B$11:$D$11)</f>
        <v>4.8273259455269956E-3</v>
      </c>
      <c r="Q23" s="14">
        <f>Returns!B23-F23</f>
        <v>1.3259581706640731E-2</v>
      </c>
      <c r="R23" s="14">
        <f>Returns!C23-G23</f>
        <v>1.7047664860688094E-2</v>
      </c>
      <c r="S23" s="14">
        <f>Returns!D23-H23</f>
        <v>-6.8792467606984542E-2</v>
      </c>
      <c r="T23" s="14">
        <f>Returns!E23-I23</f>
        <v>2.0921616032125924E-2</v>
      </c>
      <c r="U23" s="14">
        <f>Returns!F23-J23</f>
        <v>-1.8621096468421708E-3</v>
      </c>
      <c r="V23" s="14">
        <f>Returns!G23-K23</f>
        <v>9.1279347933815175E-3</v>
      </c>
      <c r="W23" s="14">
        <f>Returns!H23-L23</f>
        <v>3.4661523286079417E-2</v>
      </c>
      <c r="X23" s="14">
        <f>Returns!I23-M23</f>
        <v>-4.527395637988138E-3</v>
      </c>
      <c r="Y23" s="14">
        <f>Returns!J23-N23</f>
        <v>-4.2979021841573831E-2</v>
      </c>
      <c r="Z23" s="14">
        <f>Returns!K23-O23</f>
        <v>2.3142674054473004E-2</v>
      </c>
    </row>
    <row r="24" spans="1:26" x14ac:dyDescent="0.2">
      <c r="A24" s="6">
        <f>Returns!A24</f>
        <v>45086</v>
      </c>
      <c r="B24" s="14">
        <f t="array" ref="B24:D24">MMULT(Returns!B24:K24,Exposures!$B$32:$D$41)</f>
        <v>-1.896782721546153E-2</v>
      </c>
      <c r="C24" s="14">
        <v>9.5272154615324723E-3</v>
      </c>
      <c r="D24" s="14">
        <v>-3.2372360322919125E-2</v>
      </c>
      <c r="F24" s="14">
        <f>SUMPRODUCT($B24:$D24,Exposures!$B$2:$D$2)</f>
        <v>-5.1204991019752982E-2</v>
      </c>
      <c r="G24" s="14">
        <f>SUMPRODUCT($B24:$D24,Exposures!$B$3:$D$3)</f>
        <v>-4.1642894255780986E-2</v>
      </c>
      <c r="H24" s="14">
        <f>SUMPRODUCT($B24:$D24,Exposures!$B$4:$D$4)</f>
        <v>-4.0410407919669156E-2</v>
      </c>
      <c r="I24" s="14">
        <f>SUMPRODUCT($B24:$D24,Exposures!$B$5:$D$5)</f>
        <v>-1.0062255168778993E-2</v>
      </c>
      <c r="J24" s="14">
        <f>SUMPRODUCT($B24:$D24,Exposures!$B$6:$D$6)</f>
        <v>-3.7898450597231181E-2</v>
      </c>
      <c r="K24" s="14">
        <f>SUMPRODUCT($B24:$D24,Exposures!$B$7:$D$7)</f>
        <v>-7.3646269308013573E-2</v>
      </c>
      <c r="L24" s="14">
        <f>SUMPRODUCT($B24:$D24,Exposures!$B$8:$D$8)</f>
        <v>1.9900480272519436E-2</v>
      </c>
      <c r="M24" s="14">
        <f>SUMPRODUCT($B24:$D24,Exposures!$B$9:$D$9)</f>
        <v>4.7733885472886544E-3</v>
      </c>
      <c r="N24" s="14">
        <f>SUMPRODUCT($B24:$D24,Exposures!$B$10:$D$10)</f>
        <v>3.3072832788728135E-2</v>
      </c>
      <c r="O24" s="14">
        <f>SUMPRODUCT($B24:$D24,Exposures!$B$11:$D$11)</f>
        <v>7.5355666606906832E-3</v>
      </c>
      <c r="Q24" s="14">
        <f>Returns!B24-F24</f>
        <v>-1.1252008980247016E-2</v>
      </c>
      <c r="R24" s="14">
        <f>Returns!C24-G24</f>
        <v>-5.7411057442190161E-3</v>
      </c>
      <c r="S24" s="14">
        <f>Returns!D24-H24</f>
        <v>-1.7656592080330845E-2</v>
      </c>
      <c r="T24" s="14">
        <f>Returns!E24-I24</f>
        <v>-1.5049744831221006E-2</v>
      </c>
      <c r="U24" s="14">
        <f>Returns!F24-J24</f>
        <v>-4.3981549402768813E-2</v>
      </c>
      <c r="V24" s="14">
        <f>Returns!G24-K24</f>
        <v>5.9523269308013577E-2</v>
      </c>
      <c r="W24" s="14">
        <f>Returns!H24-L24</f>
        <v>-1.6399480272519435E-2</v>
      </c>
      <c r="X24" s="14">
        <f>Returns!I24-M24</f>
        <v>2.5278611452711344E-2</v>
      </c>
      <c r="Y24" s="14">
        <f>Returns!J24-N24</f>
        <v>4.118916721127186E-2</v>
      </c>
      <c r="Z24" s="14">
        <f>Returns!K24-O24</f>
        <v>-1.5910566660690684E-2</v>
      </c>
    </row>
    <row r="25" spans="1:26" x14ac:dyDescent="0.2">
      <c r="A25" s="6">
        <f>Returns!A25</f>
        <v>45093</v>
      </c>
      <c r="B25" s="14">
        <f t="array" ref="B25:D25">MMULT(Returns!B25:K25,Exposures!$B$32:$D$41)</f>
        <v>-6.3517992444000304E-2</v>
      </c>
      <c r="C25" s="14">
        <v>-9.4075559996951875E-3</v>
      </c>
      <c r="D25" s="14">
        <v>-2.8650560138504241E-2</v>
      </c>
      <c r="F25" s="14">
        <f>SUMPRODUCT($B25:$D25,Exposures!$B$2:$D$2)</f>
        <v>-9.7757520914872387E-2</v>
      </c>
      <c r="G25" s="14">
        <f>SUMPRODUCT($B25:$D25,Exposures!$B$3:$D$3)</f>
        <v>-9.75009070525715E-2</v>
      </c>
      <c r="H25" s="14">
        <f>SUMPRODUCT($B25:$D25,Exposures!$B$4:$D$4)</f>
        <v>-8.0533014171291509E-2</v>
      </c>
      <c r="I25" s="14">
        <f>SUMPRODUCT($B25:$D25,Exposures!$B$5:$D$5)</f>
        <v>-3.6548077042608949E-2</v>
      </c>
      <c r="J25" s="14">
        <f>SUMPRODUCT($B25:$D25,Exposures!$B$6:$D$6)</f>
        <v>-7.331480886921618E-2</v>
      </c>
      <c r="K25" s="14">
        <f>SUMPRODUCT($B25:$D25,Exposures!$B$7:$D$7)</f>
        <v>-9.0146019108582817E-2</v>
      </c>
      <c r="L25" s="14">
        <f>SUMPRODUCT($B25:$D25,Exposures!$B$8:$D$8)</f>
        <v>-3.6432485454290751E-2</v>
      </c>
      <c r="M25" s="14">
        <f>SUMPRODUCT($B25:$D25,Exposures!$B$9:$D$9)</f>
        <v>-8.5142534479116683E-2</v>
      </c>
      <c r="N25" s="14">
        <f>SUMPRODUCT($B25:$D25,Exposures!$B$10:$D$10)</f>
        <v>-9.4326176031400907E-3</v>
      </c>
      <c r="O25" s="14">
        <f>SUMPRODUCT($B25:$D25,Exposures!$B$11:$D$11)</f>
        <v>-2.8466015304309148E-2</v>
      </c>
      <c r="Q25" s="14">
        <f>Returns!B25-F25</f>
        <v>1.2755209148723884E-3</v>
      </c>
      <c r="R25" s="14">
        <f>Returns!C25-G25</f>
        <v>2.5327907052571499E-2</v>
      </c>
      <c r="S25" s="14">
        <f>Returns!D25-H25</f>
        <v>-7.797985828708498E-3</v>
      </c>
      <c r="T25" s="14">
        <f>Returns!E25-I25</f>
        <v>-6.7019229573910474E-3</v>
      </c>
      <c r="U25" s="14">
        <f>Returns!F25-J25</f>
        <v>3.0544808869216178E-2</v>
      </c>
      <c r="V25" s="14">
        <f>Returns!G25-K25</f>
        <v>-2.5235980891417181E-2</v>
      </c>
      <c r="W25" s="14">
        <f>Returns!H25-L25</f>
        <v>1.555048545429075E-2</v>
      </c>
      <c r="X25" s="14">
        <f>Returns!I25-M25</f>
        <v>-2.4391465520883324E-2</v>
      </c>
      <c r="Y25" s="14">
        <f>Returns!J25-N25</f>
        <v>-3.5983823968599084E-3</v>
      </c>
      <c r="Z25" s="14">
        <f>Returns!K25-O25</f>
        <v>-4.9729846956908554E-3</v>
      </c>
    </row>
    <row r="26" spans="1:26" x14ac:dyDescent="0.2">
      <c r="A26" s="6">
        <f>Returns!A26</f>
        <v>45100</v>
      </c>
      <c r="B26" s="14">
        <f t="array" ref="B26:D26">MMULT(Returns!B26:K26,Exposures!$B$32:$D$41)</f>
        <v>1.8374826501312887E-2</v>
      </c>
      <c r="C26" s="14">
        <v>4.2073498687111174E-2</v>
      </c>
      <c r="D26" s="14">
        <v>-3.0371385367934489E-2</v>
      </c>
      <c r="F26" s="14">
        <f>SUMPRODUCT($B26:$D26,Exposures!$B$2:$D$2)</f>
        <v>-1.2664639698601321E-3</v>
      </c>
      <c r="G26" s="14">
        <f>SUMPRODUCT($B26:$D26,Exposures!$B$3:$D$3)</f>
        <v>2.2946767085080533E-2</v>
      </c>
      <c r="H26" s="14">
        <f>SUMPRODUCT($B26:$D26,Exposures!$B$4:$D$4)</f>
        <v>-5.387231136068071E-3</v>
      </c>
      <c r="I26" s="14">
        <f>SUMPRODUCT($B26:$D26,Exposures!$B$5:$D$5)</f>
        <v>-8.7246997268147289E-3</v>
      </c>
      <c r="J26" s="14">
        <f>SUMPRODUCT($B26:$D26,Exposures!$B$6:$D$6)</f>
        <v>-1.2308389109589681E-2</v>
      </c>
      <c r="K26" s="14">
        <f>SUMPRODUCT($B26:$D26,Exposures!$B$7:$D$7)</f>
        <v>-7.3348784436315609E-2</v>
      </c>
      <c r="L26" s="14">
        <f>SUMPRODUCT($B26:$D26,Exposures!$B$8:$D$8)</f>
        <v>6.8426057160397707E-2</v>
      </c>
      <c r="M26" s="14">
        <f>SUMPRODUCT($B26:$D26,Exposures!$B$9:$D$9)</f>
        <v>0.11984162992454664</v>
      </c>
      <c r="N26" s="14">
        <f>SUMPRODUCT($B26:$D26,Exposures!$B$10:$D$10)</f>
        <v>5.2287962632318871E-2</v>
      </c>
      <c r="O26" s="14">
        <f>SUMPRODUCT($B26:$D26,Exposures!$B$11:$D$11)</f>
        <v>2.1702151576304458E-2</v>
      </c>
      <c r="Q26" s="14">
        <f>Returns!B26-F26</f>
        <v>-4.896536030139868E-3</v>
      </c>
      <c r="R26" s="14">
        <f>Returns!C26-G26</f>
        <v>-1.2883767085080532E-2</v>
      </c>
      <c r="S26" s="14">
        <f>Returns!D26-H26</f>
        <v>-1.5921768863931929E-2</v>
      </c>
      <c r="T26" s="14">
        <f>Returns!E26-I26</f>
        <v>-1.4187300273185269E-2</v>
      </c>
      <c r="U26" s="14">
        <f>Returns!F26-J26</f>
        <v>-2.8310610890410322E-2</v>
      </c>
      <c r="V26" s="14">
        <f>Returns!G26-K26</f>
        <v>4.2581784436315606E-2</v>
      </c>
      <c r="W26" s="14">
        <f>Returns!H26-L26</f>
        <v>1.1010942839602286E-2</v>
      </c>
      <c r="X26" s="14">
        <f>Returns!I26-M26</f>
        <v>1.469437007545335E-2</v>
      </c>
      <c r="Y26" s="14">
        <f>Returns!J26-N26</f>
        <v>5.512037367681126E-3</v>
      </c>
      <c r="Z26" s="14">
        <f>Returns!K26-O26</f>
        <v>2.400848423695541E-3</v>
      </c>
    </row>
    <row r="27" spans="1:26" x14ac:dyDescent="0.2">
      <c r="A27" s="6">
        <f>Returns!A27</f>
        <v>45107</v>
      </c>
      <c r="B27" s="14">
        <f t="array" ref="B27:D27">MMULT(Returns!B27:K27,Exposures!$B$32:$D$41)</f>
        <v>-1.7088137966124996E-2</v>
      </c>
      <c r="C27" s="14">
        <v>4.5379661249945356E-3</v>
      </c>
      <c r="D27" s="14">
        <v>1.6563216717898153E-2</v>
      </c>
      <c r="F27" s="14">
        <f>SUMPRODUCT($B27:$D27,Exposures!$B$2:$D$2)</f>
        <v>2.4179174163822433E-3</v>
      </c>
      <c r="G27" s="14">
        <f>SUMPRODUCT($B27:$D27,Exposures!$B$3:$D$3)</f>
        <v>1.855267159016025E-3</v>
      </c>
      <c r="H27" s="14">
        <f>SUMPRODUCT($B27:$D27,Exposures!$B$4:$D$4)</f>
        <v>-7.1524877075985586E-3</v>
      </c>
      <c r="I27" s="14">
        <f>SUMPRODUCT($B27:$D27,Exposures!$B$5:$D$5)</f>
        <v>-3.171605958342906E-2</v>
      </c>
      <c r="J27" s="14">
        <f>SUMPRODUCT($B27:$D27,Exposures!$B$6:$D$6)</f>
        <v>-1.1073232897460733E-2</v>
      </c>
      <c r="K27" s="14">
        <f>SUMPRODUCT($B27:$D27,Exposures!$B$7:$D$7)</f>
        <v>-5.9537840381378507E-4</v>
      </c>
      <c r="L27" s="14">
        <f>SUMPRODUCT($B27:$D27,Exposures!$B$8:$D$8)</f>
        <v>-3.3115845910207248E-2</v>
      </c>
      <c r="M27" s="14">
        <f>SUMPRODUCT($B27:$D27,Exposures!$B$9:$D$9)</f>
        <v>-6.7392954289249999E-3</v>
      </c>
      <c r="N27" s="14">
        <f>SUMPRODUCT($B27:$D27,Exposures!$B$10:$D$10)</f>
        <v>-4.7950219811515322E-2</v>
      </c>
      <c r="O27" s="14">
        <f>SUMPRODUCT($B27:$D27,Exposures!$B$11:$D$11)</f>
        <v>-3.676666483244858E-2</v>
      </c>
      <c r="Q27" s="14">
        <f>Returns!B27-F27</f>
        <v>-2.3389917416382244E-2</v>
      </c>
      <c r="R27" s="14">
        <f>Returns!C27-G27</f>
        <v>2.7772732840983978E-2</v>
      </c>
      <c r="S27" s="14">
        <f>Returns!D27-H27</f>
        <v>-2.6545122924014411E-3</v>
      </c>
      <c r="T27" s="14">
        <f>Returns!E27-I27</f>
        <v>1.3054059583429058E-2</v>
      </c>
      <c r="U27" s="14">
        <f>Returns!F27-J27</f>
        <v>-4.2377671025392669E-3</v>
      </c>
      <c r="V27" s="14">
        <f>Returns!G27-K27</f>
        <v>-2.3866215961862148E-3</v>
      </c>
      <c r="W27" s="14">
        <f>Returns!H27-L27</f>
        <v>2.4848459102072493E-3</v>
      </c>
      <c r="X27" s="14">
        <f>Returns!I27-M27</f>
        <v>-3.421704571075E-3</v>
      </c>
      <c r="Y27" s="14">
        <f>Returns!J27-N27</f>
        <v>-1.3005780188484681E-2</v>
      </c>
      <c r="Z27" s="14">
        <f>Returns!K27-O27</f>
        <v>5.7846648324485807E-3</v>
      </c>
    </row>
    <row r="28" spans="1:26" x14ac:dyDescent="0.2">
      <c r="A28" s="6">
        <f>Returns!A28</f>
        <v>45114</v>
      </c>
      <c r="B28" s="14">
        <f t="array" ref="B28:D28">MMULT(Returns!B28:K28,Exposures!$B$32:$D$41)</f>
        <v>6.0353519711436772E-3</v>
      </c>
      <c r="C28" s="14">
        <v>1.1548028856321783E-2</v>
      </c>
      <c r="D28" s="14">
        <v>6.6715603435858108E-3</v>
      </c>
      <c r="F28" s="14">
        <f>SUMPRODUCT($B28:$D28,Exposures!$B$2:$D$2)</f>
        <v>1.7002721979675183E-2</v>
      </c>
      <c r="G28" s="14">
        <f>SUMPRODUCT($B28:$D28,Exposures!$B$3:$D$3)</f>
        <v>2.1247365598609472E-2</v>
      </c>
      <c r="H28" s="14">
        <f>SUMPRODUCT($B28:$D28,Exposures!$B$4:$D$4)</f>
        <v>8.9681518134073421E-3</v>
      </c>
      <c r="I28" s="14">
        <f>SUMPRODUCT($B28:$D28,Exposures!$B$5:$D$5)</f>
        <v>-1.0257259507836259E-2</v>
      </c>
      <c r="J28" s="14">
        <f>SUMPRODUCT($B28:$D28,Exposures!$B$6:$D$6)</f>
        <v>4.6672540786635124E-3</v>
      </c>
      <c r="K28" s="14">
        <f>SUMPRODUCT($B28:$D28,Exposures!$B$7:$D$7)</f>
        <v>8.1993202340023205E-4</v>
      </c>
      <c r="L28" s="14">
        <f>SUMPRODUCT($B28:$D28,Exposures!$B$8:$D$8)</f>
        <v>3.5647586311629313E-3</v>
      </c>
      <c r="M28" s="14">
        <f>SUMPRODUCT($B28:$D28,Exposures!$B$9:$D$9)</f>
        <v>3.3434994127445168E-2</v>
      </c>
      <c r="N28" s="14">
        <f>SUMPRODUCT($B28:$D28,Exposures!$B$10:$D$10)</f>
        <v>-1.0769776012040436E-2</v>
      </c>
      <c r="O28" s="14">
        <f>SUMPRODUCT($B28:$D28,Exposures!$B$11:$D$11)</f>
        <v>-8.2091427324871499E-3</v>
      </c>
      <c r="Q28" s="14">
        <f>Returns!B28-F28</f>
        <v>4.617427802032481E-2</v>
      </c>
      <c r="R28" s="14">
        <f>Returns!C28-G28</f>
        <v>-1.8261365598609473E-2</v>
      </c>
      <c r="S28" s="14">
        <f>Returns!D28-H28</f>
        <v>-1.3954151813407343E-2</v>
      </c>
      <c r="T28" s="14">
        <f>Returns!E28-I28</f>
        <v>1.5536259507836259E-2</v>
      </c>
      <c r="U28" s="14">
        <f>Returns!F28-J28</f>
        <v>1.1990745921336487E-2</v>
      </c>
      <c r="V28" s="14">
        <f>Returns!G28-K28</f>
        <v>-2.6184932023400231E-2</v>
      </c>
      <c r="W28" s="14">
        <f>Returns!H28-L28</f>
        <v>-2.1714758631162932E-2</v>
      </c>
      <c r="X28" s="14">
        <f>Returns!I28-M28</f>
        <v>-1.5399412744517005E-4</v>
      </c>
      <c r="Y28" s="14">
        <f>Returns!J28-N28</f>
        <v>4.1397760120404367E-3</v>
      </c>
      <c r="Z28" s="14">
        <f>Returns!K28-O28</f>
        <v>2.4281427324871502E-3</v>
      </c>
    </row>
    <row r="29" spans="1:26" x14ac:dyDescent="0.2">
      <c r="A29" s="6">
        <f>Returns!A29</f>
        <v>45121</v>
      </c>
      <c r="B29" s="14">
        <f t="array" ref="B29:D29">MMULT(Returns!B29:K29,Exposures!$B$32:$D$41)</f>
        <v>1.0520076387231929E-2</v>
      </c>
      <c r="C29" s="14">
        <v>-8.5763872319279105E-3</v>
      </c>
      <c r="D29" s="14">
        <v>-7.4179494465274592E-3</v>
      </c>
      <c r="F29" s="14">
        <f>SUMPRODUCT($B29:$D29,Exposures!$B$2:$D$2)</f>
        <v>-3.0993242369993425E-4</v>
      </c>
      <c r="G29" s="14">
        <f>SUMPRODUCT($B29:$D29,Exposures!$B$3:$D$3)</f>
        <v>-3.0681986389423793E-3</v>
      </c>
      <c r="H29" s="14">
        <f>SUMPRODUCT($B29:$D29,Exposures!$B$4:$D$4)</f>
        <v>6.7901708314316985E-3</v>
      </c>
      <c r="I29" s="14">
        <f>SUMPRODUCT($B29:$D29,Exposures!$B$5:$D$5)</f>
        <v>2.4073400898845996E-2</v>
      </c>
      <c r="J29" s="14">
        <f>SUMPRODUCT($B29:$D29,Exposures!$B$6:$D$6)</f>
        <v>1.0378431167815907E-2</v>
      </c>
      <c r="K29" s="14">
        <f>SUMPRODUCT($B29:$D29,Exposures!$B$7:$D$7)</f>
        <v>1.1117396046302457E-2</v>
      </c>
      <c r="L29" s="14">
        <f>SUMPRODUCT($B29:$D29,Exposures!$B$8:$D$8)</f>
        <v>1.5015143024391142E-2</v>
      </c>
      <c r="M29" s="14">
        <f>SUMPRODUCT($B29:$D29,Exposures!$B$9:$D$9)</f>
        <v>-9.7549506136799559E-3</v>
      </c>
      <c r="N29" s="14">
        <f>SUMPRODUCT($B29:$D29,Exposures!$B$10:$D$10)</f>
        <v>2.7286682678557266E-2</v>
      </c>
      <c r="O29" s="14">
        <f>SUMPRODUCT($B29:$D29,Exposures!$B$11:$D$11)</f>
        <v>2.3586857028977802E-2</v>
      </c>
      <c r="Q29" s="14">
        <f>Returns!B29-F29</f>
        <v>4.8280932423699935E-2</v>
      </c>
      <c r="R29" s="14">
        <f>Returns!C29-G29</f>
        <v>-7.1518013610576206E-3</v>
      </c>
      <c r="S29" s="14">
        <f>Returns!D29-H29</f>
        <v>9.1458291685682994E-3</v>
      </c>
      <c r="T29" s="14">
        <f>Returns!E29-I29</f>
        <v>-1.3424400898845995E-2</v>
      </c>
      <c r="U29" s="14">
        <f>Returns!F29-J29</f>
        <v>3.521056883218409E-2</v>
      </c>
      <c r="V29" s="14">
        <f>Returns!G29-K29</f>
        <v>-5.2208396046302459E-2</v>
      </c>
      <c r="W29" s="14">
        <f>Returns!H29-L29</f>
        <v>-2.652214302439114E-2</v>
      </c>
      <c r="X29" s="14">
        <f>Returns!I29-M29</f>
        <v>-1.9900049386320045E-2</v>
      </c>
      <c r="Y29" s="14">
        <f>Returns!J29-N29</f>
        <v>1.2568317321442736E-2</v>
      </c>
      <c r="Z29" s="14">
        <f>Returns!K29-O29</f>
        <v>1.4001142971022201E-2</v>
      </c>
    </row>
    <row r="30" spans="1:26" x14ac:dyDescent="0.2">
      <c r="A30" s="6">
        <f>Returns!A30</f>
        <v>45128</v>
      </c>
      <c r="B30" s="14">
        <f t="array" ref="B30:D30">MMULT(Returns!B30:K30,Exposures!$B$32:$D$41)</f>
        <v>-1.3315882058895941E-2</v>
      </c>
      <c r="C30" s="14">
        <v>-3.1017941104060538E-2</v>
      </c>
      <c r="D30" s="14">
        <v>1.968659084615277E-2</v>
      </c>
      <c r="F30" s="14">
        <f>SUMPRODUCT($B30:$D30,Exposures!$B$2:$D$2)</f>
        <v>-1.7832391898887912E-3</v>
      </c>
      <c r="G30" s="14">
        <f>SUMPRODUCT($B30:$D30,Exposures!$B$3:$D$3)</f>
        <v>-1.9201346633141089E-2</v>
      </c>
      <c r="H30" s="14">
        <f>SUMPRODUCT($B30:$D30,Exposures!$B$4:$D$4)</f>
        <v>2.4986436956269623E-3</v>
      </c>
      <c r="I30" s="14">
        <f>SUMPRODUCT($B30:$D30,Exposures!$B$5:$D$5)</f>
        <v>8.2582263232187057E-3</v>
      </c>
      <c r="J30" s="14">
        <f>SUMPRODUCT($B30:$D30,Exposures!$B$6:$D$6)</f>
        <v>8.0338126693794698E-3</v>
      </c>
      <c r="K30" s="14">
        <f>SUMPRODUCT($B30:$D30,Exposures!$B$7:$D$7)</f>
        <v>5.0709171913441098E-2</v>
      </c>
      <c r="L30" s="14">
        <f>SUMPRODUCT($B30:$D30,Exposures!$B$8:$D$8)</f>
        <v>-4.7294756025405754E-2</v>
      </c>
      <c r="M30" s="14">
        <f>SUMPRODUCT($B30:$D30,Exposures!$B$9:$D$9)</f>
        <v>-8.8039359022985222E-2</v>
      </c>
      <c r="N30" s="14">
        <f>SUMPRODUCT($B30:$D30,Exposures!$B$10:$D$10)</f>
        <v>-3.3612476634374513E-2</v>
      </c>
      <c r="O30" s="14">
        <f>SUMPRODUCT($B30:$D30,Exposures!$B$11:$D$11)</f>
        <v>-1.3037677095870889E-2</v>
      </c>
      <c r="Q30" s="14">
        <f>Returns!B30-F30</f>
        <v>3.9775239189888789E-2</v>
      </c>
      <c r="R30" s="14">
        <f>Returns!C30-G30</f>
        <v>-1.8741653366858908E-2</v>
      </c>
      <c r="S30" s="14">
        <f>Returns!D30-H30</f>
        <v>2.8894356304373037E-2</v>
      </c>
      <c r="T30" s="14">
        <f>Returns!E30-I30</f>
        <v>-5.0692263232187057E-3</v>
      </c>
      <c r="U30" s="14">
        <f>Returns!F30-J30</f>
        <v>-1.4339812669379469E-2</v>
      </c>
      <c r="V30" s="14">
        <f>Returns!G30-K30</f>
        <v>-1.6166171913441101E-2</v>
      </c>
      <c r="W30" s="14">
        <f>Returns!H30-L30</f>
        <v>1.3808756025405752E-2</v>
      </c>
      <c r="X30" s="14">
        <f>Returns!I30-M30</f>
        <v>-1.7686640977014778E-2</v>
      </c>
      <c r="Y30" s="14">
        <f>Returns!J30-N30</f>
        <v>2.0651476634374513E-2</v>
      </c>
      <c r="Z30" s="14">
        <f>Returns!K30-O30</f>
        <v>-3.1126322904129113E-2</v>
      </c>
    </row>
    <row r="31" spans="1:26" x14ac:dyDescent="0.2">
      <c r="A31" s="6">
        <f>Returns!A31</f>
        <v>45135</v>
      </c>
      <c r="B31" s="14">
        <f t="array" ref="B31:D31">MMULT(Returns!B31:K31,Exposures!$B$32:$D$41)</f>
        <v>-2.716489130418525E-2</v>
      </c>
      <c r="C31" s="14">
        <v>1.9913041852509185E-3</v>
      </c>
      <c r="D31" s="14">
        <v>2.9063080286399795E-3</v>
      </c>
      <c r="F31" s="14">
        <f>SUMPRODUCT($B31:$D31,Exposures!$B$2:$D$2)</f>
        <v>-2.3359798213687378E-2</v>
      </c>
      <c r="G31" s="14">
        <f>SUMPRODUCT($B31:$D31,Exposures!$B$3:$D$3)</f>
        <v>-2.2908807573054354E-2</v>
      </c>
      <c r="H31" s="14">
        <f>SUMPRODUCT($B31:$D31,Exposures!$B$4:$D$4)</f>
        <v>-2.5552960706519665E-2</v>
      </c>
      <c r="I31" s="14">
        <f>SUMPRODUCT($B31:$D31,Exposures!$B$5:$D$5)</f>
        <v>-3.1010308519301321E-2</v>
      </c>
      <c r="J31" s="14">
        <f>SUMPRODUCT($B31:$D31,Exposures!$B$6:$D$6)</f>
        <v>-2.657553516297232E-2</v>
      </c>
      <c r="K31" s="14">
        <f>SUMPRODUCT($B31:$D31,Exposures!$B$7:$D$7)</f>
        <v>-2.5728892732100196E-2</v>
      </c>
      <c r="L31" s="14">
        <f>SUMPRODUCT($B31:$D31,Exposures!$B$8:$D$8)</f>
        <v>-2.9487269259163548E-2</v>
      </c>
      <c r="M31" s="14">
        <f>SUMPRODUCT($B31:$D31,Exposures!$B$9:$D$9)</f>
        <v>-2.2492863542294753E-2</v>
      </c>
      <c r="N31" s="14">
        <f>SUMPRODUCT($B31:$D31,Exposures!$B$10:$D$10)</f>
        <v>-3.3117954157381731E-2</v>
      </c>
      <c r="O31" s="14">
        <f>SUMPRODUCT($B31:$D31,Exposures!$B$11:$D$11)</f>
        <v>-3.1394610133524729E-2</v>
      </c>
      <c r="Q31" s="14">
        <f>Returns!B31-F31</f>
        <v>-3.3852017863126235E-3</v>
      </c>
      <c r="R31" s="14">
        <f>Returns!C31-G31</f>
        <v>2.4442807573054354E-2</v>
      </c>
      <c r="S31" s="14">
        <f>Returns!D31-H31</f>
        <v>2.0839960706519667E-2</v>
      </c>
      <c r="T31" s="14">
        <f>Returns!E31-I31</f>
        <v>3.6603308519301318E-2</v>
      </c>
      <c r="U31" s="14">
        <f>Returns!F31-J31</f>
        <v>4.1965351629723209E-3</v>
      </c>
      <c r="V31" s="14">
        <f>Returns!G31-K31</f>
        <v>-4.6848107267899806E-2</v>
      </c>
      <c r="W31" s="14">
        <f>Returns!H31-L31</f>
        <v>-9.766730740836449E-3</v>
      </c>
      <c r="X31" s="14">
        <f>Returns!I31-M31</f>
        <v>-1.2533136457705249E-2</v>
      </c>
      <c r="Y31" s="14">
        <f>Returns!J31-N31</f>
        <v>-3.4454045842618262E-2</v>
      </c>
      <c r="Z31" s="14">
        <f>Returns!K31-O31</f>
        <v>2.090461013352473E-2</v>
      </c>
    </row>
    <row r="32" spans="1:26" x14ac:dyDescent="0.2">
      <c r="A32" s="6">
        <f>Returns!A32</f>
        <v>45142</v>
      </c>
      <c r="B32" s="14">
        <f t="array" ref="B32:D32">MMULT(Returns!B32:K32,Exposures!$B$32:$D$41)</f>
        <v>8.2506568794176987E-3</v>
      </c>
      <c r="C32" s="14">
        <v>-9.9568794176977619E-3</v>
      </c>
      <c r="D32" s="14">
        <v>-1.4987494399149528E-2</v>
      </c>
      <c r="F32" s="14">
        <f>SUMPRODUCT($B32:$D32,Exposures!$B$2:$D$2)</f>
        <v>-1.1271913429318573E-2</v>
      </c>
      <c r="G32" s="14">
        <f>SUMPRODUCT($B32:$D32,Exposures!$B$3:$D$3)</f>
        <v>-1.3454078857595617E-2</v>
      </c>
      <c r="H32" s="14">
        <f>SUMPRODUCT($B32:$D32,Exposures!$B$4:$D$4)</f>
        <v>-9.6207856099749314E-5</v>
      </c>
      <c r="I32" s="14">
        <f>SUMPRODUCT($B32:$D32,Exposures!$B$5:$D$5)</f>
        <v>2.7747139551852526E-2</v>
      </c>
      <c r="J32" s="14">
        <f>SUMPRODUCT($B32:$D32,Exposures!$B$6:$D$6)</f>
        <v>5.089717484719548E-3</v>
      </c>
      <c r="K32" s="14">
        <f>SUMPRODUCT($B32:$D32,Exposures!$B$7:$D$7)</f>
        <v>4.6468221814009378E-4</v>
      </c>
      <c r="L32" s="14">
        <f>SUMPRODUCT($B32:$D32,Exposures!$B$8:$D$8)</f>
        <v>2.0354830269243108E-2</v>
      </c>
      <c r="M32" s="14">
        <f>SUMPRODUCT($B32:$D32,Exposures!$B$9:$D$9)</f>
        <v>-1.5096660096905469E-2</v>
      </c>
      <c r="N32" s="14">
        <f>SUMPRODUCT($B32:$D32,Exposures!$B$10:$D$10)</f>
        <v>3.8809492871901871E-2</v>
      </c>
      <c r="O32" s="14">
        <f>SUMPRODUCT($B32:$D32,Exposures!$B$11:$D$11)</f>
        <v>2.9859997844062267E-2</v>
      </c>
      <c r="Q32" s="14">
        <f>Returns!B32-F32</f>
        <v>-3.6040865706814269E-3</v>
      </c>
      <c r="R32" s="14">
        <f>Returns!C32-G32</f>
        <v>-3.3714921142404389E-2</v>
      </c>
      <c r="S32" s="14">
        <f>Returns!D32-H32</f>
        <v>2.7687207856099752E-2</v>
      </c>
      <c r="T32" s="14">
        <f>Returns!E32-I32</f>
        <v>-2.1351139551852527E-2</v>
      </c>
      <c r="U32" s="14">
        <f>Returns!F32-J32</f>
        <v>6.9512825152804516E-3</v>
      </c>
      <c r="V32" s="14">
        <f>Returns!G32-K32</f>
        <v>1.0895317781859907E-2</v>
      </c>
      <c r="W32" s="14">
        <f>Returns!H32-L32</f>
        <v>1.602169730756893E-3</v>
      </c>
      <c r="X32" s="14">
        <f>Returns!I32-M32</f>
        <v>9.2886600969054704E-3</v>
      </c>
      <c r="Y32" s="14">
        <f>Returns!J32-N32</f>
        <v>1.1284507128098129E-2</v>
      </c>
      <c r="Z32" s="14">
        <f>Returns!K32-O32</f>
        <v>-9.038997844062268E-3</v>
      </c>
    </row>
    <row r="33" spans="1:26" x14ac:dyDescent="0.2">
      <c r="A33" s="6">
        <f>Returns!A33</f>
        <v>45149</v>
      </c>
      <c r="B33" s="14">
        <f t="array" ref="B33:D33">MMULT(Returns!B33:K33,Exposures!$B$32:$D$41)</f>
        <v>-4.4200235438474934E-2</v>
      </c>
      <c r="C33" s="14">
        <v>9.035438474929422E-3</v>
      </c>
      <c r="D33" s="14">
        <v>1.0519977738221881E-2</v>
      </c>
      <c r="F33" s="14">
        <f>SUMPRODUCT($B33:$D33,Exposures!$B$2:$D$2)</f>
        <v>-2.9842119391835668E-2</v>
      </c>
      <c r="G33" s="14">
        <f>SUMPRODUCT($B33:$D33,Exposures!$B$3:$D$3)</f>
        <v>-2.7369014131483634E-2</v>
      </c>
      <c r="H33" s="14">
        <f>SUMPRODUCT($B33:$D33,Exposures!$B$4:$D$4)</f>
        <v>-3.8566547695637388E-2</v>
      </c>
      <c r="I33" s="14">
        <f>SUMPRODUCT($B33:$D33,Exposures!$B$5:$D$5)</f>
        <v>-6.007494147220032E-2</v>
      </c>
      <c r="J33" s="14">
        <f>SUMPRODUCT($B33:$D33,Exposures!$B$6:$D$6)</f>
        <v>-4.277966690673312E-2</v>
      </c>
      <c r="K33" s="14">
        <f>SUMPRODUCT($B33:$D33,Exposures!$B$7:$D$7)</f>
        <v>-4.1231899986053727E-2</v>
      </c>
      <c r="L33" s="14">
        <f>SUMPRODUCT($B33:$D33,Exposures!$B$8:$D$8)</f>
        <v>-5.1857281621033507E-2</v>
      </c>
      <c r="M33" s="14">
        <f>SUMPRODUCT($B33:$D33,Exposures!$B$9:$D$9)</f>
        <v>-2.2921136815540272E-2</v>
      </c>
      <c r="N33" s="14">
        <f>SUMPRODUCT($B33:$D33,Exposures!$B$10:$D$10)</f>
        <v>-6.6570944016699246E-2</v>
      </c>
      <c r="O33" s="14">
        <f>SUMPRODUCT($B33:$D33,Exposures!$B$11:$D$11)</f>
        <v>-6.0698447962783161E-2</v>
      </c>
      <c r="Q33" s="14">
        <f>Returns!B33-F33</f>
        <v>1.6841193918356694E-3</v>
      </c>
      <c r="R33" s="14">
        <f>Returns!C33-G33</f>
        <v>-5.8049858685163686E-3</v>
      </c>
      <c r="S33" s="14">
        <f>Returns!D33-H33</f>
        <v>-4.8057452304362619E-2</v>
      </c>
      <c r="T33" s="14">
        <f>Returns!E33-I33</f>
        <v>2.3624941472200317E-2</v>
      </c>
      <c r="U33" s="14">
        <f>Returns!F33-J33</f>
        <v>3.1966669067331199E-3</v>
      </c>
      <c r="V33" s="14">
        <f>Returns!G33-K33</f>
        <v>2.5057899986053726E-2</v>
      </c>
      <c r="W33" s="14">
        <f>Returns!H33-L33</f>
        <v>-3.9037718378966496E-2</v>
      </c>
      <c r="X33" s="14">
        <f>Returns!I33-M33</f>
        <v>3.0302136815540275E-2</v>
      </c>
      <c r="Y33" s="14">
        <f>Returns!J33-N33</f>
        <v>2.6271944016699245E-2</v>
      </c>
      <c r="Z33" s="14">
        <f>Returns!K33-O33</f>
        <v>-1.7237552037216844E-2</v>
      </c>
    </row>
    <row r="34" spans="1:26" x14ac:dyDescent="0.2">
      <c r="A34" s="6">
        <f>Returns!A34</f>
        <v>45156</v>
      </c>
      <c r="B34" s="14">
        <f t="array" ref="B34:D34">MMULT(Returns!B34:K34,Exposures!$B$32:$D$41)</f>
        <v>-4.9627491954919868E-2</v>
      </c>
      <c r="C34" s="14">
        <v>1.8919549198648316E-3</v>
      </c>
      <c r="D34" s="14">
        <v>-3.0321641295534652E-2</v>
      </c>
      <c r="F34" s="14">
        <f>SUMPRODUCT($B34:$D34,Exposures!$B$2:$D$2)</f>
        <v>-8.2072655392695898E-2</v>
      </c>
      <c r="G34" s="14">
        <f>SUMPRODUCT($B34:$D34,Exposures!$B$3:$D$3)</f>
        <v>-7.635089352227252E-2</v>
      </c>
      <c r="H34" s="14">
        <f>SUMPRODUCT($B34:$D34,Exposures!$B$4:$D$4)</f>
        <v>-6.8938241012291832E-2</v>
      </c>
      <c r="I34" s="14">
        <f>SUMPRODUCT($B34:$D34,Exposures!$B$5:$D$5)</f>
        <v>-3.3762115354809788E-2</v>
      </c>
      <c r="J34" s="14">
        <f>SUMPRODUCT($B34:$D34,Exposures!$B$6:$D$6)</f>
        <v>-6.4616525782568435E-2</v>
      </c>
      <c r="K34" s="14">
        <f>SUMPRODUCT($B34:$D34,Exposures!$B$7:$D$7)</f>
        <v>-9.2263459880216059E-2</v>
      </c>
      <c r="L34" s="14">
        <f>SUMPRODUCT($B34:$D34,Exposures!$B$8:$D$8)</f>
        <v>-1.6104417838597861E-2</v>
      </c>
      <c r="M34" s="14">
        <f>SUMPRODUCT($B34:$D34,Exposures!$B$9:$D$9)</f>
        <v>-4.4196070457576883E-2</v>
      </c>
      <c r="N34" s="14">
        <f>SUMPRODUCT($B34:$D34,Exposures!$B$10:$D$10)</f>
        <v>2.280784185371254E-3</v>
      </c>
      <c r="O34" s="14">
        <f>SUMPRODUCT($B34:$D34,Exposures!$B$11:$D$11)</f>
        <v>-2.0232404944342013E-2</v>
      </c>
      <c r="Q34" s="14">
        <f>Returns!B34-F34</f>
        <v>-2.1193344607304099E-2</v>
      </c>
      <c r="R34" s="14">
        <f>Returns!C34-G34</f>
        <v>1.533589352227252E-2</v>
      </c>
      <c r="S34" s="14">
        <f>Returns!D34-H34</f>
        <v>1.043324101229183E-2</v>
      </c>
      <c r="T34" s="14">
        <f>Returns!E34-I34</f>
        <v>-2.0578884645190212E-2</v>
      </c>
      <c r="U34" s="14">
        <f>Returns!F34-J34</f>
        <v>1.2012525782568437E-2</v>
      </c>
      <c r="V34" s="14">
        <f>Returns!G34-K34</f>
        <v>-5.2515401197839456E-3</v>
      </c>
      <c r="W34" s="14">
        <f>Returns!H34-L34</f>
        <v>1.3846417838597861E-2</v>
      </c>
      <c r="X34" s="14">
        <f>Returns!I34-M34</f>
        <v>-1.086892954242312E-2</v>
      </c>
      <c r="Y34" s="14">
        <f>Returns!J34-N34</f>
        <v>-1.7010784185371254E-2</v>
      </c>
      <c r="Z34" s="14">
        <f>Returns!K34-O34</f>
        <v>2.3275404944342014E-2</v>
      </c>
    </row>
    <row r="35" spans="1:26" x14ac:dyDescent="0.2">
      <c r="A35" s="6">
        <f>Returns!A35</f>
        <v>45163</v>
      </c>
      <c r="B35" s="14">
        <f t="array" ref="B35:D35">MMULT(Returns!B35:K35,Exposures!$B$32:$D$41)</f>
        <v>7.6812911959879063E-3</v>
      </c>
      <c r="C35" s="14">
        <v>1.3088040120948887E-3</v>
      </c>
      <c r="D35" s="14">
        <v>1.991922165090422E-2</v>
      </c>
      <c r="F35" s="14">
        <f>SUMPRODUCT($B35:$D35,Exposures!$B$2:$D$2)</f>
        <v>2.9812060079343873E-2</v>
      </c>
      <c r="G35" s="14">
        <f>SUMPRODUCT($B35:$D35,Exposures!$B$3:$D$3)</f>
        <v>2.7227034460762845E-2</v>
      </c>
      <c r="H35" s="14">
        <f>SUMPRODUCT($B35:$D35,Exposures!$B$4:$D$4)</f>
        <v>2.0086432394727127E-2</v>
      </c>
      <c r="I35" s="14">
        <f>SUMPRODUCT($B35:$D35,Exposures!$B$5:$D$5)</f>
        <v>-5.4714698709871145E-3</v>
      </c>
      <c r="J35" s="14">
        <f>SUMPRODUCT($B35:$D35,Exposures!$B$6:$D$6)</f>
        <v>1.6532891807195881E-2</v>
      </c>
      <c r="K35" s="14">
        <f>SUMPRODUCT($B35:$D35,Exposures!$B$7:$D$7)</f>
        <v>3.2577115096934756E-2</v>
      </c>
      <c r="L35" s="14">
        <f>SUMPRODUCT($B35:$D35,Exposures!$B$8:$D$8)</f>
        <v>-1.3294858542029749E-2</v>
      </c>
      <c r="M35" s="14">
        <f>SUMPRODUCT($B35:$D35,Exposures!$B$9:$D$9)</f>
        <v>1.0211756135367563E-2</v>
      </c>
      <c r="N35" s="14">
        <f>SUMPRODUCT($B35:$D35,Exposures!$B$10:$D$10)</f>
        <v>-2.7567116282028136E-2</v>
      </c>
      <c r="O35" s="14">
        <f>SUMPRODUCT($B35:$D35,Exposures!$B$11:$D$11)</f>
        <v>-1.3287845279287032E-2</v>
      </c>
      <c r="Q35" s="14">
        <f>Returns!B35-F35</f>
        <v>5.9223939920656131E-2</v>
      </c>
      <c r="R35" s="14">
        <f>Returns!C35-G35</f>
        <v>-3.0176034460762845E-2</v>
      </c>
      <c r="S35" s="14">
        <f>Returns!D35-H35</f>
        <v>-1.2371432394727128E-2</v>
      </c>
      <c r="T35" s="14">
        <f>Returns!E35-I35</f>
        <v>7.1904698709871146E-3</v>
      </c>
      <c r="U35" s="14">
        <f>Returns!F35-J35</f>
        <v>2.3553108192804116E-2</v>
      </c>
      <c r="V35" s="14">
        <f>Returns!G35-K35</f>
        <v>-3.2019115096934753E-2</v>
      </c>
      <c r="W35" s="14">
        <f>Returns!H35-L35</f>
        <v>2.8458585420297489E-3</v>
      </c>
      <c r="X35" s="14">
        <f>Returns!I35-M35</f>
        <v>-1.0354756135367564E-2</v>
      </c>
      <c r="Y35" s="14">
        <f>Returns!J35-N35</f>
        <v>-2.5388837179718647E-3</v>
      </c>
      <c r="Z35" s="14">
        <f>Returns!K35-O35</f>
        <v>-5.3531547207129691E-3</v>
      </c>
    </row>
    <row r="36" spans="1:26" x14ac:dyDescent="0.2">
      <c r="A36" s="6">
        <f>Returns!A36</f>
        <v>45170</v>
      </c>
      <c r="B36" s="14">
        <f t="array" ref="B36:D36">MMULT(Returns!B36:K36,Exposures!$B$32:$D$41)</f>
        <v>-1.0863790136672005E-2</v>
      </c>
      <c r="C36" s="14">
        <v>-2.3209863327994268E-2</v>
      </c>
      <c r="D36" s="14">
        <v>5.3964839616541431E-3</v>
      </c>
      <c r="F36" s="14">
        <f>SUMPRODUCT($B36:$D36,Exposures!$B$2:$D$2)</f>
        <v>-1.2408778883427153E-2</v>
      </c>
      <c r="G36" s="14">
        <f>SUMPRODUCT($B36:$D36,Exposures!$B$3:$D$3)</f>
        <v>-2.3948753448169179E-2</v>
      </c>
      <c r="H36" s="14">
        <f>SUMPRODUCT($B36:$D36,Exposures!$B$4:$D$4)</f>
        <v>-4.9109202747505253E-3</v>
      </c>
      <c r="I36" s="14">
        <f>SUMPRODUCT($B36:$D36,Exposures!$B$5:$D$5)</f>
        <v>1.0786838086905918E-2</v>
      </c>
      <c r="J36" s="14">
        <f>SUMPRODUCT($B36:$D36,Exposures!$B$6:$D$6)</f>
        <v>7.2440402322320602E-4</v>
      </c>
      <c r="K36" s="14">
        <f>SUMPRODUCT($B36:$D36,Exposures!$B$7:$D$7)</f>
        <v>2.4629566792481013E-2</v>
      </c>
      <c r="L36" s="14">
        <f>SUMPRODUCT($B36:$D36,Exposures!$B$8:$D$8)</f>
        <v>-2.6208036779736127E-2</v>
      </c>
      <c r="M36" s="14">
        <f>SUMPRODUCT($B36:$D36,Exposures!$B$9:$D$9)</f>
        <v>-6.6497258009427934E-2</v>
      </c>
      <c r="N36" s="14">
        <f>SUMPRODUCT($B36:$D36,Exposures!$B$10:$D$10)</f>
        <v>-9.8092337323527935E-3</v>
      </c>
      <c r="O36" s="14">
        <f>SUMPRODUCT($B36:$D36,Exposures!$B$11:$D$11)</f>
        <v>-1.2278277747464145E-3</v>
      </c>
      <c r="Q36" s="14">
        <f>Returns!B36-F36</f>
        <v>1.6629778883427152E-2</v>
      </c>
      <c r="R36" s="14">
        <f>Returns!C36-G36</f>
        <v>-1.7264246551830821E-2</v>
      </c>
      <c r="S36" s="14">
        <f>Returns!D36-H36</f>
        <v>-3.0481079725249473E-2</v>
      </c>
      <c r="T36" s="14">
        <f>Returns!E36-I36</f>
        <v>-1.0246838086905918E-2</v>
      </c>
      <c r="U36" s="14">
        <f>Returns!F36-J36</f>
        <v>1.8160595976776793E-2</v>
      </c>
      <c r="V36" s="14">
        <f>Returns!G36-K36</f>
        <v>7.9604332075189875E-3</v>
      </c>
      <c r="W36" s="14">
        <f>Returns!H36-L36</f>
        <v>-4.5309963220263871E-2</v>
      </c>
      <c r="X36" s="14">
        <f>Returns!I36-M36</f>
        <v>2.1068258009427937E-2</v>
      </c>
      <c r="Y36" s="14">
        <f>Returns!J36-N36</f>
        <v>2.2549233732352791E-2</v>
      </c>
      <c r="Z36" s="14">
        <f>Returns!K36-O36</f>
        <v>1.6933827774746415E-2</v>
      </c>
    </row>
    <row r="37" spans="1:26" x14ac:dyDescent="0.2">
      <c r="A37" s="6">
        <f>Returns!A37</f>
        <v>45177</v>
      </c>
      <c r="B37" s="14">
        <f t="array" ref="B37:D37">MMULT(Returns!B37:K37,Exposures!$B$32:$D$41)</f>
        <v>3.323441762966628E-2</v>
      </c>
      <c r="C37" s="14">
        <v>7.6823703337199779E-3</v>
      </c>
      <c r="D37" s="14">
        <v>-1.8077001870782053E-2</v>
      </c>
      <c r="F37" s="14">
        <f>SUMPRODUCT($B37:$D37,Exposures!$B$2:$D$2)</f>
        <v>1.5988844097304236E-2</v>
      </c>
      <c r="G37" s="14">
        <f>SUMPRODUCT($B37:$D37,Exposures!$B$3:$D$3)</f>
        <v>2.2415054750140554E-2</v>
      </c>
      <c r="H37" s="14">
        <f>SUMPRODUCT($B37:$D37,Exposures!$B$4:$D$4)</f>
        <v>2.1000845714364391E-2</v>
      </c>
      <c r="I37" s="14">
        <f>SUMPRODUCT($B37:$D37,Exposures!$B$5:$D$5)</f>
        <v>3.5679712476347311E-2</v>
      </c>
      <c r="J37" s="14">
        <f>SUMPRODUCT($B37:$D37,Exposures!$B$6:$D$6)</f>
        <v>2.1742102320247925E-2</v>
      </c>
      <c r="K37" s="14">
        <f>SUMPRODUCT($B37:$D37,Exposures!$B$7:$D$7)</f>
        <v>-1.8048666561222559E-4</v>
      </c>
      <c r="L37" s="14">
        <f>SUMPRODUCT($B37:$D37,Exposures!$B$8:$D$8)</f>
        <v>5.5907351486936083E-2</v>
      </c>
      <c r="M37" s="14">
        <f>SUMPRODUCT($B37:$D37,Exposures!$B$9:$D$9)</f>
        <v>5.2137592783380489E-2</v>
      </c>
      <c r="N37" s="14">
        <f>SUMPRODUCT($B37:$D37,Exposures!$B$10:$D$10)</f>
        <v>6.1231334234653059E-2</v>
      </c>
      <c r="O37" s="14">
        <f>SUMPRODUCT($B37:$D37,Exposures!$B$11:$D$11)</f>
        <v>4.6498648802238168E-2</v>
      </c>
      <c r="Q37" s="14">
        <f>Returns!B37-F37</f>
        <v>1.0848155902695764E-2</v>
      </c>
      <c r="R37" s="14">
        <f>Returns!C37-G37</f>
        <v>-1.4100054750140555E-2</v>
      </c>
      <c r="S37" s="14">
        <f>Returns!D37-H37</f>
        <v>3.0877154285635609E-2</v>
      </c>
      <c r="T37" s="14">
        <f>Returns!E37-I37</f>
        <v>-1.4406712476347311E-2</v>
      </c>
      <c r="U37" s="14">
        <f>Returns!F37-J37</f>
        <v>-1.4981102320247925E-2</v>
      </c>
      <c r="V37" s="14">
        <f>Returns!G37-K37</f>
        <v>2.7134866656122257E-3</v>
      </c>
      <c r="W37" s="14">
        <f>Returns!H37-L37</f>
        <v>2.3202648513063917E-2</v>
      </c>
      <c r="X37" s="14">
        <f>Returns!I37-M37</f>
        <v>-1.161259278338049E-2</v>
      </c>
      <c r="Y37" s="14">
        <f>Returns!J37-N37</f>
        <v>1.5325665765346941E-2</v>
      </c>
      <c r="Z37" s="14">
        <f>Returns!K37-O37</f>
        <v>-2.7866648802238169E-2</v>
      </c>
    </row>
    <row r="38" spans="1:26" x14ac:dyDescent="0.2">
      <c r="A38" s="6">
        <f>Returns!A38</f>
        <v>45184</v>
      </c>
      <c r="B38" s="14">
        <f t="array" ref="B38:D38">MMULT(Returns!B38:K38,Exposures!$B$32:$D$41)</f>
        <v>7.4073360271730802E-3</v>
      </c>
      <c r="C38" s="14">
        <v>-9.1360271730797325E-3</v>
      </c>
      <c r="D38" s="14">
        <v>3.772374867419835E-3</v>
      </c>
      <c r="F38" s="14">
        <f>SUMPRODUCT($B38:$D38,Exposures!$B$2:$D$2)</f>
        <v>8.595695937275185E-3</v>
      </c>
      <c r="G38" s="14">
        <f>SUMPRODUCT($B38:$D38,Exposures!$B$3:$D$3)</f>
        <v>3.7895434588713353E-3</v>
      </c>
      <c r="H38" s="14">
        <f>SUMPRODUCT($B38:$D38,Exposures!$B$4:$D$4)</f>
        <v>1.0788895182686347E-2</v>
      </c>
      <c r="I38" s="14">
        <f>SUMPRODUCT($B38:$D38,Exposures!$B$5:$D$5)</f>
        <v>1.495718393059069E-2</v>
      </c>
      <c r="J38" s="14">
        <f>SUMPRODUCT($B38:$D38,Exposures!$B$6:$D$6)</f>
        <v>1.2743402812361498E-2</v>
      </c>
      <c r="K38" s="14">
        <f>SUMPRODUCT($B38:$D38,Exposures!$B$7:$D$7)</f>
        <v>2.3570547751998731E-2</v>
      </c>
      <c r="L38" s="14">
        <f>SUMPRODUCT($B38:$D38,Exposures!$B$8:$D$8)</f>
        <v>-4.1259997060303201E-4</v>
      </c>
      <c r="M38" s="14">
        <f>SUMPRODUCT($B38:$D38,Exposures!$B$9:$D$9)</f>
        <v>-1.4540940162510075E-2</v>
      </c>
      <c r="N38" s="14">
        <f>SUMPRODUCT($B38:$D38,Exposures!$B$10:$D$10)</f>
        <v>4.9546159857484472E-3</v>
      </c>
      <c r="O38" s="14">
        <f>SUMPRODUCT($B38:$D38,Exposures!$B$11:$D$11)</f>
        <v>9.5356550735808728E-3</v>
      </c>
      <c r="Q38" s="14">
        <f>Returns!B38-F38</f>
        <v>2.4345304062724813E-2</v>
      </c>
      <c r="R38" s="14">
        <f>Returns!C38-G38</f>
        <v>-1.3830543458871334E-2</v>
      </c>
      <c r="S38" s="14">
        <f>Returns!D38-H38</f>
        <v>-9.1418951826863458E-3</v>
      </c>
      <c r="T38" s="14">
        <f>Returns!E38-I38</f>
        <v>3.5024816069409312E-2</v>
      </c>
      <c r="U38" s="14">
        <f>Returns!F38-J38</f>
        <v>1.0015597187638503E-2</v>
      </c>
      <c r="V38" s="14">
        <f>Returns!G38-K38</f>
        <v>-1.5144547751998732E-2</v>
      </c>
      <c r="W38" s="14">
        <f>Returns!H38-L38</f>
        <v>-2.0963400029396968E-2</v>
      </c>
      <c r="X38" s="14">
        <f>Returns!I38-M38</f>
        <v>7.6959401625100749E-3</v>
      </c>
      <c r="Y38" s="14">
        <f>Returns!J38-N38</f>
        <v>1.6994384014251553E-2</v>
      </c>
      <c r="Z38" s="14">
        <f>Returns!K38-O38</f>
        <v>-3.4995655073580871E-2</v>
      </c>
    </row>
    <row r="39" spans="1:26" x14ac:dyDescent="0.2">
      <c r="A39" s="6">
        <f>Returns!A39</f>
        <v>45191</v>
      </c>
      <c r="B39" s="14">
        <f t="array" ref="B39:D39">MMULT(Returns!B39:K39,Exposures!$B$32:$D$41)</f>
        <v>-3.0597956456683249E-3</v>
      </c>
      <c r="C39" s="14">
        <v>-1.9104354331673144E-2</v>
      </c>
      <c r="D39" s="14">
        <v>-2.4312299673420173E-2</v>
      </c>
      <c r="F39" s="14">
        <f>SUMPRODUCT($B39:$D39,Exposures!$B$2:$D$2)</f>
        <v>-3.5673595675831726E-2</v>
      </c>
      <c r="G39" s="14">
        <f>SUMPRODUCT($B39:$D39,Exposures!$B$3:$D$3)</f>
        <v>-4.0571630720654145E-2</v>
      </c>
      <c r="H39" s="14">
        <f>SUMPRODUCT($B39:$D39,Exposures!$B$4:$D$4)</f>
        <v>-1.6275065463438987E-2</v>
      </c>
      <c r="I39" s="14">
        <f>SUMPRODUCT($B39:$D39,Exposures!$B$5:$D$5)</f>
        <v>3.1726120296539845E-2</v>
      </c>
      <c r="J39" s="14">
        <f>SUMPRODUCT($B39:$D39,Exposures!$B$6:$D$6)</f>
        <v>-7.0358783028232801E-3</v>
      </c>
      <c r="K39" s="14">
        <f>SUMPRODUCT($B39:$D39,Exposures!$B$7:$D$7)</f>
        <v>-1.2087841926675925E-2</v>
      </c>
      <c r="L39" s="14">
        <f>SUMPRODUCT($B39:$D39,Exposures!$B$8:$D$8)</f>
        <v>1.5364702725639473E-2</v>
      </c>
      <c r="M39" s="14">
        <f>SUMPRODUCT($B39:$D39,Exposures!$B$9:$D$9)</f>
        <v>-4.7989833508164534E-2</v>
      </c>
      <c r="N39" s="14">
        <f>SUMPRODUCT($B39:$D39,Exposures!$B$10:$D$10)</f>
        <v>4.784056523533569E-2</v>
      </c>
      <c r="O39" s="14">
        <f>SUMPRODUCT($B39:$D39,Exposures!$B$11:$D$11)</f>
        <v>3.3913457340073588E-2</v>
      </c>
      <c r="Q39" s="14">
        <f>Returns!B39-F39</f>
        <v>-2.6282404324168271E-2</v>
      </c>
      <c r="R39" s="14">
        <f>Returns!C39-G39</f>
        <v>1.6582630720654145E-2</v>
      </c>
      <c r="S39" s="14">
        <f>Returns!D39-H39</f>
        <v>1.8780654634389868E-3</v>
      </c>
      <c r="T39" s="14">
        <f>Returns!E39-I39</f>
        <v>-3.4336120296539846E-2</v>
      </c>
      <c r="U39" s="14">
        <f>Returns!F39-J39</f>
        <v>2.009087830282328E-2</v>
      </c>
      <c r="V39" s="14">
        <f>Returns!G39-K39</f>
        <v>1.6788419266759256E-3</v>
      </c>
      <c r="W39" s="14">
        <f>Returns!H39-L39</f>
        <v>8.9972972743605287E-3</v>
      </c>
      <c r="X39" s="14">
        <f>Returns!I39-M39</f>
        <v>-8.1891664918354659E-3</v>
      </c>
      <c r="Y39" s="14">
        <f>Returns!J39-N39</f>
        <v>-1.281656523533569E-2</v>
      </c>
      <c r="Z39" s="14">
        <f>Returns!K39-O39</f>
        <v>3.2396542659926406E-2</v>
      </c>
    </row>
    <row r="40" spans="1:26" x14ac:dyDescent="0.2">
      <c r="A40" s="6">
        <f>Returns!A40</f>
        <v>45198</v>
      </c>
      <c r="B40" s="14">
        <f t="array" ref="B40:D40">MMULT(Returns!B40:K40,Exposures!$B$32:$D$41)</f>
        <v>-2.977727970855461E-3</v>
      </c>
      <c r="C40" s="14">
        <v>-3.7720291445407137E-3</v>
      </c>
      <c r="D40" s="14">
        <v>1.3519027033717721E-2</v>
      </c>
      <c r="F40" s="14">
        <f>SUMPRODUCT($B40:$D40,Exposures!$B$2:$D$2)</f>
        <v>1.0550962169643827E-2</v>
      </c>
      <c r="G40" s="14">
        <f>SUMPRODUCT($B40:$D40,Exposures!$B$3:$D$3)</f>
        <v>6.6527844377602639E-3</v>
      </c>
      <c r="H40" s="14">
        <f>SUMPRODUCT($B40:$D40,Exposures!$B$4:$D$4)</f>
        <v>5.9541822662861812E-3</v>
      </c>
      <c r="I40" s="14">
        <f>SUMPRODUCT($B40:$D40,Exposures!$B$5:$D$5)</f>
        <v>-6.9178827360903521E-3</v>
      </c>
      <c r="J40" s="14">
        <f>SUMPRODUCT($B40:$D40,Exposures!$B$6:$D$6)</f>
        <v>4.8473061013627455E-3</v>
      </c>
      <c r="K40" s="14">
        <f>SUMPRODUCT($B40:$D40,Exposures!$B$7:$D$7)</f>
        <v>1.9604453540328779E-2</v>
      </c>
      <c r="L40" s="14">
        <f>SUMPRODUCT($B40:$D40,Exposures!$B$8:$D$8)</f>
        <v>-1.9124809116532294E-2</v>
      </c>
      <c r="M40" s="14">
        <f>SUMPRODUCT($B40:$D40,Exposures!$B$9:$D$9)</f>
        <v>-1.2398448437319298E-2</v>
      </c>
      <c r="N40" s="14">
        <f>SUMPRODUCT($B40:$D40,Exposures!$B$10:$D$10)</f>
        <v>-2.4803421894480975E-2</v>
      </c>
      <c r="O40" s="14">
        <f>SUMPRODUCT($B40:$D40,Exposures!$B$11:$D$11)</f>
        <v>-1.4180126330958893E-2</v>
      </c>
      <c r="Q40" s="14">
        <f>Returns!B40-F40</f>
        <v>9.7010378303561719E-3</v>
      </c>
      <c r="R40" s="14">
        <f>Returns!C40-G40</f>
        <v>-6.6807844377602642E-3</v>
      </c>
      <c r="S40" s="14">
        <f>Returns!D40-H40</f>
        <v>-1.8241822662861812E-3</v>
      </c>
      <c r="T40" s="14">
        <f>Returns!E40-I40</f>
        <v>3.4507882736090352E-2</v>
      </c>
      <c r="U40" s="14">
        <f>Returns!F40-J40</f>
        <v>-2.4282306101362748E-2</v>
      </c>
      <c r="V40" s="14">
        <f>Returns!G40-K40</f>
        <v>-2.8624535403287792E-3</v>
      </c>
      <c r="W40" s="14">
        <f>Returns!H40-L40</f>
        <v>2.0498091165322939E-3</v>
      </c>
      <c r="X40" s="14">
        <f>Returns!I40-M40</f>
        <v>7.456448437319298E-3</v>
      </c>
      <c r="Y40" s="14">
        <f>Returns!J40-N40</f>
        <v>-2.2683578105519027E-2</v>
      </c>
      <c r="Z40" s="14">
        <f>Returns!K40-O40</f>
        <v>4.6181263309588941E-3</v>
      </c>
    </row>
    <row r="41" spans="1:26" x14ac:dyDescent="0.2">
      <c r="A41" s="6">
        <f>Returns!A41</f>
        <v>45205</v>
      </c>
      <c r="B41" s="14">
        <f t="array" ref="B41:D41">MMULT(Returns!B41:K41,Exposures!$B$32:$D$41)</f>
        <v>-7.2279213267875501E-3</v>
      </c>
      <c r="C41" s="14">
        <v>4.5213267875497997E-3</v>
      </c>
      <c r="D41" s="14">
        <v>8.0788870993485466E-3</v>
      </c>
      <c r="F41" s="14">
        <f>SUMPRODUCT($B41:$D41,Exposures!$B$2:$D$2)</f>
        <v>3.0248901835183018E-3</v>
      </c>
      <c r="G41" s="14">
        <f>SUMPRODUCT($B41:$D41,Exposures!$B$3:$D$3)</f>
        <v>3.812078569895442E-3</v>
      </c>
      <c r="H41" s="14">
        <f>SUMPRODUCT($B41:$D41,Exposures!$B$4:$D$4)</f>
        <v>-2.6355684008284438E-3</v>
      </c>
      <c r="I41" s="14">
        <f>SUMPRODUCT($B41:$D41,Exposures!$B$5:$D$5)</f>
        <v>-1.6832284378081479E-2</v>
      </c>
      <c r="J41" s="14">
        <f>SUMPRODUCT($B41:$D41,Exposures!$B$6:$D$6)</f>
        <v>-5.1941618372381565E-3</v>
      </c>
      <c r="K41" s="14">
        <f>SUMPRODUCT($B41:$D41,Exposures!$B$7:$D$7)</f>
        <v>-1.9990201654647381E-3</v>
      </c>
      <c r="L41" s="14">
        <f>SUMPRODUCT($B41:$D41,Exposures!$B$8:$D$8)</f>
        <v>-1.4099375411188563E-2</v>
      </c>
      <c r="M41" s="14">
        <f>SUMPRODUCT($B41:$D41,Exposures!$B$9:$D$9)</f>
        <v>3.3356830824760155E-3</v>
      </c>
      <c r="N41" s="14">
        <f>SUMPRODUCT($B41:$D41,Exposures!$B$10:$D$10)</f>
        <v>-2.3319781934051431E-2</v>
      </c>
      <c r="O41" s="14">
        <f>SUMPRODUCT($B41:$D41,Exposures!$B$11:$D$11)</f>
        <v>-1.832645970903695E-2</v>
      </c>
      <c r="Q41" s="14">
        <f>Returns!B41-F41</f>
        <v>-8.1058901835183023E-3</v>
      </c>
      <c r="R41" s="14">
        <f>Returns!C41-G41</f>
        <v>4.5869214301045586E-3</v>
      </c>
      <c r="S41" s="14">
        <f>Returns!D41-H41</f>
        <v>-4.0804315991715559E-3</v>
      </c>
      <c r="T41" s="14">
        <f>Returns!E41-I41</f>
        <v>-1.7702715621918524E-2</v>
      </c>
      <c r="U41" s="14">
        <f>Returns!F41-J41</f>
        <v>1.5616183723815655E-4</v>
      </c>
      <c r="V41" s="14">
        <f>Returns!G41-K41</f>
        <v>1.9364020165464735E-2</v>
      </c>
      <c r="W41" s="14">
        <f>Returns!H41-L41</f>
        <v>-1.4935624588811435E-2</v>
      </c>
      <c r="X41" s="14">
        <f>Returns!I41-M41</f>
        <v>4.9063169175239838E-3</v>
      </c>
      <c r="Y41" s="14">
        <f>Returns!J41-N41</f>
        <v>3.9925781934051427E-2</v>
      </c>
      <c r="Z41" s="14">
        <f>Returns!K41-O41</f>
        <v>-2.4114540290963049E-2</v>
      </c>
    </row>
    <row r="42" spans="1:26" x14ac:dyDescent="0.2">
      <c r="A42" s="6">
        <f>Returns!A42</f>
        <v>45212</v>
      </c>
      <c r="B42" s="14">
        <f t="array" ref="B42:D42">MMULT(Returns!B42:K42,Exposures!$B$32:$D$41)</f>
        <v>5.3085683376384906E-3</v>
      </c>
      <c r="C42" s="14">
        <v>-1.0968337638489213E-2</v>
      </c>
      <c r="D42" s="14">
        <v>-1.4313142778187017E-2</v>
      </c>
      <c r="F42" s="14">
        <f>SUMPRODUCT($B42:$D42,Exposures!$B$2:$D$2)</f>
        <v>-1.3802625334901907E-2</v>
      </c>
      <c r="G42" s="14">
        <f>SUMPRODUCT($B42:$D42,Exposures!$B$3:$D$3)</f>
        <v>-1.6557957804097023E-2</v>
      </c>
      <c r="H42" s="14">
        <f>SUMPRODUCT($B42:$D42,Exposures!$B$4:$D$4)</f>
        <v>-2.502194472385518E-3</v>
      </c>
      <c r="I42" s="14">
        <f>SUMPRODUCT($B42:$D42,Exposures!$B$5:$D$5)</f>
        <v>2.548944384995229E-2</v>
      </c>
      <c r="J42" s="14">
        <f>SUMPRODUCT($B42:$D42,Exposures!$B$6:$D$6)</f>
        <v>2.8590429109013856E-3</v>
      </c>
      <c r="K42" s="14">
        <f>SUMPRODUCT($B42:$D42,Exposures!$B$7:$D$7)</f>
        <v>-3.4653963839340399E-4</v>
      </c>
      <c r="L42" s="14">
        <f>SUMPRODUCT($B42:$D42,Exposures!$B$8:$D$8)</f>
        <v>1.6269744106299895E-2</v>
      </c>
      <c r="M42" s="14">
        <f>SUMPRODUCT($B42:$D42,Exposures!$B$9:$D$9)</f>
        <v>-2.0476364335005121E-2</v>
      </c>
      <c r="N42" s="14">
        <f>SUMPRODUCT($B42:$D42,Exposures!$B$10:$D$10)</f>
        <v>3.5149188709004048E-2</v>
      </c>
      <c r="O42" s="14">
        <f>SUMPRODUCT($B42:$D42,Exposures!$B$11:$D$11)</f>
        <v>2.6894262008625366E-2</v>
      </c>
      <c r="Q42" s="14">
        <f>Returns!B42-F42</f>
        <v>-1.4623746650980936E-3</v>
      </c>
      <c r="R42" s="14">
        <f>Returns!C42-G42</f>
        <v>-2.8257042195902977E-2</v>
      </c>
      <c r="S42" s="14">
        <f>Returns!D42-H42</f>
        <v>2.5637194472385518E-2</v>
      </c>
      <c r="T42" s="14">
        <f>Returns!E42-I42</f>
        <v>1.4896556150047709E-2</v>
      </c>
      <c r="U42" s="14">
        <f>Returns!F42-J42</f>
        <v>2.3438957089098614E-2</v>
      </c>
      <c r="V42" s="14">
        <f>Returns!G42-K42</f>
        <v>-2.4293460361606595E-2</v>
      </c>
      <c r="W42" s="14">
        <f>Returns!H42-L42</f>
        <v>-1.049744106299896E-3</v>
      </c>
      <c r="X42" s="14">
        <f>Returns!I42-M42</f>
        <v>7.2803643350051218E-3</v>
      </c>
      <c r="Y42" s="14">
        <f>Returns!J42-N42</f>
        <v>-3.3612188709004051E-2</v>
      </c>
      <c r="Z42" s="14">
        <f>Returns!K42-O42</f>
        <v>1.7421737991374635E-2</v>
      </c>
    </row>
    <row r="43" spans="1:26" x14ac:dyDescent="0.2">
      <c r="A43" s="6">
        <f>Returns!A43</f>
        <v>45219</v>
      </c>
      <c r="B43" s="14">
        <f t="array" ref="B43:D43">MMULT(Returns!B43:K43,Exposures!$B$32:$D$41)</f>
        <v>7.4978367450564644E-3</v>
      </c>
      <c r="C43" s="14">
        <v>4.9632549435360378E-3</v>
      </c>
      <c r="D43" s="14">
        <v>-1.195820434866765E-2</v>
      </c>
      <c r="F43" s="14">
        <f>SUMPRODUCT($B43:$D43,Exposures!$B$2:$D$2)</f>
        <v>-3.9483644130597437E-3</v>
      </c>
      <c r="G43" s="14">
        <f>SUMPRODUCT($B43:$D43,Exposures!$B$3:$D$3)</f>
        <v>2.4804555675365762E-4</v>
      </c>
      <c r="H43" s="14">
        <f>SUMPRODUCT($B43:$D43,Exposures!$B$4:$D$4)</f>
        <v>-5.8179003839311898E-4</v>
      </c>
      <c r="I43" s="14">
        <f>SUMPRODUCT($B43:$D43,Exposures!$B$5:$D$5)</f>
        <v>9.2424945211868163E-3</v>
      </c>
      <c r="J43" s="14">
        <f>SUMPRODUCT($B43:$D43,Exposures!$B$6:$D$6)</f>
        <v>-5.8188726796385912E-5</v>
      </c>
      <c r="K43" s="14">
        <f>SUMPRODUCT($B43:$D43,Exposures!$B$7:$D$7)</f>
        <v>-1.4461746069785477E-2</v>
      </c>
      <c r="L43" s="14">
        <f>SUMPRODUCT($B43:$D43,Exposures!$B$8:$D$8)</f>
        <v>2.2447631968467302E-2</v>
      </c>
      <c r="M43" s="14">
        <f>SUMPRODUCT($B43:$D43,Exposures!$B$9:$D$9)</f>
        <v>1.9718762190567625E-2</v>
      </c>
      <c r="N43" s="14">
        <f>SUMPRODUCT($B43:$D43,Exposures!$B$10:$D$10)</f>
        <v>2.6071647587146959E-2</v>
      </c>
      <c r="O43" s="14">
        <f>SUMPRODUCT($B43:$D43,Exposures!$B$11:$D$11)</f>
        <v>1.6349507423912366E-2</v>
      </c>
      <c r="Q43" s="14">
        <f>Returns!B43-F43</f>
        <v>-3.0967635586940261E-2</v>
      </c>
      <c r="R43" s="14">
        <f>Returns!C43-G43</f>
        <v>2.1494954443246339E-2</v>
      </c>
      <c r="S43" s="14">
        <f>Returns!D43-H43</f>
        <v>-8.4420996160688099E-4</v>
      </c>
      <c r="T43" s="14">
        <f>Returns!E43-I43</f>
        <v>2.5922505478813185E-2</v>
      </c>
      <c r="U43" s="14">
        <f>Returns!F43-J43</f>
        <v>5.3281887267963863E-3</v>
      </c>
      <c r="V43" s="14">
        <f>Returns!G43-K43</f>
        <v>-5.887253930214522E-3</v>
      </c>
      <c r="W43" s="14">
        <f>Returns!H43-L43</f>
        <v>-1.0286631968467302E-2</v>
      </c>
      <c r="X43" s="14">
        <f>Returns!I43-M43</f>
        <v>6.6532378094323746E-3</v>
      </c>
      <c r="Y43" s="14">
        <f>Returns!J43-N43</f>
        <v>-1.7094647587146961E-2</v>
      </c>
      <c r="Z43" s="14">
        <f>Returns!K43-O43</f>
        <v>5.6814925760876323E-3</v>
      </c>
    </row>
    <row r="44" spans="1:26" x14ac:dyDescent="0.2">
      <c r="A44" s="6">
        <f>Returns!A44</f>
        <v>45226</v>
      </c>
      <c r="B44" s="14">
        <f t="array" ref="B44:D44">MMULT(Returns!B44:K44,Exposures!$B$32:$D$41)</f>
        <v>-3.0151595089661684E-2</v>
      </c>
      <c r="C44" s="14">
        <v>-1.4504910338320406E-2</v>
      </c>
      <c r="D44" s="14">
        <v>1.6546849759920566E-2</v>
      </c>
      <c r="F44" s="14">
        <f>SUMPRODUCT($B44:$D44,Exposures!$B$2:$D$2)</f>
        <v>-1.6757100159610797E-2</v>
      </c>
      <c r="G44" s="14">
        <f>SUMPRODUCT($B44:$D44,Exposures!$B$3:$D$3)</f>
        <v>-2.6076854876825477E-2</v>
      </c>
      <c r="H44" s="14">
        <f>SUMPRODUCT($B44:$D44,Exposures!$B$4:$D$4)</f>
        <v>-1.8131539603696484E-2</v>
      </c>
      <c r="I44" s="14">
        <f>SUMPRODUCT($B44:$D44,Exposures!$B$5:$D$5)</f>
        <v>-2.4393982386011981E-2</v>
      </c>
      <c r="J44" s="14">
        <f>SUMPRODUCT($B44:$D44,Exposures!$B$6:$D$6)</f>
        <v>-1.6717660670554059E-2</v>
      </c>
      <c r="K44" s="14">
        <f>SUMPRODUCT($B44:$D44,Exposures!$B$7:$D$7)</f>
        <v>9.5517057037835633E-3</v>
      </c>
      <c r="L44" s="14">
        <f>SUMPRODUCT($B44:$D44,Exposures!$B$8:$D$8)</f>
        <v>-5.3969206069087262E-2</v>
      </c>
      <c r="M44" s="14">
        <f>SUMPRODUCT($B44:$D44,Exposures!$B$9:$D$9)</f>
        <v>-6.5314736291045061E-2</v>
      </c>
      <c r="N44" s="14">
        <f>SUMPRODUCT($B44:$D44,Exposures!$B$10:$D$10)</f>
        <v>-5.2415904019679285E-2</v>
      </c>
      <c r="O44" s="14">
        <f>SUMPRODUCT($B44:$D44,Exposures!$B$11:$D$11)</f>
        <v>-3.7435721627273197E-2</v>
      </c>
      <c r="Q44" s="14">
        <f>Returns!B44-F44</f>
        <v>-4.7248998403892038E-3</v>
      </c>
      <c r="R44" s="14">
        <f>Returns!C44-G44</f>
        <v>-3.8405145123174521E-2</v>
      </c>
      <c r="S44" s="14">
        <f>Returns!D44-H44</f>
        <v>3.4816539603696482E-2</v>
      </c>
      <c r="T44" s="14">
        <f>Returns!E44-I44</f>
        <v>7.2109823860119805E-3</v>
      </c>
      <c r="U44" s="14">
        <f>Returns!F44-J44</f>
        <v>3.9436606705540583E-3</v>
      </c>
      <c r="V44" s="14">
        <f>Returns!G44-K44</f>
        <v>-1.5847057037835632E-3</v>
      </c>
      <c r="W44" s="14">
        <f>Returns!H44-L44</f>
        <v>3.5986206069087263E-2</v>
      </c>
      <c r="X44" s="14">
        <f>Returns!I44-M44</f>
        <v>3.1497362910450633E-3</v>
      </c>
      <c r="Y44" s="14">
        <f>Returns!J44-N44</f>
        <v>-2.9595095980320715E-2</v>
      </c>
      <c r="Z44" s="14">
        <f>Returns!K44-O44</f>
        <v>-1.0797278372726801E-2</v>
      </c>
    </row>
    <row r="45" spans="1:26" x14ac:dyDescent="0.2">
      <c r="A45" s="6">
        <f>Returns!A45</f>
        <v>45233</v>
      </c>
      <c r="B45" s="14">
        <f t="array" ref="B45:D45">MMULT(Returns!B45:K45,Exposures!$B$32:$D$41)</f>
        <v>-1.2091157882356408E-2</v>
      </c>
      <c r="C45" s="14">
        <v>-2.844211764359263E-2</v>
      </c>
      <c r="D45" s="14">
        <v>1.3411884817871547E-2</v>
      </c>
      <c r="F45" s="14">
        <f>SUMPRODUCT($B45:$D45,Exposures!$B$2:$D$2)</f>
        <v>-6.5736810768260625E-3</v>
      </c>
      <c r="G45" s="14">
        <f>SUMPRODUCT($B45:$D45,Exposures!$B$3:$D$3)</f>
        <v>-2.180295676373812E-2</v>
      </c>
      <c r="H45" s="14">
        <f>SUMPRODUCT($B45:$D45,Exposures!$B$4:$D$4)</f>
        <v>-5.1303750630214348E-4</v>
      </c>
      <c r="I45" s="14">
        <f>SUMPRODUCT($B45:$D45,Exposures!$B$5:$D$5)</f>
        <v>1.0428895953743494E-2</v>
      </c>
      <c r="J45" s="14">
        <f>SUMPRODUCT($B45:$D45,Exposures!$B$6:$D$6)</f>
        <v>5.3048538630443443E-3</v>
      </c>
      <c r="K45" s="14">
        <f>SUMPRODUCT($B45:$D45,Exposures!$B$7:$D$7)</f>
        <v>4.0446032450595762E-2</v>
      </c>
      <c r="L45" s="14">
        <f>SUMPRODUCT($B45:$D45,Exposures!$B$8:$D$8)</f>
        <v>-3.8237261719530659E-2</v>
      </c>
      <c r="M45" s="14">
        <f>SUMPRODUCT($B45:$D45,Exposures!$B$9:$D$9)</f>
        <v>-8.0470175595078949E-2</v>
      </c>
      <c r="N45" s="14">
        <f>SUMPRODUCT($B45:$D45,Exposures!$B$10:$D$10)</f>
        <v>-2.2628884525836217E-2</v>
      </c>
      <c r="O45" s="14">
        <f>SUMPRODUCT($B45:$D45,Exposures!$B$11:$D$11)</f>
        <v>-7.1497850800714604E-3</v>
      </c>
      <c r="Q45" s="14">
        <f>Returns!B45-F45</f>
        <v>2.5690681076826059E-2</v>
      </c>
      <c r="R45" s="14">
        <f>Returns!C45-G45</f>
        <v>-2.5654043236261879E-2</v>
      </c>
      <c r="S45" s="14">
        <f>Returns!D45-H45</f>
        <v>3.3052037506302145E-2</v>
      </c>
      <c r="T45" s="14">
        <f>Returns!E45-I45</f>
        <v>-2.9547895953743495E-2</v>
      </c>
      <c r="U45" s="14">
        <f>Returns!F45-J45</f>
        <v>-3.4714853863044341E-2</v>
      </c>
      <c r="V45" s="14">
        <f>Returns!G45-K45</f>
        <v>3.8199675494042379E-3</v>
      </c>
      <c r="W45" s="14">
        <f>Returns!H45-L45</f>
        <v>1.470026171953066E-2</v>
      </c>
      <c r="X45" s="14">
        <f>Returns!I45-M45</f>
        <v>-7.1208244049210528E-3</v>
      </c>
      <c r="Y45" s="14">
        <f>Returns!J45-N45</f>
        <v>-6.123115474163783E-3</v>
      </c>
      <c r="Z45" s="14">
        <f>Returns!K45-O45</f>
        <v>2.5897785080071463E-2</v>
      </c>
    </row>
    <row r="46" spans="1:26" x14ac:dyDescent="0.2">
      <c r="A46" s="6">
        <f>Returns!A46</f>
        <v>45240</v>
      </c>
      <c r="B46" s="14">
        <f t="array" ref="B46:D46">MMULT(Returns!B46:K46,Exposures!$B$32:$D$41)</f>
        <v>3.1617186113901921E-2</v>
      </c>
      <c r="C46" s="14">
        <v>-1.948611390191771E-2</v>
      </c>
      <c r="D46" s="14">
        <v>5.0389112878512455E-3</v>
      </c>
      <c r="F46" s="14">
        <f>SUMPRODUCT($B46:$D46,Exposures!$B$2:$D$2)</f>
        <v>3.0874042969046112E-2</v>
      </c>
      <c r="G46" s="14">
        <f>SUMPRODUCT($B46:$D46,Exposures!$B$3:$D$3)</f>
        <v>2.1104204768107766E-2</v>
      </c>
      <c r="H46" s="14">
        <f>SUMPRODUCT($B46:$D46,Exposures!$B$4:$D$4)</f>
        <v>3.693517275445915E-2</v>
      </c>
      <c r="I46" s="14">
        <f>SUMPRODUCT($B46:$D46,Exposures!$B$5:$D$5)</f>
        <v>4.9494370329121636E-2</v>
      </c>
      <c r="J46" s="14">
        <f>SUMPRODUCT($B46:$D46,Exposures!$B$6:$D$6)</f>
        <v>4.1585058840939916E-2</v>
      </c>
      <c r="K46" s="14">
        <f>SUMPRODUCT($B46:$D46,Exposures!$B$7:$D$7)</f>
        <v>6.2091997087083683E-2</v>
      </c>
      <c r="L46" s="14">
        <f>SUMPRODUCT($B46:$D46,Exposures!$B$8:$D$8)</f>
        <v>1.8185855223236319E-2</v>
      </c>
      <c r="M46" s="14">
        <f>SUMPRODUCT($B46:$D46,Exposures!$B$9:$D$9)</f>
        <v>-1.5105793450316943E-2</v>
      </c>
      <c r="N46" s="14">
        <f>SUMPRODUCT($B46:$D46,Exposures!$B$10:$D$10)</f>
        <v>3.1618231728903726E-2</v>
      </c>
      <c r="O46" s="14">
        <f>SUMPRODUCT($B46:$D46,Exposures!$B$11:$D$11)</f>
        <v>3.9193859749418677E-2</v>
      </c>
      <c r="Q46" s="14">
        <f>Returns!B46-F46</f>
        <v>2.3886957030953886E-2</v>
      </c>
      <c r="R46" s="14">
        <f>Returns!C46-G46</f>
        <v>-1.1054204768107766E-2</v>
      </c>
      <c r="S46" s="14">
        <f>Returns!D46-H46</f>
        <v>8.157827245540851E-3</v>
      </c>
      <c r="T46" s="14">
        <f>Returns!E46-I46</f>
        <v>9.5306296708783655E-3</v>
      </c>
      <c r="U46" s="14">
        <f>Returns!F46-J46</f>
        <v>-2.0073058840939916E-2</v>
      </c>
      <c r="V46" s="14">
        <f>Returns!G46-K46</f>
        <v>-7.8279970870836837E-3</v>
      </c>
      <c r="W46" s="14">
        <f>Returns!H46-L46</f>
        <v>8.7081447767636821E-3</v>
      </c>
      <c r="X46" s="14">
        <f>Returns!I46-M46</f>
        <v>-4.6982065496830559E-3</v>
      </c>
      <c r="Y46" s="14">
        <f>Returns!J46-N46</f>
        <v>-9.7812317289037269E-3</v>
      </c>
      <c r="Z46" s="14">
        <f>Returns!K46-O46</f>
        <v>3.1511402505813232E-3</v>
      </c>
    </row>
    <row r="47" spans="1:26" x14ac:dyDescent="0.2">
      <c r="A47" s="6">
        <f>Returns!A47</f>
        <v>45247</v>
      </c>
      <c r="B47" s="14">
        <f t="array" ref="B47:D47">MMULT(Returns!B47:K47,Exposures!$B$32:$D$41)</f>
        <v>2.7655928065551602E-3</v>
      </c>
      <c r="C47" s="14">
        <v>-1.4492806555160021E-2</v>
      </c>
      <c r="D47" s="14">
        <v>-5.9484277611156523E-3</v>
      </c>
      <c r="F47" s="14">
        <f>SUMPRODUCT($B47:$D47,Exposures!$B$2:$D$2)</f>
        <v>-8.3558915507121086E-3</v>
      </c>
      <c r="G47" s="14">
        <f>SUMPRODUCT($B47:$D47,Exposures!$B$3:$D$3)</f>
        <v>-1.4070834124307215E-2</v>
      </c>
      <c r="H47" s="14">
        <f>SUMPRODUCT($B47:$D47,Exposures!$B$4:$D$4)</f>
        <v>6.1229203811990129E-4</v>
      </c>
      <c r="I47" s="14">
        <f>SUMPRODUCT($B47:$D47,Exposures!$B$5:$D$5)</f>
        <v>2.1782468199634617E-2</v>
      </c>
      <c r="J47" s="14">
        <f>SUMPRODUCT($B47:$D47,Exposures!$B$6:$D$6)</f>
        <v>5.6220263153432121E-3</v>
      </c>
      <c r="K47" s="14">
        <f>SUMPRODUCT($B47:$D47,Exposures!$B$7:$D$7)</f>
        <v>1.2535407881566566E-2</v>
      </c>
      <c r="L47" s="14">
        <f>SUMPRODUCT($B47:$D47,Exposures!$B$8:$D$8)</f>
        <v>3.2478441009444565E-3</v>
      </c>
      <c r="M47" s="14">
        <f>SUMPRODUCT($B47:$D47,Exposures!$B$9:$D$9)</f>
        <v>-3.1693762027443818E-2</v>
      </c>
      <c r="N47" s="14">
        <f>SUMPRODUCT($B47:$D47,Exposures!$B$10:$D$10)</f>
        <v>1.9637620060718404E-2</v>
      </c>
      <c r="O47" s="14">
        <f>SUMPRODUCT($B47:$D47,Exposures!$B$11:$D$11)</f>
        <v>1.8193829106135984E-2</v>
      </c>
      <c r="Q47" s="14">
        <f>Returns!B47-F47</f>
        <v>2.4378915507121089E-3</v>
      </c>
      <c r="R47" s="14">
        <f>Returns!C47-G47</f>
        <v>-1.3801165875692786E-2</v>
      </c>
      <c r="S47" s="14">
        <f>Returns!D47-H47</f>
        <v>-1.9919292038119901E-2</v>
      </c>
      <c r="T47" s="14">
        <f>Returns!E47-I47</f>
        <v>-4.2546819963461616E-4</v>
      </c>
      <c r="U47" s="14">
        <f>Returns!F47-J47</f>
        <v>-3.2340263153432121E-3</v>
      </c>
      <c r="V47" s="14">
        <f>Returns!G47-K47</f>
        <v>3.3472592118433432E-2</v>
      </c>
      <c r="W47" s="14">
        <f>Returns!H47-L47</f>
        <v>7.1971558990555429E-3</v>
      </c>
      <c r="X47" s="14">
        <f>Returns!I47-M47</f>
        <v>1.0627762027443817E-2</v>
      </c>
      <c r="Y47" s="14">
        <f>Returns!J47-N47</f>
        <v>3.9657379939281596E-2</v>
      </c>
      <c r="Z47" s="14">
        <f>Returns!K47-O47</f>
        <v>-5.6012829106135982E-2</v>
      </c>
    </row>
    <row r="48" spans="1:26" x14ac:dyDescent="0.2">
      <c r="A48" s="6">
        <f>Returns!A48</f>
        <v>45254</v>
      </c>
      <c r="B48" s="14">
        <f t="array" ref="B48:D48">MMULT(Returns!B48:K48,Exposures!$B$32:$D$41)</f>
        <v>1.2898704572562604E-2</v>
      </c>
      <c r="C48" s="14">
        <v>1.049542743739783E-2</v>
      </c>
      <c r="D48" s="14">
        <v>-1.7614629538075997E-2</v>
      </c>
      <c r="F48" s="14">
        <f>SUMPRODUCT($B48:$D48,Exposures!$B$2:$D$2)</f>
        <v>-2.9427048439729271E-3</v>
      </c>
      <c r="G48" s="14">
        <f>SUMPRODUCT($B48:$D48,Exposures!$B$3:$D$3)</f>
        <v>4.7035325033222344E-3</v>
      </c>
      <c r="H48" s="14">
        <f>SUMPRODUCT($B48:$D48,Exposures!$B$4:$D$4)</f>
        <v>6.4699094546096479E-4</v>
      </c>
      <c r="I48" s="14">
        <f>SUMPRODUCT($B48:$D48,Exposures!$B$5:$D$5)</f>
        <v>1.2061228642011762E-2</v>
      </c>
      <c r="J48" s="14">
        <f>SUMPRODUCT($B48:$D48,Exposures!$B$6:$D$6)</f>
        <v>5.2661198908173119E-4</v>
      </c>
      <c r="K48" s="14">
        <f>SUMPRODUCT($B48:$D48,Exposures!$B$7:$D$7)</f>
        <v>-2.3333174186703824E-2</v>
      </c>
      <c r="L48" s="14">
        <f>SUMPRODUCT($B48:$D48,Exposures!$B$8:$D$8)</f>
        <v>3.6225629723017794E-2</v>
      </c>
      <c r="M48" s="14">
        <f>SUMPRODUCT($B48:$D48,Exposures!$B$9:$D$9)</f>
        <v>3.8511215034085694E-2</v>
      </c>
      <c r="N48" s="14">
        <f>SUMPRODUCT($B48:$D48,Exposures!$B$10:$D$10)</f>
        <v>3.8825217621985819E-2</v>
      </c>
      <c r="O48" s="14">
        <f>SUMPRODUCT($B48:$D48,Exposures!$B$11:$D$11)</f>
        <v>2.386745257171077E-2</v>
      </c>
      <c r="Q48" s="14">
        <f>Returns!B48-F48</f>
        <v>1.5905704843972926E-2</v>
      </c>
      <c r="R48" s="14">
        <f>Returns!C48-G48</f>
        <v>-1.7570532503322234E-2</v>
      </c>
      <c r="S48" s="14">
        <f>Returns!D48-H48</f>
        <v>5.9739009054539036E-2</v>
      </c>
      <c r="T48" s="14">
        <f>Returns!E48-I48</f>
        <v>2.7425771357988238E-2</v>
      </c>
      <c r="U48" s="14">
        <f>Returns!F48-J48</f>
        <v>-4.3075611989081726E-2</v>
      </c>
      <c r="V48" s="14">
        <f>Returns!G48-K48</f>
        <v>-1.8448825813296175E-2</v>
      </c>
      <c r="W48" s="14">
        <f>Returns!H48-L48</f>
        <v>-5.7466297230177946E-3</v>
      </c>
      <c r="X48" s="14">
        <f>Returns!I48-M48</f>
        <v>-1.4792150340856916E-3</v>
      </c>
      <c r="Y48" s="14">
        <f>Returns!J48-N48</f>
        <v>1.1457823780141804E-3</v>
      </c>
      <c r="Z48" s="14">
        <f>Returns!K48-O48</f>
        <v>-1.7895452571710768E-2</v>
      </c>
    </row>
    <row r="49" spans="1:26" x14ac:dyDescent="0.2">
      <c r="A49" s="6">
        <f>Returns!A49</f>
        <v>45261</v>
      </c>
      <c r="B49" s="14">
        <f t="array" ref="B49:D49">MMULT(Returns!B49:K49,Exposures!$B$32:$D$41)</f>
        <v>1.0130562265693123E-2</v>
      </c>
      <c r="C49" s="14">
        <v>4.4377343068762367E-3</v>
      </c>
      <c r="D49" s="14">
        <v>7.8022003117143579E-3</v>
      </c>
      <c r="F49" s="14">
        <f>SUMPRODUCT($B49:$D49,Exposures!$B$2:$D$2)</f>
        <v>2.005503558366217E-2</v>
      </c>
      <c r="G49" s="14">
        <f>SUMPRODUCT($B49:$D49,Exposures!$B$3:$D$3)</f>
        <v>2.0848041314950942E-2</v>
      </c>
      <c r="H49" s="14">
        <f>SUMPRODUCT($B49:$D49,Exposures!$B$4:$D$4)</f>
        <v>1.4557797688316783E-2</v>
      </c>
      <c r="I49" s="14">
        <f>SUMPRODUCT($B49:$D49,Exposures!$B$5:$D$5)</f>
        <v>7.7888837342407913E-4</v>
      </c>
      <c r="J49" s="14">
        <f>SUMPRODUCT($B49:$D49,Exposures!$B$6:$D$6)</f>
        <v>1.2066880032517139E-2</v>
      </c>
      <c r="K49" s="14">
        <f>SUMPRODUCT($B49:$D49,Exposures!$B$7:$D$7)</f>
        <v>1.509345282588421E-2</v>
      </c>
      <c r="L49" s="14">
        <f>SUMPRODUCT($B49:$D49,Exposures!$B$8:$D$8)</f>
        <v>3.5236569948608742E-3</v>
      </c>
      <c r="M49" s="14">
        <f>SUMPRODUCT($B49:$D49,Exposures!$B$9:$D$9)</f>
        <v>2.05026812497759E-2</v>
      </c>
      <c r="N49" s="14">
        <f>SUMPRODUCT($B49:$D49,Exposures!$B$10:$D$10)</f>
        <v>-5.4422467147841654E-3</v>
      </c>
      <c r="O49" s="14">
        <f>SUMPRODUCT($B49:$D49,Exposures!$B$11:$D$11)</f>
        <v>-6.3418734860793292E-4</v>
      </c>
      <c r="Q49" s="14">
        <f>Returns!B49-F49</f>
        <v>-1.7103558366217061E-4</v>
      </c>
      <c r="R49" s="14">
        <f>Returns!C49-G49</f>
        <v>1.3169586850490592E-3</v>
      </c>
      <c r="S49" s="14">
        <f>Returns!D49-H49</f>
        <v>-6.4427976883167822E-3</v>
      </c>
      <c r="T49" s="14">
        <f>Returns!E49-I49</f>
        <v>3.6289111626575915E-2</v>
      </c>
      <c r="U49" s="14">
        <f>Returns!F49-J49</f>
        <v>-4.5688880032517136E-2</v>
      </c>
      <c r="V49" s="14">
        <f>Returns!G49-K49</f>
        <v>2.004754717411579E-2</v>
      </c>
      <c r="W49" s="14">
        <f>Returns!H49-L49</f>
        <v>-2.5238656994860876E-2</v>
      </c>
      <c r="X49" s="14">
        <f>Returns!I49-M49</f>
        <v>2.1269318750224097E-2</v>
      </c>
      <c r="Y49" s="14">
        <f>Returns!J49-N49</f>
        <v>1.2018246714784166E-2</v>
      </c>
      <c r="Z49" s="14">
        <f>Returns!K49-O49</f>
        <v>-1.3399812651392066E-2</v>
      </c>
    </row>
    <row r="50" spans="1:26" x14ac:dyDescent="0.2">
      <c r="A50" s="6">
        <f>Returns!A50</f>
        <v>45268</v>
      </c>
      <c r="B50" s="14">
        <f t="array" ref="B50:D50">MMULT(Returns!B50:K50,Exposures!$B$32:$D$41)</f>
        <v>-2.1238891331782167E-2</v>
      </c>
      <c r="C50" s="14">
        <v>-1.040866821783051E-2</v>
      </c>
      <c r="D50" s="14">
        <v>6.6163221402934565E-3</v>
      </c>
      <c r="F50" s="14">
        <f>SUMPRODUCT($B50:$D50,Exposures!$B$2:$D$2)</f>
        <v>-1.7357874028568063E-2</v>
      </c>
      <c r="G50" s="14">
        <f>SUMPRODUCT($B50:$D50,Exposures!$B$3:$D$3)</f>
        <v>-2.320447295121705E-2</v>
      </c>
      <c r="H50" s="14">
        <f>SUMPRODUCT($B50:$D50,Exposures!$B$4:$D$4)</f>
        <v>-1.5925654879435935E-2</v>
      </c>
      <c r="I50" s="14">
        <f>SUMPRODUCT($B50:$D50,Exposures!$B$5:$D$5)</f>
        <v>-1.400524640147666E-2</v>
      </c>
      <c r="J50" s="14">
        <f>SUMPRODUCT($B50:$D50,Exposures!$B$6:$D$6)</f>
        <v>-1.4069839320890343E-2</v>
      </c>
      <c r="K50" s="14">
        <f>SUMPRODUCT($B50:$D50,Exposures!$B$7:$D$7)</f>
        <v>2.5939234056135234E-4</v>
      </c>
      <c r="L50" s="14">
        <f>SUMPRODUCT($B50:$D50,Exposures!$B$8:$D$8)</f>
        <v>-3.2652073212609607E-2</v>
      </c>
      <c r="M50" s="14">
        <f>SUMPRODUCT($B50:$D50,Exposures!$B$9:$D$9)</f>
        <v>-4.631409803660589E-2</v>
      </c>
      <c r="N50" s="14">
        <f>SUMPRODUCT($B50:$D50,Exposures!$B$10:$D$10)</f>
        <v>-2.8067391157869052E-2</v>
      </c>
      <c r="O50" s="14">
        <f>SUMPRODUCT($B50:$D50,Exposures!$B$11:$D$11)</f>
        <v>-2.1155742351888725E-2</v>
      </c>
      <c r="Q50" s="14">
        <f>Returns!B50-F50</f>
        <v>1.8787874028568064E-2</v>
      </c>
      <c r="R50" s="14">
        <f>Returns!C50-G50</f>
        <v>-1.2945527048782952E-2</v>
      </c>
      <c r="S50" s="14">
        <f>Returns!D50-H50</f>
        <v>-2.6465345120564063E-2</v>
      </c>
      <c r="T50" s="14">
        <f>Returns!E50-I50</f>
        <v>-3.8342753598523335E-2</v>
      </c>
      <c r="U50" s="14">
        <f>Returns!F50-J50</f>
        <v>3.0458393208903419E-3</v>
      </c>
      <c r="V50" s="14">
        <f>Returns!G50-K50</f>
        <v>2.6627607659438647E-2</v>
      </c>
      <c r="W50" s="14">
        <f>Returns!H50-L50</f>
        <v>2.2300073212609607E-2</v>
      </c>
      <c r="X50" s="14">
        <f>Returns!I50-M50</f>
        <v>-4.9209019633941128E-3</v>
      </c>
      <c r="Y50" s="14">
        <f>Returns!J50-N50</f>
        <v>2.0912391157869054E-2</v>
      </c>
      <c r="Z50" s="14">
        <f>Returns!K50-O50</f>
        <v>-8.9992576481112765E-3</v>
      </c>
    </row>
    <row r="51" spans="1:26" x14ac:dyDescent="0.2">
      <c r="A51" s="6">
        <f>Returns!A51</f>
        <v>45275</v>
      </c>
      <c r="B51" s="14">
        <f t="array" ref="B51:D51">MMULT(Returns!B51:K51,Exposures!$B$32:$D$41)</f>
        <v>-7.1727216288605226E-3</v>
      </c>
      <c r="C51" s="14">
        <v>-4.6783711394770434E-3</v>
      </c>
      <c r="D51" s="14">
        <v>-1.5646675209294381E-3</v>
      </c>
      <c r="F51" s="14">
        <f>SUMPRODUCT($B51:$D51,Exposures!$B$2:$D$2)</f>
        <v>-1.0375287991306265E-2</v>
      </c>
      <c r="G51" s="14">
        <f>SUMPRODUCT($B51:$D51,Exposures!$B$3:$D$3)</f>
        <v>-1.2276991912116994E-2</v>
      </c>
      <c r="H51" s="14">
        <f>SUMPRODUCT($B51:$D51,Exposures!$B$4:$D$4)</f>
        <v>-7.6438413417035944E-3</v>
      </c>
      <c r="I51" s="14">
        <f>SUMPRODUCT($B51:$D51,Exposures!$B$5:$D$5)</f>
        <v>-1.2437106722717173E-3</v>
      </c>
      <c r="J51" s="14">
        <f>SUMPRODUCT($B51:$D51,Exposures!$B$6:$D$6)</f>
        <v>-6.0835506193013117E-3</v>
      </c>
      <c r="K51" s="14">
        <f>SUMPRODUCT($B51:$D51,Exposures!$B$7:$D$7)</f>
        <v>-3.5461166415346823E-3</v>
      </c>
      <c r="L51" s="14">
        <f>SUMPRODUCT($B51:$D51,Exposures!$B$8:$D$8)</f>
        <v>-7.401012873442317E-3</v>
      </c>
      <c r="M51" s="14">
        <f>SUMPRODUCT($B51:$D51,Exposures!$B$9:$D$9)</f>
        <v>-1.8307088626582771E-2</v>
      </c>
      <c r="N51" s="14">
        <f>SUMPRODUCT($B51:$D51,Exposures!$B$10:$D$10)</f>
        <v>-2.3449331296786307E-3</v>
      </c>
      <c r="O51" s="14">
        <f>SUMPRODUCT($B51:$D51,Exposures!$B$11:$D$11)</f>
        <v>-2.5514661920617117E-3</v>
      </c>
      <c r="Q51" s="14">
        <f>Returns!B51-F51</f>
        <v>1.6928799130626511E-4</v>
      </c>
      <c r="R51" s="14">
        <f>Returns!C51-G51</f>
        <v>1.9089991912116994E-2</v>
      </c>
      <c r="S51" s="14">
        <f>Returns!D51-H51</f>
        <v>3.5144841341703592E-2</v>
      </c>
      <c r="T51" s="14">
        <f>Returns!E51-I51</f>
        <v>-1.7901289327728283E-2</v>
      </c>
      <c r="U51" s="14">
        <f>Returns!F51-J51</f>
        <v>-8.8634493806986885E-3</v>
      </c>
      <c r="V51" s="14">
        <f>Returns!G51-K51</f>
        <v>-1.382188335846532E-2</v>
      </c>
      <c r="W51" s="14">
        <f>Returns!H51-L51</f>
        <v>1.8970128734423167E-3</v>
      </c>
      <c r="X51" s="14">
        <f>Returns!I51-M51</f>
        <v>-2.2072911373417228E-2</v>
      </c>
      <c r="Y51" s="14">
        <f>Returns!J51-N51</f>
        <v>2.7785933129678628E-2</v>
      </c>
      <c r="Z51" s="14">
        <f>Returns!K51-O51</f>
        <v>-2.1427533807938288E-2</v>
      </c>
    </row>
    <row r="52" spans="1:26" x14ac:dyDescent="0.2">
      <c r="A52" s="6">
        <f>Returns!A52</f>
        <v>45282</v>
      </c>
      <c r="B52" s="14">
        <f t="array" ref="B52:D52">MMULT(Returns!B52:K52,Exposures!$B$32:$D$41)</f>
        <v>9.1862008276057949E-3</v>
      </c>
      <c r="C52" s="14">
        <v>4.4991723942067186E-3</v>
      </c>
      <c r="D52" s="14">
        <v>9.8180924431814746E-3</v>
      </c>
      <c r="F52" s="14">
        <f>SUMPRODUCT($B52:$D52,Exposures!$B$2:$D$2)</f>
        <v>2.1327656756819753E-2</v>
      </c>
      <c r="G52" s="14">
        <f>SUMPRODUCT($B52:$D52,Exposures!$B$3:$D$3)</f>
        <v>2.1826381267245808E-2</v>
      </c>
      <c r="H52" s="14">
        <f>SUMPRODUCT($B52:$D52,Exposures!$B$4:$D$4)</f>
        <v>1.4876690103447384E-2</v>
      </c>
      <c r="I52" s="14">
        <f>SUMPRODUCT($B52:$D52,Exposures!$B$5:$D$5)</f>
        <v>-1.420588175672464E-3</v>
      </c>
      <c r="J52" s="14">
        <f>SUMPRODUCT($B52:$D52,Exposures!$B$6:$D$6)</f>
        <v>1.2046027042160467E-2</v>
      </c>
      <c r="K52" s="14">
        <f>SUMPRODUCT($B52:$D52,Exposures!$B$7:$D$7)</f>
        <v>1.675527345610496E-2</v>
      </c>
      <c r="L52" s="14">
        <f>SUMPRODUCT($B52:$D52,Exposures!$B$8:$D$8)</f>
        <v>4.2732167059455692E-4</v>
      </c>
      <c r="M52" s="14">
        <f>SUMPRODUCT($B52:$D52,Exposures!$B$9:$D$9)</f>
        <v>1.9644680076464409E-2</v>
      </c>
      <c r="N52" s="14">
        <f>SUMPRODUCT($B52:$D52,Exposures!$B$10:$D$10)</f>
        <v>-9.9219076009229926E-3</v>
      </c>
      <c r="O52" s="14">
        <f>SUMPRODUCT($B52:$D52,Exposures!$B$11:$D$11)</f>
        <v>-3.6545345962418624E-3</v>
      </c>
      <c r="Q52" s="14">
        <f>Returns!B52-F52</f>
        <v>-1.0467656756819753E-2</v>
      </c>
      <c r="R52" s="14">
        <f>Returns!C52-G52</f>
        <v>-4.4769381267245806E-2</v>
      </c>
      <c r="S52" s="14">
        <f>Returns!D52-H52</f>
        <v>-4.8856901034473842E-3</v>
      </c>
      <c r="T52" s="14">
        <f>Returns!E52-I52</f>
        <v>1.4655881756724639E-3</v>
      </c>
      <c r="U52" s="14">
        <f>Returns!F52-J52</f>
        <v>-2.3146027042160469E-2</v>
      </c>
      <c r="V52" s="14">
        <f>Returns!G52-K52</f>
        <v>5.5655726543895043E-2</v>
      </c>
      <c r="W52" s="14">
        <f>Returns!H52-L52</f>
        <v>-6.2873216705945567E-3</v>
      </c>
      <c r="X52" s="14">
        <f>Returns!I52-M52</f>
        <v>3.8465319923535593E-2</v>
      </c>
      <c r="Y52" s="14">
        <f>Returns!J52-N52</f>
        <v>2.449690760092299E-2</v>
      </c>
      <c r="Z52" s="14">
        <f>Returns!K52-O52</f>
        <v>-3.0527465403758135E-2</v>
      </c>
    </row>
    <row r="53" spans="1:26" x14ac:dyDescent="0.2">
      <c r="A53" s="6">
        <f>Returns!A53</f>
        <v>45289</v>
      </c>
      <c r="B53" s="14">
        <f t="array" ref="B53:D53">MMULT(Returns!B53:K53,Exposures!$B$32:$D$41)</f>
        <v>-2.1886549989050805E-2</v>
      </c>
      <c r="C53" s="14">
        <v>-1.4450010949193381E-2</v>
      </c>
      <c r="D53" s="14">
        <v>-5.0662781151351848E-3</v>
      </c>
      <c r="F53" s="14">
        <f>SUMPRODUCT($B53:$D53,Exposures!$B$2:$D$2)</f>
        <v>-3.2032796638290041E-2</v>
      </c>
      <c r="G53" s="14">
        <f>SUMPRODUCT($B53:$D53,Exposures!$B$3:$D$3)</f>
        <v>-3.7869197176497366E-2</v>
      </c>
      <c r="H53" s="14">
        <f>SUMPRODUCT($B53:$D53,Exposures!$B$4:$D$4)</f>
        <v>-2.34888039971747E-2</v>
      </c>
      <c r="I53" s="14">
        <f>SUMPRODUCT($B53:$D53,Exposures!$B$5:$D$5)</f>
        <v>-3.4359341854841275E-3</v>
      </c>
      <c r="J53" s="14">
        <f>SUMPRODUCT($B53:$D53,Exposures!$B$6:$D$6)</f>
        <v>-1.8632196432978924E-2</v>
      </c>
      <c r="K53" s="14">
        <f>SUMPRODUCT($B53:$D53,Exposures!$B$7:$D$7)</f>
        <v>-1.0995686524164676E-2</v>
      </c>
      <c r="L53" s="14">
        <f>SUMPRODUCT($B53:$D53,Exposures!$B$8:$D$8)</f>
        <v>-2.2339474113874089E-2</v>
      </c>
      <c r="M53" s="14">
        <f>SUMPRODUCT($B53:$D53,Exposures!$B$9:$D$9)</f>
        <v>-5.627008781416893E-2</v>
      </c>
      <c r="N53" s="14">
        <f>SUMPRODUCT($B53:$D53,Exposures!$B$10:$D$10)</f>
        <v>-6.568721141578561E-3</v>
      </c>
      <c r="O53" s="14">
        <f>SUMPRODUCT($B53:$D53,Exposures!$B$11:$D$11)</f>
        <v>-7.3771019757885702E-3</v>
      </c>
      <c r="Q53" s="14">
        <f>Returns!B53-F53</f>
        <v>1.8422796638290041E-2</v>
      </c>
      <c r="R53" s="14">
        <f>Returns!C53-G53</f>
        <v>4.3432197176497364E-2</v>
      </c>
      <c r="S53" s="14">
        <f>Returns!D53-H53</f>
        <v>2.14838039971747E-2</v>
      </c>
      <c r="T53" s="14">
        <f>Returns!E53-I53</f>
        <v>1.6093418548412735E-4</v>
      </c>
      <c r="U53" s="14">
        <f>Returns!F53-J53</f>
        <v>8.825196432978924E-3</v>
      </c>
      <c r="V53" s="14">
        <f>Returns!G53-K53</f>
        <v>-5.0016313475835322E-2</v>
      </c>
      <c r="W53" s="14">
        <f>Returns!H53-L53</f>
        <v>9.3474741138740887E-3</v>
      </c>
      <c r="X53" s="14">
        <f>Returns!I53-M53</f>
        <v>-4.4404912185831071E-2</v>
      </c>
      <c r="Y53" s="14">
        <f>Returns!J53-N53</f>
        <v>1.3834721141578561E-2</v>
      </c>
      <c r="Z53" s="14">
        <f>Returns!K53-O53</f>
        <v>-2.108589802421143E-2</v>
      </c>
    </row>
    <row r="54" spans="1:26" x14ac:dyDescent="0.2">
      <c r="A54" s="6">
        <f>Returns!A54</f>
        <v>45296</v>
      </c>
      <c r="B54" s="14">
        <f t="array" ref="B54:D54">MMULT(Returns!B54:K54,Exposures!$B$32:$D$41)</f>
        <v>6.4835410219929107E-3</v>
      </c>
      <c r="C54" s="14">
        <v>1.4589780070896417E-3</v>
      </c>
      <c r="D54" s="14">
        <v>-4.515181837840207E-4</v>
      </c>
      <c r="F54" s="14">
        <f>SUMPRODUCT($B54:$D54,Exposures!$B$2:$D$2)</f>
        <v>6.4582591639370133E-3</v>
      </c>
      <c r="G54" s="14">
        <f>SUMPRODUCT($B54:$D54,Exposures!$B$3:$D$3)</f>
        <v>7.2016319566036921E-3</v>
      </c>
      <c r="H54" s="14">
        <f>SUMPRODUCT($B54:$D54,Exposures!$B$4:$D$4)</f>
        <v>6.038596985429117E-3</v>
      </c>
      <c r="I54" s="14">
        <f>SUMPRODUCT($B54:$D54,Exposures!$B$5:$D$5)</f>
        <v>5.1888302828395662E-3</v>
      </c>
      <c r="J54" s="14">
        <f>SUMPRODUCT($B54:$D54,Exposures!$B$6:$D$6)</f>
        <v>5.7023260528494607E-3</v>
      </c>
      <c r="K54" s="14">
        <f>SUMPRODUCT($B54:$D54,Exposures!$B$7:$D$7)</f>
        <v>4.1030686689108005E-3</v>
      </c>
      <c r="L54" s="14">
        <f>SUMPRODUCT($B54:$D54,Exposures!$B$8:$D$8)</f>
        <v>7.5693616433864059E-3</v>
      </c>
      <c r="M54" s="14">
        <f>SUMPRODUCT($B54:$D54,Exposures!$B$9:$D$9)</f>
        <v>9.9840440044506751E-3</v>
      </c>
      <c r="N54" s="14">
        <f>SUMPRODUCT($B54:$D54,Exposures!$B$10:$D$10)</f>
        <v>6.6126425585867682E-3</v>
      </c>
      <c r="O54" s="14">
        <f>SUMPRODUCT($B54:$D54,Exposures!$B$11:$D$11)</f>
        <v>5.9912386830065041E-3</v>
      </c>
      <c r="Q54" s="14">
        <f>Returns!B54-F54</f>
        <v>8.9847408360629877E-3</v>
      </c>
      <c r="R54" s="14">
        <f>Returns!C54-G54</f>
        <v>2.2870368043396309E-2</v>
      </c>
      <c r="S54" s="14">
        <f>Returns!D54-H54</f>
        <v>3.1798403014570889E-2</v>
      </c>
      <c r="T54" s="14">
        <f>Returns!E54-I54</f>
        <v>-1.7882830282839567E-2</v>
      </c>
      <c r="U54" s="14">
        <f>Returns!F54-J54</f>
        <v>-1.5186326052849461E-2</v>
      </c>
      <c r="V54" s="14">
        <f>Returns!G54-K54</f>
        <v>-1.3502068668910801E-2</v>
      </c>
      <c r="W54" s="14">
        <f>Returns!H54-L54</f>
        <v>-4.7708361643386404E-2</v>
      </c>
      <c r="X54" s="14">
        <f>Returns!I54-M54</f>
        <v>-1.0559044004450676E-2</v>
      </c>
      <c r="Y54" s="14">
        <f>Returns!J54-N54</f>
        <v>6.410435744141324E-2</v>
      </c>
      <c r="Z54" s="14">
        <f>Returns!K54-O54</f>
        <v>-2.2919238683006504E-2</v>
      </c>
    </row>
    <row r="55" spans="1:26" x14ac:dyDescent="0.2">
      <c r="A55" s="6">
        <f>Returns!A55</f>
        <v>45303</v>
      </c>
      <c r="B55" s="14">
        <f t="array" ref="B55:D55">MMULT(Returns!B55:K55,Exposures!$B$32:$D$41)</f>
        <v>-6.1169472889111426E-3</v>
      </c>
      <c r="C55" s="14">
        <v>-8.5527110888591572E-3</v>
      </c>
      <c r="D55" s="14">
        <v>9.6194518220313642E-3</v>
      </c>
      <c r="F55" s="14">
        <f>SUMPRODUCT($B55:$D55,Exposures!$B$2:$D$2)</f>
        <v>1.6313876486681155E-3</v>
      </c>
      <c r="G55" s="14">
        <f>SUMPRODUCT($B55:$D55,Exposures!$B$3:$D$3)</f>
        <v>-3.8419717437321154E-3</v>
      </c>
      <c r="H55" s="14">
        <f>SUMPRODUCT($B55:$D55,Exposures!$B$4:$D$4)</f>
        <v>8.8410557874312422E-4</v>
      </c>
      <c r="I55" s="14">
        <f>SUMPRODUCT($B55:$D55,Exposures!$B$5:$D$5)</f>
        <v>-2.6410229988303481E-3</v>
      </c>
      <c r="J55" s="14">
        <f>SUMPRODUCT($B55:$D55,Exposures!$B$6:$D$6)</f>
        <v>1.7397523920986693E-3</v>
      </c>
      <c r="K55" s="14">
        <f>SUMPRODUCT($B55:$D55,Exposures!$B$7:$D$7)</f>
        <v>1.7111231162798744E-2</v>
      </c>
      <c r="L55" s="14">
        <f>SUMPRODUCT($B55:$D55,Exposures!$B$8:$D$8)</f>
        <v>-2.0012566803137267E-2</v>
      </c>
      <c r="M55" s="14">
        <f>SUMPRODUCT($B55:$D55,Exposures!$B$9:$D$9)</f>
        <v>-2.6846510345945471E-2</v>
      </c>
      <c r="N55" s="14">
        <f>SUMPRODUCT($B55:$D55,Exposures!$B$10:$D$10)</f>
        <v>-1.9006073469259095E-2</v>
      </c>
      <c r="O55" s="14">
        <f>SUMPRODUCT($B55:$D55,Exposures!$B$11:$D$11)</f>
        <v>-1.0273331421404366E-2</v>
      </c>
      <c r="Q55" s="14">
        <f>Returns!B55-F55</f>
        <v>1.2908612351331885E-2</v>
      </c>
      <c r="R55" s="14">
        <f>Returns!C55-G55</f>
        <v>-3.6824028256267884E-2</v>
      </c>
      <c r="S55" s="14">
        <f>Returns!D55-H55</f>
        <v>7.5238944212568763E-3</v>
      </c>
      <c r="T55" s="14">
        <f>Returns!E55-I55</f>
        <v>-8.7689770011696519E-3</v>
      </c>
      <c r="U55" s="14">
        <f>Returns!F55-J55</f>
        <v>-3.5787523920986692E-3</v>
      </c>
      <c r="V55" s="14">
        <f>Returns!G55-K55</f>
        <v>1.9418768837201256E-2</v>
      </c>
      <c r="W55" s="14">
        <f>Returns!H55-L55</f>
        <v>4.7825566803137265E-2</v>
      </c>
      <c r="X55" s="14">
        <f>Returns!I55-M55</f>
        <v>-1.9984896540545284E-3</v>
      </c>
      <c r="Y55" s="14">
        <f>Returns!J55-N55</f>
        <v>-1.1469265307409056E-3</v>
      </c>
      <c r="Z55" s="14">
        <f>Returns!K55-O55</f>
        <v>-3.5359668578595634E-2</v>
      </c>
    </row>
    <row r="56" spans="1:26" x14ac:dyDescent="0.2">
      <c r="A56" s="6">
        <f>Returns!A56</f>
        <v>45310</v>
      </c>
      <c r="B56" s="14">
        <f t="array" ref="B56:D56">MMULT(Returns!B56:K56,Exposures!$B$32:$D$41)</f>
        <v>2.1425352813953313E-2</v>
      </c>
      <c r="C56" s="14">
        <v>1.61471860466827E-2</v>
      </c>
      <c r="D56" s="14">
        <v>6.9662504877574822E-3</v>
      </c>
      <c r="F56" s="14">
        <f>SUMPRODUCT($B56:$D56,Exposures!$B$2:$D$2)</f>
        <v>3.4185665380547431E-2</v>
      </c>
      <c r="G56" s="14">
        <f>SUMPRODUCT($B56:$D56,Exposures!$B$3:$D$3)</f>
        <v>4.0498770883980281E-2</v>
      </c>
      <c r="H56" s="14">
        <f>SUMPRODUCT($B56:$D56,Exposures!$B$4:$D$4)</f>
        <v>2.4037900156105428E-2</v>
      </c>
      <c r="I56" s="14">
        <f>SUMPRODUCT($B56:$D56,Exposures!$B$5:$D$5)</f>
        <v>3.7775956225908659E-5</v>
      </c>
      <c r="J56" s="14">
        <f>SUMPRODUCT($B56:$D56,Exposures!$B$6:$D$6)</f>
        <v>1.8402087984993078E-2</v>
      </c>
      <c r="K56" s="14">
        <f>SUMPRODUCT($B56:$D56,Exposures!$B$7:$D$7)</f>
        <v>1.0990898985717869E-2</v>
      </c>
      <c r="L56" s="14">
        <f>SUMPRODUCT($B56:$D56,Exposures!$B$8:$D$8)</f>
        <v>2.0522148566315138E-2</v>
      </c>
      <c r="M56" s="14">
        <f>SUMPRODUCT($B56:$D56,Exposures!$B$9:$D$9)</f>
        <v>5.9808139950892243E-2</v>
      </c>
      <c r="N56" s="14">
        <f>SUMPRODUCT($B56:$D56,Exposures!$B$10:$D$10)</f>
        <v>2.0378432442480776E-3</v>
      </c>
      <c r="O56" s="14">
        <f>SUMPRODUCT($B56:$D56,Exposures!$B$11:$D$11)</f>
        <v>3.8937688909745005E-3</v>
      </c>
      <c r="Q56" s="14">
        <f>Returns!B56-F56</f>
        <v>8.8663346194525691E-3</v>
      </c>
      <c r="R56" s="14">
        <f>Returns!C56-G56</f>
        <v>-1.9109770883980283E-2</v>
      </c>
      <c r="S56" s="14">
        <f>Returns!D56-H56</f>
        <v>3.0686099843894574E-2</v>
      </c>
      <c r="T56" s="14">
        <f>Returns!E56-I56</f>
        <v>1.7661224043774092E-2</v>
      </c>
      <c r="U56" s="14">
        <f>Returns!F56-J56</f>
        <v>4.188891201500692E-2</v>
      </c>
      <c r="V56" s="14">
        <f>Returns!G56-K56</f>
        <v>-4.3697898985717867E-2</v>
      </c>
      <c r="W56" s="14">
        <f>Returns!H56-L56</f>
        <v>-1.5532148566315138E-2</v>
      </c>
      <c r="X56" s="14">
        <f>Returns!I56-M56</f>
        <v>-2.9601399508922405E-3</v>
      </c>
      <c r="Y56" s="14">
        <f>Returns!J56-N56</f>
        <v>-3.8108432442480779E-3</v>
      </c>
      <c r="Z56" s="14">
        <f>Returns!K56-O56</f>
        <v>-1.3991768890974501E-2</v>
      </c>
    </row>
    <row r="57" spans="1:26" x14ac:dyDescent="0.2">
      <c r="A57" s="6">
        <f>Returns!A57</f>
        <v>45317</v>
      </c>
      <c r="B57" s="14">
        <f t="array" ref="B57:D57">MMULT(Returns!B57:K57,Exposures!$B$32:$D$41)</f>
        <v>1.4509472330780756E-2</v>
      </c>
      <c r="C57" s="14">
        <v>-1.6723307807559051E-3</v>
      </c>
      <c r="D57" s="14">
        <v>9.111870115072712E-4</v>
      </c>
      <c r="F57" s="14">
        <f>SUMPRODUCT($B57:$D57,Exposures!$B$2:$D$2)</f>
        <v>1.4967520323481791E-2</v>
      </c>
      <c r="G57" s="14">
        <f>SUMPRODUCT($B57:$D57,Exposures!$B$3:$D$3)</f>
        <v>1.4052458242492911E-2</v>
      </c>
      <c r="H57" s="14">
        <f>SUMPRODUCT($B57:$D57,Exposures!$B$4:$D$4)</f>
        <v>1.5267476533913487E-2</v>
      </c>
      <c r="I57" s="14">
        <f>SUMPRODUCT($B57:$D57,Exposures!$B$5:$D$5)</f>
        <v>1.5761265929400286E-2</v>
      </c>
      <c r="J57" s="14">
        <f>SUMPRODUCT($B57:$D57,Exposures!$B$6:$D$6)</f>
        <v>1.5589939230683976E-2</v>
      </c>
      <c r="K57" s="14">
        <f>SUMPRODUCT($B57:$D57,Exposures!$B$7:$D$7)</f>
        <v>1.7761594608607632E-2</v>
      </c>
      <c r="L57" s="14">
        <f>SUMPRODUCT($B57:$D57,Exposures!$B$8:$D$8)</f>
        <v>1.2839734738242983E-2</v>
      </c>
      <c r="M57" s="14">
        <f>SUMPRODUCT($B57:$D57,Exposures!$B$9:$D$9)</f>
        <v>1.0485266154428925E-2</v>
      </c>
      <c r="N57" s="14">
        <f>SUMPRODUCT($B57:$D57,Exposures!$B$10:$D$10)</f>
        <v>1.3676555782098261E-2</v>
      </c>
      <c r="O57" s="14">
        <f>SUMPRODUCT($B57:$D57,Exposures!$B$11:$D$11)</f>
        <v>1.4676188456649749E-2</v>
      </c>
      <c r="Q57" s="14">
        <f>Returns!B57-F57</f>
        <v>1.0332479676518208E-2</v>
      </c>
      <c r="R57" s="14">
        <f>Returns!C57-G57</f>
        <v>-1.2861458242492912E-2</v>
      </c>
      <c r="S57" s="14">
        <f>Returns!D57-H57</f>
        <v>1.2650523466086512E-2</v>
      </c>
      <c r="T57" s="14">
        <f>Returns!E57-I57</f>
        <v>3.793673407059972E-2</v>
      </c>
      <c r="U57" s="14">
        <f>Returns!F57-J57</f>
        <v>2.7615060769316024E-2</v>
      </c>
      <c r="V57" s="14">
        <f>Returns!G57-K57</f>
        <v>-3.0345594608607633E-2</v>
      </c>
      <c r="W57" s="14">
        <f>Returns!H57-L57</f>
        <v>-3.0844734738242983E-2</v>
      </c>
      <c r="X57" s="14">
        <f>Returns!I57-M57</f>
        <v>7.3137338455710743E-3</v>
      </c>
      <c r="Y57" s="14">
        <f>Returns!J57-N57</f>
        <v>1.7281444217901738E-2</v>
      </c>
      <c r="Z57" s="14">
        <f>Returns!K57-O57</f>
        <v>-3.9078188456649746E-2</v>
      </c>
    </row>
    <row r="58" spans="1:26" x14ac:dyDescent="0.2">
      <c r="A58" s="6">
        <f>Returns!A58</f>
        <v>45324</v>
      </c>
      <c r="B58" s="14">
        <f t="array" ref="B58:D58">MMULT(Returns!B58:K58,Exposures!$B$32:$D$41)</f>
        <v>-2.3614989833888655E-2</v>
      </c>
      <c r="C58" s="14">
        <v>-1.4101661113424915E-3</v>
      </c>
      <c r="D58" s="14">
        <v>-1.7379004032481205E-2</v>
      </c>
      <c r="F58" s="14">
        <f>SUMPRODUCT($B58:$D58,Exposures!$B$2:$D$2)</f>
        <v>-4.3009357384922772E-2</v>
      </c>
      <c r="G58" s="14">
        <f>SUMPRODUCT($B58:$D58,Exposures!$B$3:$D$3)</f>
        <v>-4.0877393150943325E-2</v>
      </c>
      <c r="H58" s="14">
        <f>SUMPRODUCT($B58:$D58,Exposures!$B$4:$D$4)</f>
        <v>-3.440864410210414E-2</v>
      </c>
      <c r="I58" s="14">
        <f>SUMPRODUCT($B58:$D58,Exposures!$B$5:$D$5)</f>
        <v>-1.1852499715588279E-2</v>
      </c>
      <c r="J58" s="14">
        <f>SUMPRODUCT($B58:$D58,Exposures!$B$6:$D$6)</f>
        <v>-3.1233156945731248E-2</v>
      </c>
      <c r="K58" s="14">
        <f>SUMPRODUCT($B58:$D58,Exposures!$B$7:$D$7)</f>
        <v>-4.500866254125082E-2</v>
      </c>
      <c r="L58" s="14">
        <f>SUMPRODUCT($B58:$D58,Exposures!$B$8:$D$8)</f>
        <v>-5.4238335844593762E-3</v>
      </c>
      <c r="M58" s="14">
        <f>SUMPRODUCT($B58:$D58,Exposures!$B$9:$D$9)</f>
        <v>-2.6463916719022776E-2</v>
      </c>
      <c r="N58" s="14">
        <f>SUMPRODUCT($B58:$D58,Exposures!$B$10:$D$10)</f>
        <v>7.2590519327327616E-3</v>
      </c>
      <c r="O58" s="14">
        <f>SUMPRODUCT($B58:$D58,Exposures!$B$11:$D$11)</f>
        <v>-5.1455877887100175E-3</v>
      </c>
      <c r="Q58" s="14">
        <f>Returns!B58-F58</f>
        <v>7.6483573849227757E-3</v>
      </c>
      <c r="R58" s="14">
        <f>Returns!C58-G58</f>
        <v>5.1480393150943327E-2</v>
      </c>
      <c r="S58" s="14">
        <f>Returns!D58-H58</f>
        <v>4.6667644102104139E-2</v>
      </c>
      <c r="T58" s="14">
        <f>Returns!E58-I58</f>
        <v>-9.8385002844117199E-3</v>
      </c>
      <c r="U58" s="14">
        <f>Returns!F58-J58</f>
        <v>-1.0631843054268751E-2</v>
      </c>
      <c r="V58" s="14">
        <f>Returns!G58-K58</f>
        <v>-4.6478337458749179E-2</v>
      </c>
      <c r="W58" s="14">
        <f>Returns!H58-L58</f>
        <v>-4.5891664155406232E-3</v>
      </c>
      <c r="X58" s="14">
        <f>Returns!I58-M58</f>
        <v>-4.4374083280977222E-2</v>
      </c>
      <c r="Y58" s="14">
        <f>Returns!J58-N58</f>
        <v>2.8323948067267235E-2</v>
      </c>
      <c r="Z58" s="14">
        <f>Returns!K58-O58</f>
        <v>-1.8208412211289982E-2</v>
      </c>
    </row>
    <row r="59" spans="1:26" x14ac:dyDescent="0.2">
      <c r="A59" s="6">
        <f>Returns!A59</f>
        <v>45331</v>
      </c>
      <c r="B59" s="14">
        <f t="array" ref="B59:D59">MMULT(Returns!B59:K59,Exposures!$B$32:$D$41)</f>
        <v>2.0340351586611391E-2</v>
      </c>
      <c r="C59" s="14">
        <v>-3.7515866113941193E-3</v>
      </c>
      <c r="D59" s="14">
        <v>3.4538804471506576E-2</v>
      </c>
      <c r="F59" s="14">
        <f>SUMPRODUCT($B59:$D59,Exposures!$B$2:$D$2)</f>
        <v>5.6787140744907441E-2</v>
      </c>
      <c r="G59" s="14">
        <f>SUMPRODUCT($B59:$D59,Exposures!$B$3:$D$3)</f>
        <v>4.9535202188225103E-2</v>
      </c>
      <c r="H59" s="14">
        <f>SUMPRODUCT($B59:$D59,Exposures!$B$4:$D$4)</f>
        <v>4.2512472930913883E-2</v>
      </c>
      <c r="I59" s="14">
        <f>SUMPRODUCT($B59:$D59,Exposures!$B$5:$D$5)</f>
        <v>3.9766546226142202E-3</v>
      </c>
      <c r="J59" s="14">
        <f>SUMPRODUCT($B59:$D59,Exposures!$B$6:$D$6)</f>
        <v>3.803670846666319E-2</v>
      </c>
      <c r="K59" s="14">
        <f>SUMPRODUCT($B59:$D59,Exposures!$B$7:$D$7)</f>
        <v>7.0853897199615962E-2</v>
      </c>
      <c r="L59" s="14">
        <f>SUMPRODUCT($B59:$D59,Exposures!$B$8:$D$8)</f>
        <v>-1.8499707753287305E-2</v>
      </c>
      <c r="M59" s="14">
        <f>SUMPRODUCT($B59:$D59,Exposures!$B$9:$D$9)</f>
        <v>1.0337895451234248E-2</v>
      </c>
      <c r="N59" s="14">
        <f>SUMPRODUCT($B59:$D59,Exposures!$B$10:$D$10)</f>
        <v>-3.8068954218682699E-2</v>
      </c>
      <c r="O59" s="14">
        <f>SUMPRODUCT($B59:$D59,Exposures!$B$11:$D$11)</f>
        <v>-1.2105309632204075E-2</v>
      </c>
      <c r="Q59" s="14">
        <f>Returns!B59-F59</f>
        <v>-1.2745140744907443E-2</v>
      </c>
      <c r="R59" s="14">
        <f>Returns!C59-G59</f>
        <v>2.6769797811774895E-2</v>
      </c>
      <c r="S59" s="14">
        <f>Returns!D59-H59</f>
        <v>2.3592527069086114E-2</v>
      </c>
      <c r="T59" s="14">
        <f>Returns!E59-I59</f>
        <v>-1.9006654622614222E-2</v>
      </c>
      <c r="U59" s="14">
        <f>Returns!F59-J59</f>
        <v>2.0992915333368084E-3</v>
      </c>
      <c r="V59" s="14">
        <f>Returns!G59-K59</f>
        <v>-5.803897199615965E-3</v>
      </c>
      <c r="W59" s="14">
        <f>Returns!H59-L59</f>
        <v>5.5307077532873051E-3</v>
      </c>
      <c r="X59" s="14">
        <f>Returns!I59-M59</f>
        <v>-2.0761895451234247E-2</v>
      </c>
      <c r="Y59" s="14">
        <f>Returns!J59-N59</f>
        <v>3.3793954218682698E-2</v>
      </c>
      <c r="Z59" s="14">
        <f>Returns!K59-O59</f>
        <v>-3.3468690367795928E-2</v>
      </c>
    </row>
    <row r="60" spans="1:26" x14ac:dyDescent="0.2">
      <c r="A60" s="6">
        <f>Returns!A60</f>
        <v>45338</v>
      </c>
      <c r="B60" s="14">
        <f t="array" ref="B60:D60">MMULT(Returns!B60:K60,Exposures!$B$32:$D$41)</f>
        <v>3.1341687805661454E-2</v>
      </c>
      <c r="C60" s="14">
        <v>1.1212194338550105E-2</v>
      </c>
      <c r="D60" s="14">
        <v>-1.5710532089405659E-2</v>
      </c>
      <c r="F60" s="14">
        <f>SUMPRODUCT($B60:$D60,Exposures!$B$2:$D$2)</f>
        <v>1.7805110016545316E-2</v>
      </c>
      <c r="G60" s="14">
        <f>SUMPRODUCT($B60:$D60,Exposures!$B$3:$D$3)</f>
        <v>2.5476404546583273E-2</v>
      </c>
      <c r="H60" s="14">
        <f>SUMPRODUCT($B60:$D60,Exposures!$B$4:$D$4)</f>
        <v>2.0210711212095375E-2</v>
      </c>
      <c r="I60" s="14">
        <f>SUMPRODUCT($B60:$D60,Exposures!$B$5:$D$5)</f>
        <v>2.8613853796162179E-2</v>
      </c>
      <c r="J60" s="14">
        <f>SUMPRODUCT($B60:$D60,Exposures!$B$6:$D$6)</f>
        <v>1.9584981931606252E-2</v>
      </c>
      <c r="K60" s="14">
        <f>SUMPRODUCT($B60:$D60,Exposures!$B$7:$D$7)</f>
        <v>-3.2321969662792022E-3</v>
      </c>
      <c r="L60" s="14">
        <f>SUMPRODUCT($B60:$D60,Exposures!$B$8:$D$8)</f>
        <v>5.2906062141025112E-2</v>
      </c>
      <c r="M60" s="14">
        <f>SUMPRODUCT($B60:$D60,Exposures!$B$9:$D$9)</f>
        <v>5.8610148237478371E-2</v>
      </c>
      <c r="N60" s="14">
        <f>SUMPRODUCT($B60:$D60,Exposures!$B$10:$D$10)</f>
        <v>5.3632526188879759E-2</v>
      </c>
      <c r="O60" s="14">
        <f>SUMPRODUCT($B60:$D60,Exposures!$B$11:$D$11)</f>
        <v>3.9921398895903598E-2</v>
      </c>
      <c r="Q60" s="14">
        <f>Returns!B60-F60</f>
        <v>5.0182889983454687E-2</v>
      </c>
      <c r="R60" s="14">
        <f>Returns!C60-G60</f>
        <v>-4.256940454658327E-2</v>
      </c>
      <c r="S60" s="14">
        <f>Returns!D60-H60</f>
        <v>-2.6999711212095375E-2</v>
      </c>
      <c r="T60" s="14">
        <f>Returns!E60-I60</f>
        <v>6.1462038378201633E-6</v>
      </c>
      <c r="U60" s="14">
        <f>Returns!F60-J60</f>
        <v>5.7740180683937478E-3</v>
      </c>
      <c r="V60" s="14">
        <f>Returns!G60-K60</f>
        <v>1.7556196966279202E-2</v>
      </c>
      <c r="W60" s="14">
        <f>Returns!H60-L60</f>
        <v>1.4469937858974893E-2</v>
      </c>
      <c r="X60" s="14">
        <f>Returns!I60-M60</f>
        <v>3.7818517625216319E-3</v>
      </c>
      <c r="Y60" s="14">
        <f>Returns!J60-N60</f>
        <v>4.2250473811120237E-2</v>
      </c>
      <c r="Z60" s="14">
        <f>Returns!K60-O60</f>
        <v>-6.4452398895903595E-2</v>
      </c>
    </row>
    <row r="61" spans="1:26" x14ac:dyDescent="0.2">
      <c r="A61" s="6">
        <f>Returns!A61</f>
        <v>45345</v>
      </c>
      <c r="B61" s="14">
        <f t="array" ref="B61:D61">MMULT(Returns!B61:K61,Exposures!$B$32:$D$41)</f>
        <v>-3.0128508766756035E-2</v>
      </c>
      <c r="C61" s="14">
        <v>1.0708766756035422E-2</v>
      </c>
      <c r="D61" s="14">
        <v>-2.1312565634705641E-2</v>
      </c>
      <c r="F61" s="14">
        <f>SUMPRODUCT($B61:$D61,Exposures!$B$2:$D$2)</f>
        <v>-4.9932399946653855E-2</v>
      </c>
      <c r="G61" s="14">
        <f>SUMPRODUCT($B61:$D61,Exposures!$B$3:$D$3)</f>
        <v>-4.1596356737324654E-2</v>
      </c>
      <c r="H61" s="14">
        <f>SUMPRODUCT($B61:$D61,Exposures!$B$4:$D$4)</f>
        <v>-4.4733389459784487E-2</v>
      </c>
      <c r="I61" s="14">
        <f>SUMPRODUCT($B61:$D61,Exposures!$B$5:$D$5)</f>
        <v>-2.9012475471237607E-2</v>
      </c>
      <c r="J61" s="14">
        <f>SUMPRODUCT($B61:$D61,Exposures!$B$6:$D$6)</f>
        <v>-4.4321833649921497E-2</v>
      </c>
      <c r="K61" s="14">
        <f>SUMPRODUCT($B61:$D61,Exposures!$B$7:$D$7)</f>
        <v>-7.1538916503277761E-2</v>
      </c>
      <c r="L61" s="14">
        <f>SUMPRODUCT($B61:$D61,Exposures!$B$8:$D$8)</f>
        <v>-2.7203435112994161E-3</v>
      </c>
      <c r="M61" s="14">
        <f>SUMPRODUCT($B61:$D61,Exposures!$B$9:$D$9)</f>
        <v>-3.8951792507902084E-3</v>
      </c>
      <c r="N61" s="14">
        <f>SUMPRODUCT($B61:$D61,Exposures!$B$10:$D$10)</f>
        <v>2.1364103974158347E-3</v>
      </c>
      <c r="O61" s="14">
        <f>SUMPRODUCT($B61:$D61,Exposures!$B$11:$D$11)</f>
        <v>-1.556351586712636E-2</v>
      </c>
      <c r="Q61" s="14">
        <f>Returns!B61-F61</f>
        <v>6.9933999466538568E-3</v>
      </c>
      <c r="R61" s="14">
        <f>Returns!C61-G61</f>
        <v>-1.3072643262675349E-2</v>
      </c>
      <c r="S61" s="14">
        <f>Returns!D61-H61</f>
        <v>8.2183894597844878E-3</v>
      </c>
      <c r="T61" s="14">
        <f>Returns!E61-I61</f>
        <v>-1.4255245287623924E-3</v>
      </c>
      <c r="U61" s="14">
        <f>Returns!F61-J61</f>
        <v>-1.5550166350078505E-2</v>
      </c>
      <c r="V61" s="14">
        <f>Returns!G61-K61</f>
        <v>-5.7300834967222436E-3</v>
      </c>
      <c r="W61" s="14">
        <f>Returns!H61-L61</f>
        <v>8.2353435112994151E-3</v>
      </c>
      <c r="X61" s="14">
        <f>Returns!I61-M61</f>
        <v>2.5551792507902083E-3</v>
      </c>
      <c r="Y61" s="14">
        <f>Returns!J61-N61</f>
        <v>-4.4233410397415837E-2</v>
      </c>
      <c r="Z61" s="14">
        <f>Returns!K61-O61</f>
        <v>5.4009515867126365E-2</v>
      </c>
    </row>
    <row r="62" spans="1:26" x14ac:dyDescent="0.2">
      <c r="A62" s="6">
        <f>Returns!A62</f>
        <v>45352</v>
      </c>
      <c r="B62" s="14">
        <f t="array" ref="B62:D62">MMULT(Returns!B62:K62,Exposures!$B$32:$D$41)</f>
        <v>6.6344583203359368E-3</v>
      </c>
      <c r="C62" s="14">
        <v>-5.3583203359345265E-3</v>
      </c>
      <c r="D62" s="14">
        <v>-1.0461119951440462E-2</v>
      </c>
      <c r="F62" s="14">
        <f>SUMPRODUCT($B62:$D62,Exposures!$B$2:$D$2)</f>
        <v>-6.4828249342332158E-3</v>
      </c>
      <c r="G62" s="14">
        <f>SUMPRODUCT($B62:$D62,Exposures!$B$3:$D$3)</f>
        <v>-7.2738730965326249E-3</v>
      </c>
      <c r="H62" s="14">
        <f>SUMPRODUCT($B62:$D62,Exposures!$B$4:$D$4)</f>
        <v>6.3336798788124309E-4</v>
      </c>
      <c r="I62" s="14">
        <f>SUMPRODUCT($B62:$D62,Exposures!$B$5:$D$5)</f>
        <v>1.8539921851135753E-2</v>
      </c>
      <c r="J62" s="14">
        <f>SUMPRODUCT($B62:$D62,Exposures!$B$6:$D$6)</f>
        <v>3.8074768741733853E-3</v>
      </c>
      <c r="K62" s="14">
        <f>SUMPRODUCT($B62:$D62,Exposures!$B$7:$D$7)</f>
        <v>-7.4168040523975819E-4</v>
      </c>
      <c r="L62" s="14">
        <f>SUMPRODUCT($B62:$D62,Exposures!$B$8:$D$8)</f>
        <v>1.5735556530158481E-2</v>
      </c>
      <c r="M62" s="14">
        <f>SUMPRODUCT($B62:$D62,Exposures!$B$9:$D$9)</f>
        <v>-5.8580936840043688E-3</v>
      </c>
      <c r="N62" s="14">
        <f>SUMPRODUCT($B62:$D62,Exposures!$B$10:$D$10)</f>
        <v>2.724805118701288E-2</v>
      </c>
      <c r="O62" s="14">
        <f>SUMPRODUCT($B62:$D62,Exposures!$B$11:$D$11)</f>
        <v>2.0683097689648246E-2</v>
      </c>
      <c r="Q62" s="14">
        <f>Returns!B62-F62</f>
        <v>4.8193824934233215E-2</v>
      </c>
      <c r="R62" s="14">
        <f>Returns!C62-G62</f>
        <v>-3.6393126903467375E-2</v>
      </c>
      <c r="S62" s="14">
        <f>Returns!D62-H62</f>
        <v>-8.2636798788124311E-4</v>
      </c>
      <c r="T62" s="14">
        <f>Returns!E62-I62</f>
        <v>3.6766078148864248E-2</v>
      </c>
      <c r="U62" s="14">
        <f>Returns!F62-J62</f>
        <v>2.1695231258266143E-3</v>
      </c>
      <c r="V62" s="14">
        <f>Returns!G62-K62</f>
        <v>-2.3315319594760242E-2</v>
      </c>
      <c r="W62" s="14">
        <f>Returns!H62-L62</f>
        <v>1.1764434698415191E-3</v>
      </c>
      <c r="X62" s="14">
        <f>Returns!I62-M62</f>
        <v>2.396093684004369E-3</v>
      </c>
      <c r="Y62" s="14">
        <f>Returns!J62-N62</f>
        <v>-6.0140511870128803E-3</v>
      </c>
      <c r="Z62" s="14">
        <f>Returns!K62-O62</f>
        <v>-2.4153097689648247E-2</v>
      </c>
    </row>
    <row r="63" spans="1:26" x14ac:dyDescent="0.2">
      <c r="A63" s="6">
        <f>Returns!A63</f>
        <v>45359</v>
      </c>
      <c r="B63" s="14">
        <f t="array" ref="B63:D63">MMULT(Returns!B63:K63,Exposures!$B$32:$D$41)</f>
        <v>-4.1677834831145087E-2</v>
      </c>
      <c r="C63" s="14">
        <v>1.7934831145093474E-2</v>
      </c>
      <c r="D63" s="14">
        <v>-5.7479323753238179E-3</v>
      </c>
      <c r="F63" s="14">
        <f>SUMPRODUCT($B63:$D63,Exposures!$B$2:$D$2)</f>
        <v>-4.2203935153818137E-2</v>
      </c>
      <c r="G63" s="14">
        <f>SUMPRODUCT($B63:$D63,Exposures!$B$3:$D$3)</f>
        <v>-3.3034243647023329E-2</v>
      </c>
      <c r="H63" s="14">
        <f>SUMPRODUCT($B63:$D63,Exposures!$B$4:$D$4)</f>
        <v>-4.7271863653559378E-2</v>
      </c>
      <c r="I63" s="14">
        <f>SUMPRODUCT($B63:$D63,Exposures!$B$5:$D$5)</f>
        <v>-5.7476824054954051E-2</v>
      </c>
      <c r="J63" s="14">
        <f>SUMPRODUCT($B63:$D63,Exposures!$B$6:$D$6)</f>
        <v>-5.137394719413374E-2</v>
      </c>
      <c r="K63" s="14">
        <f>SUMPRODUCT($B63:$D63,Exposures!$B$7:$D$7)</f>
        <v>-7.1203078887339802E-2</v>
      </c>
      <c r="L63" s="14">
        <f>SUMPRODUCT($B63:$D63,Exposures!$B$8:$D$8)</f>
        <v>-2.8116787096307039E-2</v>
      </c>
      <c r="M63" s="14">
        <f>SUMPRODUCT($B63:$D63,Exposures!$B$9:$D$9)</f>
        <v>1.3588495768880311E-3</v>
      </c>
      <c r="N63" s="14">
        <f>SUMPRODUCT($B63:$D63,Exposures!$B$10:$D$10)</f>
        <v>-3.9747106513373709E-2</v>
      </c>
      <c r="O63" s="14">
        <f>SUMPRODUCT($B63:$D63,Exposures!$B$11:$D$11)</f>
        <v>-4.7530063376378787E-2</v>
      </c>
      <c r="Q63" s="14">
        <f>Returns!B63-F63</f>
        <v>2.0321935153818138E-2</v>
      </c>
      <c r="R63" s="14">
        <f>Returns!C63-G63</f>
        <v>-1.5671756352976671E-2</v>
      </c>
      <c r="S63" s="14">
        <f>Returns!D63-H63</f>
        <v>-9.9801363464406198E-3</v>
      </c>
      <c r="T63" s="14">
        <f>Returns!E63-I63</f>
        <v>-1.2899175945045943E-2</v>
      </c>
      <c r="U63" s="14">
        <f>Returns!F63-J63</f>
        <v>7.528947194133738E-3</v>
      </c>
      <c r="V63" s="14">
        <f>Returns!G63-K63</f>
        <v>-1.7179211126601979E-3</v>
      </c>
      <c r="W63" s="14">
        <f>Returns!H63-L63</f>
        <v>-1.9962212903692957E-2</v>
      </c>
      <c r="X63" s="14">
        <f>Returns!I63-M63</f>
        <v>6.397150423111969E-3</v>
      </c>
      <c r="Y63" s="14">
        <f>Returns!J63-N63</f>
        <v>7.2291065133737106E-3</v>
      </c>
      <c r="Z63" s="14">
        <f>Returns!K63-O63</f>
        <v>1.8754063376378787E-2</v>
      </c>
    </row>
    <row r="64" spans="1:26" x14ac:dyDescent="0.2">
      <c r="A64" s="6">
        <f>Returns!A64</f>
        <v>45366</v>
      </c>
      <c r="B64" s="14">
        <f t="array" ref="B64:D64">MMULT(Returns!B64:K64,Exposures!$B$32:$D$41)</f>
        <v>-5.4991805774464581E-3</v>
      </c>
      <c r="C64" s="14">
        <v>9.880577446459534E-3</v>
      </c>
      <c r="D64" s="14">
        <v>-1.0747385746522065E-2</v>
      </c>
      <c r="F64" s="14">
        <f>SUMPRODUCT($B64:$D64,Exposures!$B$2:$D$2)</f>
        <v>-1.4052046258288457E-2</v>
      </c>
      <c r="G64" s="14">
        <f>SUMPRODUCT($B64:$D64,Exposures!$B$3:$D$3)</f>
        <v>-7.7873989134735417E-3</v>
      </c>
      <c r="H64" s="14">
        <f>SUMPRODUCT($B64:$D64,Exposures!$B$4:$D$4)</f>
        <v>-1.3356897116865907E-2</v>
      </c>
      <c r="I64" s="14">
        <f>SUMPRODUCT($B64:$D64,Exposures!$B$5:$D$5)</f>
        <v>-9.7304408547101429E-3</v>
      </c>
      <c r="J64" s="14">
        <f>SUMPRODUCT($B64:$D64,Exposures!$B$6:$D$6)</f>
        <v>-1.4403877082431047E-2</v>
      </c>
      <c r="K64" s="14">
        <f>SUMPRODUCT($B64:$D64,Exposures!$B$7:$D$7)</f>
        <v>-3.1847508105001435E-2</v>
      </c>
      <c r="L64" s="14">
        <f>SUMPRODUCT($B64:$D64,Exposures!$B$8:$D$8)</f>
        <v>1.0159032781845781E-2</v>
      </c>
      <c r="M64" s="14">
        <f>SUMPRODUCT($B64:$D64,Exposures!$B$9:$D$9)</f>
        <v>1.8437821091987491E-2</v>
      </c>
      <c r="N64" s="14">
        <f>SUMPRODUCT($B64:$D64,Exposures!$B$10:$D$10)</f>
        <v>8.7550107705951438E-3</v>
      </c>
      <c r="O64" s="14">
        <f>SUMPRODUCT($B64:$D64,Exposures!$B$11:$D$11)</f>
        <v>-1.0666963136578694E-3</v>
      </c>
      <c r="Q64" s="14">
        <f>Returns!B64-F64</f>
        <v>9.765046258288456E-3</v>
      </c>
      <c r="R64" s="14">
        <f>Returns!C64-G64</f>
        <v>-2.1916010865264584E-3</v>
      </c>
      <c r="S64" s="14">
        <f>Returns!D64-H64</f>
        <v>-3.6010288313409293E-4</v>
      </c>
      <c r="T64" s="14">
        <f>Returns!E64-I64</f>
        <v>4.3764408547101426E-3</v>
      </c>
      <c r="U64" s="14">
        <f>Returns!F64-J64</f>
        <v>2.1707877082431049E-2</v>
      </c>
      <c r="V64" s="14">
        <f>Returns!G64-K64</f>
        <v>-1.9550491894998565E-2</v>
      </c>
      <c r="W64" s="14">
        <f>Returns!H64-L64</f>
        <v>3.788996721815422E-2</v>
      </c>
      <c r="X64" s="14">
        <f>Returns!I64-M64</f>
        <v>-1.8616821091987489E-2</v>
      </c>
      <c r="Y64" s="14">
        <f>Returns!J64-N64</f>
        <v>-2.3308010770595144E-2</v>
      </c>
      <c r="Z64" s="14">
        <f>Returns!K64-O64</f>
        <v>-9.712303686342131E-3</v>
      </c>
    </row>
    <row r="65" spans="1:26" x14ac:dyDescent="0.2">
      <c r="A65" s="6">
        <f>Returns!A65</f>
        <v>45373</v>
      </c>
      <c r="B65" s="14">
        <f t="array" ref="B65:D65">MMULT(Returns!B65:K65,Exposures!$B$32:$D$41)</f>
        <v>-4.7787416246796166E-2</v>
      </c>
      <c r="C65" s="14">
        <v>-1.6183753203833237E-2</v>
      </c>
      <c r="D65" s="14">
        <v>-2.4501579678204585E-2</v>
      </c>
      <c r="F65" s="14">
        <f>SUMPRODUCT($B65:$D65,Exposures!$B$2:$D$2)</f>
        <v>-7.9672939121265801E-2</v>
      </c>
      <c r="G65" s="14">
        <f>SUMPRODUCT($B65:$D65,Exposures!$B$3:$D$3)</f>
        <v>-8.319721284651635E-2</v>
      </c>
      <c r="H65" s="14">
        <f>SUMPRODUCT($B65:$D65,Exposures!$B$4:$D$4)</f>
        <v>-6.1443198591643398E-2</v>
      </c>
      <c r="I65" s="14">
        <f>SUMPRODUCT($B65:$D65,Exposures!$B$5:$D$5)</f>
        <v>-1.6014868308553899E-2</v>
      </c>
      <c r="J65" s="14">
        <f>SUMPRODUCT($B65:$D65,Exposures!$B$6:$D$6)</f>
        <v>-5.2991494946057358E-2</v>
      </c>
      <c r="K65" s="14">
        <f>SUMPRODUCT($B65:$D65,Exposures!$B$7:$D$7)</f>
        <v>-6.0630338310131718E-2</v>
      </c>
      <c r="L65" s="14">
        <f>SUMPRODUCT($B65:$D65,Exposures!$B$8:$D$8)</f>
        <v>-2.7961049007906837E-2</v>
      </c>
      <c r="M65" s="14">
        <f>SUMPRODUCT($B65:$D65,Exposures!$B$9:$D$9)</f>
        <v>-8.5731539013611469E-2</v>
      </c>
      <c r="N65" s="14">
        <f>SUMPRODUCT($B65:$D65,Exposures!$B$10:$D$10)</f>
        <v>2.1280213350047678E-3</v>
      </c>
      <c r="O65" s="14">
        <f>SUMPRODUCT($B65:$D65,Exposures!$B$11:$D$11)</f>
        <v>-1.2521381189317931E-2</v>
      </c>
      <c r="Q65" s="14">
        <f>Returns!B65-F65</f>
        <v>2.1481939121265801E-2</v>
      </c>
      <c r="R65" s="14">
        <f>Returns!C65-G65</f>
        <v>4.673721284651635E-2</v>
      </c>
      <c r="S65" s="14">
        <f>Returns!D65-H65</f>
        <v>2.9419859164339646E-4</v>
      </c>
      <c r="T65" s="14">
        <f>Returns!E65-I65</f>
        <v>1.6603868308553899E-2</v>
      </c>
      <c r="U65" s="14">
        <f>Returns!F65-J65</f>
        <v>2.8174949460573542E-3</v>
      </c>
      <c r="V65" s="14">
        <f>Returns!G65-K65</f>
        <v>-5.5089661689868286E-2</v>
      </c>
      <c r="W65" s="14">
        <f>Returns!H65-L65</f>
        <v>-1.408195099209316E-2</v>
      </c>
      <c r="X65" s="14">
        <f>Returns!I65-M65</f>
        <v>-3.1253460986388537E-2</v>
      </c>
      <c r="Y65" s="14">
        <f>Returns!J65-N65</f>
        <v>-1.5266021335004768E-2</v>
      </c>
      <c r="Z65" s="14">
        <f>Returns!K65-O65</f>
        <v>2.7756381189317933E-2</v>
      </c>
    </row>
    <row r="66" spans="1:26" x14ac:dyDescent="0.2">
      <c r="A66" s="6">
        <f>Returns!A66</f>
        <v>45380</v>
      </c>
      <c r="B66" s="14">
        <f t="array" ref="B66:D66">MMULT(Returns!B66:K66,Exposures!$B$32:$D$41)</f>
        <v>-1.3874218012997349E-2</v>
      </c>
      <c r="C66" s="14">
        <v>2.3918012997352692E-2</v>
      </c>
      <c r="D66" s="14">
        <v>-1.8443679291488432E-2</v>
      </c>
      <c r="F66" s="14">
        <f>SUMPRODUCT($B66:$D66,Exposures!$B$2:$D$2)</f>
        <v>-2.6324064281566882E-2</v>
      </c>
      <c r="G66" s="14">
        <f>SUMPRODUCT($B66:$D66,Exposures!$B$3:$D$3)</f>
        <v>-1.237078961614649E-2</v>
      </c>
      <c r="H66" s="14">
        <f>SUMPRODUCT($B66:$D66,Exposures!$B$4:$D$4)</f>
        <v>-2.8124717396343854E-2</v>
      </c>
      <c r="I66" s="14">
        <f>SUMPRODUCT($B66:$D66,Exposures!$B$5:$D$5)</f>
        <v>-2.8584721138186553E-2</v>
      </c>
      <c r="J66" s="14">
        <f>SUMPRODUCT($B66:$D66,Exposures!$B$6:$D$6)</f>
        <v>-3.187077234896446E-2</v>
      </c>
      <c r="K66" s="14">
        <f>SUMPRODUCT($B66:$D66,Exposures!$B$7:$D$7)</f>
        <v>-6.7584287327447243E-2</v>
      </c>
      <c r="L66" s="14">
        <f>SUMPRODUCT($B66:$D66,Exposures!$B$8:$D$8)</f>
        <v>1.5851340950724761E-2</v>
      </c>
      <c r="M66" s="14">
        <f>SUMPRODUCT($B66:$D66,Exposures!$B$9:$D$9)</f>
        <v>4.3843143429420244E-2</v>
      </c>
      <c r="N66" s="14">
        <f>SUMPRODUCT($B66:$D66,Exposures!$B$10:$D$10)</f>
        <v>7.4546781053838121E-3</v>
      </c>
      <c r="O66" s="14">
        <f>SUMPRODUCT($B66:$D66,Exposures!$B$11:$D$11)</f>
        <v>-1.0792810376873282E-2</v>
      </c>
      <c r="Q66" s="14">
        <f>Returns!B66-F66</f>
        <v>1.1111064281566881E-2</v>
      </c>
      <c r="R66" s="14">
        <f>Returns!C66-G66</f>
        <v>-4.8140210383853514E-2</v>
      </c>
      <c r="S66" s="14">
        <f>Returns!D66-H66</f>
        <v>-3.1520282603656143E-2</v>
      </c>
      <c r="T66" s="14">
        <f>Returns!E66-I66</f>
        <v>2.7588721138186553E-2</v>
      </c>
      <c r="U66" s="14">
        <f>Returns!F66-J66</f>
        <v>3.8317723489644587E-3</v>
      </c>
      <c r="V66" s="14">
        <f>Returns!G66-K66</f>
        <v>2.9328287327447244E-2</v>
      </c>
      <c r="W66" s="14">
        <f>Returns!H66-L66</f>
        <v>-1.3699340950724762E-2</v>
      </c>
      <c r="X66" s="14">
        <f>Returns!I66-M66</f>
        <v>3.8227856570579762E-2</v>
      </c>
      <c r="Y66" s="14">
        <f>Returns!J66-N66</f>
        <v>3.5023218946161876E-3</v>
      </c>
      <c r="Z66" s="14">
        <f>Returns!K66-O66</f>
        <v>-2.0230189623126716E-2</v>
      </c>
    </row>
    <row r="67" spans="1:26" x14ac:dyDescent="0.2">
      <c r="A67" s="6">
        <f>Returns!A67</f>
        <v>45387</v>
      </c>
      <c r="B67" s="14">
        <f t="array" ref="B67:D67">MMULT(Returns!B67:K67,Exposures!$B$32:$D$41)</f>
        <v>1.0741580059119038E-2</v>
      </c>
      <c r="C67" s="14">
        <v>-1.8005911903831717E-4</v>
      </c>
      <c r="D67" s="14">
        <v>-2.0391200598571437E-2</v>
      </c>
      <c r="F67" s="14">
        <f>SUMPRODUCT($B67:$D67,Exposures!$B$2:$D$2)</f>
        <v>-1.1542447511416089E-2</v>
      </c>
      <c r="G67" s="14">
        <f>SUMPRODUCT($B67:$D67,Exposures!$B$3:$D$3)</f>
        <v>-8.3626826104022858E-3</v>
      </c>
      <c r="H67" s="14">
        <f>SUMPRODUCT($B67:$D67,Exposures!$B$4:$D$4)</f>
        <v>-2.085069814886752E-3</v>
      </c>
      <c r="I67" s="14">
        <f>SUMPRODUCT($B67:$D67,Exposures!$B$5:$D$5)</f>
        <v>2.2965051669647185E-2</v>
      </c>
      <c r="J67" s="14">
        <f>SUMPRODUCT($B67:$D67,Exposures!$B$6:$D$6)</f>
        <v>1.2279388342154082E-3</v>
      </c>
      <c r="K67" s="14">
        <f>SUMPRODUCT($B67:$D67,Exposures!$B$7:$D$7)</f>
        <v>-1.6159044611754228E-2</v>
      </c>
      <c r="L67" s="14">
        <f>SUMPRODUCT($B67:$D67,Exposures!$B$8:$D$8)</f>
        <v>3.2690252466770486E-2</v>
      </c>
      <c r="M67" s="14">
        <f>SUMPRODUCT($B67:$D67,Exposures!$B$9:$D$9)</f>
        <v>1.0922974782574603E-2</v>
      </c>
      <c r="N67" s="14">
        <f>SUMPRODUCT($B67:$D67,Exposures!$B$10:$D$10)</f>
        <v>4.6303295704200581E-2</v>
      </c>
      <c r="O67" s="14">
        <f>SUMPRODUCT($B67:$D67,Exposures!$B$11:$D$11)</f>
        <v>3.1453731091051096E-2</v>
      </c>
      <c r="Q67" s="14">
        <f>Returns!B67-F67</f>
        <v>2.0501447511416089E-2</v>
      </c>
      <c r="R67" s="14">
        <f>Returns!C67-G67</f>
        <v>2.0445682610402284E-2</v>
      </c>
      <c r="S67" s="14">
        <f>Returns!D67-H67</f>
        <v>-1.2533930185113248E-2</v>
      </c>
      <c r="T67" s="14">
        <f>Returns!E67-I67</f>
        <v>-2.2336051669647184E-2</v>
      </c>
      <c r="U67" s="14">
        <f>Returns!F67-J67</f>
        <v>9.7290611657845916E-3</v>
      </c>
      <c r="V67" s="14">
        <f>Returns!G67-K67</f>
        <v>-3.8209553882457732E-3</v>
      </c>
      <c r="W67" s="14">
        <f>Returns!H67-L67</f>
        <v>-2.0560252466770484E-2</v>
      </c>
      <c r="X67" s="14">
        <f>Returns!I67-M67</f>
        <v>-1.5414974782574604E-2</v>
      </c>
      <c r="Y67" s="14">
        <f>Returns!J67-N67</f>
        <v>6.1056704295799416E-2</v>
      </c>
      <c r="Z67" s="14">
        <f>Returns!K67-O67</f>
        <v>-3.7066731091051096E-2</v>
      </c>
    </row>
    <row r="68" spans="1:26" x14ac:dyDescent="0.2">
      <c r="A68" s="6">
        <f>Returns!A68</f>
        <v>45394</v>
      </c>
      <c r="B68" s="14">
        <f t="array" ref="B68:D68">MMULT(Returns!B68:K68,Exposures!$B$32:$D$41)</f>
        <v>-2.6885643753530596E-2</v>
      </c>
      <c r="C68" s="14">
        <v>-1.8456246469404268E-2</v>
      </c>
      <c r="D68" s="14">
        <v>8.1281670715610381E-4</v>
      </c>
      <c r="F68" s="14">
        <f>SUMPRODUCT($B68:$D68,Exposures!$B$2:$D$2)</f>
        <v>-3.1905672412939803E-2</v>
      </c>
      <c r="G68" s="14">
        <f>SUMPRODUCT($B68:$D68,Exposures!$B$3:$D$3)</f>
        <v>-4.0525596462010746E-2</v>
      </c>
      <c r="H68" s="14">
        <f>SUMPRODUCT($B68:$D68,Exposures!$B$4:$D$4)</f>
        <v>-2.4343382116387782E-2</v>
      </c>
      <c r="I68" s="14">
        <f>SUMPRODUCT($B68:$D68,Exposures!$B$5:$D$5)</f>
        <v>-7.6170218884901294E-3</v>
      </c>
      <c r="J68" s="14">
        <f>SUMPRODUCT($B68:$D68,Exposures!$B$6:$D$6)</f>
        <v>-1.9305683778099561E-2</v>
      </c>
      <c r="K68" s="14">
        <f>SUMPRODUCT($B68:$D68,Exposures!$B$7:$D$7)</f>
        <v>-3.2879768403397702E-3</v>
      </c>
      <c r="L68" s="14">
        <f>SUMPRODUCT($B68:$D68,Exposures!$B$8:$D$8)</f>
        <v>-3.5330546849714942E-2</v>
      </c>
      <c r="M68" s="14">
        <f>SUMPRODUCT($B68:$D68,Exposures!$B$9:$D$9)</f>
        <v>-7.1020457316621488E-2</v>
      </c>
      <c r="N68" s="14">
        <f>SUMPRODUCT($B68:$D68,Exposures!$B$10:$D$10)</f>
        <v>-1.9994633912750293E-2</v>
      </c>
      <c r="O68" s="14">
        <f>SUMPRODUCT($B68:$D68,Exposures!$B$11:$D$11)</f>
        <v>-1.5710028422645489E-2</v>
      </c>
      <c r="Q68" s="14">
        <f>Returns!B68-F68</f>
        <v>1.0393672412939804E-2</v>
      </c>
      <c r="R68" s="14">
        <f>Returns!C68-G68</f>
        <v>1.4530596462010745E-2</v>
      </c>
      <c r="S68" s="14">
        <f>Returns!D68-H68</f>
        <v>2.276038211638778E-2</v>
      </c>
      <c r="T68" s="14">
        <f>Returns!E68-I68</f>
        <v>1.5720021888490129E-2</v>
      </c>
      <c r="U68" s="14">
        <f>Returns!F68-J68</f>
        <v>-5.8503162219004402E-3</v>
      </c>
      <c r="V68" s="14">
        <f>Returns!G68-K68</f>
        <v>-3.0312023159660226E-2</v>
      </c>
      <c r="W68" s="14">
        <f>Returns!H68-L68</f>
        <v>-4.0709453150285055E-2</v>
      </c>
      <c r="X68" s="14">
        <f>Returns!I68-M68</f>
        <v>-4.191542683378513E-3</v>
      </c>
      <c r="Y68" s="14">
        <f>Returns!J68-N68</f>
        <v>1.7943633912750293E-2</v>
      </c>
      <c r="Z68" s="14">
        <f>Returns!K68-O68</f>
        <v>-2.8497157735450987E-4</v>
      </c>
    </row>
    <row r="69" spans="1:26" x14ac:dyDescent="0.2">
      <c r="A69" s="6">
        <f>Returns!A69</f>
        <v>45401</v>
      </c>
      <c r="B69" s="14">
        <f t="array" ref="B69:D69">MMULT(Returns!B69:K69,Exposures!$B$32:$D$41)</f>
        <v>-3.0910411690142088E-2</v>
      </c>
      <c r="C69" s="14">
        <v>-9.588309857905734E-3</v>
      </c>
      <c r="D69" s="14">
        <v>3.0932409361055123E-3</v>
      </c>
      <c r="F69" s="14">
        <f>SUMPRODUCT($B69:$D69,Exposures!$B$2:$D$2)</f>
        <v>-3.0607038224316915E-2</v>
      </c>
      <c r="G69" s="14">
        <f>SUMPRODUCT($B69:$D69,Exposures!$B$3:$D$3)</f>
        <v>-3.5512579308730433E-2</v>
      </c>
      <c r="H69" s="14">
        <f>SUMPRODUCT($B69:$D69,Exposures!$B$4:$D$4)</f>
        <v>-2.7906955816025984E-2</v>
      </c>
      <c r="I69" s="14">
        <f>SUMPRODUCT($B69:$D69,Exposures!$B$5:$D$5)</f>
        <v>-2.2475932294485204E-2</v>
      </c>
      <c r="J69" s="14">
        <f>SUMPRODUCT($B69:$D69,Exposures!$B$6:$D$6)</f>
        <v>-2.5717147605589262E-2</v>
      </c>
      <c r="K69" s="14">
        <f>SUMPRODUCT($B69:$D69,Exposures!$B$7:$D$7)</f>
        <v>-1.5098663218476763E-2</v>
      </c>
      <c r="L69" s="14">
        <f>SUMPRODUCT($B69:$D69,Exposures!$B$8:$D$8)</f>
        <v>-3.8182318942877394E-2</v>
      </c>
      <c r="M69" s="14">
        <f>SUMPRODUCT($B69:$D69,Exposures!$B$9:$D$9)</f>
        <v>-5.3919269478619955E-2</v>
      </c>
      <c r="N69" s="14">
        <f>SUMPRODUCT($B69:$D69,Exposures!$B$10:$D$10)</f>
        <v>-3.19779114829081E-2</v>
      </c>
      <c r="O69" s="14">
        <f>SUMPRODUCT($B69:$D69,Exposures!$B$11:$D$11)</f>
        <v>-2.7802183627969927E-2</v>
      </c>
      <c r="Q69" s="14">
        <f>Returns!B69-F69</f>
        <v>-3.5389617756830874E-3</v>
      </c>
      <c r="R69" s="14">
        <f>Returns!C69-G69</f>
        <v>1.8680579308730433E-2</v>
      </c>
      <c r="S69" s="14">
        <f>Returns!D69-H69</f>
        <v>1.6619955816025982E-2</v>
      </c>
      <c r="T69" s="14">
        <f>Returns!E69-I69</f>
        <v>1.1918932294485204E-2</v>
      </c>
      <c r="U69" s="14">
        <f>Returns!F69-J69</f>
        <v>-3.0785239441073753E-4</v>
      </c>
      <c r="V69" s="14">
        <f>Returns!G69-K69</f>
        <v>-6.0453367815232369E-3</v>
      </c>
      <c r="W69" s="14">
        <f>Returns!H69-L69</f>
        <v>-3.6373681057122603E-2</v>
      </c>
      <c r="X69" s="14">
        <f>Returns!I69-M69</f>
        <v>-1.6587305213800474E-3</v>
      </c>
      <c r="Y69" s="14">
        <f>Returns!J69-N69</f>
        <v>6.4917911482908097E-2</v>
      </c>
      <c r="Z69" s="14">
        <f>Returns!K69-O69</f>
        <v>-6.4212816372030079E-2</v>
      </c>
    </row>
    <row r="70" spans="1:26" x14ac:dyDescent="0.2">
      <c r="A70" s="6">
        <f>Returns!A70</f>
        <v>45408</v>
      </c>
      <c r="B70" s="14">
        <f t="array" ref="B70:D70">MMULT(Returns!B70:K70,Exposures!$B$32:$D$41)</f>
        <v>2.8781485922669384E-2</v>
      </c>
      <c r="C70" s="14">
        <v>-2.6485922669382031E-2</v>
      </c>
      <c r="D70" s="14">
        <v>1.5429712419740896E-2</v>
      </c>
      <c r="F70" s="14">
        <f>SUMPRODUCT($B70:$D70,Exposures!$B$2:$D$2)</f>
        <v>3.7124377205984709E-2</v>
      </c>
      <c r="G70" s="14">
        <f>SUMPRODUCT($B70:$D70,Exposures!$B$3:$D$3)</f>
        <v>2.2472098790910434E-2</v>
      </c>
      <c r="H70" s="14">
        <f>SUMPRODUCT($B70:$D70,Exposures!$B$4:$D$4)</f>
        <v>4.1415656240738175E-2</v>
      </c>
      <c r="I70" s="14">
        <f>SUMPRODUCT($B70:$D70,Exposures!$B$5:$D$5)</f>
        <v>4.8017892851261026E-2</v>
      </c>
      <c r="J70" s="14">
        <f>SUMPRODUCT($B70:$D70,Exposures!$B$6:$D$6)</f>
        <v>4.6362960601006593E-2</v>
      </c>
      <c r="K70" s="14">
        <f>SUMPRODUCT($B70:$D70,Exposures!$B$7:$D$7)</f>
        <v>8.1615829097570841E-2</v>
      </c>
      <c r="L70" s="14">
        <f>SUMPRODUCT($B70:$D70,Exposures!$B$8:$D$8)</f>
        <v>1.2581682149025823E-3</v>
      </c>
      <c r="M70" s="14">
        <f>SUMPRODUCT($B70:$D70,Exposures!$B$9:$D$9)</f>
        <v>-3.498276062974591E-2</v>
      </c>
      <c r="N70" s="14">
        <f>SUMPRODUCT($B70:$D70,Exposures!$B$10:$D$10)</f>
        <v>1.3852451513542138E-2</v>
      </c>
      <c r="O70" s="14">
        <f>SUMPRODUCT($B70:$D70,Exposures!$B$11:$D$11)</f>
        <v>3.0413326113829395E-2</v>
      </c>
      <c r="Q70" s="14">
        <f>Returns!B70-F70</f>
        <v>5.9356227940152925E-3</v>
      </c>
      <c r="R70" s="14">
        <f>Returns!C70-G70</f>
        <v>2.7287901209089565E-2</v>
      </c>
      <c r="S70" s="14">
        <f>Returns!D70-H70</f>
        <v>-2.9276562407381732E-3</v>
      </c>
      <c r="T70" s="14">
        <f>Returns!E70-I70</f>
        <v>-1.5103892851261028E-2</v>
      </c>
      <c r="U70" s="14">
        <f>Returns!F70-J70</f>
        <v>5.3350393989934075E-3</v>
      </c>
      <c r="V70" s="14">
        <f>Returns!G70-K70</f>
        <v>-1.0574829097570834E-2</v>
      </c>
      <c r="W70" s="14">
        <f>Returns!H70-L70</f>
        <v>2.3999831785097417E-2</v>
      </c>
      <c r="X70" s="14">
        <f>Returns!I70-M70</f>
        <v>-2.7863239370254089E-2</v>
      </c>
      <c r="Y70" s="14">
        <f>Returns!J70-N70</f>
        <v>1.1538548486457863E-2</v>
      </c>
      <c r="Z70" s="14">
        <f>Returns!K70-O70</f>
        <v>-1.7627326113829396E-2</v>
      </c>
    </row>
    <row r="71" spans="1:26" x14ac:dyDescent="0.2">
      <c r="A71" s="6">
        <f>Returns!A71</f>
        <v>45415</v>
      </c>
      <c r="B71" s="14">
        <f t="array" ref="B71:D71">MMULT(Returns!B71:K71,Exposures!$B$32:$D$41)</f>
        <v>1.7744110558897113E-2</v>
      </c>
      <c r="C71" s="14">
        <v>6.5894411028891353E-3</v>
      </c>
      <c r="D71" s="14">
        <v>-2.5248668859220638E-2</v>
      </c>
      <c r="F71" s="14">
        <f>SUMPRODUCT($B71:$D71,Exposures!$B$2:$D$2)</f>
        <v>-7.6683173447288609E-3</v>
      </c>
      <c r="G71" s="14">
        <f>SUMPRODUCT($B71:$D71,Exposures!$B$3:$D$3)</f>
        <v>-5.9738741992455477E-4</v>
      </c>
      <c r="H71" s="14">
        <f>SUMPRODUCT($B71:$D71,Exposures!$B$4:$D$4)</f>
        <v>1.1126106562703089E-3</v>
      </c>
      <c r="I71" s="14">
        <f>SUMPRODUCT($B71:$D71,Exposures!$B$5:$D$5)</f>
        <v>2.5590123205745913E-2</v>
      </c>
      <c r="J71" s="14">
        <f>SUMPRODUCT($B71:$D71,Exposures!$B$6:$D$6)</f>
        <v>3.3073541649366513E-3</v>
      </c>
      <c r="K71" s="14">
        <f>SUMPRODUCT($B71:$D71,Exposures!$B$7:$D$7)</f>
        <v>-2.3875737169391086E-2</v>
      </c>
      <c r="L71" s="14">
        <f>SUMPRODUCT($B71:$D71,Exposures!$B$8:$D$8)</f>
        <v>4.771434377903995E-2</v>
      </c>
      <c r="M71" s="14">
        <f>SUMPRODUCT($B71:$D71,Exposures!$B$9:$D$9)</f>
        <v>3.4250334860578768E-2</v>
      </c>
      <c r="N71" s="14">
        <f>SUMPRODUCT($B71:$D71,Exposures!$B$10:$D$10)</f>
        <v>5.8711545877640908E-2</v>
      </c>
      <c r="O71" s="14">
        <f>SUMPRODUCT($B71:$D71,Exposures!$B$11:$D$11)</f>
        <v>3.8962129389832019E-2</v>
      </c>
      <c r="Q71" s="14">
        <f>Returns!B71-F71</f>
        <v>-2.306868265527114E-2</v>
      </c>
      <c r="R71" s="14">
        <f>Returns!C71-G71</f>
        <v>-8.6196125800754447E-3</v>
      </c>
      <c r="S71" s="14">
        <f>Returns!D71-H71</f>
        <v>1.097838934372969E-2</v>
      </c>
      <c r="T71" s="14">
        <f>Returns!E71-I71</f>
        <v>1.3548767942540875E-3</v>
      </c>
      <c r="U71" s="14">
        <f>Returns!F71-J71</f>
        <v>-2.1074354164936651E-2</v>
      </c>
      <c r="V71" s="14">
        <f>Returns!G71-K71</f>
        <v>3.2455737169391083E-2</v>
      </c>
      <c r="W71" s="14">
        <f>Returns!H71-L71</f>
        <v>5.2806562209600505E-3</v>
      </c>
      <c r="X71" s="14">
        <f>Returns!I71-M71</f>
        <v>1.460766513942123E-2</v>
      </c>
      <c r="Y71" s="14">
        <f>Returns!J71-N71</f>
        <v>1.6588454122359098E-2</v>
      </c>
      <c r="Z71" s="14">
        <f>Returns!K71-O71</f>
        <v>-2.8503129389832019E-2</v>
      </c>
    </row>
    <row r="72" spans="1:26" x14ac:dyDescent="0.2">
      <c r="A72" s="6">
        <f>Returns!A72</f>
        <v>45422</v>
      </c>
      <c r="B72" s="14">
        <f t="array" ref="B72:D72">MMULT(Returns!B72:K72,Exposures!$B$32:$D$41)</f>
        <v>-1.9474149395876571E-2</v>
      </c>
      <c r="C72" s="14">
        <v>-3.1506041234295465E-3</v>
      </c>
      <c r="D72" s="14">
        <v>-4.235192851575198E-4</v>
      </c>
      <c r="F72" s="14">
        <f>SUMPRODUCT($B72:$D72,Exposures!$B$2:$D$2)</f>
        <v>-2.0943978736195721E-2</v>
      </c>
      <c r="G72" s="14">
        <f>SUMPRODUCT($B72:$D72,Exposures!$B$3:$D$3)</f>
        <v>-2.232549354734811E-2</v>
      </c>
      <c r="H72" s="14">
        <f>SUMPRODUCT($B72:$D72,Exposures!$B$4:$D$4)</f>
        <v>-1.9394400091948556E-2</v>
      </c>
      <c r="I72" s="14">
        <f>SUMPRODUCT($B72:$D72,Exposures!$B$5:$D$5)</f>
        <v>-1.5853126605564018E-2</v>
      </c>
      <c r="J72" s="14">
        <f>SUMPRODUCT($B72:$D72,Exposures!$B$6:$D$6)</f>
        <v>-1.8444467851763079E-2</v>
      </c>
      <c r="K72" s="14">
        <f>SUMPRODUCT($B72:$D72,Exposures!$B$7:$D$7)</f>
        <v>-1.6193693014552028E-2</v>
      </c>
      <c r="L72" s="14">
        <f>SUMPRODUCT($B72:$D72,Exposures!$B$8:$D$8)</f>
        <v>-2.0308496258512564E-2</v>
      </c>
      <c r="M72" s="14">
        <f>SUMPRODUCT($B72:$D72,Exposures!$B$9:$D$9)</f>
        <v>-2.699138767231846E-2</v>
      </c>
      <c r="N72" s="14">
        <f>SUMPRODUCT($B72:$D72,Exposures!$B$10:$D$10)</f>
        <v>-1.7319453984159194E-2</v>
      </c>
      <c r="O72" s="14">
        <f>SUMPRODUCT($B72:$D72,Exposures!$B$11:$D$11)</f>
        <v>-1.6998502237638269E-2</v>
      </c>
      <c r="Q72" s="14">
        <f>Returns!B72-F72</f>
        <v>1.032097873619572E-2</v>
      </c>
      <c r="R72" s="14">
        <f>Returns!C72-G72</f>
        <v>3.8436493547348113E-2</v>
      </c>
      <c r="S72" s="14">
        <f>Returns!D72-H72</f>
        <v>-3.695059990805144E-2</v>
      </c>
      <c r="T72" s="14">
        <f>Returns!E72-I72</f>
        <v>5.288126605564018E-3</v>
      </c>
      <c r="U72" s="14">
        <f>Returns!F72-J72</f>
        <v>-3.0525321482369194E-3</v>
      </c>
      <c r="V72" s="14">
        <f>Returns!G72-K72</f>
        <v>-1.2219306985447972E-2</v>
      </c>
      <c r="W72" s="14">
        <f>Returns!H72-L72</f>
        <v>-3.8764503741487433E-2</v>
      </c>
      <c r="X72" s="14">
        <f>Returns!I72-M72</f>
        <v>-3.0006123276815413E-3</v>
      </c>
      <c r="Y72" s="14">
        <f>Returns!J72-N72</f>
        <v>6.198453984159193E-3</v>
      </c>
      <c r="Z72" s="14">
        <f>Returns!K72-O72</f>
        <v>3.3743502237638265E-2</v>
      </c>
    </row>
    <row r="73" spans="1:26" x14ac:dyDescent="0.2">
      <c r="A73" s="6">
        <f>Returns!A73</f>
        <v>45429</v>
      </c>
      <c r="B73" s="14">
        <f t="array" ref="B73:D73">MMULT(Returns!B73:K73,Exposures!$B$32:$D$41)</f>
        <v>7.4620585068739982E-3</v>
      </c>
      <c r="C73" s="14">
        <v>2.2541493125999647E-2</v>
      </c>
      <c r="D73" s="14">
        <v>1.6772736657929027E-2</v>
      </c>
      <c r="F73" s="14">
        <f>SUMPRODUCT($B73:$D73,Exposures!$B$2:$D$2)</f>
        <v>3.2957619264336525E-2</v>
      </c>
      <c r="G73" s="14">
        <f>SUMPRODUCT($B73:$D73,Exposures!$B$3:$D$3)</f>
        <v>4.0643068237027721E-2</v>
      </c>
      <c r="H73" s="14">
        <f>SUMPRODUCT($B73:$D73,Exposures!$B$4:$D$4)</f>
        <v>1.5549318357509324E-2</v>
      </c>
      <c r="I73" s="14">
        <f>SUMPRODUCT($B73:$D73,Exposures!$B$5:$D$5)</f>
        <v>-2.6553253766123754E-2</v>
      </c>
      <c r="J73" s="14">
        <f>SUMPRODUCT($B73:$D73,Exposures!$B$6:$D$6)</f>
        <v>6.5540624169607761E-3</v>
      </c>
      <c r="K73" s="14">
        <f>SUMPRODUCT($B73:$D73,Exposures!$B$7:$D$7)</f>
        <v>2.2691766482000365E-3</v>
      </c>
      <c r="L73" s="14">
        <f>SUMPRODUCT($B73:$D73,Exposures!$B$8:$D$8)</f>
        <v>-1.4104849020294963E-3</v>
      </c>
      <c r="M73" s="14">
        <f>SUMPRODUCT($B73:$D73,Exposures!$B$9:$D$9)</f>
        <v>6.083304497827529E-2</v>
      </c>
      <c r="N73" s="14">
        <f>SUMPRODUCT($B73:$D73,Exposures!$B$10:$D$10)</f>
        <v>-3.1866175184622349E-2</v>
      </c>
      <c r="O73" s="14">
        <f>SUMPRODUCT($B73:$D73,Exposures!$B$11:$D$11)</f>
        <v>-2.4130376049534091E-2</v>
      </c>
      <c r="Q73" s="14">
        <f>Returns!B73-F73</f>
        <v>8.7813807356634729E-3</v>
      </c>
      <c r="R73" s="14">
        <f>Returns!C73-G73</f>
        <v>-2.8439068237027722E-2</v>
      </c>
      <c r="S73" s="14">
        <f>Returns!D73-H73</f>
        <v>-1.0230318357509323E-2</v>
      </c>
      <c r="T73" s="14">
        <f>Returns!E73-I73</f>
        <v>7.0082537661237537E-3</v>
      </c>
      <c r="U73" s="14">
        <f>Returns!F73-J73</f>
        <v>1.1900937583039223E-2</v>
      </c>
      <c r="V73" s="14">
        <f>Returns!G73-K73</f>
        <v>1.3240823351799963E-2</v>
      </c>
      <c r="W73" s="14">
        <f>Returns!H73-L73</f>
        <v>8.1654849020294969E-3</v>
      </c>
      <c r="X73" s="14">
        <f>Returns!I73-M73</f>
        <v>1.1216955021724713E-2</v>
      </c>
      <c r="Y73" s="14">
        <f>Returns!J73-N73</f>
        <v>1.1579175184622349E-2</v>
      </c>
      <c r="Z73" s="14">
        <f>Returns!K73-O73</f>
        <v>-3.3223623950465908E-2</v>
      </c>
    </row>
    <row r="74" spans="1:26" x14ac:dyDescent="0.2">
      <c r="A74" s="6">
        <f>Returns!A74</f>
        <v>45436</v>
      </c>
      <c r="B74" s="14">
        <f t="array" ref="B74:D74">MMULT(Returns!B74:K74,Exposures!$B$32:$D$41)</f>
        <v>-6.4890267407069109E-3</v>
      </c>
      <c r="C74" s="14">
        <v>-1.1732592930880181E-3</v>
      </c>
      <c r="D74" s="14">
        <v>-2.2331189992395192E-2</v>
      </c>
      <c r="F74" s="14">
        <f>SUMPRODUCT($B74:$D74,Exposures!$B$2:$D$2)</f>
        <v>-3.1205466806205836E-2</v>
      </c>
      <c r="G74" s="14">
        <f>SUMPRODUCT($B74:$D74,Exposures!$B$3:$D$3)</f>
        <v>-2.8172175682243096E-2</v>
      </c>
      <c r="H74" s="14">
        <f>SUMPRODUCT($B74:$D74,Exposures!$B$4:$D$4)</f>
        <v>-2.04286179136762E-2</v>
      </c>
      <c r="I74" s="14">
        <f>SUMPRODUCT($B74:$D74,Exposures!$B$5:$D$5)</f>
        <v>7.9417627984104313E-3</v>
      </c>
      <c r="J74" s="14">
        <f>SUMPRODUCT($B74:$D74,Exposures!$B$6:$D$6)</f>
        <v>-1.6527114912828322E-2</v>
      </c>
      <c r="K74" s="14">
        <f>SUMPRODUCT($B74:$D74,Exposures!$B$7:$D$7)</f>
        <v>-3.475813309302514E-2</v>
      </c>
      <c r="L74" s="14">
        <f>SUMPRODUCT($B74:$D74,Exposures!$B$8:$D$8)</f>
        <v>1.714762214091381E-2</v>
      </c>
      <c r="M74" s="14">
        <f>SUMPRODUCT($B74:$D74,Exposures!$B$9:$D$9)</f>
        <v>-8.6231807514154189E-3</v>
      </c>
      <c r="N74" s="14">
        <f>SUMPRODUCT($B74:$D74,Exposures!$B$10:$D$10)</f>
        <v>3.289521052795033E-2</v>
      </c>
      <c r="O74" s="14">
        <f>SUMPRODUCT($B74:$D74,Exposures!$B$11:$D$11)</f>
        <v>1.6828093692119444E-2</v>
      </c>
      <c r="Q74" s="14">
        <f>Returns!B74-F74</f>
        <v>-2.5475331937941624E-3</v>
      </c>
      <c r="R74" s="14">
        <f>Returns!C74-G74</f>
        <v>-2.5493824317756902E-2</v>
      </c>
      <c r="S74" s="14">
        <f>Returns!D74-H74</f>
        <v>-2.2483382086323798E-2</v>
      </c>
      <c r="T74" s="14">
        <f>Returns!E74-I74</f>
        <v>4.330723720158957E-2</v>
      </c>
      <c r="U74" s="14">
        <f>Returns!F74-J74</f>
        <v>2.5861114912828324E-2</v>
      </c>
      <c r="V74" s="14">
        <f>Returns!G74-K74</f>
        <v>-8.45866906974857E-4</v>
      </c>
      <c r="W74" s="14">
        <f>Returns!H74-L74</f>
        <v>4.5683778590861895E-3</v>
      </c>
      <c r="X74" s="14">
        <f>Returns!I74-M74</f>
        <v>2.0398180751415418E-2</v>
      </c>
      <c r="Y74" s="14">
        <f>Returns!J74-N74</f>
        <v>-2.4008210527950331E-2</v>
      </c>
      <c r="Z74" s="14">
        <f>Returns!K74-O74</f>
        <v>-1.8756093692119443E-2</v>
      </c>
    </row>
    <row r="75" spans="1:26" x14ac:dyDescent="0.2">
      <c r="A75" s="6">
        <f>Returns!A75</f>
        <v>45443</v>
      </c>
      <c r="B75" s="14">
        <f t="array" ref="B75:D75">MMULT(Returns!B75:K75,Exposures!$B$32:$D$41)</f>
        <v>-2.742378828498818E-2</v>
      </c>
      <c r="C75" s="14">
        <v>-2.4611715011822435E-2</v>
      </c>
      <c r="D75" s="14">
        <v>5.5793276231084783E-3</v>
      </c>
      <c r="F75" s="14">
        <f>SUMPRODUCT($B75:$D75,Exposures!$B$2:$D$2)</f>
        <v>-2.9218069979583115E-2</v>
      </c>
      <c r="G75" s="14">
        <f>SUMPRODUCT($B75:$D75,Exposures!$B$3:$D$3)</f>
        <v>-4.1432151304718792E-2</v>
      </c>
      <c r="H75" s="14">
        <f>SUMPRODUCT($B75:$D75,Exposures!$B$4:$D$4)</f>
        <v>-2.1201523231129372E-2</v>
      </c>
      <c r="I75" s="14">
        <f>SUMPRODUCT($B75:$D75,Exposures!$B$5:$D$5)</f>
        <v>-4.3810565199721759E-3</v>
      </c>
      <c r="J75" s="14">
        <f>SUMPRODUCT($B75:$D75,Exposures!$B$6:$D$6)</f>
        <v>-1.5202935447516447E-2</v>
      </c>
      <c r="K75" s="14">
        <f>SUMPRODUCT($B75:$D75,Exposures!$B$7:$D$7)</f>
        <v>1.0023009768169465E-2</v>
      </c>
      <c r="L75" s="14">
        <f>SUMPRODUCT($B75:$D75,Exposures!$B$8:$D$8)</f>
        <v>-4.3540265272792533E-2</v>
      </c>
      <c r="M75" s="14">
        <f>SUMPRODUCT($B75:$D75,Exposures!$B$9:$D$9)</f>
        <v>-8.6413166991937046E-2</v>
      </c>
      <c r="N75" s="14">
        <f>SUMPRODUCT($B75:$D75,Exposures!$B$10:$D$10)</f>
        <v>-2.6056546593876836E-2</v>
      </c>
      <c r="O75" s="14">
        <f>SUMPRODUCT($B75:$D75,Exposures!$B$11:$D$11)</f>
        <v>-1.7061294426643163E-2</v>
      </c>
      <c r="Q75" s="14">
        <f>Returns!B75-F75</f>
        <v>-3.2886930020416885E-2</v>
      </c>
      <c r="R75" s="14">
        <f>Returns!C75-G75</f>
        <v>-1.7047848695281205E-2</v>
      </c>
      <c r="S75" s="14">
        <f>Returns!D75-H75</f>
        <v>3.5655232311293736E-3</v>
      </c>
      <c r="T75" s="14">
        <f>Returns!E75-I75</f>
        <v>2.0895056519972179E-2</v>
      </c>
      <c r="U75" s="14">
        <f>Returns!F75-J75</f>
        <v>8.2439354475164466E-3</v>
      </c>
      <c r="V75" s="14">
        <f>Returns!G75-K75</f>
        <v>1.4345990231830533E-2</v>
      </c>
      <c r="W75" s="14">
        <f>Returns!H75-L75</f>
        <v>4.1225265272792536E-2</v>
      </c>
      <c r="X75" s="14">
        <f>Returns!I75-M75</f>
        <v>1.1392166991937042E-2</v>
      </c>
      <c r="Y75" s="14">
        <f>Returns!J75-N75</f>
        <v>-4.5839453406123165E-2</v>
      </c>
      <c r="Z75" s="14">
        <f>Returns!K75-O75</f>
        <v>-3.8937055733568385E-3</v>
      </c>
    </row>
    <row r="76" spans="1:26" x14ac:dyDescent="0.2">
      <c r="A76" s="6">
        <f>Returns!A76</f>
        <v>45450</v>
      </c>
      <c r="B76" s="14">
        <f t="array" ref="B76:D76">MMULT(Returns!B76:K76,Exposures!$B$32:$D$41)</f>
        <v>4.4057988023106773E-2</v>
      </c>
      <c r="C76" s="14">
        <v>-4.5880231067712482E-3</v>
      </c>
      <c r="D76" s="14">
        <v>-1.5645783795282892E-2</v>
      </c>
      <c r="F76" s="14">
        <f>SUMPRODUCT($B76:$D76,Exposures!$B$2:$D$2)</f>
        <v>2.5535916292081618E-2</v>
      </c>
      <c r="G76" s="14">
        <f>SUMPRODUCT($B76:$D76,Exposures!$B$3:$D$3)</f>
        <v>2.5928751070212107E-2</v>
      </c>
      <c r="H76" s="14">
        <f>SUMPRODUCT($B76:$D76,Exposures!$B$4:$D$4)</f>
        <v>3.4705826773823389E-2</v>
      </c>
      <c r="I76" s="14">
        <f>SUMPRODUCT($B76:$D76,Exposures!$B$5:$D$5)</f>
        <v>5.8198185186568913E-2</v>
      </c>
      <c r="J76" s="14">
        <f>SUMPRODUCT($B76:$D76,Exposures!$B$6:$D$6)</f>
        <v>3.8493798650964597E-2</v>
      </c>
      <c r="K76" s="14">
        <f>SUMPRODUCT($B76:$D76,Exposures!$B$7:$D$7)</f>
        <v>2.8846483765641445E-2</v>
      </c>
      <c r="L76" s="14">
        <f>SUMPRODUCT($B76:$D76,Exposures!$B$8:$D$8)</f>
        <v>5.9074345048236082E-2</v>
      </c>
      <c r="M76" s="14">
        <f>SUMPRODUCT($B76:$D76,Exposures!$B$9:$D$9)</f>
        <v>3.3561986311781977E-2</v>
      </c>
      <c r="N76" s="14">
        <f>SUMPRODUCT($B76:$D76,Exposures!$B$10:$D$10)</f>
        <v>7.3346262224946071E-2</v>
      </c>
      <c r="O76" s="14">
        <f>SUMPRODUCT($B76:$D76,Exposures!$B$11:$D$11)</f>
        <v>6.2842444675743805E-2</v>
      </c>
      <c r="Q76" s="14">
        <f>Returns!B76-F76</f>
        <v>-1.7669162920816196E-3</v>
      </c>
      <c r="R76" s="14">
        <f>Returns!C76-G76</f>
        <v>-1.6584751070212109E-2</v>
      </c>
      <c r="S76" s="14">
        <f>Returns!D76-H76</f>
        <v>1.8247173226176611E-2</v>
      </c>
      <c r="T76" s="14">
        <f>Returns!E76-I76</f>
        <v>-2.9809185186568912E-2</v>
      </c>
      <c r="U76" s="14">
        <f>Returns!F76-J76</f>
        <v>-3.41047986509646E-2</v>
      </c>
      <c r="V76" s="14">
        <f>Returns!G76-K76</f>
        <v>2.9617516234358557E-2</v>
      </c>
      <c r="W76" s="14">
        <f>Returns!H76-L76</f>
        <v>4.6366549517639216E-3</v>
      </c>
      <c r="X76" s="14">
        <f>Returns!I76-M76</f>
        <v>7.2190136882180206E-3</v>
      </c>
      <c r="Y76" s="14">
        <f>Returns!J76-N76</f>
        <v>9.726737775053923E-3</v>
      </c>
      <c r="Z76" s="14">
        <f>Returns!K76-O76</f>
        <v>1.2818555324256201E-2</v>
      </c>
    </row>
    <row r="77" spans="1:26" x14ac:dyDescent="0.2">
      <c r="A77" s="6">
        <f>Returns!A77</f>
        <v>45457</v>
      </c>
      <c r="B77" s="14">
        <f t="array" ref="B77:D77">MMULT(Returns!B77:K77,Exposures!$B$32:$D$41)</f>
        <v>-2.334072788461691E-2</v>
      </c>
      <c r="C77" s="14">
        <v>1.6278846169124369E-3</v>
      </c>
      <c r="D77" s="14">
        <v>-6.1232296208215686E-3</v>
      </c>
      <c r="F77" s="14">
        <f>SUMPRODUCT($B77:$D77,Exposures!$B$2:$D$2)</f>
        <v>-2.9494125093900439E-2</v>
      </c>
      <c r="G77" s="14">
        <f>SUMPRODUCT($B77:$D77,Exposures!$B$3:$D$3)</f>
        <v>-2.776558143078927E-2</v>
      </c>
      <c r="H77" s="14">
        <f>SUMPRODUCT($B77:$D77,Exposures!$B$4:$D$4)</f>
        <v>-2.7377429853594863E-2</v>
      </c>
      <c r="I77" s="14">
        <f>SUMPRODUCT($B77:$D77,Exposures!$B$5:$D$5)</f>
        <v>-2.1469858948428493E-2</v>
      </c>
      <c r="J77" s="14">
        <f>SUMPRODUCT($B77:$D77,Exposures!$B$6:$D$6)</f>
        <v>-2.6853520806998897E-2</v>
      </c>
      <c r="K77" s="14">
        <f>SUMPRODUCT($B77:$D77,Exposures!$B$7:$D$7)</f>
        <v>-3.3470642512942766E-2</v>
      </c>
      <c r="L77" s="14">
        <f>SUMPRODUCT($B77:$D77,Exposures!$B$8:$D$8)</f>
        <v>-1.6060207201195519E-2</v>
      </c>
      <c r="M77" s="14">
        <f>SUMPRODUCT($B77:$D77,Exposures!$B$9:$D$9)</f>
        <v>-1.9266386761571538E-2</v>
      </c>
      <c r="N77" s="14">
        <f>SUMPRODUCT($B77:$D77,Exposures!$B$10:$D$10)</f>
        <v>-1.3418856421997978E-2</v>
      </c>
      <c r="O77" s="14">
        <f>SUMPRODUCT($B77:$D77,Exposures!$B$11:$D$11)</f>
        <v>-1.821439096858021E-2</v>
      </c>
      <c r="Q77" s="14">
        <f>Returns!B77-F77</f>
        <v>2.559912509390044E-2</v>
      </c>
      <c r="R77" s="14">
        <f>Returns!C77-G77</f>
        <v>-3.8061418569210727E-2</v>
      </c>
      <c r="S77" s="14">
        <f>Returns!D77-H77</f>
        <v>-1.3685570146405139E-2</v>
      </c>
      <c r="T77" s="14">
        <f>Returns!E77-I77</f>
        <v>-1.7780141051571507E-2</v>
      </c>
      <c r="U77" s="14">
        <f>Returns!F77-J77</f>
        <v>-1.3828479193001106E-2</v>
      </c>
      <c r="V77" s="14">
        <f>Returns!G77-K77</f>
        <v>1.3007642512942768E-2</v>
      </c>
      <c r="W77" s="14">
        <f>Returns!H77-L77</f>
        <v>3.6567207201195523E-2</v>
      </c>
      <c r="X77" s="14">
        <f>Returns!I77-M77</f>
        <v>4.0603867615715376E-3</v>
      </c>
      <c r="Y77" s="14">
        <f>Returns!J77-N77</f>
        <v>-5.2879143578002018E-2</v>
      </c>
      <c r="Z77" s="14">
        <f>Returns!K77-O77</f>
        <v>5.7000390968580214E-2</v>
      </c>
    </row>
    <row r="78" spans="1:26" x14ac:dyDescent="0.2">
      <c r="A78" s="6">
        <f>Returns!A78</f>
        <v>45464</v>
      </c>
      <c r="B78" s="14">
        <f t="array" ref="B78:D78">MMULT(Returns!B78:K78,Exposures!$B$32:$D$41)</f>
        <v>-9.3154595231118497E-4</v>
      </c>
      <c r="C78" s="14">
        <v>-1.7954047688814867E-2</v>
      </c>
      <c r="D78" s="14">
        <v>-6.7783398454813884E-4</v>
      </c>
      <c r="F78" s="14">
        <f>SUMPRODUCT($B78:$D78,Exposures!$B$2:$D$2)</f>
        <v>-7.4156802558894138E-3</v>
      </c>
      <c r="G78" s="14">
        <f>SUMPRODUCT($B78:$D78,Exposures!$B$3:$D$3)</f>
        <v>-1.5566088755216551E-2</v>
      </c>
      <c r="H78" s="14">
        <f>SUMPRODUCT($B78:$D78,Exposures!$B$4:$D$4)</f>
        <v>6.1636388319312278E-4</v>
      </c>
      <c r="I78" s="14">
        <f>SUMPRODUCT($B78:$D78,Exposures!$B$5:$D$5)</f>
        <v>1.8679207125604128E-2</v>
      </c>
      <c r="J78" s="14">
        <f>SUMPRODUCT($B78:$D78,Exposures!$B$6:$D$6)</f>
        <v>5.7519506735889889E-3</v>
      </c>
      <c r="K78" s="14">
        <f>SUMPRODUCT($B78:$D78,Exposures!$B$7:$D$7)</f>
        <v>2.0070873028593929E-2</v>
      </c>
      <c r="L78" s="14">
        <f>SUMPRODUCT($B78:$D78,Exposures!$B$8:$D$8)</f>
        <v>-7.5606448014132899E-3</v>
      </c>
      <c r="M78" s="14">
        <f>SUMPRODUCT($B78:$D78,Exposures!$B$9:$D$9)</f>
        <v>-4.3821384909042277E-2</v>
      </c>
      <c r="N78" s="14">
        <f>SUMPRODUCT($B78:$D78,Exposures!$B$10:$D$10)</f>
        <v>8.327206640769266E-3</v>
      </c>
      <c r="O78" s="14">
        <f>SUMPRODUCT($B78:$D78,Exposures!$B$11:$D$11)</f>
        <v>1.1423197369812099E-2</v>
      </c>
      <c r="Q78" s="14">
        <f>Returns!B78-F78</f>
        <v>-1.7931974411058635E-4</v>
      </c>
      <c r="R78" s="14">
        <f>Returns!C78-G78</f>
        <v>-9.9069112447834479E-3</v>
      </c>
      <c r="S78" s="14">
        <f>Returns!D78-H78</f>
        <v>1.0798636116806877E-2</v>
      </c>
      <c r="T78" s="14">
        <f>Returns!E78-I78</f>
        <v>-7.9332071256041272E-3</v>
      </c>
      <c r="U78" s="14">
        <f>Returns!F78-J78</f>
        <v>-1.6994950673588988E-2</v>
      </c>
      <c r="V78" s="14">
        <f>Returns!G78-K78</f>
        <v>9.414126971406072E-3</v>
      </c>
      <c r="W78" s="14">
        <f>Returns!H78-L78</f>
        <v>-6.1483551985867108E-3</v>
      </c>
      <c r="X78" s="14">
        <f>Returns!I78-M78</f>
        <v>7.1473849090422786E-3</v>
      </c>
      <c r="Y78" s="14">
        <f>Returns!J78-N78</f>
        <v>-1.2422066407692658E-3</v>
      </c>
      <c r="Z78" s="14">
        <f>Returns!K78-O78</f>
        <v>1.50448026301879E-2</v>
      </c>
    </row>
    <row r="79" spans="1:26" x14ac:dyDescent="0.2">
      <c r="A79" s="6">
        <f>Returns!A79</f>
        <v>45471</v>
      </c>
      <c r="B79" s="14">
        <f t="array" ref="B79:D79">MMULT(Returns!B79:K79,Exposures!$B$32:$D$41)</f>
        <v>3.0740734117390502E-2</v>
      </c>
      <c r="C79" s="14">
        <v>-9.9341173904977254E-3</v>
      </c>
      <c r="D79" s="14">
        <v>-2.3779992736990708E-3</v>
      </c>
      <c r="F79" s="14">
        <f>SUMPRODUCT($B79:$D79,Exposures!$B$2:$D$2)</f>
        <v>2.4969797344099241E-2</v>
      </c>
      <c r="G79" s="14">
        <f>SUMPRODUCT($B79:$D79,Exposures!$B$3:$D$3)</f>
        <v>2.078058322826214E-2</v>
      </c>
      <c r="H79" s="14">
        <f>SUMPRODUCT($B79:$D79,Exposures!$B$4:$D$4)</f>
        <v>3.0335347487914839E-2</v>
      </c>
      <c r="I79" s="14">
        <f>SUMPRODUCT($B79:$D79,Exposures!$B$5:$D$5)</f>
        <v>4.2773259296705515E-2</v>
      </c>
      <c r="J79" s="14">
        <f>SUMPRODUCT($B79:$D79,Exposures!$B$6:$D$6)</f>
        <v>3.3497380241046058E-2</v>
      </c>
      <c r="K79" s="14">
        <f>SUMPRODUCT($B79:$D79,Exposures!$B$7:$D$7)</f>
        <v>3.9697618299777963E-2</v>
      </c>
      <c r="L79" s="14">
        <f>SUMPRODUCT($B79:$D79,Exposures!$B$8:$D$8)</f>
        <v>2.9235985202881433E-2</v>
      </c>
      <c r="M79" s="14">
        <f>SUMPRODUCT($B79:$D79,Exposures!$B$9:$D$9)</f>
        <v>7.0695335323119109E-3</v>
      </c>
      <c r="N79" s="14">
        <f>SUMPRODUCT($B79:$D79,Exposures!$B$10:$D$10)</f>
        <v>3.9348805679350861E-2</v>
      </c>
      <c r="O79" s="14">
        <f>SUMPRODUCT($B79:$D79,Exposures!$B$11:$D$11)</f>
        <v>3.9599689687650083E-2</v>
      </c>
      <c r="Q79" s="14">
        <f>Returns!B79-F79</f>
        <v>-1.7580797344099241E-2</v>
      </c>
      <c r="R79" s="14">
        <f>Returns!C79-G79</f>
        <v>1.1908416771737863E-2</v>
      </c>
      <c r="S79" s="14">
        <f>Returns!D79-H79</f>
        <v>-1.3961347487914839E-2</v>
      </c>
      <c r="T79" s="14">
        <f>Returns!E79-I79</f>
        <v>2.6403740703294487E-2</v>
      </c>
      <c r="U79" s="14">
        <f>Returns!F79-J79</f>
        <v>-3.0098380241046059E-2</v>
      </c>
      <c r="V79" s="14">
        <f>Returns!G79-K79</f>
        <v>2.1190381700222034E-2</v>
      </c>
      <c r="W79" s="14">
        <f>Returns!H79-L79</f>
        <v>-1.3734985202881434E-2</v>
      </c>
      <c r="X79" s="14">
        <f>Returns!I79-M79</f>
        <v>1.7679466467688087E-2</v>
      </c>
      <c r="Y79" s="14">
        <f>Returns!J79-N79</f>
        <v>-3.1468056793508628E-3</v>
      </c>
      <c r="Z79" s="14">
        <f>Returns!K79-O79</f>
        <v>1.3403103123499141E-3</v>
      </c>
    </row>
    <row r="80" spans="1:26" x14ac:dyDescent="0.2">
      <c r="A80" s="6">
        <f>Returns!A80</f>
        <v>45478</v>
      </c>
      <c r="B80" s="14">
        <f t="array" ref="B80:D80">MMULT(Returns!B80:K80,Exposures!$B$32:$D$41)</f>
        <v>-1.7845365018047481E-3</v>
      </c>
      <c r="C80" s="14">
        <v>6.8365018047511581E-3</v>
      </c>
      <c r="D80" s="14">
        <v>-1.6877155377807072E-2</v>
      </c>
      <c r="F80" s="14">
        <f>SUMPRODUCT($B80:$D80,Exposures!$B$2:$D$2)</f>
        <v>-1.7992955286094087E-2</v>
      </c>
      <c r="G80" s="14">
        <f>SUMPRODUCT($B80:$D80,Exposures!$B$3:$D$3)</f>
        <v>-1.2147819595459422E-2</v>
      </c>
      <c r="H80" s="14">
        <f>SUMPRODUCT($B80:$D80,Exposures!$B$4:$D$4)</f>
        <v>-1.316915958834583E-2</v>
      </c>
      <c r="I80" s="14">
        <f>SUMPRODUCT($B80:$D80,Exposures!$B$5:$D$5)</f>
        <v>8.5792824001768367E-4</v>
      </c>
      <c r="J80" s="14">
        <f>SUMPRODUCT($B80:$D80,Exposures!$B$6:$D$6)</f>
        <v>-1.2383035233227023E-2</v>
      </c>
      <c r="K80" s="14">
        <f>SUMPRODUCT($B80:$D80,Exposures!$B$7:$D$7)</f>
        <v>-3.2571685356084568E-2</v>
      </c>
      <c r="L80" s="14">
        <f>SUMPRODUCT($B80:$D80,Exposures!$B$8:$D$8)</f>
        <v>1.9245757046174865E-2</v>
      </c>
      <c r="M80" s="14">
        <f>SUMPRODUCT($B80:$D80,Exposures!$B$9:$D$9)</f>
        <v>1.5061017472884731E-2</v>
      </c>
      <c r="N80" s="14">
        <f>SUMPRODUCT($B80:$D80,Exposures!$B$10:$D$10)</f>
        <v>2.4505288043441535E-2</v>
      </c>
      <c r="O80" s="14">
        <f>SUMPRODUCT($B80:$D80,Exposures!$B$11:$D$11)</f>
        <v>1.0817664256692141E-2</v>
      </c>
      <c r="Q80" s="14">
        <f>Returns!B80-F80</f>
        <v>2.3127955286094088E-2</v>
      </c>
      <c r="R80" s="14">
        <f>Returns!C80-G80</f>
        <v>-3.2101804045405781E-3</v>
      </c>
      <c r="S80" s="14">
        <f>Returns!D80-H80</f>
        <v>-3.2729840411654172E-2</v>
      </c>
      <c r="T80" s="14">
        <f>Returns!E80-I80</f>
        <v>-3.287092824001768E-2</v>
      </c>
      <c r="U80" s="14">
        <f>Returns!F80-J80</f>
        <v>-2.5579647667729761E-3</v>
      </c>
      <c r="V80" s="14">
        <f>Returns!G80-K80</f>
        <v>1.6200685356084567E-2</v>
      </c>
      <c r="W80" s="14">
        <f>Returns!H80-L80</f>
        <v>1.3504242953825137E-2</v>
      </c>
      <c r="X80" s="14">
        <f>Returns!I80-M80</f>
        <v>-6.2240174728847315E-3</v>
      </c>
      <c r="Y80" s="14">
        <f>Returns!J80-N80</f>
        <v>2.653711956558464E-3</v>
      </c>
      <c r="Z80" s="14">
        <f>Returns!K80-O80</f>
        <v>2.2106335743307861E-2</v>
      </c>
    </row>
    <row r="81" spans="1:26" x14ac:dyDescent="0.2">
      <c r="A81" s="6">
        <f>Returns!A81</f>
        <v>45485</v>
      </c>
      <c r="B81" s="14">
        <f t="array" ref="B81:D81">MMULT(Returns!B81:K81,Exposures!$B$32:$D$41)</f>
        <v>3.0219592846452939E-2</v>
      </c>
      <c r="C81" s="14">
        <v>-2.5928464529395615E-3</v>
      </c>
      <c r="D81" s="14">
        <v>-2.5222346050515331E-2</v>
      </c>
      <c r="F81" s="14">
        <f>SUMPRODUCT($B81:$D81,Exposures!$B$2:$D$2)</f>
        <v>1.897524786450569E-3</v>
      </c>
      <c r="G81" s="14">
        <f>SUMPRODUCT($B81:$D81,Exposures!$B$3:$D$3)</f>
        <v>4.7403907861808224E-3</v>
      </c>
      <c r="H81" s="14">
        <f>SUMPRODUCT($B81:$D81,Exposures!$B$4:$D$4)</f>
        <v>1.4614727944451632E-2</v>
      </c>
      <c r="I81" s="14">
        <f>SUMPRODUCT($B81:$D81,Exposures!$B$5:$D$5)</f>
        <v>4.7875122720902316E-2</v>
      </c>
      <c r="J81" s="14">
        <f>SUMPRODUCT($B81:$D81,Exposures!$B$6:$D$6)</f>
        <v>1.9376300319357165E-2</v>
      </c>
      <c r="K81" s="14">
        <f>SUMPRODUCT($B81:$D81,Exposures!$B$7:$D$7)</f>
        <v>-1.6285472814618618E-4</v>
      </c>
      <c r="L81" s="14">
        <f>SUMPRODUCT($B81:$D81,Exposures!$B$8:$D$8)</f>
        <v>5.6396659535304275E-2</v>
      </c>
      <c r="M81" s="14">
        <f>SUMPRODUCT($B81:$D81,Exposures!$B$9:$D$9)</f>
        <v>2.4779360205442844E-2</v>
      </c>
      <c r="N81" s="14">
        <f>SUMPRODUCT($B81:$D81,Exposures!$B$10:$D$10)</f>
        <v>7.5273255878172407E-2</v>
      </c>
      <c r="O81" s="14">
        <f>SUMPRODUCT($B81:$D81,Exposures!$B$11:$D$11)</f>
        <v>5.7379512551884136E-2</v>
      </c>
      <c r="Q81" s="14">
        <f>Returns!B81-F81</f>
        <v>2.2188475213549431E-2</v>
      </c>
      <c r="R81" s="14">
        <f>Returns!C81-G81</f>
        <v>-2.4096390786180824E-2</v>
      </c>
      <c r="S81" s="14">
        <f>Returns!D81-H81</f>
        <v>-3.0684727944451633E-2</v>
      </c>
      <c r="T81" s="14">
        <f>Returns!E81-I81</f>
        <v>-4.1628122720902314E-2</v>
      </c>
      <c r="U81" s="14">
        <f>Returns!F81-J81</f>
        <v>4.0667699680642835E-2</v>
      </c>
      <c r="V81" s="14">
        <f>Returns!G81-K81</f>
        <v>8.2438547281461858E-3</v>
      </c>
      <c r="W81" s="14">
        <f>Returns!H81-L81</f>
        <v>3.0073404646957236E-3</v>
      </c>
      <c r="X81" s="14">
        <f>Returns!I81-M81</f>
        <v>-4.2360205442844995E-5</v>
      </c>
      <c r="Y81" s="14">
        <f>Returns!J81-N81</f>
        <v>1.5436744121827592E-2</v>
      </c>
      <c r="Z81" s="14">
        <f>Returns!K81-O81</f>
        <v>6.9074874481158607E-3</v>
      </c>
    </row>
    <row r="82" spans="1:26" x14ac:dyDescent="0.2">
      <c r="A82" s="6">
        <f>Returns!A82</f>
        <v>45492</v>
      </c>
      <c r="B82" s="14">
        <f t="array" ref="B82:D82">MMULT(Returns!B82:K82,Exposures!$B$32:$D$41)</f>
        <v>-4.0728238550107234E-3</v>
      </c>
      <c r="C82" s="14">
        <v>-2.427614498927945E-2</v>
      </c>
      <c r="D82" s="14">
        <v>1.5526063933139E-2</v>
      </c>
      <c r="F82" s="14">
        <f>SUMPRODUCT($B82:$D82,Exposures!$B$2:$D$2)</f>
        <v>5.0822194355413623E-3</v>
      </c>
      <c r="G82" s="14">
        <f>SUMPRODUCT($B82:$D82,Exposures!$B$3:$D$3)</f>
        <v>-8.568977488829425E-3</v>
      </c>
      <c r="H82" s="14">
        <f>SUMPRODUCT($B82:$D82,Exposures!$B$4:$D$4)</f>
        <v>8.3789723716875871E-3</v>
      </c>
      <c r="I82" s="14">
        <f>SUMPRODUCT($B82:$D82,Exposures!$B$5:$D$5)</f>
        <v>1.2742273562966278E-2</v>
      </c>
      <c r="J82" s="14">
        <f>SUMPRODUCT($B82:$D82,Exposures!$B$6:$D$6)</f>
        <v>1.2692122739383591E-2</v>
      </c>
      <c r="K82" s="14">
        <f>SUMPRODUCT($B82:$D82,Exposures!$B$7:$D$7)</f>
        <v>4.6193738062985074E-2</v>
      </c>
      <c r="L82" s="14">
        <f>SUMPRODUCT($B82:$D82,Exposures!$B$8:$D$8)</f>
        <v>-3.0794192348405421E-2</v>
      </c>
      <c r="M82" s="14">
        <f>SUMPRODUCT($B82:$D82,Exposures!$B$9:$D$9)</f>
        <v>-6.2558592297382781E-2</v>
      </c>
      <c r="N82" s="14">
        <f>SUMPRODUCT($B82:$D82,Exposures!$B$10:$D$10)</f>
        <v>-2.0163909853496829E-2</v>
      </c>
      <c r="O82" s="14">
        <f>SUMPRODUCT($B82:$D82,Exposures!$B$11:$D$11)</f>
        <v>-3.9746541844494724E-3</v>
      </c>
      <c r="Q82" s="14">
        <f>Returns!B82-F82</f>
        <v>1.1809780564458638E-2</v>
      </c>
      <c r="R82" s="14">
        <f>Returns!C82-G82</f>
        <v>1.5271977488829424E-2</v>
      </c>
      <c r="S82" s="14">
        <f>Returns!D82-H82</f>
        <v>9.5280276283124122E-3</v>
      </c>
      <c r="T82" s="14">
        <f>Returns!E82-I82</f>
        <v>-7.9892735629662776E-3</v>
      </c>
      <c r="U82" s="14">
        <f>Returns!F82-J82</f>
        <v>-8.654122739383591E-3</v>
      </c>
      <c r="V82" s="14">
        <f>Returns!G82-K82</f>
        <v>-6.7107380629850763E-3</v>
      </c>
      <c r="W82" s="14">
        <f>Returns!H82-L82</f>
        <v>5.6554192348405419E-2</v>
      </c>
      <c r="X82" s="14">
        <f>Returns!I82-M82</f>
        <v>-3.4062407702617217E-2</v>
      </c>
      <c r="Y82" s="14">
        <f>Returns!J82-N82</f>
        <v>1.1609098534968304E-3</v>
      </c>
      <c r="Z82" s="14">
        <f>Returns!K82-O82</f>
        <v>-3.6908345815550532E-2</v>
      </c>
    </row>
    <row r="83" spans="1:26" x14ac:dyDescent="0.2">
      <c r="A83" s="6">
        <f>Returns!A83</f>
        <v>45499</v>
      </c>
      <c r="B83" s="14">
        <f t="array" ref="B83:D83">MMULT(Returns!B83:K83,Exposures!$B$32:$D$41)</f>
        <v>2.9132316773235755E-2</v>
      </c>
      <c r="C83" s="14">
        <v>3.0832267642476752E-3</v>
      </c>
      <c r="D83" s="14">
        <v>2.2427056306730489E-2</v>
      </c>
      <c r="F83" s="14">
        <f>SUMPRODUCT($B83:$D83,Exposures!$B$2:$D$2)</f>
        <v>5.4564440712131249E-2</v>
      </c>
      <c r="G83" s="14">
        <f>SUMPRODUCT($B83:$D83,Exposures!$B$3:$D$3)</f>
        <v>5.2394396014608297E-2</v>
      </c>
      <c r="H83" s="14">
        <f>SUMPRODUCT($B83:$D83,Exposures!$B$4:$D$4)</f>
        <v>4.292220730240872E-2</v>
      </c>
      <c r="I83" s="14">
        <f>SUMPRODUCT($B83:$D83,Exposures!$B$5:$D$5)</f>
        <v>1.2601300914519754E-2</v>
      </c>
      <c r="J83" s="14">
        <f>SUMPRODUCT($B83:$D83,Exposures!$B$6:$D$6)</f>
        <v>3.8470574799342488E-2</v>
      </c>
      <c r="K83" s="14">
        <f>SUMPRODUCT($B83:$D83,Exposures!$B$7:$D$7)</f>
        <v>5.5198765008805141E-2</v>
      </c>
      <c r="L83" s="14">
        <f>SUMPRODUCT($B83:$D83,Exposures!$B$8:$D$8)</f>
        <v>6.1752189353083721E-3</v>
      </c>
      <c r="M83" s="14">
        <f>SUMPRODUCT($B83:$D83,Exposures!$B$9:$D$9)</f>
        <v>3.5828417050585787E-2</v>
      </c>
      <c r="N83" s="14">
        <f>SUMPRODUCT($B83:$D83,Exposures!$B$10:$D$10)</f>
        <v>-1.1278213244386753E-2</v>
      </c>
      <c r="O83" s="14">
        <f>SUMPRODUCT($B83:$D83,Exposures!$B$11:$D$11)</f>
        <v>4.4768925066769709E-3</v>
      </c>
      <c r="Q83" s="14">
        <f>Returns!B83-F83</f>
        <v>-9.1554407121312506E-3</v>
      </c>
      <c r="R83" s="14">
        <f>Returns!C83-G83</f>
        <v>4.9956039853917E-3</v>
      </c>
      <c r="S83" s="14">
        <f>Returns!D83-H83</f>
        <v>-6.8632073024087192E-3</v>
      </c>
      <c r="T83" s="14">
        <f>Returns!E83-I83</f>
        <v>3.3504699085480247E-2</v>
      </c>
      <c r="U83" s="14">
        <f>Returns!F83-J83</f>
        <v>-3.3093574799342489E-2</v>
      </c>
      <c r="V83" s="14">
        <f>Returns!G83-K83</f>
        <v>2.8877234991194857E-2</v>
      </c>
      <c r="W83" s="14">
        <f>Returns!H83-L83</f>
        <v>-4.2872189353083722E-3</v>
      </c>
      <c r="X83" s="14">
        <f>Returns!I83-M83</f>
        <v>1.383958294941421E-2</v>
      </c>
      <c r="Y83" s="14">
        <f>Returns!J83-N83</f>
        <v>3.5258213244386757E-2</v>
      </c>
      <c r="Z83" s="14">
        <f>Returns!K83-O83</f>
        <v>-6.3075892506676973E-2</v>
      </c>
    </row>
    <row r="84" spans="1:26" x14ac:dyDescent="0.2">
      <c r="A84" s="6">
        <f>Returns!A84</f>
        <v>45506</v>
      </c>
      <c r="B84" s="14">
        <f t="array" ref="B84:D84">MMULT(Returns!B84:K84,Exposures!$B$32:$D$41)</f>
        <v>2.1443446146627573E-2</v>
      </c>
      <c r="C84" s="14">
        <v>3.8538533724252364E-3</v>
      </c>
      <c r="D84" s="14">
        <v>-7.3788894561715515E-3</v>
      </c>
      <c r="F84" s="14">
        <f>SUMPRODUCT($B84:$D84,Exposures!$B$2:$D$2)</f>
        <v>1.4633689718576657E-2</v>
      </c>
      <c r="G84" s="14">
        <f>SUMPRODUCT($B84:$D84,Exposures!$B$3:$D$3)</f>
        <v>1.7587084582879716E-2</v>
      </c>
      <c r="H84" s="14">
        <f>SUMPRODUCT($B84:$D84,Exposures!$B$4:$D$4)</f>
        <v>1.6370821918272715E-2</v>
      </c>
      <c r="I84" s="14">
        <f>SUMPRODUCT($B84:$D84,Exposures!$B$5:$D$5)</f>
        <v>2.1673367817273782E-2</v>
      </c>
      <c r="J84" s="14">
        <f>SUMPRODUCT($B84:$D84,Exposures!$B$6:$D$6)</f>
        <v>1.6472365286981101E-2</v>
      </c>
      <c r="K84" s="14">
        <f>SUMPRODUCT($B84:$D84,Exposures!$B$7:$D$7)</f>
        <v>6.9278220555606205E-3</v>
      </c>
      <c r="L84" s="14">
        <f>SUMPRODUCT($B84:$D84,Exposures!$B$8:$D$8)</f>
        <v>3.0992726641987194E-2</v>
      </c>
      <c r="M84" s="14">
        <f>SUMPRODUCT($B84:$D84,Exposures!$B$9:$D$9)</f>
        <v>3.0875522390409037E-2</v>
      </c>
      <c r="N84" s="14">
        <f>SUMPRODUCT($B84:$D84,Exposures!$B$10:$D$10)</f>
        <v>3.2548479782774711E-2</v>
      </c>
      <c r="O84" s="14">
        <f>SUMPRODUCT($B84:$D84,Exposures!$B$11:$D$11)</f>
        <v>2.6391119805284434E-2</v>
      </c>
      <c r="Q84" s="14">
        <f>Returns!B84-F84</f>
        <v>-2.7164689718576655E-2</v>
      </c>
      <c r="R84" s="14">
        <f>Returns!C84-G84</f>
        <v>-1.6546084582879716E-2</v>
      </c>
      <c r="S84" s="14">
        <f>Returns!D84-H84</f>
        <v>5.1382178081727278E-2</v>
      </c>
      <c r="T84" s="14">
        <f>Returns!E84-I84</f>
        <v>1.4515632182726217E-2</v>
      </c>
      <c r="U84" s="14">
        <f>Returns!F84-J84</f>
        <v>8.068634713018899E-3</v>
      </c>
      <c r="V84" s="14">
        <f>Returns!G84-K84</f>
        <v>-1.2634822055560621E-2</v>
      </c>
      <c r="W84" s="14">
        <f>Returns!H84-L84</f>
        <v>1.0497273358012805E-2</v>
      </c>
      <c r="X84" s="14">
        <f>Returns!I84-M84</f>
        <v>3.8174776095909642E-3</v>
      </c>
      <c r="Y84" s="14">
        <f>Returns!J84-N84</f>
        <v>-1.8355479782774711E-2</v>
      </c>
      <c r="Z84" s="14">
        <f>Returns!K84-O84</f>
        <v>-1.3580119805284434E-2</v>
      </c>
    </row>
    <row r="85" spans="1:26" x14ac:dyDescent="0.2">
      <c r="A85" s="6">
        <f>Returns!A85</f>
        <v>45513</v>
      </c>
      <c r="B85" s="14">
        <f t="array" ref="B85:D85">MMULT(Returns!B85:K85,Exposures!$B$32:$D$41)</f>
        <v>1.1037680642643686E-2</v>
      </c>
      <c r="C85" s="14">
        <v>9.0193573563154845E-3</v>
      </c>
      <c r="D85" s="14">
        <v>5.4950593222672581E-3</v>
      </c>
      <c r="F85" s="14">
        <f>SUMPRODUCT($B85:$D85,Exposures!$B$2:$D$2)</f>
        <v>1.9913489657935952E-2</v>
      </c>
      <c r="G85" s="14">
        <f>SUMPRODUCT($B85:$D85,Exposures!$B$3:$D$3)</f>
        <v>2.3183184550278315E-2</v>
      </c>
      <c r="H85" s="14">
        <f>SUMPRODUCT($B85:$D85,Exposures!$B$4:$D$4)</f>
        <v>1.3507438706477356E-2</v>
      </c>
      <c r="I85" s="14">
        <f>SUMPRODUCT($B85:$D85,Exposures!$B$5:$D$5)</f>
        <v>-1.8551167287515647E-3</v>
      </c>
      <c r="J85" s="14">
        <f>SUMPRODUCT($B85:$D85,Exposures!$B$6:$D$6)</f>
        <v>1.0102809155146258E-2</v>
      </c>
      <c r="K85" s="14">
        <f>SUMPRODUCT($B85:$D85,Exposures!$B$7:$D$7)</f>
        <v>7.3424935665542482E-3</v>
      </c>
      <c r="L85" s="14">
        <f>SUMPRODUCT($B85:$D85,Exposures!$B$8:$D$8)</f>
        <v>8.800953090684396E-3</v>
      </c>
      <c r="M85" s="14">
        <f>SUMPRODUCT($B85:$D85,Exposures!$B$9:$D$9)</f>
        <v>3.2429092944569679E-2</v>
      </c>
      <c r="N85" s="14">
        <f>SUMPRODUCT($B85:$D85,Exposures!$B$10:$D$10)</f>
        <v>-2.5824333884433117E-3</v>
      </c>
      <c r="O85" s="14">
        <f>SUMPRODUCT($B85:$D85,Exposures!$B$11:$D$11)</f>
        <v>-3.7491155445131073E-4</v>
      </c>
      <c r="Q85" s="14">
        <f>Returns!B85-F85</f>
        <v>-7.1889489657935957E-2</v>
      </c>
      <c r="R85" s="14">
        <f>Returns!C85-G85</f>
        <v>-1.1953184550278315E-2</v>
      </c>
      <c r="S85" s="14">
        <f>Returns!D85-H85</f>
        <v>7.3158561293522648E-2</v>
      </c>
      <c r="T85" s="14">
        <f>Returns!E85-I85</f>
        <v>2.2391116728751562E-2</v>
      </c>
      <c r="U85" s="14">
        <f>Returns!F85-J85</f>
        <v>9.9811908448537434E-3</v>
      </c>
      <c r="V85" s="14">
        <f>Returns!G85-K85</f>
        <v>-6.0004935665542479E-3</v>
      </c>
      <c r="W85" s="14">
        <f>Returns!H85-L85</f>
        <v>-2.6414953090684395E-2</v>
      </c>
      <c r="X85" s="14">
        <f>Returns!I85-M85</f>
        <v>2.7283907055430323E-2</v>
      </c>
      <c r="Y85" s="14">
        <f>Returns!J85-N85</f>
        <v>-2.1170566611556689E-2</v>
      </c>
      <c r="Z85" s="14">
        <f>Returns!K85-O85</f>
        <v>4.6139115544513104E-3</v>
      </c>
    </row>
    <row r="86" spans="1:26" x14ac:dyDescent="0.2">
      <c r="A86" s="6">
        <f>Returns!A86</f>
        <v>45520</v>
      </c>
      <c r="B86" s="14">
        <f t="array" ref="B86:D86">MMULT(Returns!B86:K86,Exposures!$B$32:$D$41)</f>
        <v>-1.6269794341286618E-2</v>
      </c>
      <c r="C86" s="14">
        <v>2.3943412866154774E-3</v>
      </c>
      <c r="D86" s="14">
        <v>2.2343746153698902E-2</v>
      </c>
      <c r="F86" s="14">
        <f>SUMPRODUCT($B86:$D86,Exposures!$B$2:$D$2)</f>
        <v>8.8510781779621399E-3</v>
      </c>
      <c r="G86" s="14">
        <f>SUMPRODUCT($B86:$D86,Exposures!$B$3:$D$3)</f>
        <v>6.3774757852134364E-3</v>
      </c>
      <c r="H86" s="14">
        <f>SUMPRODUCT($B86:$D86,Exposures!$B$4:$D$4)</f>
        <v>-2.4566118059840131E-3</v>
      </c>
      <c r="I86" s="14">
        <f>SUMPRODUCT($B86:$D86,Exposures!$B$5:$D$5)</f>
        <v>-3.2014549748647529E-2</v>
      </c>
      <c r="J86" s="14">
        <f>SUMPRODUCT($B86:$D86,Exposures!$B$6:$D$6)</f>
        <v>-6.7020267508281686E-3</v>
      </c>
      <c r="K86" s="14">
        <f>SUMPRODUCT($B86:$D86,Exposures!$B$7:$D$7)</f>
        <v>1.052629167346204E-2</v>
      </c>
      <c r="L86" s="14">
        <f>SUMPRODUCT($B86:$D86,Exposures!$B$8:$D$8)</f>
        <v>-3.9419360259769089E-2</v>
      </c>
      <c r="M86" s="14">
        <f>SUMPRODUCT($B86:$D86,Exposures!$B$9:$D$9)</f>
        <v>-1.1217631050886594E-2</v>
      </c>
      <c r="N86" s="14">
        <f>SUMPRODUCT($B86:$D86,Exposures!$B$10:$D$10)</f>
        <v>-5.622536622769967E-2</v>
      </c>
      <c r="O86" s="14">
        <f>SUMPRODUCT($B86:$D86,Exposures!$B$11:$D$11)</f>
        <v>-4.0393299792822565E-2</v>
      </c>
      <c r="Q86" s="14">
        <f>Returns!B86-F86</f>
        <v>8.6509218220378603E-3</v>
      </c>
      <c r="R86" s="14">
        <f>Returns!C86-G86</f>
        <v>2.2187524214786564E-2</v>
      </c>
      <c r="S86" s="14">
        <f>Returns!D86-H86</f>
        <v>2.1602611805984013E-2</v>
      </c>
      <c r="T86" s="14">
        <f>Returns!E86-I86</f>
        <v>2.894854974864753E-2</v>
      </c>
      <c r="U86" s="14">
        <f>Returns!F86-J86</f>
        <v>-5.8849732491718307E-3</v>
      </c>
      <c r="V86" s="14">
        <f>Returns!G86-K86</f>
        <v>-3.6614291673462043E-2</v>
      </c>
      <c r="W86" s="14">
        <f>Returns!H86-L86</f>
        <v>2.1956360259769089E-2</v>
      </c>
      <c r="X86" s="14">
        <f>Returns!I86-M86</f>
        <v>-2.5923368949113408E-2</v>
      </c>
      <c r="Y86" s="14">
        <f>Returns!J86-N86</f>
        <v>-1.7166633772300328E-2</v>
      </c>
      <c r="Z86" s="14">
        <f>Returns!K86-O86</f>
        <v>-1.7756700207177435E-2</v>
      </c>
    </row>
    <row r="87" spans="1:26" x14ac:dyDescent="0.2">
      <c r="A87" s="6">
        <f>Returns!A87</f>
        <v>45527</v>
      </c>
      <c r="B87" s="14">
        <f t="array" ref="B87:D87">MMULT(Returns!B87:K87,Exposures!$B$32:$D$41)</f>
        <v>-2.9241771641357233E-3</v>
      </c>
      <c r="C87" s="14">
        <v>-1.3822835864277893E-2</v>
      </c>
      <c r="D87" s="14">
        <v>8.8380361427089476E-3</v>
      </c>
      <c r="F87" s="14">
        <f>SUMPRODUCT($B87:$D87,Exposures!$B$2:$D$2)</f>
        <v>2.2859747548481055E-3</v>
      </c>
      <c r="G87" s="14">
        <f>SUMPRODUCT($B87:$D87,Exposures!$B$3:$D$3)</f>
        <v>-5.4866155255531568E-3</v>
      </c>
      <c r="H87" s="14">
        <f>SUMPRODUCT($B87:$D87,Exposures!$B$4:$D$4)</f>
        <v>4.1642975508414818E-3</v>
      </c>
      <c r="I87" s="14">
        <f>SUMPRODUCT($B87:$D87,Exposures!$B$5:$D$5)</f>
        <v>6.6518158864433451E-3</v>
      </c>
      <c r="J87" s="14">
        <f>SUMPRODUCT($B87:$D87,Exposures!$B$6:$D$6)</f>
        <v>6.62060581000586E-3</v>
      </c>
      <c r="K87" s="14">
        <f>SUMPRODUCT($B87:$D87,Exposures!$B$7:$D$7)</f>
        <v>2.5694270660086206E-2</v>
      </c>
      <c r="L87" s="14">
        <f>SUMPRODUCT($B87:$D87,Exposures!$B$8:$D$8)</f>
        <v>-1.8136618902615323E-2</v>
      </c>
      <c r="M87" s="14">
        <f>SUMPRODUCT($B87:$D87,Exposures!$B$9:$D$9)</f>
        <v>-3.622589596404116E-2</v>
      </c>
      <c r="N87" s="14">
        <f>SUMPRODUCT($B87:$D87,Exposures!$B$10:$D$10)</f>
        <v>-1.2082083913524241E-2</v>
      </c>
      <c r="O87" s="14">
        <f>SUMPRODUCT($B87:$D87,Exposures!$B$11:$D$11)</f>
        <v>-2.8657503564911311E-3</v>
      </c>
      <c r="Q87" s="14">
        <f>Returns!B87-F87</f>
        <v>1.3269025245151894E-2</v>
      </c>
      <c r="R87" s="14">
        <f>Returns!C87-G87</f>
        <v>-1.2860384474446842E-2</v>
      </c>
      <c r="S87" s="14">
        <f>Returns!D87-H87</f>
        <v>-3.1372297550841484E-2</v>
      </c>
      <c r="T87" s="14">
        <f>Returns!E87-I87</f>
        <v>-4.2426815886443349E-2</v>
      </c>
      <c r="U87" s="14">
        <f>Returns!F87-J87</f>
        <v>1.367639418999414E-2</v>
      </c>
      <c r="V87" s="14">
        <f>Returns!G87-K87</f>
        <v>1.8897729339913794E-2</v>
      </c>
      <c r="W87" s="14">
        <f>Returns!H87-L87</f>
        <v>7.0175618902615325E-2</v>
      </c>
      <c r="X87" s="14">
        <f>Returns!I87-M87</f>
        <v>-1.8336104035958839E-2</v>
      </c>
      <c r="Y87" s="14">
        <f>Returns!J87-N87</f>
        <v>-3.3936916086475755E-2</v>
      </c>
      <c r="Z87" s="14">
        <f>Returns!K87-O87</f>
        <v>2.2913750356491132E-2</v>
      </c>
    </row>
    <row r="88" spans="1:26" x14ac:dyDescent="0.2">
      <c r="A88" s="6">
        <f>Returns!A88</f>
        <v>45534</v>
      </c>
      <c r="B88" s="14">
        <f t="array" ref="B88:D88">MMULT(Returns!B88:K88,Exposures!$B$32:$D$41)</f>
        <v>-1.8356390622051029E-2</v>
      </c>
      <c r="C88" s="14">
        <v>9.8906220510289397E-3</v>
      </c>
      <c r="D88" s="14">
        <v>-1.4033642263680386E-2</v>
      </c>
      <c r="F88" s="14">
        <f>SUMPRODUCT($B88:$D88,Exposures!$B$2:$D$2)</f>
        <v>-3.048806163313339E-2</v>
      </c>
      <c r="G88" s="14">
        <f>SUMPRODUCT($B88:$D88,Exposures!$B$3:$D$3)</f>
        <v>-2.3692992727471215E-2</v>
      </c>
      <c r="H88" s="14">
        <f>SUMPRODUCT($B88:$D88,Exposures!$B$4:$D$4)</f>
        <v>-2.8285553673782854E-2</v>
      </c>
      <c r="I88" s="14">
        <f>SUMPRODUCT($B88:$D88,Exposures!$B$5:$D$5)</f>
        <v>-2.0659507281080569E-2</v>
      </c>
      <c r="J88" s="14">
        <f>SUMPRODUCT($B88:$D88,Exposures!$B$6:$D$6)</f>
        <v>-2.8809545085882099E-2</v>
      </c>
      <c r="K88" s="14">
        <f>SUMPRODUCT($B88:$D88,Exposures!$B$7:$D$7)</f>
        <v>-4.9087693735001249E-2</v>
      </c>
      <c r="L88" s="14">
        <f>SUMPRODUCT($B88:$D88,Exposures!$B$8:$D$8)</f>
        <v>8.550980636456533E-4</v>
      </c>
      <c r="M88" s="14">
        <f>SUMPRODUCT($B88:$D88,Exposures!$B$9:$D$9)</f>
        <v>5.7032053478185503E-3</v>
      </c>
      <c r="N88" s="14">
        <f>SUMPRODUCT($B88:$D88,Exposures!$B$10:$D$10)</f>
        <v>1.6113669937898173E-3</v>
      </c>
      <c r="O88" s="14">
        <f>SUMPRODUCT($B88:$D88,Exposures!$B$11:$D$11)</f>
        <v>-1.0611316268902651E-2</v>
      </c>
      <c r="Q88" s="14">
        <f>Returns!B88-F88</f>
        <v>-7.1579383668666091E-3</v>
      </c>
      <c r="R88" s="14">
        <f>Returns!C88-G88</f>
        <v>-1.4417007272528783E-2</v>
      </c>
      <c r="S88" s="14">
        <f>Returns!D88-H88</f>
        <v>6.550855367378286E-2</v>
      </c>
      <c r="T88" s="14">
        <f>Returns!E88-I88</f>
        <v>1.8309507281080568E-2</v>
      </c>
      <c r="U88" s="14">
        <f>Returns!F88-J88</f>
        <v>-1.2698454914117904E-2</v>
      </c>
      <c r="V88" s="14">
        <f>Returns!G88-K88</f>
        <v>-2.6030306264998755E-2</v>
      </c>
      <c r="W88" s="14">
        <f>Returns!H88-L88</f>
        <v>1.9534901936354345E-2</v>
      </c>
      <c r="X88" s="14">
        <f>Returns!I88-M88</f>
        <v>-9.0422053478185493E-3</v>
      </c>
      <c r="Y88" s="14">
        <f>Returns!J88-N88</f>
        <v>-2.4397366993789818E-2</v>
      </c>
      <c r="Z88" s="14">
        <f>Returns!K88-O88</f>
        <v>-9.6096837310973484E-3</v>
      </c>
    </row>
    <row r="89" spans="1:26" x14ac:dyDescent="0.2">
      <c r="A89" s="6">
        <f>Returns!A89</f>
        <v>45541</v>
      </c>
      <c r="B89" s="14">
        <f t="array" ref="B89:D89">MMULT(Returns!B89:K89,Exposures!$B$32:$D$41)</f>
        <v>2.3150249712804147E-2</v>
      </c>
      <c r="C89" s="14">
        <v>2.4250287195853891E-2</v>
      </c>
      <c r="D89" s="14">
        <v>1.4451829295894308E-2</v>
      </c>
      <c r="F89" s="14">
        <f>SUMPRODUCT($B89:$D89,Exposures!$B$2:$D$2)</f>
        <v>4.6662835548002185E-2</v>
      </c>
      <c r="G89" s="14">
        <f>SUMPRODUCT($B89:$D89,Exposures!$B$3:$D$3)</f>
        <v>5.5505674970751886E-2</v>
      </c>
      <c r="H89" s="14">
        <f>SUMPRODUCT($B89:$D89,Exposures!$B$4:$D$4)</f>
        <v>2.9587370577673633E-2</v>
      </c>
      <c r="I89" s="14">
        <f>SUMPRODUCT($B89:$D89,Exposures!$B$5:$D$5)</f>
        <v>-1.1324136871337161E-2</v>
      </c>
      <c r="J89" s="14">
        <f>SUMPRODUCT($B89:$D89,Exposures!$B$6:$D$6)</f>
        <v>2.0484997475491453E-2</v>
      </c>
      <c r="K89" s="14">
        <f>SUMPRODUCT($B89:$D89,Exposures!$B$7:$D$7)</f>
        <v>1.2785832297401833E-2</v>
      </c>
      <c r="L89" s="14">
        <f>SUMPRODUCT($B89:$D89,Exposures!$B$8:$D$8)</f>
        <v>1.7484891823538386E-2</v>
      </c>
      <c r="M89" s="14">
        <f>SUMPRODUCT($B89:$D89,Exposures!$B$9:$D$9)</f>
        <v>8.0674881232018117E-2</v>
      </c>
      <c r="N89" s="14">
        <f>SUMPRODUCT($B89:$D89,Exposures!$B$10:$D$10)</f>
        <v>-1.2908562500186203E-2</v>
      </c>
      <c r="O89" s="14">
        <f>SUMPRODUCT($B89:$D89,Exposures!$B$11:$D$11)</f>
        <v>-7.2087845533541344E-3</v>
      </c>
      <c r="Q89" s="14">
        <f>Returns!B89-F89</f>
        <v>1.5194164451997817E-2</v>
      </c>
      <c r="R89" s="14">
        <f>Returns!C89-G89</f>
        <v>8.7553250292481122E-3</v>
      </c>
      <c r="S89" s="14">
        <f>Returns!D89-H89</f>
        <v>-1.1862370577673632E-2</v>
      </c>
      <c r="T89" s="14">
        <f>Returns!E89-I89</f>
        <v>4.293413687133716E-2</v>
      </c>
      <c r="U89" s="14">
        <f>Returns!F89-J89</f>
        <v>2.7043002524508548E-2</v>
      </c>
      <c r="V89" s="14">
        <f>Returns!G89-K89</f>
        <v>-3.2184832297401836E-2</v>
      </c>
      <c r="W89" s="14">
        <f>Returns!H89-L89</f>
        <v>-1.161891823538385E-3</v>
      </c>
      <c r="X89" s="14">
        <f>Returns!I89-M89</f>
        <v>-9.1658812320181138E-3</v>
      </c>
      <c r="Y89" s="14">
        <f>Returns!J89-N89</f>
        <v>4.4945625001862038E-3</v>
      </c>
      <c r="Z89" s="14">
        <f>Returns!K89-O89</f>
        <v>-4.4046215446645866E-2</v>
      </c>
    </row>
    <row r="90" spans="1:26" x14ac:dyDescent="0.2">
      <c r="A90" s="6">
        <f>Returns!A90</f>
        <v>45548</v>
      </c>
      <c r="B90" s="14">
        <f t="array" ref="B90:D90">MMULT(Returns!B90:K90,Exposures!$B$32:$D$41)</f>
        <v>3.1249465381971438E-2</v>
      </c>
      <c r="C90" s="14">
        <v>2.1334618028563689E-2</v>
      </c>
      <c r="D90" s="14">
        <v>-3.7788326265619791E-3</v>
      </c>
      <c r="F90" s="14">
        <f>SUMPRODUCT($B90:$D90,Exposures!$B$2:$D$2)</f>
        <v>3.3957615588159268E-2</v>
      </c>
      <c r="G90" s="14">
        <f>SUMPRODUCT($B90:$D90,Exposures!$B$3:$D$3)</f>
        <v>4.4376153101548473E-2</v>
      </c>
      <c r="H90" s="14">
        <f>SUMPRODUCT($B90:$D90,Exposures!$B$4:$D$4)</f>
        <v>2.6521992844095385E-2</v>
      </c>
      <c r="I90" s="14">
        <f>SUMPRODUCT($B90:$D90,Exposures!$B$5:$D$5)</f>
        <v>1.0650935341079856E-2</v>
      </c>
      <c r="J90" s="14">
        <f>SUMPRODUCT($B90:$D90,Exposures!$B$6:$D$6)</f>
        <v>2.1152913016347467E-2</v>
      </c>
      <c r="K90" s="14">
        <f>SUMPRODUCT($B90:$D90,Exposures!$B$7:$D$7)</f>
        <v>1.9538399379630689E-4</v>
      </c>
      <c r="L90" s="14">
        <f>SUMPRODUCT($B90:$D90,Exposures!$B$8:$D$8)</f>
        <v>4.4077798010369491E-2</v>
      </c>
      <c r="M90" s="14">
        <f>SUMPRODUCT($B90:$D90,Exposures!$B$9:$D$9)</f>
        <v>8.2352567449035519E-2</v>
      </c>
      <c r="N90" s="14">
        <f>SUMPRODUCT($B90:$D90,Exposures!$B$10:$D$10)</f>
        <v>2.8224056039335619E-2</v>
      </c>
      <c r="O90" s="14">
        <f>SUMPRODUCT($B90:$D90,Exposures!$B$11:$D$11)</f>
        <v>2.1198584616232637E-2</v>
      </c>
      <c r="Q90" s="14">
        <f>Returns!B90-F90</f>
        <v>-2.1879615588159269E-2</v>
      </c>
      <c r="R90" s="14">
        <f>Returns!C90-G90</f>
        <v>-7.5231531015484757E-3</v>
      </c>
      <c r="S90" s="14">
        <f>Returns!D90-H90</f>
        <v>4.5448007155904621E-2</v>
      </c>
      <c r="T90" s="14">
        <f>Returns!E90-I90</f>
        <v>-4.3304935341079862E-2</v>
      </c>
      <c r="U90" s="14">
        <f>Returns!F90-J90</f>
        <v>4.8097086983652539E-2</v>
      </c>
      <c r="V90" s="14">
        <f>Returns!G90-K90</f>
        <v>-1.8802383993796305E-2</v>
      </c>
      <c r="W90" s="14">
        <f>Returns!H90-L90</f>
        <v>-1.5707980103694882E-3</v>
      </c>
      <c r="X90" s="14">
        <f>Returns!I90-M90</f>
        <v>-1.1677567449035517E-2</v>
      </c>
      <c r="Y90" s="14">
        <f>Returns!J90-N90</f>
        <v>1.5967943960664383E-2</v>
      </c>
      <c r="Z90" s="14">
        <f>Returns!K90-O90</f>
        <v>-4.754584616232637E-3</v>
      </c>
    </row>
    <row r="91" spans="1:26" x14ac:dyDescent="0.2">
      <c r="A91" s="6">
        <f>Returns!A91</f>
        <v>45555</v>
      </c>
      <c r="B91" s="14">
        <f t="array" ref="B91:D91">MMULT(Returns!B91:K91,Exposures!$B$32:$D$41)</f>
        <v>7.3282029273032366E-3</v>
      </c>
      <c r="C91" s="14">
        <v>-1.1802927303236919E-2</v>
      </c>
      <c r="D91" s="14">
        <v>-1.2704381673917822E-2</v>
      </c>
      <c r="F91" s="14">
        <f>SUMPRODUCT($B91:$D91,Exposures!$B$2:$D$2)</f>
        <v>-1.0296509834303004E-2</v>
      </c>
      <c r="G91" s="14">
        <f>SUMPRODUCT($B91:$D91,Exposures!$B$3:$D$3)</f>
        <v>-1.3693155325965135E-2</v>
      </c>
      <c r="H91" s="14">
        <f>SUMPRODUCT($B91:$D91,Exposures!$B$4:$D$4)</f>
        <v>6.2276447609107069E-4</v>
      </c>
      <c r="I91" s="14">
        <f>SUMPRODUCT($B91:$D91,Exposures!$B$5:$D$5)</f>
        <v>2.7452920329378253E-2</v>
      </c>
      <c r="J91" s="14">
        <f>SUMPRODUCT($B91:$D91,Exposures!$B$6:$D$6)</f>
        <v>5.9602851888242592E-3</v>
      </c>
      <c r="K91" s="14">
        <f>SUMPRODUCT($B91:$D91,Exposures!$B$7:$D$7)</f>
        <v>4.8309466109415743E-3</v>
      </c>
      <c r="L91" s="14">
        <f>SUMPRODUCT($B91:$D91,Exposures!$B$8:$D$8)</f>
        <v>1.6209734940807349E-2</v>
      </c>
      <c r="M91" s="14">
        <f>SUMPRODUCT($B91:$D91,Exposures!$B$9:$D$9)</f>
        <v>-2.0499661877215469E-2</v>
      </c>
      <c r="N91" s="14">
        <f>SUMPRODUCT($B91:$D91,Exposures!$B$10:$D$10)</f>
        <v>3.4745144326376862E-2</v>
      </c>
      <c r="O91" s="14">
        <f>SUMPRODUCT($B91:$D91,Exposures!$B$11:$D$11)</f>
        <v>2.7831531165064233E-2</v>
      </c>
      <c r="Q91" s="14">
        <f>Returns!B91-F91</f>
        <v>-2.1370490165696997E-2</v>
      </c>
      <c r="R91" s="14">
        <f>Returns!C91-G91</f>
        <v>2.4749155325965135E-2</v>
      </c>
      <c r="S91" s="14">
        <f>Returns!D91-H91</f>
        <v>-2.8235764476091069E-2</v>
      </c>
      <c r="T91" s="14">
        <f>Returns!E91-I91</f>
        <v>-8.2226920329378256E-2</v>
      </c>
      <c r="U91" s="14">
        <f>Returns!F91-J91</f>
        <v>4.8676714811175741E-2</v>
      </c>
      <c r="V91" s="14">
        <f>Returns!G91-K91</f>
        <v>1.7511053389058426E-2</v>
      </c>
      <c r="W91" s="14">
        <f>Returns!H91-L91</f>
        <v>3.4751265059192654E-2</v>
      </c>
      <c r="X91" s="14">
        <f>Returns!I91-M91</f>
        <v>-2.4926338122784532E-2</v>
      </c>
      <c r="Y91" s="14">
        <f>Returns!J91-N91</f>
        <v>1.1575855673623139E-2</v>
      </c>
      <c r="Z91" s="14">
        <f>Returns!K91-O91</f>
        <v>1.9495468834935768E-2</v>
      </c>
    </row>
    <row r="92" spans="1:26" x14ac:dyDescent="0.2">
      <c r="A92" s="6">
        <f>Returns!A92</f>
        <v>45562</v>
      </c>
      <c r="B92" s="14">
        <f t="array" ref="B92:D92">MMULT(Returns!B92:K92,Exposures!$B$32:$D$41)</f>
        <v>1.7465303266235355E-2</v>
      </c>
      <c r="C92" s="14">
        <v>6.5967337646500668E-3</v>
      </c>
      <c r="D92" s="14">
        <v>-6.6749723089975024E-3</v>
      </c>
      <c r="F92" s="14">
        <f>SUMPRODUCT($B92:$D92,Exposures!$B$2:$D$2)</f>
        <v>1.2300538254116099E-2</v>
      </c>
      <c r="G92" s="14">
        <f>SUMPRODUCT($B92:$D92,Exposures!$B$3:$D$3)</f>
        <v>1.640303135529473E-2</v>
      </c>
      <c r="H92" s="14">
        <f>SUMPRODUCT($B92:$D92,Exposures!$B$4:$D$4)</f>
        <v>1.2534429997455424E-2</v>
      </c>
      <c r="I92" s="14">
        <f>SUMPRODUCT($B92:$D92,Exposures!$B$5:$D$5)</f>
        <v>1.4345031800368307E-2</v>
      </c>
      <c r="J92" s="14">
        <f>SUMPRODUCT($B92:$D92,Exposures!$B$6:$D$6)</f>
        <v>1.1755340112793004E-2</v>
      </c>
      <c r="K92" s="14">
        <f>SUMPRODUCT($B92:$D92,Exposures!$B$7:$D$7)</f>
        <v>5.3957490239559501E-4</v>
      </c>
      <c r="L92" s="14">
        <f>SUMPRODUCT($B92:$D92,Exposures!$B$8:$D$8)</f>
        <v>2.7378934203459184E-2</v>
      </c>
      <c r="M92" s="14">
        <f>SUMPRODUCT($B92:$D92,Exposures!$B$9:$D$9)</f>
        <v>3.3431746133018934E-2</v>
      </c>
      <c r="N92" s="14">
        <f>SUMPRODUCT($B92:$D92,Exposures!$B$10:$D$10)</f>
        <v>2.611122488979848E-2</v>
      </c>
      <c r="O92" s="14">
        <f>SUMPRODUCT($B92:$D92,Exposures!$B$11:$D$11)</f>
        <v>1.9919148351300289E-2</v>
      </c>
      <c r="Q92" s="14">
        <f>Returns!B92-F92</f>
        <v>6.0798461745883894E-2</v>
      </c>
      <c r="R92" s="14">
        <f>Returns!C92-G92</f>
        <v>1.9925968644705271E-2</v>
      </c>
      <c r="S92" s="14">
        <f>Returns!D92-H92</f>
        <v>-2.1831429997455423E-2</v>
      </c>
      <c r="T92" s="14">
        <f>Returns!E92-I92</f>
        <v>9.6859681996316928E-3</v>
      </c>
      <c r="U92" s="14">
        <f>Returns!F92-J92</f>
        <v>-2.5354340112793004E-2</v>
      </c>
      <c r="V92" s="14">
        <f>Returns!G92-K92</f>
        <v>-2.8752574902395592E-2</v>
      </c>
      <c r="W92" s="14">
        <f>Returns!H92-L92</f>
        <v>1.0594065796540816E-2</v>
      </c>
      <c r="X92" s="14">
        <f>Returns!I92-M92</f>
        <v>-3.0405746133018934E-2</v>
      </c>
      <c r="Y92" s="14">
        <f>Returns!J92-N92</f>
        <v>-1.0232248897984811E-3</v>
      </c>
      <c r="Z92" s="14">
        <f>Returns!K92-O92</f>
        <v>6.3628516486997112E-3</v>
      </c>
    </row>
    <row r="93" spans="1:26" x14ac:dyDescent="0.2">
      <c r="A93" s="6">
        <f>Returns!A93</f>
        <v>45569</v>
      </c>
      <c r="B93" s="14">
        <f t="array" ref="B93:D93">MMULT(Returns!B93:K93,Exposures!$B$32:$D$41)</f>
        <v>-1.0686850781521389E-2</v>
      </c>
      <c r="C93" s="14">
        <v>-1.044921847861225E-2</v>
      </c>
      <c r="D93" s="14">
        <v>2.619246358188666E-2</v>
      </c>
      <c r="F93" s="14">
        <f>SUMPRODUCT($B93:$D93,Exposures!$B$2:$D$2)</f>
        <v>1.4519184609579152E-2</v>
      </c>
      <c r="G93" s="14">
        <f>SUMPRODUCT($B93:$D93,Exposures!$B$3:$D$3)</f>
        <v>5.5217499363156494E-3</v>
      </c>
      <c r="H93" s="14">
        <f>SUMPRODUCT($B93:$D93,Exposures!$B$4:$D$4)</f>
        <v>6.9638153077145552E-3</v>
      </c>
      <c r="I93" s="14">
        <f>SUMPRODUCT($B93:$D93,Exposures!$B$5:$D$5)</f>
        <v>-1.4959740522719409E-2</v>
      </c>
      <c r="J93" s="14">
        <f>SUMPRODUCT($B93:$D93,Exposures!$B$6:$D$6)</f>
        <v>5.6988023086241178E-3</v>
      </c>
      <c r="K93" s="14">
        <f>SUMPRODUCT($B93:$D93,Exposures!$B$7:$D$7)</f>
        <v>3.6897172326294816E-2</v>
      </c>
      <c r="L93" s="14">
        <f>SUMPRODUCT($B93:$D93,Exposures!$B$8:$D$8)</f>
        <v>-4.3258891026190002E-2</v>
      </c>
      <c r="M93" s="14">
        <f>SUMPRODUCT($B93:$D93,Exposures!$B$9:$D$9)</f>
        <v>-3.6446256852861271E-2</v>
      </c>
      <c r="N93" s="14">
        <f>SUMPRODUCT($B93:$D93,Exposures!$B$10:$D$10)</f>
        <v>-5.1559589098628664E-2</v>
      </c>
      <c r="O93" s="14">
        <f>SUMPRODUCT($B93:$D93,Exposures!$B$11:$D$11)</f>
        <v>-3.034924698812895E-2</v>
      </c>
      <c r="Q93" s="14">
        <f>Returns!B93-F93</f>
        <v>4.1334815390420845E-2</v>
      </c>
      <c r="R93" s="14">
        <f>Returns!C93-G93</f>
        <v>2.7627250063684348E-2</v>
      </c>
      <c r="S93" s="14">
        <f>Returns!D93-H93</f>
        <v>-6.9288153077145549E-3</v>
      </c>
      <c r="T93" s="14">
        <f>Returns!E93-I93</f>
        <v>2.366874052271941E-2</v>
      </c>
      <c r="U93" s="14">
        <f>Returns!F93-J93</f>
        <v>-2.146080230862412E-2</v>
      </c>
      <c r="V93" s="14">
        <f>Returns!G93-K93</f>
        <v>-2.7904172326294815E-2</v>
      </c>
      <c r="W93" s="14">
        <f>Returns!H93-L93</f>
        <v>3.9184891026190001E-2</v>
      </c>
      <c r="X93" s="14">
        <f>Returns!I93-M93</f>
        <v>-3.8843743147138725E-2</v>
      </c>
      <c r="Y93" s="14">
        <f>Returns!J93-N93</f>
        <v>1.5205890986286635E-3</v>
      </c>
      <c r="Z93" s="14">
        <f>Returns!K93-O93</f>
        <v>-3.8198753011871048E-2</v>
      </c>
    </row>
    <row r="94" spans="1:26" x14ac:dyDescent="0.2">
      <c r="A94" s="6">
        <f>Returns!A94</f>
        <v>45576</v>
      </c>
      <c r="B94" s="14">
        <f t="array" ref="B94:D94">MMULT(Returns!B94:K94,Exposures!$B$32:$D$41)</f>
        <v>2.0666490331445797E-2</v>
      </c>
      <c r="C94" s="14">
        <v>1.8709668554206554E-2</v>
      </c>
      <c r="D94" s="14">
        <v>-2.0471615213639403E-2</v>
      </c>
      <c r="F94" s="14">
        <f>SUMPRODUCT($B94:$D94,Exposures!$B$2:$D$2)</f>
        <v>4.3395236859249398E-3</v>
      </c>
      <c r="G94" s="14">
        <f>SUMPRODUCT($B94:$D94,Exposures!$B$3:$D$3)</f>
        <v>1.6221429655042263E-2</v>
      </c>
      <c r="H94" s="14">
        <f>SUMPRODUCT($B94:$D94,Exposures!$B$4:$D$4)</f>
        <v>5.7113092058902522E-3</v>
      </c>
      <c r="I94" s="14">
        <f>SUMPRODUCT($B94:$D94,Exposures!$B$5:$D$5)</f>
        <v>1.272539795449203E-2</v>
      </c>
      <c r="J94" s="14">
        <f>SUMPRODUCT($B94:$D94,Exposures!$B$6:$D$6)</f>
        <v>3.7480604448947227E-3</v>
      </c>
      <c r="K94" s="14">
        <f>SUMPRODUCT($B94:$D94,Exposures!$B$7:$D$7)</f>
        <v>-2.9386553538826608E-2</v>
      </c>
      <c r="L94" s="14">
        <f>SUMPRODUCT($B94:$D94,Exposures!$B$8:$D$8)</f>
        <v>5.0446798869401038E-2</v>
      </c>
      <c r="M94" s="14">
        <f>SUMPRODUCT($B94:$D94,Exposures!$B$9:$D$9)</f>
        <v>6.5996746632408648E-2</v>
      </c>
      <c r="N94" s="14">
        <f>SUMPRODUCT($B94:$D94,Exposures!$B$10:$D$10)</f>
        <v>4.7867749953785406E-2</v>
      </c>
      <c r="O94" s="14">
        <f>SUMPRODUCT($B94:$D94,Exposures!$B$11:$D$11)</f>
        <v>2.9181537136987332E-2</v>
      </c>
      <c r="Q94" s="14">
        <f>Returns!B94-F94</f>
        <v>7.4004763140750607E-3</v>
      </c>
      <c r="R94" s="14">
        <f>Returns!C94-G94</f>
        <v>3.1819570344957734E-2</v>
      </c>
      <c r="S94" s="14">
        <f>Returns!D94-H94</f>
        <v>-2.1867309205890251E-2</v>
      </c>
      <c r="T94" s="14">
        <f>Returns!E94-I94</f>
        <v>4.9016020455079704E-3</v>
      </c>
      <c r="U94" s="14">
        <f>Returns!F94-J94</f>
        <v>-1.1741060444894723E-2</v>
      </c>
      <c r="V94" s="14">
        <f>Returns!G94-K94</f>
        <v>-1.1744464611733937E-3</v>
      </c>
      <c r="W94" s="14">
        <f>Returns!H94-L94</f>
        <v>-7.284479886940104E-2</v>
      </c>
      <c r="X94" s="14">
        <f>Returns!I94-M94</f>
        <v>9.9722533675913466E-3</v>
      </c>
      <c r="Y94" s="14">
        <f>Returns!J94-N94</f>
        <v>5.2348250046214594E-2</v>
      </c>
      <c r="Z94" s="14">
        <f>Returns!K94-O94</f>
        <v>1.18546286301267E-3</v>
      </c>
    </row>
    <row r="95" spans="1:26" x14ac:dyDescent="0.2">
      <c r="A95" s="6">
        <f>Returns!A95</f>
        <v>45583</v>
      </c>
      <c r="B95" s="14">
        <f t="array" ref="B95:D95">MMULT(Returns!B95:K95,Exposures!$B$32:$D$41)</f>
        <v>-2.722012724678171E-2</v>
      </c>
      <c r="C95" s="14">
        <v>-3.6727532182911785E-3</v>
      </c>
      <c r="D95" s="14">
        <v>1.6030763436815226E-2</v>
      </c>
      <c r="F95" s="14">
        <f>SUMPRODUCT($B95:$D95,Exposures!$B$2:$D$2)</f>
        <v>-1.0921876130506287E-2</v>
      </c>
      <c r="G95" s="14">
        <f>SUMPRODUCT($B95:$D95,Exposures!$B$3:$D$3)</f>
        <v>-1.517626476081067E-2</v>
      </c>
      <c r="H95" s="14">
        <f>SUMPRODUCT($B95:$D95,Exposures!$B$4:$D$4)</f>
        <v>-1.6716743427576088E-2</v>
      </c>
      <c r="I95" s="14">
        <f>SUMPRODUCT($B95:$D95,Exposures!$B$5:$D$5)</f>
        <v>-3.274843173093113E-2</v>
      </c>
      <c r="J95" s="14">
        <f>SUMPRODUCT($B95:$D95,Exposures!$B$6:$D$6)</f>
        <v>-1.8253294676344994E-2</v>
      </c>
      <c r="K95" s="14">
        <f>SUMPRODUCT($B95:$D95,Exposures!$B$7:$D$7)</f>
        <v>-1.4184529495022205E-3</v>
      </c>
      <c r="L95" s="14">
        <f>SUMPRODUCT($B95:$D95,Exposures!$B$8:$D$8)</f>
        <v>-4.6039180578041537E-2</v>
      </c>
      <c r="M95" s="14">
        <f>SUMPRODUCT($B95:$D95,Exposures!$B$9:$D$9)</f>
        <v>-3.647893034160208E-2</v>
      </c>
      <c r="N95" s="14">
        <f>SUMPRODUCT($B95:$D95,Exposures!$B$10:$D$10)</f>
        <v>-5.3460916678609173E-2</v>
      </c>
      <c r="O95" s="14">
        <f>SUMPRODUCT($B95:$D95,Exposures!$B$11:$D$11)</f>
        <v>-4.1023908726075822E-2</v>
      </c>
      <c r="Q95" s="14">
        <f>Returns!B95-F95</f>
        <v>-1.7251123869493713E-2</v>
      </c>
      <c r="R95" s="14">
        <f>Returns!C95-G95</f>
        <v>1.9581264760810669E-2</v>
      </c>
      <c r="S95" s="14">
        <f>Returns!D95-H95</f>
        <v>-9.9162565724239121E-3</v>
      </c>
      <c r="T95" s="14">
        <f>Returns!E95-I95</f>
        <v>2.178943173093113E-2</v>
      </c>
      <c r="U95" s="14">
        <f>Returns!F95-J95</f>
        <v>7.5072946763449933E-3</v>
      </c>
      <c r="V95" s="14">
        <f>Returns!G95-K95</f>
        <v>2.7924529495022207E-3</v>
      </c>
      <c r="W95" s="14">
        <f>Returns!H95-L95</f>
        <v>3.2210180578041536E-2</v>
      </c>
      <c r="X95" s="14">
        <f>Returns!I95-M95</f>
        <v>-1.0281069658397923E-2</v>
      </c>
      <c r="Y95" s="14">
        <f>Returns!J95-N95</f>
        <v>-4.9083321390828993E-5</v>
      </c>
      <c r="Z95" s="14">
        <f>Returns!K95-O95</f>
        <v>-4.6383091273924176E-2</v>
      </c>
    </row>
    <row r="96" spans="1:26" x14ac:dyDescent="0.2">
      <c r="A96" s="6">
        <f>Returns!A96</f>
        <v>45590</v>
      </c>
      <c r="B96" s="14">
        <f t="array" ref="B96:D96">MMULT(Returns!B96:K96,Exposures!$B$32:$D$41)</f>
        <v>-2.0590069870297181E-2</v>
      </c>
      <c r="C96" s="14">
        <v>-1.4830129702818679E-2</v>
      </c>
      <c r="D96" s="14">
        <v>5.9111405770923119E-3</v>
      </c>
      <c r="F96" s="14">
        <f>SUMPRODUCT($B96:$D96,Exposures!$B$2:$D$2)</f>
        <v>-1.8892568146168538E-2</v>
      </c>
      <c r="G96" s="14">
        <f>SUMPRODUCT($B96:$D96,Exposures!$B$3:$D$3)</f>
        <v>-2.6660210301799901E-2</v>
      </c>
      <c r="H96" s="14">
        <f>SUMPRODUCT($B96:$D96,Exposures!$B$4:$D$4)</f>
        <v>-1.523473703941897E-2</v>
      </c>
      <c r="I96" s="14">
        <f>SUMPRODUCT($B96:$D96,Exposures!$B$5:$D$5)</f>
        <v>-8.2094040287656583E-3</v>
      </c>
      <c r="J96" s="14">
        <f>SUMPRODUCT($B96:$D96,Exposures!$B$6:$D$6)</f>
        <v>-1.202808321496451E-2</v>
      </c>
      <c r="K96" s="14">
        <f>SUMPRODUCT($B96:$D96,Exposures!$B$7:$D$7)</f>
        <v>5.3645053346743823E-3</v>
      </c>
      <c r="L96" s="14">
        <f>SUMPRODUCT($B96:$D96,Exposures!$B$8:$D$8)</f>
        <v>-3.3054454871712532E-2</v>
      </c>
      <c r="M96" s="14">
        <f>SUMPRODUCT($B96:$D96,Exposures!$B$9:$D$9)</f>
        <v>-5.6211414077346589E-2</v>
      </c>
      <c r="N96" s="14">
        <f>SUMPRODUCT($B96:$D96,Exposures!$B$10:$D$10)</f>
        <v>-2.4201896108169398E-2</v>
      </c>
      <c r="O96" s="14">
        <f>SUMPRODUCT($B96:$D96,Exposures!$B$11:$D$11)</f>
        <v>-1.6920737546328276E-2</v>
      </c>
      <c r="Q96" s="14">
        <f>Returns!B96-F96</f>
        <v>-1.2284318538314624E-3</v>
      </c>
      <c r="R96" s="14">
        <f>Returns!C96-G96</f>
        <v>-1.6218789698200099E-2</v>
      </c>
      <c r="S96" s="14">
        <f>Returns!D96-H96</f>
        <v>2.5767370394189689E-3</v>
      </c>
      <c r="T96" s="14">
        <f>Returns!E96-I96</f>
        <v>-1.5353595971234342E-2</v>
      </c>
      <c r="U96" s="14">
        <f>Returns!F96-J96</f>
        <v>7.1570832149645096E-3</v>
      </c>
      <c r="V96" s="14">
        <f>Returns!G96-K96</f>
        <v>1.9964946653256181E-3</v>
      </c>
      <c r="W96" s="14">
        <f>Returns!H96-L96</f>
        <v>-1.6278545128287469E-2</v>
      </c>
      <c r="X96" s="14">
        <f>Returns!I96-M96</f>
        <v>1.1642414077346591E-2</v>
      </c>
      <c r="Y96" s="14">
        <f>Returns!J96-N96</f>
        <v>-1.1580103891830604E-2</v>
      </c>
      <c r="Z96" s="14">
        <f>Returns!K96-O96</f>
        <v>3.7286737546328275E-2</v>
      </c>
    </row>
    <row r="97" spans="1:26" x14ac:dyDescent="0.2">
      <c r="A97" s="6">
        <f>Returns!A97</f>
        <v>45597</v>
      </c>
      <c r="B97" s="14">
        <f t="array" ref="B97:D97">MMULT(Returns!B97:K97,Exposures!$B$32:$D$41)</f>
        <v>1.4266042092001838E-2</v>
      </c>
      <c r="C97" s="14">
        <v>-5.3642092001838129E-2</v>
      </c>
      <c r="D97" s="14">
        <v>-8.7930387402538959E-3</v>
      </c>
      <c r="F97" s="14">
        <f>SUMPRODUCT($B97:$D97,Exposures!$B$2:$D$2)</f>
        <v>-1.248383957546311E-2</v>
      </c>
      <c r="G97" s="14">
        <f>SUMPRODUCT($B97:$D97,Exposures!$B$3:$D$3)</f>
        <v>-3.5752315697868034E-2</v>
      </c>
      <c r="H97" s="14">
        <f>SUMPRODUCT($B97:$D97,Exposures!$B$4:$D$4)</f>
        <v>1.4627057805844078E-2</v>
      </c>
      <c r="I97" s="14">
        <f>SUMPRODUCT($B97:$D97,Exposures!$B$5:$D$5)</f>
        <v>7.6850973390718433E-2</v>
      </c>
      <c r="J97" s="14">
        <f>SUMPRODUCT($B97:$D97,Exposures!$B$6:$D$6)</f>
        <v>3.1053729764799379E-2</v>
      </c>
      <c r="K97" s="14">
        <f>SUMPRODUCT($B97:$D97,Exposures!$B$7:$D$7)</f>
        <v>6.8014652809706672E-2</v>
      </c>
      <c r="L97" s="14">
        <f>SUMPRODUCT($B97:$D97,Exposures!$B$8:$D$8)</f>
        <v>1.7692662107224137E-3</v>
      </c>
      <c r="M97" s="14">
        <f>SUMPRODUCT($B97:$D97,Exposures!$B$9:$D$9)</f>
        <v>-0.11367476663018368</v>
      </c>
      <c r="N97" s="14">
        <f>SUMPRODUCT($B97:$D97,Exposures!$B$10:$D$10)</f>
        <v>5.3704870900870776E-2</v>
      </c>
      <c r="O97" s="14">
        <f>SUMPRODUCT($B97:$D97,Exposures!$B$11:$D$11)</f>
        <v>5.8014371020853057E-2</v>
      </c>
      <c r="Q97" s="14">
        <f>Returns!B97-F97</f>
        <v>5.2322839575463111E-2</v>
      </c>
      <c r="R97" s="14">
        <f>Returns!C97-G97</f>
        <v>4.7596315697868034E-2</v>
      </c>
      <c r="S97" s="14">
        <f>Returns!D97-H97</f>
        <v>-2.278905780584408E-2</v>
      </c>
      <c r="T97" s="14">
        <f>Returns!E97-I97</f>
        <v>-2.7993973390718435E-2</v>
      </c>
      <c r="U97" s="14">
        <f>Returns!F97-J97</f>
        <v>-5.3827729764799381E-2</v>
      </c>
      <c r="V97" s="14">
        <f>Returns!G97-K97</f>
        <v>-2.754652809706673E-3</v>
      </c>
      <c r="W97" s="14">
        <f>Returns!H97-L97</f>
        <v>-2.1414266210722413E-2</v>
      </c>
      <c r="X97" s="14">
        <f>Returns!I97-M97</f>
        <v>-3.0800233369816313E-2</v>
      </c>
      <c r="Y97" s="14">
        <f>Returns!J97-N97</f>
        <v>5.2448129099129222E-2</v>
      </c>
      <c r="Z97" s="14">
        <f>Returns!K97-O97</f>
        <v>7.2126289791469358E-3</v>
      </c>
    </row>
    <row r="98" spans="1:26" x14ac:dyDescent="0.2">
      <c r="A98" s="6">
        <f>Returns!A98</f>
        <v>45604</v>
      </c>
      <c r="B98" s="14">
        <f t="array" ref="B98:D98">MMULT(Returns!B98:K98,Exposures!$B$32:$D$41)</f>
        <v>-1.728300791210605E-2</v>
      </c>
      <c r="C98" s="14">
        <v>1.3007912106052164E-2</v>
      </c>
      <c r="D98" s="14">
        <v>-2.4900460472437838E-2</v>
      </c>
      <c r="F98" s="14">
        <f>SUMPRODUCT($B98:$D98,Exposures!$B$2:$D$2)</f>
        <v>-4.0261977953126603E-2</v>
      </c>
      <c r="G98" s="14">
        <f>SUMPRODUCT($B98:$D98,Exposures!$B$3:$D$3)</f>
        <v>-3.0294264708752551E-2</v>
      </c>
      <c r="H98" s="14">
        <f>SUMPRODUCT($B98:$D98,Exposures!$B$4:$D$4)</f>
        <v>-3.440116834140762E-2</v>
      </c>
      <c r="I98" s="14">
        <f>SUMPRODUCT($B98:$D98,Exposures!$B$5:$D$5)</f>
        <v>-1.6510202186843542E-2</v>
      </c>
      <c r="J98" s="14">
        <f>SUMPRODUCT($B98:$D98,Exposures!$B$6:$D$6)</f>
        <v>-3.4059310055512174E-2</v>
      </c>
      <c r="K98" s="14">
        <f>SUMPRODUCT($B98:$D98,Exposures!$B$7:$D$7)</f>
        <v>-6.6270273109832009E-2</v>
      </c>
      <c r="L98" s="14">
        <f>SUMPRODUCT($B98:$D98,Exposures!$B$8:$D$8)</f>
        <v>1.4942733361608205E-2</v>
      </c>
      <c r="M98" s="14">
        <f>SUMPRODUCT($B98:$D98,Exposures!$B$9:$D$9)</f>
        <v>1.4552915835531756E-2</v>
      </c>
      <c r="N98" s="14">
        <f>SUMPRODUCT($B98:$D98,Exposures!$B$10:$D$10)</f>
        <v>2.0190232862212318E-2</v>
      </c>
      <c r="O98" s="14">
        <f>SUMPRODUCT($B98:$D98,Exposures!$B$11:$D$11)</f>
        <v>-5.8868570387773933E-4</v>
      </c>
      <c r="Q98" s="14">
        <f>Returns!B98-F98</f>
        <v>-7.7980220468733957E-3</v>
      </c>
      <c r="R98" s="14">
        <f>Returns!C98-G98</f>
        <v>1.6648264708752553E-2</v>
      </c>
      <c r="S98" s="14">
        <f>Returns!D98-H98</f>
        <v>4.8561683414076219E-3</v>
      </c>
      <c r="T98" s="14">
        <f>Returns!E98-I98</f>
        <v>-1.2087978131564564E-3</v>
      </c>
      <c r="U98" s="14">
        <f>Returns!F98-J98</f>
        <v>-1.8973689944487823E-2</v>
      </c>
      <c r="V98" s="14">
        <f>Returns!G98-K98</f>
        <v>7.9642731098320124E-3</v>
      </c>
      <c r="W98" s="14">
        <f>Returns!H98-L98</f>
        <v>-4.8547333616082051E-3</v>
      </c>
      <c r="X98" s="14">
        <f>Returns!I98-M98</f>
        <v>-2.6189158355317561E-3</v>
      </c>
      <c r="Y98" s="14">
        <f>Returns!J98-N98</f>
        <v>1.6036767137787684E-2</v>
      </c>
      <c r="Z98" s="14">
        <f>Returns!K98-O98</f>
        <v>-1.0051314296122261E-2</v>
      </c>
    </row>
    <row r="99" spans="1:26" x14ac:dyDescent="0.2">
      <c r="A99" s="6">
        <f>Returns!A99</f>
        <v>45611</v>
      </c>
      <c r="B99" s="14">
        <f t="array" ref="B99:D99">MMULT(Returns!B99:K99,Exposures!$B$32:$D$41)</f>
        <v>1.2135972478031231E-2</v>
      </c>
      <c r="C99" s="14">
        <v>1.8527521968769039E-2</v>
      </c>
      <c r="D99" s="14">
        <v>1.5761854946313908E-2</v>
      </c>
      <c r="F99" s="14">
        <f>SUMPRODUCT($B99:$D99,Exposures!$B$2:$D$2)</f>
        <v>3.5245201399519484E-2</v>
      </c>
      <c r="G99" s="14">
        <f>SUMPRODUCT($B99:$D99,Exposures!$B$3:$D$3)</f>
        <v>4.1245964713743019E-2</v>
      </c>
      <c r="H99" s="14">
        <f>SUMPRODUCT($B99:$D99,Exposures!$B$4:$D$4)</f>
        <v>2.00279136776444E-2</v>
      </c>
      <c r="I99" s="14">
        <f>SUMPRODUCT($B99:$D99,Exposures!$B$5:$D$5)</f>
        <v>-1.6987970446876846E-2</v>
      </c>
      <c r="J99" s="14">
        <f>SUMPRODUCT($B99:$D99,Exposures!$B$6:$D$6)</f>
        <v>1.2318310734978841E-2</v>
      </c>
      <c r="K99" s="14">
        <f>SUMPRODUCT($B99:$D99,Exposures!$B$7:$D$7)</f>
        <v>1.04956627547305E-2</v>
      </c>
      <c r="L99" s="14">
        <f>SUMPRODUCT($B99:$D99,Exposures!$B$8:$D$8)</f>
        <v>2.7094531432075158E-3</v>
      </c>
      <c r="M99" s="14">
        <f>SUMPRODUCT($B99:$D99,Exposures!$B$9:$D$9)</f>
        <v>5.5943894334999814E-2</v>
      </c>
      <c r="N99" s="14">
        <f>SUMPRODUCT($B99:$D99,Exposures!$B$10:$D$10)</f>
        <v>-2.3627040014501034E-2</v>
      </c>
      <c r="O99" s="14">
        <f>SUMPRODUCT($B99:$D99,Exposures!$B$11:$D$11)</f>
        <v>-1.5826390297445692E-2</v>
      </c>
      <c r="Q99" s="14">
        <f>Returns!B99-F99</f>
        <v>3.7629798600480512E-2</v>
      </c>
      <c r="R99" s="14">
        <f>Returns!C99-G99</f>
        <v>-3.6983964713743017E-2</v>
      </c>
      <c r="S99" s="14">
        <f>Returns!D99-H99</f>
        <v>-7.6091367764440088E-4</v>
      </c>
      <c r="T99" s="14">
        <f>Returns!E99-I99</f>
        <v>-2.1072029553123151E-2</v>
      </c>
      <c r="U99" s="14">
        <f>Returns!F99-J99</f>
        <v>-3.0609310734978842E-2</v>
      </c>
      <c r="V99" s="14">
        <f>Returns!G99-K99</f>
        <v>2.6169337245269503E-2</v>
      </c>
      <c r="W99" s="14">
        <f>Returns!H99-L99</f>
        <v>-9.9614531432075156E-3</v>
      </c>
      <c r="X99" s="14">
        <f>Returns!I99-M99</f>
        <v>1.1364105665000193E-2</v>
      </c>
      <c r="Y99" s="14">
        <f>Returns!J99-N99</f>
        <v>3.4170040014501038E-2</v>
      </c>
      <c r="Z99" s="14">
        <f>Returns!K99-O99</f>
        <v>-9.9456097025543075E-3</v>
      </c>
    </row>
    <row r="100" spans="1:26" x14ac:dyDescent="0.2">
      <c r="A100" s="6">
        <f>Returns!A100</f>
        <v>45618</v>
      </c>
      <c r="B100" s="14">
        <f t="array" ref="B100:D100">MMULT(Returns!B100:K100,Exposures!$B$32:$D$41)</f>
        <v>-1.2383973497796756E-2</v>
      </c>
      <c r="C100" s="14">
        <v>1.1734977967566248E-3</v>
      </c>
      <c r="D100" s="14">
        <v>-5.0219521419892698E-3</v>
      </c>
      <c r="F100" s="14">
        <f>SUMPRODUCT($B100:$D100,Exposures!$B$2:$D$2)</f>
        <v>-1.7482382037602939E-2</v>
      </c>
      <c r="G100" s="14">
        <f>SUMPRODUCT($B100:$D100,Exposures!$B$3:$D$3)</f>
        <v>-1.6139060708376611E-2</v>
      </c>
      <c r="H100" s="14">
        <f>SUMPRODUCT($B100:$D100,Exposures!$B$4:$D$4)</f>
        <v>-1.5676888104893226E-2</v>
      </c>
      <c r="I100" s="14">
        <f>SUMPRODUCT($B100:$D100,Exposures!$B$5:$D$5)</f>
        <v>-1.0676664376552675E-2</v>
      </c>
      <c r="J100" s="14">
        <f>SUMPRODUCT($B100:$D100,Exposures!$B$6:$D$6)</f>
        <v>-1.5201955145266796E-2</v>
      </c>
      <c r="K100" s="14">
        <f>SUMPRODUCT($B100:$D100,Exposures!$B$7:$D$7)</f>
        <v>-2.0494837158685567E-2</v>
      </c>
      <c r="L100" s="14">
        <f>SUMPRODUCT($B100:$D100,Exposures!$B$8:$D$8)</f>
        <v>-6.4791310877781285E-3</v>
      </c>
      <c r="M100" s="14">
        <f>SUMPRODUCT($B100:$D100,Exposures!$B$9:$D$9)</f>
        <v>-9.4286551992887446E-3</v>
      </c>
      <c r="N100" s="14">
        <f>SUMPRODUCT($B100:$D100,Exposures!$B$10:$D$10)</f>
        <v>-4.1738507792759075E-3</v>
      </c>
      <c r="O100" s="14">
        <f>SUMPRODUCT($B100:$D100,Exposures!$B$11:$D$11)</f>
        <v>-8.0745754022793995E-3</v>
      </c>
      <c r="Q100" s="14">
        <f>Returns!B100-F100</f>
        <v>-9.0061796239706074E-4</v>
      </c>
      <c r="R100" s="14">
        <f>Returns!C100-G100</f>
        <v>-4.8299392916233905E-3</v>
      </c>
      <c r="S100" s="14">
        <f>Returns!D100-H100</f>
        <v>-1.2063111895106775E-2</v>
      </c>
      <c r="T100" s="14">
        <f>Returns!E100-I100</f>
        <v>1.2725664376552676E-2</v>
      </c>
      <c r="U100" s="14">
        <f>Returns!F100-J100</f>
        <v>1.6923955145266796E-2</v>
      </c>
      <c r="V100" s="14">
        <f>Returns!G100-K100</f>
        <v>-1.0813162841314436E-2</v>
      </c>
      <c r="W100" s="14">
        <f>Returns!H100-L100</f>
        <v>-3.2461868912221872E-2</v>
      </c>
      <c r="X100" s="14">
        <f>Returns!I100-M100</f>
        <v>1.5104655199288743E-2</v>
      </c>
      <c r="Y100" s="14">
        <f>Returns!J100-N100</f>
        <v>-1.2165149220724092E-2</v>
      </c>
      <c r="Z100" s="14">
        <f>Returns!K100-O100</f>
        <v>2.8479575402279397E-2</v>
      </c>
    </row>
    <row r="101" spans="1:26" x14ac:dyDescent="0.2">
      <c r="A101" s="6">
        <f>Returns!A101</f>
        <v>45625</v>
      </c>
      <c r="B101" s="14">
        <f t="array" ref="B101:D101">MMULT(Returns!B101:K101,Exposures!$B$32:$D$41)</f>
        <v>-1.9586949644492396E-2</v>
      </c>
      <c r="C101" s="14">
        <v>5.749644492394174E-3</v>
      </c>
      <c r="D101" s="14">
        <v>3.0858763897598143E-2</v>
      </c>
      <c r="F101" s="14">
        <f>SUMPRODUCT($B101:$D101,Exposures!$B$2:$D$2)</f>
        <v>1.5888989241455719E-2</v>
      </c>
      <c r="G101" s="14">
        <f>SUMPRODUCT($B101:$D101,Exposures!$B$3:$D$3)</f>
        <v>1.3596423484341334E-2</v>
      </c>
      <c r="H101" s="14">
        <f>SUMPRODUCT($B101:$D101,Exposures!$B$4:$D$4)</f>
        <v>-7.7838928316892667E-4</v>
      </c>
      <c r="I101" s="14">
        <f>SUMPRODUCT($B101:$D101,Exposures!$B$5:$D$5)</f>
        <v>-4.3945739950937063E-2</v>
      </c>
      <c r="J101" s="14">
        <f>SUMPRODUCT($B101:$D101,Exposures!$B$6:$D$6)</f>
        <v>-7.325691964654997E-3</v>
      </c>
      <c r="K101" s="14">
        <f>SUMPRODUCT($B101:$D101,Exposures!$B$7:$D$7)</f>
        <v>1.4440640058592247E-2</v>
      </c>
      <c r="L101" s="14">
        <f>SUMPRODUCT($B101:$D101,Exposures!$B$8:$D$8)</f>
        <v>-5.0557060412016783E-2</v>
      </c>
      <c r="M101" s="14">
        <f>SUMPRODUCT($B101:$D101,Exposures!$B$9:$D$9)</f>
        <v>-6.771062224598264E-3</v>
      </c>
      <c r="N101" s="14">
        <f>SUMPRODUCT($B101:$D101,Exposures!$B$10:$D$10)</f>
        <v>-7.5868538847890549E-2</v>
      </c>
      <c r="O101" s="14">
        <f>SUMPRODUCT($B101:$D101,Exposures!$B$11:$D$11)</f>
        <v>-5.4491570101122738E-2</v>
      </c>
      <c r="Q101" s="14">
        <f>Returns!B101-F101</f>
        <v>5.7245010758544282E-2</v>
      </c>
      <c r="R101" s="14">
        <f>Returns!C101-G101</f>
        <v>1.1651576515658665E-2</v>
      </c>
      <c r="S101" s="14">
        <f>Returns!D101-H101</f>
        <v>-5.5696107168310737E-3</v>
      </c>
      <c r="T101" s="14">
        <f>Returns!E101-I101</f>
        <v>3.2367399509370606E-3</v>
      </c>
      <c r="U101" s="14">
        <f>Returns!F101-J101</f>
        <v>-2.0014308035345003E-2</v>
      </c>
      <c r="V101" s="14">
        <f>Returns!G101-K101</f>
        <v>-3.7508640058592252E-2</v>
      </c>
      <c r="W101" s="14">
        <f>Returns!H101-L101</f>
        <v>-2.2783939587983221E-2</v>
      </c>
      <c r="X101" s="14">
        <f>Returns!I101-M101</f>
        <v>-1.9682937775401733E-2</v>
      </c>
      <c r="Y101" s="14">
        <f>Returns!J101-N101</f>
        <v>-5.7461152109444802E-5</v>
      </c>
      <c r="Z101" s="14">
        <f>Returns!K101-O101</f>
        <v>3.3483570101122739E-2</v>
      </c>
    </row>
    <row r="102" spans="1:26" x14ac:dyDescent="0.2">
      <c r="A102" s="6">
        <f>Returns!A102</f>
        <v>45632</v>
      </c>
      <c r="B102" s="14">
        <f t="array" ref="B102:D102">MMULT(Returns!B102:K102,Exposures!$B$32:$D$41)</f>
        <v>1.0892092428026367E-2</v>
      </c>
      <c r="C102" s="14">
        <v>2.5075719736374399E-3</v>
      </c>
      <c r="D102" s="14">
        <v>-1.298103122242656E-2</v>
      </c>
      <c r="F102" s="14">
        <f>SUMPRODUCT($B102:$D102,Exposures!$B$2:$D$2)</f>
        <v>-2.4548085728546051E-3</v>
      </c>
      <c r="G102" s="14">
        <f>SUMPRODUCT($B102:$D102,Exposures!$B$3:$D$3)</f>
        <v>7.7563953060686905E-4</v>
      </c>
      <c r="H102" s="14">
        <f>SUMPRODUCT($B102:$D102,Exposures!$B$4:$D$4)</f>
        <v>2.4382098407975152E-3</v>
      </c>
      <c r="I102" s="14">
        <f>SUMPRODUCT($B102:$D102,Exposures!$B$5:$D$5)</f>
        <v>1.5867798837465977E-2</v>
      </c>
      <c r="J102" s="14">
        <f>SUMPRODUCT($B102:$D102,Exposures!$B$6:$D$6)</f>
        <v>3.813054683767283E-3</v>
      </c>
      <c r="K102" s="14">
        <f>SUMPRODUCT($B102:$D102,Exposures!$B$7:$D$7)</f>
        <v>-9.4319169056386373E-3</v>
      </c>
      <c r="L102" s="14">
        <f>SUMPRODUCT($B102:$D102,Exposures!$B$8:$D$8)</f>
        <v>2.5939710657438404E-2</v>
      </c>
      <c r="M102" s="14">
        <f>SUMPRODUCT($B102:$D102,Exposures!$B$9:$D$9)</f>
        <v>1.7274620381692647E-2</v>
      </c>
      <c r="N102" s="14">
        <f>SUMPRODUCT($B102:$D102,Exposures!$B$10:$D$10)</f>
        <v>3.235067936691173E-2</v>
      </c>
      <c r="O102" s="14">
        <f>SUMPRODUCT($B102:$D102,Exposures!$B$11:$D$11)</f>
        <v>2.2373012179812857E-2</v>
      </c>
      <c r="Q102" s="14">
        <f>Returns!B102-F102</f>
        <v>-2.3704191427145395E-2</v>
      </c>
      <c r="R102" s="14">
        <f>Returns!C102-G102</f>
        <v>-2.0494639530606869E-2</v>
      </c>
      <c r="S102" s="14">
        <f>Returns!D102-H102</f>
        <v>-5.5301209840797519E-2</v>
      </c>
      <c r="T102" s="14">
        <f>Returns!E102-I102</f>
        <v>2.1948201162534025E-2</v>
      </c>
      <c r="U102" s="14">
        <f>Returns!F102-J102</f>
        <v>-2.0480546837672829E-3</v>
      </c>
      <c r="V102" s="14">
        <f>Returns!G102-K102</f>
        <v>5.0341916905638641E-2</v>
      </c>
      <c r="W102" s="14">
        <f>Returns!H102-L102</f>
        <v>6.3462893425615986E-3</v>
      </c>
      <c r="X102" s="14">
        <f>Returns!I102-M102</f>
        <v>3.9115379618307355E-2</v>
      </c>
      <c r="Y102" s="14">
        <f>Returns!J102-N102</f>
        <v>-2.5145679366911731E-2</v>
      </c>
      <c r="Z102" s="14">
        <f>Returns!K102-O102</f>
        <v>8.9419878201871458E-3</v>
      </c>
    </row>
    <row r="103" spans="1:26" x14ac:dyDescent="0.2">
      <c r="A103" s="6">
        <f>Returns!A103</f>
        <v>45639</v>
      </c>
      <c r="B103" s="14">
        <f t="array" ref="B103:D103">MMULT(Returns!B103:K103,Exposures!$B$32:$D$41)</f>
        <v>2.2659288982803165E-2</v>
      </c>
      <c r="C103" s="14">
        <v>-2.198898280316498E-2</v>
      </c>
      <c r="D103" s="14">
        <v>-5.8012757716608843E-3</v>
      </c>
      <c r="F103" s="14">
        <f>SUMPRODUCT($B103:$D103,Exposures!$B$2:$D$2)</f>
        <v>9.2994238946800083E-3</v>
      </c>
      <c r="G103" s="14">
        <f>SUMPRODUCT($B103:$D103,Exposures!$B$3:$D$3)</f>
        <v>1.1269592868985885E-4</v>
      </c>
      <c r="H103" s="14">
        <f>SUMPRODUCT($B103:$D103,Exposures!$B$4:$D$4)</f>
        <v>2.1423273355004956E-2</v>
      </c>
      <c r="I103" s="14">
        <f>SUMPRODUCT($B103:$D103,Exposures!$B$5:$D$5)</f>
        <v>4.9610253287469611E-2</v>
      </c>
      <c r="J103" s="14">
        <f>SUMPRODUCT($B103:$D103,Exposures!$B$6:$D$6)</f>
        <v>2.8508392663356894E-2</v>
      </c>
      <c r="K103" s="14">
        <f>SUMPRODUCT($B103:$D103,Exposures!$B$7:$D$7)</f>
        <v>4.1770151226355461E-2</v>
      </c>
      <c r="L103" s="14">
        <f>SUMPRODUCT($B103:$D103,Exposures!$B$8:$D$8)</f>
        <v>1.9909183866899278E-2</v>
      </c>
      <c r="M103" s="14">
        <f>SUMPRODUCT($B103:$D103,Exposures!$B$9:$D$9)</f>
        <v>-2.9720341643611311E-2</v>
      </c>
      <c r="N103" s="14">
        <f>SUMPRODUCT($B103:$D103,Exposures!$B$10:$D$10)</f>
        <v>4.2648551086917348E-2</v>
      </c>
      <c r="O103" s="14">
        <f>SUMPRODUCT($B103:$D103,Exposures!$B$11:$D$11)</f>
        <v>4.2811416334237892E-2</v>
      </c>
      <c r="Q103" s="14">
        <f>Returns!B103-F103</f>
        <v>5.008057610531999E-2</v>
      </c>
      <c r="R103" s="14">
        <f>Returns!C103-G103</f>
        <v>-3.928869592868986E-2</v>
      </c>
      <c r="S103" s="14">
        <f>Returns!D103-H103</f>
        <v>2.1258726644995042E-2</v>
      </c>
      <c r="T103" s="14">
        <f>Returns!E103-I103</f>
        <v>1.100974671253039E-2</v>
      </c>
      <c r="U103" s="14">
        <f>Returns!F103-J103</f>
        <v>-1.3410392663356894E-2</v>
      </c>
      <c r="V103" s="14">
        <f>Returns!G103-K103</f>
        <v>-1.2246151226355459E-2</v>
      </c>
      <c r="W103" s="14">
        <f>Returns!H103-L103</f>
        <v>3.655981613310072E-2</v>
      </c>
      <c r="X103" s="14">
        <f>Returns!I103-M103</f>
        <v>-1.3981658356388687E-2</v>
      </c>
      <c r="Y103" s="14">
        <f>Returns!J103-N103</f>
        <v>5.031448913082652E-3</v>
      </c>
      <c r="Z103" s="14">
        <f>Returns!K103-O103</f>
        <v>-4.5013416334237895E-2</v>
      </c>
    </row>
    <row r="104" spans="1:26" x14ac:dyDescent="0.2">
      <c r="A104" s="6">
        <f>Returns!A104</f>
        <v>45646</v>
      </c>
      <c r="B104" s="14">
        <f t="array" ref="B104:D104">MMULT(Returns!B104:K104,Exposures!$B$32:$D$41)</f>
        <v>3.3717955584158729E-2</v>
      </c>
      <c r="C104" s="14">
        <v>1.1944415841270758E-2</v>
      </c>
      <c r="D104" s="14">
        <v>-8.6976004003790769E-3</v>
      </c>
      <c r="F104" s="14">
        <f>SUMPRODUCT($B104:$D104,Exposures!$B$2:$D$2)</f>
        <v>2.8059784216952179E-2</v>
      </c>
      <c r="G104" s="14">
        <f>SUMPRODUCT($B104:$D104,Exposures!$B$3:$D$3)</f>
        <v>3.4945831567997382E-2</v>
      </c>
      <c r="H104" s="14">
        <f>SUMPRODUCT($B104:$D104,Exposures!$B$4:$D$4)</f>
        <v>2.6924581589380131E-2</v>
      </c>
      <c r="I104" s="14">
        <f>SUMPRODUCT($B104:$D104,Exposures!$B$5:$D$5)</f>
        <v>2.6069014870222673E-2</v>
      </c>
      <c r="J104" s="14">
        <f>SUMPRODUCT($B104:$D104,Exposures!$B$6:$D$6)</f>
        <v>2.4971761217884966E-2</v>
      </c>
      <c r="K104" s="14">
        <f>SUMPRODUCT($B104:$D104,Exposures!$B$7:$D$7)</f>
        <v>7.5779597253042338E-3</v>
      </c>
      <c r="L104" s="14">
        <f>SUMPRODUCT($B104:$D104,Exposures!$B$8:$D$8)</f>
        <v>4.8008574511489148E-2</v>
      </c>
      <c r="M104" s="14">
        <f>SUMPRODUCT($B104:$D104,Exposures!$B$9:$D$9)</f>
        <v>6.252603745680721E-2</v>
      </c>
      <c r="N104" s="14">
        <f>SUMPRODUCT($B104:$D104,Exposures!$B$10:$D$10)</f>
        <v>4.3476793152246479E-2</v>
      </c>
      <c r="O104" s="14">
        <f>SUMPRODUCT($B104:$D104,Exposures!$B$11:$D$11)</f>
        <v>3.4738661691715605E-2</v>
      </c>
      <c r="Q104" s="14">
        <f>Returns!B104-F104</f>
        <v>-5.6437842169521808E-3</v>
      </c>
      <c r="R104" s="14">
        <f>Returns!C104-G104</f>
        <v>-1.5472831567997381E-2</v>
      </c>
      <c r="S104" s="14">
        <f>Returns!D104-H104</f>
        <v>4.8694184106198718E-3</v>
      </c>
      <c r="T104" s="14">
        <f>Returns!E104-I104</f>
        <v>5.3929851297773237E-3</v>
      </c>
      <c r="U104" s="14">
        <f>Returns!F104-J104</f>
        <v>2.1258238782115035E-2</v>
      </c>
      <c r="V104" s="14">
        <f>Returns!G104-K104</f>
        <v>-8.5695972530423336E-4</v>
      </c>
      <c r="W104" s="14">
        <f>Returns!H104-L104</f>
        <v>2.6596425488510857E-2</v>
      </c>
      <c r="X104" s="14">
        <f>Returns!I104-M104</f>
        <v>-1.7740374568072093E-3</v>
      </c>
      <c r="Y104" s="14">
        <f>Returns!J104-N104</f>
        <v>-7.8927931522464814E-3</v>
      </c>
      <c r="Z104" s="14">
        <f>Returns!K104-O104</f>
        <v>-2.6476661691715607E-2</v>
      </c>
    </row>
    <row r="105" spans="1:26" x14ac:dyDescent="0.2">
      <c r="A105" s="6">
        <f>Returns!A105</f>
        <v>45653</v>
      </c>
      <c r="B105" s="14">
        <f t="array" ref="B105:D105">MMULT(Returns!B105:K105,Exposures!$B$32:$D$41)</f>
        <v>4.2848791868940278E-2</v>
      </c>
      <c r="C105" s="14">
        <v>6.0813105972265264E-4</v>
      </c>
      <c r="D105" s="14">
        <v>2.8686113749209367E-2</v>
      </c>
      <c r="F105" s="14">
        <f>SUMPRODUCT($B105:$D105,Exposures!$B$2:$D$2)</f>
        <v>7.431125779468975E-2</v>
      </c>
      <c r="G105" s="14">
        <f>SUMPRODUCT($B105:$D105,Exposures!$B$3:$D$3)</f>
        <v>7.0001219882288662E-2</v>
      </c>
      <c r="H105" s="14">
        <f>SUMPRODUCT($B105:$D105,Exposures!$B$4:$D$4)</f>
        <v>6.0854149114372688E-2</v>
      </c>
      <c r="I105" s="14">
        <f>SUMPRODUCT($B105:$D105,Exposures!$B$5:$D$5)</f>
        <v>2.5273284523003512E-2</v>
      </c>
      <c r="J105" s="14">
        <f>SUMPRODUCT($B105:$D105,Exposures!$B$6:$D$6)</f>
        <v>5.6094094217776842E-2</v>
      </c>
      <c r="K105" s="14">
        <f>SUMPRODUCT($B105:$D105,Exposures!$B$7:$D$7)</f>
        <v>8.025940326252709E-2</v>
      </c>
      <c r="L105" s="14">
        <f>SUMPRODUCT($B105:$D105,Exposures!$B$8:$D$8)</f>
        <v>1.2117122754280448E-2</v>
      </c>
      <c r="M105" s="14">
        <f>SUMPRODUCT($B105:$D105,Exposures!$B$9:$D$9)</f>
        <v>4.3441641689201137E-2</v>
      </c>
      <c r="N105" s="14">
        <f>SUMPRODUCT($B105:$D105,Exposures!$B$10:$D$10)</f>
        <v>-7.3387050315592145E-3</v>
      </c>
      <c r="O105" s="14">
        <f>SUMPRODUCT($B105:$D105,Exposures!$B$11:$D$11)</f>
        <v>1.3480531793419091E-2</v>
      </c>
      <c r="Q105" s="14">
        <f>Returns!B105-F105</f>
        <v>-3.5196257794689753E-2</v>
      </c>
      <c r="R105" s="14">
        <f>Returns!C105-G105</f>
        <v>-1.5373219882288659E-2</v>
      </c>
      <c r="S105" s="14">
        <f>Returns!D105-H105</f>
        <v>-9.0451491143726873E-3</v>
      </c>
      <c r="T105" s="14">
        <f>Returns!E105-I105</f>
        <v>-3.4032284523003511E-2</v>
      </c>
      <c r="U105" s="14">
        <f>Returns!F105-J105</f>
        <v>-5.3090942177768455E-3</v>
      </c>
      <c r="V105" s="14">
        <f>Returns!G105-K105</f>
        <v>5.5372596737472912E-2</v>
      </c>
      <c r="W105" s="14">
        <f>Returns!H105-L105</f>
        <v>-4.389312275428045E-2</v>
      </c>
      <c r="X105" s="14">
        <f>Returns!I105-M105</f>
        <v>3.8808358310798867E-2</v>
      </c>
      <c r="Y105" s="14">
        <f>Returns!J105-N105</f>
        <v>4.1034705031559211E-2</v>
      </c>
      <c r="Z105" s="14">
        <f>Returns!K105-O105</f>
        <v>7.6334682065809095E-3</v>
      </c>
    </row>
    <row r="106" spans="1:26" x14ac:dyDescent="0.2">
      <c r="A106" s="6">
        <f>Returns!A106</f>
        <v>45660</v>
      </c>
      <c r="B106" s="14">
        <f t="array" ref="B106:D106">MMULT(Returns!B106:K106,Exposures!$B$32:$D$41)</f>
        <v>4.5667911873831984E-2</v>
      </c>
      <c r="C106" s="14">
        <v>-8.2118738319846285E-3</v>
      </c>
      <c r="D106" s="14">
        <v>-1.4801006887541695E-2</v>
      </c>
      <c r="F106" s="14">
        <f>SUMPRODUCT($B106:$D106,Exposures!$B$2:$D$2)</f>
        <v>2.6907014740176458E-2</v>
      </c>
      <c r="G106" s="14">
        <f>SUMPRODUCT($B106:$D106,Exposures!$B$3:$D$3)</f>
        <v>2.5497713879470196E-2</v>
      </c>
      <c r="H106" s="14">
        <f>SUMPRODUCT($B106:$D106,Exposures!$B$4:$D$4)</f>
        <v>3.7246583656199025E-2</v>
      </c>
      <c r="I106" s="14">
        <f>SUMPRODUCT($B106:$D106,Exposures!$B$5:$D$5)</f>
        <v>6.3187210937705129E-2</v>
      </c>
      <c r="J106" s="14">
        <f>SUMPRODUCT($B106:$D106,Exposures!$B$6:$D$6)</f>
        <v>4.1914069431161396E-2</v>
      </c>
      <c r="K106" s="14">
        <f>SUMPRODUCT($B106:$D106,Exposures!$B$7:$D$7)</f>
        <v>3.6001058788422774E-2</v>
      </c>
      <c r="L106" s="14">
        <f>SUMPRODUCT($B106:$D106,Exposures!$B$8:$D$8)</f>
        <v>5.8286131041263317E-2</v>
      </c>
      <c r="M106" s="14">
        <f>SUMPRODUCT($B106:$D106,Exposures!$B$9:$D$9)</f>
        <v>2.6485563622014974E-2</v>
      </c>
      <c r="N106" s="14">
        <f>SUMPRODUCT($B106:$D106,Exposures!$B$10:$D$10)</f>
        <v>7.5117007082547621E-2</v>
      </c>
      <c r="O106" s="14">
        <f>SUMPRODUCT($B106:$D106,Exposures!$B$11:$D$11)</f>
        <v>6.5954646821039103E-2</v>
      </c>
      <c r="Q106" s="14">
        <f>Returns!B106-F106</f>
        <v>4.3223985259823544E-2</v>
      </c>
      <c r="R106" s="14">
        <f>Returns!C106-G106</f>
        <v>-1.8350713879470196E-2</v>
      </c>
      <c r="S106" s="14">
        <f>Returns!D106-H106</f>
        <v>7.0504163438009776E-3</v>
      </c>
      <c r="T106" s="14">
        <f>Returns!E106-I106</f>
        <v>1.4667789062294864E-2</v>
      </c>
      <c r="U106" s="14">
        <f>Returns!F106-J106</f>
        <v>-6.1910694311613987E-3</v>
      </c>
      <c r="V106" s="14">
        <f>Returns!G106-K106</f>
        <v>-1.4178058788422775E-2</v>
      </c>
      <c r="W106" s="14">
        <f>Returns!H106-L106</f>
        <v>-6.5051310412633165E-3</v>
      </c>
      <c r="X106" s="14">
        <f>Returns!I106-M106</f>
        <v>-6.4695636220149753E-3</v>
      </c>
      <c r="Y106" s="14">
        <f>Returns!J106-N106</f>
        <v>3.3792992917452386E-2</v>
      </c>
      <c r="Z106" s="14">
        <f>Returns!K106-O106</f>
        <v>-4.7040646821039103E-2</v>
      </c>
    </row>
    <row r="107" spans="1:26" x14ac:dyDescent="0.2">
      <c r="A107" s="6">
        <f>Returns!A107</f>
        <v>45667</v>
      </c>
      <c r="B107" s="14">
        <f t="array" ref="B107:D107">MMULT(Returns!B107:K107,Exposures!$B$32:$D$41)</f>
        <v>-3.4128634211985705E-2</v>
      </c>
      <c r="C107" s="14">
        <v>-4.6657880142966738E-3</v>
      </c>
      <c r="D107" s="14">
        <v>1.3927730204262637E-2</v>
      </c>
      <c r="F107" s="14">
        <f>SUMPRODUCT($B107:$D107,Exposures!$B$2:$D$2)</f>
        <v>-2.0440460453914365E-2</v>
      </c>
      <c r="G107" s="14">
        <f>SUMPRODUCT($B107:$D107,Exposures!$B$3:$D$3)</f>
        <v>-2.4815159773172859E-2</v>
      </c>
      <c r="H107" s="14">
        <f>SUMPRODUCT($B107:$D107,Exposures!$B$4:$D$4)</f>
        <v>-2.484092750172761E-2</v>
      </c>
      <c r="I107" s="14">
        <f>SUMPRODUCT($B107:$D107,Exposures!$B$5:$D$5)</f>
        <v>-3.7353601857203218E-2</v>
      </c>
      <c r="J107" s="14">
        <f>SUMPRODUCT($B107:$D107,Exposures!$B$6:$D$6)</f>
        <v>-2.5762943690406565E-2</v>
      </c>
      <c r="K107" s="14">
        <f>SUMPRODUCT($B107:$D107,Exposures!$B$7:$D$7)</f>
        <v>-9.9124916628744522E-3</v>
      </c>
      <c r="L107" s="14">
        <f>SUMPRODUCT($B107:$D107,Exposures!$B$8:$D$8)</f>
        <v>-5.1083555918450992E-2</v>
      </c>
      <c r="M107" s="14">
        <f>SUMPRODUCT($B107:$D107,Exposures!$B$9:$D$9)</f>
        <v>-4.5697699472282638E-2</v>
      </c>
      <c r="N107" s="14">
        <f>SUMPRODUCT($B107:$D107,Exposures!$B$10:$D$10)</f>
        <v>-5.6263280160969188E-2</v>
      </c>
      <c r="O107" s="14">
        <f>SUMPRODUCT($B107:$D107,Exposures!$B$11:$D$11)</f>
        <v>-4.5162879508998131E-2</v>
      </c>
      <c r="Q107" s="14">
        <f>Returns!B107-F107</f>
        <v>3.4843460453914364E-2</v>
      </c>
      <c r="R107" s="14">
        <f>Returns!C107-G107</f>
        <v>-1.5581840226827143E-2</v>
      </c>
      <c r="S107" s="14">
        <f>Returns!D107-H107</f>
        <v>3.268892750172761E-2</v>
      </c>
      <c r="T107" s="14">
        <f>Returns!E107-I107</f>
        <v>-2.2743981427967783E-3</v>
      </c>
      <c r="U107" s="14">
        <f>Returns!F107-J107</f>
        <v>-4.6907056309593437E-2</v>
      </c>
      <c r="V107" s="14">
        <f>Returns!G107-K107</f>
        <v>4.8034916628744524E-3</v>
      </c>
      <c r="W107" s="14">
        <f>Returns!H107-L107</f>
        <v>-2.7642444081549013E-2</v>
      </c>
      <c r="X107" s="14">
        <f>Returns!I107-M107</f>
        <v>1.0066994722826364E-3</v>
      </c>
      <c r="Y107" s="14">
        <f>Returns!J107-N107</f>
        <v>5.5255280160969186E-2</v>
      </c>
      <c r="Z107" s="14">
        <f>Returns!K107-O107</f>
        <v>-3.6192120491001865E-2</v>
      </c>
    </row>
    <row r="108" spans="1:26" x14ac:dyDescent="0.2">
      <c r="A108" s="6">
        <f>Returns!A108</f>
        <v>45674</v>
      </c>
      <c r="B108" s="14">
        <f t="array" ref="B108:D108">MMULT(Returns!B108:K108,Exposures!$B$32:$D$41)</f>
        <v>3.2191398465000923E-2</v>
      </c>
      <c r="C108" s="14">
        <v>6.2015349990781222E-3</v>
      </c>
      <c r="D108" s="14">
        <v>-2.0743220836646113E-2</v>
      </c>
      <c r="F108" s="14">
        <f>SUMPRODUCT($B108:$D108,Exposures!$B$2:$D$2)</f>
        <v>1.1565778952761657E-2</v>
      </c>
      <c r="G108" s="14">
        <f>SUMPRODUCT($B108:$D108,Exposures!$B$3:$D$3)</f>
        <v>1.7737400386200971E-2</v>
      </c>
      <c r="H108" s="14">
        <f>SUMPRODUCT($B108:$D108,Exposures!$B$4:$D$4)</f>
        <v>1.844100048801528E-2</v>
      </c>
      <c r="I108" s="14">
        <f>SUMPRODUCT($B108:$D108,Exposures!$B$5:$D$5)</f>
        <v>3.7794256309608538E-2</v>
      </c>
      <c r="J108" s="14">
        <f>SUMPRODUCT($B108:$D108,Exposures!$B$6:$D$6)</f>
        <v>2.0023486022136782E-2</v>
      </c>
      <c r="K108" s="14">
        <f>SUMPRODUCT($B108:$D108,Exposures!$B$7:$D$7)</f>
        <v>-2.9629579466137201E-3</v>
      </c>
      <c r="L108" s="14">
        <f>SUMPRODUCT($B108:$D108,Exposures!$B$8:$D$8)</f>
        <v>5.7136706318200753E-2</v>
      </c>
      <c r="M108" s="14">
        <f>SUMPRODUCT($B108:$D108,Exposures!$B$9:$D$9)</f>
        <v>4.7635363737897021E-2</v>
      </c>
      <c r="N108" s="14">
        <f>SUMPRODUCT($B108:$D108,Exposures!$B$10:$D$10)</f>
        <v>6.5493911971180013E-2</v>
      </c>
      <c r="O108" s="14">
        <f>SUMPRODUCT($B108:$D108,Exposures!$B$11:$D$11)</f>
        <v>4.9111053760612713E-2</v>
      </c>
      <c r="Q108" s="14">
        <f>Returns!B108-F108</f>
        <v>-2.9221778952761658E-2</v>
      </c>
      <c r="R108" s="14">
        <f>Returns!C108-G108</f>
        <v>2.436459961379903E-2</v>
      </c>
      <c r="S108" s="14">
        <f>Returns!D108-H108</f>
        <v>2.3959995119847213E-3</v>
      </c>
      <c r="T108" s="14">
        <f>Returns!E108-I108</f>
        <v>2.946374369039146E-2</v>
      </c>
      <c r="U108" s="14">
        <f>Returns!F108-J108</f>
        <v>6.9285139778632182E-3</v>
      </c>
      <c r="V108" s="14">
        <f>Returns!G108-K108</f>
        <v>-7.6060420533862801E-3</v>
      </c>
      <c r="W108" s="14">
        <f>Returns!H108-L108</f>
        <v>-3.1185706318200754E-2</v>
      </c>
      <c r="X108" s="14">
        <f>Returns!I108-M108</f>
        <v>9.7836362621029765E-3</v>
      </c>
      <c r="Y108" s="14">
        <f>Returns!J108-N108</f>
        <v>8.8120880288199838E-3</v>
      </c>
      <c r="Z108" s="14">
        <f>Returns!K108-O108</f>
        <v>-1.3735053760612716E-2</v>
      </c>
    </row>
    <row r="109" spans="1:26" x14ac:dyDescent="0.2">
      <c r="A109" s="6">
        <f>Returns!A109</f>
        <v>45681</v>
      </c>
      <c r="B109" s="14">
        <f t="array" ref="B109:D109">MMULT(Returns!B109:K109,Exposures!$B$32:$D$41)</f>
        <v>-7.3374160950278279E-3</v>
      </c>
      <c r="C109" s="14">
        <v>1.0116095027829598E-2</v>
      </c>
      <c r="D109" s="14">
        <v>-1.3075325566293407E-2</v>
      </c>
      <c r="F109" s="14">
        <f>SUMPRODUCT($B109:$D109,Exposures!$B$2:$D$2)</f>
        <v>-1.835237055338217E-2</v>
      </c>
      <c r="G109" s="14">
        <f>SUMPRODUCT($B109:$D109,Exposures!$B$3:$D$3)</f>
        <v>-1.160691474997361E-2</v>
      </c>
      <c r="H109" s="14">
        <f>SUMPRODUCT($B109:$D109,Exposures!$B$4:$D$4)</f>
        <v>-1.6687641654853931E-2</v>
      </c>
      <c r="I109" s="14">
        <f>SUMPRODUCT($B109:$D109,Exposures!$B$5:$D$5)</f>
        <v>-1.0447195690692388E-2</v>
      </c>
      <c r="J109" s="14">
        <f>SUMPRODUCT($B109:$D109,Exposures!$B$6:$D$6)</f>
        <v>-1.7428096172039272E-2</v>
      </c>
      <c r="K109" s="14">
        <f>SUMPRODUCT($B109:$D109,Exposures!$B$7:$D$7)</f>
        <v>-3.706923503215017E-2</v>
      </c>
      <c r="L109" s="14">
        <f>SUMPRODUCT($B109:$D109,Exposures!$B$8:$D$8)</f>
        <v>1.0931534477979187E-2</v>
      </c>
      <c r="M109" s="14">
        <f>SUMPRODUCT($B109:$D109,Exposures!$B$9:$D$9)</f>
        <v>1.7232310788473714E-2</v>
      </c>
      <c r="N109" s="14">
        <f>SUMPRODUCT($B109:$D109,Exposures!$B$10:$D$10)</f>
        <v>1.086140762779938E-2</v>
      </c>
      <c r="O109" s="14">
        <f>SUMPRODUCT($B109:$D109,Exposures!$B$11:$D$11)</f>
        <v>-7.0679904116072688E-4</v>
      </c>
      <c r="Q109" s="14">
        <f>Returns!B109-F109</f>
        <v>9.69537055338217E-3</v>
      </c>
      <c r="R109" s="14">
        <f>Returns!C109-G109</f>
        <v>5.6191474997361116E-4</v>
      </c>
      <c r="S109" s="14">
        <f>Returns!D109-H109</f>
        <v>-1.4259358345146068E-2</v>
      </c>
      <c r="T109" s="14">
        <f>Returns!E109-I109</f>
        <v>4.0246195690692391E-2</v>
      </c>
      <c r="U109" s="14">
        <f>Returns!F109-J109</f>
        <v>6.7310961720392724E-3</v>
      </c>
      <c r="V109" s="14">
        <f>Returns!G109-K109</f>
        <v>-1.5152764967849827E-2</v>
      </c>
      <c r="W109" s="14">
        <f>Returns!H109-L109</f>
        <v>-3.2122534477979192E-2</v>
      </c>
      <c r="X109" s="14">
        <f>Returns!I109-M109</f>
        <v>1.2188689211526285E-2</v>
      </c>
      <c r="Y109" s="14">
        <f>Returns!J109-N109</f>
        <v>5.0225923722006186E-3</v>
      </c>
      <c r="Z109" s="14">
        <f>Returns!K109-O109</f>
        <v>-1.2911200958839273E-2</v>
      </c>
    </row>
    <row r="110" spans="1:26" x14ac:dyDescent="0.2">
      <c r="A110" s="6">
        <f>Returns!A110</f>
        <v>45688</v>
      </c>
      <c r="B110" s="14">
        <f t="array" ref="B110:D110">MMULT(Returns!B110:K110,Exposures!$B$32:$D$41)</f>
        <v>4.5992056906163535E-3</v>
      </c>
      <c r="C110" s="14">
        <v>2.019430938364802E-2</v>
      </c>
      <c r="D110" s="14">
        <v>-1.4921990030538384E-2</v>
      </c>
      <c r="F110" s="14">
        <f>SUMPRODUCT($B110:$D110,Exposures!$B$2:$D$2)</f>
        <v>-5.2035844399031216E-3</v>
      </c>
      <c r="G110" s="14">
        <f>SUMPRODUCT($B110:$D110,Exposures!$B$3:$D$3)</f>
        <v>6.4733162814611146E-3</v>
      </c>
      <c r="H110" s="14">
        <f>SUMPRODUCT($B110:$D110,Exposures!$B$4:$D$4)</f>
        <v>-7.0230220608241099E-3</v>
      </c>
      <c r="I110" s="14">
        <f>SUMPRODUCT($B110:$D110,Exposures!$B$5:$D$5)</f>
        <v>-8.2047312318693812E-3</v>
      </c>
      <c r="J110" s="14">
        <f>SUMPRODUCT($B110:$D110,Exposures!$B$6:$D$6)</f>
        <v>-1.0289910283359415E-2</v>
      </c>
      <c r="K110" s="14">
        <f>SUMPRODUCT($B110:$D110,Exposures!$B$7:$D$7)</f>
        <v>-3.9884098498050281E-2</v>
      </c>
      <c r="L110" s="14">
        <f>SUMPRODUCT($B110:$D110,Exposures!$B$8:$D$8)</f>
        <v>2.8994621770893497E-2</v>
      </c>
      <c r="M110" s="14">
        <f>SUMPRODUCT($B110:$D110,Exposures!$B$9:$D$9)</f>
        <v>5.3311264818451276E-2</v>
      </c>
      <c r="N110" s="14">
        <f>SUMPRODUCT($B110:$D110,Exposures!$B$10:$D$10)</f>
        <v>2.1476029121111535E-2</v>
      </c>
      <c r="O110" s="14">
        <f>SUMPRODUCT($B110:$D110,Exposures!$B$11:$D$11)</f>
        <v>6.5441145220889053E-3</v>
      </c>
      <c r="Q110" s="14">
        <f>Returns!B110-F110</f>
        <v>-7.9274155600968788E-3</v>
      </c>
      <c r="R110" s="14">
        <f>Returns!C110-G110</f>
        <v>-2.1831628146111448E-4</v>
      </c>
      <c r="S110" s="14">
        <f>Returns!D110-H110</f>
        <v>-4.8669977939175893E-2</v>
      </c>
      <c r="T110" s="14">
        <f>Returns!E110-I110</f>
        <v>-1.4704268768130618E-2</v>
      </c>
      <c r="U110" s="14">
        <f>Returns!F110-J110</f>
        <v>3.0519910283359417E-2</v>
      </c>
      <c r="V110" s="14">
        <f>Returns!G110-K110</f>
        <v>2.283909849805028E-2</v>
      </c>
      <c r="W110" s="14">
        <f>Returns!H110-L110</f>
        <v>-6.894621770893495E-3</v>
      </c>
      <c r="X110" s="14">
        <f>Returns!I110-M110</f>
        <v>1.2569735181548719E-2</v>
      </c>
      <c r="Y110" s="14">
        <f>Returns!J110-N110</f>
        <v>1.1435970878888462E-2</v>
      </c>
      <c r="Z110" s="14">
        <f>Returns!K110-O110</f>
        <v>1.0498854779110948E-3</v>
      </c>
    </row>
    <row r="111" spans="1:26" x14ac:dyDescent="0.2">
      <c r="A111" s="6">
        <f>Returns!A111</f>
        <v>45695</v>
      </c>
      <c r="B111" s="14">
        <f t="array" ref="B111:D111">MMULT(Returns!B111:K111,Exposures!$B$32:$D$41)</f>
        <v>-2.1253580102823851E-3</v>
      </c>
      <c r="C111" s="14">
        <v>7.5580102823832977E-3</v>
      </c>
      <c r="D111" s="14">
        <v>1.4244892913355851E-2</v>
      </c>
      <c r="F111" s="14">
        <f>SUMPRODUCT($B111:$D111,Exposures!$B$2:$D$2)</f>
        <v>1.5820138555638148E-2</v>
      </c>
      <c r="G111" s="14">
        <f>SUMPRODUCT($B111:$D111,Exposures!$B$3:$D$3)</f>
        <v>1.7017640419397531E-2</v>
      </c>
      <c r="H111" s="14">
        <f>SUMPRODUCT($B111:$D111,Exposures!$B$4:$D$4)</f>
        <v>6.0175433940696391E-3</v>
      </c>
      <c r="I111" s="14">
        <f>SUMPRODUCT($B111:$D111,Exposures!$B$5:$D$5)</f>
        <v>-1.8616915831312468E-2</v>
      </c>
      <c r="J111" s="14">
        <f>SUMPRODUCT($B111:$D111,Exposures!$B$6:$D$6)</f>
        <v>1.6221176488653783E-3</v>
      </c>
      <c r="K111" s="14">
        <f>SUMPRODUCT($B111:$D111,Exposures!$B$7:$D$7)</f>
        <v>7.5995770199732762E-3</v>
      </c>
      <c r="L111" s="14">
        <f>SUMPRODUCT($B111:$D111,Exposures!$B$8:$D$8)</f>
        <v>-1.4411058140929554E-2</v>
      </c>
      <c r="M111" s="14">
        <f>SUMPRODUCT($B111:$D111,Exposures!$B$9:$D$9)</f>
        <v>1.5510939777213023E-2</v>
      </c>
      <c r="N111" s="14">
        <f>SUMPRODUCT($B111:$D111,Exposures!$B$10:$D$10)</f>
        <v>-3.031257630659405E-2</v>
      </c>
      <c r="O111" s="14">
        <f>SUMPRODUCT($B111:$D111,Exposures!$B$11:$D$11)</f>
        <v>-2.142540653632094E-2</v>
      </c>
      <c r="Q111" s="14">
        <f>Returns!B111-F111</f>
        <v>3.9480861444361859E-2</v>
      </c>
      <c r="R111" s="14">
        <f>Returns!C111-G111</f>
        <v>1.0853595806024699E-3</v>
      </c>
      <c r="S111" s="14">
        <f>Returns!D111-H111</f>
        <v>-1.840454339406964E-2</v>
      </c>
      <c r="T111" s="14">
        <f>Returns!E111-I111</f>
        <v>3.2725915831312472E-2</v>
      </c>
      <c r="U111" s="14">
        <f>Returns!F111-J111</f>
        <v>6.5838823511346215E-3</v>
      </c>
      <c r="V111" s="14">
        <f>Returns!G111-K111</f>
        <v>-3.8368577019973274E-2</v>
      </c>
      <c r="W111" s="14">
        <f>Returns!H111-L111</f>
        <v>1.8689058140929554E-2</v>
      </c>
      <c r="X111" s="14">
        <f>Returns!I111-M111</f>
        <v>-1.6943939777213021E-2</v>
      </c>
      <c r="Y111" s="14">
        <f>Returns!J111-N111</f>
        <v>-4.0239423693405954E-2</v>
      </c>
      <c r="Z111" s="14">
        <f>Returns!K111-O111</f>
        <v>1.5391406536320939E-2</v>
      </c>
    </row>
    <row r="112" spans="1:26" x14ac:dyDescent="0.2">
      <c r="A112" s="6">
        <f>Returns!A112</f>
        <v>45702</v>
      </c>
      <c r="B112" s="14">
        <f t="array" ref="B112:D112">MMULT(Returns!B112:K112,Exposures!$B$32:$D$41)</f>
        <v>-2.1323739885795272E-3</v>
      </c>
      <c r="C112" s="14">
        <v>2.2973988579526282E-2</v>
      </c>
      <c r="D112" s="14">
        <v>1.4215052427908567E-2</v>
      </c>
      <c r="F112" s="14">
        <f>SUMPRODUCT($B112:$D112,Exposures!$B$2:$D$2)</f>
        <v>2.0713709503289223E-2</v>
      </c>
      <c r="G112" s="14">
        <f>SUMPRODUCT($B112:$D112,Exposures!$B$3:$D$3)</f>
        <v>2.9007335861405942E-2</v>
      </c>
      <c r="H112" s="14">
        <f>SUMPRODUCT($B112:$D112,Exposures!$B$4:$D$4)</f>
        <v>4.295970297254979E-3</v>
      </c>
      <c r="I112" s="14">
        <f>SUMPRODUCT($B112:$D112,Exposures!$B$5:$D$5)</f>
        <v>-3.5101422701138703E-2</v>
      </c>
      <c r="J112" s="14">
        <f>SUMPRODUCT($B112:$D112,Exposures!$B$6:$D$6)</f>
        <v>-4.4111548934777506E-3</v>
      </c>
      <c r="K112" s="14">
        <f>SUMPRODUCT($B112:$D112,Exposures!$B$7:$D$7)</f>
        <v>-1.1254620326483198E-2</v>
      </c>
      <c r="L112" s="14">
        <f>SUMPRODUCT($B112:$D112,Exposures!$B$8:$D$8)</f>
        <v>-8.0652952931150063E-3</v>
      </c>
      <c r="M112" s="14">
        <f>SUMPRODUCT($B112:$D112,Exposures!$B$9:$D$9)</f>
        <v>5.2349007143651025E-2</v>
      </c>
      <c r="N112" s="14">
        <f>SUMPRODUCT($B112:$D112,Exposures!$B$10:$D$10)</f>
        <v>-3.7204860073927259E-2</v>
      </c>
      <c r="O112" s="14">
        <f>SUMPRODUCT($B112:$D112,Exposures!$B$11:$D$11)</f>
        <v>-3.1422669517459263E-2</v>
      </c>
      <c r="Q112" s="14">
        <f>Returns!B112-F112</f>
        <v>-3.0347095032892228E-3</v>
      </c>
      <c r="R112" s="14">
        <f>Returns!C112-G112</f>
        <v>-8.4703358614059421E-3</v>
      </c>
      <c r="S112" s="14">
        <f>Returns!D112-H112</f>
        <v>-4.816597029725498E-2</v>
      </c>
      <c r="T112" s="14">
        <f>Returns!E112-I112</f>
        <v>1.8346422701138704E-2</v>
      </c>
      <c r="U112" s="14">
        <f>Returns!F112-J112</f>
        <v>1.2734154893477751E-2</v>
      </c>
      <c r="V112" s="14">
        <f>Returns!G112-K112</f>
        <v>1.6694620326483198E-2</v>
      </c>
      <c r="W112" s="14">
        <f>Returns!H112-L112</f>
        <v>-1.7359704706884992E-2</v>
      </c>
      <c r="X112" s="14">
        <f>Returns!I112-M112</f>
        <v>2.5073992856348981E-2</v>
      </c>
      <c r="Y112" s="14">
        <f>Returns!J112-N112</f>
        <v>-1.4236139926072741E-2</v>
      </c>
      <c r="Z112" s="14">
        <f>Returns!K112-O112</f>
        <v>1.8417669517459264E-2</v>
      </c>
    </row>
    <row r="113" spans="1:26" x14ac:dyDescent="0.2">
      <c r="A113" s="6">
        <f>Returns!A113</f>
        <v>45709</v>
      </c>
      <c r="B113" s="14">
        <f t="array" ref="B113:D113">MMULT(Returns!B113:K113,Exposures!$B$32:$D$41)</f>
        <v>-2.4222073213515461E-3</v>
      </c>
      <c r="C113" s="14">
        <v>1.0073213515453695E-3</v>
      </c>
      <c r="D113" s="14">
        <v>1.7382456930377273E-2</v>
      </c>
      <c r="F113" s="14">
        <f>SUMPRODUCT($B113:$D113,Exposures!$B$2:$D$2)</f>
        <v>1.6847013565254202E-2</v>
      </c>
      <c r="G113" s="14">
        <f>SUMPRODUCT($B113:$D113,Exposures!$B$3:$D$3)</f>
        <v>1.4529188278104706E-2</v>
      </c>
      <c r="H113" s="14">
        <f>SUMPRODUCT($B113:$D113,Exposures!$B$4:$D$4)</f>
        <v>8.4179351961161455E-3</v>
      </c>
      <c r="I113" s="14">
        <f>SUMPRODUCT($B113:$D113,Exposures!$B$5:$D$5)</f>
        <v>-1.3755690756427682E-2</v>
      </c>
      <c r="J113" s="14">
        <f>SUMPRODUCT($B113:$D113,Exposures!$B$6:$D$6)</f>
        <v>5.3546921088230785E-3</v>
      </c>
      <c r="K113" s="14">
        <f>SUMPRODUCT($B113:$D113,Exposures!$B$7:$D$7)</f>
        <v>1.9467528347164875E-2</v>
      </c>
      <c r="L113" s="14">
        <f>SUMPRODUCT($B113:$D113,Exposures!$B$8:$D$8)</f>
        <v>-2.0782259052025402E-2</v>
      </c>
      <c r="M113" s="14">
        <f>SUMPRODUCT($B113:$D113,Exposures!$B$9:$D$9)</f>
        <v>-5.3618299906943131E-4</v>
      </c>
      <c r="N113" s="14">
        <f>SUMPRODUCT($B113:$D113,Exposures!$B$10:$D$10)</f>
        <v>-3.3120976988403418E-2</v>
      </c>
      <c r="O113" s="14">
        <f>SUMPRODUCT($B113:$D113,Exposures!$B$11:$D$11)</f>
        <v>-2.0633247699537081E-2</v>
      </c>
      <c r="Q113" s="14">
        <f>Returns!B113-F113</f>
        <v>2.0109986434745795E-2</v>
      </c>
      <c r="R113" s="14">
        <f>Returns!C113-G113</f>
        <v>-3.4614188278104703E-2</v>
      </c>
      <c r="S113" s="14">
        <f>Returns!D113-H113</f>
        <v>-1.9343935196116144E-2</v>
      </c>
      <c r="T113" s="14">
        <f>Returns!E113-I113</f>
        <v>5.0820690756427686E-2</v>
      </c>
      <c r="U113" s="14">
        <f>Returns!F113-J113</f>
        <v>-3.0316921088230785E-3</v>
      </c>
      <c r="V113" s="14">
        <f>Returns!G113-K113</f>
        <v>-3.4935283471648759E-3</v>
      </c>
      <c r="W113" s="14">
        <f>Returns!H113-L113</f>
        <v>1.9678259052025401E-2</v>
      </c>
      <c r="X113" s="14">
        <f>Returns!I113-M113</f>
        <v>1.609118299906943E-2</v>
      </c>
      <c r="Y113" s="14">
        <f>Returns!J113-N113</f>
        <v>-4.5986023011596579E-2</v>
      </c>
      <c r="Z113" s="14">
        <f>Returns!K113-O113</f>
        <v>-2.3075230046291917E-4</v>
      </c>
    </row>
    <row r="114" spans="1:26" x14ac:dyDescent="0.2">
      <c r="A114" s="6">
        <f>Returns!A114</f>
        <v>45716</v>
      </c>
      <c r="B114" s="14">
        <f t="array" ref="B114:D114">MMULT(Returns!B114:K114,Exposures!$B$32:$D$41)</f>
        <v>-5.1338406133224365E-2</v>
      </c>
      <c r="C114" s="14">
        <v>-2.8938667756359233E-3</v>
      </c>
      <c r="D114" s="14">
        <v>3.3501377190024609E-3</v>
      </c>
      <c r="F114" s="14">
        <f>SUMPRODUCT($B114:$D114,Exposures!$B$2:$D$2)</f>
        <v>-4.8612793387715174E-2</v>
      </c>
      <c r="G114" s="14">
        <f>SUMPRODUCT($B114:$D114,Exposures!$B$3:$D$3)</f>
        <v>-5.0479994139548096E-2</v>
      </c>
      <c r="H114" s="14">
        <f>SUMPRODUCT($B114:$D114,Exposures!$B$4:$D$4)</f>
        <v>-4.8909494024932859E-2</v>
      </c>
      <c r="I114" s="14">
        <f>SUMPRODUCT($B114:$D114,Exposures!$B$5:$D$5)</f>
        <v>-5.0218549937505373E-2</v>
      </c>
      <c r="J114" s="14">
        <f>SUMPRODUCT($B114:$D114,Exposures!$B$6:$D$6)</f>
        <v>-4.8635233362795204E-2</v>
      </c>
      <c r="K114" s="14">
        <f>SUMPRODUCT($B114:$D114,Exposures!$B$7:$D$7)</f>
        <v>-4.3352205500675263E-2</v>
      </c>
      <c r="L114" s="14">
        <f>SUMPRODUCT($B114:$D114,Exposures!$B$8:$D$8)</f>
        <v>-5.614304024775775E-2</v>
      </c>
      <c r="M114" s="14">
        <f>SUMPRODUCT($B114:$D114,Exposures!$B$9:$D$9)</f>
        <v>-5.83552518585643E-2</v>
      </c>
      <c r="N114" s="14">
        <f>SUMPRODUCT($B114:$D114,Exposures!$B$10:$D$10)</f>
        <v>-5.5865405715252482E-2</v>
      </c>
      <c r="O114" s="14">
        <f>SUMPRODUCT($B114:$D114,Exposures!$B$11:$D$11)</f>
        <v>-5.2841031825253501E-2</v>
      </c>
      <c r="Q114" s="14">
        <f>Returns!B114-F114</f>
        <v>-8.696206612284825E-3</v>
      </c>
      <c r="R114" s="14">
        <f>Returns!C114-G114</f>
        <v>-1.40830058604519E-2</v>
      </c>
      <c r="S114" s="14">
        <f>Returns!D114-H114</f>
        <v>-1.2893505975067138E-2</v>
      </c>
      <c r="T114" s="14">
        <f>Returns!E114-I114</f>
        <v>-2.2045006249462457E-4</v>
      </c>
      <c r="U114" s="14">
        <f>Returns!F114-J114</f>
        <v>2.5090233362795204E-2</v>
      </c>
      <c r="V114" s="14">
        <f>Returns!G114-K114</f>
        <v>2.1372055006752613E-3</v>
      </c>
      <c r="W114" s="14">
        <f>Returns!H114-L114</f>
        <v>5.5770402477577502E-3</v>
      </c>
      <c r="X114" s="14">
        <f>Returns!I114-M114</f>
        <v>9.3992518585643003E-3</v>
      </c>
      <c r="Y114" s="14">
        <f>Returns!J114-N114</f>
        <v>-2.1733594284747519E-2</v>
      </c>
      <c r="Z114" s="14">
        <f>Returns!K114-O114</f>
        <v>1.5423031825253501E-2</v>
      </c>
    </row>
    <row r="115" spans="1:26" x14ac:dyDescent="0.2">
      <c r="A115" s="6">
        <f>Returns!A115</f>
        <v>45723</v>
      </c>
      <c r="B115" s="14">
        <f t="array" ref="B115:D115">MMULT(Returns!B115:K115,Exposures!$B$32:$D$41)</f>
        <v>1.9891337965539928E-2</v>
      </c>
      <c r="C115" s="14">
        <v>-8.2379655399261453E-3</v>
      </c>
      <c r="D115" s="14">
        <v>-1.8885284583086113E-2</v>
      </c>
      <c r="F115" s="14">
        <f>SUMPRODUCT($B115:$D115,Exposures!$B$2:$D$2)</f>
        <v>-3.3297712028003031E-3</v>
      </c>
      <c r="G115" s="14">
        <f>SUMPRODUCT($B115:$D115,Exposures!$B$3:$D$3)</f>
        <v>-4.0975898178725514E-3</v>
      </c>
      <c r="H115" s="14">
        <f>SUMPRODUCT($B115:$D115,Exposures!$B$4:$D$4)</f>
        <v>8.8997848875875529E-3</v>
      </c>
      <c r="I115" s="14">
        <f>SUMPRODUCT($B115:$D115,Exposures!$B$5:$D$5)</f>
        <v>3.9848278997281709E-2</v>
      </c>
      <c r="J115" s="14">
        <f>SUMPRODUCT($B115:$D115,Exposures!$B$6:$D$6)</f>
        <v>1.422806077206065E-2</v>
      </c>
      <c r="K115" s="14">
        <f>SUMPRODUCT($B115:$D115,Exposures!$B$7:$D$7)</f>
        <v>4.8242274287452966E-3</v>
      </c>
      <c r="L115" s="14">
        <f>SUMPRODUCT($B115:$D115,Exposures!$B$8:$D$8)</f>
        <v>3.6909879443903212E-2</v>
      </c>
      <c r="M115" s="14">
        <f>SUMPRODUCT($B115:$D115,Exposures!$B$9:$D$9)</f>
        <v>7.6915886260902125E-4</v>
      </c>
      <c r="N115" s="14">
        <f>SUMPRODUCT($B115:$D115,Exposures!$B$10:$D$10)</f>
        <v>5.645881763307653E-2</v>
      </c>
      <c r="O115" s="14">
        <f>SUMPRODUCT($B115:$D115,Exposures!$B$11:$D$11)</f>
        <v>4.4320152995408896E-2</v>
      </c>
      <c r="Q115" s="14">
        <f>Returns!B115-F115</f>
        <v>4.0873771202800308E-2</v>
      </c>
      <c r="R115" s="14">
        <f>Returns!C115-G115</f>
        <v>1.0282589817872553E-2</v>
      </c>
      <c r="S115" s="14">
        <f>Returns!D115-H115</f>
        <v>-2.6801784887587554E-2</v>
      </c>
      <c r="T115" s="14">
        <f>Returns!E115-I115</f>
        <v>-1.3208278997281709E-2</v>
      </c>
      <c r="U115" s="14">
        <f>Returns!F115-J115</f>
        <v>-2.5298060772060649E-2</v>
      </c>
      <c r="V115" s="14">
        <f>Returns!G115-K115</f>
        <v>-3.0512274287452963E-3</v>
      </c>
      <c r="W115" s="14">
        <f>Returns!H115-L115</f>
        <v>2.6242120556096787E-2</v>
      </c>
      <c r="X115" s="14">
        <f>Returns!I115-M115</f>
        <v>-2.149215886260902E-2</v>
      </c>
      <c r="Y115" s="14">
        <f>Returns!J115-N115</f>
        <v>-1.5341817633076529E-2</v>
      </c>
      <c r="Z115" s="14">
        <f>Returns!K115-O115</f>
        <v>2.7794847004591103E-2</v>
      </c>
    </row>
    <row r="116" spans="1:26" x14ac:dyDescent="0.2">
      <c r="A116" s="6">
        <f>Returns!A116</f>
        <v>45730</v>
      </c>
      <c r="B116" s="14">
        <f t="array" ref="B116:D116">MMULT(Returns!B116:K116,Exposures!$B$32:$D$41)</f>
        <v>-1.2381760426082456E-2</v>
      </c>
      <c r="C116" s="14">
        <v>-1.6839573917545411E-2</v>
      </c>
      <c r="D116" s="14">
        <v>2.0556535188139526E-2</v>
      </c>
      <c r="F116" s="14">
        <f>SUMPRODUCT($B116:$D116,Exposures!$B$2:$D$2)</f>
        <v>4.6361992753750948E-3</v>
      </c>
      <c r="G116" s="14">
        <f>SUMPRODUCT($B116:$D116,Exposures!$B$3:$D$3)</f>
        <v>-6.3990503567981152E-3</v>
      </c>
      <c r="H116" s="14">
        <f>SUMPRODUCT($B116:$D116,Exposures!$B$4:$D$4)</f>
        <v>2.4212098733754402E-3</v>
      </c>
      <c r="I116" s="14">
        <f>SUMPRODUCT($B116:$D116,Exposures!$B$5:$D$5)</f>
        <v>-6.4917720953111841E-3</v>
      </c>
      <c r="J116" s="14">
        <f>SUMPRODUCT($B116:$D116,Exposures!$B$6:$D$6)</f>
        <v>3.8472449401858299E-3</v>
      </c>
      <c r="K116" s="14">
        <f>SUMPRODUCT($B116:$D116,Exposures!$B$7:$D$7)</f>
        <v>3.5502711553548519E-2</v>
      </c>
      <c r="L116" s="14">
        <f>SUMPRODUCT($B116:$D116,Exposures!$B$8:$D$8)</f>
        <v>-4.1487043735466765E-2</v>
      </c>
      <c r="M116" s="14">
        <f>SUMPRODUCT($B116:$D116,Exposures!$B$9:$D$9)</f>
        <v>-5.3245038144660181E-2</v>
      </c>
      <c r="N116" s="14">
        <f>SUMPRODUCT($B116:$D116,Exposures!$B$10:$D$10)</f>
        <v>-4.0572323390549794E-2</v>
      </c>
      <c r="O116" s="14">
        <f>SUMPRODUCT($B116:$D116,Exposures!$B$11:$D$11)</f>
        <v>-2.2198137919698858E-2</v>
      </c>
      <c r="Q116" s="14">
        <f>Returns!B116-F116</f>
        <v>-1.6798199275375094E-2</v>
      </c>
      <c r="R116" s="14">
        <f>Returns!C116-G116</f>
        <v>7.717050356798115E-3</v>
      </c>
      <c r="S116" s="14">
        <f>Returns!D116-H116</f>
        <v>-3.9482209873375439E-2</v>
      </c>
      <c r="T116" s="14">
        <f>Returns!E116-I116</f>
        <v>-1.5746227904688818E-2</v>
      </c>
      <c r="U116" s="14">
        <f>Returns!F116-J116</f>
        <v>-1.498724494018583E-2</v>
      </c>
      <c r="V116" s="14">
        <f>Returns!G116-K116</f>
        <v>4.5215288446451479E-2</v>
      </c>
      <c r="W116" s="14">
        <f>Returns!H116-L116</f>
        <v>1.2183043735466765E-2</v>
      </c>
      <c r="X116" s="14">
        <f>Returns!I116-M116</f>
        <v>1.183603814466018E-2</v>
      </c>
      <c r="Y116" s="14">
        <f>Returns!J116-N116</f>
        <v>3.6983233905497973E-3</v>
      </c>
      <c r="Z116" s="14">
        <f>Returns!K116-O116</f>
        <v>6.3641379196988576E-3</v>
      </c>
    </row>
    <row r="117" spans="1:26" x14ac:dyDescent="0.2">
      <c r="A117" s="6">
        <f>Returns!A117</f>
        <v>45737</v>
      </c>
      <c r="B117" s="14">
        <f t="array" ref="B117:D117">MMULT(Returns!B117:K117,Exposures!$B$32:$D$41)</f>
        <v>5.7095603759636349E-2</v>
      </c>
      <c r="C117" s="14">
        <v>-1.46037596363419E-2</v>
      </c>
      <c r="D117" s="14">
        <v>1.3390190400017037E-3</v>
      </c>
      <c r="F117" s="14">
        <f>SUMPRODUCT($B117:$D117,Exposures!$B$2:$D$2)</f>
        <v>5.3881931429608794E-2</v>
      </c>
      <c r="G117" s="14">
        <f>SUMPRODUCT($B117:$D117,Exposures!$B$3:$D$3)</f>
        <v>4.6949958950491255E-2</v>
      </c>
      <c r="H117" s="14">
        <f>SUMPRODUCT($B117:$D117,Exposures!$B$4:$D$4)</f>
        <v>5.9545599314835031E-2</v>
      </c>
      <c r="I117" s="14">
        <f>SUMPRODUCT($B117:$D117,Exposures!$B$5:$D$5)</f>
        <v>7.1931605336921181E-2</v>
      </c>
      <c r="J117" s="14">
        <f>SUMPRODUCT($B117:$D117,Exposures!$B$6:$D$6)</f>
        <v>6.3420408966610484E-2</v>
      </c>
      <c r="K117" s="14">
        <f>SUMPRODUCT($B117:$D117,Exposures!$B$7:$D$7)</f>
        <v>7.6693085839175723E-2</v>
      </c>
      <c r="L117" s="14">
        <f>SUMPRODUCT($B117:$D117,Exposures!$B$8:$D$8)</f>
        <v>4.9661921745534333E-2</v>
      </c>
      <c r="M117" s="14">
        <f>SUMPRODUCT($B117:$D117,Exposures!$B$9:$D$9)</f>
        <v>2.2152447657579157E-2</v>
      </c>
      <c r="N117" s="14">
        <f>SUMPRODUCT($B117:$D117,Exposures!$B$10:$D$10)</f>
        <v>6.1337402466387234E-2</v>
      </c>
      <c r="O117" s="14">
        <f>SUMPRODUCT($B117:$D117,Exposures!$B$11:$D$11)</f>
        <v>6.5235638292856862E-2</v>
      </c>
      <c r="Q117" s="14">
        <f>Returns!B117-F117</f>
        <v>2.8080685703912034E-3</v>
      </c>
      <c r="R117" s="14">
        <f>Returns!C117-G117</f>
        <v>1.9704104950874629E-4</v>
      </c>
      <c r="S117" s="14">
        <f>Returns!D117-H117</f>
        <v>5.4974400685164966E-2</v>
      </c>
      <c r="T117" s="14">
        <f>Returns!E117-I117</f>
        <v>-1.6623605336921178E-2</v>
      </c>
      <c r="U117" s="14">
        <f>Returns!F117-J117</f>
        <v>9.7405910333895201E-3</v>
      </c>
      <c r="V117" s="14">
        <f>Returns!G117-K117</f>
        <v>-3.265308583917572E-2</v>
      </c>
      <c r="W117" s="14">
        <f>Returns!H117-L117</f>
        <v>2.726307825446566E-2</v>
      </c>
      <c r="X117" s="14">
        <f>Returns!I117-M117</f>
        <v>-2.9233447657579157E-2</v>
      </c>
      <c r="Y117" s="14">
        <f>Returns!J117-N117</f>
        <v>-4.2384024663872366E-3</v>
      </c>
      <c r="Z117" s="14">
        <f>Returns!K117-O117</f>
        <v>-1.2234638292856863E-2</v>
      </c>
    </row>
    <row r="118" spans="1:26" x14ac:dyDescent="0.2">
      <c r="A118" s="6">
        <f>Returns!A118</f>
        <v>45744</v>
      </c>
      <c r="B118" s="14">
        <f t="array" ref="B118:D118">MMULT(Returns!B118:K118,Exposures!$B$32:$D$41)</f>
        <v>-3.437154418633917E-2</v>
      </c>
      <c r="C118" s="14">
        <v>4.9441863391671524E-3</v>
      </c>
      <c r="D118" s="14">
        <v>5.2745737251596609E-3</v>
      </c>
      <c r="F118" s="14">
        <f>SUMPRODUCT($B118:$D118,Exposures!$B$2:$D$2)</f>
        <v>-2.7040119197381654E-2</v>
      </c>
      <c r="G118" s="14">
        <f>SUMPRODUCT($B118:$D118,Exposures!$B$3:$D$3)</f>
        <v>-2.5609725277390308E-2</v>
      </c>
      <c r="H118" s="14">
        <f>SUMPRODUCT($B118:$D118,Exposures!$B$4:$D$4)</f>
        <v>-3.1592423236796972E-2</v>
      </c>
      <c r="I118" s="14">
        <f>SUMPRODUCT($B118:$D118,Exposures!$B$5:$D$5)</f>
        <v>-4.2773822067092224E-2</v>
      </c>
      <c r="J118" s="14">
        <f>SUMPRODUCT($B118:$D118,Exposures!$B$6:$D$6)</f>
        <v>-3.3820727207789315E-2</v>
      </c>
      <c r="K118" s="14">
        <f>SUMPRODUCT($B118:$D118,Exposures!$B$7:$D$7)</f>
        <v>-3.3388268465660745E-2</v>
      </c>
      <c r="L118" s="14">
        <f>SUMPRODUCT($B118:$D118,Exposures!$B$8:$D$8)</f>
        <v>-3.8040967410453069E-2</v>
      </c>
      <c r="M118" s="14">
        <f>SUMPRODUCT($B118:$D118,Exposures!$B$9:$D$9)</f>
        <v>-2.2713176047484466E-2</v>
      </c>
      <c r="N118" s="14">
        <f>SUMPRODUCT($B118:$D118,Exposures!$B$10:$D$10)</f>
        <v>-4.5774186320742198E-2</v>
      </c>
      <c r="O118" s="14">
        <f>SUMPRODUCT($B118:$D118,Exposures!$B$11:$D$11)</f>
        <v>-4.2912584769209075E-2</v>
      </c>
      <c r="Q118" s="14">
        <f>Returns!B118-F118</f>
        <v>-3.3368808026183472E-3</v>
      </c>
      <c r="R118" s="14">
        <f>Returns!C118-G118</f>
        <v>-4.9007274722609698E-2</v>
      </c>
      <c r="S118" s="14">
        <f>Returns!D118-H118</f>
        <v>3.8449423236796974E-2</v>
      </c>
      <c r="T118" s="14">
        <f>Returns!E118-I118</f>
        <v>1.2921822067092224E-2</v>
      </c>
      <c r="U118" s="14">
        <f>Returns!F118-J118</f>
        <v>1.521727207789314E-3</v>
      </c>
      <c r="V118" s="14">
        <f>Returns!G118-K118</f>
        <v>5.9226846566074604E-4</v>
      </c>
      <c r="W118" s="14">
        <f>Returns!H118-L118</f>
        <v>9.6069674104530683E-3</v>
      </c>
      <c r="X118" s="14">
        <f>Returns!I118-M118</f>
        <v>1.6966176047484467E-2</v>
      </c>
      <c r="Y118" s="14">
        <f>Returns!J118-N118</f>
        <v>-1.9184813679257805E-2</v>
      </c>
      <c r="Z118" s="14">
        <f>Returns!K118-O118</f>
        <v>-8.5294152307909266E-3</v>
      </c>
    </row>
    <row r="119" spans="1:26" x14ac:dyDescent="0.2">
      <c r="A119" s="6">
        <f>Returns!A119</f>
        <v>45751</v>
      </c>
      <c r="B119" s="14">
        <f t="array" ref="B119:D119">MMULT(Returns!B119:K119,Exposures!$B$32:$D$41)</f>
        <v>-1.8440032651763888E-2</v>
      </c>
      <c r="C119" s="14">
        <v>-8.067348236107599E-3</v>
      </c>
      <c r="D119" s="14">
        <v>-2.7424994189353773E-2</v>
      </c>
      <c r="F119" s="14">
        <f>SUMPRODUCT($B119:$D119,Exposures!$B$2:$D$2)</f>
        <v>-5.0914827753713934E-2</v>
      </c>
      <c r="G119" s="14">
        <f>SUMPRODUCT($B119:$D119,Exposures!$B$3:$D$3)</f>
        <v>-5.0237808872026821E-2</v>
      </c>
      <c r="H119" s="14">
        <f>SUMPRODUCT($B119:$D119,Exposures!$B$4:$D$4)</f>
        <v>-3.4830370685084933E-2</v>
      </c>
      <c r="I119" s="14">
        <f>SUMPRODUCT($B119:$D119,Exposures!$B$5:$D$5)</f>
        <v>6.3727765325899671E-3</v>
      </c>
      <c r="J119" s="14">
        <f>SUMPRODUCT($B119:$D119,Exposures!$B$6:$D$6)</f>
        <v>-2.8183514108678198E-2</v>
      </c>
      <c r="K119" s="14">
        <f>SUMPRODUCT($B119:$D119,Exposures!$B$7:$D$7)</f>
        <v>-4.507311007555314E-2</v>
      </c>
      <c r="L119" s="14">
        <f>SUMPRODUCT($B119:$D119,Exposures!$B$8:$D$8)</f>
        <v>7.8713482959340726E-3</v>
      </c>
      <c r="M119" s="14">
        <f>SUMPRODUCT($B119:$D119,Exposures!$B$9:$D$9)</f>
        <v>-3.6898245110380437E-2</v>
      </c>
      <c r="N119" s="14">
        <f>SUMPRODUCT($B119:$D119,Exposures!$B$10:$D$10)</f>
        <v>3.2909763943960099E-2</v>
      </c>
      <c r="O119" s="14">
        <f>SUMPRODUCT($B119:$D119,Exposures!$B$11:$D$11)</f>
        <v>1.4502987832953364E-2</v>
      </c>
      <c r="Q119" s="14">
        <f>Returns!B119-F119</f>
        <v>2.2858827753713933E-2</v>
      </c>
      <c r="R119" s="14">
        <f>Returns!C119-G119</f>
        <v>2.0952808872026822E-2</v>
      </c>
      <c r="S119" s="14">
        <f>Returns!D119-H119</f>
        <v>-8.4716293149150676E-3</v>
      </c>
      <c r="T119" s="14">
        <f>Returns!E119-I119</f>
        <v>-3.482077653258997E-2</v>
      </c>
      <c r="U119" s="14">
        <f>Returns!F119-J119</f>
        <v>-1.7382485891321804E-2</v>
      </c>
      <c r="V119" s="14">
        <f>Returns!G119-K119</f>
        <v>2.9081100755531386E-3</v>
      </c>
      <c r="W119" s="14">
        <f>Returns!H119-L119</f>
        <v>2.0112651704065926E-2</v>
      </c>
      <c r="X119" s="14">
        <f>Returns!I119-M119</f>
        <v>-2.6668754889619561E-2</v>
      </c>
      <c r="Y119" s="14">
        <f>Returns!J119-N119</f>
        <v>1.8725236056039901E-2</v>
      </c>
      <c r="Z119" s="14">
        <f>Returns!K119-O119</f>
        <v>1.786012167046637E-3</v>
      </c>
    </row>
    <row r="120" spans="1:26" x14ac:dyDescent="0.2">
      <c r="A120" s="6">
        <f>Returns!A120</f>
        <v>45758</v>
      </c>
      <c r="B120" s="14">
        <f t="array" ref="B120:D120">MMULT(Returns!B120:K120,Exposures!$B$32:$D$41)</f>
        <v>3.0649461086061317E-3</v>
      </c>
      <c r="C120" s="14">
        <v>1.5753891393867944E-2</v>
      </c>
      <c r="D120" s="14">
        <v>1.602320808475742E-2</v>
      </c>
      <c r="F120" s="14">
        <f>SUMPRODUCT($B120:$D120,Exposures!$B$2:$D$2)</f>
        <v>2.5571488167029463E-2</v>
      </c>
      <c r="G120" s="14">
        <f>SUMPRODUCT($B120:$D120,Exposures!$B$3:$D$3)</f>
        <v>3.0254564914647529E-2</v>
      </c>
      <c r="H120" s="14">
        <f>SUMPRODUCT($B120:$D120,Exposures!$B$4:$D$4)</f>
        <v>1.1426639148677833E-2</v>
      </c>
      <c r="I120" s="14">
        <f>SUMPRODUCT($B120:$D120,Exposures!$B$5:$D$5)</f>
        <v>-2.3245410452839448E-2</v>
      </c>
      <c r="J120" s="14">
        <f>SUMPRODUCT($B120:$D120,Exposures!$B$6:$D$6)</f>
        <v>4.4518362648336201E-3</v>
      </c>
      <c r="K120" s="14">
        <f>SUMPRODUCT($B120:$D120,Exposures!$B$7:$D$7)</f>
        <v>5.1560653608146087E-3</v>
      </c>
      <c r="L120" s="14">
        <f>SUMPRODUCT($B120:$D120,Exposures!$B$8:$D$8)</f>
        <v>-7.7810231514460274E-3</v>
      </c>
      <c r="M120" s="14">
        <f>SUMPRODUCT($B120:$D120,Exposures!$B$9:$D$9)</f>
        <v>4.0236050297407795E-2</v>
      </c>
      <c r="N120" s="14">
        <f>SUMPRODUCT($B120:$D120,Exposures!$B$10:$D$10)</f>
        <v>-3.1904687086112354E-2</v>
      </c>
      <c r="O120" s="14">
        <f>SUMPRODUCT($B120:$D120,Exposures!$B$11:$D$11)</f>
        <v>-2.335852346301303E-2</v>
      </c>
      <c r="Q120" s="14">
        <f>Returns!B120-F120</f>
        <v>4.554511832970537E-3</v>
      </c>
      <c r="R120" s="14">
        <f>Returns!C120-G120</f>
        <v>3.1694435085352468E-2</v>
      </c>
      <c r="S120" s="14">
        <f>Returns!D120-H120</f>
        <v>-3.0645639148677833E-2</v>
      </c>
      <c r="T120" s="14">
        <f>Returns!E120-I120</f>
        <v>-4.9345895471605526E-3</v>
      </c>
      <c r="U120" s="14">
        <f>Returns!F120-J120</f>
        <v>-3.5648362648336204E-3</v>
      </c>
      <c r="V120" s="14">
        <f>Returns!G120-K120</f>
        <v>1.179293463918539E-2</v>
      </c>
      <c r="W120" s="14">
        <f>Returns!H120-L120</f>
        <v>1.2507023151446028E-2</v>
      </c>
      <c r="X120" s="14">
        <f>Returns!I120-M120</f>
        <v>-1.5680050297407794E-2</v>
      </c>
      <c r="Y120" s="14">
        <f>Returns!J120-N120</f>
        <v>3.3969687086112352E-2</v>
      </c>
      <c r="Z120" s="14">
        <f>Returns!K120-O120</f>
        <v>-3.9693476536986967E-2</v>
      </c>
    </row>
    <row r="121" spans="1:26" x14ac:dyDescent="0.2">
      <c r="A121" s="6">
        <f>Returns!A121</f>
        <v>45765</v>
      </c>
      <c r="B121" s="14">
        <f t="array" ref="B121:D121">MMULT(Returns!B121:K121,Exposures!$B$32:$D$41)</f>
        <v>-1.9613632964749564E-2</v>
      </c>
      <c r="C121" s="14">
        <v>7.3329647495631953E-3</v>
      </c>
      <c r="D121" s="14">
        <v>-1.2841369244146146E-2</v>
      </c>
      <c r="F121" s="14">
        <f>SUMPRODUCT($B121:$D121,Exposures!$B$2:$D$2)</f>
        <v>-3.1264176721008639E-2</v>
      </c>
      <c r="G121" s="14">
        <f>SUMPRODUCT($B121:$D121,Exposures!$B$3:$D$3)</f>
        <v>-2.5836393857146187E-2</v>
      </c>
      <c r="H121" s="14">
        <f>SUMPRODUCT($B121:$D121,Exposures!$B$4:$D$4)</f>
        <v>-2.8510321711013586E-2</v>
      </c>
      <c r="I121" s="14">
        <f>SUMPRODUCT($B121:$D121,Exposures!$B$5:$D$5)</f>
        <v>-1.9883497392735958E-2</v>
      </c>
      <c r="J121" s="14">
        <f>SUMPRODUCT($B121:$D121,Exposures!$B$6:$D$6)</f>
        <v>-2.85089327618279E-2</v>
      </c>
      <c r="K121" s="14">
        <f>SUMPRODUCT($B121:$D121,Exposures!$B$7:$D$7)</f>
        <v>-4.5638871053931038E-2</v>
      </c>
      <c r="L121" s="14">
        <f>SUMPRODUCT($B121:$D121,Exposures!$B$8:$D$8)</f>
        <v>-2.7384386337508167E-3</v>
      </c>
      <c r="M121" s="14">
        <f>SUMPRODUCT($B121:$D121,Exposures!$B$9:$D$9)</f>
        <v>-1.7026061359691411E-3</v>
      </c>
      <c r="N121" s="14">
        <f>SUMPRODUCT($B121:$D121,Exposures!$B$10:$D$10)</f>
        <v>-5.6948461723870664E-4</v>
      </c>
      <c r="O121" s="14">
        <f>SUMPRODUCT($B121:$D121,Exposures!$B$11:$D$11)</f>
        <v>-1.1410277115378035E-2</v>
      </c>
      <c r="Q121" s="14">
        <f>Returns!B121-F121</f>
        <v>3.5762176721008641E-2</v>
      </c>
      <c r="R121" s="14">
        <f>Returns!C121-G121</f>
        <v>-1.2935606142853814E-2</v>
      </c>
      <c r="S121" s="14">
        <f>Returns!D121-H121</f>
        <v>-3.7956782889864149E-3</v>
      </c>
      <c r="T121" s="14">
        <f>Returns!E121-I121</f>
        <v>-1.3805026072640433E-3</v>
      </c>
      <c r="U121" s="14">
        <f>Returns!F121-J121</f>
        <v>-5.4600672381720991E-3</v>
      </c>
      <c r="V121" s="14">
        <f>Returns!G121-K121</f>
        <v>-1.3856128946068962E-2</v>
      </c>
      <c r="W121" s="14">
        <f>Returns!H121-L121</f>
        <v>-3.396356136624918E-2</v>
      </c>
      <c r="X121" s="14">
        <f>Returns!I121-M121</f>
        <v>4.0536061359691409E-3</v>
      </c>
      <c r="Y121" s="14">
        <f>Returns!J121-N121</f>
        <v>1.2392484617238707E-2</v>
      </c>
      <c r="Z121" s="14">
        <f>Returns!K121-O121</f>
        <v>1.9183277115378036E-2</v>
      </c>
    </row>
    <row r="122" spans="1:26" x14ac:dyDescent="0.2">
      <c r="A122" s="6">
        <f>Returns!A122</f>
        <v>45772</v>
      </c>
      <c r="B122" s="14">
        <f t="array" ref="B122:D122">MMULT(Returns!B122:K122,Exposures!$B$32:$D$41)</f>
        <v>-1.3540958813613235E-2</v>
      </c>
      <c r="C122" s="14">
        <v>-1.9341186386761581E-2</v>
      </c>
      <c r="D122" s="14">
        <v>-1.9868543000167847E-2</v>
      </c>
      <c r="F122" s="14">
        <f>SUMPRODUCT($B122:$D122,Exposures!$B$2:$D$2)</f>
        <v>-4.1386850327559899E-2</v>
      </c>
      <c r="G122" s="14">
        <f>SUMPRODUCT($B122:$D122,Exposures!$B$3:$D$3)</f>
        <v>-4.710482918544337E-2</v>
      </c>
      <c r="H122" s="14">
        <f>SUMPRODUCT($B122:$D122,Exposures!$B$4:$D$4)</f>
        <v>-2.3930610401175206E-2</v>
      </c>
      <c r="I122" s="14">
        <f>SUMPRODUCT($B122:$D122,Exposures!$B$5:$D$5)</f>
        <v>1.8876550990320685E-2</v>
      </c>
      <c r="J122" s="14">
        <f>SUMPRODUCT($B122:$D122,Exposures!$B$6:$D$6)</f>
        <v>-1.5336111332855104E-2</v>
      </c>
      <c r="K122" s="14">
        <f>SUMPRODUCT($B122:$D122,Exposures!$B$7:$D$7)</f>
        <v>-1.6369873611987346E-2</v>
      </c>
      <c r="L122" s="14">
        <f>SUMPRODUCT($B122:$D122,Exposures!$B$8:$D$8)</f>
        <v>-1.281879200420652E-5</v>
      </c>
      <c r="M122" s="14">
        <f>SUMPRODUCT($B122:$D122,Exposures!$B$9:$D$9)</f>
        <v>-5.917033798796837E-2</v>
      </c>
      <c r="N122" s="14">
        <f>SUMPRODUCT($B122:$D122,Exposures!$B$10:$D$10)</f>
        <v>2.9733839880721528E-2</v>
      </c>
      <c r="O122" s="14">
        <f>SUMPRODUCT($B122:$D122,Exposures!$B$11:$D$11)</f>
        <v>1.9098040767951317E-2</v>
      </c>
      <c r="Q122" s="14">
        <f>Returns!B122-F122</f>
        <v>-5.7161496724401004E-3</v>
      </c>
      <c r="R122" s="14">
        <f>Returns!C122-G122</f>
        <v>7.2298291854433691E-3</v>
      </c>
      <c r="S122" s="14">
        <f>Returns!D122-H122</f>
        <v>-2.2987389598824796E-2</v>
      </c>
      <c r="T122" s="14">
        <f>Returns!E122-I122</f>
        <v>-5.4195509903206852E-3</v>
      </c>
      <c r="U122" s="14">
        <f>Returns!F122-J122</f>
        <v>-3.8018888667144896E-2</v>
      </c>
      <c r="V122" s="14">
        <f>Returns!G122-K122</f>
        <v>3.4395873611987343E-2</v>
      </c>
      <c r="W122" s="14">
        <f>Returns!H122-L122</f>
        <v>-7.6461812079957935E-3</v>
      </c>
      <c r="X122" s="14">
        <f>Returns!I122-M122</f>
        <v>1.407133798796837E-2</v>
      </c>
      <c r="Y122" s="14">
        <f>Returns!J122-N122</f>
        <v>8.0816011927847126E-4</v>
      </c>
      <c r="Z122" s="14">
        <f>Returns!K122-O122</f>
        <v>2.3282959232048685E-2</v>
      </c>
    </row>
    <row r="123" spans="1:26" x14ac:dyDescent="0.2">
      <c r="A123" s="6">
        <f>Returns!A123</f>
        <v>45779</v>
      </c>
      <c r="B123" s="14">
        <f t="array" ref="B123:D123">MMULT(Returns!B123:K123,Exposures!$B$32:$D$41)</f>
        <v>-1.7498519933852826E-2</v>
      </c>
      <c r="C123" s="14">
        <v>1.1119933852827201E-2</v>
      </c>
      <c r="D123" s="14">
        <v>-1.4454288838165689E-3</v>
      </c>
      <c r="F123" s="14">
        <f>SUMPRODUCT($B123:$D123,Exposures!$B$2:$D$2)</f>
        <v>-1.5515658584308182E-2</v>
      </c>
      <c r="G123" s="14">
        <f>SUMPRODUCT($B123:$D123,Exposures!$B$3:$D$3)</f>
        <v>-1.0169220390597016E-2</v>
      </c>
      <c r="H123" s="14">
        <f>SUMPRODUCT($B123:$D123,Exposures!$B$4:$D$4)</f>
        <v>-1.9632332854468255E-2</v>
      </c>
      <c r="I123" s="14">
        <f>SUMPRODUCT($B123:$D123,Exposures!$B$5:$D$5)</f>
        <v>-2.8544046114926159E-2</v>
      </c>
      <c r="J123" s="14">
        <f>SUMPRODUCT($B123:$D123,Exposures!$B$6:$D$6)</f>
        <v>-2.2514645711849222E-2</v>
      </c>
      <c r="K123" s="14">
        <f>SUMPRODUCT($B123:$D123,Exposures!$B$7:$D$7)</f>
        <v>-3.2987259649778049E-2</v>
      </c>
      <c r="L123" s="14">
        <f>SUMPRODUCT($B123:$D123,Exposures!$B$8:$D$8)</f>
        <v>-1.1378283859671779E-2</v>
      </c>
      <c r="M123" s="14">
        <f>SUMPRODUCT($B123:$D123,Exposures!$B$9:$D$9)</f>
        <v>9.1214848409186845E-3</v>
      </c>
      <c r="N123" s="14">
        <f>SUMPRODUCT($B123:$D123,Exposures!$B$10:$D$10)</f>
        <v>-1.9987443909784238E-2</v>
      </c>
      <c r="O123" s="14">
        <f>SUMPRODUCT($B123:$D123,Exposures!$B$11:$D$11)</f>
        <v>-2.3266593765535776E-2</v>
      </c>
      <c r="Q123" s="14">
        <f>Returns!B123-F123</f>
        <v>-3.9223414156918188E-3</v>
      </c>
      <c r="R123" s="14">
        <f>Returns!C123-G123</f>
        <v>1.0364220390597017E-2</v>
      </c>
      <c r="S123" s="14">
        <f>Returns!D123-H123</f>
        <v>-5.9476671455317431E-3</v>
      </c>
      <c r="T123" s="14">
        <f>Returns!E123-I123</f>
        <v>1.8713046114926159E-2</v>
      </c>
      <c r="U123" s="14">
        <f>Returns!F123-J123</f>
        <v>1.5775645711849223E-2</v>
      </c>
      <c r="V123" s="14">
        <f>Returns!G123-K123</f>
        <v>-9.3097403502219525E-3</v>
      </c>
      <c r="W123" s="14">
        <f>Returns!H123-L123</f>
        <v>3.2124283859671782E-2</v>
      </c>
      <c r="X123" s="14">
        <f>Returns!I123-M123</f>
        <v>-1.3888484840918685E-2</v>
      </c>
      <c r="Y123" s="14">
        <f>Returns!J123-N123</f>
        <v>-5.9195560902157614E-3</v>
      </c>
      <c r="Z123" s="14">
        <f>Returns!K123-O123</f>
        <v>-3.7989406234464222E-2</v>
      </c>
    </row>
    <row r="124" spans="1:26" x14ac:dyDescent="0.2">
      <c r="A124" s="6">
        <f>Returns!A124</f>
        <v>45786</v>
      </c>
      <c r="B124" s="14">
        <f t="array" ref="B124:D124">MMULT(Returns!B124:K124,Exposures!$B$32:$D$41)</f>
        <v>-1.9457709294996735E-3</v>
      </c>
      <c r="C124" s="14">
        <v>3.970929499674529E-3</v>
      </c>
      <c r="D124" s="14">
        <v>-1.3561121191176889E-2</v>
      </c>
      <c r="F124" s="14">
        <f>SUMPRODUCT($B124:$D124,Exposures!$B$2:$D$2)</f>
        <v>-1.5456695587986635E-2</v>
      </c>
      <c r="G124" s="14">
        <f>SUMPRODUCT($B124:$D124,Exposures!$B$3:$D$3)</f>
        <v>-1.1460288627548047E-2</v>
      </c>
      <c r="H124" s="14">
        <f>SUMPRODUCT($B124:$D124,Exposures!$B$4:$D$4)</f>
        <v>-1.0926079524905312E-2</v>
      </c>
      <c r="I124" s="14">
        <f>SUMPRODUCT($B124:$D124,Exposures!$B$5:$D$5)</f>
        <v>1.806396008642944E-3</v>
      </c>
      <c r="J124" s="14">
        <f>SUMPRODUCT($B124:$D124,Exposures!$B$6:$D$6)</f>
        <v>-9.8681603942258785E-3</v>
      </c>
      <c r="K124" s="14">
        <f>SUMPRODUCT($B124:$D124,Exposures!$B$7:$D$7)</f>
        <v>-2.4826596103367862E-2</v>
      </c>
      <c r="L124" s="14">
        <f>SUMPRODUCT($B124:$D124,Exposures!$B$8:$D$8)</f>
        <v>1.4328321051837924E-2</v>
      </c>
      <c r="M124" s="14">
        <f>SUMPRODUCT($B124:$D124,Exposures!$B$9:$D$9)</f>
        <v>7.9515842104577565E-3</v>
      </c>
      <c r="N124" s="14">
        <f>SUMPRODUCT($B124:$D124,Exposures!$B$10:$D$10)</f>
        <v>1.9863661668294574E-2</v>
      </c>
      <c r="O124" s="14">
        <f>SUMPRODUCT($B124:$D124,Exposures!$B$11:$D$11)</f>
        <v>9.1698572988005399E-3</v>
      </c>
      <c r="Q124" s="14">
        <f>Returns!B124-F124</f>
        <v>-3.210304412013365E-3</v>
      </c>
      <c r="R124" s="14">
        <f>Returns!C124-G124</f>
        <v>2.5180288627548047E-2</v>
      </c>
      <c r="S124" s="14">
        <f>Returns!D124-H124</f>
        <v>-4.1249920475094688E-2</v>
      </c>
      <c r="T124" s="14">
        <f>Returns!E124-I124</f>
        <v>1.9240603991357054E-2</v>
      </c>
      <c r="U124" s="14">
        <f>Returns!F124-J124</f>
        <v>1.0800160394225879E-2</v>
      </c>
      <c r="V124" s="14">
        <f>Returns!G124-K124</f>
        <v>4.3925961033678615E-3</v>
      </c>
      <c r="W124" s="14">
        <f>Returns!H124-L124</f>
        <v>-5.3111321051837926E-2</v>
      </c>
      <c r="X124" s="14">
        <f>Returns!I124-M124</f>
        <v>1.5120415789542242E-2</v>
      </c>
      <c r="Y124" s="14">
        <f>Returns!J124-N124</f>
        <v>3.7449338331705426E-2</v>
      </c>
      <c r="Z124" s="14">
        <f>Returns!K124-O124</f>
        <v>-1.4611857298800539E-2</v>
      </c>
    </row>
    <row r="125" spans="1:26" x14ac:dyDescent="0.2">
      <c r="A125" s="6">
        <f>Returns!A125</f>
        <v>45793</v>
      </c>
      <c r="B125" s="14">
        <f t="array" ref="B125:D125">MMULT(Returns!B125:K125,Exposures!$B$32:$D$41)</f>
        <v>-2.2356776676986542E-2</v>
      </c>
      <c r="C125" s="14">
        <v>5.5766769865407805E-3</v>
      </c>
      <c r="D125" s="14">
        <v>-9.3130507585810225E-3</v>
      </c>
      <c r="F125" s="14">
        <f>SUMPRODUCT($B125:$D125,Exposures!$B$2:$D$2)</f>
        <v>-3.0723465368146807E-2</v>
      </c>
      <c r="G125" s="14">
        <f>SUMPRODUCT($B125:$D125,Exposures!$B$3:$D$3)</f>
        <v>-2.6668105832965083E-2</v>
      </c>
      <c r="H125" s="14">
        <f>SUMPRODUCT($B125:$D125,Exposures!$B$4:$D$4)</f>
        <v>-2.8837433123412071E-2</v>
      </c>
      <c r="I125" s="14">
        <f>SUMPRODUCT($B125:$D125,Exposures!$B$5:$D$5)</f>
        <v>-2.2829121105022374E-2</v>
      </c>
      <c r="J125" s="14">
        <f>SUMPRODUCT($B125:$D125,Exposures!$B$6:$D$6)</f>
        <v>-2.8908814558270525E-2</v>
      </c>
      <c r="K125" s="14">
        <f>SUMPRODUCT($B125:$D125,Exposures!$B$7:$D$7)</f>
        <v>-4.1546680109479053E-2</v>
      </c>
      <c r="L125" s="14">
        <f>SUMPRODUCT($B125:$D125,Exposures!$B$8:$D$8)</f>
        <v>-1.0012244293237316E-2</v>
      </c>
      <c r="M125" s="14">
        <f>SUMPRODUCT($B125:$D125,Exposures!$B$9:$D$9)</f>
        <v>-8.7491271563966445E-3</v>
      </c>
      <c r="N125" s="14">
        <f>SUMPRODUCT($B125:$D125,Exposures!$B$10:$D$10)</f>
        <v>-8.661573000998915E-3</v>
      </c>
      <c r="O125" s="14">
        <f>SUMPRODUCT($B125:$D125,Exposures!$B$11:$D$11)</f>
        <v>-1.6575435452071213E-2</v>
      </c>
      <c r="Q125" s="14">
        <f>Returns!B125-F125</f>
        <v>2.4152465368146806E-2</v>
      </c>
      <c r="R125" s="14">
        <f>Returns!C125-G125</f>
        <v>-3.7816894167034917E-2</v>
      </c>
      <c r="S125" s="14">
        <f>Returns!D125-H125</f>
        <v>4.0242433123412073E-2</v>
      </c>
      <c r="T125" s="14">
        <f>Returns!E125-I125</f>
        <v>-1.0417878894977625E-2</v>
      </c>
      <c r="U125" s="14">
        <f>Returns!F125-J125</f>
        <v>3.3374814558270523E-2</v>
      </c>
      <c r="V125" s="14">
        <f>Returns!G125-K125</f>
        <v>-2.8465319890520951E-2</v>
      </c>
      <c r="W125" s="14">
        <f>Returns!H125-L125</f>
        <v>1.2178244293237316E-2</v>
      </c>
      <c r="X125" s="14">
        <f>Returns!I125-M125</f>
        <v>-1.1786872843603354E-2</v>
      </c>
      <c r="Y125" s="14">
        <f>Returns!J125-N125</f>
        <v>1.2821573000998916E-2</v>
      </c>
      <c r="Z125" s="14">
        <f>Returns!K125-O125</f>
        <v>-3.4282564547928787E-2</v>
      </c>
    </row>
    <row r="126" spans="1:26" x14ac:dyDescent="0.2">
      <c r="A126" s="6">
        <f>Returns!A126</f>
        <v>45800</v>
      </c>
      <c r="B126" s="14">
        <f t="array" ref="B126:D126">MMULT(Returns!B126:K126,Exposures!$B$32:$D$41)</f>
        <v>-7.8618587323846419E-3</v>
      </c>
      <c r="C126" s="14">
        <v>4.2258732384641132E-2</v>
      </c>
      <c r="D126" s="14">
        <v>3.7122095243212446E-3</v>
      </c>
      <c r="F126" s="14">
        <f>SUMPRODUCT($B126:$D126,Exposures!$B$2:$D$2)</f>
        <v>9.7072440122106772E-3</v>
      </c>
      <c r="G126" s="14">
        <f>SUMPRODUCT($B126:$D126,Exposures!$B$3:$D$3)</f>
        <v>2.8552307385254199E-2</v>
      </c>
      <c r="H126" s="14">
        <f>SUMPRODUCT($B126:$D126,Exposures!$B$4:$D$4)</f>
        <v>-1.0171627294372782E-2</v>
      </c>
      <c r="I126" s="14">
        <f>SUMPRODUCT($B126:$D126,Exposures!$B$5:$D$5)</f>
        <v>-5.5268906003300186E-2</v>
      </c>
      <c r="J126" s="14">
        <f>SUMPRODUCT($B126:$D126,Exposures!$B$6:$D$6)</f>
        <v>-2.2598025885963699E-2</v>
      </c>
      <c r="K126" s="14">
        <f>SUMPRODUCT($B126:$D126,Exposures!$B$7:$D$7)</f>
        <v>-5.4480273574299562E-2</v>
      </c>
      <c r="L126" s="14">
        <f>SUMPRODUCT($B126:$D126,Exposures!$B$8:$D$8)</f>
        <v>5.4550352590512748E-3</v>
      </c>
      <c r="M126" s="14">
        <f>SUMPRODUCT($B126:$D126,Exposures!$B$9:$D$9)</f>
        <v>9.3025145381178037E-2</v>
      </c>
      <c r="N126" s="14">
        <f>SUMPRODUCT($B126:$D126,Exposures!$B$10:$D$10)</f>
        <v>-3.333753287779212E-2</v>
      </c>
      <c r="O126" s="14">
        <f>SUMPRODUCT($B126:$D126,Exposures!$B$11:$D$11)</f>
        <v>-3.9079366401965833E-2</v>
      </c>
      <c r="Q126" s="14">
        <f>Returns!B126-F126</f>
        <v>-2.5328244012210677E-2</v>
      </c>
      <c r="R126" s="14">
        <f>Returns!C126-G126</f>
        <v>2.7383692614745801E-2</v>
      </c>
      <c r="S126" s="14">
        <f>Returns!D126-H126</f>
        <v>-2.405737270562722E-2</v>
      </c>
      <c r="T126" s="14">
        <f>Returns!E126-I126</f>
        <v>2.3181906003300189E-2</v>
      </c>
      <c r="U126" s="14">
        <f>Returns!F126-J126</f>
        <v>8.5720258859636987E-3</v>
      </c>
      <c r="V126" s="14">
        <f>Returns!G126-K126</f>
        <v>8.0902735742995613E-3</v>
      </c>
      <c r="W126" s="14">
        <f>Returns!H126-L126</f>
        <v>2.5743964740948727E-2</v>
      </c>
      <c r="X126" s="14">
        <f>Returns!I126-M126</f>
        <v>-5.0711453811780327E-3</v>
      </c>
      <c r="Y126" s="14">
        <f>Returns!J126-N126</f>
        <v>-6.7624671222078769E-3</v>
      </c>
      <c r="Z126" s="14">
        <f>Returns!K126-O126</f>
        <v>-3.1752633598034173E-2</v>
      </c>
    </row>
    <row r="127" spans="1:26" x14ac:dyDescent="0.2">
      <c r="A127" s="6">
        <f>Returns!A127</f>
        <v>45807</v>
      </c>
      <c r="B127" s="14">
        <f t="array" ref="B127:D127">MMULT(Returns!B127:K127,Exposures!$B$32:$D$41)</f>
        <v>-2.4284679054409883E-2</v>
      </c>
      <c r="C127" s="14">
        <v>-2.2620945590118572E-2</v>
      </c>
      <c r="D127" s="14">
        <v>1.6121746931280902E-2</v>
      </c>
      <c r="F127" s="14">
        <f>SUMPRODUCT($B127:$D127,Exposures!$B$2:$D$2)</f>
        <v>-1.3950677488151642E-2</v>
      </c>
      <c r="G127" s="14">
        <f>SUMPRODUCT($B127:$D127,Exposures!$B$3:$D$3)</f>
        <v>-2.6935791968611129E-2</v>
      </c>
      <c r="H127" s="14">
        <f>SUMPRODUCT($B127:$D127,Exposures!$B$4:$D$4)</f>
        <v>-1.1639674472789871E-2</v>
      </c>
      <c r="I127" s="14">
        <f>SUMPRODUCT($B127:$D127,Exposures!$B$5:$D$5)</f>
        <v>-9.5920979624387424E-3</v>
      </c>
      <c r="J127" s="14">
        <f>SUMPRODUCT($B127:$D127,Exposures!$B$6:$D$6)</f>
        <v>-7.885289216561616E-3</v>
      </c>
      <c r="K127" s="14">
        <f>SUMPRODUCT($B127:$D127,Exposures!$B$7:$D$7)</f>
        <v>2.4754797984138377E-2</v>
      </c>
      <c r="L127" s="14">
        <f>SUMPRODUCT($B127:$D127,Exposures!$B$8:$D$8)</f>
        <v>-5.0970753432141871E-2</v>
      </c>
      <c r="M127" s="14">
        <f>SUMPRODUCT($B127:$D127,Exposures!$B$9:$D$9)</f>
        <v>-7.8832391422731699E-2</v>
      </c>
      <c r="N127" s="14">
        <f>SUMPRODUCT($B127:$D127,Exposures!$B$10:$D$10)</f>
        <v>-4.2157093199285296E-2</v>
      </c>
      <c r="O127" s="14">
        <f>SUMPRODUCT($B127:$D127,Exposures!$B$11:$D$11)</f>
        <v>-2.5864028821426521E-2</v>
      </c>
      <c r="Q127" s="14">
        <f>Returns!B127-F127</f>
        <v>2.7354677488151641E-2</v>
      </c>
      <c r="R127" s="14">
        <f>Returns!C127-G127</f>
        <v>3.2316791968611133E-2</v>
      </c>
      <c r="S127" s="14">
        <f>Returns!D127-H127</f>
        <v>2.3226674472789872E-2</v>
      </c>
      <c r="T127" s="14">
        <f>Returns!E127-I127</f>
        <v>1.1889097962438743E-2</v>
      </c>
      <c r="U127" s="14">
        <f>Returns!F127-J127</f>
        <v>-2.6038710783438387E-2</v>
      </c>
      <c r="V127" s="14">
        <f>Returns!G127-K127</f>
        <v>-3.2269797984138378E-2</v>
      </c>
      <c r="W127" s="14">
        <f>Returns!H127-L127</f>
        <v>-2.9017246567858132E-2</v>
      </c>
      <c r="X127" s="14">
        <f>Returns!I127-M127</f>
        <v>-2.2726608577268298E-2</v>
      </c>
      <c r="Y127" s="14">
        <f>Returns!J127-N127</f>
        <v>3.9637093199285295E-2</v>
      </c>
      <c r="Z127" s="14">
        <f>Returns!K127-O127</f>
        <v>-2.4371971178573482E-2</v>
      </c>
    </row>
    <row r="128" spans="1:26" x14ac:dyDescent="0.2">
      <c r="A128" s="6">
        <f>Returns!A128</f>
        <v>45814</v>
      </c>
      <c r="B128" s="14">
        <f t="array" ref="B128:D128">MMULT(Returns!B128:K128,Exposures!$B$32:$D$41)</f>
        <v>2.2677252431239792E-2</v>
      </c>
      <c r="C128" s="14">
        <v>-1.76524312397974E-2</v>
      </c>
      <c r="D128" s="14">
        <v>2.0711806825630726E-2</v>
      </c>
      <c r="F128" s="14">
        <f>SUMPRODUCT($B128:$D128,Exposures!$B$2:$D$2)</f>
        <v>3.9604343874442116E-2</v>
      </c>
      <c r="G128" s="14">
        <f>SUMPRODUCT($B128:$D128,Exposures!$B$3:$D$3)</f>
        <v>2.8170336412034397E-2</v>
      </c>
      <c r="H128" s="14">
        <f>SUMPRODUCT($B128:$D128,Exposures!$B$4:$D$4)</f>
        <v>3.7667458167764858E-2</v>
      </c>
      <c r="I128" s="14">
        <f>SUMPRODUCT($B128:$D128,Exposures!$B$5:$D$5)</f>
        <v>2.9345387830700884E-2</v>
      </c>
      <c r="J128" s="14">
        <f>SUMPRODUCT($B128:$D128,Exposures!$B$6:$D$6)</f>
        <v>3.9296249822807224E-2</v>
      </c>
      <c r="K128" s="14">
        <f>SUMPRODUCT($B128:$D128,Exposures!$B$7:$D$7)</f>
        <v>7.1759921621881495E-2</v>
      </c>
      <c r="L128" s="14">
        <f>SUMPRODUCT($B128:$D128,Exposures!$B$8:$D$8)</f>
        <v>-6.9289957487583265E-3</v>
      </c>
      <c r="M128" s="14">
        <f>SUMPRODUCT($B128:$D128,Exposures!$B$9:$D$9)</f>
        <v>-2.0133412436644921E-2</v>
      </c>
      <c r="N128" s="14">
        <f>SUMPRODUCT($B128:$D128,Exposures!$B$10:$D$10)</f>
        <v>-5.417697387448836E-3</v>
      </c>
      <c r="O128" s="14">
        <f>SUMPRODUCT($B128:$D128,Exposures!$B$11:$D$11)</f>
        <v>1.3232407843221071E-2</v>
      </c>
      <c r="Q128" s="14">
        <f>Returns!B128-F128</f>
        <v>4.0160656125557886E-2</v>
      </c>
      <c r="R128" s="14">
        <f>Returns!C128-G128</f>
        <v>-1.2828336412034397E-2</v>
      </c>
      <c r="S128" s="14">
        <f>Returns!D128-H128</f>
        <v>-3.720445816776486E-2</v>
      </c>
      <c r="T128" s="14">
        <f>Returns!E128-I128</f>
        <v>5.5506121692991198E-3</v>
      </c>
      <c r="U128" s="14">
        <f>Returns!F128-J128</f>
        <v>2.1670750177192777E-2</v>
      </c>
      <c r="V128" s="14">
        <f>Returns!G128-K128</f>
        <v>-5.4049216218814977E-3</v>
      </c>
      <c r="W128" s="14">
        <f>Returns!H128-L128</f>
        <v>-4.2784004251241674E-2</v>
      </c>
      <c r="X128" s="14">
        <f>Returns!I128-M128</f>
        <v>9.7004124366449219E-3</v>
      </c>
      <c r="Y128" s="14">
        <f>Returns!J128-N128</f>
        <v>4.4784697387448835E-2</v>
      </c>
      <c r="Z128" s="14">
        <f>Returns!K128-O128</f>
        <v>-2.364540784322107E-2</v>
      </c>
    </row>
    <row r="129" spans="1:26" x14ac:dyDescent="0.2">
      <c r="A129" s="6">
        <f>Returns!A129</f>
        <v>45821</v>
      </c>
      <c r="B129" s="14">
        <f t="array" ref="B129:D129">MMULT(Returns!B129:K129,Exposures!$B$32:$D$41)</f>
        <v>1.7159525025097665E-2</v>
      </c>
      <c r="C129" s="14">
        <v>1.7574974902337403E-2</v>
      </c>
      <c r="D129" s="14">
        <v>-1.6323191360792525E-2</v>
      </c>
      <c r="F129" s="14">
        <f>SUMPRODUCT($B129:$D129,Exposures!$B$2:$D$2)</f>
        <v>4.9912384105817824E-3</v>
      </c>
      <c r="G129" s="14">
        <f>SUMPRODUCT($B129:$D129,Exposures!$B$3:$D$3)</f>
        <v>1.5687437483383793E-2</v>
      </c>
      <c r="H129" s="14">
        <f>SUMPRODUCT($B129:$D129,Exposures!$B$4:$D$4)</f>
        <v>4.9426672285412601E-3</v>
      </c>
      <c r="I129" s="14">
        <f>SUMPRODUCT($B129:$D129,Exposures!$B$5:$D$5)</f>
        <v>7.9849847824642311E-3</v>
      </c>
      <c r="J129" s="14">
        <f>SUMPRODUCT($B129:$D129,Exposures!$B$6:$D$6)</f>
        <v>2.6333848736135928E-3</v>
      </c>
      <c r="K129" s="14">
        <f>SUMPRODUCT($B129:$D129,Exposures!$B$7:$D$7)</f>
        <v>-2.5991788865608028E-2</v>
      </c>
      <c r="L129" s="14">
        <f>SUMPRODUCT($B129:$D129,Exposures!$B$8:$D$8)</f>
        <v>4.1994311404711923E-2</v>
      </c>
      <c r="M129" s="14">
        <f>SUMPRODUCT($B129:$D129,Exposures!$B$9:$D$9)</f>
        <v>5.965341078250784E-2</v>
      </c>
      <c r="N129" s="14">
        <f>SUMPRODUCT($B129:$D129,Exposures!$B$10:$D$10)</f>
        <v>3.765313928682483E-2</v>
      </c>
      <c r="O129" s="14">
        <f>SUMPRODUCT($B129:$D129,Exposures!$B$11:$D$11)</f>
        <v>2.2222214612978804E-2</v>
      </c>
      <c r="Q129" s="14">
        <f>Returns!B129-F129</f>
        <v>-1.0528238410581783E-2</v>
      </c>
      <c r="R129" s="14">
        <f>Returns!C129-G129</f>
        <v>2.7708562516616204E-2</v>
      </c>
      <c r="S129" s="14">
        <f>Returns!D129-H129</f>
        <v>1.0298332771458739E-2</v>
      </c>
      <c r="T129" s="14">
        <f>Returns!E129-I129</f>
        <v>-2.6834984782464232E-2</v>
      </c>
      <c r="U129" s="14">
        <f>Returns!F129-J129</f>
        <v>-2.582384873613593E-3</v>
      </c>
      <c r="V129" s="14">
        <f>Returns!G129-K129</f>
        <v>-3.4462111343919709E-3</v>
      </c>
      <c r="W129" s="14">
        <f>Returns!H129-L129</f>
        <v>-1.0098311404711922E-2</v>
      </c>
      <c r="X129" s="14">
        <f>Returns!I129-M129</f>
        <v>-1.3292410782507841E-2</v>
      </c>
      <c r="Y129" s="14">
        <f>Returns!J129-N129</f>
        <v>1.788786071317517E-2</v>
      </c>
      <c r="Z129" s="14">
        <f>Returns!K129-O129</f>
        <v>1.0887785387021197E-2</v>
      </c>
    </row>
    <row r="130" spans="1:26" x14ac:dyDescent="0.2">
      <c r="A130" s="6">
        <f>Returns!A130</f>
        <v>45828</v>
      </c>
      <c r="B130" s="14">
        <f t="array" ref="B130:D130">MMULT(Returns!B130:K130,Exposures!$B$32:$D$41)</f>
        <v>-1.2933792446995189E-2</v>
      </c>
      <c r="C130" s="14">
        <v>3.9924469951841558E-3</v>
      </c>
      <c r="D130" s="14">
        <v>4.104353228941271E-2</v>
      </c>
      <c r="F130" s="14">
        <f>SUMPRODUCT($B130:$D130,Exposures!$B$2:$D$2)</f>
        <v>3.3081240786923594E-2</v>
      </c>
      <c r="G130" s="14">
        <f>SUMPRODUCT($B130:$D130,Exposures!$B$3:$D$3)</f>
        <v>2.8350801238402275E-2</v>
      </c>
      <c r="H130" s="14">
        <f>SUMPRODUCT($B130:$D130,Exposures!$B$4:$D$4)</f>
        <v>1.2484463725864562E-2</v>
      </c>
      <c r="I130" s="14">
        <f>SUMPRODUCT($B130:$D130,Exposures!$B$5:$D$5)</f>
        <v>-4.1421394782595732E-2</v>
      </c>
      <c r="J130" s="14">
        <f>SUMPRODUCT($B130:$D130,Exposures!$B$6:$D$6)</f>
        <v>4.7996134009069633E-3</v>
      </c>
      <c r="K130" s="14">
        <f>SUMPRODUCT($B130:$D130,Exposures!$B$7:$D$7)</f>
        <v>3.6783320163799052E-2</v>
      </c>
      <c r="L130" s="14">
        <f>SUMPRODUCT($B130:$D130,Exposures!$B$8:$D$8)</f>
        <v>-5.5623904051535417E-2</v>
      </c>
      <c r="M130" s="14">
        <f>SUMPRODUCT($B130:$D130,Exposures!$B$9:$D$9)</f>
        <v>-4.6231500971874364E-3</v>
      </c>
      <c r="N130" s="14">
        <f>SUMPRODUCT($B130:$D130,Exposures!$B$10:$D$10)</f>
        <v>-8.6146139778406169E-2</v>
      </c>
      <c r="O130" s="14">
        <f>SUMPRODUCT($B130:$D130,Exposures!$B$11:$D$11)</f>
        <v>-5.6982850606171725E-2</v>
      </c>
      <c r="Q130" s="14">
        <f>Returns!B130-F130</f>
        <v>-4.8075240786923594E-2</v>
      </c>
      <c r="R130" s="14">
        <f>Returns!C130-G130</f>
        <v>-3.7248012384022769E-3</v>
      </c>
      <c r="S130" s="14">
        <f>Returns!D130-H130</f>
        <v>3.3081536274135438E-2</v>
      </c>
      <c r="T130" s="14">
        <f>Returns!E130-I130</f>
        <v>3.8836394782595735E-2</v>
      </c>
      <c r="U130" s="14">
        <f>Returns!F130-J130</f>
        <v>2.8447386599093037E-2</v>
      </c>
      <c r="V130" s="14">
        <f>Returns!G130-K130</f>
        <v>-9.9883201637990526E-3</v>
      </c>
      <c r="W130" s="14">
        <f>Returns!H130-L130</f>
        <v>-1.3229095948464581E-2</v>
      </c>
      <c r="X130" s="14">
        <f>Returns!I130-M130</f>
        <v>1.7005150097187435E-2</v>
      </c>
      <c r="Y130" s="14">
        <f>Returns!J130-N130</f>
        <v>-1.7788602215938337E-3</v>
      </c>
      <c r="Z130" s="14">
        <f>Returns!K130-O130</f>
        <v>-4.0574149393828279E-2</v>
      </c>
    </row>
    <row r="131" spans="1:26" x14ac:dyDescent="0.2">
      <c r="A131" s="6">
        <f>Returns!A131</f>
        <v>45835</v>
      </c>
      <c r="B131" s="14">
        <f t="array" ref="B131:D131">MMULT(Returns!B131:K131,Exposures!$B$32:$D$41)</f>
        <v>-1.6814218514895632E-2</v>
      </c>
      <c r="C131" s="14">
        <v>2.6618514895630527E-2</v>
      </c>
      <c r="D131" s="14">
        <v>1.1340570339635181E-3</v>
      </c>
      <c r="F131" s="14">
        <f>SUMPRODUCT($B131:$D131,Exposures!$B$2:$D$2)</f>
        <v>-7.060171581273627E-3</v>
      </c>
      <c r="G131" s="14">
        <f>SUMPRODUCT($B131:$D131,Exposures!$B$3:$D$3)</f>
        <v>5.002896145282253E-3</v>
      </c>
      <c r="H131" s="14">
        <f>SUMPRODUCT($B131:$D131,Exposures!$B$4:$D$4)</f>
        <v>-1.9027799222017971E-2</v>
      </c>
      <c r="I131" s="14">
        <f>SUMPRODUCT($B131:$D131,Exposures!$B$5:$D$5)</f>
        <v>-4.5965123103258773E-2</v>
      </c>
      <c r="J131" s="14">
        <f>SUMPRODUCT($B131:$D131,Exposures!$B$6:$D$6)</f>
        <v>-2.6662432518228682E-2</v>
      </c>
      <c r="K131" s="14">
        <f>SUMPRODUCT($B131:$D131,Exposures!$B$7:$D$7)</f>
        <v>-4.7780510832393396E-2</v>
      </c>
      <c r="L131" s="14">
        <f>SUMPRODUCT($B131:$D131,Exposures!$B$8:$D$8)</f>
        <v>-7.1254090043677172E-3</v>
      </c>
      <c r="M131" s="14">
        <f>SUMPRODUCT($B131:$D131,Exposures!$B$9:$D$9)</f>
        <v>4.6770010374642429E-2</v>
      </c>
      <c r="N131" s="14">
        <f>SUMPRODUCT($B131:$D131,Exposures!$B$10:$D$10)</f>
        <v>-3.0765809457025891E-2</v>
      </c>
      <c r="O131" s="14">
        <f>SUMPRODUCT($B131:$D131,Exposures!$B$11:$D$11)</f>
        <v>-3.5261650801358631E-2</v>
      </c>
      <c r="Q131" s="14">
        <f>Returns!B131-F131</f>
        <v>2.7551171581273626E-2</v>
      </c>
      <c r="R131" s="14">
        <f>Returns!C131-G131</f>
        <v>-1.9624896145282254E-2</v>
      </c>
      <c r="S131" s="14">
        <f>Returns!D131-H131</f>
        <v>6.4979922201797297E-4</v>
      </c>
      <c r="T131" s="14">
        <f>Returns!E131-I131</f>
        <v>4.5131231032587704E-3</v>
      </c>
      <c r="U131" s="14">
        <f>Returns!F131-J131</f>
        <v>-1.0691567481771316E-2</v>
      </c>
      <c r="V131" s="14">
        <f>Returns!G131-K131</f>
        <v>-1.7069489167606609E-2</v>
      </c>
      <c r="W131" s="14">
        <f>Returns!H131-L131</f>
        <v>6.5174090043677172E-3</v>
      </c>
      <c r="X131" s="14">
        <f>Returns!I131-M131</f>
        <v>-5.4501037464242674E-4</v>
      </c>
      <c r="Y131" s="14">
        <f>Returns!J131-N131</f>
        <v>-4.6589190542974099E-2</v>
      </c>
      <c r="Z131" s="14">
        <f>Returns!K131-O131</f>
        <v>5.5288650801358627E-2</v>
      </c>
    </row>
    <row r="132" spans="1:26" x14ac:dyDescent="0.2">
      <c r="A132" s="6">
        <f>Returns!A132</f>
        <v>45842</v>
      </c>
      <c r="B132" s="14">
        <f t="array" ref="B132:D132">MMULT(Returns!B132:K132,Exposures!$B$32:$D$41)</f>
        <v>8.2048548823918377E-3</v>
      </c>
      <c r="C132" s="14">
        <v>-2.4454882391838222E-2</v>
      </c>
      <c r="D132" s="14">
        <v>-3.3014083386096503E-3</v>
      </c>
      <c r="F132" s="14">
        <f>SUMPRODUCT($B132:$D132,Exposures!$B$2:$D$2)</f>
        <v>-3.2192425720809128E-3</v>
      </c>
      <c r="G132" s="14">
        <f>SUMPRODUCT($B132:$D132,Exposures!$B$3:$D$3)</f>
        <v>-1.3940263138148952E-2</v>
      </c>
      <c r="H132" s="14">
        <f>SUMPRODUCT($B132:$D132,Exposures!$B$4:$D$4)</f>
        <v>8.8150046921699633E-3</v>
      </c>
      <c r="I132" s="14">
        <f>SUMPRODUCT($B132:$D132,Exposures!$B$5:$D$5)</f>
        <v>3.6319409961438433E-2</v>
      </c>
      <c r="J132" s="14">
        <f>SUMPRODUCT($B132:$D132,Exposures!$B$6:$D$6)</f>
        <v>1.6190597096062211E-2</v>
      </c>
      <c r="K132" s="14">
        <f>SUMPRODUCT($B132:$D132,Exposures!$B$7:$D$7)</f>
        <v>3.3648938310083636E-2</v>
      </c>
      <c r="L132" s="14">
        <f>SUMPRODUCT($B132:$D132,Exposures!$B$8:$D$8)</f>
        <v>1.7438741074365899E-3</v>
      </c>
      <c r="M132" s="14">
        <f>SUMPRODUCT($B132:$D132,Exposures!$B$9:$D$9)</f>
        <v>-5.0143271783943226E-2</v>
      </c>
      <c r="N132" s="14">
        <f>SUMPRODUCT($B132:$D132,Exposures!$B$10:$D$10)</f>
        <v>2.4954002467899833E-2</v>
      </c>
      <c r="O132" s="14">
        <f>SUMPRODUCT($B132:$D132,Exposures!$B$11:$D$11)</f>
        <v>2.743495085908243E-2</v>
      </c>
      <c r="Q132" s="14">
        <f>Returns!B132-F132</f>
        <v>-2.9502757427919087E-2</v>
      </c>
      <c r="R132" s="14">
        <f>Returns!C132-G132</f>
        <v>-2.0063736861851048E-2</v>
      </c>
      <c r="S132" s="14">
        <f>Returns!D132-H132</f>
        <v>1.8806995307830039E-2</v>
      </c>
      <c r="T132" s="14">
        <f>Returns!E132-I132</f>
        <v>-1.6270409961438432E-2</v>
      </c>
      <c r="U132" s="14">
        <f>Returns!F132-J132</f>
        <v>-3.8803597096062209E-2</v>
      </c>
      <c r="V132" s="14">
        <f>Returns!G132-K132</f>
        <v>4.2514061689916359E-2</v>
      </c>
      <c r="W132" s="14">
        <f>Returns!H132-L132</f>
        <v>-2.5110874107436589E-2</v>
      </c>
      <c r="X132" s="14">
        <f>Returns!I132-M132</f>
        <v>3.3343271783943224E-2</v>
      </c>
      <c r="Y132" s="14">
        <f>Returns!J132-N132</f>
        <v>-5.2300246789983157E-4</v>
      </c>
      <c r="Z132" s="14">
        <f>Returns!K132-O132</f>
        <v>3.5610049140917574E-2</v>
      </c>
    </row>
    <row r="133" spans="1:26" x14ac:dyDescent="0.2">
      <c r="A133" s="6">
        <f>Returns!A133</f>
        <v>45849</v>
      </c>
      <c r="B133" s="14">
        <f t="array" ref="B133:D133">MMULT(Returns!B133:K133,Exposures!$B$32:$D$41)</f>
        <v>3.5105251102440053E-2</v>
      </c>
      <c r="C133" s="14">
        <v>-6.5511024400526953E-3</v>
      </c>
      <c r="D133" s="14">
        <v>-6.4703935225165158E-3</v>
      </c>
      <c r="F133" s="14">
        <f>SUMPRODUCT($B133:$D133,Exposures!$B$2:$D$2)</f>
        <v>2.5956169382080185E-2</v>
      </c>
      <c r="G133" s="14">
        <f>SUMPRODUCT($B133:$D133,Exposures!$B$3:$D$3)</f>
        <v>2.3977925223258593E-2</v>
      </c>
      <c r="H133" s="14">
        <f>SUMPRODUCT($B133:$D133,Exposures!$B$4:$D$4)</f>
        <v>3.1749524451660446E-2</v>
      </c>
      <c r="I133" s="14">
        <f>SUMPRODUCT($B133:$D133,Exposures!$B$5:$D$5)</f>
        <v>4.5932462891581184E-2</v>
      </c>
      <c r="J133" s="14">
        <f>SUMPRODUCT($B133:$D133,Exposures!$B$6:$D$6)</f>
        <v>3.4619096098477839E-2</v>
      </c>
      <c r="K133" s="14">
        <f>SUMPRODUCT($B133:$D133,Exposures!$B$7:$D$7)</f>
        <v>3.4491972694357373E-2</v>
      </c>
      <c r="L133" s="14">
        <f>SUMPRODUCT($B133:$D133,Exposures!$B$8:$D$8)</f>
        <v>3.9407324106336288E-2</v>
      </c>
      <c r="M133" s="14">
        <f>SUMPRODUCT($B133:$D133,Exposures!$B$9:$D$9)</f>
        <v>1.9642228076389608E-2</v>
      </c>
      <c r="N133" s="14">
        <f>SUMPRODUCT($B133:$D133,Exposures!$B$10:$D$10)</f>
        <v>4.9311731929642506E-2</v>
      </c>
      <c r="O133" s="14">
        <f>SUMPRODUCT($B133:$D133,Exposures!$B$11:$D$11)</f>
        <v>4.5898565146215986E-2</v>
      </c>
      <c r="Q133" s="14">
        <f>Returns!B133-F133</f>
        <v>-4.8801693820801836E-3</v>
      </c>
      <c r="R133" s="14">
        <f>Returns!C133-G133</f>
        <v>2.542507477674141E-2</v>
      </c>
      <c r="S133" s="14">
        <f>Returns!D133-H133</f>
        <v>-2.6507524451660446E-2</v>
      </c>
      <c r="T133" s="14">
        <f>Returns!E133-I133</f>
        <v>2.4735371084188135E-3</v>
      </c>
      <c r="U133" s="14">
        <f>Returns!F133-J133</f>
        <v>-1.829109609847784E-2</v>
      </c>
      <c r="V133" s="14">
        <f>Returns!G133-K133</f>
        <v>4.6320273056426262E-3</v>
      </c>
      <c r="W133" s="14">
        <f>Returns!H133-L133</f>
        <v>2.3906675893663708E-2</v>
      </c>
      <c r="X133" s="14">
        <f>Returns!I133-M133</f>
        <v>-8.581228076389608E-3</v>
      </c>
      <c r="Y133" s="14">
        <f>Returns!J133-N133</f>
        <v>-4.0646731929642507E-2</v>
      </c>
      <c r="Z133" s="14">
        <f>Returns!K133-O133</f>
        <v>4.2469434853784016E-2</v>
      </c>
    </row>
    <row r="134" spans="1:26" x14ac:dyDescent="0.2">
      <c r="A134" s="6">
        <f>Returns!A134</f>
        <v>45856</v>
      </c>
      <c r="B134" s="14">
        <f t="array" ref="B134:D134">MMULT(Returns!B134:K134,Exposures!$B$32:$D$41)</f>
        <v>1.0082585909278335E-2</v>
      </c>
      <c r="C134" s="14">
        <v>-2.0985909278336119E-2</v>
      </c>
      <c r="D134" s="14">
        <v>5.335835693798462E-3</v>
      </c>
      <c r="F134" s="14">
        <f>SUMPRODUCT($B134:$D134,Exposures!$B$2:$D$2)</f>
        <v>9.1831558464511003E-3</v>
      </c>
      <c r="G134" s="14">
        <f>SUMPRODUCT($B134:$D134,Exposures!$B$3:$D$3)</f>
        <v>-1.3240961325912673E-3</v>
      </c>
      <c r="H134" s="14">
        <f>SUMPRODUCT($B134:$D134,Exposures!$B$4:$D$4)</f>
        <v>1.5752612416988339E-2</v>
      </c>
      <c r="I134" s="14">
        <f>SUMPRODUCT($B134:$D134,Exposures!$B$5:$D$5)</f>
        <v>2.9389365777756887E-2</v>
      </c>
      <c r="J134" s="14">
        <f>SUMPRODUCT($B134:$D134,Exposures!$B$6:$D$6)</f>
        <v>2.0774933303914694E-2</v>
      </c>
      <c r="K134" s="14">
        <f>SUMPRODUCT($B134:$D134,Exposures!$B$7:$D$7)</f>
        <v>4.2782056701600353E-2</v>
      </c>
      <c r="L134" s="14">
        <f>SUMPRODUCT($B134:$D134,Exposures!$B$8:$D$8)</f>
        <v>-4.2843394441418135E-3</v>
      </c>
      <c r="M134" s="14">
        <f>SUMPRODUCT($B134:$D134,Exposures!$B$9:$D$9)</f>
        <v>-4.0233812336758941E-2</v>
      </c>
      <c r="N134" s="14">
        <f>SUMPRODUCT($B134:$D134,Exposures!$B$10:$D$10)</f>
        <v>1.0241890977320265E-2</v>
      </c>
      <c r="O134" s="14">
        <f>SUMPRODUCT($B134:$D134,Exposures!$B$11:$D$11)</f>
        <v>1.8334232889460365E-2</v>
      </c>
      <c r="Q134" s="14">
        <f>Returns!B134-F134</f>
        <v>2.4684415354889883E-4</v>
      </c>
      <c r="R134" s="14">
        <f>Returns!C134-G134</f>
        <v>-2.0363903867408731E-2</v>
      </c>
      <c r="S134" s="14">
        <f>Returns!D134-H134</f>
        <v>1.6040387583011663E-2</v>
      </c>
      <c r="T134" s="14">
        <f>Returns!E134-I134</f>
        <v>-3.326336577775689E-2</v>
      </c>
      <c r="U134" s="14">
        <f>Returns!F134-J134</f>
        <v>1.1516066696085306E-2</v>
      </c>
      <c r="V134" s="14">
        <f>Returns!G134-K134</f>
        <v>8.2319432983996438E-3</v>
      </c>
      <c r="W134" s="14">
        <f>Returns!H134-L134</f>
        <v>-2.9766605558581866E-3</v>
      </c>
      <c r="X134" s="14">
        <f>Returns!I134-M134</f>
        <v>2.5388123367589416E-3</v>
      </c>
      <c r="Y134" s="14">
        <f>Returns!J134-N134</f>
        <v>1.6919109022679735E-2</v>
      </c>
      <c r="Z134" s="14">
        <f>Returns!K134-O134</f>
        <v>1.1107671105396351E-3</v>
      </c>
    </row>
    <row r="135" spans="1:26" x14ac:dyDescent="0.2">
      <c r="A135" s="6">
        <f>Returns!A135</f>
        <v>45863</v>
      </c>
      <c r="B135" s="14">
        <f t="array" ref="B135:D135">MMULT(Returns!B135:K135,Exposures!$B$32:$D$41)</f>
        <v>-2.1522877712900436E-2</v>
      </c>
      <c r="C135" s="14">
        <v>-8.4222870995644371E-3</v>
      </c>
      <c r="D135" s="14">
        <v>-1.5515198399817952E-2</v>
      </c>
      <c r="F135" s="14">
        <f>SUMPRODUCT($B135:$D135,Exposures!$B$2:$D$2)</f>
        <v>-4.1129575840562628E-2</v>
      </c>
      <c r="G135" s="14">
        <f>SUMPRODUCT($B135:$D135,Exposures!$B$3:$D$3)</f>
        <v>-4.2521396162391395E-2</v>
      </c>
      <c r="H135" s="14">
        <f>SUMPRODUCT($B135:$D135,Exposures!$B$4:$D$4)</f>
        <v>-3.037100112383366E-2</v>
      </c>
      <c r="I135" s="14">
        <f>SUMPRODUCT($B135:$D135,Exposures!$B$5:$D$5)</f>
        <v>-3.3570634604738955E-3</v>
      </c>
      <c r="J135" s="14">
        <f>SUMPRODUCT($B135:$D135,Exposures!$B$6:$D$6)</f>
        <v>-2.5530328991984742E-2</v>
      </c>
      <c r="K135" s="14">
        <f>SUMPRODUCT($B135:$D135,Exposures!$B$7:$D$7)</f>
        <v>-3.1882901323189702E-2</v>
      </c>
      <c r="L135" s="14">
        <f>SUMPRODUCT($B135:$D135,Exposures!$B$8:$D$8)</f>
        <v>-8.2196011519184639E-3</v>
      </c>
      <c r="M135" s="14">
        <f>SUMPRODUCT($B135:$D135,Exposures!$B$9:$D$9)</f>
        <v>-4.1186687928864908E-2</v>
      </c>
      <c r="N135" s="14">
        <f>SUMPRODUCT($B135:$D135,Exposures!$B$10:$D$10)</f>
        <v>9.2635966975867963E-3</v>
      </c>
      <c r="O135" s="14">
        <f>SUMPRODUCT($B135:$D135,Exposures!$B$11:$D$11)</f>
        <v>-3.7804071436742248E-4</v>
      </c>
      <c r="Q135" s="14">
        <f>Returns!B135-F135</f>
        <v>2.9865758405626247E-3</v>
      </c>
      <c r="R135" s="14">
        <f>Returns!C135-G135</f>
        <v>4.2808396162391397E-2</v>
      </c>
      <c r="S135" s="14">
        <f>Returns!D135-H135</f>
        <v>-5.1809998876166344E-2</v>
      </c>
      <c r="T135" s="14">
        <f>Returns!E135-I135</f>
        <v>-1.0338936539526104E-2</v>
      </c>
      <c r="U135" s="14">
        <f>Returns!F135-J135</f>
        <v>6.8273289919847414E-3</v>
      </c>
      <c r="V135" s="14">
        <f>Returns!G135-K135</f>
        <v>7.9329013231897033E-3</v>
      </c>
      <c r="W135" s="14">
        <f>Returns!H135-L135</f>
        <v>1.5541601151918464E-2</v>
      </c>
      <c r="X135" s="14">
        <f>Returns!I135-M135</f>
        <v>-1.866831207113509E-2</v>
      </c>
      <c r="Y135" s="14">
        <f>Returns!J135-N135</f>
        <v>1.2731403302413204E-2</v>
      </c>
      <c r="Z135" s="14">
        <f>Returns!K135-O135</f>
        <v>-8.0109592856325781E-3</v>
      </c>
    </row>
    <row r="136" spans="1:26" x14ac:dyDescent="0.2">
      <c r="A136" s="6">
        <f>Returns!A136</f>
        <v>45870</v>
      </c>
      <c r="B136" s="14">
        <f t="array" ref="B136:D136">MMULT(Returns!B136:K136,Exposures!$B$32:$D$41)</f>
        <v>-1.3418648265027854E-2</v>
      </c>
      <c r="C136" s="14">
        <v>6.5482650278560067E-3</v>
      </c>
      <c r="D136" s="14">
        <v>-3.2119112106164242E-2</v>
      </c>
      <c r="F136" s="14">
        <f>SUMPRODUCT($B136:$D136,Exposures!$B$2:$D$2)</f>
        <v>-4.6333035651832957E-2</v>
      </c>
      <c r="G136" s="14">
        <f>SUMPRODUCT($B136:$D136,Exposures!$B$3:$D$3)</f>
        <v>-3.8181775802032913E-2</v>
      </c>
      <c r="H136" s="14">
        <f>SUMPRODUCT($B136:$D136,Exposures!$B$4:$D$4)</f>
        <v>-3.4373998044975485E-2</v>
      </c>
      <c r="I136" s="14">
        <f>SUMPRODUCT($B136:$D136,Exposures!$B$5:$D$5)</f>
        <v>-1.4750157021968802E-3</v>
      </c>
      <c r="J136" s="14">
        <f>SUMPRODUCT($B136:$D136,Exposures!$B$6:$D$6)</f>
        <v>-3.106845431578889E-2</v>
      </c>
      <c r="K136" s="14">
        <f>SUMPRODUCT($B136:$D136,Exposures!$B$7:$D$7)</f>
        <v>-6.4125950700210627E-2</v>
      </c>
      <c r="L136" s="14">
        <f>SUMPRODUCT($B136:$D136,Exposures!$B$8:$D$8)</f>
        <v>2.3954781471050492E-2</v>
      </c>
      <c r="M136" s="14">
        <f>SUMPRODUCT($B136:$D136,Exposures!$B$9:$D$9)</f>
        <v>3.1952785147329292E-3</v>
      </c>
      <c r="N136" s="14">
        <f>SUMPRODUCT($B136:$D136,Exposures!$B$10:$D$10)</f>
        <v>3.9521887537162723E-2</v>
      </c>
      <c r="O136" s="14">
        <f>SUMPRODUCT($B136:$D136,Exposures!$B$11:$D$11)</f>
        <v>1.4765282694091629E-2</v>
      </c>
      <c r="Q136" s="14">
        <f>Returns!B136-F136</f>
        <v>2.0460356518329573E-3</v>
      </c>
      <c r="R136" s="14">
        <f>Returns!C136-G136</f>
        <v>-2.1256224197967084E-2</v>
      </c>
      <c r="S136" s="14">
        <f>Returns!D136-H136</f>
        <v>-2.8890001955024516E-2</v>
      </c>
      <c r="T136" s="14">
        <f>Returns!E136-I136</f>
        <v>1.8810157021968803E-3</v>
      </c>
      <c r="U136" s="14">
        <f>Returns!F136-J136</f>
        <v>-8.3615456842111094E-3</v>
      </c>
      <c r="V136" s="14">
        <f>Returns!G136-K136</f>
        <v>3.8767950700210628E-2</v>
      </c>
      <c r="W136" s="14">
        <f>Returns!H136-L136</f>
        <v>4.163218528949509E-3</v>
      </c>
      <c r="X136" s="14">
        <f>Returns!I136-M136</f>
        <v>1.9997721485267069E-2</v>
      </c>
      <c r="Y136" s="14">
        <f>Returns!J136-N136</f>
        <v>1.9340112462837275E-2</v>
      </c>
      <c r="Z136" s="14">
        <f>Returns!K136-O136</f>
        <v>-2.7688282694091629E-2</v>
      </c>
    </row>
    <row r="137" spans="1:26" x14ac:dyDescent="0.2">
      <c r="A137" s="6">
        <f>Returns!A137</f>
        <v>45877</v>
      </c>
      <c r="B137" s="14">
        <f t="array" ref="B137:D137">MMULT(Returns!B137:K137,Exposures!$B$32:$D$41)</f>
        <v>-9.6112240190201065E-3</v>
      </c>
      <c r="C137" s="14">
        <v>6.2401902010692412E-4</v>
      </c>
      <c r="D137" s="14">
        <v>6.774047110220463E-3</v>
      </c>
      <c r="F137" s="14">
        <f>SUMPRODUCT($B137:$D137,Exposures!$B$2:$D$2)</f>
        <v>-2.0278265824455865E-3</v>
      </c>
      <c r="G137" s="14">
        <f>SUMPRODUCT($B137:$D137,Exposures!$B$3:$D$3)</f>
        <v>-2.8246253708316751E-3</v>
      </c>
      <c r="H137" s="14">
        <f>SUMPRODUCT($B137:$D137,Exposures!$B$4:$D$4)</f>
        <v>-5.4122164317929764E-3</v>
      </c>
      <c r="I137" s="14">
        <f>SUMPRODUCT($B137:$D137,Exposures!$B$5:$D$5)</f>
        <v>-1.4275612165564586E-2</v>
      </c>
      <c r="J137" s="14">
        <f>SUMPRODUCT($B137:$D137,Exposures!$B$6:$D$6)</f>
        <v>-6.6707892950581896E-3</v>
      </c>
      <c r="K137" s="14">
        <f>SUMPRODUCT($B137:$D137,Exposures!$B$7:$D$7)</f>
        <v>-1.3630445669573377E-3</v>
      </c>
      <c r="L137" s="14">
        <f>SUMPRODUCT($B137:$D137,Exposures!$B$8:$D$8)</f>
        <v>-1.6671347099814368E-2</v>
      </c>
      <c r="M137" s="14">
        <f>SUMPRODUCT($B137:$D137,Exposures!$B$9:$D$9)</f>
        <v>-8.3230399742711715E-3</v>
      </c>
      <c r="N137" s="14">
        <f>SUMPRODUCT($B137:$D137,Exposures!$B$10:$D$10)</f>
        <v>-2.1678874549851828E-2</v>
      </c>
      <c r="O137" s="14">
        <f>SUMPRODUCT($B137:$D137,Exposures!$B$11:$D$11)</f>
        <v>-1.6858623963412277E-2</v>
      </c>
      <c r="Q137" s="14">
        <f>Returns!B137-F137</f>
        <v>-3.8894173417554412E-2</v>
      </c>
      <c r="R137" s="14">
        <f>Returns!C137-G137</f>
        <v>1.1089625370831675E-2</v>
      </c>
      <c r="S137" s="14">
        <f>Returns!D137-H137</f>
        <v>-2.6037835682070241E-3</v>
      </c>
      <c r="T137" s="14">
        <f>Returns!E137-I137</f>
        <v>5.9566121655645864E-3</v>
      </c>
      <c r="U137" s="14">
        <f>Returns!F137-J137</f>
        <v>-1.3510210704941811E-2</v>
      </c>
      <c r="V137" s="14">
        <f>Returns!G137-K137</f>
        <v>2.8524044566957341E-2</v>
      </c>
      <c r="W137" s="14">
        <f>Returns!H137-L137</f>
        <v>6.4693470998143689E-3</v>
      </c>
      <c r="X137" s="14">
        <f>Returns!I137-M137</f>
        <v>1.2989039974271172E-2</v>
      </c>
      <c r="Y137" s="14">
        <f>Returns!J137-N137</f>
        <v>-3.9791254501481722E-3</v>
      </c>
      <c r="Z137" s="14">
        <f>Returns!K137-O137</f>
        <v>-6.0413760365877235E-3</v>
      </c>
    </row>
    <row r="138" spans="1:26" x14ac:dyDescent="0.2">
      <c r="A138" s="6">
        <f>Returns!A138</f>
        <v>45884</v>
      </c>
      <c r="B138" s="14">
        <f t="array" ref="B138:D138">MMULT(Returns!B138:K138,Exposures!$B$32:$D$41)</f>
        <v>-1.523029384452727E-2</v>
      </c>
      <c r="C138" s="14">
        <v>-2.5061554727291366E-3</v>
      </c>
      <c r="D138" s="14">
        <v>-9.7323040320158021E-3</v>
      </c>
      <c r="F138" s="14">
        <f>SUMPRODUCT($B138:$D138,Exposures!$B$2:$D$2)</f>
        <v>-2.664047499069782E-2</v>
      </c>
      <c r="G138" s="14">
        <f>SUMPRODUCT($B138:$D138,Exposures!$B$3:$D$3)</f>
        <v>-2.6236137863030692E-2</v>
      </c>
      <c r="H138" s="14">
        <f>SUMPRODUCT($B138:$D138,Exposures!$B$4:$D$4)</f>
        <v>-2.1085968282697022E-2</v>
      </c>
      <c r="I138" s="14">
        <f>SUMPRODUCT($B138:$D138,Exposures!$B$5:$D$5)</f>
        <v>-6.8066481098177705E-3</v>
      </c>
      <c r="J138" s="14">
        <f>SUMPRODUCT($B138:$D138,Exposures!$B$6:$D$6)</f>
        <v>-1.8827076105210332E-2</v>
      </c>
      <c r="K138" s="14">
        <f>SUMPRODUCT($B138:$D138,Exposures!$B$7:$D$7)</f>
        <v>-2.5116748530378742E-2</v>
      </c>
      <c r="L138" s="14">
        <f>SUMPRODUCT($B138:$D138,Exposures!$B$8:$D$8)</f>
        <v>-5.7469292337691495E-3</v>
      </c>
      <c r="M138" s="14">
        <f>SUMPRODUCT($B138:$D138,Exposures!$B$9:$D$9)</f>
        <v>-2.0928036303389432E-2</v>
      </c>
      <c r="N138" s="14">
        <f>SUMPRODUCT($B138:$D138,Exposures!$B$10:$D$10)</f>
        <v>2.831685133908338E-3</v>
      </c>
      <c r="O138" s="14">
        <f>SUMPRODUCT($B138:$D138,Exposures!$B$11:$D$11)</f>
        <v>-3.7716657149173705E-3</v>
      </c>
      <c r="Q138" s="14">
        <f>Returns!B138-F138</f>
        <v>-4.9475250093021783E-3</v>
      </c>
      <c r="R138" s="14">
        <f>Returns!C138-G138</f>
        <v>-4.5908621369693085E-3</v>
      </c>
      <c r="S138" s="14">
        <f>Returns!D138-H138</f>
        <v>2.0915968282697022E-2</v>
      </c>
      <c r="T138" s="14">
        <f>Returns!E138-I138</f>
        <v>-3.0504351890182226E-2</v>
      </c>
      <c r="U138" s="14">
        <f>Returns!F138-J138</f>
        <v>2.0415076105210331E-2</v>
      </c>
      <c r="V138" s="14">
        <f>Returns!G138-K138</f>
        <v>-1.7918251469621255E-2</v>
      </c>
      <c r="W138" s="14">
        <f>Returns!H138-L138</f>
        <v>1.341592923376915E-2</v>
      </c>
      <c r="X138" s="14">
        <f>Returns!I138-M138</f>
        <v>-1.197496369661057E-2</v>
      </c>
      <c r="Y138" s="14">
        <f>Returns!J138-N138</f>
        <v>-3.0403685133908336E-2</v>
      </c>
      <c r="Z138" s="14">
        <f>Returns!K138-O138</f>
        <v>4.5592665714917366E-2</v>
      </c>
    </row>
    <row r="139" spans="1:26" x14ac:dyDescent="0.2">
      <c r="A139" s="6">
        <f>Returns!A139</f>
        <v>45891</v>
      </c>
      <c r="B139" s="14">
        <f t="array" ref="B139:D139">MMULT(Returns!B139:K139,Exposures!$B$32:$D$41)</f>
        <v>-1.8555388488236978E-2</v>
      </c>
      <c r="C139" s="14">
        <v>-6.9115117630236325E-3</v>
      </c>
      <c r="D139" s="14">
        <v>-1.329149089908708E-2</v>
      </c>
      <c r="F139" s="14">
        <f>SUMPRODUCT($B139:$D139,Exposures!$B$2:$D$2)</f>
        <v>-3.5254797332409459E-2</v>
      </c>
      <c r="G139" s="14">
        <f>SUMPRODUCT($B139:$D139,Exposures!$B$3:$D$3)</f>
        <v>-3.6307454199546396E-2</v>
      </c>
      <c r="H139" s="14">
        <f>SUMPRODUCT($B139:$D139,Exposures!$B$4:$D$4)</f>
        <v>-2.6168761460729238E-2</v>
      </c>
      <c r="I139" s="14">
        <f>SUMPRODUCT($B139:$D139,Exposures!$B$5:$D$5)</f>
        <v>-3.3180912713403135E-3</v>
      </c>
      <c r="J139" s="14">
        <f>SUMPRODUCT($B139:$D139,Exposures!$B$6:$D$6)</f>
        <v>-2.210689962322869E-2</v>
      </c>
      <c r="K139" s="14">
        <f>SUMPRODUCT($B139:$D139,Exposures!$B$7:$D$7)</f>
        <v>-2.7801027033133963E-2</v>
      </c>
      <c r="L139" s="14">
        <f>SUMPRODUCT($B139:$D139,Exposures!$B$8:$D$8)</f>
        <v>-7.0342981400626208E-3</v>
      </c>
      <c r="M139" s="14">
        <f>SUMPRODUCT($B139:$D139,Exposures!$B$9:$D$9)</f>
        <v>-3.4675156874890846E-2</v>
      </c>
      <c r="N139" s="14">
        <f>SUMPRODUCT($B139:$D139,Exposures!$B$10:$D$10)</f>
        <v>7.6819859695351767E-3</v>
      </c>
      <c r="O139" s="14">
        <f>SUMPRODUCT($B139:$D139,Exposures!$B$11:$D$11)</f>
        <v>-6.3850003419366544E-4</v>
      </c>
      <c r="Q139" s="14">
        <f>Returns!B139-F139</f>
        <v>5.5467973324094602E-3</v>
      </c>
      <c r="R139" s="14">
        <f>Returns!C139-G139</f>
        <v>-1.1383545800453601E-2</v>
      </c>
      <c r="S139" s="14">
        <f>Returns!D139-H139</f>
        <v>-2.1456238539270762E-2</v>
      </c>
      <c r="T139" s="14">
        <f>Returns!E139-I139</f>
        <v>-2.6938908728659686E-2</v>
      </c>
      <c r="U139" s="14">
        <f>Returns!F139-J139</f>
        <v>4.1604899623228692E-2</v>
      </c>
      <c r="V139" s="14">
        <f>Returns!G139-K139</f>
        <v>-3.1697296686603732E-4</v>
      </c>
      <c r="W139" s="14">
        <f>Returns!H139-L139</f>
        <v>2.5936298140062618E-2</v>
      </c>
      <c r="X139" s="14">
        <f>Returns!I139-M139</f>
        <v>-8.4298431251091516E-3</v>
      </c>
      <c r="Y139" s="14">
        <f>Returns!J139-N139</f>
        <v>-8.4679859695351769E-3</v>
      </c>
      <c r="Z139" s="14">
        <f>Returns!K139-O139</f>
        <v>3.9055000341936654E-3</v>
      </c>
    </row>
    <row r="140" spans="1:26" x14ac:dyDescent="0.2">
      <c r="A140" s="6">
        <f>Returns!A140</f>
        <v>45898</v>
      </c>
      <c r="B140" s="14">
        <f t="array" ref="B140:D140">MMULT(Returns!B140:K140,Exposures!$B$32:$D$41)</f>
        <v>2.9345113242331272E-2</v>
      </c>
      <c r="C140" s="14">
        <v>-3.1913242331266953E-2</v>
      </c>
      <c r="D140" s="14">
        <v>5.8280563375060915E-3</v>
      </c>
      <c r="F140" s="14">
        <f>SUMPRODUCT($B140:$D140,Exposures!$B$2:$D$2)</f>
        <v>2.5485457104207486E-2</v>
      </c>
      <c r="G140" s="14">
        <f>SUMPRODUCT($B140:$D140,Exposures!$B$3:$D$3)</f>
        <v>9.872876617823715E-3</v>
      </c>
      <c r="H140" s="14">
        <f>SUMPRODUCT($B140:$D140,Exposures!$B$4:$D$4)</f>
        <v>3.6527245391399475E-2</v>
      </c>
      <c r="I140" s="14">
        <f>SUMPRODUCT($B140:$D140,Exposures!$B$5:$D$5)</f>
        <v>6.0053729297658308E-2</v>
      </c>
      <c r="J140" s="14">
        <f>SUMPRODUCT($B140:$D140,Exposures!$B$6:$D$6)</f>
        <v>4.4530464230153249E-2</v>
      </c>
      <c r="K140" s="14">
        <f>SUMPRODUCT($B140:$D140,Exposures!$B$7:$D$7)</f>
        <v>7.6030583815360056E-2</v>
      </c>
      <c r="L140" s="14">
        <f>SUMPRODUCT($B140:$D140,Exposures!$B$8:$D$8)</f>
        <v>9.9663830420052418E-3</v>
      </c>
      <c r="M140" s="14">
        <f>SUMPRODUCT($B140:$D140,Exposures!$B$9:$D$9)</f>
        <v>-4.7102377619521928E-2</v>
      </c>
      <c r="N140" s="14">
        <f>SUMPRODUCT($B140:$D140,Exposures!$B$10:$D$10)</f>
        <v>3.3565254264140802E-2</v>
      </c>
      <c r="O140" s="14">
        <f>SUMPRODUCT($B140:$D140,Exposures!$B$11:$D$11)</f>
        <v>4.4202383856773636E-2</v>
      </c>
      <c r="Q140" s="14">
        <f>Returns!B140-F140</f>
        <v>5.5290542895792515E-2</v>
      </c>
      <c r="R140" s="14">
        <f>Returns!C140-G140</f>
        <v>6.2771233821762862E-3</v>
      </c>
      <c r="S140" s="14">
        <f>Returns!D140-H140</f>
        <v>2.0836754608600523E-2</v>
      </c>
      <c r="T140" s="14">
        <f>Returns!E140-I140</f>
        <v>-1.7477729297658305E-2</v>
      </c>
      <c r="U140" s="14">
        <f>Returns!F140-J140</f>
        <v>-2.784446423015325E-2</v>
      </c>
      <c r="V140" s="14">
        <f>Returns!G140-K140</f>
        <v>-3.0037583815360057E-2</v>
      </c>
      <c r="W140" s="14">
        <f>Returns!H140-L140</f>
        <v>6.7976169579947593E-3</v>
      </c>
      <c r="X140" s="14">
        <f>Returns!I140-M140</f>
        <v>-3.3280622380478068E-2</v>
      </c>
      <c r="Y140" s="14">
        <f>Returns!J140-N140</f>
        <v>1.4425745735859197E-2</v>
      </c>
      <c r="Z140" s="14">
        <f>Returns!K140-O140</f>
        <v>5.0126161432263658E-3</v>
      </c>
    </row>
    <row r="141" spans="1:26" x14ac:dyDescent="0.2">
      <c r="A141" s="6">
        <f>Returns!A141</f>
        <v>45905</v>
      </c>
      <c r="B141" s="14">
        <f t="array" ref="B141:D141">MMULT(Returns!B141:K141,Exposures!$B$32:$D$41)</f>
        <v>5.647750089109952E-3</v>
      </c>
      <c r="C141" s="14">
        <v>-8.8500891099539871E-3</v>
      </c>
      <c r="D141" s="14">
        <v>1.6471587186062727E-2</v>
      </c>
      <c r="F141" s="14">
        <f>SUMPRODUCT($B141:$D141,Exposures!$B$2:$D$2)</f>
        <v>2.0769751606733049E-2</v>
      </c>
      <c r="G141" s="14">
        <f>SUMPRODUCT($B141:$D141,Exposures!$B$3:$D$3)</f>
        <v>1.406325666638418E-2</v>
      </c>
      <c r="H141" s="14">
        <f>SUMPRODUCT($B141:$D141,Exposures!$B$4:$D$4)</f>
        <v>1.6998359818424409E-2</v>
      </c>
      <c r="I141" s="14">
        <f>SUMPRODUCT($B141:$D141,Exposures!$B$5:$D$5)</f>
        <v>5.3991089969837106E-3</v>
      </c>
      <c r="J141" s="14">
        <f>SUMPRODUCT($B141:$D141,Exposures!$B$6:$D$6)</f>
        <v>1.6840930819441487E-2</v>
      </c>
      <c r="K141" s="14">
        <f>SUMPRODUCT($B141:$D141,Exposures!$B$7:$D$7)</f>
        <v>3.8352069760717242E-2</v>
      </c>
      <c r="L141" s="14">
        <f>SUMPRODUCT($B141:$D141,Exposures!$B$8:$D$8)</f>
        <v>-1.5770100606918927E-2</v>
      </c>
      <c r="M141" s="14">
        <f>SUMPRODUCT($B141:$D141,Exposures!$B$9:$D$9)</f>
        <v>-1.5998110499261958E-2</v>
      </c>
      <c r="N141" s="14">
        <f>SUMPRODUCT($B141:$D141,Exposures!$B$10:$D$10)</f>
        <v>-1.9030271515159895E-2</v>
      </c>
      <c r="O141" s="14">
        <f>SUMPRODUCT($B141:$D141,Exposures!$B$11:$D$11)</f>
        <v>-5.2359950473433101E-3</v>
      </c>
      <c r="Q141" s="14">
        <f>Returns!B141-F141</f>
        <v>-2.9003751606733047E-2</v>
      </c>
      <c r="R141" s="14">
        <f>Returns!C141-G141</f>
        <v>-4.661725666638418E-2</v>
      </c>
      <c r="S141" s="14">
        <f>Returns!D141-H141</f>
        <v>3.6236640181575588E-2</v>
      </c>
      <c r="T141" s="14">
        <f>Returns!E141-I141</f>
        <v>-1.0141089969837105E-3</v>
      </c>
      <c r="U141" s="14">
        <f>Returns!F141-J141</f>
        <v>6.1870691805585125E-3</v>
      </c>
      <c r="V141" s="14">
        <f>Returns!G141-K141</f>
        <v>2.0650930239282758E-2</v>
      </c>
      <c r="W141" s="14">
        <f>Returns!H141-L141</f>
        <v>-1.3678899393081072E-2</v>
      </c>
      <c r="X141" s="14">
        <f>Returns!I141-M141</f>
        <v>3.287111049926196E-2</v>
      </c>
      <c r="Y141" s="14">
        <f>Returns!J141-N141</f>
        <v>-2.3177284848401036E-3</v>
      </c>
      <c r="Z141" s="14">
        <f>Returns!K141-O141</f>
        <v>-3.3140049526566902E-3</v>
      </c>
    </row>
    <row r="142" spans="1:26" x14ac:dyDescent="0.2">
      <c r="A142" s="6">
        <f>Returns!A142</f>
        <v>45912</v>
      </c>
      <c r="B142" s="14">
        <f t="array" ref="B142:D142">MMULT(Returns!B142:K142,Exposures!$B$32:$D$41)</f>
        <v>-3.6394887283214953E-3</v>
      </c>
      <c r="C142" s="14">
        <v>-2.1112716785044216E-3</v>
      </c>
      <c r="D142" s="14">
        <v>3.5405849860813362E-3</v>
      </c>
      <c r="F142" s="14">
        <f>SUMPRODUCT($B142:$D142,Exposures!$B$2:$D$2)</f>
        <v>-4.5585803061425371E-4</v>
      </c>
      <c r="G142" s="14">
        <f>SUMPRODUCT($B142:$D142,Exposures!$B$3:$D$3)</f>
        <v>-1.9935366004993011E-3</v>
      </c>
      <c r="H142" s="14">
        <f>SUMPRODUCT($B142:$D142,Exposures!$B$4:$D$4)</f>
        <v>-1.1766803024547672E-3</v>
      </c>
      <c r="I142" s="14">
        <f>SUMPRODUCT($B142:$D142,Exposures!$B$5:$D$5)</f>
        <v>-3.4693731741097522E-3</v>
      </c>
      <c r="J142" s="14">
        <f>SUMPRODUCT($B142:$D142,Exposures!$B$6:$D$6)</f>
        <v>-1.1520178302465429E-3</v>
      </c>
      <c r="K142" s="14">
        <f>SUMPRODUCT($B142:$D142,Exposures!$B$7:$D$7)</f>
        <v>3.6452407509420764E-3</v>
      </c>
      <c r="L142" s="14">
        <f>SUMPRODUCT($B142:$D142,Exposures!$B$8:$D$8)</f>
        <v>-8.3289419014761518E-3</v>
      </c>
      <c r="M142" s="14">
        <f>SUMPRODUCT($B142:$D142,Exposures!$B$9:$D$9)</f>
        <v>-8.791645589529504E-3</v>
      </c>
      <c r="N142" s="14">
        <f>SUMPRODUCT($B142:$D142,Exposures!$B$10:$D$10)</f>
        <v>-8.8500343487760303E-3</v>
      </c>
      <c r="O142" s="14">
        <f>SUMPRODUCT($B142:$D142,Exposures!$B$11:$D$11)</f>
        <v>-5.8431529732357705E-3</v>
      </c>
      <c r="Q142" s="14">
        <f>Returns!B142-F142</f>
        <v>-1.5681419693857465E-3</v>
      </c>
      <c r="R142" s="14">
        <f>Returns!C142-G142</f>
        <v>4.5405366004993009E-3</v>
      </c>
      <c r="S142" s="14">
        <f>Returns!D142-H142</f>
        <v>3.7549680302454772E-2</v>
      </c>
      <c r="T142" s="14">
        <f>Returns!E142-I142</f>
        <v>-1.4876268258902474E-3</v>
      </c>
      <c r="U142" s="14">
        <f>Returns!F142-J142</f>
        <v>-5.7289821697534566E-3</v>
      </c>
      <c r="V142" s="14">
        <f>Returns!G142-K142</f>
        <v>-2.0789240750942076E-2</v>
      </c>
      <c r="W142" s="14">
        <f>Returns!H142-L142</f>
        <v>1.9404941901476153E-2</v>
      </c>
      <c r="X142" s="14">
        <f>Returns!I142-M142</f>
        <v>-1.7830354410470498E-2</v>
      </c>
      <c r="Y142" s="14">
        <f>Returns!J142-N142</f>
        <v>-1.2993965651223969E-2</v>
      </c>
      <c r="Z142" s="14">
        <f>Returns!K142-O142</f>
        <v>-1.0968470267642295E-3</v>
      </c>
    </row>
    <row r="143" spans="1:26" x14ac:dyDescent="0.2">
      <c r="A143" s="6">
        <f>Returns!A143</f>
        <v>45919</v>
      </c>
      <c r="B143" s="14">
        <f t="array" ref="B143:D143">MMULT(Returns!B143:K143,Exposures!$B$32:$D$41)</f>
        <v>-6.6525892818275244E-3</v>
      </c>
      <c r="C143" s="14">
        <v>1.3989281827523807E-2</v>
      </c>
      <c r="D143" s="14">
        <v>-4.0745765749918769E-3</v>
      </c>
      <c r="F143" s="14">
        <f>SUMPRODUCT($B143:$D143,Exposures!$B$2:$D$2)</f>
        <v>-6.617307563761052E-3</v>
      </c>
      <c r="G143" s="14">
        <f>SUMPRODUCT($B143:$D143,Exposures!$B$3:$D$3)</f>
        <v>4.6969432889860073E-4</v>
      </c>
      <c r="H143" s="14">
        <f>SUMPRODUCT($B143:$D143,Exposures!$B$4:$D$4)</f>
        <v>-1.0758393525100026E-2</v>
      </c>
      <c r="I143" s="14">
        <f>SUMPRODUCT($B143:$D143,Exposures!$B$5:$D$5)</f>
        <v>-1.9217120658032792E-2</v>
      </c>
      <c r="J143" s="14">
        <f>SUMPRODUCT($B143:$D143,Exposures!$B$6:$D$6)</f>
        <v>-1.4023460184807992E-2</v>
      </c>
      <c r="K143" s="14">
        <f>SUMPRODUCT($B143:$D143,Exposures!$B$7:$D$7)</f>
        <v>-2.9138699956145764E-2</v>
      </c>
      <c r="L143" s="14">
        <f>SUMPRODUCT($B143:$D143,Exposures!$B$8:$D$8)</f>
        <v>3.4835589684484632E-3</v>
      </c>
      <c r="M143" s="14">
        <f>SUMPRODUCT($B143:$D143,Exposures!$B$9:$D$9)</f>
        <v>2.6904031583204136E-2</v>
      </c>
      <c r="N143" s="14">
        <f>SUMPRODUCT($B143:$D143,Exposures!$B$10:$D$10)</f>
        <v>-5.8580028637273728E-3</v>
      </c>
      <c r="O143" s="14">
        <f>SUMPRODUCT($B143:$D143,Exposures!$B$11:$D$11)</f>
        <v>-1.1630300128976201E-2</v>
      </c>
      <c r="Q143" s="14">
        <f>Returns!B143-F143</f>
        <v>-2.736769243623895E-2</v>
      </c>
      <c r="R143" s="14">
        <f>Returns!C143-G143</f>
        <v>-2.3583694328898598E-2</v>
      </c>
      <c r="S143" s="14">
        <f>Returns!D143-H143</f>
        <v>-3.0686606474899979E-2</v>
      </c>
      <c r="T143" s="14">
        <f>Returns!E143-I143</f>
        <v>3.9115120658032791E-2</v>
      </c>
      <c r="U143" s="14">
        <f>Returns!F143-J143</f>
        <v>2.0607460184807989E-2</v>
      </c>
      <c r="V143" s="14">
        <f>Returns!G143-K143</f>
        <v>2.4729699956145764E-2</v>
      </c>
      <c r="W143" s="14">
        <f>Returns!H143-L143</f>
        <v>-2.7633558968448463E-2</v>
      </c>
      <c r="X143" s="14">
        <f>Returns!I143-M143</f>
        <v>4.3562968416795869E-2</v>
      </c>
      <c r="Y143" s="14">
        <f>Returns!J143-N143</f>
        <v>-5.6569971362726264E-3</v>
      </c>
      <c r="Z143" s="14">
        <f>Returns!K143-O143</f>
        <v>-1.3086699871023798E-2</v>
      </c>
    </row>
    <row r="144" spans="1:26" x14ac:dyDescent="0.2">
      <c r="A144" s="6">
        <f>Returns!A144</f>
        <v>45926</v>
      </c>
      <c r="B144" s="14">
        <f t="array" ref="B144:D144">MMULT(Returns!B144:K144,Exposures!$B$32:$D$41)</f>
        <v>3.2430388259330985E-2</v>
      </c>
      <c r="C144" s="14">
        <v>-1.5788259330982147E-2</v>
      </c>
      <c r="D144" s="14">
        <v>-8.6228373782650056E-3</v>
      </c>
      <c r="F144" s="14">
        <f>SUMPRODUCT($B144:$D144,Exposures!$B$2:$D$2)</f>
        <v>1.7979252531107839E-2</v>
      </c>
      <c r="G144" s="14">
        <f>SUMPRODUCT($B144:$D144,Exposures!$B$3:$D$3)</f>
        <v>1.2096307219378457E-2</v>
      </c>
      <c r="H144" s="14">
        <f>SUMPRODUCT($B144:$D144,Exposures!$B$4:$D$4)</f>
        <v>2.8734709237432071E-2</v>
      </c>
      <c r="I144" s="14">
        <f>SUMPRODUCT($B144:$D144,Exposures!$B$5:$D$5)</f>
        <v>5.4411299796658236E-2</v>
      </c>
      <c r="J144" s="14">
        <f>SUMPRODUCT($B144:$D144,Exposures!$B$6:$D$6)</f>
        <v>3.4535075830629473E-2</v>
      </c>
      <c r="K144" s="14">
        <f>SUMPRODUCT($B144:$D144,Exposures!$B$7:$D$7)</f>
        <v>4.0223690930036742E-2</v>
      </c>
      <c r="L144" s="14">
        <f>SUMPRODUCT($B144:$D144,Exposures!$B$8:$D$8)</f>
        <v>3.5269866302154514E-2</v>
      </c>
      <c r="M144" s="14">
        <f>SUMPRODUCT($B144:$D144,Exposures!$B$9:$D$9)</f>
        <v>-5.0448664203683984E-3</v>
      </c>
      <c r="N144" s="14">
        <f>SUMPRODUCT($B144:$D144,Exposures!$B$10:$D$10)</f>
        <v>5.4538841996454056E-2</v>
      </c>
      <c r="O144" s="14">
        <f>SUMPRODUCT($B144:$D144,Exposures!$B$11:$D$11)</f>
        <v>5.1401822576517035E-2</v>
      </c>
      <c r="Q144" s="14">
        <f>Returns!B144-F144</f>
        <v>8.8837474688921621E-3</v>
      </c>
      <c r="R144" s="14">
        <f>Returns!C144-G144</f>
        <v>1.1098692780621543E-2</v>
      </c>
      <c r="S144" s="14">
        <f>Returns!D144-H144</f>
        <v>4.2510290762567932E-2</v>
      </c>
      <c r="T144" s="14">
        <f>Returns!E144-I144</f>
        <v>-2.5751299796658234E-2</v>
      </c>
      <c r="U144" s="14">
        <f>Returns!F144-J144</f>
        <v>3.230192416937052E-2</v>
      </c>
      <c r="V144" s="14">
        <f>Returns!G144-K144</f>
        <v>-3.8329690930036742E-2</v>
      </c>
      <c r="W144" s="14">
        <f>Returns!H144-L144</f>
        <v>4.6791336978454848E-3</v>
      </c>
      <c r="X144" s="14">
        <f>Returns!I144-M144</f>
        <v>-3.2960133579631595E-2</v>
      </c>
      <c r="Y144" s="14">
        <f>Returns!J144-N144</f>
        <v>3.3665158003545949E-2</v>
      </c>
      <c r="Z144" s="14">
        <f>Returns!K144-O144</f>
        <v>-3.6097822576517037E-2</v>
      </c>
    </row>
    <row r="145" spans="1:26" x14ac:dyDescent="0.2">
      <c r="A145" s="6">
        <f>Returns!A145</f>
        <v>45933</v>
      </c>
      <c r="B145" s="14">
        <f t="array" ref="B145:D145">MMULT(Returns!B145:K145,Exposures!$B$32:$D$41)</f>
        <v>-3.8843504565493493E-2</v>
      </c>
      <c r="C145" s="14">
        <v>1.610456549349671E-2</v>
      </c>
      <c r="D145" s="14">
        <v>-8.6623083853759018E-3</v>
      </c>
      <c r="F145" s="14">
        <f>SUMPRODUCT($B145:$D145,Exposures!$B$2:$D$2)</f>
        <v>-4.3131959747634285E-2</v>
      </c>
      <c r="G145" s="14">
        <f>SUMPRODUCT($B145:$D145,Exposures!$B$3:$D$3)</f>
        <v>-3.4337890278965652E-2</v>
      </c>
      <c r="H145" s="14">
        <f>SUMPRODUCT($B145:$D145,Exposures!$B$4:$D$4)</f>
        <v>-4.6072261052564949E-2</v>
      </c>
      <c r="I145" s="14">
        <f>SUMPRODUCT($B145:$D145,Exposures!$B$5:$D$5)</f>
        <v>-5.0964627696163195E-2</v>
      </c>
      <c r="J145" s="14">
        <f>SUMPRODUCT($B145:$D145,Exposures!$B$6:$D$6)</f>
        <v>-4.9195570049083884E-2</v>
      </c>
      <c r="K145" s="14">
        <f>SUMPRODUCT($B145:$D145,Exposures!$B$7:$D$7)</f>
        <v>-7.0011944620109429E-2</v>
      </c>
      <c r="L145" s="14">
        <f>SUMPRODUCT($B145:$D145,Exposures!$B$8:$D$8)</f>
        <v>-2.2885339656953867E-2</v>
      </c>
      <c r="M145" s="14">
        <f>SUMPRODUCT($B145:$D145,Exposures!$B$9:$D$9)</f>
        <v>-9.3723784475076679E-5</v>
      </c>
      <c r="N145" s="14">
        <f>SUMPRODUCT($B145:$D145,Exposures!$B$10:$D$10)</f>
        <v>-3.1018142447012946E-2</v>
      </c>
      <c r="O145" s="14">
        <f>SUMPRODUCT($B145:$D145,Exposures!$B$11:$D$11)</f>
        <v>-4.0562540667036691E-2</v>
      </c>
      <c r="Q145" s="14">
        <f>Returns!B145-F145</f>
        <v>-3.1820402523657157E-3</v>
      </c>
      <c r="R145" s="14">
        <f>Returns!C145-G145</f>
        <v>1.5625890278965653E-2</v>
      </c>
      <c r="S145" s="14">
        <f>Returns!D145-H145</f>
        <v>4.7480261052564948E-2</v>
      </c>
      <c r="T145" s="14">
        <f>Returns!E145-I145</f>
        <v>-5.6073723038368023E-3</v>
      </c>
      <c r="U145" s="14">
        <f>Returns!F145-J145</f>
        <v>2.7657004908388655E-4</v>
      </c>
      <c r="V145" s="14">
        <f>Returns!G145-K145</f>
        <v>-3.1611055379890576E-2</v>
      </c>
      <c r="W145" s="14">
        <f>Returns!H145-L145</f>
        <v>7.5863396569538673E-3</v>
      </c>
      <c r="X145" s="14">
        <f>Returns!I145-M145</f>
        <v>-2.4255276215524924E-2</v>
      </c>
      <c r="Y145" s="14">
        <f>Returns!J145-N145</f>
        <v>1.7571424470129472E-3</v>
      </c>
      <c r="Z145" s="14">
        <f>Returns!K145-O145</f>
        <v>-8.0704593329633117E-3</v>
      </c>
    </row>
    <row r="146" spans="1:26" x14ac:dyDescent="0.2">
      <c r="A146" s="6">
        <f>Returns!A146</f>
        <v>45940</v>
      </c>
      <c r="B146" s="14">
        <f t="array" ref="B146:D146">MMULT(Returns!B146:K146,Exposures!$B$32:$D$41)</f>
        <v>-4.1113697648981054E-2</v>
      </c>
      <c r="C146" s="14">
        <v>2.7976489810559186E-3</v>
      </c>
      <c r="D146" s="14">
        <v>1.456492639307079E-2</v>
      </c>
      <c r="F146" s="14">
        <f>SUMPRODUCT($B146:$D146,Exposures!$B$2:$D$2)</f>
        <v>-2.4342680206595999E-2</v>
      </c>
      <c r="G146" s="14">
        <f>SUMPRODUCT($B146:$D146,Exposures!$B$3:$D$3)</f>
        <v>-2.5386149898201604E-2</v>
      </c>
      <c r="H146" s="14">
        <f>SUMPRODUCT($B146:$D146,Exposures!$B$4:$D$4)</f>
        <v>-3.2245535409262609E-2</v>
      </c>
      <c r="I146" s="14">
        <f>SUMPRODUCT($B146:$D146,Exposures!$B$5:$D$5)</f>
        <v>-5.2700488630622655E-2</v>
      </c>
      <c r="J146" s="14">
        <f>SUMPRODUCT($B146:$D146,Exposures!$B$6:$D$6)</f>
        <v>-3.5359265346849592E-2</v>
      </c>
      <c r="K146" s="14">
        <f>SUMPRODUCT($B146:$D146,Exposures!$B$7:$D$7)</f>
        <v>-2.5155477303085122E-2</v>
      </c>
      <c r="L146" s="14">
        <f>SUMPRODUCT($B146:$D146,Exposures!$B$8:$D$8)</f>
        <v>-5.5696782071264578E-2</v>
      </c>
      <c r="M146" s="14">
        <f>SUMPRODUCT($B146:$D146,Exposures!$B$9:$D$9)</f>
        <v>-3.4864264376049531E-2</v>
      </c>
      <c r="N146" s="14">
        <f>SUMPRODUCT($B146:$D146,Exposures!$B$10:$D$10)</f>
        <v>-6.7715611614399387E-2</v>
      </c>
      <c r="O146" s="14">
        <f>SUMPRODUCT($B146:$D146,Exposures!$B$11:$D$11)</f>
        <v>-5.7642745143668898E-2</v>
      </c>
      <c r="Q146" s="14">
        <f>Returns!B146-F146</f>
        <v>-7.3083197934039994E-3</v>
      </c>
      <c r="R146" s="14">
        <f>Returns!C146-G146</f>
        <v>-1.6282850101798394E-2</v>
      </c>
      <c r="S146" s="14">
        <f>Returns!D146-H146</f>
        <v>2.265153540926261E-2</v>
      </c>
      <c r="T146" s="14">
        <f>Returns!E146-I146</f>
        <v>4.0315488630622655E-2</v>
      </c>
      <c r="U146" s="14">
        <f>Returns!F146-J146</f>
        <v>-3.3688734653150407E-2</v>
      </c>
      <c r="V146" s="14">
        <f>Returns!G146-K146</f>
        <v>2.5854773030851222E-3</v>
      </c>
      <c r="W146" s="14">
        <f>Returns!H146-L146</f>
        <v>-7.2442179287354191E-3</v>
      </c>
      <c r="X146" s="14">
        <f>Returns!I146-M146</f>
        <v>1.900926437604953E-2</v>
      </c>
      <c r="Y146" s="14">
        <f>Returns!J146-N146</f>
        <v>-2.4011388385600616E-2</v>
      </c>
      <c r="Z146" s="14">
        <f>Returns!K146-O146</f>
        <v>3.973745143668897E-3</v>
      </c>
    </row>
    <row r="147" spans="1:26" x14ac:dyDescent="0.2">
      <c r="A147" s="6">
        <f>Returns!A147</f>
        <v>45947</v>
      </c>
      <c r="B147" s="14">
        <f t="array" ref="B147:D147">MMULT(Returns!B147:K147,Exposures!$B$32:$D$41)</f>
        <v>-3.2952439500948776E-2</v>
      </c>
      <c r="C147" s="14">
        <v>-3.4604990512257521E-3</v>
      </c>
      <c r="D147" s="14">
        <v>-5.7717044294206803E-3</v>
      </c>
      <c r="F147" s="14">
        <f>SUMPRODUCT($B147:$D147,Exposures!$B$2:$D$2)</f>
        <v>-4.0350957025409556E-2</v>
      </c>
      <c r="G147" s="14">
        <f>SUMPRODUCT($B147:$D147,Exposures!$B$3:$D$3)</f>
        <v>-4.1019313880266098E-2</v>
      </c>
      <c r="H147" s="14">
        <f>SUMPRODUCT($B147:$D147,Exposures!$B$4:$D$4)</f>
        <v>-3.620795839584897E-2</v>
      </c>
      <c r="I147" s="14">
        <f>SUMPRODUCT($B147:$D147,Exposures!$B$5:$D$5)</f>
        <v>-2.5844399902779019E-2</v>
      </c>
      <c r="J147" s="14">
        <f>SUMPRODUCT($B147:$D147,Exposures!$B$6:$D$6)</f>
        <v>-3.4315545952798454E-2</v>
      </c>
      <c r="K147" s="14">
        <f>SUMPRODUCT($B147:$D147,Exposures!$B$7:$D$7)</f>
        <v>-3.6406997549582862E-2</v>
      </c>
      <c r="L147" s="14">
        <f>SUMPRODUCT($B147:$D147,Exposures!$B$8:$D$8)</f>
        <v>-2.8137803328176995E-2</v>
      </c>
      <c r="M147" s="14">
        <f>SUMPRODUCT($B147:$D147,Exposures!$B$9:$D$9)</f>
        <v>-4.1049881100495705E-2</v>
      </c>
      <c r="N147" s="14">
        <f>SUMPRODUCT($B147:$D147,Exposures!$B$10:$D$10)</f>
        <v>-2.1352449220705203E-2</v>
      </c>
      <c r="O147" s="14">
        <f>SUMPRODUCT($B147:$D147,Exposures!$B$11:$D$11)</f>
        <v>-2.4873693643937149E-2</v>
      </c>
      <c r="Q147" s="14">
        <f>Returns!B147-F147</f>
        <v>-2.6760042974590448E-2</v>
      </c>
      <c r="R147" s="14">
        <f>Returns!C147-G147</f>
        <v>1.3281313880266099E-2</v>
      </c>
      <c r="S147" s="14">
        <f>Returns!D147-H147</f>
        <v>5.5999583958489703E-3</v>
      </c>
      <c r="T147" s="14">
        <f>Returns!E147-I147</f>
        <v>6.1583999027790201E-3</v>
      </c>
      <c r="U147" s="14">
        <f>Returns!F147-J147</f>
        <v>1.1414545952798453E-2</v>
      </c>
      <c r="V147" s="14">
        <f>Returns!G147-K147</f>
        <v>-1.3530024504171401E-3</v>
      </c>
      <c r="W147" s="14">
        <f>Returns!H147-L147</f>
        <v>-4.5572196671823002E-2</v>
      </c>
      <c r="X147" s="14">
        <f>Returns!I147-M147</f>
        <v>1.5587881100495707E-2</v>
      </c>
      <c r="Y147" s="14">
        <f>Returns!J147-N147</f>
        <v>1.8539449220705204E-2</v>
      </c>
      <c r="Z147" s="14">
        <f>Returns!K147-O147</f>
        <v>3.1036936439371478E-3</v>
      </c>
    </row>
    <row r="148" spans="1:26" x14ac:dyDescent="0.2">
      <c r="A148" s="6">
        <f>Returns!A148</f>
        <v>45954</v>
      </c>
      <c r="B148" s="14">
        <f t="array" ref="B148:D148">MMULT(Returns!B148:K148,Exposures!$B$32:$D$41)</f>
        <v>-2.5448808094648147E-2</v>
      </c>
      <c r="C148" s="14">
        <v>-1.0491905351851193E-2</v>
      </c>
      <c r="D148" s="14">
        <v>1.2269472159020797E-2</v>
      </c>
      <c r="F148" s="14">
        <f>SUMPRODUCT($B148:$D148,Exposures!$B$2:$D$2)</f>
        <v>-1.5432493153907861E-2</v>
      </c>
      <c r="G148" s="14">
        <f>SUMPRODUCT($B148:$D148,Exposures!$B$3:$D$3)</f>
        <v>-2.2221885161202739E-2</v>
      </c>
      <c r="H148" s="14">
        <f>SUMPRODUCT($B148:$D148,Exposures!$B$4:$D$4)</f>
        <v>-1.6564931045761414E-2</v>
      </c>
      <c r="I148" s="14">
        <f>SUMPRODUCT($B148:$D148,Exposures!$B$5:$D$5)</f>
        <v>-2.1461457941989639E-2</v>
      </c>
      <c r="J148" s="14">
        <f>SUMPRODUCT($B148:$D148,Exposures!$B$6:$D$6)</f>
        <v>-1.5590313092686409E-2</v>
      </c>
      <c r="K148" s="14">
        <f>SUMPRODUCT($B148:$D148,Exposures!$B$7:$D$7)</f>
        <v>3.6697144061079712E-3</v>
      </c>
      <c r="L148" s="14">
        <f>SUMPRODUCT($B148:$D148,Exposures!$B$8:$D$8)</f>
        <v>-4.3001519220649598E-2</v>
      </c>
      <c r="M148" s="14">
        <f>SUMPRODUCT($B148:$D148,Exposures!$B$9:$D$9)</f>
        <v>-5.0892546050343122E-2</v>
      </c>
      <c r="N148" s="14">
        <f>SUMPRODUCT($B148:$D148,Exposures!$B$10:$D$10)</f>
        <v>-4.20763322430113E-2</v>
      </c>
      <c r="O148" s="14">
        <f>SUMPRODUCT($B148:$D148,Exposures!$B$11:$D$11)</f>
        <v>-3.1021236496555873E-2</v>
      </c>
      <c r="Q148" s="14">
        <f>Returns!B148-F148</f>
        <v>9.9234931539078607E-3</v>
      </c>
      <c r="R148" s="14">
        <f>Returns!C148-G148</f>
        <v>2.379088516120274E-2</v>
      </c>
      <c r="S148" s="14">
        <f>Returns!D148-H148</f>
        <v>-4.8929068954238583E-2</v>
      </c>
      <c r="T148" s="14">
        <f>Returns!E148-I148</f>
        <v>-1.5371542058010359E-2</v>
      </c>
      <c r="U148" s="14">
        <f>Returns!F148-J148</f>
        <v>1.9641313092686408E-2</v>
      </c>
      <c r="V148" s="14">
        <f>Returns!G148-K148</f>
        <v>4.7522855938920295E-3</v>
      </c>
      <c r="W148" s="14">
        <f>Returns!H148-L148</f>
        <v>8.6105192206495998E-3</v>
      </c>
      <c r="X148" s="14">
        <f>Returns!I148-M148</f>
        <v>-1.2287453949656878E-2</v>
      </c>
      <c r="Y148" s="14">
        <f>Returns!J148-N148</f>
        <v>1.0738332243011302E-2</v>
      </c>
      <c r="Z148" s="14">
        <f>Returns!K148-O148</f>
        <v>-8.6876350344412823E-4</v>
      </c>
    </row>
    <row r="149" spans="1:26" x14ac:dyDescent="0.2">
      <c r="A149" s="6">
        <f>Returns!A149</f>
        <v>45961</v>
      </c>
      <c r="B149" s="14">
        <f t="array" ref="B149:D149">MMULT(Returns!B149:K149,Exposures!$B$32:$D$41)</f>
        <v>-2.041145217566841E-2</v>
      </c>
      <c r="C149" s="14">
        <v>1.5752175668416982E-2</v>
      </c>
      <c r="D149" s="14">
        <v>-1.9912851229891164E-2</v>
      </c>
      <c r="F149" s="14">
        <f>SUMPRODUCT($B149:$D149,Exposures!$B$2:$D$2)</f>
        <v>-3.7075763802356346E-2</v>
      </c>
      <c r="G149" s="14">
        <f>SUMPRODUCT($B149:$D149,Exposures!$B$3:$D$3)</f>
        <v>-2.6643706798101949E-2</v>
      </c>
      <c r="H149" s="14">
        <f>SUMPRODUCT($B149:$D149,Exposures!$B$4:$D$4)</f>
        <v>-3.4689287774025711E-2</v>
      </c>
      <c r="I149" s="14">
        <f>SUMPRODUCT($B149:$D149,Exposures!$B$5:$D$5)</f>
        <v>-2.5517697915238793E-2</v>
      </c>
      <c r="J149" s="14">
        <f>SUMPRODUCT($B149:$D149,Exposures!$B$6:$D$6)</f>
        <v>-3.5913840764399879E-2</v>
      </c>
      <c r="K149" s="14">
        <f>SUMPRODUCT($B149:$D149,Exposures!$B$7:$D$7)</f>
        <v>-6.6113198626892383E-2</v>
      </c>
      <c r="L149" s="14">
        <f>SUMPRODUCT($B149:$D149,Exposures!$B$8:$D$8)</f>
        <v>7.5528191766650113E-3</v>
      </c>
      <c r="M149" s="14">
        <f>SUMPRODUCT($B149:$D149,Exposures!$B$9:$D$9)</f>
        <v>1.7833633208744915E-2</v>
      </c>
      <c r="N149" s="14">
        <f>SUMPRODUCT($B149:$D149,Exposures!$B$10:$D$10)</f>
        <v>7.1484299135545701E-3</v>
      </c>
      <c r="O149" s="14">
        <f>SUMPRODUCT($B149:$D149,Exposures!$B$11:$D$11)</f>
        <v>-1.0538386617949376E-2</v>
      </c>
      <c r="Q149" s="14">
        <f>Returns!B149-F149</f>
        <v>-2.2546236197643656E-2</v>
      </c>
      <c r="R149" s="14">
        <f>Returns!C149-G149</f>
        <v>1.073170679810195E-2</v>
      </c>
      <c r="S149" s="14">
        <f>Returns!D149-H149</f>
        <v>-2.8655712225974288E-2</v>
      </c>
      <c r="T149" s="14">
        <f>Returns!E149-I149</f>
        <v>-1.3794302084761206E-2</v>
      </c>
      <c r="U149" s="14">
        <f>Returns!F149-J149</f>
        <v>3.5280840764399878E-2</v>
      </c>
      <c r="V149" s="14">
        <f>Returns!G149-K149</f>
        <v>1.3798198626892383E-2</v>
      </c>
      <c r="W149" s="14">
        <f>Returns!H149-L149</f>
        <v>-1.2665819176665011E-2</v>
      </c>
      <c r="X149" s="14">
        <f>Returns!I149-M149</f>
        <v>8.0573667912550856E-3</v>
      </c>
      <c r="Y149" s="14">
        <f>Returns!J149-N149</f>
        <v>1.9136570086445429E-2</v>
      </c>
      <c r="Z149" s="14">
        <f>Returns!K149-O149</f>
        <v>-9.3426133820506234E-3</v>
      </c>
    </row>
    <row r="150" spans="1:26" x14ac:dyDescent="0.2">
      <c r="A150" s="6">
        <f>Returns!A150</f>
        <v>45968</v>
      </c>
      <c r="B150" s="14">
        <f t="array" ref="B150:D150">MMULT(Returns!B150:K150,Exposures!$B$32:$D$41)</f>
        <v>2.8984707185289702E-2</v>
      </c>
      <c r="C150" s="14">
        <v>-9.107185289698486E-3</v>
      </c>
      <c r="D150" s="14">
        <v>-3.0541542663123401E-2</v>
      </c>
      <c r="F150" s="14">
        <f>SUMPRODUCT($B150:$D150,Exposures!$B$2:$D$2)</f>
        <v>-7.2198736102183254E-3</v>
      </c>
      <c r="G150" s="14">
        <f>SUMPRODUCT($B150:$D150,Exposures!$B$3:$D$3)</f>
        <v>-6.5225320173798833E-3</v>
      </c>
      <c r="H150" s="14">
        <f>SUMPRODUCT($B150:$D150,Exposures!$B$4:$D$4)</f>
        <v>1.0745325689388793E-2</v>
      </c>
      <c r="I150" s="14">
        <f>SUMPRODUCT($B150:$D150,Exposures!$B$5:$D$5)</f>
        <v>5.6748905616509894E-2</v>
      </c>
      <c r="J150" s="14">
        <f>SUMPRODUCT($B150:$D150,Exposures!$B$6:$D$6)</f>
        <v>1.8181984396604116E-2</v>
      </c>
      <c r="K150" s="14">
        <f>SUMPRODUCT($B150:$D150,Exposures!$B$7:$D$7)</f>
        <v>-5.2477850323227188E-4</v>
      </c>
      <c r="L150" s="14">
        <f>SUMPRODUCT($B150:$D150,Exposures!$B$8:$D$8)</f>
        <v>5.8235627292686602E-2</v>
      </c>
      <c r="M150" s="14">
        <f>SUMPRODUCT($B150:$D150,Exposures!$B$9:$D$9)</f>
        <v>8.1347806228040231E-3</v>
      </c>
      <c r="N150" s="14">
        <f>SUMPRODUCT($B150:$D150,Exposures!$B$10:$D$10)</f>
        <v>8.6225224799488742E-2</v>
      </c>
      <c r="O150" s="14">
        <f>SUMPRODUCT($B150:$D150,Exposures!$B$11:$D$11)</f>
        <v>6.5751335713348347E-2</v>
      </c>
      <c r="Q150" s="14">
        <f>Returns!B150-F150</f>
        <v>2.3638736102183254E-3</v>
      </c>
      <c r="R150" s="14">
        <f>Returns!C150-G150</f>
        <v>-2.0254467982620115E-2</v>
      </c>
      <c r="S150" s="14">
        <f>Returns!D150-H150</f>
        <v>5.3113674310611203E-2</v>
      </c>
      <c r="T150" s="14">
        <f>Returns!E150-I150</f>
        <v>-1.7037905616509891E-2</v>
      </c>
      <c r="U150" s="14">
        <f>Returns!F150-J150</f>
        <v>-3.3024984396604118E-2</v>
      </c>
      <c r="V150" s="14">
        <f>Returns!G150-K150</f>
        <v>3.469778503232272E-3</v>
      </c>
      <c r="W150" s="14">
        <f>Returns!H150-L150</f>
        <v>-1.47856272926866E-2</v>
      </c>
      <c r="X150" s="14">
        <f>Returns!I150-M150</f>
        <v>4.6712193771959766E-3</v>
      </c>
      <c r="Y150" s="14">
        <f>Returns!J150-N150</f>
        <v>1.4350775200511257E-2</v>
      </c>
      <c r="Z150" s="14">
        <f>Returns!K150-O150</f>
        <v>7.1336642866516586E-3</v>
      </c>
    </row>
    <row r="151" spans="1:26" x14ac:dyDescent="0.2">
      <c r="A151" s="6">
        <f>Returns!A151</f>
        <v>45975</v>
      </c>
      <c r="B151" s="14">
        <f t="array" ref="B151:D151">MMULT(Returns!B151:K151,Exposures!$B$32:$D$41)</f>
        <v>-4.3591791769781993E-2</v>
      </c>
      <c r="C151" s="14">
        <v>-1.6708230218012658E-2</v>
      </c>
      <c r="D151" s="14">
        <v>1.016237416360069E-2</v>
      </c>
      <c r="F151" s="14">
        <f>SUMPRODUCT($B151:$D151,Exposures!$B$2:$D$2)</f>
        <v>-3.7861437601221293E-2</v>
      </c>
      <c r="G151" s="14">
        <f>SUMPRODUCT($B151:$D151,Exposures!$B$3:$D$3)</f>
        <v>-4.7173203367683221E-2</v>
      </c>
      <c r="H151" s="14">
        <f>SUMPRODUCT($B151:$D151,Exposures!$B$4:$D$4)</f>
        <v>-3.5351590722732168E-2</v>
      </c>
      <c r="I151" s="14">
        <f>SUMPRODUCT($B151:$D151,Exposures!$B$5:$D$5)</f>
        <v>-3.1709786193032857E-2</v>
      </c>
      <c r="J151" s="14">
        <f>SUMPRODUCT($B151:$D151,Exposures!$B$6:$D$6)</f>
        <v>-3.2299266127864733E-2</v>
      </c>
      <c r="K151" s="14">
        <f>SUMPRODUCT($B151:$D151,Exposures!$B$7:$D$7)</f>
        <v>-9.6917932662176302E-3</v>
      </c>
      <c r="L151" s="14">
        <f>SUMPRODUCT($B151:$D151,Exposures!$B$8:$D$8)</f>
        <v>-6.1417530255855932E-2</v>
      </c>
      <c r="M151" s="14">
        <f>SUMPRODUCT($B151:$D151,Exposures!$B$9:$D$9)</f>
        <v>-8.3829333215740265E-2</v>
      </c>
      <c r="N151" s="14">
        <f>SUMPRODUCT($B151:$D151,Exposures!$B$10:$D$10)</f>
        <v>-5.3755619216341491E-2</v>
      </c>
      <c r="O151" s="14">
        <f>SUMPRODUCT($B151:$D151,Exposures!$B$11:$D$11)</f>
        <v>-4.2995440033310461E-2</v>
      </c>
      <c r="Q151" s="14">
        <f>Returns!B151-F151</f>
        <v>-1.0332562398778708E-2</v>
      </c>
      <c r="R151" s="14">
        <f>Returns!C151-G151</f>
        <v>1.8053203367683221E-2</v>
      </c>
      <c r="S151" s="14">
        <f>Returns!D151-H151</f>
        <v>-4.9339409277267834E-2</v>
      </c>
      <c r="T151" s="14">
        <f>Returns!E151-I151</f>
        <v>-1.503721380696714E-2</v>
      </c>
      <c r="U151" s="14">
        <f>Returns!F151-J151</f>
        <v>-8.8727338721352675E-3</v>
      </c>
      <c r="V151" s="14">
        <f>Returns!G151-K151</f>
        <v>3.7082793266217627E-2</v>
      </c>
      <c r="W151" s="14">
        <f>Returns!H151-L151</f>
        <v>3.7528530255855931E-2</v>
      </c>
      <c r="X151" s="14">
        <f>Returns!I151-M151</f>
        <v>-3.3276667842597335E-3</v>
      </c>
      <c r="Y151" s="14">
        <f>Returns!J151-N151</f>
        <v>-8.4293807836585063E-3</v>
      </c>
      <c r="Z151" s="14">
        <f>Returns!K151-O151</f>
        <v>2.6744400333104587E-3</v>
      </c>
    </row>
    <row r="152" spans="1:26" x14ac:dyDescent="0.2">
      <c r="A152" s="6">
        <f>Returns!A152</f>
        <v>45982</v>
      </c>
      <c r="B152" s="14">
        <f t="array" ref="B152:D152">MMULT(Returns!B152:K152,Exposures!$B$32:$D$41)</f>
        <v>-8.3571329657680035E-3</v>
      </c>
      <c r="C152" s="14">
        <v>2.3296576800375382E-4</v>
      </c>
      <c r="D152" s="14">
        <v>-3.1582435962503753E-3</v>
      </c>
      <c r="F152" s="14">
        <f>SUMPRODUCT($B152:$D152,Exposures!$B$2:$D$2)</f>
        <v>-1.1725069439919713E-2</v>
      </c>
      <c r="G152" s="14">
        <f>SUMPRODUCT($B152:$D152,Exposures!$B$3:$D$3)</f>
        <v>-1.1112586211237925E-2</v>
      </c>
      <c r="H152" s="14">
        <f>SUMPRODUCT($B152:$D152,Exposures!$B$4:$D$4)</f>
        <v>-1.0372452665886153E-2</v>
      </c>
      <c r="I152" s="14">
        <f>SUMPRODUCT($B152:$D152,Exposures!$B$5:$D$5)</f>
        <v>-6.7430426157442987E-3</v>
      </c>
      <c r="J152" s="14">
        <f>SUMPRODUCT($B152:$D152,Exposures!$B$6:$D$6)</f>
        <v>-9.9323641055271451E-3</v>
      </c>
      <c r="K152" s="14">
        <f>SUMPRODUCT($B152:$D152,Exposures!$B$7:$D$7)</f>
        <v>-1.2841815185745582E-2</v>
      </c>
      <c r="L152" s="14">
        <f>SUMPRODUCT($B152:$D152,Exposures!$B$8:$D$8)</f>
        <v>-4.8507139169360596E-3</v>
      </c>
      <c r="M152" s="14">
        <f>SUMPRODUCT($B152:$D152,Exposures!$B$9:$D$9)</f>
        <v>-7.7055974723515205E-3</v>
      </c>
      <c r="N152" s="14">
        <f>SUMPRODUCT($B152:$D152,Exposures!$B$10:$D$10)</f>
        <v>-2.9666237038940401E-3</v>
      </c>
      <c r="O152" s="14">
        <f>SUMPRODUCT($B152:$D152,Exposures!$B$11:$D$11)</f>
        <v>-5.3187346827575643E-3</v>
      </c>
      <c r="Q152" s="14">
        <f>Returns!B152-F152</f>
        <v>-1.0236930560080286E-2</v>
      </c>
      <c r="R152" s="14">
        <f>Returns!C152-G152</f>
        <v>-3.1341378876207499E-4</v>
      </c>
      <c r="S152" s="14">
        <f>Returns!D152-H152</f>
        <v>5.7764526658861523E-3</v>
      </c>
      <c r="T152" s="14">
        <f>Returns!E152-I152</f>
        <v>1.8848042615744298E-2</v>
      </c>
      <c r="U152" s="14">
        <f>Returns!F152-J152</f>
        <v>1.4253364105527145E-2</v>
      </c>
      <c r="V152" s="14">
        <f>Returns!G152-K152</f>
        <v>-6.3041848142544182E-3</v>
      </c>
      <c r="W152" s="14">
        <f>Returns!H152-L152</f>
        <v>3.3443713916936062E-2</v>
      </c>
      <c r="X152" s="14">
        <f>Returns!I152-M152</f>
        <v>-8.2754025276484781E-3</v>
      </c>
      <c r="Y152" s="14">
        <f>Returns!J152-N152</f>
        <v>-1.208737629610596E-2</v>
      </c>
      <c r="Z152" s="14">
        <f>Returns!K152-O152</f>
        <v>-3.5104265317242436E-2</v>
      </c>
    </row>
    <row r="153" spans="1:26" x14ac:dyDescent="0.2">
      <c r="A153" s="6">
        <f>Returns!A153</f>
        <v>45989</v>
      </c>
      <c r="B153" s="14">
        <f t="array" ref="B153:D153">MMULT(Returns!B153:K153,Exposures!$B$32:$D$41)</f>
        <v>8.1658298590353475E-4</v>
      </c>
      <c r="C153" s="14">
        <v>4.4170140964648365E-3</v>
      </c>
      <c r="D153" s="14">
        <v>-2.7395467343849712E-2</v>
      </c>
      <c r="F153" s="14">
        <f>SUMPRODUCT($B153:$D153,Exposures!$B$2:$D$2)</f>
        <v>-2.7631031908023906E-2</v>
      </c>
      <c r="G153" s="14">
        <f>SUMPRODUCT($B153:$D153,Exposures!$B$3:$D$3)</f>
        <v>-2.1215930648634126E-2</v>
      </c>
      <c r="H153" s="14">
        <f>SUMPRODUCT($B153:$D153,Exposures!$B$4:$D$4)</f>
        <v>-1.6928432991332915E-2</v>
      </c>
      <c r="I153" s="14">
        <f>SUMPRODUCT($B153:$D153,Exposures!$B$5:$D$5)</f>
        <v>1.2253703635557488E-2</v>
      </c>
      <c r="J153" s="14">
        <f>SUMPRODUCT($B153:$D153,Exposures!$B$6:$D$6)</f>
        <v>-1.3781922163327114E-2</v>
      </c>
      <c r="K153" s="14">
        <f>SUMPRODUCT($B153:$D153,Exposures!$B$7:$D$7)</f>
        <v>-4.1008145779103687E-2</v>
      </c>
      <c r="L153" s="14">
        <f>SUMPRODUCT($B153:$D153,Exposures!$B$8:$D$8)</f>
        <v>3.2214663496811811E-2</v>
      </c>
      <c r="M153" s="14">
        <f>SUMPRODUCT($B153:$D153,Exposures!$B$9:$D$9)</f>
        <v>1.2195110696769984E-2</v>
      </c>
      <c r="N153" s="14">
        <f>SUMPRODUCT($B153:$D153,Exposures!$B$10:$D$10)</f>
        <v>4.6497039820792854E-2</v>
      </c>
      <c r="O153" s="14">
        <f>SUMPRODUCT($B153:$D153,Exposures!$B$11:$D$11)</f>
        <v>2.5614945840489598E-2</v>
      </c>
      <c r="Q153" s="14">
        <f>Returns!B153-F153</f>
        <v>3.9610319080239063E-3</v>
      </c>
      <c r="R153" s="14">
        <f>Returns!C153-G153</f>
        <v>4.1564930648634126E-2</v>
      </c>
      <c r="S153" s="14">
        <f>Returns!D153-H153</f>
        <v>-4.526856700866709E-2</v>
      </c>
      <c r="T153" s="14">
        <f>Returns!E153-I153</f>
        <v>-2.2082703635557487E-2</v>
      </c>
      <c r="U153" s="14">
        <f>Returns!F153-J153</f>
        <v>1.9396922163327113E-2</v>
      </c>
      <c r="V153" s="14">
        <f>Returns!G153-K153</f>
        <v>-3.0068542208963114E-3</v>
      </c>
      <c r="W153" s="14">
        <f>Returns!H153-L153</f>
        <v>-3.7016634968118113E-3</v>
      </c>
      <c r="X153" s="14">
        <f>Returns!I153-M153</f>
        <v>-1.7664110696769986E-2</v>
      </c>
      <c r="Y153" s="14">
        <f>Returns!J153-N153</f>
        <v>1.3778960179207149E-2</v>
      </c>
      <c r="Z153" s="14">
        <f>Returns!K153-O153</f>
        <v>1.30220541595104E-2</v>
      </c>
    </row>
    <row r="154" spans="1:26" x14ac:dyDescent="0.2">
      <c r="A154" s="6">
        <f>Returns!A154</f>
        <v>45996</v>
      </c>
      <c r="B154" s="14">
        <f t="array" ref="B154:D154">MMULT(Returns!B154:K154,Exposures!$B$32:$D$41)</f>
        <v>-3.0927775009093352E-2</v>
      </c>
      <c r="C154" s="14">
        <v>-1.912499090665646E-2</v>
      </c>
      <c r="D154" s="14">
        <v>-2.0096459428180346E-2</v>
      </c>
      <c r="F154" s="14">
        <f>SUMPRODUCT($B154:$D154,Exposures!$B$2:$D$2)</f>
        <v>-5.8952912875939997E-2</v>
      </c>
      <c r="G154" s="14">
        <f>SUMPRODUCT($B154:$D154,Exposures!$B$3:$D$3)</f>
        <v>-6.453497518449311E-2</v>
      </c>
      <c r="H154" s="14">
        <f>SUMPRODUCT($B154:$D154,Exposures!$B$4:$D$4)</f>
        <v>-4.1484795449114764E-2</v>
      </c>
      <c r="I154" s="14">
        <f>SUMPRODUCT($B154:$D154,Exposures!$B$5:$D$5)</f>
        <v>1.392876323655463E-3</v>
      </c>
      <c r="J154" s="14">
        <f>SUMPRODUCT($B154:$D154,Exposures!$B$6:$D$6)</f>
        <v>-3.2914364486742093E-2</v>
      </c>
      <c r="K154" s="14">
        <f>SUMPRODUCT($B154:$D154,Exposures!$B$7:$D$7)</f>
        <v>-3.4323577142452336E-2</v>
      </c>
      <c r="L154" s="14">
        <f>SUMPRODUCT($B154:$D154,Exposures!$B$8:$D$8)</f>
        <v>-1.7064845098387724E-2</v>
      </c>
      <c r="M154" s="14">
        <f>SUMPRODUCT($B154:$D154,Exposures!$B$9:$D$9)</f>
        <v>-7.6033609493156892E-2</v>
      </c>
      <c r="N154" s="14">
        <f>SUMPRODUCT($B154:$D154,Exposures!$B$10:$D$10)</f>
        <v>1.2646310303935853E-2</v>
      </c>
      <c r="O154" s="14">
        <f>SUMPRODUCT($B154:$D154,Exposures!$B$11:$D$11)</f>
        <v>1.8008931026954958E-3</v>
      </c>
      <c r="Q154" s="14">
        <f>Returns!B154-F154</f>
        <v>1.5857912875939996E-2</v>
      </c>
      <c r="R154" s="14">
        <f>Returns!C154-G154</f>
        <v>-2.6958024815506895E-2</v>
      </c>
      <c r="S154" s="14">
        <f>Returns!D154-H154</f>
        <v>-3.3717204550885241E-2</v>
      </c>
      <c r="T154" s="14">
        <f>Returns!E154-I154</f>
        <v>4.7881236763445368E-3</v>
      </c>
      <c r="U154" s="14">
        <f>Returns!F154-J154</f>
        <v>3.3186364486742094E-2</v>
      </c>
      <c r="V154" s="14">
        <f>Returns!G154-K154</f>
        <v>3.9255771424523342E-3</v>
      </c>
      <c r="W154" s="14">
        <f>Returns!H154-L154</f>
        <v>3.7025845098387723E-2</v>
      </c>
      <c r="X154" s="14">
        <f>Returns!I154-M154</f>
        <v>6.9160949315688613E-4</v>
      </c>
      <c r="Y154" s="14">
        <f>Returns!J154-N154</f>
        <v>-2.1773310303935853E-2</v>
      </c>
      <c r="Z154" s="14">
        <f>Returns!K154-O154</f>
        <v>-1.3026893102695496E-2</v>
      </c>
    </row>
    <row r="155" spans="1:26" x14ac:dyDescent="0.2">
      <c r="A155" s="6">
        <f>Returns!A155</f>
        <v>46003</v>
      </c>
      <c r="B155" s="14">
        <f t="array" ref="B155:D155">MMULT(Returns!B155:K155,Exposures!$B$32:$D$41)</f>
        <v>6.4338480208002572E-3</v>
      </c>
      <c r="C155" s="14">
        <v>3.4519791997439297E-3</v>
      </c>
      <c r="D155" s="14">
        <v>-7.7150697694212201E-3</v>
      </c>
      <c r="F155" s="14">
        <f>SUMPRODUCT($B155:$D155,Exposures!$B$2:$D$2)</f>
        <v>-8.7094468395081635E-4</v>
      </c>
      <c r="G155" s="14">
        <f>SUMPRODUCT($B155:$D155,Exposures!$B$3:$D$3)</f>
        <v>1.9513769110387873E-3</v>
      </c>
      <c r="H155" s="14">
        <f>SUMPRODUCT($B155:$D155,Exposures!$B$4:$D$4)</f>
        <v>1.1936363540930566E-3</v>
      </c>
      <c r="I155" s="14">
        <f>SUMPRODUCT($B155:$D155,Exposures!$B$5:$D$5)</f>
        <v>7.2921214410327714E-3</v>
      </c>
      <c r="J155" s="14">
        <f>SUMPRODUCT($B155:$D155,Exposures!$B$6:$D$6)</f>
        <v>1.4614933412721515E-3</v>
      </c>
      <c r="K155" s="14">
        <f>SUMPRODUCT($B155:$D155,Exposures!$B$7:$D$7)</f>
        <v>-8.0386093962175591E-3</v>
      </c>
      <c r="L155" s="14">
        <f>SUMPRODUCT($B155:$D155,Exposures!$B$8:$D$8)</f>
        <v>1.6181434843670184E-2</v>
      </c>
      <c r="M155" s="14">
        <f>SUMPRODUCT($B155:$D155,Exposures!$B$9:$D$9)</f>
        <v>1.4915530401270886E-2</v>
      </c>
      <c r="N155" s="14">
        <f>SUMPRODUCT($B155:$D155,Exposures!$B$10:$D$10)</f>
        <v>1.830467877970841E-2</v>
      </c>
      <c r="O155" s="14">
        <f>SUMPRODUCT($B155:$D155,Exposures!$B$11:$D$11)</f>
        <v>1.1982282008082136E-2</v>
      </c>
      <c r="Q155" s="14">
        <f>Returns!B155-F155</f>
        <v>1.9760944683950815E-2</v>
      </c>
      <c r="R155" s="14">
        <f>Returns!C155-G155</f>
        <v>-2.4462376911038787E-2</v>
      </c>
      <c r="S155" s="14">
        <f>Returns!D155-H155</f>
        <v>4.1345363645906942E-2</v>
      </c>
      <c r="T155" s="14">
        <f>Returns!E155-I155</f>
        <v>3.516487855896723E-2</v>
      </c>
      <c r="U155" s="14">
        <f>Returns!F155-J155</f>
        <v>-1.5196493341272151E-2</v>
      </c>
      <c r="V155" s="14">
        <f>Returns!G155-K155</f>
        <v>-4.089139060378244E-2</v>
      </c>
      <c r="W155" s="14">
        <f>Returns!H155-L155</f>
        <v>2.5635565156329816E-2</v>
      </c>
      <c r="X155" s="14">
        <f>Returns!I155-M155</f>
        <v>-7.9785304012708856E-3</v>
      </c>
      <c r="Y155" s="14">
        <f>Returns!J155-N155</f>
        <v>-7.0100678779708409E-2</v>
      </c>
      <c r="Z155" s="14">
        <f>Returns!K155-O155</f>
        <v>3.6722717991917862E-2</v>
      </c>
    </row>
    <row r="156" spans="1:26" x14ac:dyDescent="0.2">
      <c r="A156" s="6">
        <f>Returns!A156</f>
        <v>46010</v>
      </c>
      <c r="B156" s="14">
        <f t="array" ref="B156:D156">MMULT(Returns!B156:K156,Exposures!$B$32:$D$41)</f>
        <v>-2.8578656998870258E-2</v>
      </c>
      <c r="C156" s="14">
        <v>-1.3243001129744905E-2</v>
      </c>
      <c r="D156" s="14">
        <v>2.3397932454242449E-2</v>
      </c>
      <c r="F156" s="14">
        <f>SUMPRODUCT($B156:$D156,Exposures!$B$2:$D$2)</f>
        <v>-7.3126709852643565E-3</v>
      </c>
      <c r="G156" s="14">
        <f>SUMPRODUCT($B156:$D156,Exposures!$B$3:$D$3)</f>
        <v>-1.7148120697625807E-2</v>
      </c>
      <c r="H156" s="14">
        <f>SUMPRODUCT($B156:$D156,Exposures!$B$4:$D$4)</f>
        <v>-1.2381229428425575E-2</v>
      </c>
      <c r="I156" s="14">
        <f>SUMPRODUCT($B156:$D156,Exposures!$B$5:$D$5)</f>
        <v>-2.8213425938046252E-2</v>
      </c>
      <c r="J156" s="14">
        <f>SUMPRODUCT($B156:$D156,Exposures!$B$6:$D$6)</f>
        <v>-1.2416858304775794E-2</v>
      </c>
      <c r="K156" s="14">
        <f>SUMPRODUCT($B156:$D156,Exposures!$B$7:$D$7)</f>
        <v>1.8697054543560982E-2</v>
      </c>
      <c r="L156" s="14">
        <f>SUMPRODUCT($B156:$D156,Exposures!$B$8:$D$8)</f>
        <v>-5.9278054512647518E-2</v>
      </c>
      <c r="M156" s="14">
        <f>SUMPRODUCT($B156:$D156,Exposures!$B$9:$D$9)</f>
        <v>-6.0931367672587861E-2</v>
      </c>
      <c r="N156" s="14">
        <f>SUMPRODUCT($B156:$D156,Exposures!$B$10:$D$10)</f>
        <v>-6.3331708960866914E-2</v>
      </c>
      <c r="O156" s="14">
        <f>SUMPRODUCT($B156:$D156,Exposures!$B$11:$D$11)</f>
        <v>-4.3602618043320947E-2</v>
      </c>
      <c r="Q156" s="14">
        <f>Returns!B156-F156</f>
        <v>4.1967098526435667E-4</v>
      </c>
      <c r="R156" s="14">
        <f>Returns!C156-G156</f>
        <v>-8.5198793023741927E-3</v>
      </c>
      <c r="S156" s="14">
        <f>Returns!D156-H156</f>
        <v>6.863622942842558E-2</v>
      </c>
      <c r="T156" s="14">
        <f>Returns!E156-I156</f>
        <v>-3.0185740619537473E-3</v>
      </c>
      <c r="U156" s="14">
        <f>Returns!F156-J156</f>
        <v>-2.1696141695224203E-2</v>
      </c>
      <c r="V156" s="14">
        <f>Returns!G156-K156</f>
        <v>-1.8387054543560981E-2</v>
      </c>
      <c r="W156" s="14">
        <f>Returns!H156-L156</f>
        <v>-1.8757945487352476E-2</v>
      </c>
      <c r="X156" s="14">
        <f>Returns!I156-M156</f>
        <v>-5.2866323274121385E-3</v>
      </c>
      <c r="Y156" s="14">
        <f>Returns!J156-N156</f>
        <v>2.2800708960866917E-2</v>
      </c>
      <c r="Z156" s="14">
        <f>Returns!K156-O156</f>
        <v>-1.6190381956679052E-2</v>
      </c>
    </row>
    <row r="157" spans="1:26" x14ac:dyDescent="0.2">
      <c r="A157" s="6">
        <f>Returns!A157</f>
        <v>46017</v>
      </c>
      <c r="B157" s="14">
        <f t="array" ref="B157:D157">MMULT(Returns!B157:K157,Exposures!$B$32:$D$41)</f>
        <v>-3.9178591711973201E-2</v>
      </c>
      <c r="C157" s="14">
        <v>4.291711973207251E-3</v>
      </c>
      <c r="D157" s="14">
        <v>-1.8519385577374682E-2</v>
      </c>
      <c r="F157" s="14">
        <f>SUMPRODUCT($B157:$D157,Exposures!$B$2:$D$2)</f>
        <v>-5.7991374159885284E-2</v>
      </c>
      <c r="G157" s="14">
        <f>SUMPRODUCT($B157:$D157,Exposures!$B$3:$D$3)</f>
        <v>-5.3054084959830002E-2</v>
      </c>
      <c r="H157" s="14">
        <f>SUMPRODUCT($B157:$D157,Exposures!$B$4:$D$4)</f>
        <v>-5.1317892942772045E-2</v>
      </c>
      <c r="I157" s="14">
        <f>SUMPRODUCT($B157:$D157,Exposures!$B$5:$D$5)</f>
        <v>-3.2844286032653894E-2</v>
      </c>
      <c r="J157" s="14">
        <f>SUMPRODUCT($B157:$D157,Exposures!$B$6:$D$6)</f>
        <v>-4.9556470602890132E-2</v>
      </c>
      <c r="K157" s="14">
        <f>SUMPRODUCT($B157:$D157,Exposures!$B$7:$D$7)</f>
        <v>-6.9045263137194376E-2</v>
      </c>
      <c r="L157" s="14">
        <f>SUMPRODUCT($B157:$D157,Exposures!$B$8:$D$8)</f>
        <v>-1.7418053379393568E-2</v>
      </c>
      <c r="M157" s="14">
        <f>SUMPRODUCT($B157:$D157,Exposures!$B$9:$D$9)</f>
        <v>-2.836581852868663E-2</v>
      </c>
      <c r="N157" s="14">
        <f>SUMPRODUCT($B157:$D157,Exposures!$B$10:$D$10)</f>
        <v>-8.8861311952845162E-3</v>
      </c>
      <c r="O157" s="14">
        <f>SUMPRODUCT($B157:$D157,Exposures!$B$11:$D$11)</f>
        <v>-2.3263625061409488E-2</v>
      </c>
      <c r="Q157" s="14">
        <f>Returns!B157-F157</f>
        <v>-2.1169625840114711E-2</v>
      </c>
      <c r="R157" s="14">
        <f>Returns!C157-G157</f>
        <v>2.8211084959830001E-2</v>
      </c>
      <c r="S157" s="14">
        <f>Returns!D157-H157</f>
        <v>1.6328892942772046E-2</v>
      </c>
      <c r="T157" s="14">
        <f>Returns!E157-I157</f>
        <v>-6.1897139673461055E-3</v>
      </c>
      <c r="U157" s="14">
        <f>Returns!F157-J157</f>
        <v>-4.0455293971098649E-3</v>
      </c>
      <c r="V157" s="14">
        <f>Returns!G157-K157</f>
        <v>6.6582631371943785E-3</v>
      </c>
      <c r="W157" s="14">
        <f>Returns!H157-L157</f>
        <v>1.977205337939357E-2</v>
      </c>
      <c r="X157" s="14">
        <f>Returns!I157-M157</f>
        <v>-1.7840181471313367E-2</v>
      </c>
      <c r="Y157" s="14">
        <f>Returns!J157-N157</f>
        <v>3.4491131195284519E-2</v>
      </c>
      <c r="Z157" s="14">
        <f>Returns!K157-O157</f>
        <v>-5.621637493859051E-2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2"/>
  <sheetViews>
    <sheetView workbookViewId="0"/>
  </sheetViews>
  <sheetFormatPr baseColWidth="10" defaultColWidth="8.83203125" defaultRowHeight="15" x14ac:dyDescent="0.2"/>
  <cols>
    <col min="1" max="4" width="12" customWidth="1"/>
  </cols>
  <sheetData>
    <row r="1" spans="1:4" ht="16" x14ac:dyDescent="0.2">
      <c r="A1" s="2" t="s">
        <v>91</v>
      </c>
    </row>
    <row r="2" spans="1:4" x14ac:dyDescent="0.2">
      <c r="B2" s="11" t="s">
        <v>59</v>
      </c>
      <c r="C2" s="11" t="s">
        <v>60</v>
      </c>
      <c r="D2" s="11" t="s">
        <v>61</v>
      </c>
    </row>
    <row r="3" spans="1:4" x14ac:dyDescent="0.2">
      <c r="A3" s="11" t="s">
        <v>59</v>
      </c>
      <c r="B3" s="15">
        <f>_xlfn.COVARIANCE.S(CSR_FactorReturns!$B$2:$B$157,CSR_FactorReturns!$B$2:$B$157)</f>
        <v>5.473167480382011E-4</v>
      </c>
      <c r="C3" s="15">
        <f>_xlfn.COVARIANCE.S(CSR_FactorReturns!$B$2:$B$157,CSR_FactorReturns!$C$2:$C$157)</f>
        <v>2.7162731794986494E-5</v>
      </c>
      <c r="D3" s="15">
        <f>_xlfn.COVARIANCE.S(CSR_FactorReturns!$B$2:$B$157,CSR_FactorReturns!$D$2:$D$157)</f>
        <v>-1.4110985823161087E-5</v>
      </c>
    </row>
    <row r="4" spans="1:4" x14ac:dyDescent="0.2">
      <c r="A4" s="11" t="s">
        <v>60</v>
      </c>
      <c r="B4" s="15">
        <f>_xlfn.COVARIANCE.S(CSR_FactorReturns!$C$2:$C$157,CSR_FactorReturns!$B$2:$B$157)</f>
        <v>2.7162731794986494E-5</v>
      </c>
      <c r="C4" s="15">
        <f>_xlfn.COVARIANCE.S(CSR_FactorReturns!$C$2:$C$157,CSR_FactorReturns!$C$2:$C$157)</f>
        <v>2.2457246336591468E-4</v>
      </c>
      <c r="D4" s="15">
        <f>_xlfn.COVARIANCE.S(CSR_FactorReturns!$C$2:$C$157,CSR_FactorReturns!$D$2:$D$157)</f>
        <v>-3.7604794763143753E-5</v>
      </c>
    </row>
    <row r="5" spans="1:4" x14ac:dyDescent="0.2">
      <c r="A5" s="11" t="s">
        <v>61</v>
      </c>
      <c r="B5" s="15">
        <f>_xlfn.COVARIANCE.S(CSR_FactorReturns!$D$2:$D$157,CSR_FactorReturns!$B$2:$B$157)</f>
        <v>-1.4110985823161087E-5</v>
      </c>
      <c r="C5" s="15">
        <f>_xlfn.COVARIANCE.S(CSR_FactorReturns!$D$2:$D$157,CSR_FactorReturns!$C$2:$C$157)</f>
        <v>-3.7604794763143753E-5</v>
      </c>
      <c r="D5" s="15">
        <f>_xlfn.COVARIANCE.S(CSR_FactorReturns!$D$2:$D$157,CSR_FactorReturns!$D$2:$D$157)</f>
        <v>2.3344850083416665E-4</v>
      </c>
    </row>
    <row r="8" spans="1:4" ht="16" x14ac:dyDescent="0.2">
      <c r="A8" s="2" t="s">
        <v>92</v>
      </c>
    </row>
    <row r="9" spans="1:4" x14ac:dyDescent="0.2">
      <c r="B9" s="11" t="s">
        <v>59</v>
      </c>
      <c r="C9" s="11" t="s">
        <v>60</v>
      </c>
      <c r="D9" s="11" t="s">
        <v>61</v>
      </c>
    </row>
    <row r="10" spans="1:4" x14ac:dyDescent="0.2">
      <c r="A10" s="11" t="s">
        <v>59</v>
      </c>
      <c r="B10" s="13">
        <f t="shared" ref="B10:D12" si="0">B3*52</f>
        <v>2.8460470897986458E-2</v>
      </c>
      <c r="C10" s="13">
        <f t="shared" si="0"/>
        <v>1.4124620533392978E-3</v>
      </c>
      <c r="D10" s="13">
        <f t="shared" si="0"/>
        <v>-7.3377126280437649E-4</v>
      </c>
    </row>
    <row r="11" spans="1:4" x14ac:dyDescent="0.2">
      <c r="A11" s="11" t="s">
        <v>60</v>
      </c>
      <c r="B11" s="13">
        <f t="shared" si="0"/>
        <v>1.4124620533392978E-3</v>
      </c>
      <c r="C11" s="13">
        <f t="shared" si="0"/>
        <v>1.1677768095027564E-2</v>
      </c>
      <c r="D11" s="13">
        <f t="shared" si="0"/>
        <v>-1.9554493276834751E-3</v>
      </c>
    </row>
    <row r="12" spans="1:4" x14ac:dyDescent="0.2">
      <c r="A12" s="11" t="s">
        <v>61</v>
      </c>
      <c r="B12" s="13">
        <f t="shared" si="0"/>
        <v>-7.3377126280437649E-4</v>
      </c>
      <c r="C12" s="13">
        <f t="shared" si="0"/>
        <v>-1.9554493276834751E-3</v>
      </c>
      <c r="D12" s="13">
        <f t="shared" si="0"/>
        <v>1.2139322043376666E-2</v>
      </c>
    </row>
    <row r="14" spans="1:4" ht="16" x14ac:dyDescent="0.2">
      <c r="A14" s="2" t="s">
        <v>93</v>
      </c>
    </row>
    <row r="15" spans="1:4" x14ac:dyDescent="0.2">
      <c r="B15" s="11" t="s">
        <v>59</v>
      </c>
      <c r="C15" s="11" t="s">
        <v>60</v>
      </c>
      <c r="D15" s="11" t="s">
        <v>61</v>
      </c>
    </row>
    <row r="16" spans="1:4" x14ac:dyDescent="0.2">
      <c r="B16" s="8">
        <f>SQRT(B10)</f>
        <v>0.1687023144417007</v>
      </c>
      <c r="C16" s="8">
        <f>SQRT(C11)</f>
        <v>0.10806372238187784</v>
      </c>
      <c r="D16" s="8">
        <f>SQRT(D12)</f>
        <v>0.11017859158374038</v>
      </c>
    </row>
    <row r="18" spans="1:4" ht="16" x14ac:dyDescent="0.2">
      <c r="A18" s="2" t="s">
        <v>94</v>
      </c>
    </row>
    <row r="19" spans="1:4" x14ac:dyDescent="0.2">
      <c r="B19" s="11" t="s">
        <v>59</v>
      </c>
      <c r="C19" s="11" t="s">
        <v>60</v>
      </c>
      <c r="D19" s="11" t="s">
        <v>61</v>
      </c>
    </row>
    <row r="20" spans="1:4" x14ac:dyDescent="0.2">
      <c r="A20" s="11" t="s">
        <v>59</v>
      </c>
      <c r="B20" s="16">
        <f>CORREL(CSR_FactorReturns!$B$2:$B$157,CSR_FactorReturns!$B$2:$B$157)</f>
        <v>0.99999999999999978</v>
      </c>
      <c r="C20" s="16">
        <f>CORREL(CSR_FactorReturns!$B$2:$B$157,CSR_FactorReturns!$C$2:$C$157)</f>
        <v>7.7477540381709967E-2</v>
      </c>
      <c r="D20" s="16">
        <f>CORREL(CSR_FactorReturns!$B$2:$B$157,CSR_FactorReturns!$D$2:$D$157)</f>
        <v>-3.9476845499475832E-2</v>
      </c>
    </row>
    <row r="21" spans="1:4" x14ac:dyDescent="0.2">
      <c r="A21" s="11" t="s">
        <v>60</v>
      </c>
      <c r="B21" s="16">
        <f>CORREL(CSR_FactorReturns!$C$2:$C$157,CSR_FactorReturns!$B$2:$B$157)</f>
        <v>7.7477540381709967E-2</v>
      </c>
      <c r="C21" s="16">
        <f>CORREL(CSR_FactorReturns!$C$2:$C$157,CSR_FactorReturns!$C$2:$C$157)</f>
        <v>1</v>
      </c>
      <c r="D21" s="16">
        <f>CORREL(CSR_FactorReturns!$C$2:$C$157,CSR_FactorReturns!$D$2:$D$157)</f>
        <v>-0.16423640369825196</v>
      </c>
    </row>
    <row r="22" spans="1:4" x14ac:dyDescent="0.2">
      <c r="A22" s="11" t="s">
        <v>61</v>
      </c>
      <c r="B22" s="16">
        <f>CORREL(CSR_FactorReturns!$D$2:$D$157,CSR_FactorReturns!$B$2:$B$157)</f>
        <v>-3.9476845499475832E-2</v>
      </c>
      <c r="C22" s="16">
        <f>CORREL(CSR_FactorReturns!$D$2:$D$157,CSR_FactorReturns!$C$2:$C$157)</f>
        <v>-0.16423640369825196</v>
      </c>
      <c r="D22" s="16">
        <f>CORREL(CSR_FactorReturns!$D$2:$D$157,CSR_FactorReturns!$D$2:$D$157)</f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workbookViewId="0"/>
  </sheetViews>
  <sheetFormatPr baseColWidth="10" defaultColWidth="8.83203125" defaultRowHeight="15" x14ac:dyDescent="0.2"/>
  <cols>
    <col min="1" max="1" width="34" customWidth="1"/>
    <col min="2" max="2" width="16" customWidth="1"/>
    <col min="3" max="5" width="10" customWidth="1"/>
    <col min="6" max="6" width="4" customWidth="1"/>
    <col min="7" max="7" width="3" customWidth="1"/>
    <col min="8" max="8" width="22" customWidth="1"/>
    <col min="9" max="9" width="16" customWidth="1"/>
    <col min="10" max="10" width="20" customWidth="1"/>
  </cols>
  <sheetData>
    <row r="1" spans="1:10" ht="16" x14ac:dyDescent="0.2">
      <c r="A1" s="2" t="s">
        <v>95</v>
      </c>
    </row>
    <row r="2" spans="1:10" ht="28" customHeight="1" x14ac:dyDescent="0.2">
      <c r="A2" s="36" t="s">
        <v>96</v>
      </c>
      <c r="B2" s="35"/>
      <c r="C2" s="35"/>
      <c r="D2" s="35"/>
      <c r="E2" s="35"/>
      <c r="F2" s="35"/>
    </row>
    <row r="4" spans="1:10" x14ac:dyDescent="0.2">
      <c r="A4" s="3" t="s">
        <v>58</v>
      </c>
      <c r="B4" s="3" t="s">
        <v>97</v>
      </c>
      <c r="C4" s="3" t="s">
        <v>59</v>
      </c>
      <c r="D4" s="3" t="s">
        <v>60</v>
      </c>
      <c r="E4" s="3" t="s">
        <v>61</v>
      </c>
    </row>
    <row r="5" spans="1:10" x14ac:dyDescent="0.2">
      <c r="A5" s="17" t="s">
        <v>48</v>
      </c>
      <c r="B5" s="18">
        <v>0.45</v>
      </c>
      <c r="C5" s="16">
        <f>INDEX(Exposures!$B$2:$B$11,MATCH($A5,Exposures!$A$2:$A$11,0))</f>
        <v>1</v>
      </c>
      <c r="D5" s="16">
        <f>INDEX(Exposures!$C$2:$C$11,MATCH($A5,Exposures!$A$2:$A$11,0))</f>
        <v>-0.11</v>
      </c>
      <c r="E5" s="16">
        <f>INDEX(Exposures!$D$2:$D$11,MATCH($A5,Exposures!$A$2:$A$11,0))</f>
        <v>0.63</v>
      </c>
    </row>
    <row r="6" spans="1:10" x14ac:dyDescent="0.2">
      <c r="A6" s="17" t="s">
        <v>51</v>
      </c>
      <c r="B6" s="18">
        <v>0.35</v>
      </c>
      <c r="C6" s="16">
        <f>INDEX(Exposures!$B$2:$B$11,MATCH($A6,Exposures!$A$2:$A$11,0))</f>
        <v>1</v>
      </c>
      <c r="D6" s="16">
        <f>INDEX(Exposures!$C$2:$C$11,MATCH($A6,Exposures!$A$2:$A$11,0))</f>
        <v>-1.22</v>
      </c>
      <c r="E6" s="16">
        <f>INDEX(Exposures!$D$2:$D$11,MATCH($A6,Exposures!$A$2:$A$11,0))</f>
        <v>1.33</v>
      </c>
    </row>
    <row r="7" spans="1:10" x14ac:dyDescent="0.2">
      <c r="A7" s="17" t="s">
        <v>54</v>
      </c>
      <c r="B7" s="18">
        <v>0.2</v>
      </c>
      <c r="C7" s="16">
        <f>INDEX(Exposures!$B$2:$B$11,MATCH($A7,Exposures!$A$2:$A$11,0))</f>
        <v>1</v>
      </c>
      <c r="D7" s="16">
        <f>INDEX(Exposures!$C$2:$C$11,MATCH($A7,Exposures!$A$2:$A$11,0))</f>
        <v>-0.45</v>
      </c>
      <c r="E7" s="16">
        <f>INDEX(Exposures!$D$2:$D$11,MATCH($A7,Exposures!$A$2:$A$11,0))</f>
        <v>-1.74</v>
      </c>
    </row>
    <row r="9" spans="1:10" x14ac:dyDescent="0.2">
      <c r="A9" s="10" t="s">
        <v>98</v>
      </c>
      <c r="B9" s="8">
        <f>SUM(B5:B7)</f>
        <v>1</v>
      </c>
    </row>
    <row r="11" spans="1:10" ht="16" x14ac:dyDescent="0.2">
      <c r="A11" s="2" t="s">
        <v>99</v>
      </c>
      <c r="H11" s="2" t="s">
        <v>100</v>
      </c>
    </row>
    <row r="12" spans="1:10" x14ac:dyDescent="0.2">
      <c r="D12" s="11" t="s">
        <v>59</v>
      </c>
      <c r="E12" s="11" t="s">
        <v>60</v>
      </c>
      <c r="F12" s="11" t="s">
        <v>61</v>
      </c>
      <c r="H12" s="3" t="s">
        <v>101</v>
      </c>
      <c r="I12" s="3" t="s">
        <v>102</v>
      </c>
      <c r="J12" s="3" t="s">
        <v>103</v>
      </c>
    </row>
    <row r="13" spans="1:10" x14ac:dyDescent="0.2">
      <c r="D13" s="13">
        <f>SUMPRODUCT($B$5:$B$7,C$5:C$7)</f>
        <v>1</v>
      </c>
      <c r="E13" s="13">
        <f>SUMPRODUCT($B$5:$B$7,D$5:D$7)</f>
        <v>-0.5665</v>
      </c>
      <c r="F13" s="13">
        <f>SUMPRODUCT($B$5:$B$7,E$5:E$7)</f>
        <v>0.40099999999999997</v>
      </c>
      <c r="H13" s="7" t="s">
        <v>59</v>
      </c>
      <c r="I13" s="15">
        <f t="array" ref="I13:I15">MMULT(FactorCovariance!$B$10:$D$12,TRANSPOSE(D13:F13))</f>
        <v>2.736606886838519E-2</v>
      </c>
      <c r="J13" s="15">
        <f>D13*I13</f>
        <v>2.736606886838519E-2</v>
      </c>
    </row>
    <row r="14" spans="1:10" x14ac:dyDescent="0.2">
      <c r="H14" s="7" t="s">
        <v>60</v>
      </c>
      <c r="I14" s="15">
        <v>-5.9871287528948901E-3</v>
      </c>
      <c r="J14" s="15">
        <f>E13*I14</f>
        <v>3.391708438514955E-3</v>
      </c>
    </row>
    <row r="15" spans="1:10" ht="16" x14ac:dyDescent="0.2">
      <c r="A15" s="2" t="s">
        <v>104</v>
      </c>
      <c r="H15" s="7" t="s">
        <v>61</v>
      </c>
      <c r="I15" s="15">
        <v>5.2418589207223545E-3</v>
      </c>
      <c r="J15" s="15">
        <f>F13*I15</f>
        <v>2.1019854272096641E-3</v>
      </c>
    </row>
    <row r="16" spans="1:10" x14ac:dyDescent="0.2">
      <c r="A16" t="s">
        <v>105</v>
      </c>
      <c r="B16" s="15">
        <f t="array" ref="B16">MMULT(MMULT(D13:F13,FactorCovariance!$B$10:$D$12),TRANSPOSE(D13:F13))</f>
        <v>3.2859762734109808E-2</v>
      </c>
      <c r="H16" s="10" t="s">
        <v>106</v>
      </c>
      <c r="J16" s="15">
        <f>SUM(J13:J15)</f>
        <v>3.2859762734109808E-2</v>
      </c>
    </row>
    <row r="18" spans="1:6" ht="16" x14ac:dyDescent="0.2">
      <c r="A18" s="2" t="s">
        <v>107</v>
      </c>
    </row>
    <row r="19" spans="1:6" ht="28" customHeight="1" x14ac:dyDescent="0.2">
      <c r="A19" s="36" t="s">
        <v>108</v>
      </c>
      <c r="B19" s="35"/>
      <c r="C19" s="35"/>
      <c r="D19" s="35"/>
      <c r="E19" s="35"/>
      <c r="F19" s="35"/>
    </row>
    <row r="20" spans="1:6" x14ac:dyDescent="0.2">
      <c r="A20" s="3" t="s">
        <v>58</v>
      </c>
      <c r="B20" s="3" t="s">
        <v>109</v>
      </c>
    </row>
    <row r="21" spans="1:6" x14ac:dyDescent="0.2">
      <c r="A21" s="19" t="str">
        <f>A5</f>
        <v>STK_C</v>
      </c>
      <c r="B21" s="15">
        <f>_xlfn.VAR.S(INDEX(CSR_FactorReturns!$Q$2:$Z$157,0,MATCH("Resid_"&amp;RIGHT(A21,1),CSR_FactorReturns!$Q$1:$Z$1,0)))*52</f>
        <v>4.1054427105472358E-2</v>
      </c>
    </row>
    <row r="22" spans="1:6" x14ac:dyDescent="0.2">
      <c r="A22" s="19" t="str">
        <f>A6</f>
        <v>STK_F</v>
      </c>
      <c r="B22" s="15">
        <f>_xlfn.VAR.S(INDEX(CSR_FactorReturns!$Q$2:$Z$157,0,MATCH("Resid_"&amp;RIGHT(A22,1),CSR_FactorReturns!$Q$1:$Z$1,0)))*52</f>
        <v>2.9749611579346157E-2</v>
      </c>
    </row>
    <row r="23" spans="1:6" x14ac:dyDescent="0.2">
      <c r="A23" s="19" t="str">
        <f>A7</f>
        <v>STK_I</v>
      </c>
      <c r="B23" s="15">
        <f>_xlfn.VAR.S(INDEX(CSR_FactorReturns!$Q$2:$Z$157,0,MATCH("Resid_"&amp;RIGHT(A23,1),CSR_FactorReturns!$Q$1:$Z$1,0)))*52</f>
        <v>3.1600535060546719E-2</v>
      </c>
    </row>
    <row r="25" spans="1:6" x14ac:dyDescent="0.2">
      <c r="A25" s="7" t="s">
        <v>110</v>
      </c>
      <c r="B25" s="15">
        <f>SUMPRODUCT(B5:B7^2,B21:B23)</f>
        <v>1.3221870309749926E-2</v>
      </c>
    </row>
    <row r="27" spans="1:6" ht="16" x14ac:dyDescent="0.2">
      <c r="A27" s="2" t="s">
        <v>111</v>
      </c>
    </row>
    <row r="28" spans="1:6" x14ac:dyDescent="0.2">
      <c r="A28" t="s">
        <v>112</v>
      </c>
      <c r="B28" s="15">
        <f>B16+B25</f>
        <v>4.6081633043859732E-2</v>
      </c>
    </row>
    <row r="29" spans="1:6" ht="16" x14ac:dyDescent="0.2">
      <c r="A29" t="s">
        <v>113</v>
      </c>
      <c r="B29" s="20">
        <f>SQRT(B28)</f>
        <v>0.2146663295532388</v>
      </c>
    </row>
    <row r="31" spans="1:6" ht="16" x14ac:dyDescent="0.2">
      <c r="A31" s="2" t="s">
        <v>114</v>
      </c>
    </row>
    <row r="32" spans="1:6" x14ac:dyDescent="0.2">
      <c r="A32" t="s">
        <v>115</v>
      </c>
      <c r="B32" s="8">
        <f>B16/B28</f>
        <v>0.71307721891788067</v>
      </c>
    </row>
    <row r="33" spans="1:2" x14ac:dyDescent="0.2">
      <c r="A33" t="s">
        <v>116</v>
      </c>
      <c r="B33" s="8">
        <f>B25/B28</f>
        <v>0.28692278108211938</v>
      </c>
    </row>
  </sheetData>
  <mergeCells count="2">
    <mergeCell ref="A19:F19"/>
    <mergeCell ref="A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07"/>
  <sheetViews>
    <sheetView showGridLines="0" workbookViewId="0"/>
  </sheetViews>
  <sheetFormatPr baseColWidth="10" defaultColWidth="8.83203125" defaultRowHeight="15" x14ac:dyDescent="0.2"/>
  <cols>
    <col min="1" max="1" width="16" customWidth="1"/>
    <col min="2" max="2" width="15" customWidth="1"/>
    <col min="3" max="3" width="17" customWidth="1"/>
    <col min="4" max="10" width="13" customWidth="1"/>
  </cols>
  <sheetData>
    <row r="1" spans="1:10" ht="19" x14ac:dyDescent="0.25">
      <c r="A1" s="21" t="s">
        <v>117</v>
      </c>
      <c r="B1" s="22"/>
      <c r="C1" s="22"/>
      <c r="D1" s="22"/>
      <c r="E1" s="22"/>
      <c r="F1" s="22"/>
      <c r="G1" s="22"/>
    </row>
    <row r="3" spans="1:10" x14ac:dyDescent="0.2">
      <c r="A3" s="23" t="s">
        <v>118</v>
      </c>
    </row>
    <row r="4" spans="1:10" x14ac:dyDescent="0.2">
      <c r="A4" s="23" t="s">
        <v>119</v>
      </c>
    </row>
    <row r="5" spans="1:10" x14ac:dyDescent="0.2">
      <c r="A5" s="23" t="s">
        <v>120</v>
      </c>
    </row>
    <row r="7" spans="1:10" ht="16" x14ac:dyDescent="0.2">
      <c r="A7" s="2" t="s">
        <v>121</v>
      </c>
    </row>
    <row r="8" spans="1:10" x14ac:dyDescent="0.2">
      <c r="A8" s="23" t="s">
        <v>122</v>
      </c>
    </row>
    <row r="9" spans="1:10" x14ac:dyDescent="0.2">
      <c r="A9" s="23" t="s">
        <v>123</v>
      </c>
    </row>
    <row r="10" spans="1:10" x14ac:dyDescent="0.2">
      <c r="A10" s="23" t="s">
        <v>124</v>
      </c>
    </row>
    <row r="11" spans="1:10" x14ac:dyDescent="0.2">
      <c r="A11" s="23" t="s">
        <v>125</v>
      </c>
    </row>
    <row r="13" spans="1:10" x14ac:dyDescent="0.2">
      <c r="A13" s="24" t="s">
        <v>58</v>
      </c>
      <c r="B13" s="24" t="s">
        <v>126</v>
      </c>
      <c r="C13" s="24" t="s">
        <v>127</v>
      </c>
      <c r="H13" s="25" t="s">
        <v>128</v>
      </c>
    </row>
    <row r="14" spans="1:10" x14ac:dyDescent="0.2">
      <c r="A14" t="s">
        <v>46</v>
      </c>
      <c r="B14" s="26">
        <f>_xlfn.VAR.S(CSR_FactorReturns!Q2:Q157)*52</f>
        <v>2.8717600865008786E-2</v>
      </c>
      <c r="C14" s="27">
        <f t="shared" ref="C14:C23" si="0">1/B14</f>
        <v>34.821850359319491</v>
      </c>
      <c r="H14">
        <f t="array" ref="H14:J14">Exposures!$B2:$D2*$C14</f>
        <v>34.821850359319491</v>
      </c>
      <c r="I14">
        <v>11.142992114982237</v>
      </c>
      <c r="J14">
        <v>37.955816891658245</v>
      </c>
    </row>
    <row r="15" spans="1:10" x14ac:dyDescent="0.2">
      <c r="A15" t="s">
        <v>47</v>
      </c>
      <c r="B15" s="26">
        <f>_xlfn.VAR.S(CSR_FactorReturns!R2:R157)*52</f>
        <v>2.8119684238740335E-2</v>
      </c>
      <c r="C15" s="27">
        <f t="shared" si="0"/>
        <v>35.562276998199913</v>
      </c>
      <c r="H15">
        <f t="array" ref="H15:J15">Exposures!$B3:$D3*$C15</f>
        <v>35.562276998199913</v>
      </c>
      <c r="I15">
        <v>27.738576058595932</v>
      </c>
      <c r="J15">
        <v>33.072917608325923</v>
      </c>
    </row>
    <row r="16" spans="1:10" x14ac:dyDescent="0.2">
      <c r="A16" t="s">
        <v>48</v>
      </c>
      <c r="B16" s="26">
        <f>_xlfn.VAR.S(CSR_FactorReturns!S2:S157)*52</f>
        <v>4.1054427105472358E-2</v>
      </c>
      <c r="C16" s="27">
        <f t="shared" si="0"/>
        <v>24.357909012611817</v>
      </c>
      <c r="H16">
        <f t="array" ref="H16:J16">Exposures!$B4:$D4*$C16</f>
        <v>24.357909012611817</v>
      </c>
      <c r="I16">
        <v>-2.6793699913872997</v>
      </c>
      <c r="J16">
        <v>15.345482677945444</v>
      </c>
    </row>
    <row r="17" spans="1:10" x14ac:dyDescent="0.2">
      <c r="A17" t="s">
        <v>49</v>
      </c>
      <c r="B17" s="26">
        <f>_xlfn.VAR.S(CSR_FactorReturns!T2:T157)*52</f>
        <v>2.6658820512778014E-2</v>
      </c>
      <c r="C17" s="27">
        <f t="shared" si="0"/>
        <v>37.511036901301892</v>
      </c>
      <c r="H17">
        <f t="array" ref="H17:J17">Exposures!$B5:$D5*$C17</f>
        <v>37.511036901301892</v>
      </c>
      <c r="I17">
        <v>-40.136809484393027</v>
      </c>
      <c r="J17">
        <v>-22.131511771768114</v>
      </c>
    </row>
    <row r="18" spans="1:10" x14ac:dyDescent="0.2">
      <c r="A18" t="s">
        <v>50</v>
      </c>
      <c r="B18" s="26">
        <f>_xlfn.VAR.S(CSR_FactorReturns!U2:U157)*52</f>
        <v>2.2124368227240281E-2</v>
      </c>
      <c r="C18" s="27">
        <f t="shared" si="0"/>
        <v>45.199030757803321</v>
      </c>
      <c r="H18">
        <f t="array" ref="H18:J18">Exposures!$B6:$D6*$C18</f>
        <v>45.199030757803321</v>
      </c>
      <c r="I18">
        <v>-17.627621995543297</v>
      </c>
      <c r="J18">
        <v>21.243544456167559</v>
      </c>
    </row>
    <row r="19" spans="1:10" x14ac:dyDescent="0.2">
      <c r="A19" t="s">
        <v>51</v>
      </c>
      <c r="B19" s="26">
        <f>_xlfn.VAR.S(CSR_FactorReturns!V2:V157)*52</f>
        <v>2.9749611579346157E-2</v>
      </c>
      <c r="C19" s="27">
        <f t="shared" si="0"/>
        <v>33.613884246282261</v>
      </c>
      <c r="H19">
        <f t="array" ref="H19:J19">Exposures!$B7:$D7*$C19</f>
        <v>33.613884246282261</v>
      </c>
      <c r="I19">
        <v>-41.008938780464355</v>
      </c>
      <c r="J19">
        <v>44.706466047555409</v>
      </c>
    </row>
    <row r="20" spans="1:10" x14ac:dyDescent="0.2">
      <c r="A20" t="s">
        <v>52</v>
      </c>
      <c r="B20" s="26">
        <f>_xlfn.VAR.S(CSR_FactorReturns!W2:W157)*52</f>
        <v>3.1945610176876915E-2</v>
      </c>
      <c r="C20" s="27">
        <f t="shared" si="0"/>
        <v>31.303205494062738</v>
      </c>
      <c r="H20">
        <f t="array" ref="H20:J20">Exposures!$B8:$D8*$C20</f>
        <v>31.303205494062738</v>
      </c>
      <c r="I20">
        <v>12.834314252565722</v>
      </c>
      <c r="J20">
        <v>-33.80746193358776</v>
      </c>
    </row>
    <row r="21" spans="1:10" x14ac:dyDescent="0.2">
      <c r="A21" t="s">
        <v>53</v>
      </c>
      <c r="B21" s="26">
        <f>_xlfn.VAR.S(CSR_FactorReturns!X2:X157)*52</f>
        <v>1.7829636078076458E-2</v>
      </c>
      <c r="C21" s="27">
        <f t="shared" si="0"/>
        <v>56.086394339232335</v>
      </c>
      <c r="H21">
        <f t="array" ref="H21:J21">Exposures!$B9:$D9*$C21</f>
        <v>56.086394339232335</v>
      </c>
      <c r="I21">
        <v>134.04648247076528</v>
      </c>
      <c r="J21">
        <v>-1.68259183017697</v>
      </c>
    </row>
    <row r="22" spans="1:10" x14ac:dyDescent="0.2">
      <c r="A22" t="s">
        <v>54</v>
      </c>
      <c r="B22" s="26">
        <f>_xlfn.VAR.S(CSR_FactorReturns!Y2:Y157)*52</f>
        <v>3.1600535060546719E-2</v>
      </c>
      <c r="C22" s="27">
        <f t="shared" si="0"/>
        <v>31.645033797180872</v>
      </c>
      <c r="H22">
        <f t="array" ref="H22:J22">Exposures!$B10:$D10*$C22</f>
        <v>31.645033797180872</v>
      </c>
      <c r="I22">
        <v>-14.240265208731392</v>
      </c>
      <c r="J22">
        <v>-55.062358807094718</v>
      </c>
    </row>
    <row r="23" spans="1:10" x14ac:dyDescent="0.2">
      <c r="A23" t="s">
        <v>55</v>
      </c>
      <c r="B23" s="26">
        <f>_xlfn.VAR.S(CSR_FactorReturns!Z2:Z157)*52</f>
        <v>3.1553287297683127E-2</v>
      </c>
      <c r="C23" s="27">
        <f t="shared" si="0"/>
        <v>31.692418940876163</v>
      </c>
      <c r="H23">
        <f t="array" ref="H23:J23">Exposures!$B11:$D11*$C23</f>
        <v>31.692418940876163</v>
      </c>
      <c r="I23">
        <v>-20.600072311569505</v>
      </c>
      <c r="J23">
        <v>-32.009343130284925</v>
      </c>
    </row>
    <row r="25" spans="1:10" x14ac:dyDescent="0.2">
      <c r="D25" s="28" t="s">
        <v>129</v>
      </c>
    </row>
    <row r="26" spans="1:10" x14ac:dyDescent="0.2">
      <c r="D26" s="24" t="s">
        <v>59</v>
      </c>
      <c r="E26" s="24" t="s">
        <v>60</v>
      </c>
      <c r="F26" s="24" t="s">
        <v>61</v>
      </c>
    </row>
    <row r="27" spans="1:10" x14ac:dyDescent="0.2">
      <c r="D27">
        <f t="array" ref="D27:F29">MMULT(TRANSPOSE(Exposures!$B$2:$D$11),H14:J23)</f>
        <v>361.79304084687078</v>
      </c>
      <c r="E27">
        <v>49.469287124820298</v>
      </c>
      <c r="F27">
        <v>7.6309602087400634</v>
      </c>
    </row>
    <row r="28" spans="1:10" x14ac:dyDescent="0.2">
      <c r="D28">
        <v>49.469287124820298</v>
      </c>
      <c r="E28">
        <v>470.77996983541095</v>
      </c>
      <c r="F28">
        <v>24.81026135610368</v>
      </c>
    </row>
    <row r="29" spans="1:10" x14ac:dyDescent="0.2">
      <c r="D29">
        <v>7.6309602087400634</v>
      </c>
      <c r="E29">
        <v>24.810261356103677</v>
      </c>
      <c r="F29">
        <v>328.99944308685951</v>
      </c>
    </row>
    <row r="31" spans="1:10" x14ac:dyDescent="0.2">
      <c r="D31" s="28" t="s">
        <v>130</v>
      </c>
    </row>
    <row r="32" spans="1:10" x14ac:dyDescent="0.2">
      <c r="D32" s="24" t="s">
        <v>59</v>
      </c>
      <c r="E32" s="24" t="s">
        <v>60</v>
      </c>
      <c r="F32" s="24" t="s">
        <v>61</v>
      </c>
    </row>
    <row r="33" spans="1:6" x14ac:dyDescent="0.2">
      <c r="D33">
        <f t="array" ref="D33:F35">MINVERSE(D27:F29)</f>
        <v>2.8049089285288988E-3</v>
      </c>
      <c r="E33">
        <v>-2.9247195583698615E-4</v>
      </c>
      <c r="F33">
        <v>-4.300263437030234E-5</v>
      </c>
    </row>
    <row r="34" spans="1:6" x14ac:dyDescent="0.2">
      <c r="D34">
        <v>-2.9247195583698615E-4</v>
      </c>
      <c r="E34">
        <v>2.1631064448827484E-3</v>
      </c>
      <c r="F34">
        <v>-1.5633884938786756E-4</v>
      </c>
    </row>
    <row r="35" spans="1:6" x14ac:dyDescent="0.2">
      <c r="D35">
        <v>-4.3002634370302347E-5</v>
      </c>
      <c r="E35">
        <v>-1.5633884938786756E-4</v>
      </c>
      <c r="F35">
        <v>3.052305954329699E-3</v>
      </c>
    </row>
    <row r="37" spans="1:6" x14ac:dyDescent="0.2">
      <c r="A37" s="28" t="s">
        <v>131</v>
      </c>
    </row>
    <row r="38" spans="1:6" x14ac:dyDescent="0.2">
      <c r="B38" s="24" t="s">
        <v>59</v>
      </c>
      <c r="C38" s="24" t="s">
        <v>60</v>
      </c>
      <c r="D38" s="24" t="s">
        <v>61</v>
      </c>
    </row>
    <row r="39" spans="1:6" x14ac:dyDescent="0.2">
      <c r="A39" t="s">
        <v>46</v>
      </c>
      <c r="B39">
        <f t="array" ref="B39:D48">MMULT(H14:J23,D33:F35)</f>
        <v>9.2780906166989391E-2</v>
      </c>
      <c r="C39">
        <v>7.9850946383242544E-3</v>
      </c>
      <c r="D39">
        <v>0.11261325203476262</v>
      </c>
    </row>
    <row r="40" spans="1:6" x14ac:dyDescent="0.2">
      <c r="A40" t="s">
        <v>47</v>
      </c>
      <c r="B40">
        <v>9.0213970095608303E-2</v>
      </c>
      <c r="C40">
        <v>4.4429942051753553E-2</v>
      </c>
      <c r="D40">
        <v>9.5082774683161023E-2</v>
      </c>
    </row>
    <row r="41" spans="1:6" x14ac:dyDescent="0.2">
      <c r="A41" t="s">
        <v>48</v>
      </c>
      <c r="B41">
        <v>6.8445460870725908E-2</v>
      </c>
      <c r="C41">
        <v>-1.5318862890784676E-2</v>
      </c>
      <c r="D41">
        <v>4.6210543516199569E-2</v>
      </c>
    </row>
    <row r="42" spans="1:6" x14ac:dyDescent="0.2">
      <c r="A42" t="s">
        <v>49</v>
      </c>
      <c r="B42">
        <v>0.11790564680257898</v>
      </c>
      <c r="C42">
        <v>-9.4331102515106416E-2</v>
      </c>
      <c r="D42">
        <v>-6.2890275951113184E-2</v>
      </c>
    </row>
    <row r="43" spans="1:6" x14ac:dyDescent="0.2">
      <c r="A43" t="s">
        <v>50</v>
      </c>
      <c r="B43">
        <v>0.13102122164022864</v>
      </c>
      <c r="C43">
        <v>-5.467106297138468E-2</v>
      </c>
      <c r="D43">
        <v>6.5654001981285542E-2</v>
      </c>
    </row>
    <row r="44" spans="1:6" x14ac:dyDescent="0.2">
      <c r="A44" t="s">
        <v>51</v>
      </c>
      <c r="B44">
        <v>0.10435535276342429</v>
      </c>
      <c r="C44">
        <v>-0.10552717570468532</v>
      </c>
      <c r="D44">
        <v>0.14142361724353864</v>
      </c>
    </row>
    <row r="45" spans="1:6" x14ac:dyDescent="0.2">
      <c r="A45" t="s">
        <v>52</v>
      </c>
      <c r="B45">
        <v>8.5502773515115038E-2</v>
      </c>
      <c r="C45">
        <v>2.3892097839981051E-2</v>
      </c>
      <c r="D45">
        <v>-0.10654333958407261</v>
      </c>
    </row>
    <row r="46" spans="1:6" x14ac:dyDescent="0.2">
      <c r="A46" t="s">
        <v>53</v>
      </c>
      <c r="B46">
        <v>0.11818474723108002</v>
      </c>
      <c r="C46">
        <v>0.27381616716885426</v>
      </c>
      <c r="D46">
        <v>-2.8504320604844674E-2</v>
      </c>
    </row>
    <row r="47" spans="1:6" x14ac:dyDescent="0.2">
      <c r="A47" t="s">
        <v>54</v>
      </c>
      <c r="B47">
        <v>9.5294142541894347E-2</v>
      </c>
      <c r="C47">
        <v>-3.1450108556552371E-2</v>
      </c>
      <c r="D47">
        <v>-0.16720167878663844</v>
      </c>
    </row>
    <row r="48" spans="1:6" x14ac:dyDescent="0.2">
      <c r="A48" t="s">
        <v>55</v>
      </c>
      <c r="B48">
        <v>9.6295778372355201E-2</v>
      </c>
      <c r="C48">
        <v>-4.8824989060399664E-2</v>
      </c>
      <c r="D48">
        <v>-9.5844574532278418E-2</v>
      </c>
    </row>
    <row r="50" spans="1:4" x14ac:dyDescent="0.2">
      <c r="A50" s="28" t="s">
        <v>132</v>
      </c>
    </row>
    <row r="51" spans="1:4" x14ac:dyDescent="0.2">
      <c r="A51" s="24" t="s">
        <v>45</v>
      </c>
      <c r="B51" s="24" t="s">
        <v>133</v>
      </c>
      <c r="C51" s="24" t="s">
        <v>134</v>
      </c>
      <c r="D51" s="24" t="s">
        <v>135</v>
      </c>
    </row>
    <row r="52" spans="1:4" x14ac:dyDescent="0.2">
      <c r="A52" s="29">
        <f>CSR_FactorReturns!A2</f>
        <v>44932</v>
      </c>
      <c r="B52">
        <f t="array" ref="B52:D52">MMULT(Returns!B2:K2,$B$39:$D$48)</f>
        <v>-4.1045136910274761E-2</v>
      </c>
      <c r="C52">
        <v>-5.1774800471347457E-3</v>
      </c>
      <c r="D52">
        <v>5.4861921692344502E-3</v>
      </c>
    </row>
    <row r="53" spans="1:4" x14ac:dyDescent="0.2">
      <c r="A53" s="29">
        <f>CSR_FactorReturns!A3</f>
        <v>44939</v>
      </c>
      <c r="B53">
        <f t="array" ref="B53:D53">MMULT(Returns!B3:K3,$B$39:$D$48)</f>
        <v>-7.7205822815097557E-3</v>
      </c>
      <c r="C53">
        <v>2.3869608639346715E-2</v>
      </c>
      <c r="D53">
        <v>-2.3313165152039867E-2</v>
      </c>
    </row>
    <row r="54" spans="1:4" x14ac:dyDescent="0.2">
      <c r="A54" s="29">
        <f>CSR_FactorReturns!A4</f>
        <v>44946</v>
      </c>
      <c r="B54">
        <f t="array" ref="B54:D54">MMULT(Returns!B4:K4,$B$39:$D$48)</f>
        <v>-6.5950462905274721E-3</v>
      </c>
      <c r="C54">
        <v>1.2165119062756002E-2</v>
      </c>
      <c r="D54">
        <v>-1.5825805524731323E-2</v>
      </c>
    </row>
    <row r="55" spans="1:4" x14ac:dyDescent="0.2">
      <c r="A55" s="29">
        <f>CSR_FactorReturns!A5</f>
        <v>44953</v>
      </c>
      <c r="B55">
        <f t="array" ref="B55:D55">MMULT(Returns!B5:K5,$B$39:$D$48)</f>
        <v>-1.5440195811153074E-2</v>
      </c>
      <c r="C55">
        <v>3.3376617075039508E-3</v>
      </c>
      <c r="D55">
        <v>1.1972558205513083E-2</v>
      </c>
    </row>
    <row r="56" spans="1:4" x14ac:dyDescent="0.2">
      <c r="A56" s="29">
        <f>CSR_FactorReturns!A6</f>
        <v>44960</v>
      </c>
      <c r="B56">
        <f t="array" ref="B56:D56">MMULT(Returns!B6:K6,$B$39:$D$48)</f>
        <v>-3.8772062995822185E-2</v>
      </c>
      <c r="C56">
        <v>-1.0337790120157361E-2</v>
      </c>
      <c r="D56">
        <v>1.3714454253542924E-2</v>
      </c>
    </row>
    <row r="57" spans="1:4" x14ac:dyDescent="0.2">
      <c r="A57" s="29">
        <f>CSR_FactorReturns!A7</f>
        <v>44967</v>
      </c>
      <c r="B57">
        <f t="array" ref="B57:D57">MMULT(Returns!B7:K7,$B$39:$D$48)</f>
        <v>-3.8487854784366719E-2</v>
      </c>
      <c r="C57">
        <v>-1.220846100949665E-2</v>
      </c>
      <c r="D57">
        <v>-5.8034720074288879E-3</v>
      </c>
    </row>
    <row r="58" spans="1:4" x14ac:dyDescent="0.2">
      <c r="A58" s="29">
        <f>CSR_FactorReturns!A8</f>
        <v>44974</v>
      </c>
      <c r="B58">
        <f t="array" ref="B58:D58">MMULT(Returns!B8:K8,$B$39:$D$48)</f>
        <v>-1.0962274103335527E-2</v>
      </c>
      <c r="C58">
        <v>-3.6626116889190014E-3</v>
      </c>
      <c r="D58">
        <v>7.1467242920922082E-3</v>
      </c>
    </row>
    <row r="59" spans="1:4" x14ac:dyDescent="0.2">
      <c r="A59" s="29">
        <f>CSR_FactorReturns!A9</f>
        <v>44981</v>
      </c>
      <c r="B59">
        <f t="array" ref="B59:D59">MMULT(Returns!B9:K9,$B$39:$D$48)</f>
        <v>-4.3700860855968839E-2</v>
      </c>
      <c r="C59">
        <v>-5.3201804456309027E-3</v>
      </c>
      <c r="D59">
        <v>4.9603617093279886E-3</v>
      </c>
    </row>
    <row r="60" spans="1:4" x14ac:dyDescent="0.2">
      <c r="A60" s="29">
        <f>CSR_FactorReturns!A10</f>
        <v>44988</v>
      </c>
      <c r="B60">
        <f t="array" ref="B60:D60">MMULT(Returns!B10:K10,$B$39:$D$48)</f>
        <v>5.6866492417674379E-4</v>
      </c>
      <c r="C60">
        <v>-1.3693770043248343E-2</v>
      </c>
      <c r="D60">
        <v>7.4705449995821393E-3</v>
      </c>
    </row>
    <row r="61" spans="1:4" x14ac:dyDescent="0.2">
      <c r="A61" s="29">
        <f>CSR_FactorReturns!A11</f>
        <v>44995</v>
      </c>
      <c r="B61">
        <f t="array" ref="B61:D61">MMULT(Returns!B11:K11,$B$39:$D$48)</f>
        <v>2.6640663158476914E-2</v>
      </c>
      <c r="C61">
        <v>2.3969260604823229E-2</v>
      </c>
      <c r="D61">
        <v>-4.3046207715615112E-3</v>
      </c>
    </row>
    <row r="62" spans="1:4" x14ac:dyDescent="0.2">
      <c r="A62" s="29">
        <f>CSR_FactorReturns!A12</f>
        <v>45002</v>
      </c>
      <c r="B62">
        <f t="array" ref="B62:D62">MMULT(Returns!B12:K12,$B$39:$D$48)</f>
        <v>-8.1417868434903833E-3</v>
      </c>
      <c r="C62">
        <v>-9.1498042001160341E-3</v>
      </c>
      <c r="D62">
        <v>1.0981292012977385E-2</v>
      </c>
    </row>
    <row r="63" spans="1:4" x14ac:dyDescent="0.2">
      <c r="A63" s="29">
        <f>CSR_FactorReturns!A13</f>
        <v>45009</v>
      </c>
      <c r="B63">
        <f t="array" ref="B63:D63">MMULT(Returns!B13:K13,$B$39:$D$48)</f>
        <v>-3.8166115519681215E-2</v>
      </c>
      <c r="C63">
        <v>-3.7856535687054466E-2</v>
      </c>
      <c r="D63">
        <v>-8.6989785401249946E-3</v>
      </c>
    </row>
    <row r="64" spans="1:4" x14ac:dyDescent="0.2">
      <c r="A64" s="29">
        <f>CSR_FactorReturns!A14</f>
        <v>45016</v>
      </c>
      <c r="B64">
        <f t="array" ref="B64:D64">MMULT(Returns!B14:K14,$B$39:$D$48)</f>
        <v>3.979193104783639E-2</v>
      </c>
      <c r="C64">
        <v>2.6403057015374123E-3</v>
      </c>
      <c r="D64">
        <v>-1.2541958674047789E-2</v>
      </c>
    </row>
    <row r="65" spans="1:4" x14ac:dyDescent="0.2">
      <c r="A65" s="29">
        <f>CSR_FactorReturns!A15</f>
        <v>45023</v>
      </c>
      <c r="B65">
        <f t="array" ref="B65:D65">MMULT(Returns!B15:K15,$B$39:$D$48)</f>
        <v>-8.5774028216875457E-3</v>
      </c>
      <c r="C65">
        <v>-5.8912945099804451E-3</v>
      </c>
      <c r="D65">
        <v>-1.4671440857973804E-2</v>
      </c>
    </row>
    <row r="66" spans="1:4" x14ac:dyDescent="0.2">
      <c r="A66" s="29">
        <f>CSR_FactorReturns!A16</f>
        <v>45030</v>
      </c>
      <c r="B66">
        <f t="array" ref="B66:D66">MMULT(Returns!B16:K16,$B$39:$D$48)</f>
        <v>-1.1720208086608078E-2</v>
      </c>
      <c r="C66">
        <v>1.066212939246652E-2</v>
      </c>
      <c r="D66">
        <v>-1.1057419486949472E-3</v>
      </c>
    </row>
    <row r="67" spans="1:4" x14ac:dyDescent="0.2">
      <c r="A67" s="29">
        <f>CSR_FactorReturns!A17</f>
        <v>45037</v>
      </c>
      <c r="B67">
        <f t="array" ref="B67:D67">MMULT(Returns!B17:K17,$B$39:$D$48)</f>
        <v>1.6070062100534695E-2</v>
      </c>
      <c r="C67">
        <v>7.5167752891965416E-3</v>
      </c>
      <c r="D67">
        <v>4.4053275065226291E-3</v>
      </c>
    </row>
    <row r="68" spans="1:4" x14ac:dyDescent="0.2">
      <c r="A68" s="29">
        <f>CSR_FactorReturns!A18</f>
        <v>45044</v>
      </c>
      <c r="B68">
        <f t="array" ref="B68:D68">MMULT(Returns!B18:K18,$B$39:$D$48)</f>
        <v>1.6151205077146433E-2</v>
      </c>
      <c r="C68">
        <v>3.4201701731981393E-2</v>
      </c>
      <c r="D68">
        <v>-8.3832482646036162E-3</v>
      </c>
    </row>
    <row r="69" spans="1:4" x14ac:dyDescent="0.2">
      <c r="A69" s="29">
        <f>CSR_FactorReturns!A19</f>
        <v>45051</v>
      </c>
      <c r="B69">
        <f t="array" ref="B69:D69">MMULT(Returns!B19:K19,$B$39:$D$48)</f>
        <v>-1.683095129815617E-2</v>
      </c>
      <c r="C69">
        <v>-1.1286611422508103E-2</v>
      </c>
      <c r="D69">
        <v>3.9682607564783569E-3</v>
      </c>
    </row>
    <row r="70" spans="1:4" x14ac:dyDescent="0.2">
      <c r="A70" s="29">
        <f>CSR_FactorReturns!A20</f>
        <v>45058</v>
      </c>
      <c r="B70">
        <f t="array" ref="B70:D70">MMULT(Returns!B20:K20,$B$39:$D$48)</f>
        <v>-5.8427007351907669E-3</v>
      </c>
      <c r="C70">
        <v>-1.9227724053363465E-2</v>
      </c>
      <c r="D70">
        <v>-5.5755345829100961E-3</v>
      </c>
    </row>
    <row r="71" spans="1:4" x14ac:dyDescent="0.2">
      <c r="A71" s="29">
        <f>CSR_FactorReturns!A21</f>
        <v>45065</v>
      </c>
      <c r="B71">
        <f t="array" ref="B71:D71">MMULT(Returns!B21:K21,$B$39:$D$48)</f>
        <v>-2.1948003429287568E-3</v>
      </c>
      <c r="C71">
        <v>4.1806394448126311E-2</v>
      </c>
      <c r="D71">
        <v>-1.0212275828884917E-2</v>
      </c>
    </row>
    <row r="72" spans="1:4" x14ac:dyDescent="0.2">
      <c r="A72" s="29">
        <f>CSR_FactorReturns!A22</f>
        <v>45072</v>
      </c>
      <c r="B72">
        <f t="array" ref="B72:D72">MMULT(Returns!B22:K22,$B$39:$D$48)</f>
        <v>2.1461137434445974E-2</v>
      </c>
      <c r="C72">
        <v>-4.1714921560475366E-3</v>
      </c>
      <c r="D72">
        <v>-1.0842276347611784E-2</v>
      </c>
    </row>
    <row r="73" spans="1:4" x14ac:dyDescent="0.2">
      <c r="A73" s="29">
        <f>CSR_FactorReturns!A23</f>
        <v>45079</v>
      </c>
      <c r="B73">
        <f t="array" ref="B73:D73">MMULT(Returns!B23:K23,$B$39:$D$48)</f>
        <v>1.9454482864256901E-2</v>
      </c>
      <c r="C73">
        <v>-2.419446938605289E-3</v>
      </c>
      <c r="D73">
        <v>1.4740122878309085E-2</v>
      </c>
    </row>
    <row r="74" spans="1:4" x14ac:dyDescent="0.2">
      <c r="A74" s="29">
        <f>CSR_FactorReturns!A24</f>
        <v>45086</v>
      </c>
      <c r="B74">
        <f t="array" ref="B74:D74">MMULT(Returns!B24:K24,$B$39:$D$48)</f>
        <v>-1.9085323565906014E-2</v>
      </c>
      <c r="C74">
        <v>1.3006927578457023E-2</v>
      </c>
      <c r="D74">
        <v>-3.2859623360197175E-2</v>
      </c>
    </row>
    <row r="75" spans="1:4" x14ac:dyDescent="0.2">
      <c r="A75" s="29">
        <f>CSR_FactorReturns!A25</f>
        <v>45093</v>
      </c>
      <c r="B75">
        <f t="array" ref="B75:D75">MMULT(Returns!B25:K25,$B$39:$D$48)</f>
        <v>-6.3445011967207809E-2</v>
      </c>
      <c r="C75">
        <v>-1.2478501164344262E-2</v>
      </c>
      <c r="D75">
        <v>-2.7484359359623883E-2</v>
      </c>
    </row>
    <row r="76" spans="1:4" x14ac:dyDescent="0.2">
      <c r="A76" s="29">
        <f>CSR_FactorReturns!A26</f>
        <v>45100</v>
      </c>
      <c r="B76">
        <f t="array" ref="B76:D76">MMULT(Returns!B26:K26,$B$39:$D$48)</f>
        <v>1.8164609369084386E-2</v>
      </c>
      <c r="C76">
        <v>4.409447221696939E-2</v>
      </c>
      <c r="D76">
        <v>-3.0571695675310741E-2</v>
      </c>
    </row>
    <row r="77" spans="1:4" x14ac:dyDescent="0.2">
      <c r="A77" s="29">
        <f>CSR_FactorReturns!A27</f>
        <v>45107</v>
      </c>
      <c r="B77">
        <f t="array" ref="B77:D77">MMULT(Returns!B27:K27,$B$39:$D$48)</f>
        <v>-1.7073891290476942E-2</v>
      </c>
      <c r="C77">
        <v>4.1269804296708229E-3</v>
      </c>
      <c r="D77">
        <v>1.6463468781963201E-2</v>
      </c>
    </row>
    <row r="78" spans="1:4" x14ac:dyDescent="0.2">
      <c r="A78" s="29">
        <f>CSR_FactorReturns!A28</f>
        <v>45114</v>
      </c>
      <c r="B78">
        <f t="array" ref="B78:D78">MMULT(Returns!B28:K28,$B$39:$D$48)</f>
        <v>7.1406762259003109E-3</v>
      </c>
      <c r="C78">
        <v>1.1151540101139265E-2</v>
      </c>
      <c r="D78">
        <v>6.9902693010359127E-3</v>
      </c>
    </row>
    <row r="79" spans="1:4" x14ac:dyDescent="0.2">
      <c r="A79" s="29">
        <f>CSR_FactorReturns!A29</f>
        <v>45121</v>
      </c>
      <c r="B79">
        <f t="array" ref="B79:D79">MMULT(Returns!B29:K29,$B$39:$D$48)</f>
        <v>1.0489055520041779E-2</v>
      </c>
      <c r="C79">
        <v>-1.0959478828066745E-2</v>
      </c>
      <c r="D79">
        <v>-6.5161594702911408E-3</v>
      </c>
    </row>
    <row r="80" spans="1:4" x14ac:dyDescent="0.2">
      <c r="A80" s="29">
        <f>CSR_FactorReturns!A30</f>
        <v>45128</v>
      </c>
      <c r="B80">
        <f t="array" ref="B80:D80">MMULT(Returns!B30:K30,$B$39:$D$48)</f>
        <v>-1.5441080489832094E-2</v>
      </c>
      <c r="C80">
        <v>-3.2650239236189871E-2</v>
      </c>
      <c r="D80">
        <v>1.9373328146024271E-2</v>
      </c>
    </row>
    <row r="81" spans="1:4" x14ac:dyDescent="0.2">
      <c r="A81" s="29">
        <f>CSR_FactorReturns!A31</f>
        <v>45135</v>
      </c>
      <c r="B81">
        <f t="array" ref="B81:D81">MMULT(Returns!B31:K31,$B$39:$D$48)</f>
        <v>-2.7457319979469125E-2</v>
      </c>
      <c r="C81">
        <v>3.9030305955829378E-4</v>
      </c>
      <c r="D81">
        <v>2.3153131780371313E-3</v>
      </c>
    </row>
    <row r="82" spans="1:4" x14ac:dyDescent="0.2">
      <c r="A82" s="29">
        <f>CSR_FactorReturns!A32</f>
        <v>45142</v>
      </c>
      <c r="B82">
        <f t="array" ref="B82:D82">MMULT(Returns!B32:K32,$B$39:$D$48)</f>
        <v>7.7398016135538355E-3</v>
      </c>
      <c r="C82">
        <v>-8.7553620093315607E-3</v>
      </c>
      <c r="D82">
        <v>-1.5435532902032732E-2</v>
      </c>
    </row>
    <row r="83" spans="1:4" x14ac:dyDescent="0.2">
      <c r="A83" s="29">
        <f>CSR_FactorReturns!A33</f>
        <v>45149</v>
      </c>
      <c r="B83">
        <f t="array" ref="B83:D83">MMULT(Returns!B33:K33,$B$39:$D$48)</f>
        <v>-4.0950639332869812E-2</v>
      </c>
      <c r="C83">
        <v>1.1859425067560103E-2</v>
      </c>
      <c r="D83">
        <v>1.075967024829487E-2</v>
      </c>
    </row>
    <row r="84" spans="1:4" x14ac:dyDescent="0.2">
      <c r="A84" s="29">
        <f>CSR_FactorReturns!A34</f>
        <v>45156</v>
      </c>
      <c r="B84">
        <f t="array" ref="B84:D84">MMULT(Returns!B34:K34,$B$39:$D$48)</f>
        <v>-5.0377046485584116E-2</v>
      </c>
      <c r="C84">
        <v>8.3624400863050884E-4</v>
      </c>
      <c r="D84">
        <v>-2.9979819137485826E-2</v>
      </c>
    </row>
    <row r="85" spans="1:4" x14ac:dyDescent="0.2">
      <c r="A85" s="29">
        <f>CSR_FactorReturns!A35</f>
        <v>45163</v>
      </c>
      <c r="B85">
        <f t="array" ref="B85:D85">MMULT(Returns!B35:K35,$B$39:$D$48)</f>
        <v>8.4615893193367726E-3</v>
      </c>
      <c r="C85">
        <v>-3.8265225258942749E-4</v>
      </c>
      <c r="D85">
        <v>2.0643120994904916E-2</v>
      </c>
    </row>
    <row r="86" spans="1:4" x14ac:dyDescent="0.2">
      <c r="A86" s="29">
        <f>CSR_FactorReturns!A36</f>
        <v>45170</v>
      </c>
      <c r="B86">
        <f t="array" ref="B86:D86">MMULT(Returns!B36:K36,$B$39:$D$48)</f>
        <v>-8.5673694963618527E-3</v>
      </c>
      <c r="C86">
        <v>-2.1093182770495114E-2</v>
      </c>
      <c r="D86">
        <v>6.0153264178516384E-3</v>
      </c>
    </row>
    <row r="87" spans="1:4" x14ac:dyDescent="0.2">
      <c r="A87" s="29">
        <f>CSR_FactorReturns!A37</f>
        <v>45177</v>
      </c>
      <c r="B87">
        <f t="array" ref="B87:D87">MMULT(Returns!B37:K37,$B$39:$D$48)</f>
        <v>3.1092455279224395E-2</v>
      </c>
      <c r="C87">
        <v>6.8144529250089257E-3</v>
      </c>
      <c r="D87">
        <v>-1.8495642640115273E-2</v>
      </c>
    </row>
    <row r="88" spans="1:4" x14ac:dyDescent="0.2">
      <c r="A88" s="29">
        <f>CSR_FactorReturns!A38</f>
        <v>45184</v>
      </c>
      <c r="B88">
        <f t="array" ref="B88:D88">MMULT(Returns!B38:K38,$B$39:$D$48)</f>
        <v>9.0207959903879937E-3</v>
      </c>
      <c r="C88">
        <v>-8.8888054423334455E-3</v>
      </c>
      <c r="D88">
        <v>3.6163245386454509E-3</v>
      </c>
    </row>
    <row r="89" spans="1:4" x14ac:dyDescent="0.2">
      <c r="A89" s="29">
        <f>CSR_FactorReturns!A39</f>
        <v>45191</v>
      </c>
      <c r="B89">
        <f t="array" ref="B89:D89">MMULT(Returns!B39:K39,$B$39:$D$48)</f>
        <v>-3.4148998418788443E-3</v>
      </c>
      <c r="C89">
        <v>-1.9848855706351073E-2</v>
      </c>
      <c r="D89">
        <v>-2.3579912282478944E-2</v>
      </c>
    </row>
    <row r="90" spans="1:4" x14ac:dyDescent="0.2">
      <c r="A90" s="29">
        <f>CSR_FactorReturns!A40</f>
        <v>45198</v>
      </c>
      <c r="B90">
        <f t="array" ref="B90:D90">MMULT(Returns!B40:K40,$B$39:$D$48)</f>
        <v>-2.877152715672134E-3</v>
      </c>
      <c r="C90">
        <v>-3.0104170090374236E-3</v>
      </c>
      <c r="D90">
        <v>1.2641884583178543E-2</v>
      </c>
    </row>
    <row r="91" spans="1:4" x14ac:dyDescent="0.2">
      <c r="A91" s="29">
        <f>CSR_FactorReturns!A41</f>
        <v>45205</v>
      </c>
      <c r="B91">
        <f t="array" ref="B91:D91">MMULT(Returns!B41:K41,$B$39:$D$48)</f>
        <v>-7.1061470320061618E-3</v>
      </c>
      <c r="C91">
        <v>5.2491609821511982E-3</v>
      </c>
      <c r="D91">
        <v>8.3627759763363965E-3</v>
      </c>
    </row>
    <row r="92" spans="1:4" x14ac:dyDescent="0.2">
      <c r="A92" s="29">
        <f>CSR_FactorReturns!A42</f>
        <v>45212</v>
      </c>
      <c r="B92">
        <f t="array" ref="B92:D92">MMULT(Returns!B42:K42,$B$39:$D$48)</f>
        <v>5.9159608810182805E-3</v>
      </c>
      <c r="C92">
        <v>-1.0576335571402558E-2</v>
      </c>
      <c r="D92">
        <v>-1.4958974343863406E-2</v>
      </c>
    </row>
    <row r="93" spans="1:4" x14ac:dyDescent="0.2">
      <c r="A93" s="29">
        <f>CSR_FactorReturns!A43</f>
        <v>45219</v>
      </c>
      <c r="B93">
        <f t="array" ref="B93:D93">MMULT(Returns!B43:K43,$B$39:$D$48)</f>
        <v>8.4710030329496269E-3</v>
      </c>
      <c r="C93">
        <v>5.4048209446407314E-3</v>
      </c>
      <c r="D93">
        <v>-1.233379571149334E-2</v>
      </c>
    </row>
    <row r="94" spans="1:4" x14ac:dyDescent="0.2">
      <c r="A94" s="29">
        <f>CSR_FactorReturns!A44</f>
        <v>45226</v>
      </c>
      <c r="B94">
        <f t="array" ref="B94:D94">MMULT(Returns!B44:K44,$B$39:$D$48)</f>
        <v>-3.088087624011052E-2</v>
      </c>
      <c r="C94">
        <v>-1.4330741146986615E-2</v>
      </c>
      <c r="D94">
        <v>1.5612627118702677E-2</v>
      </c>
    </row>
    <row r="95" spans="1:4" x14ac:dyDescent="0.2">
      <c r="A95" s="29">
        <f>CSR_FactorReturns!A45</f>
        <v>45233</v>
      </c>
      <c r="B95">
        <f t="array" ref="B95:D95">MMULT(Returns!B45:K45,$B$39:$D$48)</f>
        <v>-1.5067565996974713E-2</v>
      </c>
      <c r="C95">
        <v>-2.827149241315445E-2</v>
      </c>
      <c r="D95">
        <v>1.2690823120057147E-2</v>
      </c>
    </row>
    <row r="96" spans="1:4" x14ac:dyDescent="0.2">
      <c r="A96" s="29">
        <f>CSR_FactorReturns!A46</f>
        <v>45240</v>
      </c>
      <c r="B96">
        <f t="array" ref="B96:D96">MMULT(Returns!B46:K46,$B$39:$D$48)</f>
        <v>3.0632048736532212E-2</v>
      </c>
      <c r="C96">
        <v>-1.9811656171873977E-2</v>
      </c>
      <c r="D96">
        <v>4.5700311599788726E-3</v>
      </c>
    </row>
    <row r="97" spans="1:4" x14ac:dyDescent="0.2">
      <c r="A97" s="29">
        <f>CSR_FactorReturns!A47</f>
        <v>45247</v>
      </c>
      <c r="B97">
        <f t="array" ref="B97:D97">MMULT(Returns!B47:K47,$B$39:$D$48)</f>
        <v>3.659225679699995E-3</v>
      </c>
      <c r="C97">
        <v>-1.3527104344941655E-2</v>
      </c>
      <c r="D97">
        <v>-5.6903781133054139E-3</v>
      </c>
    </row>
    <row r="98" spans="1:4" x14ac:dyDescent="0.2">
      <c r="A98" s="29">
        <f>CSR_FactorReturns!A48</f>
        <v>45254</v>
      </c>
      <c r="B98">
        <f t="array" ref="B98:D98">MMULT(Returns!B48:K48,$B$39:$D$48)</f>
        <v>1.0262563453534412E-2</v>
      </c>
      <c r="C98">
        <v>1.0936761560421495E-2</v>
      </c>
      <c r="D98">
        <v>-1.9717485177114281E-2</v>
      </c>
    </row>
    <row r="99" spans="1:4" x14ac:dyDescent="0.2">
      <c r="A99" s="29">
        <f>CSR_FactorReturns!A49</f>
        <v>45261</v>
      </c>
      <c r="B99">
        <f t="array" ref="B99:D99">MMULT(Returns!B49:K49,$B$39:$D$48)</f>
        <v>1.0387725415643053E-2</v>
      </c>
      <c r="C99">
        <v>7.0498334177503744E-3</v>
      </c>
      <c r="D99">
        <v>6.5213125529776164E-3</v>
      </c>
    </row>
    <row r="100" spans="1:4" x14ac:dyDescent="0.2">
      <c r="A100" s="29">
        <f>CSR_FactorReturns!A50</f>
        <v>45268</v>
      </c>
      <c r="B100">
        <f t="array" ref="B100:D100">MMULT(Returns!B50:K50,$B$39:$D$48)</f>
        <v>-2.1366679253859967E-2</v>
      </c>
      <c r="C100">
        <v>-1.0820871873446622E-2</v>
      </c>
      <c r="D100">
        <v>7.7856274141952179E-3</v>
      </c>
    </row>
    <row r="101" spans="1:4" x14ac:dyDescent="0.2">
      <c r="A101" s="29">
        <f>CSR_FactorReturns!A51</f>
        <v>45275</v>
      </c>
      <c r="B101">
        <f t="array" ref="B101:D101">MMULT(Returns!B51:K51,$B$39:$D$48)</f>
        <v>-9.6057026531606825E-3</v>
      </c>
      <c r="C101">
        <v>-6.5616921414131521E-3</v>
      </c>
      <c r="D101">
        <v>-1.6823390181343999E-3</v>
      </c>
    </row>
    <row r="102" spans="1:4" x14ac:dyDescent="0.2">
      <c r="A102" s="29">
        <f>CSR_FactorReturns!A52</f>
        <v>45282</v>
      </c>
      <c r="B102">
        <f t="array" ref="B102:D102">MMULT(Returns!B52:K52,$B$39:$D$48)</f>
        <v>1.0193105007505032E-2</v>
      </c>
      <c r="C102">
        <v>8.8575870122448736E-3</v>
      </c>
      <c r="D102">
        <v>8.8193740995861428E-3</v>
      </c>
    </row>
    <row r="103" spans="1:4" x14ac:dyDescent="0.2">
      <c r="A103" s="29">
        <f>CSR_FactorReturns!A53</f>
        <v>45289</v>
      </c>
      <c r="B103">
        <f t="array" ref="B103:D103">MMULT(Returns!B53:K53,$B$39:$D$48)</f>
        <v>-2.3993676824143169E-2</v>
      </c>
      <c r="C103">
        <v>-1.9262941120913254E-2</v>
      </c>
      <c r="D103">
        <v>-4.3957936317164902E-3</v>
      </c>
    </row>
    <row r="104" spans="1:4" x14ac:dyDescent="0.2">
      <c r="A104" s="29">
        <f>CSR_FactorReturns!A54</f>
        <v>45296</v>
      </c>
      <c r="B104">
        <f t="array" ref="B104:D104">MMULT(Returns!B54:K54,$B$39:$D$48)</f>
        <v>4.6242343245131556E-3</v>
      </c>
      <c r="C104">
        <v>1.0735833963767057E-3</v>
      </c>
      <c r="D104">
        <v>-7.1530105303122481E-4</v>
      </c>
    </row>
    <row r="105" spans="1:4" x14ac:dyDescent="0.2">
      <c r="A105" s="29">
        <f>CSR_FactorReturns!A55</f>
        <v>45303</v>
      </c>
      <c r="B105">
        <f t="array" ref="B105:D105">MMULT(Returns!B55:K55,$B$39:$D$48)</f>
        <v>-6.8639464206219254E-3</v>
      </c>
      <c r="C105">
        <v>-8.8694071718402965E-3</v>
      </c>
      <c r="D105">
        <v>9.5245520222828305E-3</v>
      </c>
    </row>
    <row r="106" spans="1:4" x14ac:dyDescent="0.2">
      <c r="A106" s="29">
        <f>CSR_FactorReturns!A56</f>
        <v>45310</v>
      </c>
      <c r="B106">
        <f t="array" ref="B106:D106">MMULT(Returns!B56:K56,$B$39:$D$48)</f>
        <v>2.2246535638904389E-2</v>
      </c>
      <c r="C106">
        <v>1.5175433788268531E-2</v>
      </c>
      <c r="D106">
        <v>6.7427073757366767E-3</v>
      </c>
    </row>
    <row r="107" spans="1:4" x14ac:dyDescent="0.2">
      <c r="A107" s="29">
        <f>CSR_FactorReturns!A57</f>
        <v>45317</v>
      </c>
      <c r="B107">
        <f t="array" ref="B107:D107">MMULT(Returns!B57:K57,$B$39:$D$48)</f>
        <v>1.6208923044589759E-2</v>
      </c>
      <c r="C107">
        <v>-1.6109622381310811E-3</v>
      </c>
      <c r="D107">
        <v>5.058232958237768E-4</v>
      </c>
    </row>
    <row r="108" spans="1:4" x14ac:dyDescent="0.2">
      <c r="A108" s="29">
        <f>CSR_FactorReturns!A58</f>
        <v>45324</v>
      </c>
      <c r="B108">
        <f t="array" ref="B108:D108">MMULT(Returns!B58:K58,$B$39:$D$48)</f>
        <v>-2.716121750986511E-2</v>
      </c>
      <c r="C108">
        <v>-5.6244111202926874E-3</v>
      </c>
      <c r="D108">
        <v>-1.7355509400697952E-2</v>
      </c>
    </row>
    <row r="109" spans="1:4" x14ac:dyDescent="0.2">
      <c r="A109" s="29">
        <f>CSR_FactorReturns!A59</f>
        <v>45331</v>
      </c>
      <c r="B109">
        <f t="array" ref="B109:D109">MMULT(Returns!B59:K59,$B$39:$D$48)</f>
        <v>1.8632672888218856E-2</v>
      </c>
      <c r="C109">
        <v>-5.7162883352193505E-3</v>
      </c>
      <c r="D109">
        <v>3.4811385545807955E-2</v>
      </c>
    </row>
    <row r="110" spans="1:4" x14ac:dyDescent="0.2">
      <c r="A110" s="29">
        <f>CSR_FactorReturns!A60</f>
        <v>45338</v>
      </c>
      <c r="B110">
        <f t="array" ref="B110:D110">MMULT(Returns!B60:K60,$B$39:$D$48)</f>
        <v>3.2402571615521486E-2</v>
      </c>
      <c r="C110">
        <v>1.1165605804256172E-2</v>
      </c>
      <c r="D110">
        <v>-1.5029412364574177E-2</v>
      </c>
    </row>
    <row r="111" spans="1:4" x14ac:dyDescent="0.2">
      <c r="A111" s="29">
        <f>CSR_FactorReturns!A61</f>
        <v>45345</v>
      </c>
      <c r="B111">
        <f t="array" ref="B111:D111">MMULT(Returns!B61:K61,$B$39:$D$48)</f>
        <v>-3.0908091065489775E-2</v>
      </c>
      <c r="C111">
        <v>1.1297732063927856E-2</v>
      </c>
      <c r="D111">
        <v>-2.1860744471565486E-2</v>
      </c>
    </row>
    <row r="112" spans="1:4" x14ac:dyDescent="0.2">
      <c r="A112" s="29">
        <f>CSR_FactorReturns!A62</f>
        <v>45352</v>
      </c>
      <c r="B112">
        <f t="array" ref="B112:D112">MMULT(Returns!B62:K62,$B$39:$D$48)</f>
        <v>7.4371245759518364E-3</v>
      </c>
      <c r="C112">
        <v>-5.6515543948487445E-3</v>
      </c>
      <c r="D112">
        <v>-1.0872669168144505E-2</v>
      </c>
    </row>
    <row r="113" spans="1:4" x14ac:dyDescent="0.2">
      <c r="A113" s="29">
        <f>CSR_FactorReturns!A63</f>
        <v>45359</v>
      </c>
      <c r="B113">
        <f t="array" ref="B113:D113">MMULT(Returns!B63:K63,$B$39:$D$48)</f>
        <v>-4.1058912076978517E-2</v>
      </c>
      <c r="C113">
        <v>1.8671839081676748E-2</v>
      </c>
      <c r="D113">
        <v>-5.4098307109059773E-3</v>
      </c>
    </row>
    <row r="114" spans="1:4" x14ac:dyDescent="0.2">
      <c r="A114" s="29">
        <f>CSR_FactorReturns!A64</f>
        <v>45366</v>
      </c>
      <c r="B114">
        <f t="array" ref="B114:D114">MMULT(Returns!B64:K64,$B$39:$D$48)</f>
        <v>-5.6124277471553729E-3</v>
      </c>
      <c r="C114">
        <v>7.3451037077118305E-3</v>
      </c>
      <c r="D114">
        <v>-1.016591770663929E-2</v>
      </c>
    </row>
    <row r="115" spans="1:4" x14ac:dyDescent="0.2">
      <c r="A115" s="29">
        <f>CSR_FactorReturns!A65</f>
        <v>45373</v>
      </c>
      <c r="B115">
        <f t="array" ref="B115:D115">MMULT(Returns!B65:K65,$B$39:$D$48)</f>
        <v>-4.8659544340563209E-2</v>
      </c>
      <c r="C115">
        <v>-1.9616270483559971E-2</v>
      </c>
      <c r="D115">
        <v>-2.399174835995101E-2</v>
      </c>
    </row>
    <row r="116" spans="1:4" x14ac:dyDescent="0.2">
      <c r="A116" s="29">
        <f>CSR_FactorReturns!A66</f>
        <v>45380</v>
      </c>
      <c r="B116">
        <f t="array" ref="B116:D116">MMULT(Returns!B66:K66,$B$39:$D$48)</f>
        <v>-1.0795903070719055E-2</v>
      </c>
      <c r="C116">
        <v>2.7461520701845821E-2</v>
      </c>
      <c r="D116">
        <v>-1.8838804719951554E-2</v>
      </c>
    </row>
    <row r="117" spans="1:4" x14ac:dyDescent="0.2">
      <c r="A117" s="29">
        <f>CSR_FactorReturns!A67</f>
        <v>45387</v>
      </c>
      <c r="B117">
        <f t="array" ref="B117:D117">MMULT(Returns!B67:K67,$B$39:$D$48)</f>
        <v>1.0541951273153823E-2</v>
      </c>
      <c r="C117">
        <v>-1.7602002877623465E-3</v>
      </c>
      <c r="D117">
        <v>-1.9240721539259119E-2</v>
      </c>
    </row>
    <row r="118" spans="1:4" x14ac:dyDescent="0.2">
      <c r="A118" s="29">
        <f>CSR_FactorReturns!A68</f>
        <v>45394</v>
      </c>
      <c r="B118">
        <f t="array" ref="B118:D118">MMULT(Returns!B68:K68,$B$39:$D$48)</f>
        <v>-2.7422525787301904E-2</v>
      </c>
      <c r="C118">
        <v>-1.8711385311618624E-2</v>
      </c>
      <c r="D118">
        <v>2.4099730083693193E-4</v>
      </c>
    </row>
    <row r="119" spans="1:4" x14ac:dyDescent="0.2">
      <c r="A119" s="29">
        <f>CSR_FactorReturns!A69</f>
        <v>45401</v>
      </c>
      <c r="B119">
        <f t="array" ref="B119:D119">MMULT(Returns!B69:K69,$B$39:$D$48)</f>
        <v>-3.0985052724190949E-2</v>
      </c>
      <c r="C119">
        <v>-9.740454747433288E-3</v>
      </c>
      <c r="D119">
        <v>2.8368960895041508E-3</v>
      </c>
    </row>
    <row r="120" spans="1:4" x14ac:dyDescent="0.2">
      <c r="A120" s="29">
        <f>CSR_FactorReturns!A70</f>
        <v>45408</v>
      </c>
      <c r="B120">
        <f t="array" ref="B120:D120">MMULT(Returns!B70:K70,$B$39:$D$48)</f>
        <v>2.7569353884894076E-2</v>
      </c>
      <c r="C120">
        <v>-2.9490485165369694E-2</v>
      </c>
      <c r="D120">
        <v>1.6359506449550566E-2</v>
      </c>
    </row>
    <row r="121" spans="1:4" x14ac:dyDescent="0.2">
      <c r="A121" s="29">
        <f>CSR_FactorReturns!A71</f>
        <v>45415</v>
      </c>
      <c r="B121">
        <f t="array" ref="B121:D121">MMULT(Returns!B71:K71,$B$39:$D$48)</f>
        <v>1.7377044069136437E-2</v>
      </c>
      <c r="C121">
        <v>8.449415335669749E-3</v>
      </c>
      <c r="D121">
        <v>-2.6058331478183913E-2</v>
      </c>
    </row>
    <row r="122" spans="1:4" x14ac:dyDescent="0.2">
      <c r="A122" s="29">
        <f>CSR_FactorReturns!A72</f>
        <v>45422</v>
      </c>
      <c r="B122">
        <f t="array" ref="B122:D122">MMULT(Returns!B72:K72,$B$39:$D$48)</f>
        <v>-1.8458814414075313E-2</v>
      </c>
      <c r="C122">
        <v>-3.4271481182891255E-3</v>
      </c>
      <c r="D122">
        <v>3.6992613229963871E-4</v>
      </c>
    </row>
    <row r="123" spans="1:4" x14ac:dyDescent="0.2">
      <c r="A123" s="29">
        <f>CSR_FactorReturns!A73</f>
        <v>45429</v>
      </c>
      <c r="B123">
        <f t="array" ref="B123:D123">MMULT(Returns!B73:K73,$B$39:$D$48)</f>
        <v>8.7062991704753359E-3</v>
      </c>
      <c r="C123">
        <v>2.3320235022815675E-2</v>
      </c>
      <c r="D123">
        <v>1.6856517570150695E-2</v>
      </c>
    </row>
    <row r="124" spans="1:4" x14ac:dyDescent="0.2">
      <c r="A124" s="29">
        <f>CSR_FactorReturns!A74</f>
        <v>45436</v>
      </c>
      <c r="B124">
        <f t="array" ref="B124:D124">MMULT(Returns!B74:K74,$B$39:$D$48)</f>
        <v>-3.4505334535354726E-3</v>
      </c>
      <c r="C124">
        <v>-2.6356306616732143E-5</v>
      </c>
      <c r="D124">
        <v>-2.2482696408715638E-2</v>
      </c>
    </row>
    <row r="125" spans="1:4" x14ac:dyDescent="0.2">
      <c r="A125" s="29">
        <f>CSR_FactorReturns!A75</f>
        <v>45443</v>
      </c>
      <c r="B125">
        <f t="array" ref="B125:D125">MMULT(Returns!B75:K75,$B$39:$D$48)</f>
        <v>-2.6600045085907933E-2</v>
      </c>
      <c r="C125">
        <v>-2.3885941725353479E-2</v>
      </c>
      <c r="D125">
        <v>4.9962655098226899E-3</v>
      </c>
    </row>
    <row r="126" spans="1:4" x14ac:dyDescent="0.2">
      <c r="A126" s="29">
        <f>CSR_FactorReturns!A76</f>
        <v>45450</v>
      </c>
      <c r="B126">
        <f t="array" ref="B126:D126">MMULT(Returns!B76:K76,$B$39:$D$48)</f>
        <v>4.2165332648628026E-2</v>
      </c>
      <c r="C126">
        <v>-2.9118022253685886E-3</v>
      </c>
      <c r="D126">
        <v>-1.6308960348043154E-2</v>
      </c>
    </row>
    <row r="127" spans="1:4" x14ac:dyDescent="0.2">
      <c r="A127" s="29">
        <f>CSR_FactorReturns!A77</f>
        <v>45457</v>
      </c>
      <c r="B127">
        <f t="array" ref="B127:D127">MMULT(Returns!B77:K77,$B$39:$D$48)</f>
        <v>-2.3830493050319292E-2</v>
      </c>
      <c r="C127">
        <v>2.2769331656125537E-3</v>
      </c>
      <c r="D127">
        <v>-6.0753685646712449E-3</v>
      </c>
    </row>
    <row r="128" spans="1:4" x14ac:dyDescent="0.2">
      <c r="A128" s="29">
        <f>CSR_FactorReturns!A78</f>
        <v>45464</v>
      </c>
      <c r="B128">
        <f t="array" ref="B128:D128">MMULT(Returns!B78:K78,$B$39:$D$48)</f>
        <v>-1.6330757250779108E-3</v>
      </c>
      <c r="C128">
        <v>-1.6762354283466091E-2</v>
      </c>
      <c r="D128">
        <v>-1.2094073063948362E-3</v>
      </c>
    </row>
    <row r="129" spans="1:4" x14ac:dyDescent="0.2">
      <c r="A129" s="29">
        <f>CSR_FactorReturns!A79</f>
        <v>45471</v>
      </c>
      <c r="B129">
        <f t="array" ref="B129:D129">MMULT(Returns!B79:K79,$B$39:$D$48)</f>
        <v>3.1353497857042695E-2</v>
      </c>
      <c r="C129">
        <v>-7.8665912692130399E-3</v>
      </c>
      <c r="D129">
        <v>-3.1533836739015969E-3</v>
      </c>
    </row>
    <row r="130" spans="1:4" x14ac:dyDescent="0.2">
      <c r="A130" s="29">
        <f>CSR_FactorReturns!A80</f>
        <v>45478</v>
      </c>
      <c r="B130">
        <f t="array" ref="B130:D130">MMULT(Returns!B80:K80,$B$39:$D$48)</f>
        <v>-1.8880071634461452E-3</v>
      </c>
      <c r="C130">
        <v>6.3665284643125925E-3</v>
      </c>
      <c r="D130">
        <v>-1.5723710237339338E-2</v>
      </c>
    </row>
    <row r="131" spans="1:4" x14ac:dyDescent="0.2">
      <c r="A131" s="29">
        <f>CSR_FactorReturns!A81</f>
        <v>45485</v>
      </c>
      <c r="B131">
        <f t="array" ref="B131:D131">MMULT(Returns!B81:K81,$B$39:$D$48)</f>
        <v>3.167295238234373E-2</v>
      </c>
      <c r="C131">
        <v>-2.9451783631240036E-3</v>
      </c>
      <c r="D131">
        <v>-2.3541161609667405E-2</v>
      </c>
    </row>
    <row r="132" spans="1:4" x14ac:dyDescent="0.2">
      <c r="A132" s="29">
        <f>CSR_FactorReturns!A82</f>
        <v>45492</v>
      </c>
      <c r="B132">
        <f t="array" ref="B132:D132">MMULT(Returns!B82:K82,$B$39:$D$48)</f>
        <v>-6.356968112655517E-3</v>
      </c>
      <c r="C132">
        <v>-2.7924436725470118E-2</v>
      </c>
      <c r="D132">
        <v>1.6022423928909065E-2</v>
      </c>
    </row>
    <row r="133" spans="1:4" x14ac:dyDescent="0.2">
      <c r="A133" s="29">
        <f>CSR_FactorReturns!A83</f>
        <v>45499</v>
      </c>
      <c r="B133">
        <f t="array" ref="B133:D133">MMULT(Returns!B83:K83,$B$39:$D$48)</f>
        <v>2.9446728767820972E-2</v>
      </c>
      <c r="C133">
        <v>4.5964793195260121E-3</v>
      </c>
      <c r="D133">
        <v>2.1570489683160124E-2</v>
      </c>
    </row>
    <row r="134" spans="1:4" x14ac:dyDescent="0.2">
      <c r="A134" s="29">
        <f>CSR_FactorReturns!A84</f>
        <v>45506</v>
      </c>
      <c r="B134">
        <f t="array" ref="B134:D134">MMULT(Returns!B84:K84,$B$39:$D$48)</f>
        <v>2.0689232262911122E-2</v>
      </c>
      <c r="C134">
        <v>4.1740232991443488E-3</v>
      </c>
      <c r="D134">
        <v>-8.6634402807691802E-3</v>
      </c>
    </row>
    <row r="135" spans="1:4" x14ac:dyDescent="0.2">
      <c r="A135" s="29">
        <f>CSR_FactorReturns!A85</f>
        <v>45513</v>
      </c>
      <c r="B135">
        <f t="array" ref="B135:D135">MMULT(Returns!B85:K85,$B$39:$D$48)</f>
        <v>1.1011198274066243E-2</v>
      </c>
      <c r="C135">
        <v>1.2049090457980825E-2</v>
      </c>
      <c r="D135">
        <v>3.1761791114423951E-3</v>
      </c>
    </row>
    <row r="136" spans="1:4" x14ac:dyDescent="0.2">
      <c r="A136" s="29">
        <f>CSR_FactorReturns!A86</f>
        <v>45520</v>
      </c>
      <c r="B136">
        <f t="array" ref="B136:D136">MMULT(Returns!B86:K86,$B$39:$D$48)</f>
        <v>-1.7697876856019024E-2</v>
      </c>
      <c r="C136">
        <v>-5.9371622647597924E-4</v>
      </c>
      <c r="D136">
        <v>2.2012591927878456E-2</v>
      </c>
    </row>
    <row r="137" spans="1:4" x14ac:dyDescent="0.2">
      <c r="A137" s="29">
        <f>CSR_FactorReturns!A87</f>
        <v>45527</v>
      </c>
      <c r="B137">
        <f t="array" ref="B137:D137">MMULT(Returns!B87:K87,$B$39:$D$48)</f>
        <v>-3.4332564298868171E-3</v>
      </c>
      <c r="C137">
        <v>-1.5942961238458668E-2</v>
      </c>
      <c r="D137">
        <v>1.0422565758874298E-2</v>
      </c>
    </row>
    <row r="138" spans="1:4" x14ac:dyDescent="0.2">
      <c r="A138" s="29">
        <f>CSR_FactorReturns!A88</f>
        <v>45534</v>
      </c>
      <c r="B138">
        <f t="array" ref="B138:D138">MMULT(Returns!B88:K88,$B$39:$D$48)</f>
        <v>-2.0707398116085039E-2</v>
      </c>
      <c r="C138">
        <v>9.1307089297212804E-3</v>
      </c>
      <c r="D138">
        <v>-1.567309358699678E-2</v>
      </c>
    </row>
    <row r="139" spans="1:4" x14ac:dyDescent="0.2">
      <c r="A139" s="29">
        <f>CSR_FactorReturns!A89</f>
        <v>45541</v>
      </c>
      <c r="B139">
        <f t="array" ref="B139:D139">MMULT(Returns!B89:K89,$B$39:$D$48)</f>
        <v>2.4788858694319564E-2</v>
      </c>
      <c r="C139">
        <v>2.2281885949385336E-2</v>
      </c>
      <c r="D139">
        <v>1.4826005230098055E-2</v>
      </c>
    </row>
    <row r="140" spans="1:4" x14ac:dyDescent="0.2">
      <c r="A140" s="29">
        <f>CSR_FactorReturns!A90</f>
        <v>45548</v>
      </c>
      <c r="B140">
        <f t="array" ref="B140:D140">MMULT(Returns!B90:K90,$B$39:$D$48)</f>
        <v>3.0434571533639859E-2</v>
      </c>
      <c r="C140">
        <v>2.0064000634424629E-2</v>
      </c>
      <c r="D140">
        <v>-3.3497347345990518E-3</v>
      </c>
    </row>
    <row r="141" spans="1:4" x14ac:dyDescent="0.2">
      <c r="A141" s="29">
        <f>CSR_FactorReturns!A91</f>
        <v>45555</v>
      </c>
      <c r="B141">
        <f t="array" ref="B141:D141">MMULT(Returns!B91:K91,$B$39:$D$48)</f>
        <v>7.1614348600930536E-3</v>
      </c>
      <c r="C141">
        <v>-1.4504854757082273E-2</v>
      </c>
      <c r="D141">
        <v>-1.0015027298460977E-2</v>
      </c>
    </row>
    <row r="142" spans="1:4" x14ac:dyDescent="0.2">
      <c r="A142" s="29">
        <f>CSR_FactorReturns!A92</f>
        <v>45562</v>
      </c>
      <c r="B142">
        <f t="array" ref="B142:D142">MMULT(Returns!B92:K92,$B$39:$D$48)</f>
        <v>1.6056701726585784E-2</v>
      </c>
      <c r="C142">
        <v>3.4576402022026128E-3</v>
      </c>
      <c r="D142">
        <v>-5.983337832165871E-3</v>
      </c>
    </row>
    <row r="143" spans="1:4" x14ac:dyDescent="0.2">
      <c r="A143" s="29">
        <f>CSR_FactorReturns!A93</f>
        <v>45569</v>
      </c>
      <c r="B143">
        <f t="array" ref="B143:D143">MMULT(Returns!B93:K93,$B$39:$D$48)</f>
        <v>-1.254053984405798E-2</v>
      </c>
      <c r="C143">
        <v>-1.478290700412949E-2</v>
      </c>
      <c r="D143">
        <v>2.6649396207176164E-2</v>
      </c>
    </row>
    <row r="144" spans="1:4" x14ac:dyDescent="0.2">
      <c r="A144" s="29">
        <f>CSR_FactorReturns!A94</f>
        <v>45576</v>
      </c>
      <c r="B144">
        <f t="array" ref="B144:D144">MMULT(Returns!B94:K94,$B$39:$D$48)</f>
        <v>2.1696776217769997E-2</v>
      </c>
      <c r="C144">
        <v>2.0106855559363309E-2</v>
      </c>
      <c r="D144">
        <v>-2.0257895530341182E-2</v>
      </c>
    </row>
    <row r="145" spans="1:4" x14ac:dyDescent="0.2">
      <c r="A145" s="29">
        <f>CSR_FactorReturns!A95</f>
        <v>45583</v>
      </c>
      <c r="B145">
        <f t="array" ref="B145:D145">MMULT(Returns!B95:K95,$B$39:$D$48)</f>
        <v>-2.6820980969974942E-2</v>
      </c>
      <c r="C145">
        <v>-5.3284941155832067E-3</v>
      </c>
      <c r="D145">
        <v>1.6324172178993551E-2</v>
      </c>
    </row>
    <row r="146" spans="1:4" x14ac:dyDescent="0.2">
      <c r="A146" s="29">
        <f>CSR_FactorReturns!A96</f>
        <v>45590</v>
      </c>
      <c r="B146">
        <f t="array" ref="B146:D146">MMULT(Returns!B96:K96,$B$39:$D$48)</f>
        <v>-2.0183906966210238E-2</v>
      </c>
      <c r="C146">
        <v>-1.3411035992170424E-2</v>
      </c>
      <c r="D146">
        <v>5.8325750776136416E-3</v>
      </c>
    </row>
    <row r="147" spans="1:4" x14ac:dyDescent="0.2">
      <c r="A147" s="29">
        <f>CSR_FactorReturns!A97</f>
        <v>45597</v>
      </c>
      <c r="B147">
        <f t="array" ref="B147:D147">MMULT(Returns!B97:K97,$B$39:$D$48)</f>
        <v>1.1435410643740915E-2</v>
      </c>
      <c r="C147">
        <v>-5.5833162344919293E-2</v>
      </c>
      <c r="D147">
        <v>-7.892548162711871E-3</v>
      </c>
    </row>
    <row r="148" spans="1:4" x14ac:dyDescent="0.2">
      <c r="A148" s="29">
        <f>CSR_FactorReturns!A98</f>
        <v>45604</v>
      </c>
      <c r="B148">
        <f t="array" ref="B148:D148">MMULT(Returns!B98:K98,$B$39:$D$48)</f>
        <v>-1.8133890556241594E-2</v>
      </c>
      <c r="C148">
        <v>1.3075132384143403E-2</v>
      </c>
      <c r="D148">
        <v>-2.5140712975003175E-2</v>
      </c>
    </row>
    <row r="149" spans="1:4" x14ac:dyDescent="0.2">
      <c r="A149" s="29">
        <f>CSR_FactorReturns!A99</f>
        <v>45611</v>
      </c>
      <c r="B149">
        <f t="array" ref="B149:D149">MMULT(Returns!B99:K99,$B$39:$D$48)</f>
        <v>1.1264494296511258E-2</v>
      </c>
      <c r="C149">
        <v>2.0380694140616551E-2</v>
      </c>
      <c r="D149">
        <v>1.5441678111144752E-2</v>
      </c>
    </row>
    <row r="150" spans="1:4" x14ac:dyDescent="0.2">
      <c r="A150" s="29">
        <f>CSR_FactorReturns!A100</f>
        <v>45618</v>
      </c>
      <c r="B150">
        <f t="array" ref="B150:D150">MMULT(Returns!B100:K100,$B$39:$D$48)</f>
        <v>-1.0546757907383431E-2</v>
      </c>
      <c r="C150">
        <v>2.5043084292347114E-3</v>
      </c>
      <c r="D150">
        <v>-5.0260238349443681E-3</v>
      </c>
    </row>
    <row r="151" spans="1:4" x14ac:dyDescent="0.2">
      <c r="A151" s="29">
        <f>CSR_FactorReturns!A101</f>
        <v>45625</v>
      </c>
      <c r="B151">
        <f t="array" ref="B151:D151">MMULT(Returns!B101:K101,$B$39:$D$48)</f>
        <v>-2.081614412419891E-2</v>
      </c>
      <c r="C151">
        <v>3.9899189113921374E-3</v>
      </c>
      <c r="D151">
        <v>3.1122528617265961E-2</v>
      </c>
    </row>
    <row r="152" spans="1:4" x14ac:dyDescent="0.2">
      <c r="A152" s="29">
        <f>CSR_FactorReturns!A102</f>
        <v>45632</v>
      </c>
      <c r="B152">
        <f t="array" ref="B152:D152">MMULT(Returns!B102:K102,$B$39:$D$48)</f>
        <v>1.4262009517300519E-2</v>
      </c>
      <c r="C152">
        <v>6.2002901470356074E-3</v>
      </c>
      <c r="D152">
        <v>-1.2993632284143214E-2</v>
      </c>
    </row>
    <row r="153" spans="1:4" x14ac:dyDescent="0.2">
      <c r="A153" s="29">
        <f>CSR_FactorReturns!A103</f>
        <v>45639</v>
      </c>
      <c r="B153">
        <f t="array" ref="B153:D153">MMULT(Returns!B103:K103,$B$39:$D$48)</f>
        <v>2.1098010731652416E-2</v>
      </c>
      <c r="C153">
        <v>-2.3588811489565917E-2</v>
      </c>
      <c r="D153">
        <v>-6.2432293028765974E-3</v>
      </c>
    </row>
    <row r="154" spans="1:4" x14ac:dyDescent="0.2">
      <c r="A154" s="29">
        <f>CSR_FactorReturns!A104</f>
        <v>45646</v>
      </c>
      <c r="B154">
        <f t="array" ref="B154:D154">MMULT(Returns!B104:K104,$B$39:$D$48)</f>
        <v>3.4226135948289257E-2</v>
      </c>
      <c r="C154">
        <v>1.1247430704528922E-2</v>
      </c>
      <c r="D154">
        <v>-8.5697904170994738E-3</v>
      </c>
    </row>
    <row r="155" spans="1:4" x14ac:dyDescent="0.2">
      <c r="A155" s="29">
        <f>CSR_FactorReturns!A105</f>
        <v>45653</v>
      </c>
      <c r="B155">
        <f t="array" ref="B155:D155">MMULT(Returns!B105:K105,$B$39:$D$48)</f>
        <v>4.4126506992205716E-2</v>
      </c>
      <c r="C155">
        <v>5.3542659541549109E-3</v>
      </c>
      <c r="D155">
        <v>2.844318436321918E-2</v>
      </c>
    </row>
    <row r="156" spans="1:4" x14ac:dyDescent="0.2">
      <c r="A156" s="29">
        <f>CSR_FactorReturns!A106</f>
        <v>45660</v>
      </c>
      <c r="B156">
        <f t="array" ref="B156:D156">MMULT(Returns!B106:K106,$B$39:$D$48)</f>
        <v>4.5313696083021784E-2</v>
      </c>
      <c r="C156">
        <v>-9.0319641714712937E-3</v>
      </c>
      <c r="D156">
        <v>-1.4950654174628873E-2</v>
      </c>
    </row>
    <row r="157" spans="1:4" x14ac:dyDescent="0.2">
      <c r="A157" s="29">
        <f>CSR_FactorReturns!A107</f>
        <v>45667</v>
      </c>
      <c r="B157">
        <f t="array" ref="B157:D157">MMULT(Returns!B107:K107,$B$39:$D$48)</f>
        <v>-3.6441004458292361E-2</v>
      </c>
      <c r="C157">
        <v>-3.664000996741178E-3</v>
      </c>
      <c r="D157">
        <v>1.2769768634146875E-2</v>
      </c>
    </row>
    <row r="158" spans="1:4" x14ac:dyDescent="0.2">
      <c r="A158" s="29">
        <f>CSR_FactorReturns!A108</f>
        <v>45674</v>
      </c>
      <c r="B158">
        <f t="array" ref="B158:D158">MMULT(Returns!B108:K108,$B$39:$D$48)</f>
        <v>3.3437115680953491E-2</v>
      </c>
      <c r="C158">
        <v>6.9858161354403366E-3</v>
      </c>
      <c r="D158">
        <v>-2.1193590635065273E-2</v>
      </c>
    </row>
    <row r="159" spans="1:4" x14ac:dyDescent="0.2">
      <c r="A159" s="29">
        <f>CSR_FactorReturns!A109</f>
        <v>45681</v>
      </c>
      <c r="B159">
        <f t="array" ref="B159:D159">MMULT(Returns!B109:K109,$B$39:$D$48)</f>
        <v>-5.3879877277994747E-3</v>
      </c>
      <c r="C159">
        <v>1.0913894367702912E-2</v>
      </c>
      <c r="D159">
        <v>-1.3348437948644837E-2</v>
      </c>
    </row>
    <row r="160" spans="1:4" x14ac:dyDescent="0.2">
      <c r="A160" s="29">
        <f>CSR_FactorReturns!A110</f>
        <v>45688</v>
      </c>
      <c r="B160">
        <f t="array" ref="B160:D160">MMULT(Returns!B110:K110,$B$39:$D$48)</f>
        <v>7.2481027024382475E-3</v>
      </c>
      <c r="C160">
        <v>2.1041392106085115E-2</v>
      </c>
      <c r="D160">
        <v>-1.3562503722743398E-2</v>
      </c>
    </row>
    <row r="161" spans="1:4" x14ac:dyDescent="0.2">
      <c r="A161" s="29">
        <f>CSR_FactorReturns!A111</f>
        <v>45695</v>
      </c>
      <c r="B161">
        <f t="array" ref="B161:D161">MMULT(Returns!B111:K111,$B$39:$D$48)</f>
        <v>-1.6638514138836999E-3</v>
      </c>
      <c r="C161">
        <v>5.126380985192463E-3</v>
      </c>
      <c r="D161">
        <v>1.4636266765395005E-2</v>
      </c>
    </row>
    <row r="162" spans="1:4" x14ac:dyDescent="0.2">
      <c r="A162" s="29">
        <f>CSR_FactorReturns!A112</f>
        <v>45702</v>
      </c>
      <c r="B162">
        <f t="array" ref="B162:D162">MMULT(Returns!B112:K112,$B$39:$D$48)</f>
        <v>9.9492629416845124E-4</v>
      </c>
      <c r="C162">
        <v>2.5122093792863603E-2</v>
      </c>
      <c r="D162">
        <v>1.4635312037182869E-2</v>
      </c>
    </row>
    <row r="163" spans="1:4" x14ac:dyDescent="0.2">
      <c r="A163" s="29">
        <f>CSR_FactorReturns!A113</f>
        <v>45709</v>
      </c>
      <c r="B163">
        <f t="array" ref="B163:D163">MMULT(Returns!B113:K113,$B$39:$D$48)</f>
        <v>-5.9295141678333005E-4</v>
      </c>
      <c r="C163">
        <v>2.0004712673077595E-3</v>
      </c>
      <c r="D163">
        <v>1.6728564604510759E-2</v>
      </c>
    </row>
    <row r="164" spans="1:4" x14ac:dyDescent="0.2">
      <c r="A164" s="29">
        <f>CSR_FactorReturns!A114</f>
        <v>45716</v>
      </c>
      <c r="B164">
        <f t="array" ref="B164:D164">MMULT(Returns!B114:K114,$B$39:$D$48)</f>
        <v>-4.9812055100994526E-2</v>
      </c>
      <c r="C164">
        <v>-2.3305389347395818E-3</v>
      </c>
      <c r="D164">
        <v>3.6929158946477081E-3</v>
      </c>
    </row>
    <row r="165" spans="1:4" x14ac:dyDescent="0.2">
      <c r="A165" s="29">
        <f>CSR_FactorReturns!A115</f>
        <v>45723</v>
      </c>
      <c r="B165">
        <f t="array" ref="B165:D165">MMULT(Returns!B115:K115,$B$39:$D$48)</f>
        <v>1.8504760605754313E-2</v>
      </c>
      <c r="C165">
        <v>-1.0225648587331614E-2</v>
      </c>
      <c r="D165">
        <v>-1.8087057798700845E-2</v>
      </c>
    </row>
    <row r="166" spans="1:4" x14ac:dyDescent="0.2">
      <c r="A166" s="29">
        <f>CSR_FactorReturns!A116</f>
        <v>45730</v>
      </c>
      <c r="B166">
        <f t="array" ref="B166:D166">MMULT(Returns!B116:K116,$B$39:$D$48)</f>
        <v>-1.1642472451873111E-2</v>
      </c>
      <c r="C166">
        <v>-1.5387797070771557E-2</v>
      </c>
      <c r="D166">
        <v>2.1111186815545319E-2</v>
      </c>
    </row>
    <row r="167" spans="1:4" x14ac:dyDescent="0.2">
      <c r="A167" s="29">
        <f>CSR_FactorReturns!A117</f>
        <v>45737</v>
      </c>
      <c r="B167">
        <f t="array" ref="B167:D167">MMULT(Returns!B117:K117,$B$39:$D$48)</f>
        <v>5.4339428095118582E-2</v>
      </c>
      <c r="C167">
        <v>-1.7555909406324299E-2</v>
      </c>
      <c r="D167">
        <v>1.0913031842415257E-3</v>
      </c>
    </row>
    <row r="168" spans="1:4" x14ac:dyDescent="0.2">
      <c r="A168" s="29">
        <f>CSR_FactorReturns!A118</f>
        <v>45744</v>
      </c>
      <c r="B168">
        <f t="array" ref="B168:D168">MMULT(Returns!B118:K118,$B$39:$D$48)</f>
        <v>-3.4508836064281082E-2</v>
      </c>
      <c r="C168">
        <v>6.6814816071271259E-3</v>
      </c>
      <c r="D168">
        <v>3.9048926015174427E-3</v>
      </c>
    </row>
    <row r="169" spans="1:4" x14ac:dyDescent="0.2">
      <c r="A169" s="29">
        <f>CSR_FactorReturns!A119</f>
        <v>45751</v>
      </c>
      <c r="B169">
        <f t="array" ref="B169:D169">MMULT(Returns!B119:K119,$B$39:$D$48)</f>
        <v>-2.0564104068196403E-2</v>
      </c>
      <c r="C169">
        <v>-1.0393909478560712E-2</v>
      </c>
      <c r="D169">
        <v>-2.6474845541854832E-2</v>
      </c>
    </row>
    <row r="170" spans="1:4" x14ac:dyDescent="0.2">
      <c r="A170" s="29">
        <f>CSR_FactorReturns!A120</f>
        <v>45758</v>
      </c>
      <c r="B170">
        <f t="array" ref="B170:D170">MMULT(Returns!B120:K120,$B$39:$D$48)</f>
        <v>3.0620548179046718E-3</v>
      </c>
      <c r="C170">
        <v>1.395885239359477E-2</v>
      </c>
      <c r="D170">
        <v>1.7116665895596989E-2</v>
      </c>
    </row>
    <row r="171" spans="1:4" x14ac:dyDescent="0.2">
      <c r="A171" s="29">
        <f>CSR_FactorReturns!A121</f>
        <v>45765</v>
      </c>
      <c r="B171">
        <f t="array" ref="B171:D171">MMULT(Returns!B121:K121,$B$39:$D$48)</f>
        <v>-1.9443174575914723E-2</v>
      </c>
      <c r="C171">
        <v>7.964990408169113E-3</v>
      </c>
      <c r="D171">
        <v>-1.2858278159040832E-2</v>
      </c>
    </row>
    <row r="172" spans="1:4" x14ac:dyDescent="0.2">
      <c r="A172" s="29">
        <f>CSR_FactorReturns!A122</f>
        <v>45772</v>
      </c>
      <c r="B172">
        <f t="array" ref="B172:D172">MMULT(Returns!B122:K122,$B$39:$D$48)</f>
        <v>-1.3695031189570828E-2</v>
      </c>
      <c r="C172">
        <v>-1.7245333371320632E-2</v>
      </c>
      <c r="D172">
        <v>-2.0131066320452813E-2</v>
      </c>
    </row>
    <row r="173" spans="1:4" x14ac:dyDescent="0.2">
      <c r="A173" s="29">
        <f>CSR_FactorReturns!A123</f>
        <v>45779</v>
      </c>
      <c r="B173">
        <f t="array" ref="B173:D173">MMULT(Returns!B123:K123,$B$39:$D$48)</f>
        <v>-1.7149744902678506E-2</v>
      </c>
      <c r="C173">
        <v>9.0005716799906269E-3</v>
      </c>
      <c r="D173">
        <v>-1.0301825869725159E-3</v>
      </c>
    </row>
    <row r="174" spans="1:4" x14ac:dyDescent="0.2">
      <c r="A174" s="29">
        <f>CSR_FactorReturns!A124</f>
        <v>45786</v>
      </c>
      <c r="B174">
        <f t="array" ref="B174:D174">MMULT(Returns!B124:K124,$B$39:$D$48)</f>
        <v>7.5411476483632737E-4</v>
      </c>
      <c r="C174">
        <v>5.2338850937076352E-3</v>
      </c>
      <c r="D174">
        <v>-1.2947834516032E-2</v>
      </c>
    </row>
    <row r="175" spans="1:4" x14ac:dyDescent="0.2">
      <c r="A175" s="29">
        <f>CSR_FactorReturns!A125</f>
        <v>45793</v>
      </c>
      <c r="B175">
        <f t="array" ref="B175:D175">MMULT(Returns!B125:K125,$B$39:$D$48)</f>
        <v>-2.3030315961071586E-2</v>
      </c>
      <c r="C175">
        <v>3.9689576391611697E-3</v>
      </c>
      <c r="D175">
        <v>-9.3280934266091638E-3</v>
      </c>
    </row>
    <row r="176" spans="1:4" x14ac:dyDescent="0.2">
      <c r="A176" s="29">
        <f>CSR_FactorReturns!A126</f>
        <v>45800</v>
      </c>
      <c r="B176">
        <f t="array" ref="B176:D176">MMULT(Returns!B126:K126,$B$39:$D$48)</f>
        <v>-6.787623943226264E-3</v>
      </c>
      <c r="C176">
        <v>4.112202923565246E-2</v>
      </c>
      <c r="D176">
        <v>4.1766689858049304E-3</v>
      </c>
    </row>
    <row r="177" spans="1:4" x14ac:dyDescent="0.2">
      <c r="A177" s="29">
        <f>CSR_FactorReturns!A127</f>
        <v>45807</v>
      </c>
      <c r="B177">
        <f t="array" ref="B177:D177">MMULT(Returns!B127:K127,$B$39:$D$48)</f>
        <v>-2.6355587487266321E-2</v>
      </c>
      <c r="C177">
        <v>-2.4587921433943498E-2</v>
      </c>
      <c r="D177">
        <v>1.5775301417612308E-2</v>
      </c>
    </row>
    <row r="178" spans="1:4" x14ac:dyDescent="0.2">
      <c r="A178" s="29">
        <f>CSR_FactorReturns!A128</f>
        <v>45814</v>
      </c>
      <c r="B178">
        <f t="array" ref="B178:D178">MMULT(Returns!B128:K128,$B$39:$D$48)</f>
        <v>2.5108423382816165E-2</v>
      </c>
      <c r="C178">
        <v>-1.7089835726613944E-2</v>
      </c>
      <c r="D178">
        <v>2.1664799734212259E-2</v>
      </c>
    </row>
    <row r="179" spans="1:4" x14ac:dyDescent="0.2">
      <c r="A179" s="29">
        <f>CSR_FactorReturns!A129</f>
        <v>45821</v>
      </c>
      <c r="B179">
        <f t="array" ref="B179:D179">MMULT(Returns!B129:K129,$B$39:$D$48)</f>
        <v>1.5843967326624731E-2</v>
      </c>
      <c r="C179">
        <v>1.6625343375229768E-2</v>
      </c>
      <c r="D179">
        <v>-1.5947188452458599E-2</v>
      </c>
    </row>
    <row r="180" spans="1:4" x14ac:dyDescent="0.2">
      <c r="A180" s="29">
        <f>CSR_FactorReturns!A130</f>
        <v>45828</v>
      </c>
      <c r="B180">
        <f t="array" ref="B180:D180">MMULT(Returns!B130:K130,$B$39:$D$48)</f>
        <v>-1.1400107331562824E-2</v>
      </c>
      <c r="C180">
        <v>5.1487997557716518E-3</v>
      </c>
      <c r="D180">
        <v>3.9927835553057123E-2</v>
      </c>
    </row>
    <row r="181" spans="1:4" x14ac:dyDescent="0.2">
      <c r="A181" s="29">
        <f>CSR_FactorReturns!A131</f>
        <v>45835</v>
      </c>
      <c r="B181">
        <f t="array" ref="B181:D181">MMULT(Returns!B131:K131,$B$39:$D$48)</f>
        <v>-1.7256720601875671E-2</v>
      </c>
      <c r="C181">
        <v>2.6688962139271209E-2</v>
      </c>
      <c r="D181">
        <v>8.1273969665019525E-4</v>
      </c>
    </row>
    <row r="182" spans="1:4" x14ac:dyDescent="0.2">
      <c r="A182" s="29">
        <f>CSR_FactorReturns!A132</f>
        <v>45842</v>
      </c>
      <c r="B182">
        <f t="array" ref="B182:D182">MMULT(Returns!B132:K132,$B$39:$D$48)</f>
        <v>7.5517635114753165E-3</v>
      </c>
      <c r="C182">
        <v>-1.9892382753723337E-2</v>
      </c>
      <c r="D182">
        <v>-4.7749266132317333E-3</v>
      </c>
    </row>
    <row r="183" spans="1:4" x14ac:dyDescent="0.2">
      <c r="A183" s="29">
        <f>CSR_FactorReturns!A133</f>
        <v>45849</v>
      </c>
      <c r="B183">
        <f t="array" ref="B183:D183">MMULT(Returns!B133:K133,$B$39:$D$48)</f>
        <v>3.4756489496269423E-2</v>
      </c>
      <c r="C183">
        <v>-7.3502378005431751E-3</v>
      </c>
      <c r="D183">
        <v>-6.1055308672249304E-3</v>
      </c>
    </row>
    <row r="184" spans="1:4" x14ac:dyDescent="0.2">
      <c r="A184" s="29">
        <f>CSR_FactorReturns!A134</f>
        <v>45856</v>
      </c>
      <c r="B184">
        <f t="array" ref="B184:D184">MMULT(Returns!B134:K134,$B$39:$D$48)</f>
        <v>9.5770195879909346E-3</v>
      </c>
      <c r="C184">
        <v>-2.0457236947960082E-2</v>
      </c>
      <c r="D184">
        <v>5.4902332810596623E-3</v>
      </c>
    </row>
    <row r="185" spans="1:4" x14ac:dyDescent="0.2">
      <c r="A185" s="29">
        <f>CSR_FactorReturns!A135</f>
        <v>45863</v>
      </c>
      <c r="B185">
        <f t="array" ref="B185:D185">MMULT(Returns!B135:K135,$B$39:$D$48)</f>
        <v>-2.0862330817351837E-2</v>
      </c>
      <c r="C185">
        <v>-1.0687538121246362E-2</v>
      </c>
      <c r="D185">
        <v>-1.3766969417137398E-2</v>
      </c>
    </row>
    <row r="186" spans="1:4" x14ac:dyDescent="0.2">
      <c r="A186" s="29">
        <f>CSR_FactorReturns!A136</f>
        <v>45870</v>
      </c>
      <c r="B186">
        <f t="array" ref="B186:D186">MMULT(Returns!B136:K136,$B$39:$D$48)</f>
        <v>-1.2055800391909628E-2</v>
      </c>
      <c r="C186">
        <v>8.5701748828465665E-3</v>
      </c>
      <c r="D186">
        <v>-3.2022899825981589E-2</v>
      </c>
    </row>
    <row r="187" spans="1:4" x14ac:dyDescent="0.2">
      <c r="A187" s="29">
        <f>CSR_FactorReturns!A137</f>
        <v>45877</v>
      </c>
      <c r="B187">
        <f t="array" ref="B187:D187">MMULT(Returns!B137:K137,$B$39:$D$48)</f>
        <v>-9.3615009058176605E-3</v>
      </c>
      <c r="C187">
        <v>2.1439951662080548E-3</v>
      </c>
      <c r="D187">
        <v>6.2853589973599026E-3</v>
      </c>
    </row>
    <row r="188" spans="1:4" x14ac:dyDescent="0.2">
      <c r="A188" s="29">
        <f>CSR_FactorReturns!A138</f>
        <v>45884</v>
      </c>
      <c r="B188">
        <f t="array" ref="B188:D188">MMULT(Returns!B138:K138,$B$39:$D$48)</f>
        <v>-1.6238649861460161E-2</v>
      </c>
      <c r="C188">
        <v>-3.6460509863753591E-3</v>
      </c>
      <c r="D188">
        <v>-9.4090420941653277E-3</v>
      </c>
    </row>
    <row r="189" spans="1:4" x14ac:dyDescent="0.2">
      <c r="A189" s="29">
        <f>CSR_FactorReturns!A139</f>
        <v>45891</v>
      </c>
      <c r="B189">
        <f t="array" ref="B189:D189">MMULT(Returns!B139:K139,$B$39:$D$48)</f>
        <v>-1.750401085948176E-2</v>
      </c>
      <c r="C189">
        <v>-8.357184709661054E-3</v>
      </c>
      <c r="D189">
        <v>-1.1841347864009212E-2</v>
      </c>
    </row>
    <row r="190" spans="1:4" x14ac:dyDescent="0.2">
      <c r="A190" s="29">
        <f>CSR_FactorReturns!A140</f>
        <v>45898</v>
      </c>
      <c r="B190">
        <f t="array" ref="B190:D190">MMULT(Returns!B140:K140,$B$39:$D$48)</f>
        <v>2.6129300059035757E-2</v>
      </c>
      <c r="C190">
        <v>-3.4820079285524809E-2</v>
      </c>
      <c r="D190">
        <v>5.9692429479397064E-3</v>
      </c>
    </row>
    <row r="191" spans="1:4" x14ac:dyDescent="0.2">
      <c r="A191" s="29">
        <f>CSR_FactorReturns!A141</f>
        <v>45905</v>
      </c>
      <c r="B191">
        <f t="array" ref="B191:D191">MMULT(Returns!B141:K141,$B$39:$D$48)</f>
        <v>6.2528541805578789E-3</v>
      </c>
      <c r="C191">
        <v>-5.2212959662508327E-3</v>
      </c>
      <c r="D191">
        <v>1.5063494262428893E-2</v>
      </c>
    </row>
    <row r="192" spans="1:4" x14ac:dyDescent="0.2">
      <c r="A192" s="29">
        <f>CSR_FactorReturns!A142</f>
        <v>45912</v>
      </c>
      <c r="B192">
        <f t="array" ref="B192:D192">MMULT(Returns!B142:K142,$B$39:$D$48)</f>
        <v>-5.6927138820021851E-3</v>
      </c>
      <c r="C192">
        <v>-3.8063065406191612E-3</v>
      </c>
      <c r="D192">
        <v>3.0267609331259236E-3</v>
      </c>
    </row>
    <row r="193" spans="1:4" x14ac:dyDescent="0.2">
      <c r="A193" s="29">
        <f>CSR_FactorReturns!A143</f>
        <v>45919</v>
      </c>
      <c r="B193">
        <f t="array" ref="B193:D193">MMULT(Returns!B143:K143,$B$39:$D$48)</f>
        <v>-2.5406815962961456E-3</v>
      </c>
      <c r="C193">
        <v>1.7851842855560372E-2</v>
      </c>
      <c r="D193">
        <v>-4.5240367198778799E-3</v>
      </c>
    </row>
    <row r="194" spans="1:4" x14ac:dyDescent="0.2">
      <c r="A194" s="29">
        <f>CSR_FactorReturns!A144</f>
        <v>45926</v>
      </c>
      <c r="B194">
        <f t="array" ref="B194:D194">MMULT(Returns!B144:K144,$B$39:$D$48)</f>
        <v>3.0598347766344045E-2</v>
      </c>
      <c r="C194">
        <v>-1.9376945012525692E-2</v>
      </c>
      <c r="D194">
        <v>-8.0112729390747154E-3</v>
      </c>
    </row>
    <row r="195" spans="1:4" x14ac:dyDescent="0.2">
      <c r="A195" s="29">
        <f>CSR_FactorReturns!A145</f>
        <v>45933</v>
      </c>
      <c r="B195">
        <f t="array" ref="B195:D195">MMULT(Returns!B145:K145,$B$39:$D$48)</f>
        <v>-4.1230598730790734E-2</v>
      </c>
      <c r="C195">
        <v>1.3774269590116411E-2</v>
      </c>
      <c r="D195">
        <v>-9.0777305053865408E-3</v>
      </c>
    </row>
    <row r="196" spans="1:4" x14ac:dyDescent="0.2">
      <c r="A196" s="29">
        <f>CSR_FactorReturns!A146</f>
        <v>45940</v>
      </c>
      <c r="B196">
        <f t="array" ref="B196:D196">MMULT(Returns!B146:K146,$B$39:$D$48)</f>
        <v>-4.1379308369503869E-2</v>
      </c>
      <c r="C196">
        <v>5.0279128860156149E-3</v>
      </c>
      <c r="D196">
        <v>1.2722688565330501E-2</v>
      </c>
    </row>
    <row r="197" spans="1:4" x14ac:dyDescent="0.2">
      <c r="A197" s="29">
        <f>CSR_FactorReturns!A147</f>
        <v>45947</v>
      </c>
      <c r="B197">
        <f t="array" ref="B197:D197">MMULT(Returns!B147:K147,$B$39:$D$48)</f>
        <v>-3.1762069830634745E-2</v>
      </c>
      <c r="C197">
        <v>-1.7872800247378863E-3</v>
      </c>
      <c r="D197">
        <v>-6.0790851095490726E-3</v>
      </c>
    </row>
    <row r="198" spans="1:4" x14ac:dyDescent="0.2">
      <c r="A198" s="29">
        <f>CSR_FactorReturns!A148</f>
        <v>45954</v>
      </c>
      <c r="B198">
        <f t="array" ref="B198:D198">MMULT(Returns!B148:K148,$B$39:$D$48)</f>
        <v>-2.4250160671392774E-2</v>
      </c>
      <c r="C198">
        <v>-1.2185476727518917E-2</v>
      </c>
      <c r="D198">
        <v>1.4037041390626982E-2</v>
      </c>
    </row>
    <row r="199" spans="1:4" x14ac:dyDescent="0.2">
      <c r="A199" s="29">
        <f>CSR_FactorReturns!A149</f>
        <v>45961</v>
      </c>
      <c r="B199">
        <f t="array" ref="B199:D199">MMULT(Returns!B149:K149,$B$39:$D$48)</f>
        <v>-1.8267243322255475E-2</v>
      </c>
      <c r="C199">
        <v>1.6162159693302255E-2</v>
      </c>
      <c r="D199">
        <v>-1.8804843703885687E-2</v>
      </c>
    </row>
    <row r="200" spans="1:4" x14ac:dyDescent="0.2">
      <c r="A200" s="29">
        <f>CSR_FactorReturns!A150</f>
        <v>45968</v>
      </c>
      <c r="B200">
        <f t="array" ref="B200:D200">MMULT(Returns!B150:K150,$B$39:$D$48)</f>
        <v>2.63807756586419E-2</v>
      </c>
      <c r="C200">
        <v>-7.6291347579090681E-3</v>
      </c>
      <c r="D200">
        <v>-3.1993810153115136E-2</v>
      </c>
    </row>
    <row r="201" spans="1:4" x14ac:dyDescent="0.2">
      <c r="A201" s="29">
        <f>CSR_FactorReturns!A151</f>
        <v>45975</v>
      </c>
      <c r="B201">
        <f t="array" ref="B201:D201">MMULT(Returns!B151:K151,$B$39:$D$48)</f>
        <v>-4.3094783973148608E-2</v>
      </c>
      <c r="C201">
        <v>-1.7122502185000079E-2</v>
      </c>
      <c r="D201">
        <v>1.1292399247306975E-2</v>
      </c>
    </row>
    <row r="202" spans="1:4" x14ac:dyDescent="0.2">
      <c r="A202" s="29">
        <f>CSR_FactorReturns!A152</f>
        <v>45982</v>
      </c>
      <c r="B202">
        <f t="array" ref="B202:D202">MMULT(Returns!B152:K152,$B$39:$D$48)</f>
        <v>-8.1586633658231687E-3</v>
      </c>
      <c r="C202">
        <v>-1.2159149724749849E-3</v>
      </c>
      <c r="D202">
        <v>-3.1567909586586083E-3</v>
      </c>
    </row>
    <row r="203" spans="1:4" x14ac:dyDescent="0.2">
      <c r="A203" s="29">
        <f>CSR_FactorReturns!A153</f>
        <v>45989</v>
      </c>
      <c r="B203">
        <f t="array" ref="B203:D203">MMULT(Returns!B153:K153,$B$39:$D$48)</f>
        <v>1.6222443273891793E-3</v>
      </c>
      <c r="C203">
        <v>2.3344629644020155E-3</v>
      </c>
      <c r="D203">
        <v>-2.5506213567158022E-2</v>
      </c>
    </row>
    <row r="204" spans="1:4" x14ac:dyDescent="0.2">
      <c r="A204" s="29">
        <f>CSR_FactorReturns!A154</f>
        <v>45996</v>
      </c>
      <c r="B204">
        <f t="array" ref="B204:D204">MMULT(Returns!B154:K154,$B$39:$D$48)</f>
        <v>-2.8955677314490662E-2</v>
      </c>
      <c r="C204">
        <v>-1.9965046235034208E-2</v>
      </c>
      <c r="D204">
        <v>-1.9074601880556256E-2</v>
      </c>
    </row>
    <row r="205" spans="1:4" x14ac:dyDescent="0.2">
      <c r="A205" s="29">
        <f>CSR_FactorReturns!A155</f>
        <v>46003</v>
      </c>
      <c r="B205">
        <f t="array" ref="B205:D205">MMULT(Returns!B155:K155,$B$39:$D$48)</f>
        <v>4.8832098031553724E-3</v>
      </c>
      <c r="C205">
        <v>2.5578903789714321E-3</v>
      </c>
      <c r="D205">
        <v>-9.1999306059009425E-3</v>
      </c>
    </row>
    <row r="206" spans="1:4" x14ac:dyDescent="0.2">
      <c r="A206" s="29">
        <f>CSR_FactorReturns!A156</f>
        <v>46010</v>
      </c>
      <c r="B206">
        <f t="array" ref="B206:D206">MMULT(Returns!B156:K156,$B$39:$D$48)</f>
        <v>-3.1342789898491978E-2</v>
      </c>
      <c r="C206">
        <v>-1.3080707885255128E-2</v>
      </c>
      <c r="D206">
        <v>2.1860522806427942E-2</v>
      </c>
    </row>
    <row r="207" spans="1:4" x14ac:dyDescent="0.2">
      <c r="A207" s="29">
        <f>CSR_FactorReturns!A157</f>
        <v>46017</v>
      </c>
      <c r="B207">
        <f t="array" ref="B207:D207">MMULT(Returns!B157:K157,$B$39:$D$48)</f>
        <v>-4.0589551982033518E-2</v>
      </c>
      <c r="C207">
        <v>2.4758553293258712E-3</v>
      </c>
      <c r="D207">
        <v>-1.8378106299583523E-2</v>
      </c>
    </row>
    <row r="209" spans="1:4" x14ac:dyDescent="0.2">
      <c r="A209" s="28" t="s">
        <v>136</v>
      </c>
    </row>
    <row r="210" spans="1:4" x14ac:dyDescent="0.2">
      <c r="A210" s="24" t="s">
        <v>101</v>
      </c>
      <c r="B210" s="24" t="s">
        <v>137</v>
      </c>
      <c r="C210" s="24" t="s">
        <v>138</v>
      </c>
      <c r="D210" s="24" t="s">
        <v>139</v>
      </c>
    </row>
    <row r="211" spans="1:4" x14ac:dyDescent="0.2">
      <c r="A211" t="s">
        <v>59</v>
      </c>
      <c r="B211" s="30">
        <f>FactorCovariance!B16</f>
        <v>0.1687023144417007</v>
      </c>
      <c r="C211" s="30">
        <f>SQRT(_xlfn.VAR.S(B52:B207)*52)</f>
        <v>0.16847650149133431</v>
      </c>
      <c r="D211" s="27">
        <f>C211/B211</f>
        <v>0.99866147094001834</v>
      </c>
    </row>
    <row r="212" spans="1:4" x14ac:dyDescent="0.2">
      <c r="A212" t="s">
        <v>60</v>
      </c>
      <c r="B212" s="30">
        <f>FactorCovariance!C16</f>
        <v>0.10806372238187784</v>
      </c>
      <c r="C212" s="30">
        <f>SQRT(_xlfn.VAR.S(C52:C207)*52)</f>
        <v>0.11295612252929557</v>
      </c>
      <c r="D212" s="27">
        <f>C212/B212</f>
        <v>1.0452732891259184</v>
      </c>
    </row>
    <row r="213" spans="1:4" x14ac:dyDescent="0.2">
      <c r="A213" t="s">
        <v>61</v>
      </c>
      <c r="B213" s="30">
        <f>FactorCovariance!D16</f>
        <v>0.11017859158374038</v>
      </c>
      <c r="C213" s="30">
        <f>SQRT(_xlfn.VAR.S(D52:D207)*52)</f>
        <v>0.10956907362915608</v>
      </c>
      <c r="D213" s="27">
        <f>C213/B213</f>
        <v>0.9944679093658495</v>
      </c>
    </row>
    <row r="216" spans="1:4" ht="16" x14ac:dyDescent="0.2">
      <c r="A216" s="2" t="s">
        <v>140</v>
      </c>
    </row>
    <row r="217" spans="1:4" x14ac:dyDescent="0.2">
      <c r="A217" s="23" t="s">
        <v>141</v>
      </c>
    </row>
    <row r="218" spans="1:4" x14ac:dyDescent="0.2">
      <c r="A218" s="23" t="s">
        <v>142</v>
      </c>
    </row>
    <row r="219" spans="1:4" x14ac:dyDescent="0.2">
      <c r="A219" s="23" t="s">
        <v>143</v>
      </c>
    </row>
    <row r="220" spans="1:4" x14ac:dyDescent="0.2">
      <c r="A220" s="23" t="s">
        <v>144</v>
      </c>
    </row>
    <row r="222" spans="1:4" x14ac:dyDescent="0.2">
      <c r="A222" s="23" t="s">
        <v>145</v>
      </c>
      <c r="B222" s="31">
        <v>26</v>
      </c>
    </row>
    <row r="223" spans="1:4" x14ac:dyDescent="0.2">
      <c r="A223" s="23" t="s">
        <v>146</v>
      </c>
      <c r="B223" s="26">
        <f>0.5^(1/B222)</f>
        <v>0.97369272069743418</v>
      </c>
    </row>
    <row r="225" spans="1:3" x14ac:dyDescent="0.2">
      <c r="A225" s="28" t="s">
        <v>147</v>
      </c>
    </row>
    <row r="226" spans="1:3" x14ac:dyDescent="0.2">
      <c r="A226" s="24" t="s">
        <v>45</v>
      </c>
      <c r="B226" s="24" t="s">
        <v>148</v>
      </c>
      <c r="C226" s="24" t="s">
        <v>149</v>
      </c>
    </row>
    <row r="227" spans="1:3" x14ac:dyDescent="0.2">
      <c r="A227" s="29">
        <f>CSR_FactorReturns!A2</f>
        <v>44932</v>
      </c>
      <c r="B227" s="32">
        <f>$B$223^155</f>
        <v>1.6047157042324629E-2</v>
      </c>
      <c r="C227" s="32">
        <f t="shared" ref="C227:C258" si="1">B227/SUM($B$227:$B$382)</f>
        <v>4.2885794775829393E-4</v>
      </c>
    </row>
    <row r="228" spans="1:3" x14ac:dyDescent="0.2">
      <c r="A228" s="29">
        <f>CSR_FactorReturns!A3</f>
        <v>44939</v>
      </c>
      <c r="B228" s="32">
        <f>$B$223^154</f>
        <v>1.6480719945025792E-2</v>
      </c>
      <c r="C228" s="32">
        <f t="shared" si="1"/>
        <v>4.4044485353768759E-4</v>
      </c>
    </row>
    <row r="229" spans="1:3" x14ac:dyDescent="0.2">
      <c r="A229" s="29">
        <f>CSR_FactorReturns!A4</f>
        <v>44946</v>
      </c>
      <c r="B229" s="32">
        <f>$B$223^153</f>
        <v>1.6925996872217575E-2</v>
      </c>
      <c r="C229" s="32">
        <f t="shared" si="1"/>
        <v>4.5234481492498668E-4</v>
      </c>
    </row>
    <row r="230" spans="1:3" x14ac:dyDescent="0.2">
      <c r="A230" s="29">
        <f>CSR_FactorReturns!A5</f>
        <v>44953</v>
      </c>
      <c r="B230" s="32">
        <f>$B$223^152</f>
        <v>1.7383304314007673E-2</v>
      </c>
      <c r="C230" s="32">
        <f t="shared" si="1"/>
        <v>4.6456629007248022E-4</v>
      </c>
    </row>
    <row r="231" spans="1:3" x14ac:dyDescent="0.2">
      <c r="A231" s="29">
        <f>CSR_FactorReturns!A6</f>
        <v>44960</v>
      </c>
      <c r="B231" s="32">
        <f>$B$223^151</f>
        <v>1.7852967311449554E-2</v>
      </c>
      <c r="C231" s="32">
        <f t="shared" si="1"/>
        <v>4.7711796565524478E-4</v>
      </c>
    </row>
    <row r="232" spans="1:3" x14ac:dyDescent="0.2">
      <c r="A232" s="29">
        <f>CSR_FactorReturns!A7</f>
        <v>44967</v>
      </c>
      <c r="B232" s="32">
        <f>$B$223^150</f>
        <v>1.8335319687572356E-2</v>
      </c>
      <c r="C232" s="32">
        <f t="shared" si="1"/>
        <v>4.9000876304538458E-4</v>
      </c>
    </row>
    <row r="233" spans="1:3" x14ac:dyDescent="0.2">
      <c r="A233" s="29">
        <f>CSR_FactorReturns!A8</f>
        <v>44974</v>
      </c>
      <c r="B233" s="32">
        <f>$B$223^149</f>
        <v>1.8830704284652736E-2</v>
      </c>
      <c r="C233" s="32">
        <f t="shared" si="1"/>
        <v>5.0324784465308756E-4</v>
      </c>
    </row>
    <row r="234" spans="1:3" x14ac:dyDescent="0.2">
      <c r="A234" s="29">
        <f>CSR_FactorReturns!A9</f>
        <v>44981</v>
      </c>
      <c r="B234" s="32">
        <f>$B$223^148</f>
        <v>1.9339473207897383E-2</v>
      </c>
      <c r="C234" s="32">
        <f t="shared" si="1"/>
        <v>5.168446204390051E-4</v>
      </c>
    </row>
    <row r="235" spans="1:3" x14ac:dyDescent="0.2">
      <c r="A235" s="29">
        <f>CSR_FactorReturns!A10</f>
        <v>44988</v>
      </c>
      <c r="B235" s="32">
        <f>$B$223^147</f>
        <v>1.98619880757093E-2</v>
      </c>
      <c r="C235" s="32">
        <f t="shared" si="1"/>
        <v>5.3080875460258237E-4</v>
      </c>
    </row>
    <row r="236" spans="1:3" x14ac:dyDescent="0.2">
      <c r="A236" s="29">
        <f>CSR_FactorReturns!A11</f>
        <v>44995</v>
      </c>
      <c r="B236" s="32">
        <f>$B$223^146</f>
        <v>2.0398620276715847E-2</v>
      </c>
      <c r="C236" s="32">
        <f t="shared" si="1"/>
        <v>5.4515017245109528E-4</v>
      </c>
    </row>
    <row r="237" spans="1:3" x14ac:dyDescent="0.2">
      <c r="A237" s="29">
        <f>CSR_FactorReturns!A12</f>
        <v>45002</v>
      </c>
      <c r="B237" s="32">
        <f>$B$223^145</f>
        <v>2.0949751233741151E-2</v>
      </c>
      <c r="C237" s="32">
        <f t="shared" si="1"/>
        <v>5.5987906745427502E-4</v>
      </c>
    </row>
    <row r="238" spans="1:3" x14ac:dyDescent="0.2">
      <c r="A238" s="29">
        <f>CSR_FactorReturns!A13</f>
        <v>45009</v>
      </c>
      <c r="B238" s="32">
        <f>$B$223^144</f>
        <v>2.1515772674910533E-2</v>
      </c>
      <c r="C238" s="32">
        <f t="shared" si="1"/>
        <v>5.7500590848953476E-4</v>
      </c>
    </row>
    <row r="239" spans="1:3" x14ac:dyDescent="0.2">
      <c r="A239" s="29">
        <f>CSR_FactorReturns!A14</f>
        <v>45016</v>
      </c>
      <c r="B239" s="32">
        <f>$B$223^143</f>
        <v>2.2097086912079691E-2</v>
      </c>
      <c r="C239" s="32">
        <f t="shared" si="1"/>
        <v>5.9054144728294894E-4</v>
      </c>
    </row>
    <row r="240" spans="1:3" x14ac:dyDescent="0.2">
      <c r="A240" s="29">
        <f>CSR_FactorReturns!A15</f>
        <v>45023</v>
      </c>
      <c r="B240" s="32">
        <f>$B$223^142</f>
        <v>2.2694107126786409E-2</v>
      </c>
      <c r="C240" s="32">
        <f t="shared" si="1"/>
        <v>6.0649672605127139E-4</v>
      </c>
    </row>
    <row r="241" spans="1:3" x14ac:dyDescent="0.2">
      <c r="A241" s="29">
        <f>CSR_FactorReturns!A16</f>
        <v>45030</v>
      </c>
      <c r="B241" s="32">
        <f>$B$223^141</f>
        <v>2.3307257663928233E-2</v>
      </c>
      <c r="C241" s="32">
        <f t="shared" si="1"/>
        <v>6.2288308535042895E-4</v>
      </c>
    </row>
    <row r="242" spans="1:3" x14ac:dyDescent="0.2">
      <c r="A242" s="29">
        <f>CSR_FactorReturns!A17</f>
        <v>45037</v>
      </c>
      <c r="B242" s="32">
        <f>$B$223^140</f>
        <v>2.3936974333374675E-2</v>
      </c>
      <c r="C242" s="32">
        <f t="shared" si="1"/>
        <v>6.3971217213606361E-4</v>
      </c>
    </row>
    <row r="243" spans="1:3" x14ac:dyDescent="0.2">
      <c r="A243" s="29">
        <f>CSR_FactorReturns!A18</f>
        <v>45044</v>
      </c>
      <c r="B243" s="32">
        <f>$B$223^139</f>
        <v>2.4583704719728372E-2</v>
      </c>
      <c r="C243" s="32">
        <f t="shared" si="1"/>
        <v>6.5699594804185461E-4</v>
      </c>
    </row>
    <row r="244" spans="1:3" x14ac:dyDescent="0.2">
      <c r="A244" s="29">
        <f>CSR_FactorReturns!A19</f>
        <v>45051</v>
      </c>
      <c r="B244" s="32">
        <f>$B$223^138</f>
        <v>2.5247908500455486E-2</v>
      </c>
      <c r="C244" s="32">
        <f t="shared" si="1"/>
        <v>6.7474669788150762E-4</v>
      </c>
    </row>
    <row r="245" spans="1:3" x14ac:dyDescent="0.2">
      <c r="A245" s="29">
        <f>CSR_FactorReturns!A20</f>
        <v>45058</v>
      </c>
      <c r="B245" s="32">
        <f>$B$223^137</f>
        <v>2.5930057772611235E-2</v>
      </c>
      <c r="C245" s="32">
        <f t="shared" si="1"/>
        <v>6.9297703838044683E-4</v>
      </c>
    </row>
    <row r="246" spans="1:3" x14ac:dyDescent="0.2">
      <c r="A246" s="29">
        <f>CSR_FactorReturns!A21</f>
        <v>45065</v>
      </c>
      <c r="B246" s="32">
        <f>$B$223^136</f>
        <v>2.6630637388393046E-2</v>
      </c>
      <c r="C246" s="32">
        <f t="shared" si="1"/>
        <v>7.1169992714342474E-4</v>
      </c>
    </row>
    <row r="247" spans="1:3" x14ac:dyDescent="0.2">
      <c r="A247" s="29">
        <f>CSR_FactorReturns!A22</f>
        <v>45072</v>
      </c>
      <c r="B247" s="32">
        <f>$B$223^135</f>
        <v>2.7350145299759581E-2</v>
      </c>
      <c r="C247" s="32">
        <f t="shared" si="1"/>
        <v>7.3092867186441549E-4</v>
      </c>
    </row>
    <row r="248" spans="1:3" x14ac:dyDescent="0.2">
      <c r="A248" s="29">
        <f>CSR_FactorReturns!A23</f>
        <v>45079</v>
      </c>
      <c r="B248" s="32">
        <f>$B$223^134</f>
        <v>2.8089092912360777E-2</v>
      </c>
      <c r="C248" s="32">
        <f t="shared" si="1"/>
        <v>7.5067693978534387E-4</v>
      </c>
    </row>
    <row r="249" spans="1:3" x14ac:dyDescent="0.2">
      <c r="A249" s="29">
        <f>CSR_FactorReturns!A24</f>
        <v>45086</v>
      </c>
      <c r="B249" s="32">
        <f>$B$223^133</f>
        <v>2.8848005449030358E-2</v>
      </c>
      <c r="C249" s="32">
        <f t="shared" si="1"/>
        <v>7.7095876741037025E-4</v>
      </c>
    </row>
    <row r="250" spans="1:3" x14ac:dyDescent="0.2">
      <c r="A250" s="29">
        <f>CSR_FactorReturns!A25</f>
        <v>45093</v>
      </c>
      <c r="B250" s="32">
        <f>$B$223^132</f>
        <v>2.9627422323099204E-2</v>
      </c>
      <c r="C250" s="32">
        <f t="shared" si="1"/>
        <v>7.9178857048263637E-4</v>
      </c>
    </row>
    <row r="251" spans="1:3" x14ac:dyDescent="0.2">
      <c r="A251" s="29">
        <f>CSR_FactorReturns!A26</f>
        <v>45100</v>
      </c>
      <c r="B251" s="32">
        <f>$B$223^131</f>
        <v>3.0427897521794915E-2</v>
      </c>
      <c r="C251" s="32">
        <f t="shared" si="1"/>
        <v>8.1318115423056273E-4</v>
      </c>
    </row>
    <row r="252" spans="1:3" x14ac:dyDescent="0.2">
      <c r="A252" s="29">
        <f>CSR_FactorReturns!A27</f>
        <v>45107</v>
      </c>
      <c r="B252" s="32">
        <f>$B$223^130</f>
        <v>3.1250000000000104E-2</v>
      </c>
      <c r="C252" s="32">
        <f t="shared" si="1"/>
        <v>8.3515172389098222E-4</v>
      </c>
    </row>
    <row r="253" spans="1:3" x14ac:dyDescent="0.2">
      <c r="A253" s="29">
        <f>CSR_FactorReturns!A28</f>
        <v>45114</v>
      </c>
      <c r="B253" s="32">
        <f>$B$223^129</f>
        <v>3.2094314084649245E-2</v>
      </c>
      <c r="C253" s="32">
        <f t="shared" si="1"/>
        <v>8.5771589551658742E-4</v>
      </c>
    </row>
    <row r="254" spans="1:3" x14ac:dyDescent="0.2">
      <c r="A254" s="29">
        <f>CSR_FactorReturns!A29</f>
        <v>45121</v>
      </c>
      <c r="B254" s="32">
        <f>$B$223^128</f>
        <v>3.2961439890051562E-2</v>
      </c>
      <c r="C254" s="32">
        <f t="shared" si="1"/>
        <v>8.8088970707537464E-4</v>
      </c>
    </row>
    <row r="255" spans="1:3" x14ac:dyDescent="0.2">
      <c r="A255" s="29">
        <f>CSR_FactorReturns!A30</f>
        <v>45128</v>
      </c>
      <c r="B255" s="32">
        <f>$B$223^127</f>
        <v>3.3851993744435135E-2</v>
      </c>
      <c r="C255" s="32">
        <f t="shared" si="1"/>
        <v>9.0468962984997293E-4</v>
      </c>
    </row>
    <row r="256" spans="1:3" x14ac:dyDescent="0.2">
      <c r="A256" s="29">
        <f>CSR_FactorReturns!A31</f>
        <v>45135</v>
      </c>
      <c r="B256" s="32">
        <f>$B$223^126</f>
        <v>3.4766608628015318E-2</v>
      </c>
      <c r="C256" s="32">
        <f t="shared" si="1"/>
        <v>9.2913258014495979E-4</v>
      </c>
    </row>
    <row r="257" spans="1:3" x14ac:dyDescent="0.2">
      <c r="A257" s="29">
        <f>CSR_FactorReturns!A32</f>
        <v>45142</v>
      </c>
      <c r="B257" s="32">
        <f>$B$223^125</f>
        <v>3.5705934622899081E-2</v>
      </c>
      <c r="C257" s="32">
        <f t="shared" si="1"/>
        <v>9.542359313104888E-4</v>
      </c>
    </row>
    <row r="258" spans="1:3" x14ac:dyDescent="0.2">
      <c r="A258" s="29">
        <f>CSR_FactorReturns!A33</f>
        <v>45149</v>
      </c>
      <c r="B258" s="32">
        <f>$B$223^124</f>
        <v>3.6670639375144684E-2</v>
      </c>
      <c r="C258" s="32">
        <f t="shared" si="1"/>
        <v>9.800175260907683E-4</v>
      </c>
    </row>
    <row r="259" spans="1:3" x14ac:dyDescent="0.2">
      <c r="A259" s="29">
        <f>CSR_FactorReturns!A34</f>
        <v>45156</v>
      </c>
      <c r="B259" s="32">
        <f>$B$223^123</f>
        <v>3.7661408569305443E-2</v>
      </c>
      <c r="C259" s="32">
        <f t="shared" ref="C259:C290" si="2">B259/SUM($B$227:$B$382)</f>
        <v>1.0064956893061743E-3</v>
      </c>
    </row>
    <row r="260" spans="1:3" x14ac:dyDescent="0.2">
      <c r="A260" s="29">
        <f>CSR_FactorReturns!A35</f>
        <v>45163</v>
      </c>
      <c r="B260" s="32">
        <f>$B$223^122</f>
        <v>3.8678946415794745E-2</v>
      </c>
      <c r="C260" s="32">
        <f t="shared" si="2"/>
        <v>1.0336892408780096E-3</v>
      </c>
    </row>
    <row r="261" spans="1:3" x14ac:dyDescent="0.2">
      <c r="A261" s="29">
        <f>CSR_FactorReturns!A36</f>
        <v>45170</v>
      </c>
      <c r="B261" s="32">
        <f>$B$223^121</f>
        <v>3.9723976151418566E-2</v>
      </c>
      <c r="C261" s="32">
        <f t="shared" si="2"/>
        <v>1.0616175092051639E-3</v>
      </c>
    </row>
    <row r="262" spans="1:3" x14ac:dyDescent="0.2">
      <c r="A262" s="29">
        <f>CSR_FactorReturns!A37</f>
        <v>45177</v>
      </c>
      <c r="B262" s="32">
        <f>$B$223^120</f>
        <v>4.0797240553431667E-2</v>
      </c>
      <c r="C262" s="32">
        <f t="shared" si="2"/>
        <v>1.0903003449021899E-3</v>
      </c>
    </row>
    <row r="263" spans="1:3" x14ac:dyDescent="0.2">
      <c r="A263" s="29">
        <f>CSR_FactorReturns!A38</f>
        <v>45184</v>
      </c>
      <c r="B263" s="32">
        <f>$B$223^119</f>
        <v>4.1899502467482273E-2</v>
      </c>
      <c r="C263" s="32">
        <f t="shared" si="2"/>
        <v>1.1197581349085494E-3</v>
      </c>
    </row>
    <row r="264" spans="1:3" x14ac:dyDescent="0.2">
      <c r="A264" s="29">
        <f>CSR_FactorReturns!A39</f>
        <v>45191</v>
      </c>
      <c r="B264" s="32">
        <f>$B$223^118</f>
        <v>4.3031545349821038E-2</v>
      </c>
      <c r="C264" s="32">
        <f t="shared" si="2"/>
        <v>1.1500118169790689E-3</v>
      </c>
    </row>
    <row r="265" spans="1:3" x14ac:dyDescent="0.2">
      <c r="A265" s="29">
        <f>CSR_FactorReturns!A40</f>
        <v>45198</v>
      </c>
      <c r="B265" s="32">
        <f>$B$223^117</f>
        <v>4.4194173824159341E-2</v>
      </c>
      <c r="C265" s="32">
        <f t="shared" si="2"/>
        <v>1.1810828945658968E-3</v>
      </c>
    </row>
    <row r="266" spans="1:3" x14ac:dyDescent="0.2">
      <c r="A266" s="29">
        <f>CSR_FactorReturns!A41</f>
        <v>45205</v>
      </c>
      <c r="B266" s="32">
        <f>$B$223^116</f>
        <v>4.5388214253572791E-2</v>
      </c>
      <c r="C266" s="32">
        <f t="shared" si="2"/>
        <v>1.2129934521025421E-3</v>
      </c>
    </row>
    <row r="267" spans="1:3" x14ac:dyDescent="0.2">
      <c r="A267" s="29">
        <f>CSR_FactorReturns!A42</f>
        <v>45212</v>
      </c>
      <c r="B267" s="32">
        <f>$B$223^115</f>
        <v>4.6614515327856439E-2</v>
      </c>
      <c r="C267" s="32">
        <f t="shared" si="2"/>
        <v>1.2457661707008572E-3</v>
      </c>
    </row>
    <row r="268" spans="1:3" x14ac:dyDescent="0.2">
      <c r="A268" s="29">
        <f>CSR_FactorReturns!A43</f>
        <v>45219</v>
      </c>
      <c r="B268" s="32">
        <f>$B$223^114</f>
        <v>4.7873948666749308E-2</v>
      </c>
      <c r="C268" s="32">
        <f t="shared" si="2"/>
        <v>1.2794243442721261E-3</v>
      </c>
    </row>
    <row r="269" spans="1:3" x14ac:dyDescent="0.2">
      <c r="A269" s="29">
        <f>CSR_FactorReturns!A44</f>
        <v>45226</v>
      </c>
      <c r="B269" s="32">
        <f>$B$223^113</f>
        <v>4.9167409439456723E-2</v>
      </c>
      <c r="C269" s="32">
        <f t="shared" si="2"/>
        <v>1.3139918960837088E-3</v>
      </c>
    </row>
    <row r="270" spans="1:3" x14ac:dyDescent="0.2">
      <c r="A270" s="29">
        <f>CSR_FactorReturns!A45</f>
        <v>45233</v>
      </c>
      <c r="B270" s="32">
        <f>$B$223^112</f>
        <v>5.0495817000910929E-2</v>
      </c>
      <c r="C270" s="32">
        <f t="shared" si="2"/>
        <v>1.3494933957630142E-3</v>
      </c>
    </row>
    <row r="271" spans="1:3" x14ac:dyDescent="0.2">
      <c r="A271" s="29">
        <f>CSR_FactorReturns!A46</f>
        <v>45240</v>
      </c>
      <c r="B271" s="32">
        <f>$B$223^111</f>
        <v>5.1860115545222442E-2</v>
      </c>
      <c r="C271" s="32">
        <f t="shared" si="2"/>
        <v>1.385954076760893E-3</v>
      </c>
    </row>
    <row r="272" spans="1:3" x14ac:dyDescent="0.2">
      <c r="A272" s="29">
        <f>CSR_FactorReturns!A47</f>
        <v>45247</v>
      </c>
      <c r="B272" s="32">
        <f>$B$223^110</f>
        <v>5.3261274776786049E-2</v>
      </c>
      <c r="C272" s="32">
        <f t="shared" si="2"/>
        <v>1.4233998542868484E-3</v>
      </c>
    </row>
    <row r="273" spans="1:3" x14ac:dyDescent="0.2">
      <c r="A273" s="29">
        <f>CSR_FactorReturns!A48</f>
        <v>45254</v>
      </c>
      <c r="B273" s="32">
        <f>$B$223^109</f>
        <v>5.4700290599519114E-2</v>
      </c>
      <c r="C273" s="32">
        <f t="shared" si="2"/>
        <v>1.4618573437288297E-3</v>
      </c>
    </row>
    <row r="274" spans="1:3" x14ac:dyDescent="0.2">
      <c r="A274" s="29">
        <f>CSR_FactorReturns!A49</f>
        <v>45261</v>
      </c>
      <c r="B274" s="32">
        <f>$B$223^108</f>
        <v>5.6178185824721519E-2</v>
      </c>
      <c r="C274" s="32">
        <f t="shared" si="2"/>
        <v>1.5013538795706867E-3</v>
      </c>
    </row>
    <row r="275" spans="1:3" x14ac:dyDescent="0.2">
      <c r="A275" s="29">
        <f>CSR_FactorReturns!A50</f>
        <v>45268</v>
      </c>
      <c r="B275" s="32">
        <f>$B$223^107</f>
        <v>5.769601089806068E-2</v>
      </c>
      <c r="C275" s="32">
        <f t="shared" si="2"/>
        <v>1.5419175348207396E-3</v>
      </c>
    </row>
    <row r="276" spans="1:3" x14ac:dyDescent="0.2">
      <c r="A276" s="29">
        <f>CSR_FactorReturns!A51</f>
        <v>45275</v>
      </c>
      <c r="B276" s="32">
        <f>$B$223^106</f>
        <v>5.9254844646198374E-2</v>
      </c>
      <c r="C276" s="32">
        <f t="shared" si="2"/>
        <v>1.5835771409652719E-3</v>
      </c>
    </row>
    <row r="277" spans="1:3" x14ac:dyDescent="0.2">
      <c r="A277" s="29">
        <f>CSR_FactorReturns!A52</f>
        <v>45282</v>
      </c>
      <c r="B277" s="32">
        <f>$B$223^105</f>
        <v>6.0855795043589789E-2</v>
      </c>
      <c r="C277" s="32">
        <f t="shared" si="2"/>
        <v>1.6263623084611244E-3</v>
      </c>
    </row>
    <row r="278" spans="1:3" x14ac:dyDescent="0.2">
      <c r="A278" s="29">
        <f>CSR_FactorReturns!A53</f>
        <v>45289</v>
      </c>
      <c r="B278" s="32">
        <f>$B$223^104</f>
        <v>6.2500000000000167E-2</v>
      </c>
      <c r="C278" s="32">
        <f t="shared" si="2"/>
        <v>1.6703034477819634E-3</v>
      </c>
    </row>
    <row r="279" spans="1:3" x14ac:dyDescent="0.2">
      <c r="A279" s="29">
        <f>CSR_FactorReturns!A54</f>
        <v>45296</v>
      </c>
      <c r="B279" s="32">
        <f>$B$223^103</f>
        <v>6.4188628169298448E-2</v>
      </c>
      <c r="C279" s="32">
        <f t="shared" si="2"/>
        <v>1.7154317910331738E-3</v>
      </c>
    </row>
    <row r="280" spans="1:3" x14ac:dyDescent="0.2">
      <c r="A280" s="29">
        <f>CSR_FactorReturns!A55</f>
        <v>45303</v>
      </c>
      <c r="B280" s="32">
        <f>$B$223^102</f>
        <v>6.5922879780103083E-2</v>
      </c>
      <c r="C280" s="32">
        <f t="shared" si="2"/>
        <v>1.7617794141507482E-3</v>
      </c>
    </row>
    <row r="281" spans="1:3" x14ac:dyDescent="0.2">
      <c r="A281" s="29">
        <f>CSR_FactorReturns!A56</f>
        <v>45310</v>
      </c>
      <c r="B281" s="32">
        <f>$B$223^101</f>
        <v>6.7703987488870215E-2</v>
      </c>
      <c r="C281" s="32">
        <f t="shared" si="2"/>
        <v>1.8093792596999446E-3</v>
      </c>
    </row>
    <row r="282" spans="1:3" x14ac:dyDescent="0.2">
      <c r="A282" s="29">
        <f>CSR_FactorReturns!A57</f>
        <v>45317</v>
      </c>
      <c r="B282" s="32">
        <f>$B$223^100</f>
        <v>6.9533217256030608E-2</v>
      </c>
      <c r="C282" s="32">
        <f t="shared" si="2"/>
        <v>1.8582651602899187E-3</v>
      </c>
    </row>
    <row r="283" spans="1:3" x14ac:dyDescent="0.2">
      <c r="A283" s="29">
        <f>CSR_FactorReturns!A58</f>
        <v>45324</v>
      </c>
      <c r="B283" s="32">
        <f>$B$223^99</f>
        <v>7.1411869245798135E-2</v>
      </c>
      <c r="C283" s="32">
        <f t="shared" si="2"/>
        <v>1.9084718626209769E-3</v>
      </c>
    </row>
    <row r="284" spans="1:3" x14ac:dyDescent="0.2">
      <c r="A284" s="29">
        <f>CSR_FactorReturns!A59</f>
        <v>45331</v>
      </c>
      <c r="B284" s="32">
        <f>$B$223^98</f>
        <v>7.3341278750289327E-2</v>
      </c>
      <c r="C284" s="32">
        <f t="shared" si="2"/>
        <v>1.9600350521815357E-3</v>
      </c>
    </row>
    <row r="285" spans="1:3" x14ac:dyDescent="0.2">
      <c r="A285" s="29">
        <f>CSR_FactorReturns!A60</f>
        <v>45338</v>
      </c>
      <c r="B285" s="32">
        <f>$B$223^97</f>
        <v>7.5322817138610859E-2</v>
      </c>
      <c r="C285" s="32">
        <f t="shared" si="2"/>
        <v>2.0129913786123476E-3</v>
      </c>
    </row>
    <row r="286" spans="1:3" x14ac:dyDescent="0.2">
      <c r="A286" s="29">
        <f>CSR_FactorReturns!A61</f>
        <v>45345</v>
      </c>
      <c r="B286" s="32">
        <f>$B$223^96</f>
        <v>7.7357892831589434E-2</v>
      </c>
      <c r="C286" s="32">
        <f t="shared" si="2"/>
        <v>2.0673784817560178E-3</v>
      </c>
    </row>
    <row r="287" spans="1:3" x14ac:dyDescent="0.2">
      <c r="A287" s="29">
        <f>CSR_FactorReturns!A62</f>
        <v>45352</v>
      </c>
      <c r="B287" s="32">
        <f>$B$223^95</f>
        <v>7.9447952302837105E-2</v>
      </c>
      <c r="C287" s="32">
        <f t="shared" si="2"/>
        <v>2.1232350184103269E-3</v>
      </c>
    </row>
    <row r="288" spans="1:3" x14ac:dyDescent="0.2">
      <c r="A288" s="29">
        <f>CSR_FactorReturns!A63</f>
        <v>45359</v>
      </c>
      <c r="B288" s="32">
        <f>$B$223^94</f>
        <v>8.1594481106863279E-2</v>
      </c>
      <c r="C288" s="32">
        <f t="shared" si="2"/>
        <v>2.1806006898043781E-3</v>
      </c>
    </row>
    <row r="289" spans="1:3" x14ac:dyDescent="0.2">
      <c r="A289" s="29">
        <f>CSR_FactorReturns!A64</f>
        <v>45366</v>
      </c>
      <c r="B289" s="32">
        <f>$B$223^93</f>
        <v>8.3799004934964477E-2</v>
      </c>
      <c r="C289" s="32">
        <f t="shared" si="2"/>
        <v>2.239516269817097E-3</v>
      </c>
    </row>
    <row r="290" spans="1:3" x14ac:dyDescent="0.2">
      <c r="A290" s="29">
        <f>CSR_FactorReturns!A65</f>
        <v>45373</v>
      </c>
      <c r="B290" s="32">
        <f>$B$223^92</f>
        <v>8.6063090699642034E-2</v>
      </c>
      <c r="C290" s="32">
        <f t="shared" si="2"/>
        <v>2.3000236339581364E-3</v>
      </c>
    </row>
    <row r="291" spans="1:3" x14ac:dyDescent="0.2">
      <c r="A291" s="29">
        <f>CSR_FactorReturns!A66</f>
        <v>45380</v>
      </c>
      <c r="B291" s="32">
        <f>$B$223^91</f>
        <v>8.8388347648318627E-2</v>
      </c>
      <c r="C291" s="32">
        <f t="shared" ref="C291:C322" si="3">B291/SUM($B$227:$B$382)</f>
        <v>2.3621657891317919E-3</v>
      </c>
    </row>
    <row r="292" spans="1:3" x14ac:dyDescent="0.2">
      <c r="A292" s="29">
        <f>CSR_FactorReturns!A67</f>
        <v>45387</v>
      </c>
      <c r="B292" s="32">
        <f>$B$223^90</f>
        <v>9.0776428507145512E-2</v>
      </c>
      <c r="C292" s="32">
        <f t="shared" si="3"/>
        <v>2.4259869042050825E-3</v>
      </c>
    </row>
    <row r="293" spans="1:3" x14ac:dyDescent="0.2">
      <c r="A293" s="29">
        <f>CSR_FactorReturns!A68</f>
        <v>45394</v>
      </c>
      <c r="B293" s="32">
        <f>$B$223^89</f>
        <v>9.3229030655712808E-2</v>
      </c>
      <c r="C293" s="32">
        <f t="shared" si="3"/>
        <v>2.4915323414017128E-3</v>
      </c>
    </row>
    <row r="294" spans="1:3" x14ac:dyDescent="0.2">
      <c r="A294" s="29">
        <f>CSR_FactorReturns!A69</f>
        <v>45401</v>
      </c>
      <c r="B294" s="32">
        <f>$B$223^88</f>
        <v>9.5747897333498574E-2</v>
      </c>
      <c r="C294" s="32">
        <f t="shared" si="3"/>
        <v>2.558848688544251E-3</v>
      </c>
    </row>
    <row r="295" spans="1:3" x14ac:dyDescent="0.2">
      <c r="A295" s="29">
        <f>CSR_FactorReturns!A70</f>
        <v>45408</v>
      </c>
      <c r="B295" s="32">
        <f>$B$223^87</f>
        <v>9.8334818878913377E-2</v>
      </c>
      <c r="C295" s="32">
        <f t="shared" si="3"/>
        <v>2.6279837921674154E-3</v>
      </c>
    </row>
    <row r="296" spans="1:3" x14ac:dyDescent="0.2">
      <c r="A296" s="29">
        <f>CSR_FactorReturns!A71</f>
        <v>45415</v>
      </c>
      <c r="B296" s="32">
        <f>$B$223^86</f>
        <v>0.1009916340018218</v>
      </c>
      <c r="C296" s="32">
        <f t="shared" si="3"/>
        <v>2.6989867915260266E-3</v>
      </c>
    </row>
    <row r="297" spans="1:3" x14ac:dyDescent="0.2">
      <c r="A297" s="29">
        <f>CSR_FactorReturns!A72</f>
        <v>45422</v>
      </c>
      <c r="B297" s="32">
        <f>$B$223^85</f>
        <v>0.1037202310904448</v>
      </c>
      <c r="C297" s="32">
        <f t="shared" si="3"/>
        <v>2.7719081535217834E-3</v>
      </c>
    </row>
    <row r="298" spans="1:3" x14ac:dyDescent="0.2">
      <c r="A298" s="29">
        <f>CSR_FactorReturns!A73</f>
        <v>45429</v>
      </c>
      <c r="B298" s="32">
        <f>$B$223^84</f>
        <v>0.10652254955357204</v>
      </c>
      <c r="C298" s="32">
        <f t="shared" si="3"/>
        <v>2.8467997085736951E-3</v>
      </c>
    </row>
    <row r="299" spans="1:3" x14ac:dyDescent="0.2">
      <c r="A299" s="29">
        <f>CSR_FactorReturns!A74</f>
        <v>45436</v>
      </c>
      <c r="B299" s="32">
        <f>$B$223^83</f>
        <v>0.10940058119903817</v>
      </c>
      <c r="C299" s="32">
        <f t="shared" si="3"/>
        <v>2.9237146874576576E-3</v>
      </c>
    </row>
    <row r="300" spans="1:3" x14ac:dyDescent="0.2">
      <c r="A300" s="29">
        <f>CSR_FactorReturns!A75</f>
        <v>45443</v>
      </c>
      <c r="B300" s="32">
        <f>$B$223^82</f>
        <v>0.11235637164944295</v>
      </c>
      <c r="C300" s="32">
        <f t="shared" si="3"/>
        <v>3.0027077591413712E-3</v>
      </c>
    </row>
    <row r="301" spans="1:3" x14ac:dyDescent="0.2">
      <c r="A301" s="29">
        <f>CSR_FactorReturns!A76</f>
        <v>45450</v>
      </c>
      <c r="B301" s="32">
        <f>$B$223^81</f>
        <v>0.11539202179612129</v>
      </c>
      <c r="C301" s="32">
        <f t="shared" si="3"/>
        <v>3.0838350696414775E-3</v>
      </c>
    </row>
    <row r="302" spans="1:3" x14ac:dyDescent="0.2">
      <c r="A302" s="29">
        <f>CSR_FactorReturns!A77</f>
        <v>45457</v>
      </c>
      <c r="B302" s="32">
        <f>$B$223^80</f>
        <v>0.11850968929239666</v>
      </c>
      <c r="C302" s="32">
        <f t="shared" si="3"/>
        <v>3.1671542819305416E-3</v>
      </c>
    </row>
    <row r="303" spans="1:3" x14ac:dyDescent="0.2">
      <c r="A303" s="29">
        <f>CSR_FactorReturns!A78</f>
        <v>45464</v>
      </c>
      <c r="B303" s="32">
        <f>$B$223^79</f>
        <v>0.12171159008717951</v>
      </c>
      <c r="C303" s="32">
        <f t="shared" si="3"/>
        <v>3.2527246169222466E-3</v>
      </c>
    </row>
    <row r="304" spans="1:3" x14ac:dyDescent="0.2">
      <c r="A304" s="29">
        <f>CSR_FactorReturns!A79</f>
        <v>45471</v>
      </c>
      <c r="B304" s="32">
        <f>$B$223^78</f>
        <v>0.12500000000000025</v>
      </c>
      <c r="C304" s="32">
        <f t="shared" si="3"/>
        <v>3.3406068955639245E-3</v>
      </c>
    </row>
    <row r="305" spans="1:3" x14ac:dyDescent="0.2">
      <c r="A305" s="29">
        <f>CSR_FactorReturns!A80</f>
        <v>45478</v>
      </c>
      <c r="B305" s="32">
        <f>$B$223^77</f>
        <v>0.12837725633859678</v>
      </c>
      <c r="C305" s="32">
        <f t="shared" si="3"/>
        <v>3.4308635820663449E-3</v>
      </c>
    </row>
    <row r="306" spans="1:3" x14ac:dyDescent="0.2">
      <c r="A306" s="29">
        <f>CSR_FactorReturns!A81</f>
        <v>45485</v>
      </c>
      <c r="B306" s="32">
        <f>$B$223^76</f>
        <v>0.13184575956020608</v>
      </c>
      <c r="C306" s="32">
        <f t="shared" si="3"/>
        <v>3.5235588283014942E-3</v>
      </c>
    </row>
    <row r="307" spans="1:3" x14ac:dyDescent="0.2">
      <c r="A307" s="29">
        <f>CSR_FactorReturns!A82</f>
        <v>45492</v>
      </c>
      <c r="B307" s="32">
        <f>$B$223^75</f>
        <v>0.13540797497774032</v>
      </c>
      <c r="C307" s="32">
        <f t="shared" si="3"/>
        <v>3.6187585193998861E-3</v>
      </c>
    </row>
    <row r="308" spans="1:3" x14ac:dyDescent="0.2">
      <c r="A308" s="29">
        <f>CSR_FactorReturns!A83</f>
        <v>45499</v>
      </c>
      <c r="B308" s="32">
        <f>$B$223^74</f>
        <v>0.13906643451206113</v>
      </c>
      <c r="C308" s="32">
        <f t="shared" si="3"/>
        <v>3.7165303205798353E-3</v>
      </c>
    </row>
    <row r="309" spans="1:3" x14ac:dyDescent="0.2">
      <c r="A309" s="29">
        <f>CSR_FactorReturns!A84</f>
        <v>45506</v>
      </c>
      <c r="B309" s="32">
        <f>$B$223^73</f>
        <v>0.14282373849159616</v>
      </c>
      <c r="C309" s="32">
        <f t="shared" si="3"/>
        <v>3.8169437252419509E-3</v>
      </c>
    </row>
    <row r="310" spans="1:3" x14ac:dyDescent="0.2">
      <c r="A310" s="29">
        <f>CSR_FactorReturns!A85</f>
        <v>45513</v>
      </c>
      <c r="B310" s="32">
        <f>$B$223^72</f>
        <v>0.14668255750057854</v>
      </c>
      <c r="C310" s="32">
        <f t="shared" si="3"/>
        <v>3.920070104363068E-3</v>
      </c>
    </row>
    <row r="311" spans="1:3" x14ac:dyDescent="0.2">
      <c r="A311" s="29">
        <f>CSR_FactorReturns!A86</f>
        <v>45520</v>
      </c>
      <c r="B311" s="32">
        <f>$B$223^71</f>
        <v>0.15064563427722164</v>
      </c>
      <c r="C311" s="32">
        <f t="shared" si="3"/>
        <v>4.0259827572246935E-3</v>
      </c>
    </row>
    <row r="312" spans="1:3" x14ac:dyDescent="0.2">
      <c r="A312" s="29">
        <f>CSR_FactorReturns!A87</f>
        <v>45527</v>
      </c>
      <c r="B312" s="32">
        <f>$B$223^70</f>
        <v>0.15471578566317876</v>
      </c>
      <c r="C312" s="32">
        <f t="shared" si="3"/>
        <v>4.134756963512033E-3</v>
      </c>
    </row>
    <row r="313" spans="1:3" x14ac:dyDescent="0.2">
      <c r="A313" s="29">
        <f>CSR_FactorReturns!A88</f>
        <v>45534</v>
      </c>
      <c r="B313" s="32">
        <f>$B$223^69</f>
        <v>0.1588959046056741</v>
      </c>
      <c r="C313" s="32">
        <f t="shared" si="3"/>
        <v>4.2464700368206511E-3</v>
      </c>
    </row>
    <row r="314" spans="1:3" x14ac:dyDescent="0.2">
      <c r="A314" s="29">
        <f>CSR_FactorReturns!A89</f>
        <v>45541</v>
      </c>
      <c r="B314" s="32">
        <f>$B$223^68</f>
        <v>0.16318896221372647</v>
      </c>
      <c r="C314" s="32">
        <f t="shared" si="3"/>
        <v>4.3612013796087545E-3</v>
      </c>
    </row>
    <row r="315" spans="1:3" x14ac:dyDescent="0.2">
      <c r="A315" s="29">
        <f>CSR_FactorReturns!A90</f>
        <v>45548</v>
      </c>
      <c r="B315" s="32">
        <f>$B$223^67</f>
        <v>0.16759800986992887</v>
      </c>
      <c r="C315" s="32">
        <f t="shared" si="3"/>
        <v>4.4790325396341915E-3</v>
      </c>
    </row>
    <row r="316" spans="1:3" x14ac:dyDescent="0.2">
      <c r="A316" s="29">
        <f>CSR_FactorReturns!A91</f>
        <v>45555</v>
      </c>
      <c r="B316" s="32">
        <f>$B$223^66</f>
        <v>0.17212618139928396</v>
      </c>
      <c r="C316" s="32">
        <f t="shared" si="3"/>
        <v>4.6000472679162702E-3</v>
      </c>
    </row>
    <row r="317" spans="1:3" x14ac:dyDescent="0.2">
      <c r="A317" s="29">
        <f>CSR_FactorReturns!A92</f>
        <v>45562</v>
      </c>
      <c r="B317" s="32">
        <f>$B$223^65</f>
        <v>0.17677669529663717</v>
      </c>
      <c r="C317" s="32">
        <f t="shared" si="3"/>
        <v>4.724331578263582E-3</v>
      </c>
    </row>
    <row r="318" spans="1:3" x14ac:dyDescent="0.2">
      <c r="A318" s="29">
        <f>CSR_FactorReturns!A93</f>
        <v>45569</v>
      </c>
      <c r="B318" s="32">
        <f>$B$223^64</f>
        <v>0.18155285701429091</v>
      </c>
      <c r="C318" s="32">
        <f t="shared" si="3"/>
        <v>4.8519738084101616E-3</v>
      </c>
    </row>
    <row r="319" spans="1:3" x14ac:dyDescent="0.2">
      <c r="A319" s="29">
        <f>CSR_FactorReturns!A94</f>
        <v>45576</v>
      </c>
      <c r="B319" s="32">
        <f>$B$223^63</f>
        <v>0.18645806131142556</v>
      </c>
      <c r="C319" s="32">
        <f t="shared" si="3"/>
        <v>4.9830646828034238E-3</v>
      </c>
    </row>
    <row r="320" spans="1:3" x14ac:dyDescent="0.2">
      <c r="A320" s="29">
        <f>CSR_FactorReturns!A95</f>
        <v>45583</v>
      </c>
      <c r="B320" s="32">
        <f>$B$223^62</f>
        <v>0.19149579466699701</v>
      </c>
      <c r="C320" s="32">
        <f t="shared" si="3"/>
        <v>5.1176973770884985E-3</v>
      </c>
    </row>
    <row r="321" spans="1:3" x14ac:dyDescent="0.2">
      <c r="A321" s="29">
        <f>CSR_FactorReturns!A96</f>
        <v>45590</v>
      </c>
      <c r="B321" s="32">
        <f>$B$223^61</f>
        <v>0.19666963775782659</v>
      </c>
      <c r="C321" s="32">
        <f t="shared" si="3"/>
        <v>5.2559675843348265E-3</v>
      </c>
    </row>
    <row r="322" spans="1:3" x14ac:dyDescent="0.2">
      <c r="A322" s="29">
        <f>CSR_FactorReturns!A97</f>
        <v>45597</v>
      </c>
      <c r="B322" s="32">
        <f>$B$223^60</f>
        <v>0.20198326800364347</v>
      </c>
      <c r="C322" s="32">
        <f t="shared" si="3"/>
        <v>5.3979735830520497E-3</v>
      </c>
    </row>
    <row r="323" spans="1:3" x14ac:dyDescent="0.2">
      <c r="A323" s="29">
        <f>CSR_FactorReturns!A98</f>
        <v>45604</v>
      </c>
      <c r="B323" s="32">
        <f>$B$223^59</f>
        <v>0.20744046218088946</v>
      </c>
      <c r="C323" s="32">
        <f t="shared" ref="C323:C354" si="4">B323/SUM($B$227:$B$382)</f>
        <v>5.5438163070435633E-3</v>
      </c>
    </row>
    <row r="324" spans="1:3" x14ac:dyDescent="0.2">
      <c r="A324" s="29">
        <f>CSR_FactorReturns!A99</f>
        <v>45611</v>
      </c>
      <c r="B324" s="32">
        <f>$B$223^58</f>
        <v>0.21304509910714395</v>
      </c>
      <c r="C324" s="32">
        <f t="shared" si="4"/>
        <v>5.6935994171473867E-3</v>
      </c>
    </row>
    <row r="325" spans="1:3" x14ac:dyDescent="0.2">
      <c r="A325" s="29">
        <f>CSR_FactorReturns!A100</f>
        <v>45618</v>
      </c>
      <c r="B325" s="32">
        <f>$B$223^57</f>
        <v>0.21880116239807618</v>
      </c>
      <c r="C325" s="32">
        <f t="shared" si="4"/>
        <v>5.8474293749153109E-3</v>
      </c>
    </row>
    <row r="326" spans="1:3" x14ac:dyDescent="0.2">
      <c r="A326" s="29">
        <f>CSR_FactorReturns!A101</f>
        <v>45625</v>
      </c>
      <c r="B326" s="32">
        <f>$B$223^56</f>
        <v>0.22471274329888577</v>
      </c>
      <c r="C326" s="32">
        <f t="shared" si="4"/>
        <v>6.0054155182827388E-3</v>
      </c>
    </row>
    <row r="327" spans="1:3" x14ac:dyDescent="0.2">
      <c r="A327" s="29">
        <f>CSR_FactorReturns!A102</f>
        <v>45632</v>
      </c>
      <c r="B327" s="32">
        <f>$B$223^55</f>
        <v>0.23078404359224244</v>
      </c>
      <c r="C327" s="32">
        <f t="shared" si="4"/>
        <v>6.1676701392829516E-3</v>
      </c>
    </row>
    <row r="328" spans="1:3" x14ac:dyDescent="0.2">
      <c r="A328" s="29">
        <f>CSR_FactorReturns!A103</f>
        <v>45639</v>
      </c>
      <c r="B328" s="32">
        <f>$B$223^54</f>
        <v>0.23701937858479316</v>
      </c>
      <c r="C328" s="32">
        <f t="shared" si="4"/>
        <v>6.3343085638610788E-3</v>
      </c>
    </row>
    <row r="329" spans="1:3" x14ac:dyDescent="0.2">
      <c r="A329" s="29">
        <f>CSR_FactorReturns!A104</f>
        <v>45646</v>
      </c>
      <c r="B329" s="32">
        <f>$B$223^53</f>
        <v>0.24342318017435882</v>
      </c>
      <c r="C329" s="32">
        <f t="shared" si="4"/>
        <v>6.505449233844488E-3</v>
      </c>
    </row>
    <row r="330" spans="1:3" x14ac:dyDescent="0.2">
      <c r="A330" s="29">
        <f>CSR_FactorReturns!A105</f>
        <v>45653</v>
      </c>
      <c r="B330" s="32">
        <f>$B$223^52</f>
        <v>0.25000000000000033</v>
      </c>
      <c r="C330" s="32">
        <f t="shared" si="4"/>
        <v>6.6812137911278447E-3</v>
      </c>
    </row>
    <row r="331" spans="1:3" x14ac:dyDescent="0.2">
      <c r="A331" s="29">
        <f>CSR_FactorReturns!A106</f>
        <v>45660</v>
      </c>
      <c r="B331" s="32">
        <f>$B$223^51</f>
        <v>0.2567545126771934</v>
      </c>
      <c r="C331" s="32">
        <f t="shared" si="4"/>
        <v>6.8617271641326846E-3</v>
      </c>
    </row>
    <row r="332" spans="1:3" x14ac:dyDescent="0.2">
      <c r="A332" s="29">
        <f>CSR_FactorReturns!A107</f>
        <v>45667</v>
      </c>
      <c r="B332" s="32">
        <f>$B$223^50</f>
        <v>0.26369151912041194</v>
      </c>
      <c r="C332" s="32">
        <f t="shared" si="4"/>
        <v>7.0471176566029824E-3</v>
      </c>
    </row>
    <row r="333" spans="1:3" x14ac:dyDescent="0.2">
      <c r="A333" s="29">
        <f>CSR_FactorReturns!A108</f>
        <v>45674</v>
      </c>
      <c r="B333" s="32">
        <f>$B$223^49</f>
        <v>0.27081594995548053</v>
      </c>
      <c r="C333" s="32">
        <f t="shared" si="4"/>
        <v>7.2375170387997687E-3</v>
      </c>
    </row>
    <row r="334" spans="1:3" x14ac:dyDescent="0.2">
      <c r="A334" s="29">
        <f>CSR_FactorReturns!A109</f>
        <v>45681</v>
      </c>
      <c r="B334" s="32">
        <f>$B$223^48</f>
        <v>0.27813286902412204</v>
      </c>
      <c r="C334" s="32">
        <f t="shared" si="4"/>
        <v>7.4330606411596644E-3</v>
      </c>
    </row>
    <row r="335" spans="1:3" x14ac:dyDescent="0.2">
      <c r="A335" s="29">
        <f>CSR_FactorReturns!A110</f>
        <v>45688</v>
      </c>
      <c r="B335" s="32">
        <f>$B$223^47</f>
        <v>0.28564747698319215</v>
      </c>
      <c r="C335" s="32">
        <f t="shared" si="4"/>
        <v>7.6338874504838974E-3</v>
      </c>
    </row>
    <row r="336" spans="1:3" x14ac:dyDescent="0.2">
      <c r="A336" s="29">
        <f>CSR_FactorReturns!A111</f>
        <v>45695</v>
      </c>
      <c r="B336" s="32">
        <f>$B$223^46</f>
        <v>0.29336511500115692</v>
      </c>
      <c r="C336" s="32">
        <f t="shared" si="4"/>
        <v>7.8401402087261325E-3</v>
      </c>
    </row>
    <row r="337" spans="1:3" x14ac:dyDescent="0.2">
      <c r="A337" s="29">
        <f>CSR_FactorReturns!A112</f>
        <v>45702</v>
      </c>
      <c r="B337" s="32">
        <f>$B$223^45</f>
        <v>0.30129126855444299</v>
      </c>
      <c r="C337" s="32">
        <f t="shared" si="4"/>
        <v>8.0519655144493801E-3</v>
      </c>
    </row>
    <row r="338" spans="1:3" x14ac:dyDescent="0.2">
      <c r="A338" s="29">
        <f>CSR_FactorReturns!A113</f>
        <v>45709</v>
      </c>
      <c r="B338" s="32">
        <f>$B$223^44</f>
        <v>0.30943157132635735</v>
      </c>
      <c r="C338" s="32">
        <f t="shared" si="4"/>
        <v>8.2695139270240609E-3</v>
      </c>
    </row>
    <row r="339" spans="1:3" x14ac:dyDescent="0.2">
      <c r="A339" s="29">
        <f>CSR_FactorReturns!A114</f>
        <v>45716</v>
      </c>
      <c r="B339" s="32">
        <f>$B$223^43</f>
        <v>0.31779180921134798</v>
      </c>
      <c r="C339" s="32">
        <f t="shared" si="4"/>
        <v>8.4929400736412954E-3</v>
      </c>
    </row>
    <row r="340" spans="1:3" x14ac:dyDescent="0.2">
      <c r="A340" s="29">
        <f>CSR_FactorReturns!A115</f>
        <v>45723</v>
      </c>
      <c r="B340" s="32">
        <f>$B$223^42</f>
        <v>0.32637792442745273</v>
      </c>
      <c r="C340" s="32">
        <f t="shared" si="4"/>
        <v>8.722402759217502E-3</v>
      </c>
    </row>
    <row r="341" spans="1:3" x14ac:dyDescent="0.2">
      <c r="A341" s="29">
        <f>CSR_FactorReturns!A116</f>
        <v>45730</v>
      </c>
      <c r="B341" s="32">
        <f>$B$223^41</f>
        <v>0.33519601973985752</v>
      </c>
      <c r="C341" s="32">
        <f t="shared" si="4"/>
        <v>8.9580650792683778E-3</v>
      </c>
    </row>
    <row r="342" spans="1:3" x14ac:dyDescent="0.2">
      <c r="A342" s="29">
        <f>CSR_FactorReturns!A117</f>
        <v>45737</v>
      </c>
      <c r="B342" s="32">
        <f>$B$223^40</f>
        <v>0.34425236279856769</v>
      </c>
      <c r="C342" s="32">
        <f t="shared" si="4"/>
        <v>9.2000945358325335E-3</v>
      </c>
    </row>
    <row r="343" spans="1:3" x14ac:dyDescent="0.2">
      <c r="A343" s="29">
        <f>CSR_FactorReturns!A118</f>
        <v>45744</v>
      </c>
      <c r="B343" s="32">
        <f>$B$223^39</f>
        <v>0.35355339059327412</v>
      </c>
      <c r="C343" s="32">
        <f t="shared" si="4"/>
        <v>9.4486631565271571E-3</v>
      </c>
    </row>
    <row r="344" spans="1:3" x14ac:dyDescent="0.2">
      <c r="A344" s="29">
        <f>CSR_FactorReturns!A119</f>
        <v>45751</v>
      </c>
      <c r="B344" s="32">
        <f>$B$223^38</f>
        <v>0.36310571402858161</v>
      </c>
      <c r="C344" s="32">
        <f t="shared" si="4"/>
        <v>9.703947616820318E-3</v>
      </c>
    </row>
    <row r="345" spans="1:3" x14ac:dyDescent="0.2">
      <c r="A345" s="29">
        <f>CSR_FactorReturns!A120</f>
        <v>45758</v>
      </c>
      <c r="B345" s="32">
        <f>$B$223^37</f>
        <v>0.37291612262285084</v>
      </c>
      <c r="C345" s="32">
        <f t="shared" si="4"/>
        <v>9.9661293656068406E-3</v>
      </c>
    </row>
    <row r="346" spans="1:3" x14ac:dyDescent="0.2">
      <c r="A346" s="29">
        <f>CSR_FactorReturns!A121</f>
        <v>45765</v>
      </c>
      <c r="B346" s="32">
        <f>$B$223^36</f>
        <v>0.3829915893339938</v>
      </c>
      <c r="C346" s="32">
        <f t="shared" si="4"/>
        <v>1.0235394754176992E-2</v>
      </c>
    </row>
    <row r="347" spans="1:3" x14ac:dyDescent="0.2">
      <c r="A347" s="29">
        <f>CSR_FactorReturns!A122</f>
        <v>45772</v>
      </c>
      <c r="B347" s="32">
        <f>$B$223^35</f>
        <v>0.39333927551565301</v>
      </c>
      <c r="C347" s="32">
        <f t="shared" si="4"/>
        <v>1.0511935168669649E-2</v>
      </c>
    </row>
    <row r="348" spans="1:3" x14ac:dyDescent="0.2">
      <c r="A348" s="29">
        <f>CSR_FactorReturns!A123</f>
        <v>45779</v>
      </c>
      <c r="B348" s="32">
        <f>$B$223^34</f>
        <v>0.40396653600728671</v>
      </c>
      <c r="C348" s="32">
        <f t="shared" si="4"/>
        <v>1.0795947166104094E-2</v>
      </c>
    </row>
    <row r="349" spans="1:3" x14ac:dyDescent="0.2">
      <c r="A349" s="29">
        <f>CSR_FactorReturns!A124</f>
        <v>45786</v>
      </c>
      <c r="B349" s="32">
        <f>$B$223^33</f>
        <v>0.4148809243617787</v>
      </c>
      <c r="C349" s="32">
        <f t="shared" si="4"/>
        <v>1.1087632614087121E-2</v>
      </c>
    </row>
    <row r="350" spans="1:3" x14ac:dyDescent="0.2">
      <c r="A350" s="29">
        <f>CSR_FactorReturns!A125</f>
        <v>45793</v>
      </c>
      <c r="B350" s="32">
        <f>$B$223^32</f>
        <v>0.42609019821428762</v>
      </c>
      <c r="C350" s="32">
        <f t="shared" si="4"/>
        <v>1.1387198834294766E-2</v>
      </c>
    </row>
    <row r="351" spans="1:3" x14ac:dyDescent="0.2">
      <c r="A351" s="29">
        <f>CSR_FactorReturns!A126</f>
        <v>45800</v>
      </c>
      <c r="B351" s="32">
        <f>$B$223^31</f>
        <v>0.43760232479615219</v>
      </c>
      <c r="C351" s="32">
        <f t="shared" si="4"/>
        <v>1.1694858749830617E-2</v>
      </c>
    </row>
    <row r="352" spans="1:3" x14ac:dyDescent="0.2">
      <c r="A352" s="29">
        <f>CSR_FactorReturns!A127</f>
        <v>45807</v>
      </c>
      <c r="B352" s="32">
        <f>$B$223^30</f>
        <v>0.44942548659777126</v>
      </c>
      <c r="C352" s="32">
        <f t="shared" si="4"/>
        <v>1.2010831036565471E-2</v>
      </c>
    </row>
    <row r="353" spans="1:3" x14ac:dyDescent="0.2">
      <c r="A353" s="29">
        <f>CSR_FactorReturns!A128</f>
        <v>45814</v>
      </c>
      <c r="B353" s="32">
        <f>$B$223^29</f>
        <v>0.4615680871844845</v>
      </c>
      <c r="C353" s="32">
        <f t="shared" si="4"/>
        <v>1.2335340278565893E-2</v>
      </c>
    </row>
    <row r="354" spans="1:3" x14ac:dyDescent="0.2">
      <c r="A354" s="29">
        <f>CSR_FactorReturns!A129</f>
        <v>45821</v>
      </c>
      <c r="B354" s="32">
        <f>$B$223^28</f>
        <v>0.47403875716958604</v>
      </c>
      <c r="C354" s="32">
        <f t="shared" si="4"/>
        <v>1.2668617127722149E-2</v>
      </c>
    </row>
    <row r="355" spans="1:3" x14ac:dyDescent="0.2">
      <c r="A355" s="29">
        <f>CSR_FactorReturns!A130</f>
        <v>45828</v>
      </c>
      <c r="B355" s="32">
        <f>$B$223^27</f>
        <v>0.48684636034871731</v>
      </c>
      <c r="C355" s="32">
        <f t="shared" ref="C355:C386" si="5">B355/SUM($B$227:$B$382)</f>
        <v>1.3010898467688967E-2</v>
      </c>
    </row>
    <row r="356" spans="1:3" x14ac:dyDescent="0.2">
      <c r="A356" s="29">
        <f>CSR_FactorReturns!A131</f>
        <v>45835</v>
      </c>
      <c r="B356" s="32">
        <f>$B$223^26</f>
        <v>0.50000000000000033</v>
      </c>
      <c r="C356" s="32">
        <f t="shared" si="5"/>
        <v>1.3362427582255679E-2</v>
      </c>
    </row>
    <row r="357" spans="1:3" x14ac:dyDescent="0.2">
      <c r="A357" s="29">
        <f>CSR_FactorReturns!A132</f>
        <v>45842</v>
      </c>
      <c r="B357" s="32">
        <f>$B$223^25</f>
        <v>0.51350902535438647</v>
      </c>
      <c r="C357" s="32">
        <f t="shared" si="5"/>
        <v>1.3723454328265361E-2</v>
      </c>
    </row>
    <row r="358" spans="1:3" x14ac:dyDescent="0.2">
      <c r="A358" s="29">
        <f>CSR_FactorReturns!A133</f>
        <v>45849</v>
      </c>
      <c r="B358" s="32">
        <f>$B$223^24</f>
        <v>0.52738303824082366</v>
      </c>
      <c r="C358" s="32">
        <f t="shared" si="5"/>
        <v>1.409423531320596E-2</v>
      </c>
    </row>
    <row r="359" spans="1:3" x14ac:dyDescent="0.2">
      <c r="A359" s="29">
        <f>CSR_FactorReturns!A134</f>
        <v>45856</v>
      </c>
      <c r="B359" s="32">
        <f>$B$223^23</f>
        <v>0.54163189991096072</v>
      </c>
      <c r="C359" s="32">
        <f t="shared" si="5"/>
        <v>1.4475034077599529E-2</v>
      </c>
    </row>
    <row r="360" spans="1:3" x14ac:dyDescent="0.2">
      <c r="A360" s="29">
        <f>CSR_FactorReturns!A135</f>
        <v>45863</v>
      </c>
      <c r="B360" s="32">
        <f>$B$223^22</f>
        <v>0.55626573804824375</v>
      </c>
      <c r="C360" s="32">
        <f t="shared" si="5"/>
        <v>1.486612128231932E-2</v>
      </c>
    </row>
    <row r="361" spans="1:3" x14ac:dyDescent="0.2">
      <c r="A361" s="29">
        <f>CSR_FactorReturns!A136</f>
        <v>45870</v>
      </c>
      <c r="B361" s="32">
        <f>$B$223^21</f>
        <v>0.57129495396638386</v>
      </c>
      <c r="C361" s="32">
        <f t="shared" si="5"/>
        <v>1.5267774900967783E-2</v>
      </c>
    </row>
    <row r="362" spans="1:3" x14ac:dyDescent="0.2">
      <c r="A362" s="29">
        <f>CSR_FactorReturns!A137</f>
        <v>45877</v>
      </c>
      <c r="B362" s="32">
        <f>$B$223^20</f>
        <v>0.5867302300023135</v>
      </c>
      <c r="C362" s="32">
        <f t="shared" si="5"/>
        <v>1.5680280417452255E-2</v>
      </c>
    </row>
    <row r="363" spans="1:3" x14ac:dyDescent="0.2">
      <c r="A363" s="29">
        <f>CSR_FactorReturns!A138</f>
        <v>45884</v>
      </c>
      <c r="B363" s="32">
        <f>$B$223^19</f>
        <v>0.60258253710888565</v>
      </c>
      <c r="C363" s="32">
        <f t="shared" si="5"/>
        <v>1.610393102889875E-2</v>
      </c>
    </row>
    <row r="364" spans="1:3" x14ac:dyDescent="0.2">
      <c r="A364" s="29">
        <f>CSR_FactorReturns!A139</f>
        <v>45891</v>
      </c>
      <c r="B364" s="32">
        <f>$B$223^18</f>
        <v>0.61886314265271425</v>
      </c>
      <c r="C364" s="32">
        <f t="shared" si="5"/>
        <v>1.6539027854048111E-2</v>
      </c>
    </row>
    <row r="365" spans="1:3" x14ac:dyDescent="0.2">
      <c r="A365" s="29">
        <f>CSR_FactorReturns!A140</f>
        <v>45898</v>
      </c>
      <c r="B365" s="32">
        <f>$B$223^17</f>
        <v>0.63558361842269562</v>
      </c>
      <c r="C365" s="32">
        <f t="shared" si="5"/>
        <v>1.6985880147282584E-2</v>
      </c>
    </row>
    <row r="366" spans="1:3" x14ac:dyDescent="0.2">
      <c r="A366" s="29">
        <f>CSR_FactorReturns!A141</f>
        <v>45905</v>
      </c>
      <c r="B366" s="32">
        <f>$B$223^16</f>
        <v>0.65275584885490501</v>
      </c>
      <c r="C366" s="32">
        <f t="shared" si="5"/>
        <v>1.7444805518434994E-2</v>
      </c>
    </row>
    <row r="367" spans="1:3" x14ac:dyDescent="0.2">
      <c r="A367" s="29">
        <f>CSR_FactorReturns!A142</f>
        <v>45912</v>
      </c>
      <c r="B367" s="32">
        <f>$B$223^15</f>
        <v>0.67039203947971471</v>
      </c>
      <c r="C367" s="32">
        <f t="shared" si="5"/>
        <v>1.7916130158536745E-2</v>
      </c>
    </row>
    <row r="368" spans="1:3" x14ac:dyDescent="0.2">
      <c r="A368" s="29">
        <f>CSR_FactorReturns!A143</f>
        <v>45919</v>
      </c>
      <c r="B368" s="32">
        <f>$B$223^14</f>
        <v>0.68850472559713494</v>
      </c>
      <c r="C368" s="32">
        <f t="shared" si="5"/>
        <v>1.8400189071665057E-2</v>
      </c>
    </row>
    <row r="369" spans="1:4" x14ac:dyDescent="0.2">
      <c r="A369" s="29">
        <f>CSR_FactorReturns!A144</f>
        <v>45926</v>
      </c>
      <c r="B369" s="32">
        <f>$B$223^13</f>
        <v>0.70710678118654768</v>
      </c>
      <c r="C369" s="32">
        <f t="shared" si="5"/>
        <v>1.88973263130543E-2</v>
      </c>
    </row>
    <row r="370" spans="1:4" x14ac:dyDescent="0.2">
      <c r="A370" s="29">
        <f>CSR_FactorReturns!A145</f>
        <v>45933</v>
      </c>
      <c r="B370" s="32">
        <f>$B$223^12</f>
        <v>0.72621142805716277</v>
      </c>
      <c r="C370" s="32">
        <f t="shared" si="5"/>
        <v>1.9407895233640622E-2</v>
      </c>
    </row>
    <row r="371" spans="1:4" x14ac:dyDescent="0.2">
      <c r="A371" s="29">
        <f>CSR_FactorReturns!A146</f>
        <v>45940</v>
      </c>
      <c r="B371" s="32">
        <f>$B$223^11</f>
        <v>0.74583224524570113</v>
      </c>
      <c r="C371" s="32">
        <f t="shared" si="5"/>
        <v>1.9932258731213667E-2</v>
      </c>
    </row>
    <row r="372" spans="1:4" x14ac:dyDescent="0.2">
      <c r="A372" s="29">
        <f>CSR_FactorReturns!A147</f>
        <v>45947</v>
      </c>
      <c r="B372" s="32">
        <f>$B$223^10</f>
        <v>0.76598317866798715</v>
      </c>
      <c r="C372" s="32">
        <f t="shared" si="5"/>
        <v>2.047078950835397E-2</v>
      </c>
    </row>
    <row r="373" spans="1:4" x14ac:dyDescent="0.2">
      <c r="A373" s="29">
        <f>CSR_FactorReturns!A148</f>
        <v>45954</v>
      </c>
      <c r="B373" s="32">
        <f>$B$223^9</f>
        <v>0.78667855103130546</v>
      </c>
      <c r="C373" s="32">
        <f t="shared" si="5"/>
        <v>2.1023870337339282E-2</v>
      </c>
    </row>
    <row r="374" spans="1:4" x14ac:dyDescent="0.2">
      <c r="A374" s="29">
        <f>CSR_FactorReturns!A149</f>
        <v>45961</v>
      </c>
      <c r="B374" s="32">
        <f>$B$223^8</f>
        <v>0.80793307201457287</v>
      </c>
      <c r="C374" s="32">
        <f t="shared" si="5"/>
        <v>2.1591894332208171E-2</v>
      </c>
    </row>
    <row r="375" spans="1:4" x14ac:dyDescent="0.2">
      <c r="A375" s="29">
        <f>CSR_FactorReturns!A150</f>
        <v>45968</v>
      </c>
      <c r="B375" s="32">
        <f>$B$223^7</f>
        <v>0.82976184872355696</v>
      </c>
      <c r="C375" s="32">
        <f t="shared" si="5"/>
        <v>2.2175265228174229E-2</v>
      </c>
    </row>
    <row r="376" spans="1:4" x14ac:dyDescent="0.2">
      <c r="A376" s="29">
        <f>CSR_FactorReturns!A151</f>
        <v>45975</v>
      </c>
      <c r="B376" s="32">
        <f>$B$223^6</f>
        <v>0.85218039642857468</v>
      </c>
      <c r="C376" s="32">
        <f t="shared" si="5"/>
        <v>2.2774397668589515E-2</v>
      </c>
    </row>
    <row r="377" spans="1:4" x14ac:dyDescent="0.2">
      <c r="A377" s="29">
        <f>CSR_FactorReturns!A152</f>
        <v>45982</v>
      </c>
      <c r="B377" s="32">
        <f>$B$223^5</f>
        <v>0.87520464959230371</v>
      </c>
      <c r="C377" s="32">
        <f t="shared" si="5"/>
        <v>2.3389717499661216E-2</v>
      </c>
    </row>
    <row r="378" spans="1:4" x14ac:dyDescent="0.2">
      <c r="A378" s="29">
        <f>CSR_FactorReturns!A153</f>
        <v>45989</v>
      </c>
      <c r="B378" s="32">
        <f>$B$223^4</f>
        <v>0.89885097319554197</v>
      </c>
      <c r="C378" s="32">
        <f t="shared" si="5"/>
        <v>2.4021662073130924E-2</v>
      </c>
    </row>
    <row r="379" spans="1:4" x14ac:dyDescent="0.2">
      <c r="A379" s="29">
        <f>CSR_FactorReturns!A154</f>
        <v>45996</v>
      </c>
      <c r="B379" s="32">
        <f>$B$223^3</f>
        <v>0.92313617436896855</v>
      </c>
      <c r="C379" s="32">
        <f t="shared" si="5"/>
        <v>2.4670680557131772E-2</v>
      </c>
    </row>
    <row r="380" spans="1:4" x14ac:dyDescent="0.2">
      <c r="A380" s="29">
        <f>CSR_FactorReturns!A155</f>
        <v>46003</v>
      </c>
      <c r="B380" s="32">
        <f>$B$223^2</f>
        <v>0.94807751433917153</v>
      </c>
      <c r="C380" s="32">
        <f t="shared" si="5"/>
        <v>2.5337234255444284E-2</v>
      </c>
    </row>
    <row r="381" spans="1:4" x14ac:dyDescent="0.2">
      <c r="A381" s="29">
        <f>CSR_FactorReturns!A156</f>
        <v>46010</v>
      </c>
      <c r="B381" s="32">
        <f>$B$223^1</f>
        <v>0.97369272069743418</v>
      </c>
      <c r="C381" s="32">
        <f t="shared" si="5"/>
        <v>2.6021796935377924E-2</v>
      </c>
    </row>
    <row r="382" spans="1:4" x14ac:dyDescent="0.2">
      <c r="A382" s="29">
        <f>CSR_FactorReturns!A157</f>
        <v>46017</v>
      </c>
      <c r="B382" s="32">
        <f>$B$223^0</f>
        <v>1</v>
      </c>
      <c r="C382" s="32">
        <f t="shared" si="5"/>
        <v>2.6724855164511341E-2</v>
      </c>
    </row>
    <row r="384" spans="1:4" x14ac:dyDescent="0.2">
      <c r="D384" s="28" t="s">
        <v>150</v>
      </c>
    </row>
    <row r="385" spans="1:6" x14ac:dyDescent="0.2">
      <c r="D385" s="24" t="s">
        <v>59</v>
      </c>
      <c r="E385" s="24" t="s">
        <v>60</v>
      </c>
      <c r="F385" s="24" t="s">
        <v>61</v>
      </c>
    </row>
    <row r="386" spans="1:6" x14ac:dyDescent="0.2">
      <c r="D386" s="32">
        <f>SUMPRODUCT($C$227:$C$382,CSR_FactorReturns!$B$2:$B$157,CSR_FactorReturns!$B$2:$B$157)</f>
        <v>5.9619808377697411E-4</v>
      </c>
      <c r="E386" s="32">
        <f>SUMPRODUCT($C$227:$C$382,CSR_FactorReturns!$B$2:$B$157,CSR_FactorReturns!$C$2:$C$157)</f>
        <v>-1.7730331445061597E-5</v>
      </c>
      <c r="F386" s="32">
        <f>SUMPRODUCT($C$227:$C$382,CSR_FactorReturns!$B$2:$B$157,CSR_FactorReturns!$D$2:$D$157)</f>
        <v>-1.6543628809113818E-5</v>
      </c>
    </row>
    <row r="387" spans="1:6" x14ac:dyDescent="0.2">
      <c r="D387" s="32">
        <f>SUMPRODUCT($C$227:$C$382,CSR_FactorReturns!$C$2:$C$157,CSR_FactorReturns!$B$2:$B$157)</f>
        <v>-1.7730331445061597E-5</v>
      </c>
      <c r="E387" s="32">
        <f>SUMPRODUCT($C$227:$C$382,CSR_FactorReturns!$C$2:$C$157,CSR_FactorReturns!$C$2:$C$157)</f>
        <v>2.0799311192261333E-4</v>
      </c>
      <c r="F387" s="32">
        <f>SUMPRODUCT($C$227:$C$382,CSR_FactorReturns!$C$2:$C$157,CSR_FactorReturns!$D$2:$D$157)</f>
        <v>-2.5682255173956444E-5</v>
      </c>
    </row>
    <row r="388" spans="1:6" x14ac:dyDescent="0.2">
      <c r="D388" s="32">
        <f>SUMPRODUCT($C$227:$C$382,CSR_FactorReturns!$D$2:$D$157,CSR_FactorReturns!$B$2:$B$157)</f>
        <v>-1.6543628809113818E-5</v>
      </c>
      <c r="E388" s="32">
        <f>SUMPRODUCT($C$227:$C$382,CSR_FactorReturns!$D$2:$D$157,CSR_FactorReturns!$C$2:$C$157)</f>
        <v>-2.5682255173956444E-5</v>
      </c>
      <c r="F388" s="32">
        <f>SUMPRODUCT($C$227:$C$382,CSR_FactorReturns!$D$2:$D$157,CSR_FactorReturns!$D$2:$D$157)</f>
        <v>2.6156824823965501E-4</v>
      </c>
    </row>
    <row r="391" spans="1:6" x14ac:dyDescent="0.2">
      <c r="A391" s="28" t="s">
        <v>151</v>
      </c>
    </row>
    <row r="392" spans="1:6" x14ac:dyDescent="0.2">
      <c r="A392" s="24" t="s">
        <v>101</v>
      </c>
      <c r="B392" s="24" t="s">
        <v>152</v>
      </c>
      <c r="C392" s="24" t="s">
        <v>153</v>
      </c>
      <c r="D392" s="24" t="s">
        <v>154</v>
      </c>
    </row>
    <row r="393" spans="1:6" x14ac:dyDescent="0.2">
      <c r="A393" t="s">
        <v>59</v>
      </c>
      <c r="B393" s="30">
        <f>SQRT(D386*52)</f>
        <v>0.17607470106861647</v>
      </c>
      <c r="C393" s="30">
        <f>FactorCovariance!B16</f>
        <v>0.1687023144417007</v>
      </c>
      <c r="D393" s="27">
        <f>B393/C393</f>
        <v>1.0437005660017988</v>
      </c>
    </row>
    <row r="394" spans="1:6" x14ac:dyDescent="0.2">
      <c r="A394" t="s">
        <v>60</v>
      </c>
      <c r="B394" s="30">
        <f>SQRT(E387*52)</f>
        <v>0.1039982779663966</v>
      </c>
      <c r="C394" s="30">
        <f>FactorCovariance!C16</f>
        <v>0.10806372238187784</v>
      </c>
      <c r="D394" s="27">
        <f>B394/C394</f>
        <v>0.96237919325863419</v>
      </c>
    </row>
    <row r="395" spans="1:6" x14ac:dyDescent="0.2">
      <c r="A395" t="s">
        <v>61</v>
      </c>
      <c r="B395" s="30">
        <f>SQRT(F388*52)</f>
        <v>0.11662567859807745</v>
      </c>
      <c r="C395" s="30">
        <f>FactorCovariance!D16</f>
        <v>0.11017859158374038</v>
      </c>
      <c r="D395" s="27">
        <f>B395/C395</f>
        <v>1.0585148795393433</v>
      </c>
    </row>
    <row r="398" spans="1:6" ht="16" x14ac:dyDescent="0.2">
      <c r="A398" s="2" t="s">
        <v>155</v>
      </c>
    </row>
    <row r="399" spans="1:6" x14ac:dyDescent="0.2">
      <c r="A399" s="23" t="s">
        <v>156</v>
      </c>
    </row>
    <row r="400" spans="1:6" x14ac:dyDescent="0.2">
      <c r="A400" s="23" t="s">
        <v>157</v>
      </c>
    </row>
    <row r="401" spans="1:7" x14ac:dyDescent="0.2">
      <c r="A401" s="23" t="s">
        <v>158</v>
      </c>
    </row>
    <row r="402" spans="1:7" x14ac:dyDescent="0.2">
      <c r="A402" s="23" t="s">
        <v>159</v>
      </c>
    </row>
    <row r="403" spans="1:7" x14ac:dyDescent="0.2">
      <c r="A403" s="23" t="s">
        <v>160</v>
      </c>
    </row>
    <row r="404" spans="1:7" x14ac:dyDescent="0.2">
      <c r="A404" s="23" t="s">
        <v>161</v>
      </c>
    </row>
    <row r="406" spans="1:7" x14ac:dyDescent="0.2">
      <c r="A406" s="28" t="s">
        <v>162</v>
      </c>
    </row>
    <row r="407" spans="1:7" x14ac:dyDescent="0.2">
      <c r="B407" s="24" t="s">
        <v>59</v>
      </c>
      <c r="C407" s="24" t="s">
        <v>60</v>
      </c>
      <c r="D407" s="24" t="s">
        <v>61</v>
      </c>
    </row>
    <row r="408" spans="1:7" x14ac:dyDescent="0.2">
      <c r="B408" s="33">
        <f>SQRT(FactorCovariance!B3)</f>
        <v>2.3394801731115421E-2</v>
      </c>
      <c r="C408" s="33">
        <f>SQRT(FactorCovariance!C4)</f>
        <v>1.4985742002514079E-2</v>
      </c>
      <c r="D408" s="33">
        <f>SQRT(FactorCovariance!D5)</f>
        <v>1.5279021592830041E-2</v>
      </c>
    </row>
    <row r="410" spans="1:7" x14ac:dyDescent="0.2">
      <c r="A410" s="28" t="s">
        <v>163</v>
      </c>
    </row>
    <row r="411" spans="1:7" x14ac:dyDescent="0.2">
      <c r="A411" s="24" t="s">
        <v>45</v>
      </c>
      <c r="B411" s="24" t="s">
        <v>164</v>
      </c>
      <c r="C411" s="24" t="s">
        <v>165</v>
      </c>
      <c r="D411" s="24" t="s">
        <v>166</v>
      </c>
      <c r="E411" s="24" t="s">
        <v>167</v>
      </c>
      <c r="F411" s="24" t="s">
        <v>168</v>
      </c>
      <c r="G411" s="24" t="s">
        <v>169</v>
      </c>
    </row>
    <row r="412" spans="1:7" x14ac:dyDescent="0.2">
      <c r="A412" s="29">
        <f>CSR_FactorReturns!A2</f>
        <v>44932</v>
      </c>
      <c r="B412" s="27">
        <f>CSR_FactorReturns!B2/$B$408</f>
        <v>-1.7156145499821525</v>
      </c>
      <c r="C412" s="27">
        <f>CSR_FactorReturns!C2/$C$408</f>
        <v>-0.32282393156943257</v>
      </c>
      <c r="D412" s="27">
        <f>CSR_FactorReturns!D2/$D$408</f>
        <v>0.34645068927919637</v>
      </c>
      <c r="E412" s="26">
        <f t="shared" ref="E412:E443" si="6">B412^2-LN(B412^2)</f>
        <v>1.8637905748862165</v>
      </c>
      <c r="F412" s="26">
        <f t="shared" ref="F412:F443" si="7">C412^2-LN(C412^2)</f>
        <v>2.3655117065591749</v>
      </c>
      <c r="G412" s="26">
        <f t="shared" ref="G412:G443" si="8">D412^2-LN(D412^2)</f>
        <v>2.2400576428257977</v>
      </c>
    </row>
    <row r="413" spans="1:7" x14ac:dyDescent="0.2">
      <c r="A413" s="29">
        <f>CSR_FactorReturns!A3</f>
        <v>44939</v>
      </c>
      <c r="B413" s="27">
        <f>CSR_FactorReturns!B3/$B$408</f>
        <v>-0.3365035488120528</v>
      </c>
      <c r="C413" s="27">
        <f>CSR_FactorReturns!C3/$C$408</f>
        <v>1.4436259660063562</v>
      </c>
      <c r="D413" s="27">
        <f>CSR_FactorReturns!D3/$D$408</f>
        <v>-1.495758953133282</v>
      </c>
      <c r="E413" s="26">
        <f t="shared" si="6"/>
        <v>2.2915278057754103</v>
      </c>
      <c r="F413" s="26">
        <f t="shared" si="7"/>
        <v>1.34973996851551</v>
      </c>
      <c r="G413" s="26">
        <f t="shared" si="8"/>
        <v>1.4320273679080975</v>
      </c>
    </row>
    <row r="414" spans="1:7" x14ac:dyDescent="0.2">
      <c r="A414" s="29">
        <f>CSR_FactorReturns!A4</f>
        <v>44946</v>
      </c>
      <c r="B414" s="27">
        <f>CSR_FactorReturns!B4/$B$408</f>
        <v>-0.28164571254178472</v>
      </c>
      <c r="C414" s="27">
        <f>CSR_FactorReturns!C4/$C$408</f>
        <v>0.90389940861847451</v>
      </c>
      <c r="D414" s="27">
        <f>CSR_FactorReturns!D4/$D$408</f>
        <v>-1.0776035098925423</v>
      </c>
      <c r="E414" s="26">
        <f t="shared" si="6"/>
        <v>2.6135349801995118</v>
      </c>
      <c r="F414" s="26">
        <f t="shared" si="7"/>
        <v>1.0191085377677533</v>
      </c>
      <c r="G414" s="26">
        <f t="shared" si="8"/>
        <v>1.0117501180381254</v>
      </c>
    </row>
    <row r="415" spans="1:7" x14ac:dyDescent="0.2">
      <c r="A415" s="29">
        <f>CSR_FactorReturns!A5</f>
        <v>44953</v>
      </c>
      <c r="B415" s="27">
        <f>CSR_FactorReturns!B5/$B$408</f>
        <v>-0.72465073941329361</v>
      </c>
      <c r="C415" s="27">
        <f>CSR_FactorReturns!C5/$C$408</f>
        <v>0.11079684141828618</v>
      </c>
      <c r="D415" s="27">
        <f>CSR_FactorReturns!D5/$D$408</f>
        <v>0.80777373102955285</v>
      </c>
      <c r="E415" s="26">
        <f t="shared" si="6"/>
        <v>1.1692496520144999</v>
      </c>
      <c r="F415" s="26">
        <f t="shared" si="7"/>
        <v>4.4123899643292024</v>
      </c>
      <c r="G415" s="26">
        <f t="shared" si="8"/>
        <v>1.0794449916072386</v>
      </c>
    </row>
    <row r="416" spans="1:7" x14ac:dyDescent="0.2">
      <c r="A416" s="29">
        <f>CSR_FactorReturns!A6</f>
        <v>44960</v>
      </c>
      <c r="B416" s="27">
        <f>CSR_FactorReturns!B6/$B$408</f>
        <v>-1.650529547807728</v>
      </c>
      <c r="C416" s="27">
        <f>CSR_FactorReturns!C6/$C$408</f>
        <v>-0.67987809271642363</v>
      </c>
      <c r="D416" s="27">
        <f>CSR_FactorReturns!D6/$D$408</f>
        <v>0.91952202590222221</v>
      </c>
      <c r="E416" s="26">
        <f t="shared" si="6"/>
        <v>1.7220554392100342</v>
      </c>
      <c r="F416" s="26">
        <f t="shared" si="7"/>
        <v>1.2339177655572564</v>
      </c>
      <c r="G416" s="26">
        <f t="shared" si="8"/>
        <v>1.0133233181353176</v>
      </c>
    </row>
    <row r="417" spans="1:7" x14ac:dyDescent="0.2">
      <c r="A417" s="29">
        <f>CSR_FactorReturns!A7</f>
        <v>44967</v>
      </c>
      <c r="B417" s="27">
        <f>CSR_FactorReturns!B7/$B$408</f>
        <v>-1.5704436307929184</v>
      </c>
      <c r="C417" s="27">
        <f>CSR_FactorReturns!C7/$C$408</f>
        <v>-0.65946869397501029</v>
      </c>
      <c r="D417" s="27">
        <f>CSR_FactorReturns!D7/$D$408</f>
        <v>-0.39822683852755969</v>
      </c>
      <c r="E417" s="26">
        <f t="shared" si="6"/>
        <v>1.5635769038388505</v>
      </c>
      <c r="F417" s="26">
        <f t="shared" si="7"/>
        <v>1.2675405129016748</v>
      </c>
      <c r="G417" s="26">
        <f t="shared" si="8"/>
        <v>2.0000515949358886</v>
      </c>
    </row>
    <row r="418" spans="1:7" x14ac:dyDescent="0.2">
      <c r="A418" s="29">
        <f>CSR_FactorReturns!A8</f>
        <v>44974</v>
      </c>
      <c r="B418" s="27">
        <f>CSR_FactorReturns!B8/$B$408</f>
        <v>-0.44449586976051902</v>
      </c>
      <c r="C418" s="27">
        <f>CSR_FactorReturns!C8/$C$408</f>
        <v>-0.10057938090096991</v>
      </c>
      <c r="D418" s="27">
        <f>CSR_FactorReturns!D8/$D$408</f>
        <v>0.37820197217350271</v>
      </c>
      <c r="E418" s="26">
        <f t="shared" si="6"/>
        <v>1.8192056101315506</v>
      </c>
      <c r="F418" s="26">
        <f t="shared" si="7"/>
        <v>4.6037322189561891</v>
      </c>
      <c r="G418" s="26">
        <f t="shared" si="8"/>
        <v>2.0876905480363694</v>
      </c>
    </row>
    <row r="419" spans="1:7" x14ac:dyDescent="0.2">
      <c r="A419" s="29">
        <f>CSR_FactorReturns!A9</f>
        <v>44981</v>
      </c>
      <c r="B419" s="27">
        <f>CSR_FactorReturns!B9/$B$408</f>
        <v>-1.8824356285980823</v>
      </c>
      <c r="C419" s="27">
        <f>CSR_FactorReturns!C9/$C$408</f>
        <v>-6.1189736366830741E-3</v>
      </c>
      <c r="D419" s="27">
        <f>CSR_FactorReturns!D9/$D$408</f>
        <v>0.23849004918205893</v>
      </c>
      <c r="E419" s="26">
        <f t="shared" si="6"/>
        <v>2.2784309248725592</v>
      </c>
      <c r="F419" s="26">
        <f t="shared" si="7"/>
        <v>10.192759247731429</v>
      </c>
      <c r="G419" s="26">
        <f t="shared" si="8"/>
        <v>2.9237328876213402</v>
      </c>
    </row>
    <row r="420" spans="1:7" x14ac:dyDescent="0.2">
      <c r="A420" s="29">
        <f>CSR_FactorReturns!A10</f>
        <v>44988</v>
      </c>
      <c r="B420" s="27">
        <f>CSR_FactorReturns!B10/$B$408</f>
        <v>8.3043016368327272E-3</v>
      </c>
      <c r="C420" s="27">
        <f>CSR_FactorReturns!C10/$C$408</f>
        <v>-0.78591305703128933</v>
      </c>
      <c r="D420" s="27">
        <f>CSR_FactorReturns!D10/$D$408</f>
        <v>0.47052782941650789</v>
      </c>
      <c r="E420" s="26">
        <f t="shared" si="6"/>
        <v>9.58203221929951</v>
      </c>
      <c r="F420" s="26">
        <f t="shared" si="7"/>
        <v>1.0994775474826066</v>
      </c>
      <c r="G420" s="26">
        <f t="shared" si="8"/>
        <v>1.7291967844663509</v>
      </c>
    </row>
    <row r="421" spans="1:7" x14ac:dyDescent="0.2">
      <c r="A421" s="29">
        <f>CSR_FactorReturns!A11</f>
        <v>44995</v>
      </c>
      <c r="B421" s="27">
        <f>CSR_FactorReturns!B11/$B$408</f>
        <v>1.1754247122300059</v>
      </c>
      <c r="C421" s="27">
        <f>CSR_FactorReturns!C11/$C$408</f>
        <v>1.5128985619673032</v>
      </c>
      <c r="D421" s="27">
        <f>CSR_FactorReturns!D11/$D$408</f>
        <v>-0.24219626935916966</v>
      </c>
      <c r="E421" s="26">
        <f t="shared" si="6"/>
        <v>1.0583641751145401</v>
      </c>
      <c r="F421" s="26">
        <f t="shared" si="7"/>
        <v>1.4608072822944207</v>
      </c>
      <c r="G421" s="26">
        <f t="shared" si="8"/>
        <v>2.8946727351377106</v>
      </c>
    </row>
    <row r="422" spans="1:7" x14ac:dyDescent="0.2">
      <c r="A422" s="29">
        <f>CSR_FactorReturns!A12</f>
        <v>45002</v>
      </c>
      <c r="B422" s="27">
        <f>CSR_FactorReturns!B12/$B$408</f>
        <v>-0.47025629761663401</v>
      </c>
      <c r="C422" s="27">
        <f>CSR_FactorReturns!C12/$C$408</f>
        <v>-0.70381262727396665</v>
      </c>
      <c r="D422" s="27">
        <f>CSR_FactorReturns!D12/$D$408</f>
        <v>0.68910292733670264</v>
      </c>
      <c r="E422" s="26">
        <f t="shared" si="6"/>
        <v>1.7300958231076626</v>
      </c>
      <c r="F422" s="26">
        <f t="shared" si="7"/>
        <v>1.1978384396900073</v>
      </c>
      <c r="G422" s="26">
        <f t="shared" si="8"/>
        <v>1.2195921096041975</v>
      </c>
    </row>
    <row r="423" spans="1:7" x14ac:dyDescent="0.2">
      <c r="A423" s="29">
        <f>CSR_FactorReturns!A13</f>
        <v>45009</v>
      </c>
      <c r="B423" s="27">
        <f>CSR_FactorReturns!B13/$B$408</f>
        <v>-1.4912330980911419</v>
      </c>
      <c r="C423" s="27">
        <f>CSR_FactorReturns!C13/$C$408</f>
        <v>-2.3220295181178798</v>
      </c>
      <c r="D423" s="27">
        <f>CSR_FactorReturns!D13/$D$408</f>
        <v>-0.55463312387812991</v>
      </c>
      <c r="E423" s="26">
        <f t="shared" si="6"/>
        <v>1.4245694322201032</v>
      </c>
      <c r="F423" s="26">
        <f t="shared" si="7"/>
        <v>3.7069378918854872</v>
      </c>
      <c r="G423" s="26">
        <f t="shared" si="8"/>
        <v>1.4865147458530439</v>
      </c>
    </row>
    <row r="424" spans="1:7" x14ac:dyDescent="0.2">
      <c r="A424" s="29">
        <f>CSR_FactorReturns!A14</f>
        <v>45016</v>
      </c>
      <c r="B424" s="27">
        <f>CSR_FactorReturns!B14/$B$408</f>
        <v>1.765784427850269</v>
      </c>
      <c r="C424" s="27">
        <f>CSR_FactorReturns!C14/$C$408</f>
        <v>0.15504140879255479</v>
      </c>
      <c r="D424" s="27">
        <f>CSR_FactorReturns!D14/$D$408</f>
        <v>-0.80614955052971671</v>
      </c>
      <c r="E424" s="26">
        <f t="shared" si="6"/>
        <v>1.9808045922466937</v>
      </c>
      <c r="F424" s="26">
        <f t="shared" si="7"/>
        <v>3.7521639269237381</v>
      </c>
      <c r="G424" s="26">
        <f t="shared" si="8"/>
        <v>1.0808491120677028</v>
      </c>
    </row>
    <row r="425" spans="1:7" x14ac:dyDescent="0.2">
      <c r="A425" s="29">
        <f>CSR_FactorReturns!A15</f>
        <v>45023</v>
      </c>
      <c r="B425" s="27">
        <f>CSR_FactorReturns!B15/$B$408</f>
        <v>-0.3974409793907076</v>
      </c>
      <c r="C425" s="27">
        <f>CSR_FactorReturns!C15/$C$408</f>
        <v>-0.55032892816914947</v>
      </c>
      <c r="D425" s="27">
        <f>CSR_FactorReturns!D15/$D$408</f>
        <v>-0.91660189562051286</v>
      </c>
      <c r="E425" s="26">
        <f t="shared" si="6"/>
        <v>2.0033770029633611</v>
      </c>
      <c r="F425" s="26">
        <f t="shared" si="7"/>
        <v>1.4973401857804953</v>
      </c>
      <c r="G425" s="26">
        <f t="shared" si="8"/>
        <v>1.0143231126735059</v>
      </c>
    </row>
    <row r="426" spans="1:7" x14ac:dyDescent="0.2">
      <c r="A426" s="29">
        <f>CSR_FactorReturns!A16</f>
        <v>45030</v>
      </c>
      <c r="B426" s="27">
        <f>CSR_FactorReturns!B16/$B$408</f>
        <v>-0.52471934008005627</v>
      </c>
      <c r="C426" s="27">
        <f>CSR_FactorReturns!C16/$C$408</f>
        <v>0.76772479151946438</v>
      </c>
      <c r="D426" s="27">
        <f>CSR_FactorReturns!D16/$D$408</f>
        <v>-9.2779312110460088E-2</v>
      </c>
      <c r="E426" s="26">
        <f t="shared" si="6"/>
        <v>1.5651138851711888</v>
      </c>
      <c r="F426" s="26">
        <f t="shared" si="7"/>
        <v>1.1180492643753062</v>
      </c>
      <c r="G426" s="26">
        <f t="shared" si="8"/>
        <v>4.7636711885291172</v>
      </c>
    </row>
    <row r="427" spans="1:7" x14ac:dyDescent="0.2">
      <c r="A427" s="29">
        <f>CSR_FactorReturns!A17</f>
        <v>45037</v>
      </c>
      <c r="B427" s="27">
        <f>CSR_FactorReturns!B17/$B$408</f>
        <v>0.74074700944416305</v>
      </c>
      <c r="C427" s="27">
        <f>CSR_FactorReturns!C17/$C$408</f>
        <v>0.41843648022718549</v>
      </c>
      <c r="D427" s="27">
        <f>CSR_FactorReturns!D17/$D$408</f>
        <v>0.35057743453761225</v>
      </c>
      <c r="E427" s="26">
        <f t="shared" si="6"/>
        <v>1.1488983914735247</v>
      </c>
      <c r="F427" s="26">
        <f t="shared" si="7"/>
        <v>1.9175494483783304</v>
      </c>
      <c r="G427" s="26">
        <f t="shared" si="8"/>
        <v>2.2192518795679024</v>
      </c>
    </row>
    <row r="428" spans="1:7" x14ac:dyDescent="0.2">
      <c r="A428" s="29">
        <f>CSR_FactorReturns!A18</f>
        <v>45044</v>
      </c>
      <c r="B428" s="27">
        <f>CSR_FactorReturns!B18/$B$408</f>
        <v>0.7228917566710954</v>
      </c>
      <c r="C428" s="27">
        <f>CSR_FactorReturns!C18/$C$408</f>
        <v>2.1213950978641209</v>
      </c>
      <c r="D428" s="27">
        <f>CSR_FactorReturns!D18/$D$408</f>
        <v>-0.48851558035125464</v>
      </c>
      <c r="E428" s="26">
        <f t="shared" si="6"/>
        <v>1.1715640562220555</v>
      </c>
      <c r="F428" s="26">
        <f t="shared" si="7"/>
        <v>2.9961692866732843</v>
      </c>
      <c r="G428" s="26">
        <f t="shared" si="8"/>
        <v>1.6714152997202727</v>
      </c>
    </row>
    <row r="429" spans="1:7" x14ac:dyDescent="0.2">
      <c r="A429" s="29">
        <f>CSR_FactorReturns!A19</f>
        <v>45051</v>
      </c>
      <c r="B429" s="27">
        <f>CSR_FactorReturns!B19/$B$408</f>
        <v>-0.74664117382016726</v>
      </c>
      <c r="C429" s="27">
        <f>CSR_FactorReturns!C19/$C$408</f>
        <v>-0.59908773208538468</v>
      </c>
      <c r="D429" s="27">
        <f>CSR_FactorReturns!D19/$D$408</f>
        <v>0.18017962974070895</v>
      </c>
      <c r="E429" s="26">
        <f t="shared" si="6"/>
        <v>1.1418141736218628</v>
      </c>
      <c r="F429" s="26">
        <f t="shared" si="7"/>
        <v>1.3836005654194867</v>
      </c>
      <c r="G429" s="26">
        <f t="shared" si="8"/>
        <v>3.4600666643776488</v>
      </c>
    </row>
    <row r="430" spans="1:7" x14ac:dyDescent="0.2">
      <c r="A430" s="29">
        <f>CSR_FactorReturns!A20</f>
        <v>45058</v>
      </c>
      <c r="B430" s="27">
        <f>CSR_FactorReturns!B20/$B$408</f>
        <v>-0.18765080807541135</v>
      </c>
      <c r="C430" s="27">
        <f>CSR_FactorReturns!C20/$C$408</f>
        <v>-1.1375179413404033</v>
      </c>
      <c r="D430" s="27">
        <f>CSR_FactorReturns!D20/$D$408</f>
        <v>-0.38756257862067861</v>
      </c>
      <c r="E430" s="26">
        <f t="shared" si="6"/>
        <v>3.381557720011124</v>
      </c>
      <c r="F430" s="26">
        <f t="shared" si="7"/>
        <v>1.0362497782202489</v>
      </c>
      <c r="G430" s="26">
        <f t="shared" si="8"/>
        <v>2.0459606523725222</v>
      </c>
    </row>
    <row r="431" spans="1:7" x14ac:dyDescent="0.2">
      <c r="A431" s="29">
        <f>CSR_FactorReturns!A21</f>
        <v>45065</v>
      </c>
      <c r="B431" s="27">
        <f>CSR_FactorReturns!B21/$B$408</f>
        <v>-0.16077127217249246</v>
      </c>
      <c r="C431" s="27">
        <f>CSR_FactorReturns!C21/$C$408</f>
        <v>2.5232008217086674</v>
      </c>
      <c r="D431" s="27">
        <f>CSR_FactorReturns!D21/$D$408</f>
        <v>-0.58033306174767374</v>
      </c>
      <c r="E431" s="26">
        <f t="shared" si="6"/>
        <v>3.6813925896395521</v>
      </c>
      <c r="F431" s="26">
        <f t="shared" si="7"/>
        <v>4.5154858608954678</v>
      </c>
      <c r="G431" s="26">
        <f t="shared" si="8"/>
        <v>1.4250926542861277</v>
      </c>
    </row>
    <row r="432" spans="1:7" x14ac:dyDescent="0.2">
      <c r="A432" s="29">
        <f>CSR_FactorReturns!A22</f>
        <v>45072</v>
      </c>
      <c r="B432" s="27">
        <f>CSR_FactorReturns!B22/$B$408</f>
        <v>0.95458207500346237</v>
      </c>
      <c r="C432" s="27">
        <f>CSR_FactorReturns!C22/$C$408</f>
        <v>-0.13068293731635955</v>
      </c>
      <c r="D432" s="27">
        <f>CSR_FactorReturns!D22/$D$408</f>
        <v>-0.81725358588970876</v>
      </c>
      <c r="E432" s="26">
        <f t="shared" si="6"/>
        <v>1.0041902420807995</v>
      </c>
      <c r="F432" s="26">
        <f t="shared" si="7"/>
        <v>4.0870404607726885</v>
      </c>
      <c r="G432" s="26">
        <f t="shared" si="8"/>
        <v>1.0715151149219748</v>
      </c>
    </row>
    <row r="433" spans="1:7" x14ac:dyDescent="0.2">
      <c r="A433" s="29">
        <f>CSR_FactorReturns!A23</f>
        <v>45079</v>
      </c>
      <c r="B433" s="27">
        <f>CSR_FactorReturns!B23/$B$408</f>
        <v>0.75478356233800281</v>
      </c>
      <c r="C433" s="27">
        <f>CSR_FactorReturns!C23/$C$408</f>
        <v>-8.753592597244983E-2</v>
      </c>
      <c r="D433" s="27">
        <f>CSR_FactorReturns!D23/$D$408</f>
        <v>0.88669755933537742</v>
      </c>
      <c r="E433" s="26">
        <f t="shared" si="6"/>
        <v>1.1323467124386375</v>
      </c>
      <c r="F433" s="26">
        <f t="shared" si="7"/>
        <v>4.8790745130203179</v>
      </c>
      <c r="G433" s="26">
        <f t="shared" si="8"/>
        <v>1.0267352119828335</v>
      </c>
    </row>
    <row r="434" spans="1:7" x14ac:dyDescent="0.2">
      <c r="A434" s="29">
        <f>CSR_FactorReturns!A24</f>
        <v>45086</v>
      </c>
      <c r="B434" s="27">
        <f>CSR_FactorReturns!B24/$B$408</f>
        <v>-0.81077101800072315</v>
      </c>
      <c r="C434" s="27">
        <f>CSR_FactorReturns!C24/$C$408</f>
        <v>0.6357520007974341</v>
      </c>
      <c r="D434" s="27">
        <f>CSR_FactorReturns!D24/$D$408</f>
        <v>-2.1187456360497876</v>
      </c>
      <c r="E434" s="26">
        <f t="shared" si="6"/>
        <v>1.0768888636009923</v>
      </c>
      <c r="F434" s="26">
        <f t="shared" si="7"/>
        <v>1.31007406159766</v>
      </c>
      <c r="G434" s="26">
        <f t="shared" si="8"/>
        <v>2.9874346053540473</v>
      </c>
    </row>
    <row r="435" spans="1:7" x14ac:dyDescent="0.2">
      <c r="A435" s="29">
        <f>CSR_FactorReturns!A25</f>
        <v>45093</v>
      </c>
      <c r="B435" s="27">
        <f>CSR_FactorReturns!B25/$B$408</f>
        <v>-2.7150472645177608</v>
      </c>
      <c r="C435" s="27">
        <f>CSR_FactorReturns!C25/$C$408</f>
        <v>-0.6277671134413586</v>
      </c>
      <c r="D435" s="27">
        <f>CSR_FactorReturns!D25/$D$408</f>
        <v>-1.8751567280950137</v>
      </c>
      <c r="E435" s="26">
        <f t="shared" si="6"/>
        <v>5.3738629247723191</v>
      </c>
      <c r="F435" s="26">
        <f t="shared" si="7"/>
        <v>1.3252635882398991</v>
      </c>
      <c r="G435" s="26">
        <f t="shared" si="8"/>
        <v>2.258828266427185</v>
      </c>
    </row>
    <row r="436" spans="1:7" x14ac:dyDescent="0.2">
      <c r="A436" s="29">
        <f>CSR_FactorReturns!A26</f>
        <v>45100</v>
      </c>
      <c r="B436" s="27">
        <f>CSR_FactorReturns!B26/$B$408</f>
        <v>0.78542347622780251</v>
      </c>
      <c r="C436" s="27">
        <f>CSR_FactorReturns!C26/$C$408</f>
        <v>2.8075685995430004</v>
      </c>
      <c r="D436" s="27">
        <f>CSR_FactorReturns!D26/$D$408</f>
        <v>-1.9877833919802048</v>
      </c>
      <c r="E436" s="26">
        <f t="shared" si="6"/>
        <v>1.0999545299962592</v>
      </c>
      <c r="F436" s="26">
        <f t="shared" si="7"/>
        <v>5.8178037577008848</v>
      </c>
      <c r="G436" s="26">
        <f t="shared" si="8"/>
        <v>2.5772425243490913</v>
      </c>
    </row>
    <row r="437" spans="1:7" x14ac:dyDescent="0.2">
      <c r="A437" s="29">
        <f>CSR_FactorReturns!A27</f>
        <v>45107</v>
      </c>
      <c r="B437" s="27">
        <f>CSR_FactorReturns!B27/$B$408</f>
        <v>-0.7304245687792057</v>
      </c>
      <c r="C437" s="27">
        <f>CSR_FactorReturns!C27/$C$408</f>
        <v>0.30281891442100262</v>
      </c>
      <c r="D437" s="27">
        <f>CSR_FactorReturns!D27/$D$408</f>
        <v>1.0840495654296833</v>
      </c>
      <c r="E437" s="26">
        <f t="shared" si="6"/>
        <v>1.161778676349583</v>
      </c>
      <c r="F437" s="26">
        <f t="shared" si="7"/>
        <v>2.4809398835450098</v>
      </c>
      <c r="G437" s="26">
        <f t="shared" si="8"/>
        <v>1.0137562072317916</v>
      </c>
    </row>
    <row r="438" spans="1:7" x14ac:dyDescent="0.2">
      <c r="A438" s="29">
        <f>CSR_FactorReturns!A28</f>
        <v>45114</v>
      </c>
      <c r="B438" s="27">
        <f>CSR_FactorReturns!B28/$B$408</f>
        <v>0.25797833384142654</v>
      </c>
      <c r="C438" s="27">
        <f>CSR_FactorReturns!C28/$C$408</f>
        <v>0.77060107229821728</v>
      </c>
      <c r="D438" s="27">
        <f>CSR_FactorReturns!D28/$D$408</f>
        <v>0.43664840075339395</v>
      </c>
      <c r="E438" s="26">
        <f t="shared" si="6"/>
        <v>2.7763121706228531</v>
      </c>
      <c r="F438" s="26">
        <f t="shared" si="7"/>
        <v>1.1149949231876719</v>
      </c>
      <c r="G438" s="26">
        <f t="shared" si="8"/>
        <v>1.8479157912118995</v>
      </c>
    </row>
    <row r="439" spans="1:7" x14ac:dyDescent="0.2">
      <c r="A439" s="29">
        <f>CSR_FactorReturns!A29</f>
        <v>45121</v>
      </c>
      <c r="B439" s="27">
        <f>CSR_FactorReturns!B29/$B$408</f>
        <v>0.44967580867505608</v>
      </c>
      <c r="C439" s="27">
        <f>CSR_FactorReturns!C29/$C$408</f>
        <v>-0.57230314191243215</v>
      </c>
      <c r="D439" s="27">
        <f>CSR_FactorReturns!D29/$D$408</f>
        <v>-0.48549898312915973</v>
      </c>
      <c r="E439" s="26">
        <f t="shared" si="6"/>
        <v>1.8006650949380214</v>
      </c>
      <c r="F439" s="26">
        <f t="shared" si="7"/>
        <v>1.443703805458052</v>
      </c>
      <c r="G439" s="26">
        <f t="shared" si="8"/>
        <v>1.6808654340886466</v>
      </c>
    </row>
    <row r="440" spans="1:7" x14ac:dyDescent="0.2">
      <c r="A440" s="29">
        <f>CSR_FactorReturns!A30</f>
        <v>45128</v>
      </c>
      <c r="B440" s="27">
        <f>CSR_FactorReturns!B30/$B$408</f>
        <v>-0.56918123145218313</v>
      </c>
      <c r="C440" s="27">
        <f>CSR_FactorReturns!C30/$C$408</f>
        <v>-2.0698301825066001</v>
      </c>
      <c r="D440" s="27">
        <f>CSR_FactorReturns!D30/$D$408</f>
        <v>1.2884719565676288</v>
      </c>
      <c r="E440" s="26">
        <f t="shared" si="6"/>
        <v>1.4510800479686745</v>
      </c>
      <c r="F440" s="26">
        <f t="shared" si="7"/>
        <v>2.8292638514641091</v>
      </c>
      <c r="G440" s="26">
        <f t="shared" si="8"/>
        <v>1.1532460099189561</v>
      </c>
    </row>
    <row r="441" spans="1:7" x14ac:dyDescent="0.2">
      <c r="A441" s="29">
        <f>CSR_FactorReturns!A31</f>
        <v>45135</v>
      </c>
      <c r="B441" s="27">
        <f>CSR_FactorReturns!B31/$B$408</f>
        <v>-1.1611507383734547</v>
      </c>
      <c r="C441" s="27">
        <f>CSR_FactorReturns!C31/$C$408</f>
        <v>0.1328799191202443</v>
      </c>
      <c r="D441" s="27">
        <f>CSR_FactorReturns!D31/$D$408</f>
        <v>0.19021558487775275</v>
      </c>
      <c r="E441" s="26">
        <f t="shared" si="6"/>
        <v>1.0494479787553859</v>
      </c>
      <c r="F441" s="26">
        <f t="shared" si="7"/>
        <v>4.0542759175952439</v>
      </c>
      <c r="G441" s="26">
        <f t="shared" si="8"/>
        <v>3.3553763543450588</v>
      </c>
    </row>
    <row r="442" spans="1:7" x14ac:dyDescent="0.2">
      <c r="A442" s="29">
        <f>CSR_FactorReturns!A32</f>
        <v>45142</v>
      </c>
      <c r="B442" s="27">
        <f>CSR_FactorReturns!B32/$B$408</f>
        <v>0.35267051947032346</v>
      </c>
      <c r="C442" s="27">
        <f>CSR_FactorReturns!C32/$C$408</f>
        <v>-0.66442351776958053</v>
      </c>
      <c r="D442" s="27">
        <f>CSR_FactorReturns!D32/$D$408</f>
        <v>-0.9809197734351448</v>
      </c>
      <c r="E442" s="26">
        <f t="shared" si="6"/>
        <v>2.2088185563386737</v>
      </c>
      <c r="F442" s="26">
        <f t="shared" si="7"/>
        <v>1.2591296206958469</v>
      </c>
      <c r="G442" s="26">
        <f t="shared" si="8"/>
        <v>1.000732808222619</v>
      </c>
    </row>
    <row r="443" spans="1:7" x14ac:dyDescent="0.2">
      <c r="A443" s="29">
        <f>CSR_FactorReturns!A33</f>
        <v>45149</v>
      </c>
      <c r="B443" s="27">
        <f>CSR_FactorReturns!B33/$B$408</f>
        <v>-1.8893186591826503</v>
      </c>
      <c r="C443" s="27">
        <f>CSR_FactorReturns!C33/$C$408</f>
        <v>0.60293567535151704</v>
      </c>
      <c r="D443" s="27">
        <f>CSR_FactorReturns!D33/$D$408</f>
        <v>0.68852430597771863</v>
      </c>
      <c r="E443" s="26">
        <f t="shared" si="6"/>
        <v>2.2970924633564369</v>
      </c>
      <c r="F443" s="26">
        <f t="shared" si="7"/>
        <v>1.3754209532529122</v>
      </c>
      <c r="G443" s="26">
        <f t="shared" si="8"/>
        <v>1.2204750371954489</v>
      </c>
    </row>
    <row r="444" spans="1:7" x14ac:dyDescent="0.2">
      <c r="A444" s="29">
        <f>CSR_FactorReturns!A34</f>
        <v>45156</v>
      </c>
      <c r="B444" s="27">
        <f>CSR_FactorReturns!B34/$B$408</f>
        <v>-2.1213042335346914</v>
      </c>
      <c r="C444" s="27">
        <f>CSR_FactorReturns!C34/$C$408</f>
        <v>0.12625033311980335</v>
      </c>
      <c r="D444" s="27">
        <f>CSR_FactorReturns!D34/$D$408</f>
        <v>-1.9845276813905175</v>
      </c>
      <c r="E444" s="26">
        <f t="shared" ref="E444:E475" si="9">B444^2-LN(B444^2)</f>
        <v>2.9958694431707888</v>
      </c>
      <c r="F444" s="26">
        <f t="shared" ref="F444:F475" si="10">C444^2-LN(C444^2)</f>
        <v>4.1549162911277593</v>
      </c>
      <c r="G444" s="26">
        <f t="shared" ref="G444:G475" si="11">D444^2-LN(D444^2)</f>
        <v>2.5675882343209309</v>
      </c>
    </row>
    <row r="445" spans="1:7" x14ac:dyDescent="0.2">
      <c r="A445" s="29">
        <f>CSR_FactorReturns!A35</f>
        <v>45163</v>
      </c>
      <c r="B445" s="27">
        <f>CSR_FactorReturns!B35/$B$408</f>
        <v>0.32833324617458409</v>
      </c>
      <c r="C445" s="27">
        <f>CSR_FactorReturns!C35/$C$408</f>
        <v>8.733661715751663E-2</v>
      </c>
      <c r="D445" s="27">
        <f>CSR_FactorReturns!D35/$D$408</f>
        <v>1.303697460592089</v>
      </c>
      <c r="E445" s="26">
        <f t="shared" si="9"/>
        <v>2.3352551044161651</v>
      </c>
      <c r="F445" s="26">
        <f t="shared" si="10"/>
        <v>4.8835986118080879</v>
      </c>
      <c r="G445" s="26">
        <f t="shared" si="11"/>
        <v>1.1692182130785214</v>
      </c>
    </row>
    <row r="446" spans="1:7" x14ac:dyDescent="0.2">
      <c r="A446" s="29">
        <f>CSR_FactorReturns!A36</f>
        <v>45170</v>
      </c>
      <c r="B446" s="27">
        <f>CSR_FactorReturns!B36/$B$408</f>
        <v>-0.46436769422255925</v>
      </c>
      <c r="C446" s="27">
        <f>CSR_FactorReturns!C36/$C$408</f>
        <v>-1.5487964042154516</v>
      </c>
      <c r="D446" s="27">
        <f>CSR_FactorReturns!D36/$D$408</f>
        <v>0.35319564992214825</v>
      </c>
      <c r="E446" s="26">
        <f t="shared" si="9"/>
        <v>1.7497945476956407</v>
      </c>
      <c r="F446" s="26">
        <f t="shared" si="10"/>
        <v>1.5238140699525755</v>
      </c>
      <c r="G446" s="26">
        <f t="shared" si="11"/>
        <v>2.2062134201576993</v>
      </c>
    </row>
    <row r="447" spans="1:7" x14ac:dyDescent="0.2">
      <c r="A447" s="29">
        <f>CSR_FactorReturns!A37</f>
        <v>45177</v>
      </c>
      <c r="B447" s="27">
        <f>CSR_FactorReturns!B37/$B$408</f>
        <v>1.4205898392147529</v>
      </c>
      <c r="C447" s="27">
        <f>CSR_FactorReturns!C37/$C$408</f>
        <v>0.51264530861609303</v>
      </c>
      <c r="D447" s="27">
        <f>CSR_FactorReturns!D37/$D$408</f>
        <v>-1.1831256184142718</v>
      </c>
      <c r="E447" s="26">
        <f t="shared" si="9"/>
        <v>1.3159311610890145</v>
      </c>
      <c r="F447" s="26">
        <f t="shared" si="10"/>
        <v>1.5991473707447212</v>
      </c>
      <c r="G447" s="26">
        <f t="shared" si="11"/>
        <v>1.0634666975942582</v>
      </c>
    </row>
    <row r="448" spans="1:7" x14ac:dyDescent="0.2">
      <c r="A448" s="29">
        <f>CSR_FactorReturns!A38</f>
        <v>45184</v>
      </c>
      <c r="B448" s="27">
        <f>CSR_FactorReturns!B38/$B$408</f>
        <v>0.31662315895249571</v>
      </c>
      <c r="C448" s="27">
        <f>CSR_FactorReturns!C38/$C$408</f>
        <v>-0.60964796881909677</v>
      </c>
      <c r="D448" s="27">
        <f>CSR_FactorReturns!D38/$D$408</f>
        <v>0.24689898135821017</v>
      </c>
      <c r="E448" s="26">
        <f t="shared" si="9"/>
        <v>2.4003361953380682</v>
      </c>
      <c r="F448" s="26">
        <f t="shared" si="10"/>
        <v>1.3614178232808771</v>
      </c>
      <c r="G448" s="26">
        <f t="shared" si="11"/>
        <v>2.8585111237270771</v>
      </c>
    </row>
    <row r="449" spans="1:7" x14ac:dyDescent="0.2">
      <c r="A449" s="29">
        <f>CSR_FactorReturns!A39</f>
        <v>45191</v>
      </c>
      <c r="B449" s="27">
        <f>CSR_FactorReturns!B39/$B$408</f>
        <v>-0.13078955234738121</v>
      </c>
      <c r="C449" s="27">
        <f>CSR_FactorReturns!C39/$C$408</f>
        <v>-1.2748353954357488</v>
      </c>
      <c r="D449" s="27">
        <f>CSR_FactorReturns!D39/$D$408</f>
        <v>-1.5912209774498363</v>
      </c>
      <c r="E449" s="26">
        <f t="shared" si="9"/>
        <v>4.0854373433417068</v>
      </c>
      <c r="F449" s="26">
        <f t="shared" si="10"/>
        <v>1.1395711481417468</v>
      </c>
      <c r="G449" s="26">
        <f t="shared" si="11"/>
        <v>1.6029809353051028</v>
      </c>
    </row>
    <row r="450" spans="1:7" x14ac:dyDescent="0.2">
      <c r="A450" s="29">
        <f>CSR_FactorReturns!A40</f>
        <v>45198</v>
      </c>
      <c r="B450" s="27">
        <f>CSR_FactorReturns!B40/$B$408</f>
        <v>-0.12728160747329781</v>
      </c>
      <c r="C450" s="27">
        <f>CSR_FactorReturns!C40/$C$408</f>
        <v>-0.25170786631105085</v>
      </c>
      <c r="D450" s="27">
        <f>CSR_FactorReturns!D40/$D$408</f>
        <v>0.88480973415613018</v>
      </c>
      <c r="E450" s="26">
        <f t="shared" si="9"/>
        <v>4.1389071388143819</v>
      </c>
      <c r="F450" s="26">
        <f t="shared" si="10"/>
        <v>2.8223290991699703</v>
      </c>
      <c r="G450" s="26">
        <f t="shared" si="11"/>
        <v>1.0276535591412144</v>
      </c>
    </row>
    <row r="451" spans="1:7" x14ac:dyDescent="0.2">
      <c r="A451" s="29">
        <f>CSR_FactorReturns!A41</f>
        <v>45205</v>
      </c>
      <c r="B451" s="27">
        <f>CSR_FactorReturns!B41/$B$408</f>
        <v>-0.30895416040967388</v>
      </c>
      <c r="C451" s="27">
        <f>CSR_FactorReturns!C41/$C$408</f>
        <v>0.30170856983866934</v>
      </c>
      <c r="D451" s="27">
        <f>CSR_FactorReturns!D41/$D$408</f>
        <v>0.52875683500177206</v>
      </c>
      <c r="E451" s="26">
        <f t="shared" si="9"/>
        <v>2.4445773957901071</v>
      </c>
      <c r="F451" s="26">
        <f t="shared" si="10"/>
        <v>2.4876155172225989</v>
      </c>
      <c r="G451" s="26">
        <f t="shared" si="11"/>
        <v>1.5540370345368895</v>
      </c>
    </row>
    <row r="452" spans="1:7" x14ac:dyDescent="0.2">
      <c r="A452" s="29">
        <f>CSR_FactorReturns!A42</f>
        <v>45212</v>
      </c>
      <c r="B452" s="27">
        <f>CSR_FactorReturns!B42/$B$408</f>
        <v>0.2269123029402732</v>
      </c>
      <c r="C452" s="27">
        <f>CSR_FactorReturns!C42/$C$408</f>
        <v>-0.73191822177701393</v>
      </c>
      <c r="D452" s="27">
        <f>CSR_FactorReturns!D42/$D$408</f>
        <v>-0.93678398785061734</v>
      </c>
      <c r="E452" s="26">
        <f t="shared" si="9"/>
        <v>3.0178725268361357</v>
      </c>
      <c r="F452" s="26">
        <f t="shared" si="10"/>
        <v>1.1598772636606371</v>
      </c>
      <c r="G452" s="26">
        <f t="shared" si="11"/>
        <v>1.0081693583593672</v>
      </c>
    </row>
    <row r="453" spans="1:7" x14ac:dyDescent="0.2">
      <c r="A453" s="29">
        <f>CSR_FactorReturns!A43</f>
        <v>45219</v>
      </c>
      <c r="B453" s="27">
        <f>CSR_FactorReturns!B43/$B$408</f>
        <v>0.32049157035959119</v>
      </c>
      <c r="C453" s="27">
        <f>CSR_FactorReturns!C43/$C$408</f>
        <v>0.3311984780402184</v>
      </c>
      <c r="D453" s="27">
        <f>CSR_FactorReturns!D43/$D$408</f>
        <v>-0.78265511152096645</v>
      </c>
      <c r="E453" s="26">
        <f t="shared" si="9"/>
        <v>2.3785134556664373</v>
      </c>
      <c r="F453" s="26">
        <f t="shared" si="10"/>
        <v>2.3197673353977297</v>
      </c>
      <c r="G453" s="26">
        <f t="shared" si="11"/>
        <v>1.1026753248419459</v>
      </c>
    </row>
    <row r="454" spans="1:7" x14ac:dyDescent="0.2">
      <c r="A454" s="29">
        <f>CSR_FactorReturns!A44</f>
        <v>45226</v>
      </c>
      <c r="B454" s="27">
        <f>CSR_FactorReturns!B44/$B$408</f>
        <v>-1.2888160128991233</v>
      </c>
      <c r="C454" s="27">
        <f>CSR_FactorReturns!C44/$C$408</f>
        <v>-0.96791405696741561</v>
      </c>
      <c r="D454" s="27">
        <f>CSR_FactorReturns!D44/$D$408</f>
        <v>1.0829783608451393</v>
      </c>
      <c r="E454" s="26">
        <f t="shared" si="9"/>
        <v>1.1535987601824749</v>
      </c>
      <c r="F454" s="26">
        <f t="shared" si="10"/>
        <v>1.0020815812184702</v>
      </c>
      <c r="G454" s="26">
        <f t="shared" si="11"/>
        <v>1.0134121559251748</v>
      </c>
    </row>
    <row r="455" spans="1:7" x14ac:dyDescent="0.2">
      <c r="A455" s="29">
        <f>CSR_FactorReturns!A45</f>
        <v>45233</v>
      </c>
      <c r="B455" s="27">
        <f>CSR_FactorReturns!B45/$B$408</f>
        <v>-0.51683096190873012</v>
      </c>
      <c r="C455" s="27">
        <f>CSR_FactorReturns!C45/$C$408</f>
        <v>-1.8979452361331888</v>
      </c>
      <c r="D455" s="27">
        <f>CSR_FactorReturns!D45/$D$408</f>
        <v>0.87779736001978814</v>
      </c>
      <c r="E455" s="26">
        <f t="shared" si="9"/>
        <v>1.5871930781759429</v>
      </c>
      <c r="F455" s="26">
        <f t="shared" si="10"/>
        <v>2.320652426737448</v>
      </c>
      <c r="G455" s="26">
        <f t="shared" si="11"/>
        <v>1.0312072237152696</v>
      </c>
    </row>
    <row r="456" spans="1:7" x14ac:dyDescent="0.2">
      <c r="A456" s="29">
        <f>CSR_FactorReturns!A46</f>
        <v>45240</v>
      </c>
      <c r="B456" s="27">
        <f>CSR_FactorReturns!B46/$B$408</f>
        <v>1.3514620246535627</v>
      </c>
      <c r="C456" s="27">
        <f>CSR_FactorReturns!C46/$C$408</f>
        <v>-1.3003102481444446</v>
      </c>
      <c r="D456" s="27">
        <f>CSR_FactorReturns!D46/$D$408</f>
        <v>0.32979279839592912</v>
      </c>
      <c r="E456" s="26">
        <f t="shared" si="9"/>
        <v>1.2240756287325469</v>
      </c>
      <c r="F456" s="26">
        <f t="shared" si="10"/>
        <v>1.1656009646027949</v>
      </c>
      <c r="G456" s="26">
        <f t="shared" si="11"/>
        <v>2.3273447006174175</v>
      </c>
    </row>
    <row r="457" spans="1:7" x14ac:dyDescent="0.2">
      <c r="A457" s="29">
        <f>CSR_FactorReturns!A47</f>
        <v>45247</v>
      </c>
      <c r="B457" s="27">
        <f>CSR_FactorReturns!B47/$B$408</f>
        <v>0.11821398780554238</v>
      </c>
      <c r="C457" s="27">
        <f>CSR_FactorReturns!C47/$C$408</f>
        <v>-0.96710637035714608</v>
      </c>
      <c r="D457" s="27">
        <f>CSR_FactorReturns!D47/$D$408</f>
        <v>-0.38931993943297133</v>
      </c>
      <c r="E457" s="26">
        <f t="shared" si="9"/>
        <v>4.2844922286396283</v>
      </c>
      <c r="F457" s="26">
        <f t="shared" si="10"/>
        <v>1.0021883100035847</v>
      </c>
      <c r="G457" s="26">
        <f t="shared" si="11"/>
        <v>2.038277629230457</v>
      </c>
    </row>
    <row r="458" spans="1:7" x14ac:dyDescent="0.2">
      <c r="A458" s="29">
        <f>CSR_FactorReturns!A48</f>
        <v>45254</v>
      </c>
      <c r="B458" s="27">
        <f>CSR_FactorReturns!B48/$B$408</f>
        <v>0.55134917238504066</v>
      </c>
      <c r="C458" s="27">
        <f>CSR_FactorReturns!C48/$C$408</f>
        <v>0.70036087873640607</v>
      </c>
      <c r="D458" s="27">
        <f>CSR_FactorReturns!D48/$D$408</f>
        <v>-1.1528637112694431</v>
      </c>
      <c r="E458" s="26">
        <f t="shared" si="9"/>
        <v>1.4947598375868756</v>
      </c>
      <c r="F458" s="26">
        <f t="shared" si="10"/>
        <v>1.2028244319291421</v>
      </c>
      <c r="G458" s="26">
        <f t="shared" si="11"/>
        <v>1.0445966753261842</v>
      </c>
    </row>
    <row r="459" spans="1:7" x14ac:dyDescent="0.2">
      <c r="A459" s="29">
        <f>CSR_FactorReturns!A49</f>
        <v>45261</v>
      </c>
      <c r="B459" s="27">
        <f>CSR_FactorReturns!B49/$B$408</f>
        <v>0.43302620736551617</v>
      </c>
      <c r="C459" s="27">
        <f>CSR_FactorReturns!C49/$C$408</f>
        <v>0.29613043559216096</v>
      </c>
      <c r="D459" s="27">
        <f>CSR_FactorReturns!D49/$D$408</f>
        <v>0.51064790139282756</v>
      </c>
      <c r="E459" s="26">
        <f t="shared" si="9"/>
        <v>1.8614257517006547</v>
      </c>
      <c r="F459" s="26">
        <f t="shared" si="10"/>
        <v>2.5216037567564014</v>
      </c>
      <c r="G459" s="26">
        <f t="shared" si="11"/>
        <v>1.6049112084862451</v>
      </c>
    </row>
    <row r="460" spans="1:7" x14ac:dyDescent="0.2">
      <c r="A460" s="29">
        <f>CSR_FactorReturns!A50</f>
        <v>45268</v>
      </c>
      <c r="B460" s="27">
        <f>CSR_FactorReturns!B50/$B$408</f>
        <v>-0.90784660523684357</v>
      </c>
      <c r="C460" s="27">
        <f>CSR_FactorReturns!C50/$C$408</f>
        <v>-0.69457142770003</v>
      </c>
      <c r="D460" s="27">
        <f>CSR_FactorReturns!D50/$D$408</f>
        <v>0.43303310359861563</v>
      </c>
      <c r="E460" s="26">
        <f t="shared" si="9"/>
        <v>1.0175451618723186</v>
      </c>
      <c r="F460" s="26">
        <f t="shared" si="10"/>
        <v>1.2113500170091904</v>
      </c>
      <c r="G460" s="26">
        <f t="shared" si="11"/>
        <v>1.8613998731583037</v>
      </c>
    </row>
    <row r="461" spans="1:7" x14ac:dyDescent="0.2">
      <c r="A461" s="29">
        <f>CSR_FactorReturns!A51</f>
        <v>45275</v>
      </c>
      <c r="B461" s="27">
        <f>CSR_FactorReturns!B51/$B$408</f>
        <v>-0.30659467480421942</v>
      </c>
      <c r="C461" s="27">
        <f>CSR_FactorReturns!C51/$C$408</f>
        <v>-0.31218815449326281</v>
      </c>
      <c r="D461" s="27">
        <f>CSR_FactorReturns!D51/$D$408</f>
        <v>-0.10240626413301797</v>
      </c>
      <c r="E461" s="26">
        <f t="shared" si="9"/>
        <v>2.4584576570980623</v>
      </c>
      <c r="F461" s="26">
        <f t="shared" si="10"/>
        <v>2.4257598711390016</v>
      </c>
      <c r="G461" s="26">
        <f t="shared" si="11"/>
        <v>4.5681018330811387</v>
      </c>
    </row>
    <row r="462" spans="1:7" x14ac:dyDescent="0.2">
      <c r="A462" s="29">
        <f>CSR_FactorReturns!A52</f>
        <v>45282</v>
      </c>
      <c r="B462" s="27">
        <f>CSR_FactorReturns!B52/$B$408</f>
        <v>0.39265991365030534</v>
      </c>
      <c r="C462" s="27">
        <f>CSR_FactorReturns!C52/$C$408</f>
        <v>0.30023020504769909</v>
      </c>
      <c r="D462" s="27">
        <f>CSR_FactorReturns!D52/$D$408</f>
        <v>0.64258646298325761</v>
      </c>
      <c r="E462" s="26">
        <f t="shared" si="9"/>
        <v>2.0238046106301364</v>
      </c>
      <c r="F462" s="26">
        <f t="shared" si="10"/>
        <v>2.4965496728820771</v>
      </c>
      <c r="G462" s="26">
        <f t="shared" si="11"/>
        <v>1.2974251594698791</v>
      </c>
    </row>
    <row r="463" spans="1:7" x14ac:dyDescent="0.2">
      <c r="A463" s="29">
        <f>CSR_FactorReturns!A53</f>
        <v>45289</v>
      </c>
      <c r="B463" s="27">
        <f>CSR_FactorReturns!B53/$B$408</f>
        <v>-0.93553047555608815</v>
      </c>
      <c r="C463" s="27">
        <f>CSR_FactorReturns!C53/$C$408</f>
        <v>-0.96425061546963631</v>
      </c>
      <c r="D463" s="27">
        <f>CSR_FactorReturns!D53/$D$408</f>
        <v>-0.33158393581383694</v>
      </c>
      <c r="E463" s="26">
        <f t="shared" si="9"/>
        <v>1.0085003847775904</v>
      </c>
      <c r="F463" s="26">
        <f t="shared" si="10"/>
        <v>1.0025873366446829</v>
      </c>
      <c r="G463" s="26">
        <f t="shared" si="11"/>
        <v>2.3176965092181954</v>
      </c>
    </row>
    <row r="464" spans="1:7" x14ac:dyDescent="0.2">
      <c r="A464" s="29">
        <f>CSR_FactorReturns!A54</f>
        <v>45296</v>
      </c>
      <c r="B464" s="27">
        <f>CSR_FactorReturns!B54/$B$408</f>
        <v>0.27713596791759548</v>
      </c>
      <c r="C464" s="27">
        <f>CSR_FactorReturns!C54/$C$408</f>
        <v>9.7357742235578096E-2</v>
      </c>
      <c r="D464" s="27">
        <f>CSR_FactorReturns!D54/$D$408</f>
        <v>-2.9551511596521588E-2</v>
      </c>
      <c r="E464" s="26">
        <f t="shared" si="9"/>
        <v>2.6432984133502968</v>
      </c>
      <c r="F464" s="26">
        <f t="shared" si="10"/>
        <v>4.668204570829575</v>
      </c>
      <c r="G464" s="26">
        <f t="shared" si="11"/>
        <v>7.0441140569971301</v>
      </c>
    </row>
    <row r="465" spans="1:7" x14ac:dyDescent="0.2">
      <c r="A465" s="29">
        <f>CSR_FactorReturns!A55</f>
        <v>45303</v>
      </c>
      <c r="B465" s="27">
        <f>CSR_FactorReturns!B55/$B$408</f>
        <v>-0.26146608803166366</v>
      </c>
      <c r="C465" s="27">
        <f>CSR_FactorReturns!C55/$C$408</f>
        <v>-0.57072323061642949</v>
      </c>
      <c r="D465" s="27">
        <f>CSR_FactorReturns!D55/$D$408</f>
        <v>0.62958558986168767</v>
      </c>
      <c r="E465" s="26">
        <f t="shared" si="9"/>
        <v>2.7512658879224956</v>
      </c>
      <c r="F465" s="26">
        <f t="shared" si="10"/>
        <v>1.4474267995446217</v>
      </c>
      <c r="G465" s="26">
        <f t="shared" si="11"/>
        <v>1.3217649547778985</v>
      </c>
    </row>
    <row r="466" spans="1:7" x14ac:dyDescent="0.2">
      <c r="A466" s="29">
        <f>CSR_FactorReturns!A56</f>
        <v>45310</v>
      </c>
      <c r="B466" s="27">
        <f>CSR_FactorReturns!B56/$B$408</f>
        <v>0.91581681521400915</v>
      </c>
      <c r="C466" s="27">
        <f>CSR_FactorReturns!C56/$C$408</f>
        <v>1.0775032723754201</v>
      </c>
      <c r="D466" s="27">
        <f>CSR_FactorReturns!D56/$D$408</f>
        <v>0.4559356399513515</v>
      </c>
      <c r="E466" s="26">
        <f t="shared" si="9"/>
        <v>1.014598274425073</v>
      </c>
      <c r="F466" s="26">
        <f t="shared" si="10"/>
        <v>1.0117201419827297</v>
      </c>
      <c r="G466" s="26">
        <f t="shared" si="11"/>
        <v>1.7786845475509787</v>
      </c>
    </row>
    <row r="467" spans="1:7" x14ac:dyDescent="0.2">
      <c r="A467" s="29">
        <f>CSR_FactorReturns!A57</f>
        <v>45317</v>
      </c>
      <c r="B467" s="27">
        <f>CSR_FactorReturns!B57/$B$408</f>
        <v>0.62020069661385291</v>
      </c>
      <c r="C467" s="27">
        <f>CSR_FactorReturns!C57/$C$408</f>
        <v>-0.11159479326918527</v>
      </c>
      <c r="D467" s="27">
        <f>CSR_FactorReturns!D57/$D$408</f>
        <v>5.9636476457030622E-2</v>
      </c>
      <c r="E467" s="26">
        <f t="shared" si="9"/>
        <v>1.3400732022963366</v>
      </c>
      <c r="F467" s="26">
        <f t="shared" si="10"/>
        <v>4.3982151687195072</v>
      </c>
      <c r="G467" s="26">
        <f t="shared" si="11"/>
        <v>5.6425322513806968</v>
      </c>
    </row>
    <row r="468" spans="1:7" x14ac:dyDescent="0.2">
      <c r="A468" s="29">
        <f>CSR_FactorReturns!A58</f>
        <v>45324</v>
      </c>
      <c r="B468" s="27">
        <f>CSR_FactorReturns!B58/$B$408</f>
        <v>-1.0094118388052156</v>
      </c>
      <c r="C468" s="27">
        <f>CSR_FactorReturns!C58/$C$408</f>
        <v>-9.4100519754438269E-2</v>
      </c>
      <c r="D468" s="27">
        <f>CSR_FactorReturns!D58/$D$408</f>
        <v>-1.137442206419593</v>
      </c>
      <c r="E468" s="26">
        <f t="shared" si="9"/>
        <v>1.000176613496071</v>
      </c>
      <c r="F468" s="26">
        <f t="shared" si="10"/>
        <v>4.7356383257770718</v>
      </c>
      <c r="G468" s="26">
        <f t="shared" si="11"/>
        <v>1.036210646926659</v>
      </c>
    </row>
    <row r="469" spans="1:7" x14ac:dyDescent="0.2">
      <c r="A469" s="29">
        <f>CSR_FactorReturns!A59</f>
        <v>45331</v>
      </c>
      <c r="B469" s="27">
        <f>CSR_FactorReturns!B59/$B$408</f>
        <v>0.8694389386321848</v>
      </c>
      <c r="C469" s="27">
        <f>CSR_FactorReturns!C59/$C$408</f>
        <v>-0.25034373411504984</v>
      </c>
      <c r="D469" s="27">
        <f>CSR_FactorReturns!D59/$D$408</f>
        <v>2.2605377092807135</v>
      </c>
      <c r="E469" s="26">
        <f t="shared" si="9"/>
        <v>1.0357384149972091</v>
      </c>
      <c r="F469" s="26">
        <f t="shared" si="10"/>
        <v>2.8325127232492711</v>
      </c>
      <c r="G469" s="26">
        <f t="shared" si="11"/>
        <v>3.4788253161897926</v>
      </c>
    </row>
    <row r="470" spans="1:7" x14ac:dyDescent="0.2">
      <c r="A470" s="29">
        <f>CSR_FactorReturns!A60</f>
        <v>45338</v>
      </c>
      <c r="B470" s="27">
        <f>CSR_FactorReturns!B60/$B$408</f>
        <v>1.3396859766491016</v>
      </c>
      <c r="C470" s="27">
        <f>CSR_FactorReturns!C60/$C$408</f>
        <v>0.7481908027423062</v>
      </c>
      <c r="D470" s="27">
        <f>CSR_FactorReturns!D60/$D$408</f>
        <v>-1.0282420241344585</v>
      </c>
      <c r="E470" s="26">
        <f t="shared" si="9"/>
        <v>1.2098880345996501</v>
      </c>
      <c r="F470" s="26">
        <f t="shared" si="10"/>
        <v>1.1399839766200421</v>
      </c>
      <c r="G470" s="26">
        <f t="shared" si="11"/>
        <v>1.0015805174749057</v>
      </c>
    </row>
    <row r="471" spans="1:7" x14ac:dyDescent="0.2">
      <c r="A471" s="29">
        <f>CSR_FactorReturns!A61</f>
        <v>45345</v>
      </c>
      <c r="B471" s="27">
        <f>CSR_FactorReturns!B61/$B$408</f>
        <v>-1.2878291986841115</v>
      </c>
      <c r="C471" s="27">
        <f>CSR_FactorReturns!C61/$C$408</f>
        <v>0.71459703191466051</v>
      </c>
      <c r="D471" s="27">
        <f>CSR_FactorReturns!D61/$D$408</f>
        <v>-1.3948907333639053</v>
      </c>
      <c r="E471" s="26">
        <f t="shared" si="9"/>
        <v>1.1525880266405384</v>
      </c>
      <c r="F471" s="26">
        <f t="shared" si="10"/>
        <v>1.1827218918080269</v>
      </c>
      <c r="G471" s="26">
        <f t="shared" si="11"/>
        <v>1.2800879882887326</v>
      </c>
    </row>
    <row r="472" spans="1:7" x14ac:dyDescent="0.2">
      <c r="A472" s="29">
        <f>CSR_FactorReturns!A62</f>
        <v>45352</v>
      </c>
      <c r="B472" s="27">
        <f>CSR_FactorReturns!B62/$B$408</f>
        <v>0.28358685816567586</v>
      </c>
      <c r="C472" s="27">
        <f>CSR_FactorReturns!C62/$C$408</f>
        <v>-0.35756122953642133</v>
      </c>
      <c r="D472" s="27">
        <f>CSR_FactorReturns!D62/$D$408</f>
        <v>-0.68467210991766214</v>
      </c>
      <c r="E472" s="26">
        <f t="shared" si="9"/>
        <v>2.6008951555823789</v>
      </c>
      <c r="F472" s="26">
        <f t="shared" si="10"/>
        <v>2.1847473530332024</v>
      </c>
      <c r="G472" s="26">
        <f t="shared" si="11"/>
        <v>1.2264063520447179</v>
      </c>
    </row>
    <row r="473" spans="1:7" x14ac:dyDescent="0.2">
      <c r="A473" s="29">
        <f>CSR_FactorReturns!A63</f>
        <v>45359</v>
      </c>
      <c r="B473" s="27">
        <f>CSR_FactorReturns!B63/$B$408</f>
        <v>-1.7814998096655366</v>
      </c>
      <c r="C473" s="27">
        <f>CSR_FactorReturns!C63/$C$408</f>
        <v>1.1967930011129673</v>
      </c>
      <c r="D473" s="27">
        <f>CSR_FactorReturns!D63/$D$408</f>
        <v>-0.37619767341785421</v>
      </c>
      <c r="E473" s="26">
        <f t="shared" si="9"/>
        <v>2.0188303733897284</v>
      </c>
      <c r="F473" s="26">
        <f t="shared" si="10"/>
        <v>1.0730225270720881</v>
      </c>
      <c r="G473" s="26">
        <f t="shared" si="11"/>
        <v>2.0968057826114341</v>
      </c>
    </row>
    <row r="474" spans="1:7" x14ac:dyDescent="0.2">
      <c r="A474" s="29">
        <f>CSR_FactorReturns!A64</f>
        <v>45366</v>
      </c>
      <c r="B474" s="27">
        <f>CSR_FactorReturns!B64/$B$408</f>
        <v>-0.23505993513646534</v>
      </c>
      <c r="C474" s="27">
        <f>CSR_FactorReturns!C64/$C$408</f>
        <v>0.65933187991638464</v>
      </c>
      <c r="D474" s="27">
        <f>CSR_FactorReturns!D64/$D$408</f>
        <v>-0.70340798206381694</v>
      </c>
      <c r="E474" s="26">
        <f t="shared" si="9"/>
        <v>2.951082681550468</v>
      </c>
      <c r="F474" s="26">
        <f t="shared" si="10"/>
        <v>1.2677750475611755</v>
      </c>
      <c r="G474" s="26">
        <f t="shared" si="11"/>
        <v>1.198419211583819</v>
      </c>
    </row>
    <row r="475" spans="1:7" x14ac:dyDescent="0.2">
      <c r="A475" s="29">
        <f>CSR_FactorReturns!A65</f>
        <v>45373</v>
      </c>
      <c r="B475" s="27">
        <f>CSR_FactorReturns!B65/$B$408</f>
        <v>-2.0426510468450867</v>
      </c>
      <c r="C475" s="27">
        <f>CSR_FactorReturns!C65/$C$408</f>
        <v>-1.0799434022765222</v>
      </c>
      <c r="D475" s="27">
        <f>CSR_FactorReturns!D65/$D$408</f>
        <v>-1.6036092055594973</v>
      </c>
      <c r="E475" s="26">
        <f t="shared" si="9"/>
        <v>2.7439263052544294</v>
      </c>
      <c r="F475" s="26">
        <f t="shared" si="10"/>
        <v>1.012460483193778</v>
      </c>
      <c r="G475" s="26">
        <f t="shared" si="11"/>
        <v>1.6270487994988274</v>
      </c>
    </row>
    <row r="476" spans="1:7" x14ac:dyDescent="0.2">
      <c r="A476" s="29">
        <f>CSR_FactorReturns!A66</f>
        <v>45380</v>
      </c>
      <c r="B476" s="27">
        <f>CSR_FactorReturns!B66/$B$408</f>
        <v>-0.59304704405955444</v>
      </c>
      <c r="C476" s="27">
        <f>CSR_FactorReturns!C66/$C$408</f>
        <v>1.5960512995179079</v>
      </c>
      <c r="D476" s="27">
        <f>CSR_FactorReturns!D66/$D$408</f>
        <v>-1.2071243684964399</v>
      </c>
      <c r="E476" s="26">
        <f t="shared" ref="E476:E507" si="12">B476^2-LN(B476^2)</f>
        <v>1.3966678981108103</v>
      </c>
      <c r="F476" s="26">
        <f t="shared" ref="F476:F507" si="13">C476^2-LN(C476^2)</f>
        <v>1.61231446856053</v>
      </c>
      <c r="G476" s="26">
        <f t="shared" ref="G476:G507" si="14">D476^2-LN(D476^2)</f>
        <v>1.0806672887018782</v>
      </c>
    </row>
    <row r="477" spans="1:7" x14ac:dyDescent="0.2">
      <c r="A477" s="29">
        <f>CSR_FactorReturns!A67</f>
        <v>45387</v>
      </c>
      <c r="B477" s="27">
        <f>CSR_FactorReturns!B67/$B$408</f>
        <v>0.45914388087472369</v>
      </c>
      <c r="C477" s="27">
        <f>CSR_FactorReturns!C67/$C$408</f>
        <v>-1.2015362269556596E-2</v>
      </c>
      <c r="D477" s="27">
        <f>CSR_FactorReturns!D67/$D$408</f>
        <v>-1.3345881131642867</v>
      </c>
      <c r="E477" s="26">
        <f t="shared" si="12"/>
        <v>1.7675964075122563</v>
      </c>
      <c r="F477" s="26">
        <f t="shared" si="13"/>
        <v>8.8432828865461381</v>
      </c>
      <c r="G477" s="26">
        <f t="shared" si="14"/>
        <v>1.2038800022349074</v>
      </c>
    </row>
    <row r="478" spans="1:7" x14ac:dyDescent="0.2">
      <c r="A478" s="29">
        <f>CSR_FactorReturns!A68</f>
        <v>45394</v>
      </c>
      <c r="B478" s="27">
        <f>CSR_FactorReturns!B68/$B$408</f>
        <v>-1.1492144307328027</v>
      </c>
      <c r="C478" s="27">
        <f>CSR_FactorReturns!C68/$C$408</f>
        <v>-1.2315870956745392</v>
      </c>
      <c r="D478" s="27">
        <f>CSR_FactorReturns!D68/$D$408</f>
        <v>5.3198217059758121E-2</v>
      </c>
      <c r="E478" s="26">
        <f t="shared" si="12"/>
        <v>1.0425365973187082</v>
      </c>
      <c r="F478" s="26">
        <f t="shared" si="13"/>
        <v>1.1001994555894026</v>
      </c>
      <c r="G478" s="26">
        <f t="shared" si="14"/>
        <v>5.8702908445192641</v>
      </c>
    </row>
    <row r="479" spans="1:7" x14ac:dyDescent="0.2">
      <c r="A479" s="29">
        <f>CSR_FactorReturns!A69</f>
        <v>45401</v>
      </c>
      <c r="B479" s="27">
        <f>CSR_FactorReturns!B69/$B$408</f>
        <v>-1.3212512781859056</v>
      </c>
      <c r="C479" s="27">
        <f>CSR_FactorReturns!C69/$C$408</f>
        <v>-0.63982883572245897</v>
      </c>
      <c r="D479" s="27">
        <f>CSR_FactorReturns!D69/$D$408</f>
        <v>0.20245019730563585</v>
      </c>
      <c r="E479" s="26">
        <f t="shared" si="12"/>
        <v>1.1885464888911024</v>
      </c>
      <c r="F479" s="26">
        <f t="shared" si="13"/>
        <v>1.3024901041852588</v>
      </c>
      <c r="G479" s="26">
        <f t="shared" si="14"/>
        <v>3.2355088062190576</v>
      </c>
    </row>
    <row r="480" spans="1:7" x14ac:dyDescent="0.2">
      <c r="A480" s="29">
        <f>CSR_FactorReturns!A70</f>
        <v>45408</v>
      </c>
      <c r="B480" s="27">
        <f>CSR_FactorReturns!B70/$B$408</f>
        <v>1.2302513290544197</v>
      </c>
      <c r="C480" s="27">
        <f>CSR_FactorReturns!C70/$C$408</f>
        <v>-1.7674081580303882</v>
      </c>
      <c r="D480" s="27">
        <f>CSR_FactorReturns!D70/$D$408</f>
        <v>1.0098625966325991</v>
      </c>
      <c r="E480" s="26">
        <f t="shared" si="12"/>
        <v>1.0990813704884863</v>
      </c>
      <c r="F480" s="26">
        <f t="shared" si="13"/>
        <v>1.9847032852160573</v>
      </c>
      <c r="G480" s="26">
        <f t="shared" si="14"/>
        <v>1.0001939067566006</v>
      </c>
    </row>
    <row r="481" spans="1:7" x14ac:dyDescent="0.2">
      <c r="A481" s="29">
        <f>CSR_FactorReturns!A71</f>
        <v>45415</v>
      </c>
      <c r="B481" s="27">
        <f>CSR_FactorReturns!B71/$B$408</f>
        <v>0.75846381443349409</v>
      </c>
      <c r="C481" s="27">
        <f>CSR_FactorReturns!C71/$C$408</f>
        <v>0.43971403630088252</v>
      </c>
      <c r="D481" s="27">
        <f>CSR_FactorReturns!D71/$D$408</f>
        <v>-1.6525056074970819</v>
      </c>
      <c r="E481" s="26">
        <f t="shared" si="12"/>
        <v>1.1281877339592286</v>
      </c>
      <c r="F481" s="26">
        <f t="shared" si="13"/>
        <v>1.8366097954315197</v>
      </c>
      <c r="G481" s="26">
        <f t="shared" si="14"/>
        <v>1.7261894106500992</v>
      </c>
    </row>
    <row r="482" spans="1:7" x14ac:dyDescent="0.2">
      <c r="A482" s="29">
        <f>CSR_FactorReturns!A72</f>
        <v>45422</v>
      </c>
      <c r="B482" s="27">
        <f>CSR_FactorReturns!B72/$B$408</f>
        <v>-0.83241352586355422</v>
      </c>
      <c r="C482" s="27">
        <f>CSR_FactorReturns!C72/$C$408</f>
        <v>-0.21024011509746973</v>
      </c>
      <c r="D482" s="27">
        <f>CSR_FactorReturns!D72/$D$408</f>
        <v>-2.7719005604145749E-2</v>
      </c>
      <c r="E482" s="26">
        <f t="shared" si="12"/>
        <v>1.0597641487591267</v>
      </c>
      <c r="F482" s="26">
        <f t="shared" si="13"/>
        <v>3.1632108984532326</v>
      </c>
      <c r="G482" s="26">
        <f t="shared" si="14"/>
        <v>7.172042299612075</v>
      </c>
    </row>
    <row r="483" spans="1:7" x14ac:dyDescent="0.2">
      <c r="A483" s="29">
        <f>CSR_FactorReturns!A73</f>
        <v>45429</v>
      </c>
      <c r="B483" s="27">
        <f>CSR_FactorReturns!B73/$B$408</f>
        <v>0.31896224608517854</v>
      </c>
      <c r="C483" s="27">
        <f>CSR_FactorReturns!C73/$C$408</f>
        <v>1.5041959965824836</v>
      </c>
      <c r="D483" s="27">
        <f>CSR_FactorReturns!D73/$D$408</f>
        <v>1.0977624814536515</v>
      </c>
      <c r="E483" s="26">
        <f t="shared" si="12"/>
        <v>2.3871019824906337</v>
      </c>
      <c r="F483" s="26">
        <f t="shared" si="13"/>
        <v>1.4460885283071852</v>
      </c>
      <c r="G483" s="26">
        <f t="shared" si="14"/>
        <v>1.018534464831311</v>
      </c>
    </row>
    <row r="484" spans="1:7" x14ac:dyDescent="0.2">
      <c r="A484" s="29">
        <f>CSR_FactorReturns!A74</f>
        <v>45436</v>
      </c>
      <c r="B484" s="27">
        <f>CSR_FactorReturns!B74/$B$408</f>
        <v>-0.27737045243159347</v>
      </c>
      <c r="C484" s="27">
        <f>CSR_FactorReturns!C74/$C$408</f>
        <v>-7.8291705068136541E-2</v>
      </c>
      <c r="D484" s="27">
        <f>CSR_FactorReturns!D74/$D$408</f>
        <v>-1.4615589000066935</v>
      </c>
      <c r="E484" s="26">
        <f t="shared" si="12"/>
        <v>2.6417369536477469</v>
      </c>
      <c r="F484" s="26">
        <f t="shared" si="13"/>
        <v>5.1007568299310897</v>
      </c>
      <c r="G484" s="26">
        <f t="shared" si="14"/>
        <v>1.3771472065443127</v>
      </c>
    </row>
    <row r="485" spans="1:7" x14ac:dyDescent="0.2">
      <c r="A485" s="29">
        <f>CSR_FactorReturns!A75</f>
        <v>45443</v>
      </c>
      <c r="B485" s="27">
        <f>CSR_FactorReturns!B75/$B$408</f>
        <v>-1.1722171703004496</v>
      </c>
      <c r="C485" s="27">
        <f>CSR_FactorReturns!C75/$C$408</f>
        <v>-1.6423421014250383</v>
      </c>
      <c r="D485" s="27">
        <f>CSR_FactorReturns!D75/$D$408</f>
        <v>0.36516262440041836</v>
      </c>
      <c r="E485" s="26">
        <f t="shared" si="12"/>
        <v>1.0562991485866524</v>
      </c>
      <c r="F485" s="26">
        <f t="shared" si="13"/>
        <v>1.7050409107512303</v>
      </c>
      <c r="G485" s="26">
        <f t="shared" si="14"/>
        <v>2.1481686989058235</v>
      </c>
    </row>
    <row r="486" spans="1:7" x14ac:dyDescent="0.2">
      <c r="A486" s="29">
        <f>CSR_FactorReturns!A76</f>
        <v>45450</v>
      </c>
      <c r="B486" s="27">
        <f>CSR_FactorReturns!B76/$B$408</f>
        <v>1.8832383590799582</v>
      </c>
      <c r="C486" s="27">
        <f>CSR_FactorReturns!C76/$C$408</f>
        <v>-0.30615922161221909</v>
      </c>
      <c r="D486" s="27">
        <f>CSR_FactorReturns!D76/$D$408</f>
        <v>-1.0240042989810918</v>
      </c>
      <c r="E486" s="26">
        <f t="shared" si="12"/>
        <v>2.2806010642870476</v>
      </c>
      <c r="F486" s="26">
        <f t="shared" si="13"/>
        <v>2.4610334295571388</v>
      </c>
      <c r="G486" s="26">
        <f t="shared" si="14"/>
        <v>1.0011433546673052</v>
      </c>
    </row>
    <row r="487" spans="1:7" x14ac:dyDescent="0.2">
      <c r="A487" s="29">
        <f>CSR_FactorReturns!A77</f>
        <v>45457</v>
      </c>
      <c r="B487" s="27">
        <f>CSR_FactorReturns!B77/$B$408</f>
        <v>-0.99768863839411848</v>
      </c>
      <c r="C487" s="27">
        <f>CSR_FactorReturns!C77/$C$408</f>
        <v>0.10862889649637204</v>
      </c>
      <c r="D487" s="27">
        <f>CSR_FactorReturns!D77/$D$408</f>
        <v>-0.40076058428342071</v>
      </c>
      <c r="E487" s="26">
        <f t="shared" si="12"/>
        <v>1.0000106930313772</v>
      </c>
      <c r="F487" s="26">
        <f t="shared" si="13"/>
        <v>4.4514358870682313</v>
      </c>
      <c r="G487" s="26">
        <f t="shared" si="14"/>
        <v>1.9893911992225266</v>
      </c>
    </row>
    <row r="488" spans="1:7" x14ac:dyDescent="0.2">
      <c r="A488" s="29">
        <f>CSR_FactorReturns!A78</f>
        <v>45464</v>
      </c>
      <c r="B488" s="27">
        <f>CSR_FactorReturns!B78/$B$408</f>
        <v>-3.9818501691861553E-2</v>
      </c>
      <c r="C488" s="27">
        <f>CSR_FactorReturns!C78/$C$408</f>
        <v>-1.1980753229171308</v>
      </c>
      <c r="D488" s="27">
        <f>CSR_FactorReturns!D78/$D$408</f>
        <v>-4.4363703554566924E-2</v>
      </c>
      <c r="E488" s="26">
        <f t="shared" si="12"/>
        <v>6.4484327292351349</v>
      </c>
      <c r="F488" s="26">
        <f t="shared" si="13"/>
        <v>1.0739517361745894</v>
      </c>
      <c r="G488" s="26">
        <f t="shared" si="14"/>
        <v>6.2326354009507634</v>
      </c>
    </row>
    <row r="489" spans="1:7" x14ac:dyDescent="0.2">
      <c r="A489" s="29">
        <f>CSR_FactorReturns!A79</f>
        <v>45471</v>
      </c>
      <c r="B489" s="27">
        <f>CSR_FactorReturns!B79/$B$408</f>
        <v>1.3139984886687406</v>
      </c>
      <c r="C489" s="27">
        <f>CSR_FactorReturns!C79/$C$408</f>
        <v>-0.66290460551310249</v>
      </c>
      <c r="D489" s="27">
        <f>CSR_FactorReturns!D79/$D$408</f>
        <v>-0.15563819052490838</v>
      </c>
      <c r="E489" s="26">
        <f t="shared" si="12"/>
        <v>1.1804424884522127</v>
      </c>
      <c r="F489" s="26">
        <f t="shared" si="13"/>
        <v>1.2616908804820133</v>
      </c>
      <c r="G489" s="26">
        <f t="shared" si="14"/>
        <v>3.744665760273806</v>
      </c>
    </row>
    <row r="490" spans="1:7" x14ac:dyDescent="0.2">
      <c r="A490" s="29">
        <f>CSR_FactorReturns!A80</f>
        <v>45478</v>
      </c>
      <c r="B490" s="27">
        <f>CSR_FactorReturns!B80/$B$408</f>
        <v>-7.6279188954668037E-2</v>
      </c>
      <c r="C490" s="27">
        <f>CSR_FactorReturns!C80/$C$408</f>
        <v>0.4562004206134227</v>
      </c>
      <c r="D490" s="27">
        <f>CSR_FactorReturns!D80/$D$408</f>
        <v>-1.1045966049113369</v>
      </c>
      <c r="E490" s="26">
        <f t="shared" si="12"/>
        <v>5.1525287762341136</v>
      </c>
      <c r="F490" s="26">
        <f t="shared" si="13"/>
        <v>1.7777649180454653</v>
      </c>
      <c r="G490" s="26">
        <f t="shared" si="14"/>
        <v>1.0211732498032795</v>
      </c>
    </row>
    <row r="491" spans="1:7" x14ac:dyDescent="0.2">
      <c r="A491" s="29">
        <f>CSR_FactorReturns!A81</f>
        <v>45485</v>
      </c>
      <c r="B491" s="27">
        <f>CSR_FactorReturns!B81/$B$408</f>
        <v>1.2917225456226222</v>
      </c>
      <c r="C491" s="27">
        <f>CSR_FactorReturns!C81/$C$408</f>
        <v>-0.17302089229245862</v>
      </c>
      <c r="D491" s="27">
        <f>CSR_FactorReturns!D81/$D$408</f>
        <v>-1.6507828002776943</v>
      </c>
      <c r="E491" s="26">
        <f t="shared" si="12"/>
        <v>1.1565938662124744</v>
      </c>
      <c r="F491" s="26">
        <f t="shared" si="13"/>
        <v>3.5386220833287472</v>
      </c>
      <c r="G491" s="26">
        <f t="shared" si="14"/>
        <v>1.7225846540535983</v>
      </c>
    </row>
    <row r="492" spans="1:7" x14ac:dyDescent="0.2">
      <c r="A492" s="29">
        <f>CSR_FactorReturns!A82</f>
        <v>45492</v>
      </c>
      <c r="B492" s="27">
        <f>CSR_FactorReturns!B82/$B$408</f>
        <v>-0.17409097550050229</v>
      </c>
      <c r="C492" s="27">
        <f>CSR_FactorReturns!C82/$C$408</f>
        <v>-1.6199494816610862</v>
      </c>
      <c r="D492" s="27">
        <f>CSR_FactorReturns!D82/$D$408</f>
        <v>1.0161687277426774</v>
      </c>
      <c r="E492" s="26">
        <f t="shared" si="12"/>
        <v>3.526662205152332</v>
      </c>
      <c r="F492" s="26">
        <f t="shared" si="13"/>
        <v>1.6594463939375552</v>
      </c>
      <c r="G492" s="26">
        <f t="shared" si="14"/>
        <v>1.0005200712802438</v>
      </c>
    </row>
    <row r="493" spans="1:7" x14ac:dyDescent="0.2">
      <c r="A493" s="29">
        <f>CSR_FactorReturns!A83</f>
        <v>45499</v>
      </c>
      <c r="B493" s="27">
        <f>CSR_FactorReturns!B83/$B$408</f>
        <v>1.2452474318040214</v>
      </c>
      <c r="C493" s="27">
        <f>CSR_FactorReturns!C83/$C$408</f>
        <v>0.20574401746209287</v>
      </c>
      <c r="D493" s="27">
        <f>CSR_FactorReturns!D83/$D$408</f>
        <v>1.467833275218015</v>
      </c>
      <c r="E493" s="26">
        <f t="shared" si="12"/>
        <v>1.1119726652640123</v>
      </c>
      <c r="F493" s="26">
        <f t="shared" si="13"/>
        <v>3.2045756338837288</v>
      </c>
      <c r="G493" s="26">
        <f t="shared" si="14"/>
        <v>1.3869598218318848</v>
      </c>
    </row>
    <row r="494" spans="1:7" x14ac:dyDescent="0.2">
      <c r="A494" s="29">
        <f>CSR_FactorReturns!A84</f>
        <v>45506</v>
      </c>
      <c r="B494" s="27">
        <f>CSR_FactorReturns!B84/$B$408</f>
        <v>0.91659020636654864</v>
      </c>
      <c r="C494" s="27">
        <f>CSR_FactorReturns!C84/$C$408</f>
        <v>0.25716800487948449</v>
      </c>
      <c r="D494" s="27">
        <f>CSR_FactorReturns!D84/$D$408</f>
        <v>-0.48294253734376746</v>
      </c>
      <c r="E494" s="26">
        <f t="shared" si="12"/>
        <v>1.0143271898171378</v>
      </c>
      <c r="F494" s="26">
        <f t="shared" si="13"/>
        <v>2.782186767096563</v>
      </c>
      <c r="G494" s="26">
        <f t="shared" si="14"/>
        <v>1.6889486997957381</v>
      </c>
    </row>
    <row r="495" spans="1:7" x14ac:dyDescent="0.2">
      <c r="A495" s="29">
        <f>CSR_FactorReturns!A85</f>
        <v>45513</v>
      </c>
      <c r="B495" s="27">
        <f>CSR_FactorReturns!B85/$B$408</f>
        <v>0.47180056362535494</v>
      </c>
      <c r="C495" s="27">
        <f>CSR_FactorReturns!C85/$C$408</f>
        <v>0.60186258076526034</v>
      </c>
      <c r="D495" s="27">
        <f>CSR_FactorReturns!D85/$D$408</f>
        <v>0.35964733009120919</v>
      </c>
      <c r="E495" s="26">
        <f t="shared" si="12"/>
        <v>1.7249936066003286</v>
      </c>
      <c r="F495" s="26">
        <f t="shared" si="13"/>
        <v>1.3776908278958075</v>
      </c>
      <c r="G495" s="26">
        <f t="shared" si="14"/>
        <v>2.1746089346958426</v>
      </c>
    </row>
    <row r="496" spans="1:7" x14ac:dyDescent="0.2">
      <c r="A496" s="29">
        <f>CSR_FactorReturns!A86</f>
        <v>45520</v>
      </c>
      <c r="B496" s="27">
        <f>CSR_FactorReturns!B86/$B$408</f>
        <v>-0.69544484831634878</v>
      </c>
      <c r="C496" s="27">
        <f>CSR_FactorReturns!C86/$C$408</f>
        <v>0.15977462351972904</v>
      </c>
      <c r="D496" s="27">
        <f>CSR_FactorReturns!D86/$D$408</f>
        <v>1.4623806909327304</v>
      </c>
      <c r="E496" s="26">
        <f t="shared" si="12"/>
        <v>1.2100506743588411</v>
      </c>
      <c r="F496" s="26">
        <f t="shared" si="13"/>
        <v>3.6935100498485305</v>
      </c>
      <c r="G496" s="26">
        <f t="shared" si="14"/>
        <v>1.3784258493194417</v>
      </c>
    </row>
    <row r="497" spans="1:7" x14ac:dyDescent="0.2">
      <c r="A497" s="29">
        <f>CSR_FactorReturns!A87</f>
        <v>45527</v>
      </c>
      <c r="B497" s="27">
        <f>CSR_FactorReturns!B87/$B$408</f>
        <v>-0.12499260296130339</v>
      </c>
      <c r="C497" s="27">
        <f>CSR_FactorReturns!C87/$C$408</f>
        <v>-0.92239916194733018</v>
      </c>
      <c r="D497" s="27">
        <f>CSR_FactorReturns!D87/$D$408</f>
        <v>0.57844254548709828</v>
      </c>
      <c r="E497" s="26">
        <f t="shared" si="12"/>
        <v>4.1746245902758332</v>
      </c>
      <c r="F497" s="26">
        <f t="shared" si="13"/>
        <v>1.0123746511298726</v>
      </c>
      <c r="G497" s="26">
        <f t="shared" si="14"/>
        <v>1.4294278857061014</v>
      </c>
    </row>
    <row r="498" spans="1:7" x14ac:dyDescent="0.2">
      <c r="A498" s="29">
        <f>CSR_FactorReturns!A88</f>
        <v>45534</v>
      </c>
      <c r="B498" s="27">
        <f>CSR_FactorReturns!B88/$B$408</f>
        <v>-0.78463544307950972</v>
      </c>
      <c r="C498" s="27">
        <f>CSR_FactorReturns!C88/$C$408</f>
        <v>0.6600021573419349</v>
      </c>
      <c r="D498" s="27">
        <f>CSR_FactorReturns!D88/$D$408</f>
        <v>-0.9184908980209785</v>
      </c>
      <c r="E498" s="26">
        <f t="shared" si="12"/>
        <v>1.1007249241143864</v>
      </c>
      <c r="F498" s="26">
        <f t="shared" si="13"/>
        <v>1.2666271982302215</v>
      </c>
      <c r="G498" s="26">
        <f t="shared" si="14"/>
        <v>1.0136720977243678</v>
      </c>
    </row>
    <row r="499" spans="1:7" x14ac:dyDescent="0.2">
      <c r="A499" s="29">
        <f>CSR_FactorReturns!A89</f>
        <v>45541</v>
      </c>
      <c r="B499" s="27">
        <f>CSR_FactorReturns!B89/$B$408</f>
        <v>0.98954673687249006</v>
      </c>
      <c r="C499" s="27">
        <f>CSR_FactorReturns!C89/$C$408</f>
        <v>1.6182239886276935</v>
      </c>
      <c r="D499" s="27">
        <f>CSR_FactorReturns!D89/$D$408</f>
        <v>0.94586091184504206</v>
      </c>
      <c r="E499" s="26">
        <f t="shared" si="12"/>
        <v>1.0002193089307565</v>
      </c>
      <c r="F499" s="26">
        <f t="shared" si="13"/>
        <v>1.6559903882741147</v>
      </c>
      <c r="G499" s="26">
        <f t="shared" si="14"/>
        <v>1.0059723613319944</v>
      </c>
    </row>
    <row r="500" spans="1:7" x14ac:dyDescent="0.2">
      <c r="A500" s="29">
        <f>CSR_FactorReturns!A90</f>
        <v>45548</v>
      </c>
      <c r="B500" s="27">
        <f>CSR_FactorReturns!B90/$B$408</f>
        <v>1.3357439717221113</v>
      </c>
      <c r="C500" s="27">
        <f>CSR_FactorReturns!C90/$C$408</f>
        <v>1.4236611056686077</v>
      </c>
      <c r="D500" s="27">
        <f>CSR_FactorReturns!D90/$D$408</f>
        <v>-0.24732163663773243</v>
      </c>
      <c r="E500" s="26">
        <f t="shared" si="12"/>
        <v>1.2052351203579452</v>
      </c>
      <c r="F500" s="26">
        <f t="shared" si="13"/>
        <v>1.320347349645616</v>
      </c>
      <c r="G500" s="26">
        <f t="shared" si="14"/>
        <v>2.8552992255956413</v>
      </c>
    </row>
    <row r="501" spans="1:7" x14ac:dyDescent="0.2">
      <c r="A501" s="29">
        <f>CSR_FactorReturns!A91</f>
        <v>45555</v>
      </c>
      <c r="B501" s="27">
        <f>CSR_FactorReturns!B91/$B$408</f>
        <v>0.31324065112963201</v>
      </c>
      <c r="C501" s="27">
        <f>CSR_FactorReturns!C91/$C$408</f>
        <v>-0.78761047008928919</v>
      </c>
      <c r="D501" s="27">
        <f>CSR_FactorReturns!D91/$D$408</f>
        <v>-0.83149183321264397</v>
      </c>
      <c r="E501" s="26">
        <f t="shared" si="12"/>
        <v>2.4196867663382795</v>
      </c>
      <c r="F501" s="26">
        <f t="shared" si="13"/>
        <v>1.097833529878536</v>
      </c>
      <c r="G501" s="26">
        <f t="shared" si="14"/>
        <v>1.0604462729994664</v>
      </c>
    </row>
    <row r="502" spans="1:7" x14ac:dyDescent="0.2">
      <c r="A502" s="29">
        <f>CSR_FactorReturns!A92</f>
        <v>45562</v>
      </c>
      <c r="B502" s="27">
        <f>CSR_FactorReturns!B92/$B$408</f>
        <v>0.74654632541750721</v>
      </c>
      <c r="C502" s="27">
        <f>CSR_FactorReturns!C92/$C$408</f>
        <v>0.44020067631908832</v>
      </c>
      <c r="D502" s="27">
        <f>CSR_FactorReturns!D92/$D$408</f>
        <v>-0.43687171121807006</v>
      </c>
      <c r="E502" s="26">
        <f t="shared" si="12"/>
        <v>1.1419266302073665</v>
      </c>
      <c r="F502" s="26">
        <f t="shared" si="13"/>
        <v>1.834825782432739</v>
      </c>
      <c r="G502" s="26">
        <f t="shared" si="14"/>
        <v>1.8470882800475659</v>
      </c>
    </row>
    <row r="503" spans="1:7" x14ac:dyDescent="0.2">
      <c r="A503" s="29">
        <f>CSR_FactorReturns!A93</f>
        <v>45569</v>
      </c>
      <c r="B503" s="27">
        <f>CSR_FactorReturns!B93/$B$408</f>
        <v>-0.45680450316908322</v>
      </c>
      <c r="C503" s="27">
        <f>CSR_FactorReturns!C93/$C$408</f>
        <v>-0.69727735048816664</v>
      </c>
      <c r="D503" s="27">
        <f>CSR_FactorReturns!D93/$D$408</f>
        <v>1.7142762331180912</v>
      </c>
      <c r="E503" s="26">
        <f t="shared" si="12"/>
        <v>1.7756698793415542</v>
      </c>
      <c r="F503" s="26">
        <f t="shared" si="13"/>
        <v>1.2073397575335423</v>
      </c>
      <c r="G503" s="26">
        <f t="shared" si="14"/>
        <v>1.8607610633609937</v>
      </c>
    </row>
    <row r="504" spans="1:7" x14ac:dyDescent="0.2">
      <c r="A504" s="29">
        <f>CSR_FactorReturns!A94</f>
        <v>45576</v>
      </c>
      <c r="B504" s="27">
        <f>CSR_FactorReturns!B94/$B$408</f>
        <v>0.88337958872115885</v>
      </c>
      <c r="C504" s="27">
        <f>CSR_FactorReturns!C94/$C$408</f>
        <v>1.2484979756803321</v>
      </c>
      <c r="D504" s="27">
        <f>CSR_FactorReturns!D94/$D$408</f>
        <v>-1.339851186757016</v>
      </c>
      <c r="E504" s="26">
        <f t="shared" si="12"/>
        <v>1.0283600686710936</v>
      </c>
      <c r="F504" s="26">
        <f t="shared" si="13"/>
        <v>1.1148647766079665</v>
      </c>
      <c r="G504" s="26">
        <f t="shared" si="14"/>
        <v>1.2100840963804811</v>
      </c>
    </row>
    <row r="505" spans="1:7" x14ac:dyDescent="0.2">
      <c r="A505" s="29">
        <f>CSR_FactorReturns!A95</f>
        <v>45583</v>
      </c>
      <c r="B505" s="27">
        <f>CSR_FactorReturns!B95/$B$408</f>
        <v>-1.1635117732405722</v>
      </c>
      <c r="C505" s="27">
        <f>CSR_FactorReturns!C95/$C$408</f>
        <v>-0.24508317423822057</v>
      </c>
      <c r="D505" s="27">
        <f>CSR_FactorReturns!D95/$D$408</f>
        <v>1.0492009150859474</v>
      </c>
      <c r="E505" s="26">
        <f t="shared" si="12"/>
        <v>1.050874001422561</v>
      </c>
      <c r="F505" s="26">
        <f t="shared" si="13"/>
        <v>2.8723810410214057</v>
      </c>
      <c r="G505" s="26">
        <f t="shared" si="14"/>
        <v>1.0047648778469063</v>
      </c>
    </row>
    <row r="506" spans="1:7" x14ac:dyDescent="0.2">
      <c r="A506" s="29">
        <f>CSR_FactorReturns!A96</f>
        <v>45590</v>
      </c>
      <c r="B506" s="27">
        <f>CSR_FactorReturns!B96/$B$408</f>
        <v>-0.8801130313881691</v>
      </c>
      <c r="C506" s="27">
        <f>CSR_FactorReturns!C96/$C$408</f>
        <v>-0.98961597632807952</v>
      </c>
      <c r="D506" s="27">
        <f>CSR_FactorReturns!D96/$D$408</f>
        <v>0.38687952243396412</v>
      </c>
      <c r="E506" s="26">
        <f t="shared" si="12"/>
        <v>1.0300088180171196</v>
      </c>
      <c r="F506" s="26">
        <f t="shared" si="13"/>
        <v>1.0002164082160268</v>
      </c>
      <c r="G506" s="26">
        <f t="shared" si="14"/>
        <v>2.0489596567987247</v>
      </c>
    </row>
    <row r="507" spans="1:7" x14ac:dyDescent="0.2">
      <c r="A507" s="29">
        <f>CSR_FactorReturns!A97</f>
        <v>45597</v>
      </c>
      <c r="B507" s="27">
        <f>CSR_FactorReturns!B97/$B$408</f>
        <v>0.60979538343459427</v>
      </c>
      <c r="C507" s="27">
        <f>CSR_FactorReturns!C97/$C$408</f>
        <v>-3.5795419401214086</v>
      </c>
      <c r="D507" s="27">
        <f>CSR_FactorReturns!D97/$D$408</f>
        <v>-0.57549750072872397</v>
      </c>
      <c r="E507" s="26">
        <f t="shared" si="12"/>
        <v>1.361114039815785</v>
      </c>
      <c r="F507" s="26">
        <f t="shared" si="13"/>
        <v>10.262650816008954</v>
      </c>
      <c r="G507" s="26">
        <f t="shared" si="14"/>
        <v>1.4362381605690837</v>
      </c>
    </row>
    <row r="508" spans="1:7" x14ac:dyDescent="0.2">
      <c r="A508" s="29">
        <f>CSR_FactorReturns!A98</f>
        <v>45604</v>
      </c>
      <c r="B508" s="27">
        <f>CSR_FactorReturns!B98/$B$408</f>
        <v>-0.73875419466023518</v>
      </c>
      <c r="C508" s="27">
        <f>CSR_FactorReturns!C98/$C$408</f>
        <v>0.86801922146196664</v>
      </c>
      <c r="D508" s="27">
        <f>CSR_FactorReturns!D98/$D$408</f>
        <v>-1.6297156412242282</v>
      </c>
      <c r="E508" s="26">
        <f t="shared" ref="E508:E539" si="15">B508^2-LN(B508^2)</f>
        <v>1.1513378245818315</v>
      </c>
      <c r="F508" s="26">
        <f t="shared" ref="F508:F539" si="16">C508^2-LN(C508^2)</f>
        <v>1.0365402088785136</v>
      </c>
      <c r="G508" s="26">
        <f t="shared" ref="G508:G539" si="17">D508^2-LN(D508^2)</f>
        <v>1.6791619785243665</v>
      </c>
    </row>
    <row r="509" spans="1:7" x14ac:dyDescent="0.2">
      <c r="A509" s="29">
        <f>CSR_FactorReturns!A99</f>
        <v>45611</v>
      </c>
      <c r="B509" s="27">
        <f>CSR_FactorReturns!B99/$B$408</f>
        <v>0.51874654111260166</v>
      </c>
      <c r="C509" s="27">
        <f>CSR_FactorReturns!C99/$C$408</f>
        <v>1.2363433165779028</v>
      </c>
      <c r="D509" s="27">
        <f>CSR_FactorReturns!D99/$D$408</f>
        <v>1.0316010649340561</v>
      </c>
      <c r="E509" s="26">
        <f t="shared" si="15"/>
        <v>1.5817777243046927</v>
      </c>
      <c r="F509" s="26">
        <f t="shared" si="16"/>
        <v>1.1042286270713206</v>
      </c>
      <c r="G509" s="26">
        <f t="shared" si="17"/>
        <v>1.0019767024981063</v>
      </c>
    </row>
    <row r="510" spans="1:7" x14ac:dyDescent="0.2">
      <c r="A510" s="29">
        <f>CSR_FactorReturns!A100</f>
        <v>45618</v>
      </c>
      <c r="B510" s="27">
        <f>CSR_FactorReturns!B100/$B$408</f>
        <v>-0.52934723021507357</v>
      </c>
      <c r="C510" s="27">
        <f>CSR_FactorReturns!C100/$C$408</f>
        <v>7.8307620440799877E-2</v>
      </c>
      <c r="D510" s="27">
        <f>CSR_FactorReturns!D100/$D$408</f>
        <v>-0.3286828355780263</v>
      </c>
      <c r="E510" s="26">
        <f t="shared" si="15"/>
        <v>1.5524298354020889</v>
      </c>
      <c r="F510" s="26">
        <f t="shared" si="16"/>
        <v>5.1003527975865532</v>
      </c>
      <c r="G510" s="26">
        <f t="shared" si="17"/>
        <v>2.3333564439776127</v>
      </c>
    </row>
    <row r="511" spans="1:7" x14ac:dyDescent="0.2">
      <c r="A511" s="29">
        <f>CSR_FactorReturns!A101</f>
        <v>45625</v>
      </c>
      <c r="B511" s="27">
        <f>CSR_FactorReturns!B101/$B$408</f>
        <v>-0.83723512041743331</v>
      </c>
      <c r="C511" s="27">
        <f>CSR_FactorReturns!C101/$C$408</f>
        <v>0.3836743279998806</v>
      </c>
      <c r="D511" s="27">
        <f>CSR_FactorReturns!D101/$D$408</f>
        <v>2.0196819351364215</v>
      </c>
      <c r="E511" s="26">
        <f t="shared" si="15"/>
        <v>1.0562633257335214</v>
      </c>
      <c r="F511" s="26">
        <f t="shared" si="16"/>
        <v>2.063128370776556</v>
      </c>
      <c r="G511" s="26">
        <f t="shared" si="17"/>
        <v>2.6732350367922653</v>
      </c>
    </row>
    <row r="512" spans="1:7" x14ac:dyDescent="0.2">
      <c r="A512" s="29">
        <f>CSR_FactorReturns!A102</f>
        <v>45632</v>
      </c>
      <c r="B512" s="27">
        <f>CSR_FactorReturns!B102/$B$408</f>
        <v>0.46557746260100713</v>
      </c>
      <c r="C512" s="27">
        <f>CSR_FactorReturns!C102/$C$408</f>
        <v>0.16733051811627064</v>
      </c>
      <c r="D512" s="27">
        <f>CSR_FactorReturns!D102/$D$408</f>
        <v>-0.84959832954998549</v>
      </c>
      <c r="E512" s="26">
        <f t="shared" si="15"/>
        <v>1.7457159512880671</v>
      </c>
      <c r="F512" s="26">
        <f t="shared" si="16"/>
        <v>3.6035680465058464</v>
      </c>
      <c r="G512" s="26">
        <f t="shared" si="17"/>
        <v>1.0478005108880433</v>
      </c>
    </row>
    <row r="513" spans="1:7" x14ac:dyDescent="0.2">
      <c r="A513" s="29">
        <f>CSR_FactorReturns!A103</f>
        <v>45639</v>
      </c>
      <c r="B513" s="27">
        <f>CSR_FactorReturns!B103/$B$408</f>
        <v>0.96856084711613455</v>
      </c>
      <c r="C513" s="27">
        <f>CSR_FactorReturns!C103/$C$408</f>
        <v>-1.4673269297893961</v>
      </c>
      <c r="D513" s="27">
        <f>CSR_FactorReturns!D103/$D$408</f>
        <v>-0.37968895694101507</v>
      </c>
      <c r="E513" s="26">
        <f t="shared" si="15"/>
        <v>1.0019980585043962</v>
      </c>
      <c r="F513" s="26">
        <f t="shared" si="16"/>
        <v>1.3861636581699335</v>
      </c>
      <c r="G513" s="26">
        <f t="shared" si="17"/>
        <v>2.0809694956422105</v>
      </c>
    </row>
    <row r="514" spans="1:7" x14ac:dyDescent="0.2">
      <c r="A514" s="29">
        <f>CSR_FactorReturns!A104</f>
        <v>45646</v>
      </c>
      <c r="B514" s="27">
        <f>CSR_FactorReturns!B104/$B$408</f>
        <v>1.4412584458586526</v>
      </c>
      <c r="C514" s="27">
        <f>CSR_FactorReturns!C104/$C$408</f>
        <v>0.7970520137919701</v>
      </c>
      <c r="D514" s="27">
        <f>CSR_FactorReturns!D104/$D$408</f>
        <v>-0.56925113611074318</v>
      </c>
      <c r="E514" s="26">
        <f t="shared" si="15"/>
        <v>1.346192602405508</v>
      </c>
      <c r="F514" s="26">
        <f t="shared" si="16"/>
        <v>1.0889625933879008</v>
      </c>
      <c r="G514" s="26">
        <f t="shared" si="17"/>
        <v>1.4509140124383337</v>
      </c>
    </row>
    <row r="515" spans="1:7" x14ac:dyDescent="0.2">
      <c r="A515" s="29">
        <f>CSR_FactorReturns!A105</f>
        <v>45653</v>
      </c>
      <c r="B515" s="27">
        <f>CSR_FactorReturns!B105/$B$408</f>
        <v>1.8315518276844711</v>
      </c>
      <c r="C515" s="27">
        <f>CSR_FactorReturns!C105/$C$408</f>
        <v>4.0580643896086677E-2</v>
      </c>
      <c r="D515" s="27">
        <f>CSR_FactorReturns!D105/$D$408</f>
        <v>1.8774836840777063</v>
      </c>
      <c r="E515" s="26">
        <f t="shared" si="15"/>
        <v>2.1442548959335825</v>
      </c>
      <c r="F515" s="26">
        <f t="shared" si="16"/>
        <v>6.4105749434278456</v>
      </c>
      <c r="G515" s="26">
        <f t="shared" si="17"/>
        <v>2.2650801552176896</v>
      </c>
    </row>
    <row r="516" spans="1:7" x14ac:dyDescent="0.2">
      <c r="A516" s="29">
        <f>CSR_FactorReturns!A106</f>
        <v>45660</v>
      </c>
      <c r="B516" s="27">
        <f>CSR_FactorReturns!B106/$B$408</f>
        <v>1.9520538108725669</v>
      </c>
      <c r="C516" s="27">
        <f>CSR_FactorReturns!C106/$C$408</f>
        <v>-0.5479791278007432</v>
      </c>
      <c r="D516" s="27">
        <f>CSR_FactorReturns!D106/$D$408</f>
        <v>-0.96871431181740963</v>
      </c>
      <c r="E516" s="26">
        <f t="shared" si="15"/>
        <v>2.4727499712294927</v>
      </c>
      <c r="F516" s="26">
        <f t="shared" si="16"/>
        <v>1.5033172859339319</v>
      </c>
      <c r="G516" s="26">
        <f t="shared" si="17"/>
        <v>1.0019784947347876</v>
      </c>
    </row>
    <row r="517" spans="1:7" x14ac:dyDescent="0.2">
      <c r="A517" s="29">
        <f>CSR_FactorReturns!A107</f>
        <v>45667</v>
      </c>
      <c r="B517" s="27">
        <f>CSR_FactorReturns!B107/$B$408</f>
        <v>-1.4588127142190794</v>
      </c>
      <c r="C517" s="27">
        <f>CSR_FactorReturns!C107/$C$408</f>
        <v>-0.31134848134406151</v>
      </c>
      <c r="D517" s="27">
        <f>CSR_FactorReturns!D107/$D$408</f>
        <v>0.91155903665968241</v>
      </c>
      <c r="E517" s="26">
        <f t="shared" si="15"/>
        <v>1.3728887442730533</v>
      </c>
      <c r="F517" s="26">
        <f t="shared" si="16"/>
        <v>2.4306228274838984</v>
      </c>
      <c r="G517" s="26">
        <f t="shared" si="17"/>
        <v>1.0161377138603171</v>
      </c>
    </row>
    <row r="518" spans="1:7" x14ac:dyDescent="0.2">
      <c r="A518" s="29">
        <f>CSR_FactorReturns!A108</f>
        <v>45674</v>
      </c>
      <c r="B518" s="27">
        <f>CSR_FactorReturns!B108/$B$408</f>
        <v>1.3760064665214025</v>
      </c>
      <c r="C518" s="27">
        <f>CSR_FactorReturns!C108/$C$408</f>
        <v>0.4138290248182388</v>
      </c>
      <c r="D518" s="27">
        <f>CSR_FactorReturns!D108/$D$408</f>
        <v>-1.3576275621195697</v>
      </c>
      <c r="E518" s="26">
        <f t="shared" si="15"/>
        <v>1.2550229178948307</v>
      </c>
      <c r="F518" s="26">
        <f t="shared" si="16"/>
        <v>1.935859209759677</v>
      </c>
      <c r="G518" s="26">
        <f t="shared" si="17"/>
        <v>1.2316751237799164</v>
      </c>
    </row>
    <row r="519" spans="1:7" x14ac:dyDescent="0.2">
      <c r="A519" s="29">
        <f>CSR_FactorReturns!A109</f>
        <v>45681</v>
      </c>
      <c r="B519" s="27">
        <f>CSR_FactorReturns!B109/$B$408</f>
        <v>-0.31363446373084491</v>
      </c>
      <c r="C519" s="27">
        <f>CSR_FactorReturns!C109/$C$408</f>
        <v>0.67504799069225097</v>
      </c>
      <c r="D519" s="27">
        <f>CSR_FactorReturns!D109/$D$408</f>
        <v>-0.85576982052497663</v>
      </c>
      <c r="E519" s="26">
        <f t="shared" si="15"/>
        <v>2.4174207757261743</v>
      </c>
      <c r="F519" s="26">
        <f t="shared" si="16"/>
        <v>1.2416327763677428</v>
      </c>
      <c r="G519" s="26">
        <f t="shared" si="17"/>
        <v>1.0438496662347281</v>
      </c>
    </row>
    <row r="520" spans="1:7" x14ac:dyDescent="0.2">
      <c r="A520" s="29">
        <f>CSR_FactorReturns!A110</f>
        <v>45688</v>
      </c>
      <c r="B520" s="27">
        <f>CSR_FactorReturns!B110/$B$408</f>
        <v>0.19659092406409856</v>
      </c>
      <c r="C520" s="27">
        <f>CSR_FactorReturns!C110/$C$408</f>
        <v>1.3475682005108673</v>
      </c>
      <c r="D520" s="27">
        <f>CSR_FactorReturns!D110/$D$408</f>
        <v>-0.97663256379850916</v>
      </c>
      <c r="E520" s="26">
        <f t="shared" si="15"/>
        <v>3.2919084650449268</v>
      </c>
      <c r="F520" s="26">
        <f t="shared" si="16"/>
        <v>1.2193367847395775</v>
      </c>
      <c r="G520" s="26">
        <f t="shared" si="17"/>
        <v>1.0011007323940806</v>
      </c>
    </row>
    <row r="521" spans="1:7" x14ac:dyDescent="0.2">
      <c r="A521" s="29">
        <f>CSR_FactorReturns!A111</f>
        <v>45695</v>
      </c>
      <c r="B521" s="27">
        <f>CSR_FactorReturns!B111/$B$408</f>
        <v>-9.0847446997408335E-2</v>
      </c>
      <c r="C521" s="27">
        <f>CSR_FactorReturns!C111/$C$408</f>
        <v>0.50434675047223754</v>
      </c>
      <c r="D521" s="27">
        <f>CSR_FactorReturns!D111/$D$408</f>
        <v>0.9323170876360648</v>
      </c>
      <c r="E521" s="26">
        <f t="shared" si="15"/>
        <v>4.8054004302842577</v>
      </c>
      <c r="F521" s="26">
        <f t="shared" si="16"/>
        <v>1.6233481457188284</v>
      </c>
      <c r="G521" s="26">
        <f t="shared" si="17"/>
        <v>1.0093797506456272</v>
      </c>
    </row>
    <row r="522" spans="1:7" x14ac:dyDescent="0.2">
      <c r="A522" s="29">
        <f>CSR_FactorReturns!A112</f>
        <v>45702</v>
      </c>
      <c r="B522" s="27">
        <f>CSR_FactorReturns!B112/$B$408</f>
        <v>-9.1147341750857383E-2</v>
      </c>
      <c r="C522" s="27">
        <f>CSR_FactorReturns!C112/$C$408</f>
        <v>1.5330564596449117</v>
      </c>
      <c r="D522" s="27">
        <f>CSR_FactorReturns!D112/$D$408</f>
        <v>0.9303640512282042</v>
      </c>
      <c r="E522" s="26">
        <f t="shared" si="15"/>
        <v>4.798863721388515</v>
      </c>
      <c r="F522" s="26">
        <f t="shared" si="16"/>
        <v>1.4957352510080819</v>
      </c>
      <c r="G522" s="26">
        <f t="shared" si="17"/>
        <v>1.0099359008157429</v>
      </c>
    </row>
    <row r="523" spans="1:7" x14ac:dyDescent="0.2">
      <c r="A523" s="29">
        <f>CSR_FactorReturns!A113</f>
        <v>45709</v>
      </c>
      <c r="B523" s="27">
        <f>CSR_FactorReturns!B113/$B$408</f>
        <v>-0.10353613376128662</v>
      </c>
      <c r="C523" s="27">
        <f>CSR_FactorReturns!C113/$C$408</f>
        <v>6.7218650326181809E-2</v>
      </c>
      <c r="D523" s="27">
        <f>CSR_FactorReturns!D113/$D$408</f>
        <v>1.1376681958833219</v>
      </c>
      <c r="E523" s="26">
        <f t="shared" si="15"/>
        <v>4.5463889484699296</v>
      </c>
      <c r="F523" s="26">
        <f t="shared" si="16"/>
        <v>5.404127417637353</v>
      </c>
      <c r="G523" s="26">
        <f t="shared" si="17"/>
        <v>1.0363274730746137</v>
      </c>
    </row>
    <row r="524" spans="1:7" x14ac:dyDescent="0.2">
      <c r="A524" s="29">
        <f>CSR_FactorReturns!A114</f>
        <v>45716</v>
      </c>
      <c r="B524" s="27">
        <f>CSR_FactorReturns!B114/$B$408</f>
        <v>-2.1944364702584145</v>
      </c>
      <c r="C524" s="27">
        <f>CSR_FactorReturns!C114/$C$408</f>
        <v>-0.19310800727454366</v>
      </c>
      <c r="D524" s="27">
        <f>CSR_FactorReturns!D114/$D$408</f>
        <v>0.21926389059981263</v>
      </c>
      <c r="E524" s="26">
        <f t="shared" si="15"/>
        <v>3.2437008616041751</v>
      </c>
      <c r="F524" s="26">
        <f t="shared" si="16"/>
        <v>3.326301949321036</v>
      </c>
      <c r="G524" s="26">
        <f t="shared" si="17"/>
        <v>3.0830352430478283</v>
      </c>
    </row>
    <row r="525" spans="1:7" x14ac:dyDescent="0.2">
      <c r="A525" s="29">
        <f>CSR_FactorReturns!A115</f>
        <v>45723</v>
      </c>
      <c r="B525" s="27">
        <f>CSR_FactorReturns!B115/$B$408</f>
        <v>0.8502460586825219</v>
      </c>
      <c r="C525" s="27">
        <f>CSR_FactorReturns!C115/$C$408</f>
        <v>-0.54972022997220327</v>
      </c>
      <c r="D525" s="27">
        <f>CSR_FactorReturns!D115/$D$408</f>
        <v>-1.2360270890610154</v>
      </c>
      <c r="E525" s="26">
        <f t="shared" si="15"/>
        <v>1.0473773414777452</v>
      </c>
      <c r="F525" s="26">
        <f t="shared" si="16"/>
        <v>1.4988839371433311</v>
      </c>
      <c r="G525" s="26">
        <f t="shared" si="17"/>
        <v>1.103958413869921</v>
      </c>
    </row>
    <row r="526" spans="1:7" x14ac:dyDescent="0.2">
      <c r="A526" s="29">
        <f>CSR_FactorReturns!A116</f>
        <v>45730</v>
      </c>
      <c r="B526" s="27">
        <f>CSR_FactorReturns!B116/$B$408</f>
        <v>-0.52925263348629015</v>
      </c>
      <c r="C526" s="27">
        <f>CSR_FactorReturns!C116/$C$408</f>
        <v>-1.1237063813537111</v>
      </c>
      <c r="D526" s="27">
        <f>CSR_FactorReturns!D116/$D$408</f>
        <v>1.3454091325969495</v>
      </c>
      <c r="E526" s="26">
        <f t="shared" si="15"/>
        <v>1.552687136244455</v>
      </c>
      <c r="F526" s="26">
        <f t="shared" si="16"/>
        <v>1.0294510499105276</v>
      </c>
      <c r="G526" s="26">
        <f t="shared" si="17"/>
        <v>1.2167294248702847</v>
      </c>
    </row>
    <row r="527" spans="1:7" x14ac:dyDescent="0.2">
      <c r="A527" s="29">
        <f>CSR_FactorReturns!A117</f>
        <v>45737</v>
      </c>
      <c r="B527" s="27">
        <f>CSR_FactorReturns!B117/$B$408</f>
        <v>2.4405252250416969</v>
      </c>
      <c r="C527" s="27">
        <f>CSR_FactorReturns!C117/$C$408</f>
        <v>-0.97451028009770246</v>
      </c>
      <c r="D527" s="27">
        <f>CSR_FactorReturns!D117/$D$408</f>
        <v>8.7637747735762273E-2</v>
      </c>
      <c r="E527" s="26">
        <f t="shared" si="15"/>
        <v>4.1717368294539128</v>
      </c>
      <c r="F527" s="26">
        <f t="shared" si="16"/>
        <v>1.0013107079969363</v>
      </c>
      <c r="G527" s="26">
        <f t="shared" si="17"/>
        <v>4.8767673020868845</v>
      </c>
    </row>
    <row r="528" spans="1:7" x14ac:dyDescent="0.2">
      <c r="A528" s="29">
        <f>CSR_FactorReturns!A118</f>
        <v>45744</v>
      </c>
      <c r="B528" s="27">
        <f>CSR_FactorReturns!B118/$B$408</f>
        <v>-1.4691957889356473</v>
      </c>
      <c r="C528" s="27">
        <f>CSR_FactorReturns!C118/$C$408</f>
        <v>0.32992602824322559</v>
      </c>
      <c r="D528" s="27">
        <f>CSR_FactorReturns!D118/$D$408</f>
        <v>0.34521672039751883</v>
      </c>
      <c r="E528" s="26">
        <f t="shared" si="15"/>
        <v>1.3891059287666649</v>
      </c>
      <c r="F528" s="26">
        <f t="shared" si="16"/>
        <v>2.326624797086791</v>
      </c>
      <c r="G528" s="26">
        <f t="shared" si="17"/>
        <v>2.2463403522517664</v>
      </c>
    </row>
    <row r="529" spans="1:7" x14ac:dyDescent="0.2">
      <c r="A529" s="29">
        <f>CSR_FactorReturns!A119</f>
        <v>45751</v>
      </c>
      <c r="B529" s="27">
        <f>CSR_FactorReturns!B119/$B$408</f>
        <v>-0.78821068302700681</v>
      </c>
      <c r="C529" s="27">
        <f>CSR_FactorReturns!C119/$C$408</f>
        <v>-0.53833492093712698</v>
      </c>
      <c r="D529" s="27">
        <f>CSR_FactorReturns!D119/$D$408</f>
        <v>-1.7949443963233518</v>
      </c>
      <c r="E529" s="26">
        <f t="shared" si="15"/>
        <v>1.0972558020623773</v>
      </c>
      <c r="F529" s="26">
        <f t="shared" si="16"/>
        <v>1.5283532528776314</v>
      </c>
      <c r="G529" s="26">
        <f t="shared" si="17"/>
        <v>2.0518772969289785</v>
      </c>
    </row>
    <row r="530" spans="1:7" x14ac:dyDescent="0.2">
      <c r="A530" s="29">
        <f>CSR_FactorReturns!A120</f>
        <v>45758</v>
      </c>
      <c r="B530" s="27">
        <f>CSR_FactorReturns!B120/$B$408</f>
        <v>0.1310097065079936</v>
      </c>
      <c r="C530" s="27">
        <f>CSR_FactorReturns!C120/$C$408</f>
        <v>1.0512586825013401</v>
      </c>
      <c r="D530" s="27">
        <f>CSR_FactorReturns!D120/$D$408</f>
        <v>1.0487064232094943</v>
      </c>
      <c r="E530" s="26">
        <f t="shared" si="15"/>
        <v>4.0821312692894161</v>
      </c>
      <c r="F530" s="26">
        <f t="shared" si="16"/>
        <v>1.0051684345596366</v>
      </c>
      <c r="G530" s="26">
        <f t="shared" si="17"/>
        <v>1.0046703085506872</v>
      </c>
    </row>
    <row r="531" spans="1:7" x14ac:dyDescent="0.2">
      <c r="A531" s="29">
        <f>CSR_FactorReturns!A121</f>
        <v>45765</v>
      </c>
      <c r="B531" s="27">
        <f>CSR_FactorReturns!B121/$B$408</f>
        <v>-0.83837568662371487</v>
      </c>
      <c r="C531" s="27">
        <f>CSR_FactorReturns!C121/$C$408</f>
        <v>0.4893294404997085</v>
      </c>
      <c r="D531" s="27">
        <f>CSR_FactorReturns!D121/$D$408</f>
        <v>-0.84045756242482128</v>
      </c>
      <c r="E531" s="26">
        <f t="shared" si="15"/>
        <v>1.0554517230598339</v>
      </c>
      <c r="F531" s="26">
        <f t="shared" si="16"/>
        <v>1.668881929118752</v>
      </c>
      <c r="G531" s="26">
        <f t="shared" si="17"/>
        <v>1.0539865507909061</v>
      </c>
    </row>
    <row r="532" spans="1:7" x14ac:dyDescent="0.2">
      <c r="A532" s="29">
        <f>CSR_FactorReturns!A122</f>
        <v>45772</v>
      </c>
      <c r="B532" s="27">
        <f>CSR_FactorReturns!B122/$B$408</f>
        <v>-0.57880203342794589</v>
      </c>
      <c r="C532" s="27">
        <f>CSR_FactorReturns!C122/$C$408</f>
        <v>-1.2906392211688158</v>
      </c>
      <c r="D532" s="27">
        <f>CSR_FactorReturns!D122/$D$408</f>
        <v>-1.3003805825820367</v>
      </c>
      <c r="E532" s="26">
        <f t="shared" si="15"/>
        <v>1.4286013360044889</v>
      </c>
      <c r="F532" s="26">
        <f t="shared" si="16"/>
        <v>1.1554743673595489</v>
      </c>
      <c r="G532" s="26">
        <f t="shared" si="17"/>
        <v>1.1656757046459969</v>
      </c>
    </row>
    <row r="533" spans="1:7" x14ac:dyDescent="0.2">
      <c r="A533" s="29">
        <f>CSR_FactorReturns!A123</f>
        <v>45779</v>
      </c>
      <c r="B533" s="27">
        <f>CSR_FactorReturns!B123/$B$408</f>
        <v>-0.7479661565406448</v>
      </c>
      <c r="C533" s="27">
        <f>CSR_FactorReturns!C123/$C$408</f>
        <v>0.74203425168814918</v>
      </c>
      <c r="D533" s="27">
        <f>CSR_FactorReturns!D123/$D$408</f>
        <v>-9.4602188696091813E-2</v>
      </c>
      <c r="E533" s="26">
        <f t="shared" si="15"/>
        <v>1.140248465925735</v>
      </c>
      <c r="F533" s="26">
        <f t="shared" si="16"/>
        <v>1.1473345818291385</v>
      </c>
      <c r="G533" s="26">
        <f t="shared" si="17"/>
        <v>4.725098907845334</v>
      </c>
    </row>
    <row r="534" spans="1:7" x14ac:dyDescent="0.2">
      <c r="A534" s="29">
        <f>CSR_FactorReturns!A124</f>
        <v>45786</v>
      </c>
      <c r="B534" s="27">
        <f>CSR_FactorReturns!B124/$B$408</f>
        <v>-8.3171080134086806E-2</v>
      </c>
      <c r="C534" s="27">
        <f>CSR_FactorReturns!C124/$C$408</f>
        <v>0.2649805060709271</v>
      </c>
      <c r="D534" s="27">
        <f>CSR_FactorReturns!D124/$D$408</f>
        <v>-0.88756476380272231</v>
      </c>
      <c r="E534" s="26">
        <f t="shared" si="15"/>
        <v>4.9806286008150424</v>
      </c>
      <c r="F534" s="26">
        <f t="shared" si="16"/>
        <v>2.72641270399407</v>
      </c>
      <c r="G534" s="26">
        <f t="shared" si="17"/>
        <v>1.0263187839364738</v>
      </c>
    </row>
    <row r="535" spans="1:7" x14ac:dyDescent="0.2">
      <c r="A535" s="29">
        <f>CSR_FactorReturns!A125</f>
        <v>45793</v>
      </c>
      <c r="B535" s="27">
        <f>CSR_FactorReturns!B125/$B$408</f>
        <v>-0.95563009825604583</v>
      </c>
      <c r="C535" s="27">
        <f>CSR_FactorReturns!C125/$C$408</f>
        <v>0.37213218975778517</v>
      </c>
      <c r="D535" s="27">
        <f>CSR_FactorReturns!D125/$D$408</f>
        <v>-0.6095318801664199</v>
      </c>
      <c r="E535" s="26">
        <f t="shared" si="15"/>
        <v>1.0039976193259101</v>
      </c>
      <c r="F535" s="26">
        <f t="shared" si="16"/>
        <v>2.115494644692276</v>
      </c>
      <c r="G535" s="26">
        <f t="shared" si="17"/>
        <v>1.3616571649141684</v>
      </c>
    </row>
    <row r="536" spans="1:7" x14ac:dyDescent="0.2">
      <c r="A536" s="29">
        <f>CSR_FactorReturns!A126</f>
        <v>45800</v>
      </c>
      <c r="B536" s="27">
        <f>CSR_FactorReturns!B126/$B$408</f>
        <v>-0.33605152216050871</v>
      </c>
      <c r="C536" s="27">
        <f>CSR_FactorReturns!C126/$C$408</f>
        <v>2.8199292619312146</v>
      </c>
      <c r="D536" s="27">
        <f>CSR_FactorReturns!D126/$D$408</f>
        <v>0.24296120676099225</v>
      </c>
      <c r="E536" s="26">
        <f t="shared" si="15"/>
        <v>2.2939122075681029</v>
      </c>
      <c r="F536" s="26">
        <f t="shared" si="16"/>
        <v>5.8785774418682291</v>
      </c>
      <c r="G536" s="26">
        <f t="shared" si="17"/>
        <v>2.8887371306802812</v>
      </c>
    </row>
    <row r="537" spans="1:7" x14ac:dyDescent="0.2">
      <c r="A537" s="29">
        <f>CSR_FactorReturns!A127</f>
        <v>45807</v>
      </c>
      <c r="B537" s="27">
        <f>CSR_FactorReturns!B127/$B$408</f>
        <v>-1.0380373953804838</v>
      </c>
      <c r="C537" s="27">
        <f>CSR_FactorReturns!C127/$C$408</f>
        <v>-1.5094978671275385</v>
      </c>
      <c r="D537" s="27">
        <f>CSR_FactorReturns!D127/$D$408</f>
        <v>1.0551557135599785</v>
      </c>
      <c r="E537" s="26">
        <f t="shared" si="15"/>
        <v>1.0028580132625429</v>
      </c>
      <c r="F537" s="26">
        <f t="shared" si="16"/>
        <v>1.4550296964674485</v>
      </c>
      <c r="G537" s="26">
        <f t="shared" si="17"/>
        <v>1.0059768762016845</v>
      </c>
    </row>
    <row r="538" spans="1:7" x14ac:dyDescent="0.2">
      <c r="A538" s="29">
        <f>CSR_FactorReturns!A128</f>
        <v>45814</v>
      </c>
      <c r="B538" s="27">
        <f>CSR_FactorReturns!B128/$B$408</f>
        <v>0.9693286864268964</v>
      </c>
      <c r="C538" s="27">
        <f>CSR_FactorReturns!C128/$C$408</f>
        <v>-1.1779484283685082</v>
      </c>
      <c r="D538" s="27">
        <f>CSR_FactorReturns!D128/$D$408</f>
        <v>1.3555715396953245</v>
      </c>
      <c r="E538" s="26">
        <f t="shared" si="15"/>
        <v>1.0019011481867139</v>
      </c>
      <c r="F538" s="26">
        <f t="shared" si="16"/>
        <v>1.0600138893019064</v>
      </c>
      <c r="G538" s="26">
        <f t="shared" si="17"/>
        <v>1.229127867407974</v>
      </c>
    </row>
    <row r="539" spans="1:7" x14ac:dyDescent="0.2">
      <c r="A539" s="29">
        <f>CSR_FactorReturns!A129</f>
        <v>45821</v>
      </c>
      <c r="B539" s="27">
        <f>CSR_FactorReturns!B129/$B$408</f>
        <v>0.73347597565980871</v>
      </c>
      <c r="C539" s="27">
        <f>CSR_FactorReturns!C129/$C$408</f>
        <v>1.172779759546704</v>
      </c>
      <c r="D539" s="27">
        <f>CSR_FactorReturns!D129/$D$408</f>
        <v>-1.0683400937434686</v>
      </c>
      <c r="E539" s="26">
        <f t="shared" si="15"/>
        <v>1.1579078767811515</v>
      </c>
      <c r="F539" s="26">
        <f t="shared" si="16"/>
        <v>1.0566587768617393</v>
      </c>
      <c r="G539" s="26">
        <f t="shared" si="17"/>
        <v>1.0091382965367863</v>
      </c>
    </row>
    <row r="540" spans="1:7" x14ac:dyDescent="0.2">
      <c r="A540" s="29">
        <f>CSR_FactorReturns!A130</f>
        <v>45828</v>
      </c>
      <c r="B540" s="27">
        <f>CSR_FactorReturns!B130/$B$408</f>
        <v>-0.5528489873796647</v>
      </c>
      <c r="C540" s="27">
        <f>CSR_FactorReturns!C130/$C$408</f>
        <v>0.26641637060843326</v>
      </c>
      <c r="D540" s="27">
        <f>CSR_FactorReturns!D130/$D$408</f>
        <v>2.6862670518558032</v>
      </c>
      <c r="E540" s="26">
        <f t="shared" ref="E540:E567" si="18">B540^2-LN(B540^2)</f>
        <v>1.4909827901108763</v>
      </c>
      <c r="F540" s="26">
        <f t="shared" ref="F540:F567" si="19">C540^2-LN(C540^2)</f>
        <v>2.7163674644703599</v>
      </c>
      <c r="G540" s="26">
        <f t="shared" ref="G540:G567" si="20">D540^2-LN(D540^2)</f>
        <v>5.2397256403190839</v>
      </c>
    </row>
    <row r="541" spans="1:7" x14ac:dyDescent="0.2">
      <c r="A541" s="29">
        <f>CSR_FactorReturns!A131</f>
        <v>45835</v>
      </c>
      <c r="B541" s="27">
        <f>CSR_FactorReturns!B131/$B$408</f>
        <v>-0.7187160082888191</v>
      </c>
      <c r="C541" s="27">
        <f>CSR_FactorReturns!C131/$C$408</f>
        <v>1.7762560499950473</v>
      </c>
      <c r="D541" s="27">
        <f>CSR_FactorReturns!D131/$D$408</f>
        <v>7.4223144922819867E-2</v>
      </c>
      <c r="E541" s="26">
        <f t="shared" si="18"/>
        <v>1.1771306621795605</v>
      </c>
      <c r="F541" s="26">
        <f t="shared" si="19"/>
        <v>2.0060699421986872</v>
      </c>
      <c r="G541" s="26">
        <f t="shared" si="20"/>
        <v>5.2068675777704412</v>
      </c>
    </row>
    <row r="542" spans="1:7" x14ac:dyDescent="0.2">
      <c r="A542" s="29">
        <f>CSR_FactorReturns!A132</f>
        <v>45842</v>
      </c>
      <c r="B542" s="27">
        <f>CSR_FactorReturns!B132/$B$408</f>
        <v>0.3507127342515266</v>
      </c>
      <c r="C542" s="27">
        <f>CSR_FactorReturns!C132/$C$408</f>
        <v>-1.6318766456632949</v>
      </c>
      <c r="D542" s="27">
        <f>CSR_FactorReturns!D132/$D$408</f>
        <v>-0.21607459080749622</v>
      </c>
      <c r="E542" s="26">
        <f t="shared" si="18"/>
        <v>2.2185750450488797</v>
      </c>
      <c r="F542" s="26">
        <f t="shared" si="19"/>
        <v>1.6835600488210769</v>
      </c>
      <c r="G542" s="26">
        <f t="shared" si="20"/>
        <v>3.1109514349874576</v>
      </c>
    </row>
    <row r="543" spans="1:7" x14ac:dyDescent="0.2">
      <c r="A543" s="29">
        <f>CSR_FactorReturns!A133</f>
        <v>45849</v>
      </c>
      <c r="B543" s="27">
        <f>CSR_FactorReturns!B133/$B$408</f>
        <v>1.5005577523552835</v>
      </c>
      <c r="C543" s="27">
        <f>CSR_FactorReturns!C133/$C$408</f>
        <v>-0.43715569365558615</v>
      </c>
      <c r="D543" s="27">
        <f>CSR_FactorReturns!D133/$D$408</f>
        <v>-0.423482189825091</v>
      </c>
      <c r="E543" s="26">
        <f t="shared" si="18"/>
        <v>1.4399998203570985</v>
      </c>
      <c r="F543" s="26">
        <f t="shared" si="19"/>
        <v>1.846036838396601</v>
      </c>
      <c r="G543" s="26">
        <f t="shared" si="20"/>
        <v>1.8978248060924303</v>
      </c>
    </row>
    <row r="544" spans="1:7" x14ac:dyDescent="0.2">
      <c r="A544" s="29">
        <f>CSR_FactorReturns!A134</f>
        <v>45856</v>
      </c>
      <c r="B544" s="27">
        <f>CSR_FactorReturns!B134/$B$408</f>
        <v>0.43097548015841275</v>
      </c>
      <c r="C544" s="27">
        <f>CSR_FactorReturns!C134/$C$408</f>
        <v>-1.4003917373471011</v>
      </c>
      <c r="D544" s="27">
        <f>CSR_FactorReturns!D134/$D$408</f>
        <v>0.34922626827770176</v>
      </c>
      <c r="E544" s="26">
        <f t="shared" si="18"/>
        <v>1.8691480266586724</v>
      </c>
      <c r="F544" s="26">
        <f t="shared" si="19"/>
        <v>1.2875929982864052</v>
      </c>
      <c r="G544" s="26">
        <f t="shared" si="20"/>
        <v>2.2260294538210421</v>
      </c>
    </row>
    <row r="545" spans="1:7" x14ac:dyDescent="0.2">
      <c r="A545" s="29">
        <f>CSR_FactorReturns!A135</f>
        <v>45863</v>
      </c>
      <c r="B545" s="27">
        <f>CSR_FactorReturns!B135/$B$408</f>
        <v>-0.91998547199802516</v>
      </c>
      <c r="C545" s="27">
        <f>CSR_FactorReturns!C135/$C$408</f>
        <v>-0.56202002531149109</v>
      </c>
      <c r="D545" s="27">
        <f>CSR_FactorReturns!D135/$D$408</f>
        <v>-1.0154575870943687</v>
      </c>
      <c r="E545" s="26">
        <f t="shared" si="18"/>
        <v>1.013168069427888</v>
      </c>
      <c r="F545" s="26">
        <f t="shared" si="19"/>
        <v>1.4683021038439414</v>
      </c>
      <c r="G545" s="26">
        <f t="shared" si="20"/>
        <v>1.0004754399348514</v>
      </c>
    </row>
    <row r="546" spans="1:7" x14ac:dyDescent="0.2">
      <c r="A546" s="29">
        <f>CSR_FactorReturns!A136</f>
        <v>45870</v>
      </c>
      <c r="B546" s="27">
        <f>CSR_FactorReturns!B136/$B$408</f>
        <v>-0.57357392549221131</v>
      </c>
      <c r="C546" s="27">
        <f>CSR_FactorReturns!C136/$C$408</f>
        <v>0.43696635286777519</v>
      </c>
      <c r="D546" s="27">
        <f>CSR_FactorReturns!D136/$D$408</f>
        <v>-2.102170738552835</v>
      </c>
      <c r="E546" s="26">
        <f t="shared" si="18"/>
        <v>1.440723944763582</v>
      </c>
      <c r="F546" s="26">
        <f t="shared" si="19"/>
        <v>1.8467377586921347</v>
      </c>
      <c r="G546" s="26">
        <f t="shared" si="20"/>
        <v>2.9331808222876683</v>
      </c>
    </row>
    <row r="547" spans="1:7" x14ac:dyDescent="0.2">
      <c r="A547" s="29">
        <f>CSR_FactorReturns!A137</f>
        <v>45877</v>
      </c>
      <c r="B547" s="27">
        <f>CSR_FactorReturns!B137/$B$408</f>
        <v>-0.41082733375923597</v>
      </c>
      <c r="C547" s="27">
        <f>CSR_FactorReturns!C137/$C$408</f>
        <v>4.1640849015166265E-2</v>
      </c>
      <c r="D547" s="27">
        <f>CSR_FactorReturns!D137/$D$408</f>
        <v>0.44335607938399069</v>
      </c>
      <c r="E547" s="26">
        <f t="shared" si="18"/>
        <v>1.9479436286953775</v>
      </c>
      <c r="F547" s="26">
        <f t="shared" si="19"/>
        <v>6.3590812523667353</v>
      </c>
      <c r="G547" s="26">
        <f t="shared" si="20"/>
        <v>1.8233286948655802</v>
      </c>
    </row>
    <row r="548" spans="1:7" x14ac:dyDescent="0.2">
      <c r="A548" s="29">
        <f>CSR_FactorReturns!A138</f>
        <v>45884</v>
      </c>
      <c r="B548" s="27">
        <f>CSR_FactorReturns!B138/$B$408</f>
        <v>-0.65101187945827987</v>
      </c>
      <c r="C548" s="27">
        <f>CSR_FactorReturns!C138/$C$408</f>
        <v>-0.1672359948749079</v>
      </c>
      <c r="D548" s="27">
        <f>CSR_FactorReturns!D138/$D$408</f>
        <v>-0.63697167864353721</v>
      </c>
      <c r="E548" s="26">
        <f t="shared" si="18"/>
        <v>1.2822712450443419</v>
      </c>
      <c r="F548" s="26">
        <f t="shared" si="19"/>
        <v>3.6046665202792112</v>
      </c>
      <c r="G548" s="26">
        <f t="shared" si="20"/>
        <v>1.3077930892471084</v>
      </c>
    </row>
    <row r="549" spans="1:7" x14ac:dyDescent="0.2">
      <c r="A549" s="29">
        <f>CSR_FactorReturns!A139</f>
        <v>45891</v>
      </c>
      <c r="B549" s="27">
        <f>CSR_FactorReturns!B139/$B$408</f>
        <v>-0.79314151500408081</v>
      </c>
      <c r="C549" s="27">
        <f>CSR_FactorReturns!C139/$C$408</f>
        <v>-0.4612058423175926</v>
      </c>
      <c r="D549" s="27">
        <f>CSR_FactorReturns!D139/$D$408</f>
        <v>-0.86991767230202455</v>
      </c>
      <c r="E549" s="26">
        <f t="shared" si="18"/>
        <v>1.0925806988831559</v>
      </c>
      <c r="F549" s="26">
        <f t="shared" si="19"/>
        <v>1.7605324750340345</v>
      </c>
      <c r="G549" s="26">
        <f t="shared" si="20"/>
        <v>1.0354701592815079</v>
      </c>
    </row>
    <row r="550" spans="1:7" x14ac:dyDescent="0.2">
      <c r="A550" s="29">
        <f>CSR_FactorReturns!A140</f>
        <v>45898</v>
      </c>
      <c r="B550" s="27">
        <f>CSR_FactorReturns!B140/$B$408</f>
        <v>1.2543433186399631</v>
      </c>
      <c r="C550" s="27">
        <f>CSR_FactorReturns!C140/$C$408</f>
        <v>-2.1295737192000925</v>
      </c>
      <c r="D550" s="27">
        <f>CSR_FactorReturns!D140/$D$408</f>
        <v>0.38144172400679199</v>
      </c>
      <c r="E550" s="26">
        <f t="shared" si="18"/>
        <v>1.1201527938969278</v>
      </c>
      <c r="F550" s="26">
        <f t="shared" si="19"/>
        <v>3.0232405697850262</v>
      </c>
      <c r="G550" s="26">
        <f t="shared" si="20"/>
        <v>2.0730921784589724</v>
      </c>
    </row>
    <row r="551" spans="1:7" x14ac:dyDescent="0.2">
      <c r="A551" s="29">
        <f>CSR_FactorReturns!A141</f>
        <v>45905</v>
      </c>
      <c r="B551" s="27">
        <f>CSR_FactorReturns!B141/$B$408</f>
        <v>0.24141047032676338</v>
      </c>
      <c r="C551" s="27">
        <f>CSR_FactorReturns!C141/$C$408</f>
        <v>-0.59056729446358103</v>
      </c>
      <c r="D551" s="27">
        <f>CSR_FactorReturns!D141/$D$408</f>
        <v>1.0780524843156396</v>
      </c>
      <c r="E551" s="26">
        <f t="shared" si="18"/>
        <v>2.9007922110013857</v>
      </c>
      <c r="F551" s="26">
        <f t="shared" si="19"/>
        <v>1.4021131052957416</v>
      </c>
      <c r="G551" s="26">
        <f t="shared" si="20"/>
        <v>1.0118848428374305</v>
      </c>
    </row>
    <row r="552" spans="1:7" x14ac:dyDescent="0.2">
      <c r="A552" s="29">
        <f>CSR_FactorReturns!A142</f>
        <v>45912</v>
      </c>
      <c r="B552" s="27">
        <f>CSR_FactorReturns!B142/$B$408</f>
        <v>-0.15556826555537434</v>
      </c>
      <c r="C552" s="27">
        <f>CSR_FactorReturns!C142/$C$408</f>
        <v>-0.14088536144224453</v>
      </c>
      <c r="D552" s="27">
        <f>CSR_FactorReturns!D142/$D$408</f>
        <v>0.23172851511269676</v>
      </c>
      <c r="E552" s="26">
        <f t="shared" si="18"/>
        <v>3.7455427590702293</v>
      </c>
      <c r="F552" s="26">
        <f t="shared" si="19"/>
        <v>3.9394662025016696</v>
      </c>
      <c r="G552" s="26">
        <f t="shared" si="20"/>
        <v>2.9780756767294907</v>
      </c>
    </row>
    <row r="553" spans="1:7" x14ac:dyDescent="0.2">
      <c r="A553" s="29">
        <f>CSR_FactorReturns!A143</f>
        <v>45919</v>
      </c>
      <c r="B553" s="27">
        <f>CSR_FactorReturns!B143/$B$408</f>
        <v>-0.28436185774464101</v>
      </c>
      <c r="C553" s="27">
        <f>CSR_FactorReturns!C143/$C$408</f>
        <v>0.93350611702623065</v>
      </c>
      <c r="D553" s="27">
        <f>CSR_FactorReturns!D143/$D$408</f>
        <v>-0.26667784649927756</v>
      </c>
      <c r="E553" s="26">
        <f t="shared" si="18"/>
        <v>2.595877075878354</v>
      </c>
      <c r="F553" s="26">
        <f t="shared" si="19"/>
        <v>1.0090491969959785</v>
      </c>
      <c r="G553" s="26">
        <f t="shared" si="20"/>
        <v>2.7145449067911533</v>
      </c>
    </row>
    <row r="554" spans="1:7" x14ac:dyDescent="0.2">
      <c r="A554" s="29">
        <f>CSR_FactorReturns!A144</f>
        <v>45926</v>
      </c>
      <c r="B554" s="27">
        <f>CSR_FactorReturns!B144/$B$408</f>
        <v>1.3862219749525855</v>
      </c>
      <c r="C554" s="27">
        <f>CSR_FactorReturns!C144/$C$408</f>
        <v>-1.0535520582386533</v>
      </c>
      <c r="D554" s="27">
        <f>CSR_FactorReturns!D144/$D$408</f>
        <v>-0.56435795485173146</v>
      </c>
      <c r="E554" s="26">
        <f t="shared" si="18"/>
        <v>1.2684472777760467</v>
      </c>
      <c r="F554" s="26">
        <f t="shared" si="19"/>
        <v>1.0056372042169899</v>
      </c>
      <c r="G554" s="26">
        <f t="shared" si="20"/>
        <v>1.4626330153645721</v>
      </c>
    </row>
    <row r="555" spans="1:7" x14ac:dyDescent="0.2">
      <c r="A555" s="29">
        <f>CSR_FactorReturns!A145</f>
        <v>45933</v>
      </c>
      <c r="B555" s="27">
        <f>CSR_FactorReturns!B145/$B$408</f>
        <v>-1.6603476709029372</v>
      </c>
      <c r="C555" s="27">
        <f>CSR_FactorReturns!C145/$C$408</f>
        <v>1.0746591987767393</v>
      </c>
      <c r="D555" s="27">
        <f>CSR_FactorReturns!D145/$D$408</f>
        <v>-0.56694130136191756</v>
      </c>
      <c r="E555" s="26">
        <f t="shared" si="18"/>
        <v>1.7427003467890729</v>
      </c>
      <c r="F555" s="26">
        <f t="shared" si="19"/>
        <v>1.0108852196693856</v>
      </c>
      <c r="G555" s="26">
        <f t="shared" si="20"/>
        <v>1.4564214502866459</v>
      </c>
    </row>
    <row r="556" spans="1:7" x14ac:dyDescent="0.2">
      <c r="A556" s="29">
        <f>CSR_FactorReturns!A146</f>
        <v>45940</v>
      </c>
      <c r="B556" s="27">
        <f>CSR_FactorReturns!B146/$B$408</f>
        <v>-1.7573860262427121</v>
      </c>
      <c r="C556" s="27">
        <f>CSR_FactorReturns!C146/$C$408</f>
        <v>0.18668738462109996</v>
      </c>
      <c r="D556" s="27">
        <f>CSR_FactorReturns!D146/$D$408</f>
        <v>0.95326302830186771</v>
      </c>
      <c r="E556" s="26">
        <f t="shared" si="18"/>
        <v>1.9607506598995261</v>
      </c>
      <c r="F556" s="26">
        <f t="shared" si="19"/>
        <v>3.3914917816532122</v>
      </c>
      <c r="G556" s="26">
        <f t="shared" si="20"/>
        <v>1.0044392273117682</v>
      </c>
    </row>
    <row r="557" spans="1:7" x14ac:dyDescent="0.2">
      <c r="A557" s="29">
        <f>CSR_FactorReturns!A147</f>
        <v>45947</v>
      </c>
      <c r="B557" s="27">
        <f>CSR_FactorReturns!B147/$B$408</f>
        <v>-1.4085368142753507</v>
      </c>
      <c r="C557" s="27">
        <f>CSR_FactorReturns!C147/$C$408</f>
        <v>-0.23091943332837322</v>
      </c>
      <c r="D557" s="27">
        <f>CSR_FactorReturns!D147/$D$408</f>
        <v>-0.37775353574532272</v>
      </c>
      <c r="E557" s="26">
        <f t="shared" si="18"/>
        <v>1.2988730667421233</v>
      </c>
      <c r="F557" s="26">
        <f t="shared" si="19"/>
        <v>2.9846965902211005</v>
      </c>
      <c r="G557" s="26">
        <f t="shared" si="20"/>
        <v>2.0897243694860972</v>
      </c>
    </row>
    <row r="558" spans="1:7" x14ac:dyDescent="0.2">
      <c r="A558" s="29">
        <f>CSR_FactorReturns!A148</f>
        <v>45954</v>
      </c>
      <c r="B558" s="27">
        <f>CSR_FactorReturns!B148/$B$408</f>
        <v>-1.0877975537959301</v>
      </c>
      <c r="C558" s="27">
        <f>CSR_FactorReturns!C148/$C$408</f>
        <v>-0.70012584963033675</v>
      </c>
      <c r="D558" s="27">
        <f>CSR_FactorReturns!D148/$D$408</f>
        <v>0.80302734599043113</v>
      </c>
      <c r="E558" s="26">
        <f t="shared" si="18"/>
        <v>1.0149933995614286</v>
      </c>
      <c r="F558" s="26">
        <f t="shared" si="19"/>
        <v>1.2031665551445145</v>
      </c>
      <c r="G558" s="26">
        <f t="shared" si="20"/>
        <v>1.08358594007368</v>
      </c>
    </row>
    <row r="559" spans="1:7" x14ac:dyDescent="0.2">
      <c r="A559" s="29">
        <f>CSR_FactorReturns!A149</f>
        <v>45961</v>
      </c>
      <c r="B559" s="27">
        <f>CSR_FactorReturns!B149/$B$408</f>
        <v>-0.87247810048848962</v>
      </c>
      <c r="C559" s="27">
        <f>CSR_FactorReturns!C149/$C$408</f>
        <v>1.0511441919775693</v>
      </c>
      <c r="D559" s="27">
        <f>CSR_FactorReturns!D149/$D$408</f>
        <v>-1.3032805215247312</v>
      </c>
      <c r="E559" s="26">
        <f t="shared" si="18"/>
        <v>1.0340534857264383</v>
      </c>
      <c r="F559" s="26">
        <f t="shared" si="19"/>
        <v>1.0051455572973262</v>
      </c>
      <c r="G559" s="26">
        <f t="shared" si="20"/>
        <v>1.1687709899079266</v>
      </c>
    </row>
    <row r="560" spans="1:7" x14ac:dyDescent="0.2">
      <c r="A560" s="29">
        <f>CSR_FactorReturns!A150</f>
        <v>45968</v>
      </c>
      <c r="B560" s="27">
        <f>CSR_FactorReturns!B150/$B$408</f>
        <v>1.2389379281098856</v>
      </c>
      <c r="C560" s="27">
        <f>CSR_FactorReturns!C150/$C$408</f>
        <v>-0.60772334717697807</v>
      </c>
      <c r="D560" s="27">
        <f>CSR_FactorReturns!D150/$D$408</f>
        <v>-1.9989200537196425</v>
      </c>
      <c r="E560" s="26">
        <f t="shared" si="18"/>
        <v>1.1064581836807692</v>
      </c>
      <c r="F560" s="26">
        <f t="shared" si="19"/>
        <v>1.3653987100239438</v>
      </c>
      <c r="G560" s="26">
        <f t="shared" si="20"/>
        <v>2.6104672579990007</v>
      </c>
    </row>
    <row r="561" spans="1:7" x14ac:dyDescent="0.2">
      <c r="A561" s="29">
        <f>CSR_FactorReturns!A151</f>
        <v>45975</v>
      </c>
      <c r="B561" s="27">
        <f>CSR_FactorReturns!B151/$B$408</f>
        <v>-1.8633110154468326</v>
      </c>
      <c r="C561" s="27">
        <f>CSR_FactorReturns!C151/$C$408</f>
        <v>-1.1149418036964474</v>
      </c>
      <c r="D561" s="27">
        <f>CSR_FactorReturns!D151/$D$408</f>
        <v>0.66511943201713708</v>
      </c>
      <c r="E561" s="26">
        <f t="shared" si="18"/>
        <v>2.2272178982288446</v>
      </c>
      <c r="F561" s="26">
        <f t="shared" si="19"/>
        <v>1.0254908065184662</v>
      </c>
      <c r="G561" s="26">
        <f t="shared" si="20"/>
        <v>1.2579611737140899</v>
      </c>
    </row>
    <row r="562" spans="1:7" x14ac:dyDescent="0.2">
      <c r="A562" s="29">
        <f>CSR_FactorReturns!A152</f>
        <v>45982</v>
      </c>
      <c r="B562" s="27">
        <f>CSR_FactorReturns!B152/$B$408</f>
        <v>-0.35722179062765458</v>
      </c>
      <c r="C562" s="27">
        <f>CSR_FactorReturns!C152/$C$408</f>
        <v>1.554582802537708E-2</v>
      </c>
      <c r="D562" s="27">
        <f>CSR_FactorReturns!D152/$D$408</f>
        <v>-0.20670457051598373</v>
      </c>
      <c r="E562" s="26">
        <f t="shared" si="18"/>
        <v>2.1864042633865637</v>
      </c>
      <c r="F562" s="26">
        <f t="shared" si="19"/>
        <v>8.3281676138533705</v>
      </c>
      <c r="G562" s="26">
        <f t="shared" si="20"/>
        <v>3.1956561808829593</v>
      </c>
    </row>
    <row r="563" spans="1:7" x14ac:dyDescent="0.2">
      <c r="A563" s="29">
        <f>CSR_FactorReturns!A153</f>
        <v>45989</v>
      </c>
      <c r="B563" s="27">
        <f>CSR_FactorReturns!B153/$B$408</f>
        <v>3.4904462764369905E-2</v>
      </c>
      <c r="C563" s="27">
        <f>CSR_FactorReturns!C153/$C$408</f>
        <v>0.29474777396566798</v>
      </c>
      <c r="D563" s="27">
        <f>CSR_FactorReturns!D153/$D$408</f>
        <v>-1.7930118874041996</v>
      </c>
      <c r="E563" s="26">
        <f t="shared" si="18"/>
        <v>6.7114994916093025</v>
      </c>
      <c r="F563" s="26">
        <f t="shared" si="19"/>
        <v>2.530146834002724</v>
      </c>
      <c r="G563" s="26">
        <f t="shared" si="20"/>
        <v>2.0470979793779849</v>
      </c>
    </row>
    <row r="564" spans="1:7" x14ac:dyDescent="0.2">
      <c r="A564" s="29">
        <f>CSR_FactorReturns!A154</f>
        <v>45996</v>
      </c>
      <c r="B564" s="27">
        <f>CSR_FactorReturns!B154/$B$408</f>
        <v>-1.3219934652388599</v>
      </c>
      <c r="C564" s="27">
        <f>CSR_FactorReturns!C154/$C$408</f>
        <v>-1.2762124760621103</v>
      </c>
      <c r="D564" s="27">
        <f>CSR_FactorReturns!D154/$D$408</f>
        <v>-1.3152975343402209</v>
      </c>
      <c r="E564" s="26">
        <f t="shared" si="18"/>
        <v>1.1893851254738845</v>
      </c>
      <c r="F564" s="26">
        <f t="shared" si="19"/>
        <v>1.1409249073562062</v>
      </c>
      <c r="G564" s="26">
        <f t="shared" si="20"/>
        <v>1.1818818000573525</v>
      </c>
    </row>
    <row r="565" spans="1:7" x14ac:dyDescent="0.2">
      <c r="A565" s="29">
        <f>CSR_FactorReturns!A155</f>
        <v>46003</v>
      </c>
      <c r="B565" s="27">
        <f>CSR_FactorReturns!B155/$B$408</f>
        <v>0.27501186352193563</v>
      </c>
      <c r="C565" s="27">
        <f>CSR_FactorReturns!C155/$C$408</f>
        <v>0.23035090282248349</v>
      </c>
      <c r="D565" s="27">
        <f>CSR_FactorReturns!D155/$D$408</f>
        <v>-0.50494527562168356</v>
      </c>
      <c r="E565" s="26">
        <f t="shared" si="18"/>
        <v>2.6575136094104206</v>
      </c>
      <c r="F565" s="26">
        <f t="shared" si="19"/>
        <v>2.9893644749450847</v>
      </c>
      <c r="G565" s="26">
        <f t="shared" si="20"/>
        <v>1.6215801727412111</v>
      </c>
    </row>
    <row r="566" spans="1:7" x14ac:dyDescent="0.2">
      <c r="A566" s="29">
        <f>CSR_FactorReturns!A156</f>
        <v>46010</v>
      </c>
      <c r="B566" s="27">
        <f>CSR_FactorReturns!B156/$B$408</f>
        <v>-1.221581500340746</v>
      </c>
      <c r="C566" s="27">
        <f>CSR_FactorReturns!C156/$C$408</f>
        <v>-0.88370673454295401</v>
      </c>
      <c r="D566" s="27">
        <f>CSR_FactorReturns!D156/$D$408</f>
        <v>1.5313763588908307</v>
      </c>
      <c r="E566" s="26">
        <f t="shared" si="18"/>
        <v>1.091968699948338</v>
      </c>
      <c r="F566" s="26">
        <f t="shared" si="19"/>
        <v>1.0281976319559634</v>
      </c>
      <c r="G566" s="26">
        <f t="shared" si="20"/>
        <v>1.4927797285731872</v>
      </c>
    </row>
    <row r="567" spans="1:7" x14ac:dyDescent="0.2">
      <c r="A567" s="29">
        <f>CSR_FactorReturns!A157</f>
        <v>46017</v>
      </c>
      <c r="B567" s="27">
        <f>CSR_FactorReturns!B157/$B$408</f>
        <v>-1.6746708162892918</v>
      </c>
      <c r="C567" s="27">
        <f>CSR_FactorReturns!C157/$C$408</f>
        <v>0.28638635127224621</v>
      </c>
      <c r="D567" s="27">
        <f>CSR_FactorReturns!D157/$D$408</f>
        <v>-1.2120792856307789</v>
      </c>
      <c r="E567" s="26">
        <f t="shared" si="18"/>
        <v>1.7732891061821026</v>
      </c>
      <c r="F567" s="26">
        <f t="shared" si="19"/>
        <v>2.5828441446021557</v>
      </c>
      <c r="G567" s="26">
        <f t="shared" si="20"/>
        <v>1.084461589265973</v>
      </c>
    </row>
    <row r="569" spans="1:7" x14ac:dyDescent="0.2">
      <c r="A569" s="28" t="s">
        <v>170</v>
      </c>
    </row>
    <row r="570" spans="1:7" x14ac:dyDescent="0.2">
      <c r="A570" s="24" t="s">
        <v>101</v>
      </c>
      <c r="B570" s="24" t="s">
        <v>171</v>
      </c>
      <c r="C570" s="24" t="s">
        <v>172</v>
      </c>
    </row>
    <row r="571" spans="1:7" x14ac:dyDescent="0.2">
      <c r="A571" t="s">
        <v>59</v>
      </c>
      <c r="B571" s="27">
        <f>_xlfn.STDEV.S(B412:B567)</f>
        <v>0.99999999999999956</v>
      </c>
      <c r="C571" s="26">
        <f>AVERAGE(E412:E567)</f>
        <v>2.0109823178328505</v>
      </c>
    </row>
    <row r="572" spans="1:7" x14ac:dyDescent="0.2">
      <c r="A572" t="s">
        <v>60</v>
      </c>
      <c r="B572" s="27">
        <f>_xlfn.STDEV.S(C412:C567)</f>
        <v>0.99999999999999978</v>
      </c>
      <c r="C572" s="26">
        <f>AVERAGE(F412:F567)</f>
        <v>2.3400957674886373</v>
      </c>
    </row>
    <row r="573" spans="1:7" x14ac:dyDescent="0.2">
      <c r="A573" t="s">
        <v>61</v>
      </c>
      <c r="B573" s="27">
        <f>_xlfn.STDEV.S(D412:D567)</f>
        <v>0.99999999999999989</v>
      </c>
      <c r="C573" s="26">
        <f>AVERAGE(G412:G567)</f>
        <v>1.9306746819577758</v>
      </c>
    </row>
    <row r="576" spans="1:7" ht="16" x14ac:dyDescent="0.2">
      <c r="A576" s="2" t="s">
        <v>173</v>
      </c>
    </row>
    <row r="577" spans="1:3" x14ac:dyDescent="0.2">
      <c r="A577" s="23" t="s">
        <v>174</v>
      </c>
    </row>
    <row r="578" spans="1:3" x14ac:dyDescent="0.2">
      <c r="A578" s="23" t="s">
        <v>175</v>
      </c>
    </row>
    <row r="579" spans="1:3" x14ac:dyDescent="0.2">
      <c r="A579" s="23" t="s">
        <v>176</v>
      </c>
    </row>
    <row r="580" spans="1:3" x14ac:dyDescent="0.2">
      <c r="A580" s="23" t="s">
        <v>177</v>
      </c>
    </row>
    <row r="581" spans="1:3" x14ac:dyDescent="0.2">
      <c r="A581" s="23" t="s">
        <v>178</v>
      </c>
    </row>
    <row r="583" spans="1:3" x14ac:dyDescent="0.2">
      <c r="A583" s="28" t="s">
        <v>179</v>
      </c>
    </row>
    <row r="584" spans="1:3" x14ac:dyDescent="0.2">
      <c r="A584" s="24" t="s">
        <v>58</v>
      </c>
      <c r="B584" s="24" t="s">
        <v>97</v>
      </c>
      <c r="C584" s="24" t="s">
        <v>180</v>
      </c>
    </row>
    <row r="585" spans="1:3" x14ac:dyDescent="0.2">
      <c r="A585" t="str">
        <f>Exposures!A2</f>
        <v>STK_A</v>
      </c>
      <c r="B585" s="26">
        <f>Exposures!B32</f>
        <v>9.9976226953249675E-2</v>
      </c>
      <c r="C585" s="26">
        <f t="shared" ref="C585:C594" si="21">B14</f>
        <v>2.8717600865008786E-2</v>
      </c>
    </row>
    <row r="586" spans="1:3" x14ac:dyDescent="0.2">
      <c r="A586" t="str">
        <f>Exposures!A3</f>
        <v>STK_B</v>
      </c>
      <c r="B586" s="26">
        <f>Exposures!B33</f>
        <v>9.9928812359664193E-2</v>
      </c>
      <c r="C586" s="26">
        <f t="shared" si="21"/>
        <v>2.8119684238740335E-2</v>
      </c>
    </row>
    <row r="587" spans="1:3" x14ac:dyDescent="0.2">
      <c r="A587" t="str">
        <f>Exposures!A4</f>
        <v>STK_C</v>
      </c>
      <c r="B587" s="26">
        <f>Exposures!B34</f>
        <v>0.10001592640451962</v>
      </c>
      <c r="C587" s="26">
        <f t="shared" si="21"/>
        <v>4.1054427105472358E-2</v>
      </c>
    </row>
    <row r="588" spans="1:3" x14ac:dyDescent="0.2">
      <c r="A588" t="str">
        <f>Exposures!A5</f>
        <v>STK_D</v>
      </c>
      <c r="B588" s="26">
        <f>Exposures!B35</f>
        <v>0.10010309386707372</v>
      </c>
      <c r="C588" s="26">
        <f t="shared" si="21"/>
        <v>2.6658820512778014E-2</v>
      </c>
    </row>
    <row r="589" spans="1:3" x14ac:dyDescent="0.2">
      <c r="A589" t="str">
        <f>Exposures!A6</f>
        <v>STK_E</v>
      </c>
      <c r="B589" s="26">
        <f>Exposures!B36</f>
        <v>0.10004283542964619</v>
      </c>
      <c r="C589" s="26">
        <f t="shared" si="21"/>
        <v>2.2124368227240281E-2</v>
      </c>
    </row>
    <row r="590" spans="1:3" x14ac:dyDescent="0.2">
      <c r="A590" t="str">
        <f>Exposures!A7</f>
        <v>STK_F</v>
      </c>
      <c r="B590" s="26">
        <f>Exposures!B37</f>
        <v>0.10013272056782416</v>
      </c>
      <c r="C590" s="26">
        <f t="shared" si="21"/>
        <v>2.9749611579346157E-2</v>
      </c>
    </row>
    <row r="591" spans="1:3" x14ac:dyDescent="0.2">
      <c r="A591" t="str">
        <f>Exposures!A8</f>
        <v>STK_G</v>
      </c>
      <c r="B591" s="26">
        <f>Exposures!B38</f>
        <v>9.9950730514984099E-2</v>
      </c>
      <c r="C591" s="26">
        <f t="shared" si="21"/>
        <v>3.1945610176876915E-2</v>
      </c>
    </row>
    <row r="592" spans="1:3" x14ac:dyDescent="0.2">
      <c r="A592" t="str">
        <f>Exposures!A9</f>
        <v>STK_H</v>
      </c>
      <c r="B592" s="26">
        <f>Exposures!B39</f>
        <v>9.9759827719122771E-2</v>
      </c>
      <c r="C592" s="26">
        <f t="shared" si="21"/>
        <v>1.7829636078076458E-2</v>
      </c>
    </row>
    <row r="593" spans="1:3" x14ac:dyDescent="0.2">
      <c r="A593" t="str">
        <f>Exposures!A10</f>
        <v>STK_I</v>
      </c>
      <c r="B593" s="26">
        <f>Exposures!B40</f>
        <v>0.10003210123346898</v>
      </c>
      <c r="C593" s="26">
        <f t="shared" si="21"/>
        <v>3.1600535060546719E-2</v>
      </c>
    </row>
    <row r="594" spans="1:3" x14ac:dyDescent="0.2">
      <c r="A594" t="str">
        <f>Exposures!A11</f>
        <v>STK_J</v>
      </c>
      <c r="B594" s="26">
        <f>Exposures!B41</f>
        <v>0.10005772495044662</v>
      </c>
      <c r="C594" s="26">
        <f t="shared" si="21"/>
        <v>3.1553287297683127E-2</v>
      </c>
    </row>
    <row r="596" spans="1:3" x14ac:dyDescent="0.2">
      <c r="A596" s="23" t="s">
        <v>181</v>
      </c>
    </row>
    <row r="597" spans="1:3" x14ac:dyDescent="0.2">
      <c r="B597" s="26">
        <f>FactorCovariance!$B$10+SUMPRODUCT(B585:B594*B585:B594,C585:C594)</f>
        <v>3.1354527674951845E-2</v>
      </c>
    </row>
    <row r="598" spans="1:3" x14ac:dyDescent="0.2">
      <c r="A598" s="23" t="s">
        <v>182</v>
      </c>
    </row>
    <row r="599" spans="1:3" x14ac:dyDescent="0.2">
      <c r="B599" s="26">
        <f>FactorCovariance!$B$10</f>
        <v>2.8460470897986458E-2</v>
      </c>
    </row>
    <row r="601" spans="1:3" x14ac:dyDescent="0.2">
      <c r="A601" s="28" t="s">
        <v>183</v>
      </c>
    </row>
    <row r="602" spans="1:3" x14ac:dyDescent="0.2">
      <c r="B602" s="26">
        <f>B597-B599</f>
        <v>2.8940567769653869E-3</v>
      </c>
      <c r="C602" s="30">
        <f>B602/B599</f>
        <v>0.10168689011994309</v>
      </c>
    </row>
    <row r="604" spans="1:3" x14ac:dyDescent="0.2">
      <c r="A604" s="25" t="s">
        <v>184</v>
      </c>
    </row>
    <row r="605" spans="1:3" x14ac:dyDescent="0.2">
      <c r="A605" s="25" t="s">
        <v>185</v>
      </c>
    </row>
    <row r="606" spans="1:3" x14ac:dyDescent="0.2">
      <c r="A606" s="25" t="s">
        <v>186</v>
      </c>
    </row>
    <row r="607" spans="1:3" x14ac:dyDescent="0.2">
      <c r="A607" s="25" t="s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Returns</vt:lpstr>
      <vt:lpstr>Exposures</vt:lpstr>
      <vt:lpstr>CSR_FactorReturns</vt:lpstr>
      <vt:lpstr>FactorCovariance</vt:lpstr>
      <vt:lpstr>PortfolioRisk</vt:lpstr>
      <vt:lpstr>KAC3_Refinements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2026-07-21T11:52:22Z</dcterms:created>
  <dcterms:modified xsi:type="dcterms:W3CDTF">2026-07-24T14:23:06Z</dcterms:modified>
</cp:coreProperties>
</file>