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ReadMe" sheetId="1" state="visible" r:id="rId1"/>
    <sheet xmlns:r="http://schemas.openxmlformats.org/officeDocument/2006/relationships" name="1_GICS_Shock_Input" sheetId="2" state="visible" r:id="rId2"/>
    <sheet xmlns:r="http://schemas.openxmlformats.org/officeDocument/2006/relationships" name="2_Deal_Tape" sheetId="3" state="visible" r:id="rId3"/>
    <sheet xmlns:r="http://schemas.openxmlformats.org/officeDocument/2006/relationships" name="3_Scenario_Engine" sheetId="4" state="visible" r:id="rId4"/>
    <sheet xmlns:r="http://schemas.openxmlformats.org/officeDocument/2006/relationships" name="4_Portfolio_Summary" sheetId="5" state="visible" r:id="rId5"/>
    <sheet xmlns:r="http://schemas.openxmlformats.org/officeDocument/2006/relationships" name="5_CreditBridge_ReadMe" sheetId="6" state="visible" r:id="rId6"/>
    <sheet xmlns:r="http://schemas.openxmlformats.org/officeDocument/2006/relationships" name="6_Credit_Bridge_Assumptions" sheetId="7" state="visible" r:id="rId7"/>
    <sheet xmlns:r="http://schemas.openxmlformats.org/officeDocument/2006/relationships" name="7_GICS_Asset_Vol" sheetId="8" state="visible" r:id="rId8"/>
    <sheet xmlns:r="http://schemas.openxmlformats.org/officeDocument/2006/relationships" name="8_Credit_Risk_Engine" sheetId="9" state="visible" r:id="rId9"/>
    <sheet xmlns:r="http://schemas.openxmlformats.org/officeDocument/2006/relationships" name="9_TopDown_Spread_Engine" sheetId="10" state="visible" r:id="rId10"/>
    <sheet xmlns:r="http://schemas.openxmlformats.org/officeDocument/2006/relationships" name="10_Reconcili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#,##0.0"/>
    <numFmt numFmtId="166" formatCode="0.00&quot;x&quot;"/>
    <numFmt numFmtId="167" formatCode="0.0"/>
    <numFmt numFmtId="168" formatCode="0.0&quot;x&quot;"/>
  </numFmts>
  <fonts count="13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555555"/>
      <sz val="11"/>
    </font>
    <font>
      <sz val="10"/>
    </font>
    <font>
      <b val="1"/>
      <color rgb="001F4E79"/>
      <sz val="11"/>
    </font>
    <font>
      <b val="1"/>
      <color rgb="00FFFFFF"/>
    </font>
    <font>
      <b val="1"/>
      <color rgb="001F4E79"/>
    </font>
    <font>
      <b val="1"/>
    </font>
    <font>
      <b val="1"/>
      <color rgb="00C00000"/>
    </font>
    <font>
      <b val="1"/>
      <color rgb="001F4E79"/>
      <sz val="10.5"/>
    </font>
    <font>
      <i val="1"/>
      <color rgb="00666666"/>
      <sz val="9"/>
    </font>
    <font>
      <b val="1"/>
      <color rgb="001F4E79"/>
      <sz val="9.5"/>
    </font>
    <font>
      <sz val="9.5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3" borderId="1" pivotButton="0" quotePrefix="0" xfId="0"/>
    <xf numFmtId="1" fontId="0" fillId="3" borderId="1" pivotButton="0" quotePrefix="0" xfId="0"/>
    <xf numFmtId="0" fontId="6" fillId="0" borderId="0" pivotButton="0" quotePrefix="0" xfId="0"/>
    <xf numFmtId="0" fontId="7" fillId="0" borderId="0" pivotButton="0" quotePrefix="0" xfId="0"/>
    <xf numFmtId="10" fontId="0" fillId="4" borderId="1" pivotButton="0" quotePrefix="0" xfId="0"/>
    <xf numFmtId="1" fontId="0" fillId="4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vertical="top" wrapText="1"/>
    </xf>
    <xf numFmtId="165" fontId="0" fillId="3" borderId="1" pivotButton="0" quotePrefix="0" xfId="0"/>
    <xf numFmtId="166" fontId="0" fillId="3" borderId="1" pivotButton="0" quotePrefix="0" xfId="0"/>
    <xf numFmtId="167" fontId="0" fillId="3" borderId="1" pivotButton="0" quotePrefix="0" xfId="0"/>
    <xf numFmtId="166" fontId="0" fillId="4" borderId="1" pivotButton="0" quotePrefix="0" xfId="0"/>
    <xf numFmtId="164" fontId="0" fillId="4" borderId="1" pivotButton="0" quotePrefix="0" xfId="0"/>
    <xf numFmtId="0" fontId="0" fillId="4" borderId="1" pivotButton="0" quotePrefix="0" xfId="0"/>
    <xf numFmtId="0" fontId="0" fillId="5" borderId="1" pivotButton="0" quotePrefix="0" xfId="0"/>
    <xf numFmtId="164" fontId="0" fillId="5" borderId="1" pivotButton="0" quotePrefix="0" xfId="0"/>
    <xf numFmtId="1" fontId="0" fillId="5" borderId="1" pivotButton="0" quotePrefix="0" xfId="0"/>
    <xf numFmtId="165" fontId="0" fillId="5" borderId="1" pivotButton="0" quotePrefix="0" xfId="0"/>
    <xf numFmtId="166" fontId="0" fillId="5" borderId="1" pivotButton="0" quotePrefix="0" xfId="0"/>
    <xf numFmtId="167" fontId="0" fillId="5" borderId="1" pivotButton="0" quotePrefix="0" xfId="0"/>
    <xf numFmtId="10" fontId="0" fillId="5" borderId="1" pivotButton="0" quotePrefix="0" xfId="0"/>
    <xf numFmtId="0" fontId="8" fillId="5" borderId="1" pivotButton="0" quotePrefix="0" xfId="0"/>
    <xf numFmtId="0" fontId="9" fillId="0" borderId="0" pivotButton="0" quotePrefix="0" xfId="0"/>
    <xf numFmtId="0" fontId="7" fillId="0" borderId="1" pivotButton="0" quotePrefix="0" xfId="0"/>
    <xf numFmtId="0" fontId="10" fillId="0" borderId="0" pivotButton="0" quotePrefix="0" xfId="0"/>
    <xf numFmtId="0" fontId="10" fillId="0" borderId="1" pivotButton="0" quotePrefix="0" xfId="0"/>
    <xf numFmtId="9" fontId="0" fillId="4" borderId="1" pivotButton="0" quotePrefix="0" xfId="0"/>
    <xf numFmtId="168" fontId="0" fillId="4" borderId="1" pivotButton="0" quotePrefix="0" xfId="0"/>
    <xf numFmtId="10" fontId="0" fillId="6" borderId="1" pivotButton="0" quotePrefix="0" xfId="0"/>
    <xf numFmtId="164" fontId="0" fillId="6" borderId="1" pivotButton="0" quotePrefix="0" xfId="0"/>
    <xf numFmtId="2" fontId="0" fillId="6" borderId="1" pivotButton="0" quotePrefix="0" xfId="0"/>
    <xf numFmtId="2" fontId="0" fillId="5" borderId="1" pivotButton="0" quotePrefix="0" xfId="0"/>
    <xf numFmtId="0" fontId="11" fillId="0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7"/>
  <sheetViews>
    <sheetView showGridLines="0" workbookViewId="0">
      <selection activeCell="A1" sqref="A1"/>
    </sheetView>
  </sheetViews>
  <sheetFormatPr baseColWidth="8" defaultRowHeight="15" outlineLevelCol="0"/>
  <cols>
    <col width="112" customWidth="1" min="1" max="1"/>
  </cols>
  <sheetData>
    <row r="1">
      <c r="A1" s="1" t="inlineStr">
        <is>
          <t>PC STRESS FRAMEWORK — BOTTOM-UP DEAL-LEVEL SCENARIO MODEL</t>
        </is>
      </c>
    </row>
    <row r="2">
      <c r="A2" s="2" t="inlineStr">
        <is>
          <t>30 fictional sponsor-backed direct-lending deals, GICS-tagged, run through Engine B (bottom-up fundamental) of PC_Stress_Framework.html</t>
        </is>
      </c>
    </row>
    <row r="4">
      <c r="A4" s="3" t="inlineStr"/>
    </row>
    <row r="5">
      <c r="A5" s="4" t="inlineStr">
        <is>
          <t>SCOPE</t>
        </is>
      </c>
    </row>
    <row r="6">
      <c r="A6" s="3" t="inlineStr">
        <is>
          <t>This is the bottom-up, deal-level half of the internal PC Stress Framework only (Engine B: revenue -&gt; EBITDA -&gt;</t>
        </is>
      </c>
    </row>
    <row r="7">
      <c r="A7" s="3" t="inlineStr">
        <is>
          <t>coverage -&gt; LTV, Section 5 of PC_Stress_Framework.html). It does not include Engine A (market/APT marks), Engine C</t>
        </is>
      </c>
    </row>
    <row r="8">
      <c r="A8" s="3" t="inlineStr">
        <is>
          <t>(Vasicek/Monte Carlo loss distribution) or Lens D (fund-level liquidity) -- those operate at portfolio level and are</t>
        </is>
      </c>
    </row>
    <row r="9">
      <c r="A9" s="3" t="inlineStr">
        <is>
          <t>out of scope for a deal-by-deal build. All company names, sponsors and financials are fictional but internally</t>
        </is>
      </c>
    </row>
    <row r="10">
      <c r="A10" s="3" t="inlineStr">
        <is>
          <t>consistent (see 2_Deal_Tape for the construction).</t>
        </is>
      </c>
    </row>
    <row r="11">
      <c r="A11" s="3" t="inlineStr"/>
    </row>
    <row r="12">
      <c r="A12" s="4" t="inlineStr">
        <is>
          <t>THE FORMULA CHAIN (identical to the Northwind worked example, PC_Stress_Framework.html Section 5)</t>
        </is>
      </c>
    </row>
    <row r="13">
      <c r="A13" s="3" t="inlineStr">
        <is>
          <t>[B1] EBITDA after operating leverage:      E_s = E0 x (1 + Rev_shock% x OperatingLeverage)</t>
        </is>
      </c>
    </row>
    <row r="14">
      <c r="A14" s="3" t="inlineStr">
        <is>
          <t>[B3] Cash interest, on gross drawn debt:   Int_s = NetDebt x (StressedRefRate% + CouponMargin%)</t>
        </is>
      </c>
    </row>
    <row r="15">
      <c r="A15" s="3" t="inlineStr">
        <is>
          <t>[B4] Leverage test:                        Lev_s = NetDebt / E_s                      vs Leverage Covenant</t>
        </is>
      </c>
    </row>
    <row r="16">
      <c r="A16" s="3" t="inlineStr">
        <is>
          <t>[B4] Fixed charge cover ("Cashflow Cover"): FCCR_s = (E_s - Capex - CashTax) / (Int_s + ScheduledAmort)  vs FCCR Covenant</t>
        </is>
      </c>
    </row>
    <row r="17">
      <c r="A17" s="3" t="inlineStr">
        <is>
          <t>[B5] Enterprise value and moneyness:       EV_s = E_s x (CurrentMult x (1 + Mult_shock%));  LTV_s = NetDebt / EV_s</t>
        </is>
      </c>
    </row>
    <row r="18">
      <c r="A18" s="3" t="inlineStr"/>
    </row>
    <row r="19">
      <c r="A19" s="4" t="inlineStr">
        <is>
          <t>"FLATLINE" — WHAT IT MEANS HERE (the framework's Section 8 / C5 "distance-to-covenant" concept)</t>
        </is>
      </c>
    </row>
    <row r="20">
      <c r="A20" s="3" t="inlineStr">
        <is>
          <t>Flatline answers: starting from the STRESSED (post-scenario) EBITDA, holding debt, rate and multiple exactly where</t>
        </is>
      </c>
    </row>
    <row r="21">
      <c r="A21" s="3" t="inlineStr">
        <is>
          <t>the scenario leaves them, how much FURTHER could EBITDA fall -- flatline from here, no further growth assumed --</t>
        </is>
      </c>
    </row>
    <row r="22">
      <c r="A22" s="3" t="inlineStr">
        <is>
          <t>before this specific covenant is breached? It is solved directly from each covenant's own algebra:</t>
        </is>
      </c>
    </row>
    <row r="23">
      <c r="A23" s="3" t="inlineStr">
        <is>
          <t xml:space="preserve">  Leverage E* (breakeven EBITDA) = NetDebt / LeverageCovenant.   Leverage Flatline = (E_s - E*) / E_s</t>
        </is>
      </c>
    </row>
    <row r="24">
      <c r="A24" s="3" t="inlineStr">
        <is>
          <t xml:space="preserve">  FCCR E* (breakeven EBITDA) = FCCRCovenant x (Int_s + Amort) + Capex_s + CashTax_s.   FCCR Flatline = (E_s - E*) / E_s</t>
        </is>
      </c>
    </row>
    <row r="25">
      <c r="A25" s="3" t="inlineStr">
        <is>
          <t xml:space="preserve">  Both Flatline figures are read as: this fraction of the STRESSED EBITDA could still be lost before that specific</t>
        </is>
      </c>
    </row>
    <row r="26">
      <c r="A26" s="3" t="inlineStr">
        <is>
          <t xml:space="preserve">  covenant breaches. Capex_s and CashTax_s are held fixed in dollars at their stressed-scenario level while solving.</t>
        </is>
      </c>
    </row>
    <row r="27">
      <c r="A27" s="3" t="inlineStr">
        <is>
          <t>A negative Flatline means the covenant is ALREADY breached at the stressed level -- the number shows by how much.</t>
        </is>
      </c>
    </row>
    <row r="28">
      <c r="A28" s="3" t="inlineStr">
        <is>
          <t>This is exactly PC_Stress_Framework.html Section 8's worked calculation ("What EBITDA breaches the leverage</t>
        </is>
      </c>
    </row>
    <row r="29">
      <c r="A29" s="3" t="inlineStr">
        <is>
          <t>covenant?"), generalised to run on all 30 names and both covenants at once. C5 in the framework names this the</t>
        </is>
      </c>
    </row>
    <row r="30">
      <c r="A30" s="3" t="inlineStr">
        <is>
          <t>single highest-priority standing monitoring metric: it moves before any loss appears.</t>
        </is>
      </c>
    </row>
    <row r="31">
      <c r="A31" s="3" t="inlineStr"/>
    </row>
    <row r="32">
      <c r="A32" s="4" t="inlineStr">
        <is>
          <t>FRAMEWORK-REQUIRED ASSUMPTIONS NOT ON YOUR ORIGINAL FIELD LIST</t>
        </is>
      </c>
    </row>
    <row r="33">
      <c r="A33" s="3" t="inlineStr">
        <is>
          <t>The B1-B5 chain needs a few more inputs than the field list specified, or it cannot run. Added, clearly flagged</t>
        </is>
      </c>
    </row>
    <row r="34">
      <c r="A34" s="3" t="inlineStr">
        <is>
          <t>blue on 2_Deal_Tape, with illustrative defaults you should override: Operating Leverage (B1), Leverage Covenant</t>
        </is>
      </c>
    </row>
    <row r="35">
      <c r="A35" s="3" t="inlineStr">
        <is>
          <t>and FCCR Covenant thresholds (B4 needs a level to test against, not just the ratio), Capex % of revenue and Cash</t>
        </is>
      </c>
    </row>
    <row r="36">
      <c r="A36" s="3" t="inlineStr">
        <is>
          <t>Tax % of EBITDA (both needed for the FCCR definition used in the framework -- a simplified interest-cover-only</t>
        </is>
      </c>
    </row>
    <row r="37">
      <c r="A37" s="3" t="inlineStr">
        <is>
          <t>substitute was deliberately NOT used, to stay faithful to Section 5 Step 7), and Scheduled Amortisation % of debt.</t>
        </is>
      </c>
    </row>
    <row r="38">
      <c r="A38" s="3" t="inlineStr"/>
    </row>
    <row r="39">
      <c r="A39" s="4" t="inlineStr">
        <is>
          <t>THE SHOCK INPUT PAGE</t>
        </is>
      </c>
    </row>
    <row r="40">
      <c r="A40" s="3" t="inlineStr">
        <is>
          <t>1_GICS_Shock_Input operates at GICS Sub-Industry level (163 rows, the full official taxonomy, reused from the</t>
        </is>
      </c>
    </row>
    <row r="41">
      <c r="A41" s="3" t="inlineStr">
        <is>
          <t>earlier UK GICS propagation work this session). Four editable columns per sub-industry: Revenue Shock %, EV/EBITDA</t>
        </is>
      </c>
    </row>
    <row r="42">
      <c r="A42" s="3" t="inlineStr">
        <is>
          <t>Multiple Shock %, Spread Widening (bps, feeds the mark-to-market column via each deal's own spread duration), and</t>
        </is>
      </c>
    </row>
    <row r="43">
      <c r="A43" s="3" t="inlineStr">
        <is>
          <t>Emerging Risk Revenue Overlay % -- a second, ADDITIVE revenue shock for a thematic/idiosyncratic risk (e.g. AI</t>
        </is>
      </c>
    </row>
    <row r="44">
      <c r="A44" s="3" t="inlineStr">
        <is>
          <t>displacement, tariff exposure) that does not move with the systematic scenario, matching the framework's Section</t>
        </is>
      </c>
    </row>
    <row r="45">
      <c r="A45" s="3" t="inlineStr">
        <is>
          <t>14 AI-displacement treatment as a distinct additive channel on top of [B1], not a replacement for it. All 163 rows</t>
        </is>
      </c>
    </row>
    <row r="46">
      <c r="A46" s="3" t="inlineStr">
        <is>
          <t>default to 0%; the ~28 sub-industries the 30 deals actually sit in are pre-populated with an illustrative moderate</t>
        </is>
      </c>
    </row>
    <row r="47">
      <c r="A47" s="3" t="inlineStr">
        <is>
          <t>recession scenario -- overwrite freely. Two global assumptions (Current Reference Rate, Reference Rate Shock) sit</t>
        </is>
      </c>
    </row>
    <row r="48">
      <c r="A48" s="3" t="inlineStr">
        <is>
          <t>at the bottom of the same sheet, since a rate shock is portfolio-wide, not GICS-specific (matching Northwind's</t>
        </is>
      </c>
    </row>
    <row r="49">
      <c r="A49" s="3" t="inlineStr">
        <is>
          <t>single macro rate shock, not a sector-differentiated one).</t>
        </is>
      </c>
    </row>
    <row r="50">
      <c r="A50" s="3" t="inlineStr"/>
    </row>
    <row r="51">
      <c r="A51" s="4" t="inlineStr">
        <is>
          <t>MARK-TO-MARKET</t>
        </is>
      </c>
    </row>
    <row r="52">
      <c r="A52" s="3" t="inlineStr">
        <is>
          <t>Deal Price Impact % = -SpreadDuration x (Spread Widening from the matched GICS row, in decimal). This is Engine</t>
        </is>
      </c>
    </row>
    <row r="53">
      <c r="A53" s="3" t="inlineStr">
        <is>
          <t>A's analytic (spread-duration x delta-spread), included here per your request for a per-deal spread duration and</t>
        </is>
      </c>
    </row>
    <row r="54">
      <c r="A54" s="3" t="inlineStr">
        <is>
          <t>Z-spread input, even though this workbook is otherwise Engine B territory -- it is the one Engine A calculation</t>
        </is>
      </c>
    </row>
    <row r="55">
      <c r="A55" s="3" t="inlineStr">
        <is>
          <t>simple enough to run per-name without a factor model.</t>
        </is>
      </c>
    </row>
    <row r="56">
      <c r="A56" s="3" t="inlineStr"/>
    </row>
    <row r="57">
      <c r="A57" s="4" t="inlineStr">
        <is>
          <t>SHEET GUIDE</t>
        </is>
      </c>
    </row>
    <row r="58">
      <c r="A58" s="3" t="inlineStr">
        <is>
          <t>1_GICS_Shock_Input   163 GICS sub-industries, 4 shock columns, 2 global rate assumptions. Values only.</t>
        </is>
      </c>
    </row>
    <row r="59">
      <c r="A59" s="3" t="inlineStr">
        <is>
          <t>2_Deal_Tape          30 deals: your requested fields + framework-required assumptions (flagged). Values only.</t>
        </is>
      </c>
    </row>
    <row r="60">
      <c r="A60" s="3" t="inlineStr">
        <is>
          <t>3_Scenario_Engine     30 rows x ~35 output columns: GICS shock lookup through to covenant headroom and Flatline.</t>
        </is>
      </c>
    </row>
    <row r="61">
      <c r="A61" s="3" t="inlineStr">
        <is>
          <t>4_Portfolio_Summary  Roll-up: weighted leverage/LTV, breach counts, total invested vs total stressed MTM.</t>
        </is>
      </c>
    </row>
    <row r="62">
      <c r="A62" s="3" t="inlineStr"/>
    </row>
    <row r="63">
      <c r="A63" s="4" t="inlineStr">
        <is>
          <t>SOURCES</t>
        </is>
      </c>
    </row>
    <row r="64">
      <c r="A64" s="3" t="inlineStr">
        <is>
          <t>Formula chain: PC_Stress_Framework.html / .pdf, Section 5 (Northwind Business Services worked example) and</t>
        </is>
      </c>
    </row>
    <row r="65">
      <c r="A65" s="3" t="inlineStr">
        <is>
          <t>Section 8 (distance-to-covenant). GICS structure: MSCI/S&amp;P Global Industry Classification Standard, 163 sub-</t>
        </is>
      </c>
    </row>
    <row r="66">
      <c r="A66" s="3" t="inlineStr">
        <is>
          <t>industries (same reference data used in GICS_Shock_Propagation_L1_to_L4.xlsx and UK_Revenue_EVEBITDA_Cascade.xlsx</t>
        </is>
      </c>
    </row>
    <row r="67">
      <c r="A67" s="3" t="inlineStr">
        <is>
          <t>this session). All deal financials, sponsors and descriptions are fictional and internally consistent, not real names.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0"/>
  <sheetViews>
    <sheetView showGridLines="0"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2" customWidth="1" min="1" max="1"/>
    <col width="34" customWidth="1" min="2" max="2"/>
    <col width="26" customWidth="1" min="3" max="3"/>
    <col width="16" customWidth="1" min="4" max="4"/>
    <col width="15" customWidth="1" min="5" max="5"/>
    <col width="18" customWidth="1" min="6" max="6"/>
    <col width="16" customWidth="1" min="7" max="7"/>
    <col width="20" customWidth="1" min="8" max="8"/>
  </cols>
  <sheetData>
    <row r="1" ht="52" customHeight="1">
      <c r="A1" t="inlineStr">
        <is>
          <t>PASTE ZONE / VALUES ONLY. GICS Sub-Industry level, all 163 official categories. Revenue Shock and EV/EBITDA Multiple Shock are the systematic scenario; Emerging Risk Revenue Overlay is an ADDITIVE second revenue shock for a thematic/idiosyncratic risk (e.g. AI displacement) layered on top, per PC_Stress_Framework.html Section 14. Spread Widening feeds the mark-to-market column via each deal's own spread duration. The 30 rows the deals actually use are pre-filled with an illustrative moderate-recession scenario — overwrite freely; the other 133 default to 0%.</t>
        </is>
      </c>
    </row>
    <row r="3" ht="30" customHeight="1">
      <c r="A3" s="5" t="inlineStr">
        <is>
          <t>Sub-Ind Code</t>
        </is>
      </c>
      <c r="B3" s="5" t="inlineStr">
        <is>
          <t>Sub-Industry</t>
        </is>
      </c>
      <c r="C3" s="5" t="inlineStr">
        <is>
          <t>Industry</t>
        </is>
      </c>
      <c r="D3" s="5" t="inlineStr">
        <is>
          <t>Sector</t>
        </is>
      </c>
      <c r="E3" s="5" t="inlineStr">
        <is>
          <t>Revenue
Shock %</t>
        </is>
      </c>
      <c r="F3" s="5" t="inlineStr">
        <is>
          <t>EV/EBITDA Multiple
Shock %</t>
        </is>
      </c>
      <c r="G3" s="5" t="inlineStr">
        <is>
          <t>Spread Widening
(bps)</t>
        </is>
      </c>
      <c r="H3" s="5" t="inlineStr">
        <is>
          <t>Emerging Risk Revenue
Overlay %</t>
        </is>
      </c>
    </row>
    <row r="4">
      <c r="A4" s="6" t="n">
        <v>10101010</v>
      </c>
      <c r="B4" s="6" t="inlineStr">
        <is>
          <t>Oil &amp; Gas Drilling</t>
        </is>
      </c>
      <c r="C4" s="6" t="inlineStr">
        <is>
          <t>Energy Equipment &amp; Services</t>
        </is>
      </c>
      <c r="D4" s="6" t="inlineStr">
        <is>
          <t>Energy</t>
        </is>
      </c>
      <c r="E4" s="7" t="n">
        <v>0</v>
      </c>
      <c r="F4" s="7" t="n">
        <v>0</v>
      </c>
      <c r="G4" s="8" t="n">
        <v>0</v>
      </c>
      <c r="H4" s="7" t="n">
        <v>0</v>
      </c>
    </row>
    <row r="5">
      <c r="A5" s="6" t="n">
        <v>10101020</v>
      </c>
      <c r="B5" s="6" t="inlineStr">
        <is>
          <t>Oil &amp; Gas Equipment &amp; Services</t>
        </is>
      </c>
      <c r="C5" s="6" t="inlineStr">
        <is>
          <t>Energy Equipment &amp; Services</t>
        </is>
      </c>
      <c r="D5" s="6" t="inlineStr">
        <is>
          <t>Energy</t>
        </is>
      </c>
      <c r="E5" s="7" t="n">
        <v>0</v>
      </c>
      <c r="F5" s="7" t="n">
        <v>0</v>
      </c>
      <c r="G5" s="8" t="n">
        <v>0</v>
      </c>
      <c r="H5" s="7" t="n">
        <v>0</v>
      </c>
    </row>
    <row r="6">
      <c r="A6" s="6" t="n">
        <v>10102010</v>
      </c>
      <c r="B6" s="6" t="inlineStr">
        <is>
          <t>Integrated Oil &amp; Gas</t>
        </is>
      </c>
      <c r="C6" s="6" t="inlineStr">
        <is>
          <t>Oil, Gas &amp; Consumable Fuels</t>
        </is>
      </c>
      <c r="D6" s="6" t="inlineStr">
        <is>
          <t>Energy</t>
        </is>
      </c>
      <c r="E6" s="7" t="n">
        <v>0</v>
      </c>
      <c r="F6" s="7" t="n">
        <v>0</v>
      </c>
      <c r="G6" s="8" t="n">
        <v>0</v>
      </c>
      <c r="H6" s="7" t="n">
        <v>0</v>
      </c>
    </row>
    <row r="7">
      <c r="A7" s="6" t="n">
        <v>10102020</v>
      </c>
      <c r="B7" s="6" t="inlineStr">
        <is>
          <t>Oil &amp; Gas Exploration &amp; Production</t>
        </is>
      </c>
      <c r="C7" s="6" t="inlineStr">
        <is>
          <t>Oil, Gas &amp; Consumable Fuels</t>
        </is>
      </c>
      <c r="D7" s="6" t="inlineStr">
        <is>
          <t>Energy</t>
        </is>
      </c>
      <c r="E7" s="7" t="n">
        <v>0</v>
      </c>
      <c r="F7" s="7" t="n">
        <v>0</v>
      </c>
      <c r="G7" s="8" t="n">
        <v>0</v>
      </c>
      <c r="H7" s="7" t="n">
        <v>0</v>
      </c>
    </row>
    <row r="8">
      <c r="A8" s="6" t="n">
        <v>10102030</v>
      </c>
      <c r="B8" s="6" t="inlineStr">
        <is>
          <t>Oil &amp; Gas Refining &amp; Marketing</t>
        </is>
      </c>
      <c r="C8" s="6" t="inlineStr">
        <is>
          <t>Oil, Gas &amp; Consumable Fuels</t>
        </is>
      </c>
      <c r="D8" s="6" t="inlineStr">
        <is>
          <t>Energy</t>
        </is>
      </c>
      <c r="E8" s="7" t="n">
        <v>0</v>
      </c>
      <c r="F8" s="7" t="n">
        <v>0</v>
      </c>
      <c r="G8" s="8" t="n">
        <v>0</v>
      </c>
      <c r="H8" s="7" t="n">
        <v>0</v>
      </c>
    </row>
    <row r="9">
      <c r="A9" s="6" t="n">
        <v>10102040</v>
      </c>
      <c r="B9" s="6" t="inlineStr">
        <is>
          <t>Oil &amp; Gas Storage &amp; Transportation</t>
        </is>
      </c>
      <c r="C9" s="6" t="inlineStr">
        <is>
          <t>Oil, Gas &amp; Consumable Fuels</t>
        </is>
      </c>
      <c r="D9" s="6" t="inlineStr">
        <is>
          <t>Energy</t>
        </is>
      </c>
      <c r="E9" s="7" t="n">
        <v>0</v>
      </c>
      <c r="F9" s="7" t="n">
        <v>0</v>
      </c>
      <c r="G9" s="8" t="n">
        <v>0</v>
      </c>
      <c r="H9" s="7" t="n">
        <v>0</v>
      </c>
    </row>
    <row r="10">
      <c r="A10" s="6" t="n">
        <v>10102050</v>
      </c>
      <c r="B10" s="6" t="inlineStr">
        <is>
          <t>Coal &amp; Consumable Fuels</t>
        </is>
      </c>
      <c r="C10" s="6" t="inlineStr">
        <is>
          <t>Oil, Gas &amp; Consumable Fuels</t>
        </is>
      </c>
      <c r="D10" s="6" t="inlineStr">
        <is>
          <t>Energy</t>
        </is>
      </c>
      <c r="E10" s="7" t="n">
        <v>0</v>
      </c>
      <c r="F10" s="7" t="n">
        <v>0</v>
      </c>
      <c r="G10" s="8" t="n">
        <v>0</v>
      </c>
      <c r="H10" s="7" t="n">
        <v>0</v>
      </c>
    </row>
    <row r="11">
      <c r="A11" s="6" t="n">
        <v>15101010</v>
      </c>
      <c r="B11" s="6" t="inlineStr">
        <is>
          <t>Commodity Chemicals</t>
        </is>
      </c>
      <c r="C11" s="6" t="inlineStr">
        <is>
          <t>Chemicals</t>
        </is>
      </c>
      <c r="D11" s="6" t="inlineStr">
        <is>
          <t>Materials</t>
        </is>
      </c>
      <c r="E11" s="7" t="n">
        <v>0</v>
      </c>
      <c r="F11" s="7" t="n">
        <v>0</v>
      </c>
      <c r="G11" s="8" t="n">
        <v>0</v>
      </c>
      <c r="H11" s="7" t="n">
        <v>0</v>
      </c>
    </row>
    <row r="12">
      <c r="A12" s="6" t="n">
        <v>15101020</v>
      </c>
      <c r="B12" s="6" t="inlineStr">
        <is>
          <t>Diversified Chemicals</t>
        </is>
      </c>
      <c r="C12" s="6" t="inlineStr">
        <is>
          <t>Chemicals</t>
        </is>
      </c>
      <c r="D12" s="6" t="inlineStr">
        <is>
          <t>Materials</t>
        </is>
      </c>
      <c r="E12" s="7" t="n">
        <v>0</v>
      </c>
      <c r="F12" s="7" t="n">
        <v>0</v>
      </c>
      <c r="G12" s="8" t="n">
        <v>0</v>
      </c>
      <c r="H12" s="7" t="n">
        <v>0</v>
      </c>
    </row>
    <row r="13">
      <c r="A13" s="6" t="n">
        <v>15101030</v>
      </c>
      <c r="B13" s="6" t="inlineStr">
        <is>
          <t>Fertilizers &amp; Agricultural Chemicals</t>
        </is>
      </c>
      <c r="C13" s="6" t="inlineStr">
        <is>
          <t>Chemicals</t>
        </is>
      </c>
      <c r="D13" s="6" t="inlineStr">
        <is>
          <t>Materials</t>
        </is>
      </c>
      <c r="E13" s="7" t="n">
        <v>0</v>
      </c>
      <c r="F13" s="7" t="n">
        <v>0</v>
      </c>
      <c r="G13" s="8" t="n">
        <v>0</v>
      </c>
      <c r="H13" s="7" t="n">
        <v>0</v>
      </c>
    </row>
    <row r="14">
      <c r="A14" s="6" t="n">
        <v>15101040</v>
      </c>
      <c r="B14" s="6" t="inlineStr">
        <is>
          <t>Industrial Gases</t>
        </is>
      </c>
      <c r="C14" s="6" t="inlineStr">
        <is>
          <t>Chemicals</t>
        </is>
      </c>
      <c r="D14" s="6" t="inlineStr">
        <is>
          <t>Materials</t>
        </is>
      </c>
      <c r="E14" s="7" t="n">
        <v>0</v>
      </c>
      <c r="F14" s="7" t="n">
        <v>0</v>
      </c>
      <c r="G14" s="8" t="n">
        <v>0</v>
      </c>
      <c r="H14" s="7" t="n">
        <v>0</v>
      </c>
    </row>
    <row r="15">
      <c r="A15" s="6" t="n">
        <v>15101050</v>
      </c>
      <c r="B15" s="6" t="inlineStr">
        <is>
          <t>Specialty Chemicals</t>
        </is>
      </c>
      <c r="C15" s="6" t="inlineStr">
        <is>
          <t>Chemicals</t>
        </is>
      </c>
      <c r="D15" s="6" t="inlineStr">
        <is>
          <t>Materials</t>
        </is>
      </c>
      <c r="E15" s="7" t="n">
        <v>-0.07000000000000001</v>
      </c>
      <c r="F15" s="7" t="n">
        <v>-0.16</v>
      </c>
      <c r="G15" s="8" t="n">
        <v>160</v>
      </c>
      <c r="H15" s="7" t="n">
        <v>0</v>
      </c>
    </row>
    <row r="16">
      <c r="A16" s="6" t="n">
        <v>15102010</v>
      </c>
      <c r="B16" s="6" t="inlineStr">
        <is>
          <t>Construction Materials</t>
        </is>
      </c>
      <c r="C16" s="6" t="inlineStr">
        <is>
          <t>Construction Materials</t>
        </is>
      </c>
      <c r="D16" s="6" t="inlineStr">
        <is>
          <t>Materials</t>
        </is>
      </c>
      <c r="E16" s="7" t="n">
        <v>0</v>
      </c>
      <c r="F16" s="7" t="n">
        <v>0</v>
      </c>
      <c r="G16" s="8" t="n">
        <v>0</v>
      </c>
      <c r="H16" s="7" t="n">
        <v>0</v>
      </c>
    </row>
    <row r="17">
      <c r="A17" s="6" t="n">
        <v>15103010</v>
      </c>
      <c r="B17" s="6" t="inlineStr">
        <is>
          <t>Metal, Glass &amp; Plastic Containers</t>
        </is>
      </c>
      <c r="C17" s="6" t="inlineStr">
        <is>
          <t>Containers &amp; Packaging</t>
        </is>
      </c>
      <c r="D17" s="6" t="inlineStr">
        <is>
          <t>Materials</t>
        </is>
      </c>
      <c r="E17" s="7" t="n">
        <v>0</v>
      </c>
      <c r="F17" s="7" t="n">
        <v>0</v>
      </c>
      <c r="G17" s="8" t="n">
        <v>0</v>
      </c>
      <c r="H17" s="7" t="n">
        <v>0</v>
      </c>
    </row>
    <row r="18">
      <c r="A18" s="6" t="n">
        <v>15103020</v>
      </c>
      <c r="B18" s="6" t="inlineStr">
        <is>
          <t>Paper &amp; Plastic Packaging Products &amp; Materials</t>
        </is>
      </c>
      <c r="C18" s="6" t="inlineStr">
        <is>
          <t>Containers &amp; Packaging</t>
        </is>
      </c>
      <c r="D18" s="6" t="inlineStr">
        <is>
          <t>Materials</t>
        </is>
      </c>
      <c r="E18" s="7" t="n">
        <v>0</v>
      </c>
      <c r="F18" s="7" t="n">
        <v>0</v>
      </c>
      <c r="G18" s="8" t="n">
        <v>0</v>
      </c>
      <c r="H18" s="7" t="n">
        <v>0</v>
      </c>
    </row>
    <row r="19">
      <c r="A19" s="6" t="n">
        <v>15104010</v>
      </c>
      <c r="B19" s="6" t="inlineStr">
        <is>
          <t>Aluminum</t>
        </is>
      </c>
      <c r="C19" s="6" t="inlineStr">
        <is>
          <t>Metals &amp; Mining</t>
        </is>
      </c>
      <c r="D19" s="6" t="inlineStr">
        <is>
          <t>Materials</t>
        </is>
      </c>
      <c r="E19" s="7" t="n">
        <v>0</v>
      </c>
      <c r="F19" s="7" t="n">
        <v>0</v>
      </c>
      <c r="G19" s="8" t="n">
        <v>0</v>
      </c>
      <c r="H19" s="7" t="n">
        <v>0</v>
      </c>
    </row>
    <row r="20">
      <c r="A20" s="6" t="n">
        <v>15104020</v>
      </c>
      <c r="B20" s="6" t="inlineStr">
        <is>
          <t>Diversified Metals &amp; Mining</t>
        </is>
      </c>
      <c r="C20" s="6" t="inlineStr">
        <is>
          <t>Metals &amp; Mining</t>
        </is>
      </c>
      <c r="D20" s="6" t="inlineStr">
        <is>
          <t>Materials</t>
        </is>
      </c>
      <c r="E20" s="7" t="n">
        <v>0</v>
      </c>
      <c r="F20" s="7" t="n">
        <v>0</v>
      </c>
      <c r="G20" s="8" t="n">
        <v>0</v>
      </c>
      <c r="H20" s="7" t="n">
        <v>0</v>
      </c>
    </row>
    <row r="21">
      <c r="A21" s="6" t="n">
        <v>15104025</v>
      </c>
      <c r="B21" s="6" t="inlineStr">
        <is>
          <t>Copper</t>
        </is>
      </c>
      <c r="C21" s="6" t="inlineStr">
        <is>
          <t>Metals &amp; Mining</t>
        </is>
      </c>
      <c r="D21" s="6" t="inlineStr">
        <is>
          <t>Materials</t>
        </is>
      </c>
      <c r="E21" s="7" t="n">
        <v>0</v>
      </c>
      <c r="F21" s="7" t="n">
        <v>0</v>
      </c>
      <c r="G21" s="8" t="n">
        <v>0</v>
      </c>
      <c r="H21" s="7" t="n">
        <v>0</v>
      </c>
    </row>
    <row r="22">
      <c r="A22" s="6" t="n">
        <v>15104030</v>
      </c>
      <c r="B22" s="6" t="inlineStr">
        <is>
          <t>Gold</t>
        </is>
      </c>
      <c r="C22" s="6" t="inlineStr">
        <is>
          <t>Metals &amp; Mining</t>
        </is>
      </c>
      <c r="D22" s="6" t="inlineStr">
        <is>
          <t>Materials</t>
        </is>
      </c>
      <c r="E22" s="7" t="n">
        <v>0</v>
      </c>
      <c r="F22" s="7" t="n">
        <v>0</v>
      </c>
      <c r="G22" s="8" t="n">
        <v>0</v>
      </c>
      <c r="H22" s="7" t="n">
        <v>0</v>
      </c>
    </row>
    <row r="23">
      <c r="A23" s="6" t="n">
        <v>15104040</v>
      </c>
      <c r="B23" s="6" t="inlineStr">
        <is>
          <t>Precious Metals &amp; Minerals</t>
        </is>
      </c>
      <c r="C23" s="6" t="inlineStr">
        <is>
          <t>Metals &amp; Mining</t>
        </is>
      </c>
      <c r="D23" s="6" t="inlineStr">
        <is>
          <t>Materials</t>
        </is>
      </c>
      <c r="E23" s="7" t="n">
        <v>0</v>
      </c>
      <c r="F23" s="7" t="n">
        <v>0</v>
      </c>
      <c r="G23" s="8" t="n">
        <v>0</v>
      </c>
      <c r="H23" s="7" t="n">
        <v>0</v>
      </c>
    </row>
    <row r="24">
      <c r="A24" s="6" t="n">
        <v>15104045</v>
      </c>
      <c r="B24" s="6" t="inlineStr">
        <is>
          <t>Silver</t>
        </is>
      </c>
      <c r="C24" s="6" t="inlineStr">
        <is>
          <t>Metals &amp; Mining</t>
        </is>
      </c>
      <c r="D24" s="6" t="inlineStr">
        <is>
          <t>Materials</t>
        </is>
      </c>
      <c r="E24" s="7" t="n">
        <v>0</v>
      </c>
      <c r="F24" s="7" t="n">
        <v>0</v>
      </c>
      <c r="G24" s="8" t="n">
        <v>0</v>
      </c>
      <c r="H24" s="7" t="n">
        <v>0</v>
      </c>
    </row>
    <row r="25">
      <c r="A25" s="6" t="n">
        <v>15104050</v>
      </c>
      <c r="B25" s="6" t="inlineStr">
        <is>
          <t>Steel</t>
        </is>
      </c>
      <c r="C25" s="6" t="inlineStr">
        <is>
          <t>Metals &amp; Mining</t>
        </is>
      </c>
      <c r="D25" s="6" t="inlineStr">
        <is>
          <t>Materials</t>
        </is>
      </c>
      <c r="E25" s="7" t="n">
        <v>0</v>
      </c>
      <c r="F25" s="7" t="n">
        <v>0</v>
      </c>
      <c r="G25" s="8" t="n">
        <v>0</v>
      </c>
      <c r="H25" s="7" t="n">
        <v>0</v>
      </c>
    </row>
    <row r="26">
      <c r="A26" s="6" t="n">
        <v>15105010</v>
      </c>
      <c r="B26" s="6" t="inlineStr">
        <is>
          <t>Forest Products</t>
        </is>
      </c>
      <c r="C26" s="6" t="inlineStr">
        <is>
          <t>Paper &amp; Forest Products</t>
        </is>
      </c>
      <c r="D26" s="6" t="inlineStr">
        <is>
          <t>Materials</t>
        </is>
      </c>
      <c r="E26" s="7" t="n">
        <v>0</v>
      </c>
      <c r="F26" s="7" t="n">
        <v>0</v>
      </c>
      <c r="G26" s="8" t="n">
        <v>0</v>
      </c>
      <c r="H26" s="7" t="n">
        <v>0</v>
      </c>
    </row>
    <row r="27">
      <c r="A27" s="6" t="n">
        <v>15105020</v>
      </c>
      <c r="B27" s="6" t="inlineStr">
        <is>
          <t>Paper Products</t>
        </is>
      </c>
      <c r="C27" s="6" t="inlineStr">
        <is>
          <t>Paper &amp; Forest Products</t>
        </is>
      </c>
      <c r="D27" s="6" t="inlineStr">
        <is>
          <t>Materials</t>
        </is>
      </c>
      <c r="E27" s="7" t="n">
        <v>0</v>
      </c>
      <c r="F27" s="7" t="n">
        <v>0</v>
      </c>
      <c r="G27" s="8" t="n">
        <v>0</v>
      </c>
      <c r="H27" s="7" t="n">
        <v>0</v>
      </c>
    </row>
    <row r="28">
      <c r="A28" s="6" t="n">
        <v>20101010</v>
      </c>
      <c r="B28" s="6" t="inlineStr">
        <is>
          <t>Aerospace &amp; Defense</t>
        </is>
      </c>
      <c r="C28" s="6" t="inlineStr">
        <is>
          <t>Aerospace &amp; Defense</t>
        </is>
      </c>
      <c r="D28" s="6" t="inlineStr">
        <is>
          <t>Industrials</t>
        </is>
      </c>
      <c r="E28" s="7" t="n">
        <v>0</v>
      </c>
      <c r="F28" s="7" t="n">
        <v>0</v>
      </c>
      <c r="G28" s="8" t="n">
        <v>0</v>
      </c>
      <c r="H28" s="7" t="n">
        <v>0</v>
      </c>
    </row>
    <row r="29">
      <c r="A29" s="6" t="n">
        <v>20102010</v>
      </c>
      <c r="B29" s="6" t="inlineStr">
        <is>
          <t>Building Products</t>
        </is>
      </c>
      <c r="C29" s="6" t="inlineStr">
        <is>
          <t>Building Products</t>
        </is>
      </c>
      <c r="D29" s="6" t="inlineStr">
        <is>
          <t>Industrials</t>
        </is>
      </c>
      <c r="E29" s="7" t="n">
        <v>-0.14</v>
      </c>
      <c r="F29" s="7" t="n">
        <v>-0.24</v>
      </c>
      <c r="G29" s="8" t="n">
        <v>230</v>
      </c>
      <c r="H29" s="7" t="n">
        <v>0</v>
      </c>
    </row>
    <row r="30">
      <c r="A30" s="6" t="n">
        <v>20103010</v>
      </c>
      <c r="B30" s="6" t="inlineStr">
        <is>
          <t>Construction &amp; Engineering</t>
        </is>
      </c>
      <c r="C30" s="6" t="inlineStr">
        <is>
          <t>Construction &amp; Engineering</t>
        </is>
      </c>
      <c r="D30" s="6" t="inlineStr">
        <is>
          <t>Industrials</t>
        </is>
      </c>
      <c r="E30" s="7" t="n">
        <v>0</v>
      </c>
      <c r="F30" s="7" t="n">
        <v>0</v>
      </c>
      <c r="G30" s="8" t="n">
        <v>0</v>
      </c>
      <c r="H30" s="7" t="n">
        <v>0</v>
      </c>
    </row>
    <row r="31">
      <c r="A31" s="6" t="n">
        <v>20104010</v>
      </c>
      <c r="B31" s="6" t="inlineStr">
        <is>
          <t>Electrical Components &amp; Equipment</t>
        </is>
      </c>
      <c r="C31" s="6" t="inlineStr">
        <is>
          <t>Electrical Equipment</t>
        </is>
      </c>
      <c r="D31" s="6" t="inlineStr">
        <is>
          <t>Industrials</t>
        </is>
      </c>
      <c r="E31" s="7" t="n">
        <v>0</v>
      </c>
      <c r="F31" s="7" t="n">
        <v>0</v>
      </c>
      <c r="G31" s="8" t="n">
        <v>0</v>
      </c>
      <c r="H31" s="7" t="n">
        <v>0</v>
      </c>
    </row>
    <row r="32">
      <c r="A32" s="6" t="n">
        <v>20104020</v>
      </c>
      <c r="B32" s="6" t="inlineStr">
        <is>
          <t>Heavy Electrical Equipment</t>
        </is>
      </c>
      <c r="C32" s="6" t="inlineStr">
        <is>
          <t>Electrical Equipment</t>
        </is>
      </c>
      <c r="D32" s="6" t="inlineStr">
        <is>
          <t>Industrials</t>
        </is>
      </c>
      <c r="E32" s="7" t="n">
        <v>0</v>
      </c>
      <c r="F32" s="7" t="n">
        <v>0</v>
      </c>
      <c r="G32" s="8" t="n">
        <v>0</v>
      </c>
      <c r="H32" s="7" t="n">
        <v>0</v>
      </c>
    </row>
    <row r="33">
      <c r="A33" s="6" t="n">
        <v>20105010</v>
      </c>
      <c r="B33" s="6" t="inlineStr">
        <is>
          <t>Industrial Conglomerates</t>
        </is>
      </c>
      <c r="C33" s="6" t="inlineStr">
        <is>
          <t>Industrial Conglomerates</t>
        </is>
      </c>
      <c r="D33" s="6" t="inlineStr">
        <is>
          <t>Industrials</t>
        </is>
      </c>
      <c r="E33" s="7" t="n">
        <v>0</v>
      </c>
      <c r="F33" s="7" t="n">
        <v>0</v>
      </c>
      <c r="G33" s="8" t="n">
        <v>0</v>
      </c>
      <c r="H33" s="7" t="n">
        <v>0</v>
      </c>
    </row>
    <row r="34">
      <c r="A34" s="6" t="n">
        <v>20106010</v>
      </c>
      <c r="B34" s="6" t="inlineStr">
        <is>
          <t>Construction Machinery &amp; Heavy Transportation Equipment</t>
        </is>
      </c>
      <c r="C34" s="6" t="inlineStr">
        <is>
          <t>Machinery</t>
        </is>
      </c>
      <c r="D34" s="6" t="inlineStr">
        <is>
          <t>Industrials</t>
        </is>
      </c>
      <c r="E34" s="7" t="n">
        <v>0</v>
      </c>
      <c r="F34" s="7" t="n">
        <v>0</v>
      </c>
      <c r="G34" s="8" t="n">
        <v>0</v>
      </c>
      <c r="H34" s="7" t="n">
        <v>0</v>
      </c>
    </row>
    <row r="35">
      <c r="A35" s="6" t="n">
        <v>20106015</v>
      </c>
      <c r="B35" s="6" t="inlineStr">
        <is>
          <t>Agricultural &amp; Farm Machinery</t>
        </is>
      </c>
      <c r="C35" s="6" t="inlineStr">
        <is>
          <t>Machinery</t>
        </is>
      </c>
      <c r="D35" s="6" t="inlineStr">
        <is>
          <t>Industrials</t>
        </is>
      </c>
      <c r="E35" s="7" t="n">
        <v>0</v>
      </c>
      <c r="F35" s="7" t="n">
        <v>0</v>
      </c>
      <c r="G35" s="8" t="n">
        <v>0</v>
      </c>
      <c r="H35" s="7" t="n">
        <v>0</v>
      </c>
    </row>
    <row r="36">
      <c r="A36" s="6" t="n">
        <v>20106020</v>
      </c>
      <c r="B36" s="6" t="inlineStr">
        <is>
          <t>Industrial Machinery &amp; Supplies &amp; Components</t>
        </is>
      </c>
      <c r="C36" s="6" t="inlineStr">
        <is>
          <t>Machinery</t>
        </is>
      </c>
      <c r="D36" s="6" t="inlineStr">
        <is>
          <t>Industrials</t>
        </is>
      </c>
      <c r="E36" s="7" t="n">
        <v>-0.09</v>
      </c>
      <c r="F36" s="7" t="n">
        <v>-0.2</v>
      </c>
      <c r="G36" s="8" t="n">
        <v>190</v>
      </c>
      <c r="H36" s="7" t="n">
        <v>0</v>
      </c>
    </row>
    <row r="37">
      <c r="A37" s="6" t="n">
        <v>20107010</v>
      </c>
      <c r="B37" s="6" t="inlineStr">
        <is>
          <t>Trading Companies &amp; Distributors</t>
        </is>
      </c>
      <c r="C37" s="6" t="inlineStr">
        <is>
          <t>Trading Companies &amp; Distributors</t>
        </is>
      </c>
      <c r="D37" s="6" t="inlineStr">
        <is>
          <t>Industrials</t>
        </is>
      </c>
      <c r="E37" s="7" t="n">
        <v>-0.06</v>
      </c>
      <c r="F37" s="7" t="n">
        <v>-0.16</v>
      </c>
      <c r="G37" s="8" t="n">
        <v>170</v>
      </c>
      <c r="H37" s="7" t="n">
        <v>0</v>
      </c>
    </row>
    <row r="38">
      <c r="A38" s="6" t="n">
        <v>20201010</v>
      </c>
      <c r="B38" s="6" t="inlineStr">
        <is>
          <t>Commercial Printing</t>
        </is>
      </c>
      <c r="C38" s="6" t="inlineStr">
        <is>
          <t>Commercial Services &amp; Supplies</t>
        </is>
      </c>
      <c r="D38" s="6" t="inlineStr">
        <is>
          <t>Industrials</t>
        </is>
      </c>
      <c r="E38" s="7" t="n">
        <v>0</v>
      </c>
      <c r="F38" s="7" t="n">
        <v>0</v>
      </c>
      <c r="G38" s="8" t="n">
        <v>0</v>
      </c>
      <c r="H38" s="7" t="n">
        <v>0</v>
      </c>
    </row>
    <row r="39">
      <c r="A39" s="6" t="n">
        <v>20201050</v>
      </c>
      <c r="B39" s="6" t="inlineStr">
        <is>
          <t>Environmental &amp; Facilities Services</t>
        </is>
      </c>
      <c r="C39" s="6" t="inlineStr">
        <is>
          <t>Commercial Services &amp; Supplies</t>
        </is>
      </c>
      <c r="D39" s="6" t="inlineStr">
        <is>
          <t>Industrials</t>
        </is>
      </c>
      <c r="E39" s="7" t="n">
        <v>-0.03</v>
      </c>
      <c r="F39" s="7" t="n">
        <v>-0.12</v>
      </c>
      <c r="G39" s="8" t="n">
        <v>130</v>
      </c>
      <c r="H39" s="7" t="n">
        <v>0</v>
      </c>
    </row>
    <row r="40">
      <c r="A40" s="6" t="n">
        <v>20201060</v>
      </c>
      <c r="B40" s="6" t="inlineStr">
        <is>
          <t>Office Services &amp; Supplies</t>
        </is>
      </c>
      <c r="C40" s="6" t="inlineStr">
        <is>
          <t>Commercial Services &amp; Supplies</t>
        </is>
      </c>
      <c r="D40" s="6" t="inlineStr">
        <is>
          <t>Industrials</t>
        </is>
      </c>
      <c r="E40" s="7" t="n">
        <v>0</v>
      </c>
      <c r="F40" s="7" t="n">
        <v>0</v>
      </c>
      <c r="G40" s="8" t="n">
        <v>0</v>
      </c>
      <c r="H40" s="7" t="n">
        <v>0</v>
      </c>
    </row>
    <row r="41">
      <c r="A41" s="6" t="n">
        <v>20201070</v>
      </c>
      <c r="B41" s="6" t="inlineStr">
        <is>
          <t>Diversified Support Services</t>
        </is>
      </c>
      <c r="C41" s="6" t="inlineStr">
        <is>
          <t>Commercial Services &amp; Supplies</t>
        </is>
      </c>
      <c r="D41" s="6" t="inlineStr">
        <is>
          <t>Industrials</t>
        </is>
      </c>
      <c r="E41" s="7" t="n">
        <v>-0.05</v>
      </c>
      <c r="F41" s="7" t="n">
        <v>-0.14</v>
      </c>
      <c r="G41" s="8" t="n">
        <v>150</v>
      </c>
      <c r="H41" s="7" t="n">
        <v>0</v>
      </c>
    </row>
    <row r="42">
      <c r="A42" s="6" t="n">
        <v>20201080</v>
      </c>
      <c r="B42" s="6" t="inlineStr">
        <is>
          <t>Security &amp; Alarm Services</t>
        </is>
      </c>
      <c r="C42" s="6" t="inlineStr">
        <is>
          <t>Commercial Services &amp; Supplies</t>
        </is>
      </c>
      <c r="D42" s="6" t="inlineStr">
        <is>
          <t>Industrials</t>
        </is>
      </c>
      <c r="E42" s="7" t="n">
        <v>-0.02</v>
      </c>
      <c r="F42" s="7" t="n">
        <v>-0.1</v>
      </c>
      <c r="G42" s="8" t="n">
        <v>110</v>
      </c>
      <c r="H42" s="7" t="n">
        <v>0</v>
      </c>
    </row>
    <row r="43">
      <c r="A43" s="6" t="n">
        <v>20202010</v>
      </c>
      <c r="B43" s="6" t="inlineStr">
        <is>
          <t>Human Resource &amp; Employment Services</t>
        </is>
      </c>
      <c r="C43" s="6" t="inlineStr">
        <is>
          <t>Professional Services</t>
        </is>
      </c>
      <c r="D43" s="6" t="inlineStr">
        <is>
          <t>Industrials</t>
        </is>
      </c>
      <c r="E43" s="7" t="n">
        <v>-0.15</v>
      </c>
      <c r="F43" s="7" t="n">
        <v>-0.22</v>
      </c>
      <c r="G43" s="8" t="n">
        <v>240</v>
      </c>
      <c r="H43" s="7" t="n">
        <v>-0.04</v>
      </c>
    </row>
    <row r="44">
      <c r="A44" s="6" t="n">
        <v>20202020</v>
      </c>
      <c r="B44" s="6" t="inlineStr">
        <is>
          <t>Research &amp; Consulting Services</t>
        </is>
      </c>
      <c r="C44" s="6" t="inlineStr">
        <is>
          <t>Professional Services</t>
        </is>
      </c>
      <c r="D44" s="6" t="inlineStr">
        <is>
          <t>Industrials</t>
        </is>
      </c>
      <c r="E44" s="7" t="n">
        <v>-0.08</v>
      </c>
      <c r="F44" s="7" t="n">
        <v>-0.16</v>
      </c>
      <c r="G44" s="8" t="n">
        <v>170</v>
      </c>
      <c r="H44" s="7" t="n">
        <v>0</v>
      </c>
    </row>
    <row r="45">
      <c r="A45" s="6" t="n">
        <v>20202030</v>
      </c>
      <c r="B45" s="6" t="inlineStr">
        <is>
          <t>Data Processing &amp; Outsourced Services</t>
        </is>
      </c>
      <c r="C45" s="6" t="inlineStr">
        <is>
          <t>Professional Services</t>
        </is>
      </c>
      <c r="D45" s="6" t="inlineStr">
        <is>
          <t>Industrials</t>
        </is>
      </c>
      <c r="E45" s="7" t="n">
        <v>-0.04</v>
      </c>
      <c r="F45" s="7" t="n">
        <v>-0.12</v>
      </c>
      <c r="G45" s="8" t="n">
        <v>130</v>
      </c>
      <c r="H45" s="7" t="n">
        <v>-0.03</v>
      </c>
    </row>
    <row r="46">
      <c r="A46" s="6" t="n">
        <v>20301010</v>
      </c>
      <c r="B46" s="6" t="inlineStr">
        <is>
          <t>Air Freight &amp; Logistics</t>
        </is>
      </c>
      <c r="C46" s="6" t="inlineStr">
        <is>
          <t>Air Freight &amp; Logistics</t>
        </is>
      </c>
      <c r="D46" s="6" t="inlineStr">
        <is>
          <t>Industrials</t>
        </is>
      </c>
      <c r="E46" s="7" t="n">
        <v>0</v>
      </c>
      <c r="F46" s="7" t="n">
        <v>0</v>
      </c>
      <c r="G46" s="8" t="n">
        <v>0</v>
      </c>
      <c r="H46" s="7" t="n">
        <v>0</v>
      </c>
    </row>
    <row r="47">
      <c r="A47" s="6" t="n">
        <v>20302010</v>
      </c>
      <c r="B47" s="6" t="inlineStr">
        <is>
          <t>Passenger Airlines</t>
        </is>
      </c>
      <c r="C47" s="6" t="inlineStr">
        <is>
          <t>Passenger Airlines</t>
        </is>
      </c>
      <c r="D47" s="6" t="inlineStr">
        <is>
          <t>Industrials</t>
        </is>
      </c>
      <c r="E47" s="7" t="n">
        <v>0</v>
      </c>
      <c r="F47" s="7" t="n">
        <v>0</v>
      </c>
      <c r="G47" s="8" t="n">
        <v>0</v>
      </c>
      <c r="H47" s="7" t="n">
        <v>0</v>
      </c>
    </row>
    <row r="48">
      <c r="A48" s="6" t="n">
        <v>20303010</v>
      </c>
      <c r="B48" s="6" t="inlineStr">
        <is>
          <t>Marine Transportation</t>
        </is>
      </c>
      <c r="C48" s="6" t="inlineStr">
        <is>
          <t>Marine Transportation</t>
        </is>
      </c>
      <c r="D48" s="6" t="inlineStr">
        <is>
          <t>Industrials</t>
        </is>
      </c>
      <c r="E48" s="7" t="n">
        <v>0</v>
      </c>
      <c r="F48" s="7" t="n">
        <v>0</v>
      </c>
      <c r="G48" s="8" t="n">
        <v>0</v>
      </c>
      <c r="H48" s="7" t="n">
        <v>0</v>
      </c>
    </row>
    <row r="49">
      <c r="A49" s="6" t="n">
        <v>20304010</v>
      </c>
      <c r="B49" s="6" t="inlineStr">
        <is>
          <t>Rail Transportation</t>
        </is>
      </c>
      <c r="C49" s="6" t="inlineStr">
        <is>
          <t>Ground Transportation</t>
        </is>
      </c>
      <c r="D49" s="6" t="inlineStr">
        <is>
          <t>Industrials</t>
        </is>
      </c>
      <c r="E49" s="7" t="n">
        <v>0</v>
      </c>
      <c r="F49" s="7" t="n">
        <v>0</v>
      </c>
      <c r="G49" s="8" t="n">
        <v>0</v>
      </c>
      <c r="H49" s="7" t="n">
        <v>0</v>
      </c>
    </row>
    <row r="50">
      <c r="A50" s="6" t="n">
        <v>20304030</v>
      </c>
      <c r="B50" s="6" t="inlineStr">
        <is>
          <t>Cargo Ground Transportation</t>
        </is>
      </c>
      <c r="C50" s="6" t="inlineStr">
        <is>
          <t>Ground Transportation</t>
        </is>
      </c>
      <c r="D50" s="6" t="inlineStr">
        <is>
          <t>Industrials</t>
        </is>
      </c>
      <c r="E50" s="7" t="n">
        <v>0</v>
      </c>
      <c r="F50" s="7" t="n">
        <v>0</v>
      </c>
      <c r="G50" s="8" t="n">
        <v>0</v>
      </c>
      <c r="H50" s="7" t="n">
        <v>0</v>
      </c>
    </row>
    <row r="51">
      <c r="A51" s="6" t="n">
        <v>20304040</v>
      </c>
      <c r="B51" s="6" t="inlineStr">
        <is>
          <t>Passenger Ground Transportation</t>
        </is>
      </c>
      <c r="C51" s="6" t="inlineStr">
        <is>
          <t>Ground Transportation</t>
        </is>
      </c>
      <c r="D51" s="6" t="inlineStr">
        <is>
          <t>Industrials</t>
        </is>
      </c>
      <c r="E51" s="7" t="n">
        <v>0</v>
      </c>
      <c r="F51" s="7" t="n">
        <v>0</v>
      </c>
      <c r="G51" s="8" t="n">
        <v>0</v>
      </c>
      <c r="H51" s="7" t="n">
        <v>0</v>
      </c>
    </row>
    <row r="52">
      <c r="A52" s="6" t="n">
        <v>20305010</v>
      </c>
      <c r="B52" s="6" t="inlineStr">
        <is>
          <t>Airport Services</t>
        </is>
      </c>
      <c r="C52" s="6" t="inlineStr">
        <is>
          <t>Transportation Infrastructure</t>
        </is>
      </c>
      <c r="D52" s="6" t="inlineStr">
        <is>
          <t>Industrials</t>
        </is>
      </c>
      <c r="E52" s="7" t="n">
        <v>0</v>
      </c>
      <c r="F52" s="7" t="n">
        <v>0</v>
      </c>
      <c r="G52" s="8" t="n">
        <v>0</v>
      </c>
      <c r="H52" s="7" t="n">
        <v>0</v>
      </c>
    </row>
    <row r="53">
      <c r="A53" s="6" t="n">
        <v>20305020</v>
      </c>
      <c r="B53" s="6" t="inlineStr">
        <is>
          <t>Highways &amp; Railtracks</t>
        </is>
      </c>
      <c r="C53" s="6" t="inlineStr">
        <is>
          <t>Transportation Infrastructure</t>
        </is>
      </c>
      <c r="D53" s="6" t="inlineStr">
        <is>
          <t>Industrials</t>
        </is>
      </c>
      <c r="E53" s="7" t="n">
        <v>0</v>
      </c>
      <c r="F53" s="7" t="n">
        <v>0</v>
      </c>
      <c r="G53" s="8" t="n">
        <v>0</v>
      </c>
      <c r="H53" s="7" t="n">
        <v>0</v>
      </c>
    </row>
    <row r="54">
      <c r="A54" s="6" t="n">
        <v>20305030</v>
      </c>
      <c r="B54" s="6" t="inlineStr">
        <is>
          <t>Marine Ports &amp; Services</t>
        </is>
      </c>
      <c r="C54" s="6" t="inlineStr">
        <is>
          <t>Transportation Infrastructure</t>
        </is>
      </c>
      <c r="D54" s="6" t="inlineStr">
        <is>
          <t>Industrials</t>
        </is>
      </c>
      <c r="E54" s="7" t="n">
        <v>0</v>
      </c>
      <c r="F54" s="7" t="n">
        <v>0</v>
      </c>
      <c r="G54" s="8" t="n">
        <v>0</v>
      </c>
      <c r="H54" s="7" t="n">
        <v>0</v>
      </c>
    </row>
    <row r="55">
      <c r="A55" s="6" t="n">
        <v>25101010</v>
      </c>
      <c r="B55" s="6" t="inlineStr">
        <is>
          <t>Automotive Parts &amp; Equipment</t>
        </is>
      </c>
      <c r="C55" s="6" t="inlineStr">
        <is>
          <t>Automobile Components</t>
        </is>
      </c>
      <c r="D55" s="6" t="inlineStr">
        <is>
          <t>Consumer Discretionary</t>
        </is>
      </c>
      <c r="E55" s="7" t="n">
        <v>-0.13</v>
      </c>
      <c r="F55" s="7" t="n">
        <v>-0.26</v>
      </c>
      <c r="G55" s="8" t="n">
        <v>260</v>
      </c>
      <c r="H55" s="7" t="n">
        <v>0</v>
      </c>
    </row>
    <row r="56">
      <c r="A56" s="6" t="n">
        <v>25101020</v>
      </c>
      <c r="B56" s="6" t="inlineStr">
        <is>
          <t>Tires &amp; Rubber</t>
        </is>
      </c>
      <c r="C56" s="6" t="inlineStr">
        <is>
          <t>Automobile Components</t>
        </is>
      </c>
      <c r="D56" s="6" t="inlineStr">
        <is>
          <t>Consumer Discretionary</t>
        </is>
      </c>
      <c r="E56" s="7" t="n">
        <v>0</v>
      </c>
      <c r="F56" s="7" t="n">
        <v>0</v>
      </c>
      <c r="G56" s="8" t="n">
        <v>0</v>
      </c>
      <c r="H56" s="7" t="n">
        <v>0</v>
      </c>
    </row>
    <row r="57">
      <c r="A57" s="6" t="n">
        <v>25102010</v>
      </c>
      <c r="B57" s="6" t="inlineStr">
        <is>
          <t>Automobile Manufacturers</t>
        </is>
      </c>
      <c r="C57" s="6" t="inlineStr">
        <is>
          <t>Automobiles</t>
        </is>
      </c>
      <c r="D57" s="6" t="inlineStr">
        <is>
          <t>Consumer Discretionary</t>
        </is>
      </c>
      <c r="E57" s="7" t="n">
        <v>0</v>
      </c>
      <c r="F57" s="7" t="n">
        <v>0</v>
      </c>
      <c r="G57" s="8" t="n">
        <v>0</v>
      </c>
      <c r="H57" s="7" t="n">
        <v>0</v>
      </c>
    </row>
    <row r="58">
      <c r="A58" s="6" t="n">
        <v>25102020</v>
      </c>
      <c r="B58" s="6" t="inlineStr">
        <is>
          <t>Motorcycle Manufacturers</t>
        </is>
      </c>
      <c r="C58" s="6" t="inlineStr">
        <is>
          <t>Automobiles</t>
        </is>
      </c>
      <c r="D58" s="6" t="inlineStr">
        <is>
          <t>Consumer Discretionary</t>
        </is>
      </c>
      <c r="E58" s="7" t="n">
        <v>0</v>
      </c>
      <c r="F58" s="7" t="n">
        <v>0</v>
      </c>
      <c r="G58" s="8" t="n">
        <v>0</v>
      </c>
      <c r="H58" s="7" t="n">
        <v>0</v>
      </c>
    </row>
    <row r="59">
      <c r="A59" s="6" t="n">
        <v>25201010</v>
      </c>
      <c r="B59" s="6" t="inlineStr">
        <is>
          <t>Consumer Electronics</t>
        </is>
      </c>
      <c r="C59" s="6" t="inlineStr">
        <is>
          <t>Household Durables</t>
        </is>
      </c>
      <c r="D59" s="6" t="inlineStr">
        <is>
          <t>Consumer Discretionary</t>
        </is>
      </c>
      <c r="E59" s="7" t="n">
        <v>0</v>
      </c>
      <c r="F59" s="7" t="n">
        <v>0</v>
      </c>
      <c r="G59" s="8" t="n">
        <v>0</v>
      </c>
      <c r="H59" s="7" t="n">
        <v>0</v>
      </c>
    </row>
    <row r="60">
      <c r="A60" s="6" t="n">
        <v>25201020</v>
      </c>
      <c r="B60" s="6" t="inlineStr">
        <is>
          <t>Home Furnishings</t>
        </is>
      </c>
      <c r="C60" s="6" t="inlineStr">
        <is>
          <t>Household Durables</t>
        </is>
      </c>
      <c r="D60" s="6" t="inlineStr">
        <is>
          <t>Consumer Discretionary</t>
        </is>
      </c>
      <c r="E60" s="7" t="n">
        <v>0</v>
      </c>
      <c r="F60" s="7" t="n">
        <v>0</v>
      </c>
      <c r="G60" s="8" t="n">
        <v>0</v>
      </c>
      <c r="H60" s="7" t="n">
        <v>0</v>
      </c>
    </row>
    <row r="61">
      <c r="A61" s="6" t="n">
        <v>25201030</v>
      </c>
      <c r="B61" s="6" t="inlineStr">
        <is>
          <t>Homebuilding</t>
        </is>
      </c>
      <c r="C61" s="6" t="inlineStr">
        <is>
          <t>Household Durables</t>
        </is>
      </c>
      <c r="D61" s="6" t="inlineStr">
        <is>
          <t>Consumer Discretionary</t>
        </is>
      </c>
      <c r="E61" s="7" t="n">
        <v>-0.18</v>
      </c>
      <c r="F61" s="7" t="n">
        <v>-0.32</v>
      </c>
      <c r="G61" s="8" t="n">
        <v>300</v>
      </c>
      <c r="H61" s="7" t="n">
        <v>0</v>
      </c>
    </row>
    <row r="62">
      <c r="A62" s="6" t="n">
        <v>25201040</v>
      </c>
      <c r="B62" s="6" t="inlineStr">
        <is>
          <t>Household Appliances</t>
        </is>
      </c>
      <c r="C62" s="6" t="inlineStr">
        <is>
          <t>Household Durables</t>
        </is>
      </c>
      <c r="D62" s="6" t="inlineStr">
        <is>
          <t>Consumer Discretionary</t>
        </is>
      </c>
      <c r="E62" s="7" t="n">
        <v>0</v>
      </c>
      <c r="F62" s="7" t="n">
        <v>0</v>
      </c>
      <c r="G62" s="8" t="n">
        <v>0</v>
      </c>
      <c r="H62" s="7" t="n">
        <v>0</v>
      </c>
    </row>
    <row r="63">
      <c r="A63" s="6" t="n">
        <v>25201050</v>
      </c>
      <c r="B63" s="6" t="inlineStr">
        <is>
          <t>Housewares &amp; Specialties</t>
        </is>
      </c>
      <c r="C63" s="6" t="inlineStr">
        <is>
          <t>Household Durables</t>
        </is>
      </c>
      <c r="D63" s="6" t="inlineStr">
        <is>
          <t>Consumer Discretionary</t>
        </is>
      </c>
      <c r="E63" s="7" t="n">
        <v>0</v>
      </c>
      <c r="F63" s="7" t="n">
        <v>0</v>
      </c>
      <c r="G63" s="8" t="n">
        <v>0</v>
      </c>
      <c r="H63" s="7" t="n">
        <v>0</v>
      </c>
    </row>
    <row r="64">
      <c r="A64" s="6" t="n">
        <v>25202010</v>
      </c>
      <c r="B64" s="6" t="inlineStr">
        <is>
          <t>Leisure Products</t>
        </is>
      </c>
      <c r="C64" s="6" t="inlineStr">
        <is>
          <t>Leisure Products</t>
        </is>
      </c>
      <c r="D64" s="6" t="inlineStr">
        <is>
          <t>Consumer Discretionary</t>
        </is>
      </c>
      <c r="E64" s="7" t="n">
        <v>0</v>
      </c>
      <c r="F64" s="7" t="n">
        <v>0</v>
      </c>
      <c r="G64" s="8" t="n">
        <v>0</v>
      </c>
      <c r="H64" s="7" t="n">
        <v>0</v>
      </c>
    </row>
    <row r="65">
      <c r="A65" s="6" t="n">
        <v>25203010</v>
      </c>
      <c r="B65" s="6" t="inlineStr">
        <is>
          <t>Apparel, Accessories &amp; Luxury Goods</t>
        </is>
      </c>
      <c r="C65" s="6" t="inlineStr">
        <is>
          <t>Textiles, Apparel &amp; Luxury Goods</t>
        </is>
      </c>
      <c r="D65" s="6" t="inlineStr">
        <is>
          <t>Consumer Discretionary</t>
        </is>
      </c>
      <c r="E65" s="7" t="n">
        <v>0</v>
      </c>
      <c r="F65" s="7" t="n">
        <v>0</v>
      </c>
      <c r="G65" s="8" t="n">
        <v>0</v>
      </c>
      <c r="H65" s="7" t="n">
        <v>0</v>
      </c>
    </row>
    <row r="66">
      <c r="A66" s="6" t="n">
        <v>25203020</v>
      </c>
      <c r="B66" s="6" t="inlineStr">
        <is>
          <t>Footwear</t>
        </is>
      </c>
      <c r="C66" s="6" t="inlineStr">
        <is>
          <t>Textiles, Apparel &amp; Luxury Goods</t>
        </is>
      </c>
      <c r="D66" s="6" t="inlineStr">
        <is>
          <t>Consumer Discretionary</t>
        </is>
      </c>
      <c r="E66" s="7" t="n">
        <v>0</v>
      </c>
      <c r="F66" s="7" t="n">
        <v>0</v>
      </c>
      <c r="G66" s="8" t="n">
        <v>0</v>
      </c>
      <c r="H66" s="7" t="n">
        <v>0</v>
      </c>
    </row>
    <row r="67">
      <c r="A67" s="6" t="n">
        <v>25203030</v>
      </c>
      <c r="B67" s="6" t="inlineStr">
        <is>
          <t>Textiles</t>
        </is>
      </c>
      <c r="C67" s="6" t="inlineStr">
        <is>
          <t>Textiles, Apparel &amp; Luxury Goods</t>
        </is>
      </c>
      <c r="D67" s="6" t="inlineStr">
        <is>
          <t>Consumer Discretionary</t>
        </is>
      </c>
      <c r="E67" s="7" t="n">
        <v>0</v>
      </c>
      <c r="F67" s="7" t="n">
        <v>0</v>
      </c>
      <c r="G67" s="8" t="n">
        <v>0</v>
      </c>
      <c r="H67" s="7" t="n">
        <v>0</v>
      </c>
    </row>
    <row r="68">
      <c r="A68" s="6" t="n">
        <v>25301010</v>
      </c>
      <c r="B68" s="6" t="inlineStr">
        <is>
          <t>Casinos &amp; Gaming</t>
        </is>
      </c>
      <c r="C68" s="6" t="inlineStr">
        <is>
          <t>Hotels, Restaurants &amp; Leisure</t>
        </is>
      </c>
      <c r="D68" s="6" t="inlineStr">
        <is>
          <t>Consumer Discretionary</t>
        </is>
      </c>
      <c r="E68" s="7" t="n">
        <v>0</v>
      </c>
      <c r="F68" s="7" t="n">
        <v>0</v>
      </c>
      <c r="G68" s="8" t="n">
        <v>0</v>
      </c>
      <c r="H68" s="7" t="n">
        <v>0</v>
      </c>
    </row>
    <row r="69">
      <c r="A69" s="6" t="n">
        <v>25301020</v>
      </c>
      <c r="B69" s="6" t="inlineStr">
        <is>
          <t>Hotels, Resorts &amp; Cruise Lines</t>
        </is>
      </c>
      <c r="C69" s="6" t="inlineStr">
        <is>
          <t>Hotels, Restaurants &amp; Leisure</t>
        </is>
      </c>
      <c r="D69" s="6" t="inlineStr">
        <is>
          <t>Consumer Discretionary</t>
        </is>
      </c>
      <c r="E69" s="7" t="n">
        <v>0</v>
      </c>
      <c r="F69" s="7" t="n">
        <v>0</v>
      </c>
      <c r="G69" s="8" t="n">
        <v>0</v>
      </c>
      <c r="H69" s="7" t="n">
        <v>0</v>
      </c>
    </row>
    <row r="70">
      <c r="A70" s="6" t="n">
        <v>25301030</v>
      </c>
      <c r="B70" s="6" t="inlineStr">
        <is>
          <t>Leisure Facilities</t>
        </is>
      </c>
      <c r="C70" s="6" t="inlineStr">
        <is>
          <t>Hotels, Restaurants &amp; Leisure</t>
        </is>
      </c>
      <c r="D70" s="6" t="inlineStr">
        <is>
          <t>Consumer Discretionary</t>
        </is>
      </c>
      <c r="E70" s="7" t="n">
        <v>-0.1</v>
      </c>
      <c r="F70" s="7" t="n">
        <v>-0.2</v>
      </c>
      <c r="G70" s="8" t="n">
        <v>200</v>
      </c>
      <c r="H70" s="7" t="n">
        <v>0</v>
      </c>
    </row>
    <row r="71">
      <c r="A71" s="6" t="n">
        <v>25301040</v>
      </c>
      <c r="B71" s="6" t="inlineStr">
        <is>
          <t>Restaurants</t>
        </is>
      </c>
      <c r="C71" s="6" t="inlineStr">
        <is>
          <t>Hotels, Restaurants &amp; Leisure</t>
        </is>
      </c>
      <c r="D71" s="6" t="inlineStr">
        <is>
          <t>Consumer Discretionary</t>
        </is>
      </c>
      <c r="E71" s="7" t="n">
        <v>-0.11</v>
      </c>
      <c r="F71" s="7" t="n">
        <v>-0.22</v>
      </c>
      <c r="G71" s="8" t="n">
        <v>220</v>
      </c>
      <c r="H71" s="7" t="n">
        <v>0</v>
      </c>
    </row>
    <row r="72">
      <c r="A72" s="6" t="n">
        <v>25302010</v>
      </c>
      <c r="B72" s="6" t="inlineStr">
        <is>
          <t>Education Services</t>
        </is>
      </c>
      <c r="C72" s="6" t="inlineStr">
        <is>
          <t>Diversified Consumer Services</t>
        </is>
      </c>
      <c r="D72" s="6" t="inlineStr">
        <is>
          <t>Consumer Discretionary</t>
        </is>
      </c>
      <c r="E72" s="7" t="n">
        <v>-0.03</v>
      </c>
      <c r="F72" s="7" t="n">
        <v>-0.1</v>
      </c>
      <c r="G72" s="8" t="n">
        <v>110</v>
      </c>
      <c r="H72" s="7" t="n">
        <v>0</v>
      </c>
    </row>
    <row r="73">
      <c r="A73" s="6" t="n">
        <v>25302020</v>
      </c>
      <c r="B73" s="6" t="inlineStr">
        <is>
          <t>Specialized Consumer Services</t>
        </is>
      </c>
      <c r="C73" s="6" t="inlineStr">
        <is>
          <t>Diversified Consumer Services</t>
        </is>
      </c>
      <c r="D73" s="6" t="inlineStr">
        <is>
          <t>Consumer Discretionary</t>
        </is>
      </c>
      <c r="E73" s="7" t="n">
        <v>-0.12</v>
      </c>
      <c r="F73" s="7" t="n">
        <v>-0.22</v>
      </c>
      <c r="G73" s="8" t="n">
        <v>230</v>
      </c>
      <c r="H73" s="7" t="n">
        <v>0</v>
      </c>
    </row>
    <row r="74">
      <c r="A74" s="6" t="n">
        <v>25501010</v>
      </c>
      <c r="B74" s="6" t="inlineStr">
        <is>
          <t>Distributors</t>
        </is>
      </c>
      <c r="C74" s="6" t="inlineStr">
        <is>
          <t>Distributors</t>
        </is>
      </c>
      <c r="D74" s="6" t="inlineStr">
        <is>
          <t>Consumer Discretionary</t>
        </is>
      </c>
      <c r="E74" s="7" t="n">
        <v>-0.1</v>
      </c>
      <c r="F74" s="7" t="n">
        <v>-0.18</v>
      </c>
      <c r="G74" s="8" t="n">
        <v>190</v>
      </c>
      <c r="H74" s="7" t="n">
        <v>0</v>
      </c>
    </row>
    <row r="75">
      <c r="A75" s="6" t="n">
        <v>25503030</v>
      </c>
      <c r="B75" s="6" t="inlineStr">
        <is>
          <t>Broadline Retail</t>
        </is>
      </c>
      <c r="C75" s="6" t="inlineStr">
        <is>
          <t>Broadline Retail</t>
        </is>
      </c>
      <c r="D75" s="6" t="inlineStr">
        <is>
          <t>Consumer Discretionary</t>
        </is>
      </c>
      <c r="E75" s="7" t="n">
        <v>0</v>
      </c>
      <c r="F75" s="7" t="n">
        <v>0</v>
      </c>
      <c r="G75" s="8" t="n">
        <v>0</v>
      </c>
      <c r="H75" s="7" t="n">
        <v>0</v>
      </c>
    </row>
    <row r="76">
      <c r="A76" s="6" t="n">
        <v>25504010</v>
      </c>
      <c r="B76" s="6" t="inlineStr">
        <is>
          <t>Apparel Retail</t>
        </is>
      </c>
      <c r="C76" s="6" t="inlineStr">
        <is>
          <t>Specialty Retail</t>
        </is>
      </c>
      <c r="D76" s="6" t="inlineStr">
        <is>
          <t>Consumer Discretionary</t>
        </is>
      </c>
      <c r="E76" s="7" t="n">
        <v>-0.03</v>
      </c>
      <c r="F76" s="7" t="n">
        <v>-0.15</v>
      </c>
      <c r="G76" s="8" t="n">
        <v>180</v>
      </c>
      <c r="H76" s="7" t="n">
        <v>0</v>
      </c>
    </row>
    <row r="77">
      <c r="A77" s="6" t="n">
        <v>25504020</v>
      </c>
      <c r="B77" s="6" t="inlineStr">
        <is>
          <t>Computer &amp; Electronics Retail</t>
        </is>
      </c>
      <c r="C77" s="6" t="inlineStr">
        <is>
          <t>Specialty Retail</t>
        </is>
      </c>
      <c r="D77" s="6" t="inlineStr">
        <is>
          <t>Consumer Discretionary</t>
        </is>
      </c>
      <c r="E77" s="7" t="n">
        <v>0</v>
      </c>
      <c r="F77" s="7" t="n">
        <v>0</v>
      </c>
      <c r="G77" s="8" t="n">
        <v>0</v>
      </c>
      <c r="H77" s="7" t="n">
        <v>0</v>
      </c>
    </row>
    <row r="78">
      <c r="A78" s="6" t="n">
        <v>25504030</v>
      </c>
      <c r="B78" s="6" t="inlineStr">
        <is>
          <t>Home Improvement Retail</t>
        </is>
      </c>
      <c r="C78" s="6" t="inlineStr">
        <is>
          <t>Specialty Retail</t>
        </is>
      </c>
      <c r="D78" s="6" t="inlineStr">
        <is>
          <t>Consumer Discretionary</t>
        </is>
      </c>
      <c r="E78" s="7" t="n">
        <v>0</v>
      </c>
      <c r="F78" s="7" t="n">
        <v>0</v>
      </c>
      <c r="G78" s="8" t="n">
        <v>0</v>
      </c>
      <c r="H78" s="7" t="n">
        <v>0</v>
      </c>
    </row>
    <row r="79">
      <c r="A79" s="6" t="n">
        <v>25504040</v>
      </c>
      <c r="B79" s="6" t="inlineStr">
        <is>
          <t>Other Specialty Retail</t>
        </is>
      </c>
      <c r="C79" s="6" t="inlineStr">
        <is>
          <t>Specialty Retail</t>
        </is>
      </c>
      <c r="D79" s="6" t="inlineStr">
        <is>
          <t>Consumer Discretionary</t>
        </is>
      </c>
      <c r="E79" s="7" t="n">
        <v>0</v>
      </c>
      <c r="F79" s="7" t="n">
        <v>0</v>
      </c>
      <c r="G79" s="8" t="n">
        <v>0</v>
      </c>
      <c r="H79" s="7" t="n">
        <v>0</v>
      </c>
    </row>
    <row r="80">
      <c r="A80" s="6" t="n">
        <v>25504050</v>
      </c>
      <c r="B80" s="6" t="inlineStr">
        <is>
          <t>Automotive Retail</t>
        </is>
      </c>
      <c r="C80" s="6" t="inlineStr">
        <is>
          <t>Specialty Retail</t>
        </is>
      </c>
      <c r="D80" s="6" t="inlineStr">
        <is>
          <t>Consumer Discretionary</t>
        </is>
      </c>
      <c r="E80" s="7" t="n">
        <v>0</v>
      </c>
      <c r="F80" s="7" t="n">
        <v>0</v>
      </c>
      <c r="G80" s="8" t="n">
        <v>0</v>
      </c>
      <c r="H80" s="7" t="n">
        <v>0</v>
      </c>
    </row>
    <row r="81">
      <c r="A81" s="6" t="n">
        <v>25504060</v>
      </c>
      <c r="B81" s="6" t="inlineStr">
        <is>
          <t>Homefurnishing Retail</t>
        </is>
      </c>
      <c r="C81" s="6" t="inlineStr">
        <is>
          <t>Specialty Retail</t>
        </is>
      </c>
      <c r="D81" s="6" t="inlineStr">
        <is>
          <t>Consumer Discretionary</t>
        </is>
      </c>
      <c r="E81" s="7" t="n">
        <v>0</v>
      </c>
      <c r="F81" s="7" t="n">
        <v>0</v>
      </c>
      <c r="G81" s="8" t="n">
        <v>0</v>
      </c>
      <c r="H81" s="7" t="n">
        <v>0</v>
      </c>
    </row>
    <row r="82">
      <c r="A82" s="6" t="n">
        <v>30101010</v>
      </c>
      <c r="B82" s="6" t="inlineStr">
        <is>
          <t>Drug Retail</t>
        </is>
      </c>
      <c r="C82" s="6" t="inlineStr">
        <is>
          <t>Consumer Staples Distribution &amp; Retail</t>
        </is>
      </c>
      <c r="D82" s="6" t="inlineStr">
        <is>
          <t>Consumer Staples</t>
        </is>
      </c>
      <c r="E82" s="7" t="n">
        <v>0</v>
      </c>
      <c r="F82" s="7" t="n">
        <v>0</v>
      </c>
      <c r="G82" s="8" t="n">
        <v>0</v>
      </c>
      <c r="H82" s="7" t="n">
        <v>0</v>
      </c>
    </row>
    <row r="83">
      <c r="A83" s="6" t="n">
        <v>30101020</v>
      </c>
      <c r="B83" s="6" t="inlineStr">
        <is>
          <t>Food Distributors</t>
        </is>
      </c>
      <c r="C83" s="6" t="inlineStr">
        <is>
          <t>Consumer Staples Distribution &amp; Retail</t>
        </is>
      </c>
      <c r="D83" s="6" t="inlineStr">
        <is>
          <t>Consumer Staples</t>
        </is>
      </c>
      <c r="E83" s="7" t="n">
        <v>0</v>
      </c>
      <c r="F83" s="7" t="n">
        <v>0</v>
      </c>
      <c r="G83" s="8" t="n">
        <v>0</v>
      </c>
      <c r="H83" s="7" t="n">
        <v>0</v>
      </c>
    </row>
    <row r="84">
      <c r="A84" s="6" t="n">
        <v>30101030</v>
      </c>
      <c r="B84" s="6" t="inlineStr">
        <is>
          <t>Food Retail</t>
        </is>
      </c>
      <c r="C84" s="6" t="inlineStr">
        <is>
          <t>Consumer Staples Distribution &amp; Retail</t>
        </is>
      </c>
      <c r="D84" s="6" t="inlineStr">
        <is>
          <t>Consumer Staples</t>
        </is>
      </c>
      <c r="E84" s="7" t="n">
        <v>0</v>
      </c>
      <c r="F84" s="7" t="n">
        <v>0</v>
      </c>
      <c r="G84" s="8" t="n">
        <v>0</v>
      </c>
      <c r="H84" s="7" t="n">
        <v>0</v>
      </c>
    </row>
    <row r="85">
      <c r="A85" s="6" t="n">
        <v>30101040</v>
      </c>
      <c r="B85" s="6" t="inlineStr">
        <is>
          <t>Consumer Staples Merchandise Retail</t>
        </is>
      </c>
      <c r="C85" s="6" t="inlineStr">
        <is>
          <t>Consumer Staples Distribution &amp; Retail</t>
        </is>
      </c>
      <c r="D85" s="6" t="inlineStr">
        <is>
          <t>Consumer Staples</t>
        </is>
      </c>
      <c r="E85" s="7" t="n">
        <v>0</v>
      </c>
      <c r="F85" s="7" t="n">
        <v>0</v>
      </c>
      <c r="G85" s="8" t="n">
        <v>0</v>
      </c>
      <c r="H85" s="7" t="n">
        <v>0</v>
      </c>
    </row>
    <row r="86">
      <c r="A86" s="6" t="n">
        <v>30201010</v>
      </c>
      <c r="B86" s="6" t="inlineStr">
        <is>
          <t>Brewers</t>
        </is>
      </c>
      <c r="C86" s="6" t="inlineStr">
        <is>
          <t>Beverages</t>
        </is>
      </c>
      <c r="D86" s="6" t="inlineStr">
        <is>
          <t>Consumer Staples</t>
        </is>
      </c>
      <c r="E86" s="7" t="n">
        <v>0</v>
      </c>
      <c r="F86" s="7" t="n">
        <v>0</v>
      </c>
      <c r="G86" s="8" t="n">
        <v>0</v>
      </c>
      <c r="H86" s="7" t="n">
        <v>0</v>
      </c>
    </row>
    <row r="87">
      <c r="A87" s="6" t="n">
        <v>30201020</v>
      </c>
      <c r="B87" s="6" t="inlineStr">
        <is>
          <t>Distillers &amp; Vintners</t>
        </is>
      </c>
      <c r="C87" s="6" t="inlineStr">
        <is>
          <t>Beverages</t>
        </is>
      </c>
      <c r="D87" s="6" t="inlineStr">
        <is>
          <t>Consumer Staples</t>
        </is>
      </c>
      <c r="E87" s="7" t="n">
        <v>0</v>
      </c>
      <c r="F87" s="7" t="n">
        <v>0</v>
      </c>
      <c r="G87" s="8" t="n">
        <v>0</v>
      </c>
      <c r="H87" s="7" t="n">
        <v>0</v>
      </c>
    </row>
    <row r="88">
      <c r="A88" s="6" t="n">
        <v>30201030</v>
      </c>
      <c r="B88" s="6" t="inlineStr">
        <is>
          <t>Soft Drinks &amp; Non-alcoholic Beverages</t>
        </is>
      </c>
      <c r="C88" s="6" t="inlineStr">
        <is>
          <t>Beverages</t>
        </is>
      </c>
      <c r="D88" s="6" t="inlineStr">
        <is>
          <t>Consumer Staples</t>
        </is>
      </c>
      <c r="E88" s="7" t="n">
        <v>0</v>
      </c>
      <c r="F88" s="7" t="n">
        <v>0</v>
      </c>
      <c r="G88" s="8" t="n">
        <v>0</v>
      </c>
      <c r="H88" s="7" t="n">
        <v>0</v>
      </c>
    </row>
    <row r="89">
      <c r="A89" s="6" t="n">
        <v>30202010</v>
      </c>
      <c r="B89" s="6" t="inlineStr">
        <is>
          <t>Agricultural Products &amp; Services</t>
        </is>
      </c>
      <c r="C89" s="6" t="inlineStr">
        <is>
          <t>Food Products</t>
        </is>
      </c>
      <c r="D89" s="6" t="inlineStr">
        <is>
          <t>Consumer Staples</t>
        </is>
      </c>
      <c r="E89" s="7" t="n">
        <v>0</v>
      </c>
      <c r="F89" s="7" t="n">
        <v>0</v>
      </c>
      <c r="G89" s="8" t="n">
        <v>0</v>
      </c>
      <c r="H89" s="7" t="n">
        <v>0</v>
      </c>
    </row>
    <row r="90">
      <c r="A90" s="6" t="n">
        <v>30202030</v>
      </c>
      <c r="B90" s="6" t="inlineStr">
        <is>
          <t>Packaged Foods &amp; Meats</t>
        </is>
      </c>
      <c r="C90" s="6" t="inlineStr">
        <is>
          <t>Food Products</t>
        </is>
      </c>
      <c r="D90" s="6" t="inlineStr">
        <is>
          <t>Consumer Staples</t>
        </is>
      </c>
      <c r="E90" s="7" t="n">
        <v>-0.01</v>
      </c>
      <c r="F90" s="7" t="n">
        <v>-0.06</v>
      </c>
      <c r="G90" s="8" t="n">
        <v>60</v>
      </c>
      <c r="H90" s="7" t="n">
        <v>0</v>
      </c>
    </row>
    <row r="91">
      <c r="A91" s="6" t="n">
        <v>30203010</v>
      </c>
      <c r="B91" s="6" t="inlineStr">
        <is>
          <t>Tobacco</t>
        </is>
      </c>
      <c r="C91" s="6" t="inlineStr">
        <is>
          <t>Tobacco</t>
        </is>
      </c>
      <c r="D91" s="6" t="inlineStr">
        <is>
          <t>Consumer Staples</t>
        </is>
      </c>
      <c r="E91" s="7" t="n">
        <v>0</v>
      </c>
      <c r="F91" s="7" t="n">
        <v>0</v>
      </c>
      <c r="G91" s="8" t="n">
        <v>0</v>
      </c>
      <c r="H91" s="7" t="n">
        <v>0</v>
      </c>
    </row>
    <row r="92">
      <c r="A92" s="6" t="n">
        <v>30301010</v>
      </c>
      <c r="B92" s="6" t="inlineStr">
        <is>
          <t>Household Products</t>
        </is>
      </c>
      <c r="C92" s="6" t="inlineStr">
        <is>
          <t>Household Products</t>
        </is>
      </c>
      <c r="D92" s="6" t="inlineStr">
        <is>
          <t>Consumer Staples</t>
        </is>
      </c>
      <c r="E92" s="7" t="n">
        <v>0</v>
      </c>
      <c r="F92" s="7" t="n">
        <v>0</v>
      </c>
      <c r="G92" s="8" t="n">
        <v>0</v>
      </c>
      <c r="H92" s="7" t="n">
        <v>0</v>
      </c>
    </row>
    <row r="93">
      <c r="A93" s="6" t="n">
        <v>30302010</v>
      </c>
      <c r="B93" s="6" t="inlineStr">
        <is>
          <t>Personal Care Products</t>
        </is>
      </c>
      <c r="C93" s="6" t="inlineStr">
        <is>
          <t>Personal Care Products</t>
        </is>
      </c>
      <c r="D93" s="6" t="inlineStr">
        <is>
          <t>Consumer Staples</t>
        </is>
      </c>
      <c r="E93" s="7" t="n">
        <v>-0.02</v>
      </c>
      <c r="F93" s="7" t="n">
        <v>-0.07000000000000001</v>
      </c>
      <c r="G93" s="8" t="n">
        <v>70</v>
      </c>
      <c r="H93" s="7" t="n">
        <v>0</v>
      </c>
    </row>
    <row r="94">
      <c r="A94" s="6" t="n">
        <v>35101010</v>
      </c>
      <c r="B94" s="6" t="inlineStr">
        <is>
          <t>Health Care Equipment</t>
        </is>
      </c>
      <c r="C94" s="6" t="inlineStr">
        <is>
          <t>Health Care Equipment &amp; Supplies</t>
        </is>
      </c>
      <c r="D94" s="6" t="inlineStr">
        <is>
          <t>Health Care</t>
        </is>
      </c>
      <c r="E94" s="7" t="n">
        <v>0</v>
      </c>
      <c r="F94" s="7" t="n">
        <v>0</v>
      </c>
      <c r="G94" s="8" t="n">
        <v>0</v>
      </c>
      <c r="H94" s="7" t="n">
        <v>0</v>
      </c>
    </row>
    <row r="95">
      <c r="A95" s="6" t="n">
        <v>35101020</v>
      </c>
      <c r="B95" s="6" t="inlineStr">
        <is>
          <t>Health Care Supplies</t>
        </is>
      </c>
      <c r="C95" s="6" t="inlineStr">
        <is>
          <t>Health Care Equipment &amp; Supplies</t>
        </is>
      </c>
      <c r="D95" s="6" t="inlineStr">
        <is>
          <t>Health Care</t>
        </is>
      </c>
      <c r="E95" s="7" t="n">
        <v>-0.02</v>
      </c>
      <c r="F95" s="7" t="n">
        <v>-0.08</v>
      </c>
      <c r="G95" s="8" t="n">
        <v>80</v>
      </c>
      <c r="H95" s="7" t="n">
        <v>0</v>
      </c>
    </row>
    <row r="96">
      <c r="A96" s="6" t="n">
        <v>35102010</v>
      </c>
      <c r="B96" s="6" t="inlineStr">
        <is>
          <t>Health Care Distributors</t>
        </is>
      </c>
      <c r="C96" s="6" t="inlineStr">
        <is>
          <t>Health Care Providers &amp; Services</t>
        </is>
      </c>
      <c r="D96" s="6" t="inlineStr">
        <is>
          <t>Health Care</t>
        </is>
      </c>
      <c r="E96" s="7" t="n">
        <v>0</v>
      </c>
      <c r="F96" s="7" t="n">
        <v>0</v>
      </c>
      <c r="G96" s="8" t="n">
        <v>0</v>
      </c>
      <c r="H96" s="7" t="n">
        <v>0</v>
      </c>
    </row>
    <row r="97">
      <c r="A97" s="6" t="n">
        <v>35102015</v>
      </c>
      <c r="B97" s="6" t="inlineStr">
        <is>
          <t>Health Care Services</t>
        </is>
      </c>
      <c r="C97" s="6" t="inlineStr">
        <is>
          <t>Health Care Providers &amp; Services</t>
        </is>
      </c>
      <c r="D97" s="6" t="inlineStr">
        <is>
          <t>Health Care</t>
        </is>
      </c>
      <c r="E97" s="7" t="n">
        <v>-0.03</v>
      </c>
      <c r="F97" s="7" t="n">
        <v>-0.09</v>
      </c>
      <c r="G97" s="8" t="n">
        <v>90</v>
      </c>
      <c r="H97" s="7" t="n">
        <v>0</v>
      </c>
    </row>
    <row r="98">
      <c r="A98" s="6" t="n">
        <v>35102020</v>
      </c>
      <c r="B98" s="6" t="inlineStr">
        <is>
          <t>Health Care Facilities</t>
        </is>
      </c>
      <c r="C98" s="6" t="inlineStr">
        <is>
          <t>Health Care Providers &amp; Services</t>
        </is>
      </c>
      <c r="D98" s="6" t="inlineStr">
        <is>
          <t>Health Care</t>
        </is>
      </c>
      <c r="E98" s="7" t="n">
        <v>-0.02</v>
      </c>
      <c r="F98" s="7" t="n">
        <v>-0.08</v>
      </c>
      <c r="G98" s="8" t="n">
        <v>85</v>
      </c>
      <c r="H98" s="7" t="n">
        <v>0</v>
      </c>
    </row>
    <row r="99">
      <c r="A99" s="6" t="n">
        <v>35102030</v>
      </c>
      <c r="B99" s="6" t="inlineStr">
        <is>
          <t>Managed Health Care</t>
        </is>
      </c>
      <c r="C99" s="6" t="inlineStr">
        <is>
          <t>Health Care Providers &amp; Services</t>
        </is>
      </c>
      <c r="D99" s="6" t="inlineStr">
        <is>
          <t>Health Care</t>
        </is>
      </c>
      <c r="E99" s="7" t="n">
        <v>0</v>
      </c>
      <c r="F99" s="7" t="n">
        <v>0</v>
      </c>
      <c r="G99" s="8" t="n">
        <v>0</v>
      </c>
      <c r="H99" s="7" t="n">
        <v>0</v>
      </c>
    </row>
    <row r="100">
      <c r="A100" s="6" t="n">
        <v>35103010</v>
      </c>
      <c r="B100" s="6" t="inlineStr">
        <is>
          <t>Health Care Technology</t>
        </is>
      </c>
      <c r="C100" s="6" t="inlineStr">
        <is>
          <t>Health Care Technology</t>
        </is>
      </c>
      <c r="D100" s="6" t="inlineStr">
        <is>
          <t>Health Care</t>
        </is>
      </c>
      <c r="E100" s="7" t="n">
        <v>0</v>
      </c>
      <c r="F100" s="7" t="n">
        <v>0</v>
      </c>
      <c r="G100" s="8" t="n">
        <v>0</v>
      </c>
      <c r="H100" s="7" t="n">
        <v>0</v>
      </c>
    </row>
    <row r="101">
      <c r="A101" s="6" t="n">
        <v>35201010</v>
      </c>
      <c r="B101" s="6" t="inlineStr">
        <is>
          <t>Biotechnology</t>
        </is>
      </c>
      <c r="C101" s="6" t="inlineStr">
        <is>
          <t>Biotechnology</t>
        </is>
      </c>
      <c r="D101" s="6" t="inlineStr">
        <is>
          <t>Health Care</t>
        </is>
      </c>
      <c r="E101" s="7" t="n">
        <v>0</v>
      </c>
      <c r="F101" s="7" t="n">
        <v>0</v>
      </c>
      <c r="G101" s="8" t="n">
        <v>0</v>
      </c>
      <c r="H101" s="7" t="n">
        <v>0</v>
      </c>
    </row>
    <row r="102">
      <c r="A102" s="6" t="n">
        <v>35202010</v>
      </c>
      <c r="B102" s="6" t="inlineStr">
        <is>
          <t>Pharmaceuticals</t>
        </is>
      </c>
      <c r="C102" s="6" t="inlineStr">
        <is>
          <t>Pharmaceuticals</t>
        </is>
      </c>
      <c r="D102" s="6" t="inlineStr">
        <is>
          <t>Health Care</t>
        </is>
      </c>
      <c r="E102" s="7" t="n">
        <v>0</v>
      </c>
      <c r="F102" s="7" t="n">
        <v>0</v>
      </c>
      <c r="G102" s="8" t="n">
        <v>0</v>
      </c>
      <c r="H102" s="7" t="n">
        <v>0</v>
      </c>
    </row>
    <row r="103">
      <c r="A103" s="6" t="n">
        <v>35203010</v>
      </c>
      <c r="B103" s="6" t="inlineStr">
        <is>
          <t>Life Sciences Tools &amp; Services</t>
        </is>
      </c>
      <c r="C103" s="6" t="inlineStr">
        <is>
          <t>Life Sciences Tools &amp; Services</t>
        </is>
      </c>
      <c r="D103" s="6" t="inlineStr">
        <is>
          <t>Health Care</t>
        </is>
      </c>
      <c r="E103" s="7" t="n">
        <v>0</v>
      </c>
      <c r="F103" s="7" t="n">
        <v>0</v>
      </c>
      <c r="G103" s="8" t="n">
        <v>0</v>
      </c>
      <c r="H103" s="7" t="n">
        <v>0</v>
      </c>
    </row>
    <row r="104">
      <c r="A104" s="6" t="n">
        <v>40101010</v>
      </c>
      <c r="B104" s="6" t="inlineStr">
        <is>
          <t>Diversified Banks</t>
        </is>
      </c>
      <c r="C104" s="6" t="inlineStr">
        <is>
          <t>Banks</t>
        </is>
      </c>
      <c r="D104" s="6" t="inlineStr">
        <is>
          <t>Financials</t>
        </is>
      </c>
      <c r="E104" s="7" t="n">
        <v>0</v>
      </c>
      <c r="F104" s="7" t="n">
        <v>0</v>
      </c>
      <c r="G104" s="8" t="n">
        <v>0</v>
      </c>
      <c r="H104" s="7" t="n">
        <v>0</v>
      </c>
    </row>
    <row r="105">
      <c r="A105" s="6" t="n">
        <v>40101015</v>
      </c>
      <c r="B105" s="6" t="inlineStr">
        <is>
          <t>Regional Banks</t>
        </is>
      </c>
      <c r="C105" s="6" t="inlineStr">
        <is>
          <t>Banks</t>
        </is>
      </c>
      <c r="D105" s="6" t="inlineStr">
        <is>
          <t>Financials</t>
        </is>
      </c>
      <c r="E105" s="7" t="n">
        <v>0</v>
      </c>
      <c r="F105" s="7" t="n">
        <v>0</v>
      </c>
      <c r="G105" s="8" t="n">
        <v>0</v>
      </c>
      <c r="H105" s="7" t="n">
        <v>0</v>
      </c>
    </row>
    <row r="106">
      <c r="A106" s="6" t="n">
        <v>40201020</v>
      </c>
      <c r="B106" s="6" t="inlineStr">
        <is>
          <t>Diversified Financial Services</t>
        </is>
      </c>
      <c r="C106" s="6" t="inlineStr">
        <is>
          <t>Financial Services</t>
        </is>
      </c>
      <c r="D106" s="6" t="inlineStr">
        <is>
          <t>Financials</t>
        </is>
      </c>
      <c r="E106" s="7" t="n">
        <v>-0.1</v>
      </c>
      <c r="F106" s="7" t="n">
        <v>-0.18</v>
      </c>
      <c r="G106" s="8" t="n">
        <v>180</v>
      </c>
      <c r="H106" s="7" t="n">
        <v>0</v>
      </c>
    </row>
    <row r="107">
      <c r="A107" s="6" t="n">
        <v>40201030</v>
      </c>
      <c r="B107" s="6" t="inlineStr">
        <is>
          <t>Multi-Sector Holdings</t>
        </is>
      </c>
      <c r="C107" s="6" t="inlineStr">
        <is>
          <t>Financial Services</t>
        </is>
      </c>
      <c r="D107" s="6" t="inlineStr">
        <is>
          <t>Financials</t>
        </is>
      </c>
      <c r="E107" s="7" t="n">
        <v>0</v>
      </c>
      <c r="F107" s="7" t="n">
        <v>0</v>
      </c>
      <c r="G107" s="8" t="n">
        <v>0</v>
      </c>
      <c r="H107" s="7" t="n">
        <v>0</v>
      </c>
    </row>
    <row r="108">
      <c r="A108" s="6" t="n">
        <v>40201040</v>
      </c>
      <c r="B108" s="6" t="inlineStr">
        <is>
          <t>Specialized Finance</t>
        </is>
      </c>
      <c r="C108" s="6" t="inlineStr">
        <is>
          <t>Financial Services</t>
        </is>
      </c>
      <c r="D108" s="6" t="inlineStr">
        <is>
          <t>Financials</t>
        </is>
      </c>
      <c r="E108" s="7" t="n">
        <v>0</v>
      </c>
      <c r="F108" s="7" t="n">
        <v>0</v>
      </c>
      <c r="G108" s="8" t="n">
        <v>0</v>
      </c>
      <c r="H108" s="7" t="n">
        <v>0</v>
      </c>
    </row>
    <row r="109">
      <c r="A109" s="6" t="n">
        <v>40201050</v>
      </c>
      <c r="B109" s="6" t="inlineStr">
        <is>
          <t>Commercial &amp; Residential Mortgage Finance</t>
        </is>
      </c>
      <c r="C109" s="6" t="inlineStr">
        <is>
          <t>Financial Services</t>
        </is>
      </c>
      <c r="D109" s="6" t="inlineStr">
        <is>
          <t>Financials</t>
        </is>
      </c>
      <c r="E109" s="7" t="n">
        <v>0</v>
      </c>
      <c r="F109" s="7" t="n">
        <v>0</v>
      </c>
      <c r="G109" s="8" t="n">
        <v>0</v>
      </c>
      <c r="H109" s="7" t="n">
        <v>0</v>
      </c>
    </row>
    <row r="110">
      <c r="A110" s="6" t="n">
        <v>40201060</v>
      </c>
      <c r="B110" s="6" t="inlineStr">
        <is>
          <t>Transaction &amp; Payment Processing Services</t>
        </is>
      </c>
      <c r="C110" s="6" t="inlineStr">
        <is>
          <t>Financial Services</t>
        </is>
      </c>
      <c r="D110" s="6" t="inlineStr">
        <is>
          <t>Financials</t>
        </is>
      </c>
      <c r="E110" s="7" t="n">
        <v>0</v>
      </c>
      <c r="F110" s="7" t="n">
        <v>0</v>
      </c>
      <c r="G110" s="8" t="n">
        <v>0</v>
      </c>
      <c r="H110" s="7" t="n">
        <v>0</v>
      </c>
    </row>
    <row r="111">
      <c r="A111" s="6" t="n">
        <v>40202010</v>
      </c>
      <c r="B111" s="6" t="inlineStr">
        <is>
          <t>Consumer Finance</t>
        </is>
      </c>
      <c r="C111" s="6" t="inlineStr">
        <is>
          <t>Consumer Finance</t>
        </is>
      </c>
      <c r="D111" s="6" t="inlineStr">
        <is>
          <t>Financials</t>
        </is>
      </c>
      <c r="E111" s="7" t="n">
        <v>-0.14</v>
      </c>
      <c r="F111" s="7" t="n">
        <v>-0.25</v>
      </c>
      <c r="G111" s="8" t="n">
        <v>260</v>
      </c>
      <c r="H111" s="7" t="n">
        <v>0</v>
      </c>
    </row>
    <row r="112">
      <c r="A112" s="6" t="n">
        <v>40203010</v>
      </c>
      <c r="B112" s="6" t="inlineStr">
        <is>
          <t>Asset Management &amp; Custody Banks</t>
        </is>
      </c>
      <c r="C112" s="6" t="inlineStr">
        <is>
          <t>Capital Markets</t>
        </is>
      </c>
      <c r="D112" s="6" t="inlineStr">
        <is>
          <t>Financials</t>
        </is>
      </c>
      <c r="E112" s="7" t="n">
        <v>0</v>
      </c>
      <c r="F112" s="7" t="n">
        <v>0</v>
      </c>
      <c r="G112" s="8" t="n">
        <v>0</v>
      </c>
      <c r="H112" s="7" t="n">
        <v>0</v>
      </c>
    </row>
    <row r="113">
      <c r="A113" s="6" t="n">
        <v>40203020</v>
      </c>
      <c r="B113" s="6" t="inlineStr">
        <is>
          <t>Investment Banking &amp; Brokerage</t>
        </is>
      </c>
      <c r="C113" s="6" t="inlineStr">
        <is>
          <t>Capital Markets</t>
        </is>
      </c>
      <c r="D113" s="6" t="inlineStr">
        <is>
          <t>Financials</t>
        </is>
      </c>
      <c r="E113" s="7" t="n">
        <v>0</v>
      </c>
      <c r="F113" s="7" t="n">
        <v>0</v>
      </c>
      <c r="G113" s="8" t="n">
        <v>0</v>
      </c>
      <c r="H113" s="7" t="n">
        <v>0</v>
      </c>
    </row>
    <row r="114">
      <c r="A114" s="6" t="n">
        <v>40203030</v>
      </c>
      <c r="B114" s="6" t="inlineStr">
        <is>
          <t>Diversified Capital Markets</t>
        </is>
      </c>
      <c r="C114" s="6" t="inlineStr">
        <is>
          <t>Capital Markets</t>
        </is>
      </c>
      <c r="D114" s="6" t="inlineStr">
        <is>
          <t>Financials</t>
        </is>
      </c>
      <c r="E114" s="7" t="n">
        <v>0</v>
      </c>
      <c r="F114" s="7" t="n">
        <v>0</v>
      </c>
      <c r="G114" s="8" t="n">
        <v>0</v>
      </c>
      <c r="H114" s="7" t="n">
        <v>0</v>
      </c>
    </row>
    <row r="115">
      <c r="A115" s="6" t="n">
        <v>40203040</v>
      </c>
      <c r="B115" s="6" t="inlineStr">
        <is>
          <t>Financial Exchanges &amp; Data</t>
        </is>
      </c>
      <c r="C115" s="6" t="inlineStr">
        <is>
          <t>Capital Markets</t>
        </is>
      </c>
      <c r="D115" s="6" t="inlineStr">
        <is>
          <t>Financials</t>
        </is>
      </c>
      <c r="E115" s="7" t="n">
        <v>0</v>
      </c>
      <c r="F115" s="7" t="n">
        <v>0</v>
      </c>
      <c r="G115" s="8" t="n">
        <v>0</v>
      </c>
      <c r="H115" s="7" t="n">
        <v>0</v>
      </c>
    </row>
    <row r="116">
      <c r="A116" s="6" t="n">
        <v>40204010</v>
      </c>
      <c r="B116" s="6" t="inlineStr">
        <is>
          <t>Mortgage REITs*</t>
        </is>
      </c>
      <c r="C116" s="6" t="inlineStr">
        <is>
          <t>Mortgage Real Estate Investment Trusts (REITs)</t>
        </is>
      </c>
      <c r="D116" s="6" t="inlineStr">
        <is>
          <t>Financials</t>
        </is>
      </c>
      <c r="E116" s="7" t="n">
        <v>0</v>
      </c>
      <c r="F116" s="7" t="n">
        <v>0</v>
      </c>
      <c r="G116" s="8" t="n">
        <v>0</v>
      </c>
      <c r="H116" s="7" t="n">
        <v>0</v>
      </c>
    </row>
    <row r="117">
      <c r="A117" s="6" t="n">
        <v>40301010</v>
      </c>
      <c r="B117" s="6" t="inlineStr">
        <is>
          <t>Insurance Brokers</t>
        </is>
      </c>
      <c r="C117" s="6" t="inlineStr">
        <is>
          <t>Insurance</t>
        </is>
      </c>
      <c r="D117" s="6" t="inlineStr">
        <is>
          <t>Financials</t>
        </is>
      </c>
      <c r="E117" s="7" t="n">
        <v>-0.03</v>
      </c>
      <c r="F117" s="7" t="n">
        <v>-0.1</v>
      </c>
      <c r="G117" s="8" t="n">
        <v>100</v>
      </c>
      <c r="H117" s="7" t="n">
        <v>0</v>
      </c>
    </row>
    <row r="118">
      <c r="A118" s="6" t="n">
        <v>40301020</v>
      </c>
      <c r="B118" s="6" t="inlineStr">
        <is>
          <t>Life &amp; Health Insurance</t>
        </is>
      </c>
      <c r="C118" s="6" t="inlineStr">
        <is>
          <t>Insurance</t>
        </is>
      </c>
      <c r="D118" s="6" t="inlineStr">
        <is>
          <t>Financials</t>
        </is>
      </c>
      <c r="E118" s="7" t="n">
        <v>0</v>
      </c>
      <c r="F118" s="7" t="n">
        <v>0</v>
      </c>
      <c r="G118" s="8" t="n">
        <v>0</v>
      </c>
      <c r="H118" s="7" t="n">
        <v>0</v>
      </c>
    </row>
    <row r="119">
      <c r="A119" s="6" t="n">
        <v>40301030</v>
      </c>
      <c r="B119" s="6" t="inlineStr">
        <is>
          <t>Multi-line Insurance</t>
        </is>
      </c>
      <c r="C119" s="6" t="inlineStr">
        <is>
          <t>Insurance</t>
        </is>
      </c>
      <c r="D119" s="6" t="inlineStr">
        <is>
          <t>Financials</t>
        </is>
      </c>
      <c r="E119" s="7" t="n">
        <v>0</v>
      </c>
      <c r="F119" s="7" t="n">
        <v>0</v>
      </c>
      <c r="G119" s="8" t="n">
        <v>0</v>
      </c>
      <c r="H119" s="7" t="n">
        <v>0</v>
      </c>
    </row>
    <row r="120">
      <c r="A120" s="6" t="n">
        <v>40301040</v>
      </c>
      <c r="B120" s="6" t="inlineStr">
        <is>
          <t>Property &amp; Casualty Insurance</t>
        </is>
      </c>
      <c r="C120" s="6" t="inlineStr">
        <is>
          <t>Insurance</t>
        </is>
      </c>
      <c r="D120" s="6" t="inlineStr">
        <is>
          <t>Financials</t>
        </is>
      </c>
      <c r="E120" s="7" t="n">
        <v>0</v>
      </c>
      <c r="F120" s="7" t="n">
        <v>0</v>
      </c>
      <c r="G120" s="8" t="n">
        <v>0</v>
      </c>
      <c r="H120" s="7" t="n">
        <v>0</v>
      </c>
    </row>
    <row r="121">
      <c r="A121" s="6" t="n">
        <v>40301050</v>
      </c>
      <c r="B121" s="6" t="inlineStr">
        <is>
          <t>Reinsurance</t>
        </is>
      </c>
      <c r="C121" s="6" t="inlineStr">
        <is>
          <t>Insurance</t>
        </is>
      </c>
      <c r="D121" s="6" t="inlineStr">
        <is>
          <t>Financials</t>
        </is>
      </c>
      <c r="E121" s="7" t="n">
        <v>0</v>
      </c>
      <c r="F121" s="7" t="n">
        <v>0</v>
      </c>
      <c r="G121" s="8" t="n">
        <v>0</v>
      </c>
      <c r="H121" s="7" t="n">
        <v>0</v>
      </c>
    </row>
    <row r="122">
      <c r="A122" s="6" t="n">
        <v>45102010</v>
      </c>
      <c r="B122" s="6" t="inlineStr">
        <is>
          <t>IT Consulting &amp; Other Services</t>
        </is>
      </c>
      <c r="C122" s="6" t="inlineStr">
        <is>
          <t>IT Services</t>
        </is>
      </c>
      <c r="D122" s="6" t="inlineStr">
        <is>
          <t>Information Technology</t>
        </is>
      </c>
      <c r="E122" s="7" t="n">
        <v>-0.06</v>
      </c>
      <c r="F122" s="7" t="n">
        <v>-0.15</v>
      </c>
      <c r="G122" s="8" t="n">
        <v>150</v>
      </c>
      <c r="H122" s="7" t="n">
        <v>-0.03</v>
      </c>
    </row>
    <row r="123">
      <c r="A123" s="6" t="n">
        <v>45102030</v>
      </c>
      <c r="B123" s="6" t="inlineStr">
        <is>
          <t>Internet Services &amp; Infrastructure</t>
        </is>
      </c>
      <c r="C123" s="6" t="inlineStr">
        <is>
          <t>IT Services</t>
        </is>
      </c>
      <c r="D123" s="6" t="inlineStr">
        <is>
          <t>Information Technology</t>
        </is>
      </c>
      <c r="E123" s="7" t="n">
        <v>0</v>
      </c>
      <c r="F123" s="7" t="n">
        <v>0</v>
      </c>
      <c r="G123" s="8" t="n">
        <v>0</v>
      </c>
      <c r="H123" s="7" t="n">
        <v>0</v>
      </c>
    </row>
    <row r="124">
      <c r="A124" s="6" t="n">
        <v>45103010</v>
      </c>
      <c r="B124" s="6" t="inlineStr">
        <is>
          <t>Application Software</t>
        </is>
      </c>
      <c r="C124" s="6" t="inlineStr">
        <is>
          <t>Software</t>
        </is>
      </c>
      <c r="D124" s="6" t="inlineStr">
        <is>
          <t>Information Technology</t>
        </is>
      </c>
      <c r="E124" s="7" t="n">
        <v>-0.04</v>
      </c>
      <c r="F124" s="7" t="n">
        <v>-0.18</v>
      </c>
      <c r="G124" s="8" t="n">
        <v>140</v>
      </c>
      <c r="H124" s="7" t="n">
        <v>0</v>
      </c>
    </row>
    <row r="125">
      <c r="A125" s="6" t="n">
        <v>45103020</v>
      </c>
      <c r="B125" s="6" t="inlineStr">
        <is>
          <t>Systems Software</t>
        </is>
      </c>
      <c r="C125" s="6" t="inlineStr">
        <is>
          <t>Software</t>
        </is>
      </c>
      <c r="D125" s="6" t="inlineStr">
        <is>
          <t>Information Technology</t>
        </is>
      </c>
      <c r="E125" s="7" t="n">
        <v>0</v>
      </c>
      <c r="F125" s="7" t="n">
        <v>0</v>
      </c>
      <c r="G125" s="8" t="n">
        <v>0</v>
      </c>
      <c r="H125" s="7" t="n">
        <v>0</v>
      </c>
    </row>
    <row r="126">
      <c r="A126" s="6" t="n">
        <v>45201020</v>
      </c>
      <c r="B126" s="6" t="inlineStr">
        <is>
          <t>Communications Equipment</t>
        </is>
      </c>
      <c r="C126" s="6" t="inlineStr">
        <is>
          <t>Communications Equipment</t>
        </is>
      </c>
      <c r="D126" s="6" t="inlineStr">
        <is>
          <t>Information Technology</t>
        </is>
      </c>
      <c r="E126" s="7" t="n">
        <v>0</v>
      </c>
      <c r="F126" s="7" t="n">
        <v>0</v>
      </c>
      <c r="G126" s="8" t="n">
        <v>0</v>
      </c>
      <c r="H126" s="7" t="n">
        <v>0</v>
      </c>
    </row>
    <row r="127">
      <c r="A127" s="6" t="n">
        <v>45202030</v>
      </c>
      <c r="B127" s="6" t="inlineStr">
        <is>
          <t>Technology Hardware, Storage &amp; Peripherals</t>
        </is>
      </c>
      <c r="C127" s="6" t="inlineStr">
        <is>
          <t>Technology Hardware, Storage &amp; Peripherals</t>
        </is>
      </c>
      <c r="D127" s="6" t="inlineStr">
        <is>
          <t>Information Technology</t>
        </is>
      </c>
      <c r="E127" s="7" t="n">
        <v>0</v>
      </c>
      <c r="F127" s="7" t="n">
        <v>0</v>
      </c>
      <c r="G127" s="8" t="n">
        <v>0</v>
      </c>
      <c r="H127" s="7" t="n">
        <v>0</v>
      </c>
    </row>
    <row r="128">
      <c r="A128" s="6" t="n">
        <v>45203010</v>
      </c>
      <c r="B128" s="6" t="inlineStr">
        <is>
          <t>Electronic Equipment &amp; Instruments</t>
        </is>
      </c>
      <c r="C128" s="6" t="inlineStr">
        <is>
          <t>Electronic Equipment, Instruments &amp; Components</t>
        </is>
      </c>
      <c r="D128" s="6" t="inlineStr">
        <is>
          <t>Information Technology</t>
        </is>
      </c>
      <c r="E128" s="7" t="n">
        <v>0</v>
      </c>
      <c r="F128" s="7" t="n">
        <v>0</v>
      </c>
      <c r="G128" s="8" t="n">
        <v>0</v>
      </c>
      <c r="H128" s="7" t="n">
        <v>0</v>
      </c>
    </row>
    <row r="129">
      <c r="A129" s="6" t="n">
        <v>45203015</v>
      </c>
      <c r="B129" s="6" t="inlineStr">
        <is>
          <t>Electronic Components</t>
        </is>
      </c>
      <c r="C129" s="6" t="inlineStr">
        <is>
          <t>Electronic Equipment, Instruments &amp; Components</t>
        </is>
      </c>
      <c r="D129" s="6" t="inlineStr">
        <is>
          <t>Information Technology</t>
        </is>
      </c>
      <c r="E129" s="7" t="n">
        <v>0</v>
      </c>
      <c r="F129" s="7" t="n">
        <v>0</v>
      </c>
      <c r="G129" s="8" t="n">
        <v>0</v>
      </c>
      <c r="H129" s="7" t="n">
        <v>0</v>
      </c>
    </row>
    <row r="130">
      <c r="A130" s="6" t="n">
        <v>45203020</v>
      </c>
      <c r="B130" s="6" t="inlineStr">
        <is>
          <t>Electronic Manufacturing Services</t>
        </is>
      </c>
      <c r="C130" s="6" t="inlineStr">
        <is>
          <t>Electronic Equipment, Instruments &amp; Components</t>
        </is>
      </c>
      <c r="D130" s="6" t="inlineStr">
        <is>
          <t>Information Technology</t>
        </is>
      </c>
      <c r="E130" s="7" t="n">
        <v>0</v>
      </c>
      <c r="F130" s="7" t="n">
        <v>0</v>
      </c>
      <c r="G130" s="8" t="n">
        <v>0</v>
      </c>
      <c r="H130" s="7" t="n">
        <v>0</v>
      </c>
    </row>
    <row r="131">
      <c r="A131" s="6" t="n">
        <v>45203030</v>
      </c>
      <c r="B131" s="6" t="inlineStr">
        <is>
          <t>Technology Distributors</t>
        </is>
      </c>
      <c r="C131" s="6" t="inlineStr">
        <is>
          <t>Electronic Equipment, Instruments &amp; Components</t>
        </is>
      </c>
      <c r="D131" s="6" t="inlineStr">
        <is>
          <t>Information Technology</t>
        </is>
      </c>
      <c r="E131" s="7" t="n">
        <v>0</v>
      </c>
      <c r="F131" s="7" t="n">
        <v>0</v>
      </c>
      <c r="G131" s="8" t="n">
        <v>0</v>
      </c>
      <c r="H131" s="7" t="n">
        <v>0</v>
      </c>
    </row>
    <row r="132">
      <c r="A132" s="6" t="n">
        <v>45301010</v>
      </c>
      <c r="B132" s="6" t="inlineStr">
        <is>
          <t>Semiconductor Materials &amp; Equipment</t>
        </is>
      </c>
      <c r="C132" s="6" t="inlineStr">
        <is>
          <t>Semiconductors &amp; Semiconductor Equipment</t>
        </is>
      </c>
      <c r="D132" s="6" t="inlineStr">
        <is>
          <t>Information Technology</t>
        </is>
      </c>
      <c r="E132" s="7" t="n">
        <v>0</v>
      </c>
      <c r="F132" s="7" t="n">
        <v>0</v>
      </c>
      <c r="G132" s="8" t="n">
        <v>0</v>
      </c>
      <c r="H132" s="7" t="n">
        <v>0</v>
      </c>
    </row>
    <row r="133">
      <c r="A133" s="6" t="n">
        <v>45301020</v>
      </c>
      <c r="B133" s="6" t="inlineStr">
        <is>
          <t>Semiconductors</t>
        </is>
      </c>
      <c r="C133" s="6" t="inlineStr">
        <is>
          <t>Semiconductors &amp; Semiconductor Equipment</t>
        </is>
      </c>
      <c r="D133" s="6" t="inlineStr">
        <is>
          <t>Information Technology</t>
        </is>
      </c>
      <c r="E133" s="7" t="n">
        <v>0</v>
      </c>
      <c r="F133" s="7" t="n">
        <v>0</v>
      </c>
      <c r="G133" s="8" t="n">
        <v>0</v>
      </c>
      <c r="H133" s="7" t="n">
        <v>0</v>
      </c>
    </row>
    <row r="134">
      <c r="A134" s="6" t="n">
        <v>50101010</v>
      </c>
      <c r="B134" s="6" t="inlineStr">
        <is>
          <t>Alternative Carriers</t>
        </is>
      </c>
      <c r="C134" s="6" t="inlineStr">
        <is>
          <t>Diversified Telecommunication Services</t>
        </is>
      </c>
      <c r="D134" s="6" t="inlineStr">
        <is>
          <t>Communication Services</t>
        </is>
      </c>
      <c r="E134" s="7" t="n">
        <v>0</v>
      </c>
      <c r="F134" s="7" t="n">
        <v>0</v>
      </c>
      <c r="G134" s="8" t="n">
        <v>0</v>
      </c>
      <c r="H134" s="7" t="n">
        <v>0</v>
      </c>
    </row>
    <row r="135">
      <c r="A135" s="6" t="n">
        <v>50101020</v>
      </c>
      <c r="B135" s="6" t="inlineStr">
        <is>
          <t>Integrated Telecommunication Services</t>
        </is>
      </c>
      <c r="C135" s="6" t="inlineStr">
        <is>
          <t>Diversified Telecommunication Services</t>
        </is>
      </c>
      <c r="D135" s="6" t="inlineStr">
        <is>
          <t>Communication Services</t>
        </is>
      </c>
      <c r="E135" s="7" t="n">
        <v>0</v>
      </c>
      <c r="F135" s="7" t="n">
        <v>0</v>
      </c>
      <c r="G135" s="8" t="n">
        <v>0</v>
      </c>
      <c r="H135" s="7" t="n">
        <v>0</v>
      </c>
    </row>
    <row r="136">
      <c r="A136" s="6" t="n">
        <v>50102010</v>
      </c>
      <c r="B136" s="6" t="inlineStr">
        <is>
          <t>Wireless Telecommunication Services</t>
        </is>
      </c>
      <c r="C136" s="6" t="inlineStr">
        <is>
          <t>Wireless Telecommunication Services</t>
        </is>
      </c>
      <c r="D136" s="6" t="inlineStr">
        <is>
          <t>Communication Services</t>
        </is>
      </c>
      <c r="E136" s="7" t="n">
        <v>0</v>
      </c>
      <c r="F136" s="7" t="n">
        <v>0</v>
      </c>
      <c r="G136" s="8" t="n">
        <v>0</v>
      </c>
      <c r="H136" s="7" t="n">
        <v>0</v>
      </c>
    </row>
    <row r="137">
      <c r="A137" s="6" t="n">
        <v>50201010</v>
      </c>
      <c r="B137" s="6" t="inlineStr">
        <is>
          <t>Advertising</t>
        </is>
      </c>
      <c r="C137" s="6" t="inlineStr">
        <is>
          <t>Media</t>
        </is>
      </c>
      <c r="D137" s="6" t="inlineStr">
        <is>
          <t>Communication Services</t>
        </is>
      </c>
      <c r="E137" s="7" t="n">
        <v>-0.16</v>
      </c>
      <c r="F137" s="7" t="n">
        <v>-0.28</v>
      </c>
      <c r="G137" s="8" t="n">
        <v>280</v>
      </c>
      <c r="H137" s="7" t="n">
        <v>-0.02</v>
      </c>
    </row>
    <row r="138">
      <c r="A138" s="6" t="n">
        <v>50201020</v>
      </c>
      <c r="B138" s="6" t="inlineStr">
        <is>
          <t>Broadcasting</t>
        </is>
      </c>
      <c r="C138" s="6" t="inlineStr">
        <is>
          <t>Media</t>
        </is>
      </c>
      <c r="D138" s="6" t="inlineStr">
        <is>
          <t>Communication Services</t>
        </is>
      </c>
      <c r="E138" s="7" t="n">
        <v>0</v>
      </c>
      <c r="F138" s="7" t="n">
        <v>0</v>
      </c>
      <c r="G138" s="8" t="n">
        <v>0</v>
      </c>
      <c r="H138" s="7" t="n">
        <v>0</v>
      </c>
    </row>
    <row r="139">
      <c r="A139" s="6" t="n">
        <v>50201030</v>
      </c>
      <c r="B139" s="6" t="inlineStr">
        <is>
          <t>Cable &amp; Satellite</t>
        </is>
      </c>
      <c r="C139" s="6" t="inlineStr">
        <is>
          <t>Media</t>
        </is>
      </c>
      <c r="D139" s="6" t="inlineStr">
        <is>
          <t>Communication Services</t>
        </is>
      </c>
      <c r="E139" s="7" t="n">
        <v>0</v>
      </c>
      <c r="F139" s="7" t="n">
        <v>0</v>
      </c>
      <c r="G139" s="8" t="n">
        <v>0</v>
      </c>
      <c r="H139" s="7" t="n">
        <v>0</v>
      </c>
    </row>
    <row r="140">
      <c r="A140" s="6" t="n">
        <v>50201040</v>
      </c>
      <c r="B140" s="6" t="inlineStr">
        <is>
          <t>Publishing</t>
        </is>
      </c>
      <c r="C140" s="6" t="inlineStr">
        <is>
          <t>Media</t>
        </is>
      </c>
      <c r="D140" s="6" t="inlineStr">
        <is>
          <t>Communication Services</t>
        </is>
      </c>
      <c r="E140" s="7" t="n">
        <v>0</v>
      </c>
      <c r="F140" s="7" t="n">
        <v>0</v>
      </c>
      <c r="G140" s="8" t="n">
        <v>0</v>
      </c>
      <c r="H140" s="7" t="n">
        <v>0</v>
      </c>
    </row>
    <row r="141">
      <c r="A141" s="6" t="n">
        <v>50202010</v>
      </c>
      <c r="B141" s="6" t="inlineStr">
        <is>
          <t>Movies &amp; Entertainment</t>
        </is>
      </c>
      <c r="C141" s="6" t="inlineStr">
        <is>
          <t>Entertainment</t>
        </is>
      </c>
      <c r="D141" s="6" t="inlineStr">
        <is>
          <t>Communication Services</t>
        </is>
      </c>
      <c r="E141" s="7" t="n">
        <v>0</v>
      </c>
      <c r="F141" s="7" t="n">
        <v>0</v>
      </c>
      <c r="G141" s="8" t="n">
        <v>0</v>
      </c>
      <c r="H141" s="7" t="n">
        <v>0</v>
      </c>
    </row>
    <row r="142">
      <c r="A142" s="6" t="n">
        <v>50202020</v>
      </c>
      <c r="B142" s="6" t="inlineStr">
        <is>
          <t>Interactive Home Entertainment</t>
        </is>
      </c>
      <c r="C142" s="6" t="inlineStr">
        <is>
          <t>Entertainment</t>
        </is>
      </c>
      <c r="D142" s="6" t="inlineStr">
        <is>
          <t>Communication Services</t>
        </is>
      </c>
      <c r="E142" s="7" t="n">
        <v>0</v>
      </c>
      <c r="F142" s="7" t="n">
        <v>0</v>
      </c>
      <c r="G142" s="8" t="n">
        <v>0</v>
      </c>
      <c r="H142" s="7" t="n">
        <v>0</v>
      </c>
    </row>
    <row r="143">
      <c r="A143" s="6" t="n">
        <v>50203010</v>
      </c>
      <c r="B143" s="6" t="inlineStr">
        <is>
          <t>Interactive Media &amp; Services</t>
        </is>
      </c>
      <c r="C143" s="6" t="inlineStr">
        <is>
          <t>Interactive Media &amp; Services</t>
        </is>
      </c>
      <c r="D143" s="6" t="inlineStr">
        <is>
          <t>Communication Services</t>
        </is>
      </c>
      <c r="E143" s="7" t="n">
        <v>-0.13</v>
      </c>
      <c r="F143" s="7" t="n">
        <v>-0.24</v>
      </c>
      <c r="G143" s="8" t="n">
        <v>240</v>
      </c>
      <c r="H143" s="7" t="n">
        <v>0</v>
      </c>
    </row>
    <row r="144">
      <c r="A144" s="6" t="n">
        <v>55101010</v>
      </c>
      <c r="B144" s="6" t="inlineStr">
        <is>
          <t>Electric Utilities</t>
        </is>
      </c>
      <c r="C144" s="6" t="inlineStr">
        <is>
          <t>Electric Utilities</t>
        </is>
      </c>
      <c r="D144" s="6" t="inlineStr">
        <is>
          <t>Utilities</t>
        </is>
      </c>
      <c r="E144" s="7" t="n">
        <v>0</v>
      </c>
      <c r="F144" s="7" t="n">
        <v>0</v>
      </c>
      <c r="G144" s="8" t="n">
        <v>0</v>
      </c>
      <c r="H144" s="7" t="n">
        <v>0</v>
      </c>
    </row>
    <row r="145">
      <c r="A145" s="6" t="n">
        <v>55102010</v>
      </c>
      <c r="B145" s="6" t="inlineStr">
        <is>
          <t>Gas Utilities</t>
        </is>
      </c>
      <c r="C145" s="6" t="inlineStr">
        <is>
          <t>Gas Utilities</t>
        </is>
      </c>
      <c r="D145" s="6" t="inlineStr">
        <is>
          <t>Utilities</t>
        </is>
      </c>
      <c r="E145" s="7" t="n">
        <v>0</v>
      </c>
      <c r="F145" s="7" t="n">
        <v>0</v>
      </c>
      <c r="G145" s="8" t="n">
        <v>0</v>
      </c>
      <c r="H145" s="7" t="n">
        <v>0</v>
      </c>
    </row>
    <row r="146">
      <c r="A146" s="6" t="n">
        <v>55103010</v>
      </c>
      <c r="B146" s="6" t="inlineStr">
        <is>
          <t>Multi-Utilities</t>
        </is>
      </c>
      <c r="C146" s="6" t="inlineStr">
        <is>
          <t>Multi-Utilities</t>
        </is>
      </c>
      <c r="D146" s="6" t="inlineStr">
        <is>
          <t>Utilities</t>
        </is>
      </c>
      <c r="E146" s="7" t="n">
        <v>0</v>
      </c>
      <c r="F146" s="7" t="n">
        <v>0</v>
      </c>
      <c r="G146" s="8" t="n">
        <v>0</v>
      </c>
      <c r="H146" s="7" t="n">
        <v>0</v>
      </c>
    </row>
    <row r="147">
      <c r="A147" s="6" t="n">
        <v>55104010</v>
      </c>
      <c r="B147" s="6" t="inlineStr">
        <is>
          <t>Water Utilities</t>
        </is>
      </c>
      <c r="C147" s="6" t="inlineStr">
        <is>
          <t>Water Utilities</t>
        </is>
      </c>
      <c r="D147" s="6" t="inlineStr">
        <is>
          <t>Utilities</t>
        </is>
      </c>
      <c r="E147" s="7" t="n">
        <v>0</v>
      </c>
      <c r="F147" s="7" t="n">
        <v>0</v>
      </c>
      <c r="G147" s="8" t="n">
        <v>0</v>
      </c>
      <c r="H147" s="7" t="n">
        <v>0</v>
      </c>
    </row>
    <row r="148">
      <c r="A148" s="6" t="n">
        <v>55105010</v>
      </c>
      <c r="B148" s="6" t="inlineStr">
        <is>
          <t>Independent Power Producers &amp; Energy Traders</t>
        </is>
      </c>
      <c r="C148" s="6" t="inlineStr">
        <is>
          <t>Independent Power and Renewable Electricity Producers</t>
        </is>
      </c>
      <c r="D148" s="6" t="inlineStr">
        <is>
          <t>Utilities</t>
        </is>
      </c>
      <c r="E148" s="7" t="n">
        <v>0</v>
      </c>
      <c r="F148" s="7" t="n">
        <v>0</v>
      </c>
      <c r="G148" s="8" t="n">
        <v>0</v>
      </c>
      <c r="H148" s="7" t="n">
        <v>0</v>
      </c>
    </row>
    <row r="149">
      <c r="A149" s="6" t="n">
        <v>55105020</v>
      </c>
      <c r="B149" s="6" t="inlineStr">
        <is>
          <t>Renewable Electricity</t>
        </is>
      </c>
      <c r="C149" s="6" t="inlineStr">
        <is>
          <t>Independent Power and Renewable Electricity Producers</t>
        </is>
      </c>
      <c r="D149" s="6" t="inlineStr">
        <is>
          <t>Utilities</t>
        </is>
      </c>
      <c r="E149" s="7" t="n">
        <v>0</v>
      </c>
      <c r="F149" s="7" t="n">
        <v>0</v>
      </c>
      <c r="G149" s="8" t="n">
        <v>0</v>
      </c>
      <c r="H149" s="7" t="n">
        <v>0</v>
      </c>
    </row>
    <row r="150">
      <c r="A150" s="6" t="n">
        <v>60101010</v>
      </c>
      <c r="B150" s="6" t="inlineStr">
        <is>
          <t>Diversified REITs*</t>
        </is>
      </c>
      <c r="C150" s="6" t="inlineStr">
        <is>
          <t>Diversified REITs</t>
        </is>
      </c>
      <c r="D150" s="6" t="inlineStr">
        <is>
          <t>Real Estate</t>
        </is>
      </c>
      <c r="E150" s="7" t="n">
        <v>0</v>
      </c>
      <c r="F150" s="7" t="n">
        <v>0</v>
      </c>
      <c r="G150" s="8" t="n">
        <v>0</v>
      </c>
      <c r="H150" s="7" t="n">
        <v>0</v>
      </c>
    </row>
    <row r="151">
      <c r="A151" s="6" t="n">
        <v>60102510</v>
      </c>
      <c r="B151" s="6" t="inlineStr">
        <is>
          <t>Industrial REITs*</t>
        </is>
      </c>
      <c r="C151" s="6" t="inlineStr">
        <is>
          <t>Industrial REITs</t>
        </is>
      </c>
      <c r="D151" s="6" t="inlineStr">
        <is>
          <t>Real Estate</t>
        </is>
      </c>
      <c r="E151" s="7" t="n">
        <v>0</v>
      </c>
      <c r="F151" s="7" t="n">
        <v>0</v>
      </c>
      <c r="G151" s="8" t="n">
        <v>0</v>
      </c>
      <c r="H151" s="7" t="n">
        <v>0</v>
      </c>
    </row>
    <row r="152">
      <c r="A152" s="6" t="n">
        <v>60103010</v>
      </c>
      <c r="B152" s="6" t="inlineStr">
        <is>
          <t>Hotel &amp; Resort REITs*</t>
        </is>
      </c>
      <c r="C152" s="6" t="inlineStr">
        <is>
          <t>Hotel &amp; Resort REITs</t>
        </is>
      </c>
      <c r="D152" s="6" t="inlineStr">
        <is>
          <t>Real Estate</t>
        </is>
      </c>
      <c r="E152" s="7" t="n">
        <v>0</v>
      </c>
      <c r="F152" s="7" t="n">
        <v>0</v>
      </c>
      <c r="G152" s="8" t="n">
        <v>0</v>
      </c>
      <c r="H152" s="7" t="n">
        <v>0</v>
      </c>
    </row>
    <row r="153">
      <c r="A153" s="6" t="n">
        <v>60104010</v>
      </c>
      <c r="B153" s="6" t="inlineStr">
        <is>
          <t>Office REITs*</t>
        </is>
      </c>
      <c r="C153" s="6" t="inlineStr">
        <is>
          <t>Office REITs</t>
        </is>
      </c>
      <c r="D153" s="6" t="inlineStr">
        <is>
          <t>Real Estate</t>
        </is>
      </c>
      <c r="E153" s="7" t="n">
        <v>0</v>
      </c>
      <c r="F153" s="7" t="n">
        <v>0</v>
      </c>
      <c r="G153" s="8" t="n">
        <v>0</v>
      </c>
      <c r="H153" s="7" t="n">
        <v>0</v>
      </c>
    </row>
    <row r="154">
      <c r="A154" s="6" t="n">
        <v>60105010</v>
      </c>
      <c r="B154" s="6" t="inlineStr">
        <is>
          <t>Health Care REITs*</t>
        </is>
      </c>
      <c r="C154" s="6" t="inlineStr">
        <is>
          <t>Health Care REITs</t>
        </is>
      </c>
      <c r="D154" s="6" t="inlineStr">
        <is>
          <t>Real Estate</t>
        </is>
      </c>
      <c r="E154" s="7" t="n">
        <v>0</v>
      </c>
      <c r="F154" s="7" t="n">
        <v>0</v>
      </c>
      <c r="G154" s="8" t="n">
        <v>0</v>
      </c>
      <c r="H154" s="7" t="n">
        <v>0</v>
      </c>
    </row>
    <row r="155">
      <c r="A155" s="6" t="n">
        <v>60106010</v>
      </c>
      <c r="B155" s="6" t="inlineStr">
        <is>
          <t>Multi-Family Residential REITs*</t>
        </is>
      </c>
      <c r="C155" s="6" t="inlineStr">
        <is>
          <t>Residential REITs</t>
        </is>
      </c>
      <c r="D155" s="6" t="inlineStr">
        <is>
          <t>Real Estate</t>
        </is>
      </c>
      <c r="E155" s="7" t="n">
        <v>0</v>
      </c>
      <c r="F155" s="7" t="n">
        <v>0</v>
      </c>
      <c r="G155" s="8" t="n">
        <v>0</v>
      </c>
      <c r="H155" s="7" t="n">
        <v>0</v>
      </c>
    </row>
    <row r="156">
      <c r="A156" s="6" t="n">
        <v>60106020</v>
      </c>
      <c r="B156" s="6" t="inlineStr">
        <is>
          <t>Single-Family Residential REITs*</t>
        </is>
      </c>
      <c r="C156" s="6" t="inlineStr">
        <is>
          <t>Residential REITs</t>
        </is>
      </c>
      <c r="D156" s="6" t="inlineStr">
        <is>
          <t>Real Estate</t>
        </is>
      </c>
      <c r="E156" s="7" t="n">
        <v>0</v>
      </c>
      <c r="F156" s="7" t="n">
        <v>0</v>
      </c>
      <c r="G156" s="8" t="n">
        <v>0</v>
      </c>
      <c r="H156" s="7" t="n">
        <v>0</v>
      </c>
    </row>
    <row r="157">
      <c r="A157" s="6" t="n">
        <v>60107010</v>
      </c>
      <c r="B157" s="6" t="inlineStr">
        <is>
          <t>Retail REITs*</t>
        </is>
      </c>
      <c r="C157" s="6" t="inlineStr">
        <is>
          <t>Retail REITs</t>
        </is>
      </c>
      <c r="D157" s="6" t="inlineStr">
        <is>
          <t>Real Estate</t>
        </is>
      </c>
      <c r="E157" s="7" t="n">
        <v>0</v>
      </c>
      <c r="F157" s="7" t="n">
        <v>0</v>
      </c>
      <c r="G157" s="8" t="n">
        <v>0</v>
      </c>
      <c r="H157" s="7" t="n">
        <v>0</v>
      </c>
    </row>
    <row r="158">
      <c r="A158" s="6" t="n">
        <v>60108010</v>
      </c>
      <c r="B158" s="6" t="inlineStr">
        <is>
          <t>Other Specialized REITs*</t>
        </is>
      </c>
      <c r="C158" s="6" t="inlineStr">
        <is>
          <t>Specialized REITs</t>
        </is>
      </c>
      <c r="D158" s="6" t="inlineStr">
        <is>
          <t>Real Estate</t>
        </is>
      </c>
      <c r="E158" s="7" t="n">
        <v>0</v>
      </c>
      <c r="F158" s="7" t="n">
        <v>0</v>
      </c>
      <c r="G158" s="8" t="n">
        <v>0</v>
      </c>
      <c r="H158" s="7" t="n">
        <v>0</v>
      </c>
    </row>
    <row r="159">
      <c r="A159" s="6" t="n">
        <v>60108020</v>
      </c>
      <c r="B159" s="6" t="inlineStr">
        <is>
          <t>Self-Storage REITs*</t>
        </is>
      </c>
      <c r="C159" s="6" t="inlineStr">
        <is>
          <t>Specialized REITs</t>
        </is>
      </c>
      <c r="D159" s="6" t="inlineStr">
        <is>
          <t>Real Estate</t>
        </is>
      </c>
      <c r="E159" s="7" t="n">
        <v>0</v>
      </c>
      <c r="F159" s="7" t="n">
        <v>0</v>
      </c>
      <c r="G159" s="8" t="n">
        <v>0</v>
      </c>
      <c r="H159" s="7" t="n">
        <v>0</v>
      </c>
    </row>
    <row r="160">
      <c r="A160" s="6" t="n">
        <v>60108030</v>
      </c>
      <c r="B160" s="6" t="inlineStr">
        <is>
          <t>Telecom Tower REITs*</t>
        </is>
      </c>
      <c r="C160" s="6" t="inlineStr">
        <is>
          <t>Specialized REITs</t>
        </is>
      </c>
      <c r="D160" s="6" t="inlineStr">
        <is>
          <t>Real Estate</t>
        </is>
      </c>
      <c r="E160" s="7" t="n">
        <v>0</v>
      </c>
      <c r="F160" s="7" t="n">
        <v>0</v>
      </c>
      <c r="G160" s="8" t="n">
        <v>0</v>
      </c>
      <c r="H160" s="7" t="n">
        <v>0</v>
      </c>
    </row>
    <row r="161">
      <c r="A161" s="6" t="n">
        <v>60108040</v>
      </c>
      <c r="B161" s="6" t="inlineStr">
        <is>
          <t>Timber REITs*</t>
        </is>
      </c>
      <c r="C161" s="6" t="inlineStr">
        <is>
          <t>Specialized REITs</t>
        </is>
      </c>
      <c r="D161" s="6" t="inlineStr">
        <is>
          <t>Real Estate</t>
        </is>
      </c>
      <c r="E161" s="7" t="n">
        <v>0</v>
      </c>
      <c r="F161" s="7" t="n">
        <v>0</v>
      </c>
      <c r="G161" s="8" t="n">
        <v>0</v>
      </c>
      <c r="H161" s="7" t="n">
        <v>0</v>
      </c>
    </row>
    <row r="162">
      <c r="A162" s="6" t="n">
        <v>60108050</v>
      </c>
      <c r="B162" s="6" t="inlineStr">
        <is>
          <t>Data Center REITs*</t>
        </is>
      </c>
      <c r="C162" s="6" t="inlineStr">
        <is>
          <t>Specialized REITs</t>
        </is>
      </c>
      <c r="D162" s="6" t="inlineStr">
        <is>
          <t>Real Estate</t>
        </is>
      </c>
      <c r="E162" s="7" t="n">
        <v>0</v>
      </c>
      <c r="F162" s="7" t="n">
        <v>0</v>
      </c>
      <c r="G162" s="8" t="n">
        <v>0</v>
      </c>
      <c r="H162" s="7" t="n">
        <v>0</v>
      </c>
    </row>
    <row r="163">
      <c r="A163" s="6" t="n">
        <v>60201010</v>
      </c>
      <c r="B163" s="6" t="inlineStr">
        <is>
          <t>Diversified Real Estate Activities</t>
        </is>
      </c>
      <c r="C163" s="6" t="inlineStr">
        <is>
          <t>Real Estate Management &amp; Development</t>
        </is>
      </c>
      <c r="D163" s="6" t="inlineStr">
        <is>
          <t>Real Estate</t>
        </is>
      </c>
      <c r="E163" s="7" t="n">
        <v>0</v>
      </c>
      <c r="F163" s="7" t="n">
        <v>0</v>
      </c>
      <c r="G163" s="8" t="n">
        <v>0</v>
      </c>
      <c r="H163" s="7" t="n">
        <v>0</v>
      </c>
    </row>
    <row r="164">
      <c r="A164" s="6" t="n">
        <v>60201020</v>
      </c>
      <c r="B164" s="6" t="inlineStr">
        <is>
          <t>Real Estate Operating Companies</t>
        </is>
      </c>
      <c r="C164" s="6" t="inlineStr">
        <is>
          <t>Real Estate Management &amp; Development</t>
        </is>
      </c>
      <c r="D164" s="6" t="inlineStr">
        <is>
          <t>Real Estate</t>
        </is>
      </c>
      <c r="E164" s="7" t="n">
        <v>0</v>
      </c>
      <c r="F164" s="7" t="n">
        <v>0</v>
      </c>
      <c r="G164" s="8" t="n">
        <v>0</v>
      </c>
      <c r="H164" s="7" t="n">
        <v>0</v>
      </c>
    </row>
    <row r="165">
      <c r="A165" s="6" t="n">
        <v>60201030</v>
      </c>
      <c r="B165" s="6" t="inlineStr">
        <is>
          <t>Real Estate Development</t>
        </is>
      </c>
      <c r="C165" s="6" t="inlineStr">
        <is>
          <t>Real Estate Management &amp; Development</t>
        </is>
      </c>
      <c r="D165" s="6" t="inlineStr">
        <is>
          <t>Real Estate</t>
        </is>
      </c>
      <c r="E165" s="7" t="n">
        <v>0</v>
      </c>
      <c r="F165" s="7" t="n">
        <v>0</v>
      </c>
      <c r="G165" s="8" t="n">
        <v>0</v>
      </c>
      <c r="H165" s="7" t="n">
        <v>0</v>
      </c>
    </row>
    <row r="166">
      <c r="A166" s="6" t="n">
        <v>60201040</v>
      </c>
      <c r="B166" s="6" t="inlineStr">
        <is>
          <t>Real Estate Services</t>
        </is>
      </c>
      <c r="C166" s="6" t="inlineStr">
        <is>
          <t>Real Estate Management &amp; Development</t>
        </is>
      </c>
      <c r="D166" s="6" t="inlineStr">
        <is>
          <t>Real Estate</t>
        </is>
      </c>
      <c r="E166" s="7" t="n">
        <v>0</v>
      </c>
      <c r="F166" s="7" t="n">
        <v>0</v>
      </c>
      <c r="G166" s="8" t="n">
        <v>0</v>
      </c>
      <c r="H166" s="7" t="n">
        <v>0</v>
      </c>
    </row>
    <row r="168">
      <c r="A168" s="9" t="inlineStr">
        <is>
          <t>GLOBAL ASSUMPTIONS (portfolio-wide, not GICS-specific — a rate shock is macro, matching the Northwind worked example)</t>
        </is>
      </c>
    </row>
    <row r="169">
      <c r="A169" s="10" t="inlineStr">
        <is>
          <t>Current Reference Rate %</t>
        </is>
      </c>
      <c r="B169" s="11" t="n">
        <v>0.0525</v>
      </c>
    </row>
    <row r="170">
      <c r="A170" s="10" t="inlineStr">
        <is>
          <t>Reference Rate Shock (bps)</t>
        </is>
      </c>
      <c r="B170" s="12" t="n">
        <v>200</v>
      </c>
    </row>
  </sheetData>
  <mergeCells count="2">
    <mergeCell ref="A168:D168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33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26" customWidth="1" min="1" max="1"/>
    <col width="20" customWidth="1" min="2" max="2"/>
    <col width="12" customWidth="1" min="3" max="3"/>
    <col width="28" customWidth="1" min="4" max="4"/>
    <col width="26" customWidth="1" min="5" max="5"/>
    <col width="20" customWidth="1" min="6" max="6"/>
    <col width="50" customWidth="1" min="7" max="7"/>
    <col width="50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2" customWidth="1" min="27" max="27"/>
    <col width="12" customWidth="1" min="28" max="28"/>
    <col width="12" customWidth="1" min="29" max="29"/>
    <col width="13" customWidth="1" min="30" max="30"/>
    <col width="13" customWidth="1" min="31" max="31"/>
    <col width="12" customWidth="1" min="32" max="32"/>
    <col width="11" customWidth="1" min="33" max="33"/>
    <col width="11" customWidth="1" min="34" max="34"/>
    <col width="13" customWidth="1" min="35" max="35"/>
  </cols>
  <sheetData>
    <row r="1" ht="40" customHeight="1">
      <c r="A1" t="inlineStr">
        <is>
          <t>VALUES ONLY. Columns A-Y are your requested fields. Columns Z-AE (blue) are framework-required assumptions the B1-B5 formula chain needs but weren't on the original list — illustrative sector-based defaults, override per name as real data becomes available. All deals fictional; sponsor, LTM revenue, structuring/current EBITDA, opening/current leverage, opening/current LTV are internally consistent (Net Debt held constant from close to today; Current Leverage = Net Debt / Current EBITDA, derived).</t>
        </is>
      </c>
    </row>
    <row r="3" ht="34" customHeight="1">
      <c r="A3" s="5" t="inlineStr">
        <is>
          <t>Deal Name</t>
        </is>
      </c>
      <c r="B3" s="5" t="inlineStr">
        <is>
          <t>Sponsor</t>
        </is>
      </c>
      <c r="C3" s="5" t="inlineStr">
        <is>
          <t>GICS Sub-Ind Code</t>
        </is>
      </c>
      <c r="D3" s="5" t="inlineStr">
        <is>
          <t>GICS Sub-Industry</t>
        </is>
      </c>
      <c r="E3" s="5" t="inlineStr">
        <is>
          <t>GICS Industry</t>
        </is>
      </c>
      <c r="F3" s="5" t="inlineStr">
        <is>
          <t>GICS Sector</t>
        </is>
      </c>
      <c r="G3" s="5" t="inlineStr">
        <is>
          <t>Company Description</t>
        </is>
      </c>
      <c r="H3" s="5" t="inlineStr">
        <is>
          <t>Investment Thesis</t>
        </is>
      </c>
      <c r="I3" s="5" t="inlineStr">
        <is>
          <t>LTM Revenue
($m)</t>
        </is>
      </c>
      <c r="J3" s="5" t="inlineStr">
        <is>
          <t>EBITDA
Margin %</t>
        </is>
      </c>
      <c r="K3" s="5" t="inlineStr">
        <is>
          <t>Structuring
EBITDA ($m)</t>
        </is>
      </c>
      <c r="L3" s="5" t="inlineStr">
        <is>
          <t>Current
EBITDA ($m)</t>
        </is>
      </c>
      <c r="M3" s="5" t="inlineStr">
        <is>
          <t>Net Debt
($m)</t>
        </is>
      </c>
      <c r="N3" s="5" t="inlineStr">
        <is>
          <t>Opening Leverage
(net, x)</t>
        </is>
      </c>
      <c r="O3" s="5" t="inlineStr">
        <is>
          <t>Current Leverage
(net, x)</t>
        </is>
      </c>
      <c r="P3" s="5" t="inlineStr">
        <is>
          <t>Entry EV/EBITDA
Multiple (x)</t>
        </is>
      </c>
      <c r="Q3" s="5" t="inlineStr">
        <is>
          <t>Current EV/EBITDA
Multiple (x)</t>
        </is>
      </c>
      <c r="R3" s="5" t="inlineStr">
        <is>
          <t>Opening EV
($m)</t>
        </is>
      </c>
      <c r="S3" s="5" t="inlineStr">
        <is>
          <t>Current EV
($m)</t>
        </is>
      </c>
      <c r="T3" s="5" t="inlineStr">
        <is>
          <t>Opening
LTV %</t>
        </is>
      </c>
      <c r="U3" s="5" t="inlineStr">
        <is>
          <t>Current
LTV %</t>
        </is>
      </c>
      <c r="V3" s="5" t="inlineStr">
        <is>
          <t>Invested Amount
at Cost ($m)</t>
        </is>
      </c>
      <c r="W3" s="5" t="inlineStr">
        <is>
          <t>Margin over Floating
(coupon, bps)</t>
        </is>
      </c>
      <c r="X3" s="5" t="inlineStr">
        <is>
          <t>Spread Duration
(yrs)</t>
        </is>
      </c>
      <c r="Y3" s="5" t="inlineStr">
        <is>
          <t>Current
Z-spread (bps)</t>
        </is>
      </c>
      <c r="Z3" s="5" t="inlineStr">
        <is>
          <t>Operating
Leverage (x)</t>
        </is>
      </c>
      <c r="AA3" s="5" t="inlineStr">
        <is>
          <t>Leverage
Covenant (x)</t>
        </is>
      </c>
      <c r="AB3" s="5" t="inlineStr">
        <is>
          <t>FCCR
Covenant (x)</t>
        </is>
      </c>
      <c r="AC3" s="5" t="inlineStr">
        <is>
          <t>Capex
(% of revenue)</t>
        </is>
      </c>
      <c r="AD3" s="5" t="inlineStr">
        <is>
          <t>Cash Tax
(% of EBITDA)</t>
        </is>
      </c>
      <c r="AE3" s="5" t="inlineStr">
        <is>
          <t>Scheduled Amort.
(% debt p.a.)</t>
        </is>
      </c>
    </row>
    <row r="4" ht="45" customHeight="1">
      <c r="A4" s="13" t="inlineStr">
        <is>
          <t>Meridian Clinical Partners</t>
        </is>
      </c>
      <c r="B4" s="13" t="inlineStr">
        <is>
          <t>Northbridge Capital</t>
        </is>
      </c>
      <c r="C4" s="13" t="n">
        <v>35102015</v>
      </c>
      <c r="D4" s="13" t="inlineStr">
        <is>
          <t>Health Care Services</t>
        </is>
      </c>
      <c r="E4" s="13" t="inlineStr">
        <is>
          <t>Health Care Providers &amp; Services</t>
        </is>
      </c>
      <c r="F4" s="13" t="inlineStr">
        <is>
          <t>Health Care</t>
        </is>
      </c>
      <c r="G4" s="14" t="inlineStr">
        <is>
          <t>Multi-site outpatient physical therapy and rehabilitation platform across the US Southeast, 44 clinics.</t>
        </is>
      </c>
      <c r="H4" s="14" t="inlineStr">
        <is>
          <t>Roll-up of fragmented single-site PT practices; consolidate billing/scheduling, cross-sell into ortho referral networks.</t>
        </is>
      </c>
      <c r="I4" s="15" t="n">
        <v>118</v>
      </c>
      <c r="J4" s="7" t="n">
        <v>0.19</v>
      </c>
      <c r="K4" s="15" t="n">
        <v>21.5</v>
      </c>
      <c r="L4" s="15" t="n">
        <v>22.79</v>
      </c>
      <c r="M4" s="15" t="n">
        <v>112.875</v>
      </c>
      <c r="N4" s="16" t="n">
        <v>5.25</v>
      </c>
      <c r="O4" s="16" t="n">
        <v>4.953</v>
      </c>
      <c r="P4" s="16" t="n">
        <v>9.5</v>
      </c>
      <c r="Q4" s="16" t="n">
        <v>9</v>
      </c>
      <c r="R4" s="15" t="n">
        <v>204.25</v>
      </c>
      <c r="S4" s="15" t="n">
        <v>205.11</v>
      </c>
      <c r="T4" s="7" t="n">
        <v>0.5526315789473685</v>
      </c>
      <c r="U4" s="7" t="n">
        <v>0.550314465408805</v>
      </c>
      <c r="V4" s="15" t="n">
        <v>107.23125</v>
      </c>
      <c r="W4" s="15" t="n">
        <v>550</v>
      </c>
      <c r="X4" s="17" t="n">
        <v>3.2</v>
      </c>
      <c r="Y4" s="15" t="n">
        <v>520</v>
      </c>
      <c r="Z4" s="18" t="n">
        <v>1.5</v>
      </c>
      <c r="AA4" s="18" t="n">
        <v>6.6</v>
      </c>
      <c r="AB4" s="19" t="n">
        <v>1</v>
      </c>
      <c r="AC4" s="19" t="n">
        <v>0.02</v>
      </c>
      <c r="AD4" s="19" t="n">
        <v>0.1</v>
      </c>
      <c r="AE4" s="20" t="n">
        <v>0.01</v>
      </c>
    </row>
    <row r="5" ht="45" customHeight="1">
      <c r="A5" s="13" t="inlineStr">
        <is>
          <t>Alderwood Behavioral Health</t>
        </is>
      </c>
      <c r="B5" s="13" t="inlineStr">
        <is>
          <t>Northbridge Capital</t>
        </is>
      </c>
      <c r="C5" s="13" t="n">
        <v>35102020</v>
      </c>
      <c r="D5" s="13" t="inlineStr">
        <is>
          <t>Health Care Facilities</t>
        </is>
      </c>
      <c r="E5" s="13" t="inlineStr">
        <is>
          <t>Health Care Providers &amp; Services</t>
        </is>
      </c>
      <c r="F5" s="13" t="inlineStr">
        <is>
          <t>Health Care</t>
        </is>
      </c>
      <c r="G5" s="14" t="inlineStr">
        <is>
          <t>Inpatient and outpatient behavioral health facilities operator, 12 facilities across three states.</t>
        </is>
      </c>
      <c r="H5" s="14" t="inlineStr">
        <is>
          <t>Demand-inelastic acute behavioral health capacity in undersupplied markets; payor mix skewed commercial.</t>
        </is>
      </c>
      <c r="I5" s="15" t="n">
        <v>96</v>
      </c>
      <c r="J5" s="7" t="n">
        <v>0.22</v>
      </c>
      <c r="K5" s="15" t="n">
        <v>19.8</v>
      </c>
      <c r="L5" s="15" t="n">
        <v>19.008</v>
      </c>
      <c r="M5" s="15" t="n">
        <v>113.85</v>
      </c>
      <c r="N5" s="16" t="n">
        <v>5.75</v>
      </c>
      <c r="O5" s="16" t="n">
        <v>5.99</v>
      </c>
      <c r="P5" s="16" t="n">
        <v>10</v>
      </c>
      <c r="Q5" s="16" t="n">
        <v>9.199999999999999</v>
      </c>
      <c r="R5" s="15" t="n">
        <v>198</v>
      </c>
      <c r="S5" s="15" t="n">
        <v>174.8736</v>
      </c>
      <c r="T5" s="7" t="n">
        <v>0.5750000000000001</v>
      </c>
      <c r="U5" s="7" t="n">
        <v>0.6510416666666667</v>
      </c>
      <c r="V5" s="15" t="n">
        <v>113.85</v>
      </c>
      <c r="W5" s="15" t="n">
        <v>575</v>
      </c>
      <c r="X5" s="17" t="n">
        <v>3.4</v>
      </c>
      <c r="Y5" s="15" t="n">
        <v>560</v>
      </c>
      <c r="Z5" s="18" t="n">
        <v>1.5</v>
      </c>
      <c r="AA5" s="18" t="n">
        <v>7.1</v>
      </c>
      <c r="AB5" s="19" t="n">
        <v>1</v>
      </c>
      <c r="AC5" s="19" t="n">
        <v>0.02</v>
      </c>
      <c r="AD5" s="19" t="n">
        <v>0.1</v>
      </c>
      <c r="AE5" s="20" t="n">
        <v>0.01</v>
      </c>
    </row>
    <row r="6" ht="45" customHeight="1">
      <c r="A6" s="13" t="inlineStr">
        <is>
          <t>Cascade MedSupply</t>
        </is>
      </c>
      <c r="B6" s="13" t="inlineStr">
        <is>
          <t>Ferrow Street Partners</t>
        </is>
      </c>
      <c r="C6" s="13" t="n">
        <v>35101020</v>
      </c>
      <c r="D6" s="13" t="inlineStr">
        <is>
          <t>Health Care Supplies</t>
        </is>
      </c>
      <c r="E6" s="13" t="inlineStr">
        <is>
          <t>Health Care Equipment &amp; Supplies</t>
        </is>
      </c>
      <c r="F6" s="13" t="inlineStr">
        <is>
          <t>Health Care</t>
        </is>
      </c>
      <c r="G6" s="14" t="inlineStr">
        <is>
          <t>Distributor of disposable medical supplies to ambulatory surgical centers and physician offices.</t>
        </is>
      </c>
      <c r="H6" s="14" t="inlineStr">
        <is>
          <t>Sticky vendor-of-record relationships; consolidate a fragmented distributor base via bolt-ons.</t>
        </is>
      </c>
      <c r="I6" s="15" t="n">
        <v>142</v>
      </c>
      <c r="J6" s="7" t="n">
        <v>0.14</v>
      </c>
      <c r="K6" s="15" t="n">
        <v>17.9</v>
      </c>
      <c r="L6" s="15" t="n">
        <v>19.69</v>
      </c>
      <c r="M6" s="15" t="n">
        <v>85.02499999999999</v>
      </c>
      <c r="N6" s="16" t="n">
        <v>4.75</v>
      </c>
      <c r="O6" s="16" t="n">
        <v>4.318</v>
      </c>
      <c r="P6" s="16" t="n">
        <v>8.5</v>
      </c>
      <c r="Q6" s="16" t="n">
        <v>8.5</v>
      </c>
      <c r="R6" s="15" t="n">
        <v>152.15</v>
      </c>
      <c r="S6" s="15" t="n">
        <v>167.365</v>
      </c>
      <c r="T6" s="7" t="n">
        <v>0.5588235294117647</v>
      </c>
      <c r="U6" s="7" t="n">
        <v>0.5080213903743315</v>
      </c>
      <c r="V6" s="15" t="n">
        <v>76.52249999999999</v>
      </c>
      <c r="W6" s="15" t="n">
        <v>525</v>
      </c>
      <c r="X6" s="17" t="n">
        <v>3</v>
      </c>
      <c r="Y6" s="15" t="n">
        <v>490</v>
      </c>
      <c r="Z6" s="18" t="n">
        <v>1.5</v>
      </c>
      <c r="AA6" s="18" t="n">
        <v>6.1</v>
      </c>
      <c r="AB6" s="19" t="n">
        <v>1</v>
      </c>
      <c r="AC6" s="19" t="n">
        <v>0.02</v>
      </c>
      <c r="AD6" s="19" t="n">
        <v>0.1</v>
      </c>
      <c r="AE6" s="20" t="n">
        <v>0.01</v>
      </c>
    </row>
    <row r="7" ht="45" customHeight="1">
      <c r="A7" s="13" t="inlineStr">
        <is>
          <t>Vantage Field Services</t>
        </is>
      </c>
      <c r="B7" s="13" t="inlineStr">
        <is>
          <t>Ridgeline Partners</t>
        </is>
      </c>
      <c r="C7" s="13" t="n">
        <v>20201050</v>
      </c>
      <c r="D7" s="13" t="inlineStr">
        <is>
          <t>Environmental &amp; Facilities Services</t>
        </is>
      </c>
      <c r="E7" s="13" t="inlineStr">
        <is>
          <t>Commercial Services &amp; Supplies</t>
        </is>
      </c>
      <c r="F7" s="13" t="inlineStr">
        <is>
          <t>Industrials</t>
        </is>
      </c>
      <c r="G7" s="14" t="inlineStr">
        <is>
          <t>Environmental remediation and industrial facilities services provider to energy and manufacturing clients.</t>
        </is>
      </c>
      <c r="H7" s="14" t="inlineStr">
        <is>
          <t>Regulatory tailwind (remediation mandates); recurring maintenance contracts underpin revenue visibility.</t>
        </is>
      </c>
      <c r="I7" s="15" t="n">
        <v>87</v>
      </c>
      <c r="J7" s="7" t="n">
        <v>0.16</v>
      </c>
      <c r="K7" s="15" t="n">
        <v>13.6</v>
      </c>
      <c r="L7" s="15" t="n">
        <v>13.328</v>
      </c>
      <c r="M7" s="15" t="n">
        <v>68</v>
      </c>
      <c r="N7" s="16" t="n">
        <v>5</v>
      </c>
      <c r="O7" s="16" t="n">
        <v>5.102</v>
      </c>
      <c r="P7" s="16" t="n">
        <v>8</v>
      </c>
      <c r="Q7" s="16" t="n">
        <v>7.5</v>
      </c>
      <c r="R7" s="15" t="n">
        <v>108.8</v>
      </c>
      <c r="S7" s="15" t="n">
        <v>99.95999999999999</v>
      </c>
      <c r="T7" s="7" t="n">
        <v>0.625</v>
      </c>
      <c r="U7" s="7" t="n">
        <v>0.6802721088435375</v>
      </c>
      <c r="V7" s="15" t="n">
        <v>68</v>
      </c>
      <c r="W7" s="15" t="n">
        <v>600</v>
      </c>
      <c r="X7" s="17" t="n">
        <v>3.3</v>
      </c>
      <c r="Y7" s="15" t="n">
        <v>610</v>
      </c>
      <c r="Z7" s="18" t="n">
        <v>2</v>
      </c>
      <c r="AA7" s="18" t="n">
        <v>6.35</v>
      </c>
      <c r="AB7" s="19" t="n">
        <v>1</v>
      </c>
      <c r="AC7" s="19" t="n">
        <v>0.03</v>
      </c>
      <c r="AD7" s="19" t="n">
        <v>0.09</v>
      </c>
      <c r="AE7" s="20" t="n">
        <v>0.01</v>
      </c>
    </row>
    <row r="8" ht="45" customHeight="1">
      <c r="A8" s="13" t="inlineStr">
        <is>
          <t>Coldharbour Security Group</t>
        </is>
      </c>
      <c r="B8" s="13" t="inlineStr">
        <is>
          <t>Ferrow Street Partners</t>
        </is>
      </c>
      <c r="C8" s="13" t="n">
        <v>20201080</v>
      </c>
      <c r="D8" s="13" t="inlineStr">
        <is>
          <t>Security &amp; Alarm Services</t>
        </is>
      </c>
      <c r="E8" s="13" t="inlineStr">
        <is>
          <t>Commercial Services &amp; Supplies</t>
        </is>
      </c>
      <c r="F8" s="13" t="inlineStr">
        <is>
          <t>Industrials</t>
        </is>
      </c>
      <c r="G8" s="14" t="inlineStr">
        <is>
          <t>Commercial monitored security and access-control installer/servicer across the UK South East.</t>
        </is>
      </c>
      <c r="H8" s="14" t="inlineStr">
        <is>
          <t>Contracted recurring monitoring revenue (~70% of total); consolidation platform in a fragmented market.</t>
        </is>
      </c>
      <c r="I8" s="15" t="n">
        <v>64</v>
      </c>
      <c r="J8" s="7" t="n">
        <v>0.21</v>
      </c>
      <c r="K8" s="15" t="n">
        <v>13.1</v>
      </c>
      <c r="L8" s="15" t="n">
        <v>13.493</v>
      </c>
      <c r="M8" s="15" t="n">
        <v>72.05</v>
      </c>
      <c r="N8" s="16" t="n">
        <v>5.5</v>
      </c>
      <c r="O8" s="16" t="n">
        <v>5.34</v>
      </c>
      <c r="P8" s="16" t="n">
        <v>9</v>
      </c>
      <c r="Q8" s="16" t="n">
        <v>8.699999999999999</v>
      </c>
      <c r="R8" s="15" t="n">
        <v>117.9</v>
      </c>
      <c r="S8" s="15" t="n">
        <v>117.3891</v>
      </c>
      <c r="T8" s="7" t="n">
        <v>0.6111111111111112</v>
      </c>
      <c r="U8" s="7" t="n">
        <v>0.6137707845106573</v>
      </c>
      <c r="V8" s="15" t="n">
        <v>72.05</v>
      </c>
      <c r="W8" s="15" t="n">
        <v>575</v>
      </c>
      <c r="X8" s="17" t="n">
        <v>3.1</v>
      </c>
      <c r="Y8" s="15" t="n">
        <v>545</v>
      </c>
      <c r="Z8" s="18" t="n">
        <v>2</v>
      </c>
      <c r="AA8" s="18" t="n">
        <v>6.85</v>
      </c>
      <c r="AB8" s="19" t="n">
        <v>1</v>
      </c>
      <c r="AC8" s="19" t="n">
        <v>0.03</v>
      </c>
      <c r="AD8" s="19" t="n">
        <v>0.09</v>
      </c>
      <c r="AE8" s="20" t="n">
        <v>0.01</v>
      </c>
    </row>
    <row r="9" ht="45" customHeight="1">
      <c r="A9" s="13" t="inlineStr">
        <is>
          <t>Bramwell Specialty Chemicals</t>
        </is>
      </c>
      <c r="B9" s="13" t="inlineStr">
        <is>
          <t>Iron Gate Capital</t>
        </is>
      </c>
      <c r="C9" s="13" t="n">
        <v>15101050</v>
      </c>
      <c r="D9" s="13" t="inlineStr">
        <is>
          <t>Specialty Chemicals</t>
        </is>
      </c>
      <c r="E9" s="13" t="inlineStr">
        <is>
          <t>Chemicals</t>
        </is>
      </c>
      <c r="F9" s="13" t="inlineStr">
        <is>
          <t>Materials</t>
        </is>
      </c>
      <c r="G9" s="14" t="inlineStr">
        <is>
          <t>Formulator of specialty coatings and adhesives for industrial and construction end-markets.</t>
        </is>
      </c>
      <c r="H9" s="14" t="inlineStr">
        <is>
          <t>Niche formulation IP with high customer switching costs; margin resilience through raw-material cycles.</t>
        </is>
      </c>
      <c r="I9" s="15" t="n">
        <v>176</v>
      </c>
      <c r="J9" s="7" t="n">
        <v>0.17</v>
      </c>
      <c r="K9" s="15" t="n">
        <v>28.9</v>
      </c>
      <c r="L9" s="15" t="n">
        <v>26.299</v>
      </c>
      <c r="M9" s="15" t="n">
        <v>144.5</v>
      </c>
      <c r="N9" s="16" t="n">
        <v>5</v>
      </c>
      <c r="O9" s="16" t="n">
        <v>5.495</v>
      </c>
      <c r="P9" s="16" t="n">
        <v>8</v>
      </c>
      <c r="Q9" s="16" t="n">
        <v>7.2</v>
      </c>
      <c r="R9" s="15" t="n">
        <v>231.2</v>
      </c>
      <c r="S9" s="15" t="n">
        <v>189.3528</v>
      </c>
      <c r="T9" s="7" t="n">
        <v>0.625</v>
      </c>
      <c r="U9" s="7" t="n">
        <v>0.7631257631257631</v>
      </c>
      <c r="V9" s="15" t="n">
        <v>122.825</v>
      </c>
      <c r="W9" s="15" t="n">
        <v>550</v>
      </c>
      <c r="X9" s="17" t="n">
        <v>3.5</v>
      </c>
      <c r="Y9" s="15" t="n">
        <v>575</v>
      </c>
      <c r="Z9" s="18" t="n">
        <v>2.2</v>
      </c>
      <c r="AA9" s="18" t="n">
        <v>6.35</v>
      </c>
      <c r="AB9" s="19" t="n">
        <v>1</v>
      </c>
      <c r="AC9" s="19" t="n">
        <v>0.045</v>
      </c>
      <c r="AD9" s="19" t="n">
        <v>0.1</v>
      </c>
      <c r="AE9" s="20" t="n">
        <v>0.01</v>
      </c>
    </row>
    <row r="10" ht="45" customHeight="1">
      <c r="A10" s="13" t="inlineStr">
        <is>
          <t>Portobello Machine Works</t>
        </is>
      </c>
      <c r="B10" s="13" t="inlineStr">
        <is>
          <t>Ridgeline Partners</t>
        </is>
      </c>
      <c r="C10" s="13" t="n">
        <v>20106020</v>
      </c>
      <c r="D10" s="13" t="inlineStr">
        <is>
          <t>Industrial Machinery &amp; Supplies &amp; Components</t>
        </is>
      </c>
      <c r="E10" s="13" t="inlineStr">
        <is>
          <t>Machinery</t>
        </is>
      </c>
      <c r="F10" s="13" t="inlineStr">
        <is>
          <t>Industrials</t>
        </is>
      </c>
      <c r="G10" s="14" t="inlineStr">
        <is>
          <t>Precision-machined components manufacturer for aerospace and industrial equipment OEMs.</t>
        </is>
      </c>
      <c r="H10" s="14" t="inlineStr">
        <is>
          <t>Long-term sole-source qualifications with OEMs create multi-year revenue visibility and pricing power.</t>
        </is>
      </c>
      <c r="I10" s="15" t="n">
        <v>103</v>
      </c>
      <c r="J10" s="7" t="n">
        <v>0.2</v>
      </c>
      <c r="K10" s="15" t="n">
        <v>20.1</v>
      </c>
      <c r="L10" s="15" t="n">
        <v>20.502</v>
      </c>
      <c r="M10" s="15" t="n">
        <v>90.45</v>
      </c>
      <c r="N10" s="16" t="n">
        <v>4.5</v>
      </c>
      <c r="O10" s="16" t="n">
        <v>4.412</v>
      </c>
      <c r="P10" s="16" t="n">
        <v>8.5</v>
      </c>
      <c r="Q10" s="16" t="n">
        <v>8</v>
      </c>
      <c r="R10" s="15" t="n">
        <v>170.85</v>
      </c>
      <c r="S10" s="15" t="n">
        <v>164.016</v>
      </c>
      <c r="T10" s="7" t="n">
        <v>0.5294117647058822</v>
      </c>
      <c r="U10" s="7" t="n">
        <v>0.551470588235294</v>
      </c>
      <c r="V10" s="15" t="n">
        <v>90.45</v>
      </c>
      <c r="W10" s="15" t="n">
        <v>525</v>
      </c>
      <c r="X10" s="17" t="n">
        <v>3.4</v>
      </c>
      <c r="Y10" s="15" t="n">
        <v>505</v>
      </c>
      <c r="Z10" s="18" t="n">
        <v>2</v>
      </c>
      <c r="AA10" s="18" t="n">
        <v>5.85</v>
      </c>
      <c r="AB10" s="19" t="n">
        <v>1</v>
      </c>
      <c r="AC10" s="19" t="n">
        <v>0.03</v>
      </c>
      <c r="AD10" s="19" t="n">
        <v>0.09</v>
      </c>
      <c r="AE10" s="20" t="n">
        <v>0.01</v>
      </c>
    </row>
    <row r="11" ht="45" customHeight="1">
      <c r="A11" s="13" t="inlineStr">
        <is>
          <t>Thistledown Building Products</t>
        </is>
      </c>
      <c r="B11" s="13" t="inlineStr">
        <is>
          <t>Iron Gate Capital</t>
        </is>
      </c>
      <c r="C11" s="13" t="n">
        <v>20102010</v>
      </c>
      <c r="D11" s="13" t="inlineStr">
        <is>
          <t>Building Products</t>
        </is>
      </c>
      <c r="E11" s="13" t="inlineStr">
        <is>
          <t>Building Products</t>
        </is>
      </c>
      <c r="F11" s="13" t="inlineStr">
        <is>
          <t>Industrials</t>
        </is>
      </c>
      <c r="G11" s="14" t="inlineStr">
        <is>
          <t>Manufacturer of engineered building envelope products (windows, doors) for the RMI and new-build market.</t>
        </is>
      </c>
      <c r="H11" s="14" t="inlineStr">
        <is>
          <t>RMI demand is less cyclical than new-build; product mix shift toward higher-margin engineered lines.</t>
        </is>
      </c>
      <c r="I11" s="15" t="n">
        <v>134</v>
      </c>
      <c r="J11" s="7" t="n">
        <v>0.15</v>
      </c>
      <c r="K11" s="15" t="n">
        <v>19.6</v>
      </c>
      <c r="L11" s="15" t="n">
        <v>17.248</v>
      </c>
      <c r="M11" s="15" t="n">
        <v>102.9</v>
      </c>
      <c r="N11" s="16" t="n">
        <v>5.25</v>
      </c>
      <c r="O11" s="16" t="n">
        <v>5.966</v>
      </c>
      <c r="P11" s="16" t="n">
        <v>7.5</v>
      </c>
      <c r="Q11" s="16" t="n">
        <v>6.8</v>
      </c>
      <c r="R11" s="15" t="n">
        <v>147</v>
      </c>
      <c r="S11" s="15" t="n">
        <v>117.2864</v>
      </c>
      <c r="T11" s="7" t="n">
        <v>0.7000000000000001</v>
      </c>
      <c r="U11" s="7" t="n">
        <v>0.8773395721925135</v>
      </c>
      <c r="V11" s="15" t="n">
        <v>92.61000000000001</v>
      </c>
      <c r="W11" s="15" t="n">
        <v>575</v>
      </c>
      <c r="X11" s="17" t="n">
        <v>3.2</v>
      </c>
      <c r="Y11" s="15" t="n">
        <v>595</v>
      </c>
      <c r="Z11" s="18" t="n">
        <v>2</v>
      </c>
      <c r="AA11" s="18" t="n">
        <v>6.6</v>
      </c>
      <c r="AB11" s="19" t="n">
        <v>1</v>
      </c>
      <c r="AC11" s="19" t="n">
        <v>0.03</v>
      </c>
      <c r="AD11" s="19" t="n">
        <v>0.09</v>
      </c>
      <c r="AE11" s="20" t="n">
        <v>0.01</v>
      </c>
    </row>
    <row r="12" ht="45" customHeight="1">
      <c r="A12" s="13" t="inlineStr">
        <is>
          <t>Northgate Trading Co.</t>
        </is>
      </c>
      <c r="B12" s="13" t="inlineStr">
        <is>
          <t>Ferrow Street Partners</t>
        </is>
      </c>
      <c r="C12" s="13" t="n">
        <v>20107010</v>
      </c>
      <c r="D12" s="13" t="inlineStr">
        <is>
          <t>Trading Companies &amp; Distributors</t>
        </is>
      </c>
      <c r="E12" s="13" t="inlineStr">
        <is>
          <t>Trading Companies &amp; Distributors</t>
        </is>
      </c>
      <c r="F12" s="13" t="inlineStr">
        <is>
          <t>Industrials</t>
        </is>
      </c>
      <c r="G12" s="14" t="inlineStr">
        <is>
          <t>Value-added distributor of MRO (maintenance, repair, operations) products to industrial end-users.</t>
        </is>
      </c>
      <c r="H12" s="14" t="inlineStr">
        <is>
          <t>Sticky, high-frequency reorder relationships; scale advantages in a highly fragmented distribution channel.</t>
        </is>
      </c>
      <c r="I12" s="15" t="n">
        <v>211</v>
      </c>
      <c r="J12" s="7" t="n">
        <v>0.1</v>
      </c>
      <c r="K12" s="15" t="n">
        <v>20.4</v>
      </c>
      <c r="L12" s="15" t="n">
        <v>21.216</v>
      </c>
      <c r="M12" s="15" t="n">
        <v>96.89999999999999</v>
      </c>
      <c r="N12" s="16" t="n">
        <v>4.75</v>
      </c>
      <c r="O12" s="16" t="n">
        <v>4.567</v>
      </c>
      <c r="P12" s="16" t="n">
        <v>8</v>
      </c>
      <c r="Q12" s="16" t="n">
        <v>7.8</v>
      </c>
      <c r="R12" s="15" t="n">
        <v>163.2</v>
      </c>
      <c r="S12" s="15" t="n">
        <v>165.4848</v>
      </c>
      <c r="T12" s="7" t="n">
        <v>0.59375</v>
      </c>
      <c r="U12" s="7" t="n">
        <v>0.585552268244576</v>
      </c>
      <c r="V12" s="15" t="n">
        <v>96.89999999999999</v>
      </c>
      <c r="W12" s="15" t="n">
        <v>500</v>
      </c>
      <c r="X12" s="17" t="n">
        <v>2.9</v>
      </c>
      <c r="Y12" s="15" t="n">
        <v>470</v>
      </c>
      <c r="Z12" s="18" t="n">
        <v>2</v>
      </c>
      <c r="AA12" s="18" t="n">
        <v>6.1</v>
      </c>
      <c r="AB12" s="19" t="n">
        <v>1</v>
      </c>
      <c r="AC12" s="19" t="n">
        <v>0.03</v>
      </c>
      <c r="AD12" s="19" t="n">
        <v>0.09</v>
      </c>
      <c r="AE12" s="20" t="n">
        <v>0.01</v>
      </c>
    </row>
    <row r="13" ht="45" customHeight="1">
      <c r="A13" s="13" t="inlineStr">
        <is>
          <t>Wrenfield Foods</t>
        </is>
      </c>
      <c r="B13" s="13" t="inlineStr">
        <is>
          <t>Northbridge Capital</t>
        </is>
      </c>
      <c r="C13" s="13" t="n">
        <v>30202030</v>
      </c>
      <c r="D13" s="13" t="inlineStr">
        <is>
          <t>Packaged Foods &amp; Meats</t>
        </is>
      </c>
      <c r="E13" s="13" t="inlineStr">
        <is>
          <t>Food Products</t>
        </is>
      </c>
      <c r="F13" s="13" t="inlineStr">
        <is>
          <t>Consumer Staples</t>
        </is>
      </c>
      <c r="G13" s="14" t="inlineStr">
        <is>
          <t>Branded and private-label packaged snack foods manufacturer serving grocery and convenience channels.</t>
        </is>
      </c>
      <c r="H13" s="14" t="inlineStr">
        <is>
          <t>Private-label penetration into a growing category; capacity investment supports volume growth ahead of peers.</t>
        </is>
      </c>
      <c r="I13" s="15" t="n">
        <v>189</v>
      </c>
      <c r="J13" s="7" t="n">
        <v>0.13</v>
      </c>
      <c r="K13" s="15" t="n">
        <v>23.6</v>
      </c>
      <c r="L13" s="15" t="n">
        <v>23.836</v>
      </c>
      <c r="M13" s="15" t="n">
        <v>118</v>
      </c>
      <c r="N13" s="16" t="n">
        <v>5</v>
      </c>
      <c r="O13" s="16" t="n">
        <v>4.95</v>
      </c>
      <c r="P13" s="16" t="n">
        <v>9</v>
      </c>
      <c r="Q13" s="16" t="n">
        <v>8.800000000000001</v>
      </c>
      <c r="R13" s="15" t="n">
        <v>212.4</v>
      </c>
      <c r="S13" s="15" t="n">
        <v>209.7568</v>
      </c>
      <c r="T13" s="7" t="n">
        <v>0.5555555555555556</v>
      </c>
      <c r="U13" s="7" t="n">
        <v>0.5625562556255624</v>
      </c>
      <c r="V13" s="15" t="n">
        <v>112.1</v>
      </c>
      <c r="W13" s="15" t="n">
        <v>500</v>
      </c>
      <c r="X13" s="17" t="n">
        <v>3.1</v>
      </c>
      <c r="Y13" s="15" t="n">
        <v>460</v>
      </c>
      <c r="Z13" s="18" t="n">
        <v>1.5</v>
      </c>
      <c r="AA13" s="18" t="n">
        <v>6.35</v>
      </c>
      <c r="AB13" s="19" t="n">
        <v>1</v>
      </c>
      <c r="AC13" s="19" t="n">
        <v>0.02</v>
      </c>
      <c r="AD13" s="19" t="n">
        <v>0.11</v>
      </c>
      <c r="AE13" s="20" t="n">
        <v>0.01</v>
      </c>
    </row>
    <row r="14" ht="45" customHeight="1">
      <c r="A14" s="13" t="inlineStr">
        <is>
          <t>Stavros Hospitality Group</t>
        </is>
      </c>
      <c r="B14" s="13" t="inlineStr">
        <is>
          <t>Iron Gate Capital</t>
        </is>
      </c>
      <c r="C14" s="13" t="n">
        <v>25301040</v>
      </c>
      <c r="D14" s="13" t="inlineStr">
        <is>
          <t>Restaurants</t>
        </is>
      </c>
      <c r="E14" s="13" t="inlineStr">
        <is>
          <t>Hotels, Restaurants &amp; Leisure</t>
        </is>
      </c>
      <c r="F14" s="13" t="inlineStr">
        <is>
          <t>Consumer Discretionary</t>
        </is>
      </c>
      <c r="G14" s="14" t="inlineStr">
        <is>
          <t>Regional casual-dining restaurant operator, 68 company-owned locations across the Midwest.</t>
        </is>
      </c>
      <c r="H14" s="14" t="inlineStr">
        <is>
          <t>Menu simplification and labor-scheduling technology drive margin recovery from pandemic-era trough.</t>
        </is>
      </c>
      <c r="I14" s="15" t="n">
        <v>156</v>
      </c>
      <c r="J14" s="7" t="n">
        <v>0.11</v>
      </c>
      <c r="K14" s="15" t="n">
        <v>15.9</v>
      </c>
      <c r="L14" s="15" t="n">
        <v>13.515</v>
      </c>
      <c r="M14" s="15" t="n">
        <v>87.45</v>
      </c>
      <c r="N14" s="16" t="n">
        <v>5.5</v>
      </c>
      <c r="O14" s="16" t="n">
        <v>6.471</v>
      </c>
      <c r="P14" s="16" t="n">
        <v>7</v>
      </c>
      <c r="Q14" s="16" t="n">
        <v>6.2</v>
      </c>
      <c r="R14" s="15" t="n">
        <v>111.3</v>
      </c>
      <c r="S14" s="15" t="n">
        <v>83.79300000000001</v>
      </c>
      <c r="T14" s="7" t="n">
        <v>0.7857142857142858</v>
      </c>
      <c r="U14" s="7" t="n">
        <v>1.043643263757116</v>
      </c>
      <c r="V14" s="15" t="n">
        <v>87.45</v>
      </c>
      <c r="W14" s="15" t="n">
        <v>650</v>
      </c>
      <c r="X14" s="17" t="n">
        <v>2.8</v>
      </c>
      <c r="Y14" s="15" t="n">
        <v>690</v>
      </c>
      <c r="Z14" s="18" t="n">
        <v>2.4</v>
      </c>
      <c r="AA14" s="18" t="n">
        <v>6.85</v>
      </c>
      <c r="AB14" s="19" t="n">
        <v>1</v>
      </c>
      <c r="AC14" s="19" t="n">
        <v>0.025</v>
      </c>
      <c r="AD14" s="19" t="n">
        <v>0.08</v>
      </c>
      <c r="AE14" s="20" t="n">
        <v>0.01</v>
      </c>
    </row>
    <row r="15" ht="45" customHeight="1">
      <c r="A15" s="13" t="inlineStr">
        <is>
          <t>Aldergate Learning Partners</t>
        </is>
      </c>
      <c r="B15" s="13" t="inlineStr">
        <is>
          <t>Northbridge Capital</t>
        </is>
      </c>
      <c r="C15" s="13" t="n">
        <v>25302010</v>
      </c>
      <c r="D15" s="13" t="inlineStr">
        <is>
          <t>Education Services</t>
        </is>
      </c>
      <c r="E15" s="13" t="inlineStr">
        <is>
          <t>Diversified Consumer Services</t>
        </is>
      </c>
      <c r="F15" s="13" t="inlineStr">
        <is>
          <t>Consumer Discretionary</t>
        </is>
      </c>
      <c r="G15" s="14" t="inlineStr">
        <is>
          <t>Operator of accredited vocational and professional certification schools across allied-health disciplines.</t>
        </is>
      </c>
      <c r="H15" s="14" t="inlineStr">
        <is>
          <t>Title IV-eligible programs feed placement-driven enrollment; low capex, high incremental margin on new campuses.</t>
        </is>
      </c>
      <c r="I15" s="15" t="n">
        <v>79</v>
      </c>
      <c r="J15" s="7" t="n">
        <v>0.23</v>
      </c>
      <c r="K15" s="15" t="n">
        <v>16.8</v>
      </c>
      <c r="L15" s="15" t="n">
        <v>18.144</v>
      </c>
      <c r="M15" s="15" t="n">
        <v>75.60000000000001</v>
      </c>
      <c r="N15" s="16" t="n">
        <v>4.5</v>
      </c>
      <c r="O15" s="16" t="n">
        <v>4.167</v>
      </c>
      <c r="P15" s="16" t="n">
        <v>8.5</v>
      </c>
      <c r="Q15" s="16" t="n">
        <v>8.300000000000001</v>
      </c>
      <c r="R15" s="15" t="n">
        <v>142.8</v>
      </c>
      <c r="S15" s="15" t="n">
        <v>150.5952</v>
      </c>
      <c r="T15" s="7" t="n">
        <v>0.5294117647058824</v>
      </c>
      <c r="U15" s="7" t="n">
        <v>0.502008032128514</v>
      </c>
      <c r="V15" s="15" t="n">
        <v>75.60000000000001</v>
      </c>
      <c r="W15" s="15" t="n">
        <v>550</v>
      </c>
      <c r="X15" s="17" t="n">
        <v>3.3</v>
      </c>
      <c r="Y15" s="15" t="n">
        <v>530</v>
      </c>
      <c r="Z15" s="18" t="n">
        <v>2.4</v>
      </c>
      <c r="AA15" s="18" t="n">
        <v>5.85</v>
      </c>
      <c r="AB15" s="19" t="n">
        <v>1</v>
      </c>
      <c r="AC15" s="19" t="n">
        <v>0.025</v>
      </c>
      <c r="AD15" s="19" t="n">
        <v>0.08</v>
      </c>
      <c r="AE15" s="20" t="n">
        <v>0.01</v>
      </c>
    </row>
    <row r="16" ht="45" customHeight="1">
      <c r="A16" s="13" t="inlineStr">
        <is>
          <t>Hollowbrook Concierge Services</t>
        </is>
      </c>
      <c r="B16" s="13" t="inlineStr">
        <is>
          <t>Ferrow Street Partners</t>
        </is>
      </c>
      <c r="C16" s="13" t="n">
        <v>25302020</v>
      </c>
      <c r="D16" s="13" t="inlineStr">
        <is>
          <t>Specialized Consumer Services</t>
        </is>
      </c>
      <c r="E16" s="13" t="inlineStr">
        <is>
          <t>Diversified Consumer Services</t>
        </is>
      </c>
      <c r="F16" s="13" t="inlineStr">
        <is>
          <t>Consumer Discretionary</t>
        </is>
      </c>
      <c r="G16" s="14" t="inlineStr">
        <is>
          <t>Subscription-based home-services concierge platform (repair, cleaning, maintenance) for suburban households.</t>
        </is>
      </c>
      <c r="H16" s="14" t="inlineStr">
        <is>
          <t>Recurring subscription revenue with expanding attach-rate of ancillary services per household.</t>
        </is>
      </c>
      <c r="I16" s="15" t="n">
        <v>58</v>
      </c>
      <c r="J16" s="7" t="n">
        <v>0.14</v>
      </c>
      <c r="K16" s="15" t="n">
        <v>8.1</v>
      </c>
      <c r="L16" s="15" t="n">
        <v>7.29</v>
      </c>
      <c r="M16" s="15" t="n">
        <v>46.575</v>
      </c>
      <c r="N16" s="16" t="n">
        <v>5.75</v>
      </c>
      <c r="O16" s="16" t="n">
        <v>6.389</v>
      </c>
      <c r="P16" s="16" t="n">
        <v>8</v>
      </c>
      <c r="Q16" s="16" t="n">
        <v>7</v>
      </c>
      <c r="R16" s="15" t="n">
        <v>64.8</v>
      </c>
      <c r="S16" s="15" t="n">
        <v>51.03</v>
      </c>
      <c r="T16" s="7" t="n">
        <v>0.71875</v>
      </c>
      <c r="U16" s="7" t="n">
        <v>0.9126984126984126</v>
      </c>
      <c r="V16" s="15" t="n">
        <v>41.9175</v>
      </c>
      <c r="W16" s="15" t="n">
        <v>625</v>
      </c>
      <c r="X16" s="17" t="n">
        <v>3</v>
      </c>
      <c r="Y16" s="15" t="n">
        <v>650</v>
      </c>
      <c r="Z16" s="18" t="n">
        <v>2.4</v>
      </c>
      <c r="AA16" s="18" t="n">
        <v>7.1</v>
      </c>
      <c r="AB16" s="19" t="n">
        <v>1</v>
      </c>
      <c r="AC16" s="19" t="n">
        <v>0.025</v>
      </c>
      <c r="AD16" s="19" t="n">
        <v>0.08</v>
      </c>
      <c r="AE16" s="20" t="n">
        <v>0.01</v>
      </c>
    </row>
    <row r="17" ht="45" customHeight="1">
      <c r="A17" s="13" t="inlineStr">
        <is>
          <t>Farrow &amp; Kent Insurance Partners</t>
        </is>
      </c>
      <c r="B17" s="13" t="inlineStr">
        <is>
          <t>Ridgeline Partners</t>
        </is>
      </c>
      <c r="C17" s="13" t="n">
        <v>40301010</v>
      </c>
      <c r="D17" s="13" t="inlineStr">
        <is>
          <t>Insurance Brokers</t>
        </is>
      </c>
      <c r="E17" s="13" t="inlineStr">
        <is>
          <t>Insurance</t>
        </is>
      </c>
      <c r="F17" s="13" t="inlineStr">
        <is>
          <t>Financials</t>
        </is>
      </c>
      <c r="G17" s="14" t="inlineStr">
        <is>
          <t>Specialty commercial insurance brokerage focused on construction and manufacturing risk placements.</t>
        </is>
      </c>
      <c r="H17" s="14" t="inlineStr">
        <is>
          <t>Asset-light, high-margin fee/commission model; consolidation platform with strong producer retention.</t>
        </is>
      </c>
      <c r="I17" s="15" t="n">
        <v>71</v>
      </c>
      <c r="J17" s="7" t="n">
        <v>0.32</v>
      </c>
      <c r="K17" s="15" t="n">
        <v>22.7</v>
      </c>
      <c r="L17" s="15" t="n">
        <v>25.424</v>
      </c>
      <c r="M17" s="15" t="n">
        <v>102.15</v>
      </c>
      <c r="N17" s="16" t="n">
        <v>4.5</v>
      </c>
      <c r="O17" s="16" t="n">
        <v>4.018</v>
      </c>
      <c r="P17" s="16" t="n">
        <v>11</v>
      </c>
      <c r="Q17" s="16" t="n">
        <v>10.8</v>
      </c>
      <c r="R17" s="15" t="n">
        <v>249.7</v>
      </c>
      <c r="S17" s="15" t="n">
        <v>274.5792000000001</v>
      </c>
      <c r="T17" s="7" t="n">
        <v>0.4090909090909091</v>
      </c>
      <c r="U17" s="7" t="n">
        <v>0.3720238095238094</v>
      </c>
      <c r="V17" s="15" t="n">
        <v>97.04249999999999</v>
      </c>
      <c r="W17" s="15" t="n">
        <v>475</v>
      </c>
      <c r="X17" s="17" t="n">
        <v>3.6</v>
      </c>
      <c r="Y17" s="15" t="n">
        <v>430</v>
      </c>
      <c r="Z17" s="18" t="n">
        <v>1.4</v>
      </c>
      <c r="AA17" s="18" t="n">
        <v>5.85</v>
      </c>
      <c r="AB17" s="19" t="n">
        <v>1</v>
      </c>
      <c r="AC17" s="19" t="n">
        <v>0.01</v>
      </c>
      <c r="AD17" s="19" t="n">
        <v>0.13</v>
      </c>
      <c r="AE17" s="20" t="n">
        <v>0.01</v>
      </c>
    </row>
    <row r="18" ht="45" customHeight="1">
      <c r="A18" s="13" t="inlineStr">
        <is>
          <t>Silverlake Capital Advisory</t>
        </is>
      </c>
      <c r="B18" s="13" t="inlineStr">
        <is>
          <t>Iron Gate Capital</t>
        </is>
      </c>
      <c r="C18" s="13" t="n">
        <v>40201020</v>
      </c>
      <c r="D18" s="13" t="inlineStr">
        <is>
          <t>Diversified Financial Services</t>
        </is>
      </c>
      <c r="E18" s="13" t="inlineStr">
        <is>
          <t>Financial Services</t>
        </is>
      </c>
      <c r="F18" s="13" t="inlineStr">
        <is>
          <t>Financials</t>
        </is>
      </c>
      <c r="G18" s="14" t="inlineStr">
        <is>
          <t>Fee-based wealth and retirement plan advisory platform serving small and mid-sized business owners.</t>
        </is>
      </c>
      <c r="H18" s="14" t="inlineStr">
        <is>
          <t>Recurring AUM-based fees; roll-up of independent RIAs with succession-driven deal flow.</t>
        </is>
      </c>
      <c r="I18" s="15" t="n">
        <v>54</v>
      </c>
      <c r="J18" s="7" t="n">
        <v>0.29</v>
      </c>
      <c r="K18" s="15" t="n">
        <v>15.7</v>
      </c>
      <c r="L18" s="15" t="n">
        <v>15.229</v>
      </c>
      <c r="M18" s="15" t="n">
        <v>66.72499999999999</v>
      </c>
      <c r="N18" s="16" t="n">
        <v>4.25</v>
      </c>
      <c r="O18" s="16" t="n">
        <v>4.381</v>
      </c>
      <c r="P18" s="16" t="n">
        <v>10.5</v>
      </c>
      <c r="Q18" s="16" t="n">
        <v>9.9</v>
      </c>
      <c r="R18" s="15" t="n">
        <v>164.85</v>
      </c>
      <c r="S18" s="15" t="n">
        <v>150.7671</v>
      </c>
      <c r="T18" s="7" t="n">
        <v>0.4047619047619048</v>
      </c>
      <c r="U18" s="7" t="n">
        <v>0.4425700301988961</v>
      </c>
      <c r="V18" s="15" t="n">
        <v>66.72499999999999</v>
      </c>
      <c r="W18" s="15" t="n">
        <v>500</v>
      </c>
      <c r="X18" s="17" t="n">
        <v>3.5</v>
      </c>
      <c r="Y18" s="15" t="n">
        <v>475</v>
      </c>
      <c r="Z18" s="18" t="n">
        <v>1.4</v>
      </c>
      <c r="AA18" s="18" t="n">
        <v>5.6</v>
      </c>
      <c r="AB18" s="19" t="n">
        <v>1</v>
      </c>
      <c r="AC18" s="19" t="n">
        <v>0.01</v>
      </c>
      <c r="AD18" s="19" t="n">
        <v>0.13</v>
      </c>
      <c r="AE18" s="20" t="n">
        <v>0.01</v>
      </c>
    </row>
    <row r="19" ht="45" customHeight="1">
      <c r="A19" s="13" t="inlineStr">
        <is>
          <t>Brookline Consumer Credit</t>
        </is>
      </c>
      <c r="B19" s="13" t="inlineStr">
        <is>
          <t>Ferrow Street Partners</t>
        </is>
      </c>
      <c r="C19" s="13" t="n">
        <v>40202010</v>
      </c>
      <c r="D19" s="13" t="inlineStr">
        <is>
          <t>Consumer Finance</t>
        </is>
      </c>
      <c r="E19" s="13" t="inlineStr">
        <is>
          <t>Consumer Finance</t>
        </is>
      </c>
      <c r="F19" s="13" t="inlineStr">
        <is>
          <t>Financials</t>
        </is>
      </c>
      <c r="G19" s="14" t="inlineStr">
        <is>
          <t>Point-of-sale consumer finance provider for elective medical and home-improvement purchases.</t>
        </is>
      </c>
      <c r="H19" s="14" t="inlineStr">
        <is>
          <t>Diversified merchant base and underwriting discipline through a prior credit cycle; fee income supplements NIM.</t>
        </is>
      </c>
      <c r="I19" s="15" t="n">
        <v>88</v>
      </c>
      <c r="J19" s="7" t="n">
        <v>0.24</v>
      </c>
      <c r="K19" s="15" t="n">
        <v>21.1</v>
      </c>
      <c r="L19" s="15" t="n">
        <v>18.146</v>
      </c>
      <c r="M19" s="15" t="n">
        <v>100.225</v>
      </c>
      <c r="N19" s="16" t="n">
        <v>4.75</v>
      </c>
      <c r="O19" s="16" t="n">
        <v>5.523</v>
      </c>
      <c r="P19" s="16" t="n">
        <v>7.5</v>
      </c>
      <c r="Q19" s="16" t="n">
        <v>6.7</v>
      </c>
      <c r="R19" s="15" t="n">
        <v>158.25</v>
      </c>
      <c r="S19" s="15" t="n">
        <v>121.5782</v>
      </c>
      <c r="T19" s="7" t="n">
        <v>0.6333333333333334</v>
      </c>
      <c r="U19" s="7" t="n">
        <v>0.8243665393960431</v>
      </c>
      <c r="V19" s="15" t="n">
        <v>85.19125000000001</v>
      </c>
      <c r="W19" s="15" t="n">
        <v>600</v>
      </c>
      <c r="X19" s="17" t="n">
        <v>2.7</v>
      </c>
      <c r="Y19" s="15" t="n">
        <v>630</v>
      </c>
      <c r="Z19" s="18" t="n">
        <v>1.4</v>
      </c>
      <c r="AA19" s="18" t="n">
        <v>6.1</v>
      </c>
      <c r="AB19" s="19" t="n">
        <v>1</v>
      </c>
      <c r="AC19" s="19" t="n">
        <v>0.01</v>
      </c>
      <c r="AD19" s="19" t="n">
        <v>0.13</v>
      </c>
      <c r="AE19" s="20" t="n">
        <v>0.01</v>
      </c>
    </row>
    <row r="20" ht="45" customHeight="1">
      <c r="A20" s="13" t="inlineStr">
        <is>
          <t>Quorra Interactive</t>
        </is>
      </c>
      <c r="B20" s="13" t="inlineStr">
        <is>
          <t>Northbridge Capital</t>
        </is>
      </c>
      <c r="C20" s="13" t="n">
        <v>50203010</v>
      </c>
      <c r="D20" s="13" t="inlineStr">
        <is>
          <t>Interactive Media &amp; Services</t>
        </is>
      </c>
      <c r="E20" s="13" t="inlineStr">
        <is>
          <t>Interactive Media &amp; Services</t>
        </is>
      </c>
      <c r="F20" s="13" t="inlineStr">
        <is>
          <t>Communication Services</t>
        </is>
      </c>
      <c r="G20" s="14" t="inlineStr">
        <is>
          <t>Niche vertical-search and lead-generation platform serving the home-services and legal verticals.</t>
        </is>
      </c>
      <c r="H20" s="14" t="inlineStr">
        <is>
          <t>High-margin, capital-light digital marketplace; monetization upside from expanding advertiser base.</t>
        </is>
      </c>
      <c r="I20" s="15" t="n">
        <v>46</v>
      </c>
      <c r="J20" s="7" t="n">
        <v>0.31</v>
      </c>
      <c r="K20" s="15" t="n">
        <v>14.3</v>
      </c>
      <c r="L20" s="15" t="n">
        <v>15.015</v>
      </c>
      <c r="M20" s="15" t="n">
        <v>64.35000000000001</v>
      </c>
      <c r="N20" s="16" t="n">
        <v>4.5</v>
      </c>
      <c r="O20" s="16" t="n">
        <v>4.286</v>
      </c>
      <c r="P20" s="16" t="n">
        <v>10</v>
      </c>
      <c r="Q20" s="16" t="n">
        <v>9.6</v>
      </c>
      <c r="R20" s="15" t="n">
        <v>143</v>
      </c>
      <c r="S20" s="15" t="n">
        <v>144.144</v>
      </c>
      <c r="T20" s="7" t="n">
        <v>0.4500000000000001</v>
      </c>
      <c r="U20" s="7" t="n">
        <v>0.4464285714285715</v>
      </c>
      <c r="V20" s="15" t="n">
        <v>64.35000000000001</v>
      </c>
      <c r="W20" s="15" t="n">
        <v>525</v>
      </c>
      <c r="X20" s="17" t="n">
        <v>3.4</v>
      </c>
      <c r="Y20" s="15" t="n">
        <v>500</v>
      </c>
      <c r="Z20" s="18" t="n">
        <v>1.8</v>
      </c>
      <c r="AA20" s="18" t="n">
        <v>5.85</v>
      </c>
      <c r="AB20" s="19" t="n">
        <v>1</v>
      </c>
      <c r="AC20" s="19" t="n">
        <v>0.02</v>
      </c>
      <c r="AD20" s="19" t="n">
        <v>0.08</v>
      </c>
      <c r="AE20" s="20" t="n">
        <v>0.01</v>
      </c>
    </row>
    <row r="21" ht="45" customHeight="1">
      <c r="A21" s="13" t="inlineStr">
        <is>
          <t>Farley Brand Media</t>
        </is>
      </c>
      <c r="B21" s="13" t="inlineStr">
        <is>
          <t>Ridgeline Partners</t>
        </is>
      </c>
      <c r="C21" s="13" t="n">
        <v>50201010</v>
      </c>
      <c r="D21" s="13" t="inlineStr">
        <is>
          <t>Advertising</t>
        </is>
      </c>
      <c r="E21" s="13" t="inlineStr">
        <is>
          <t>Media</t>
        </is>
      </c>
      <c r="F21" s="13" t="inlineStr">
        <is>
          <t>Communication Services</t>
        </is>
      </c>
      <c r="G21" s="14" t="inlineStr">
        <is>
          <t>Independent out-of-home and digital advertising sales house serving regional retail and auto advertisers.</t>
        </is>
      </c>
      <c r="H21" s="14" t="inlineStr">
        <is>
          <t>Contracted ad-inventory sales with multi-year renewals; digital mix shift improving yield per panel.</t>
        </is>
      </c>
      <c r="I21" s="15" t="n">
        <v>61</v>
      </c>
      <c r="J21" s="7" t="n">
        <v>0.18</v>
      </c>
      <c r="K21" s="15" t="n">
        <v>11</v>
      </c>
      <c r="L21" s="15" t="n">
        <v>9.790000000000001</v>
      </c>
      <c r="M21" s="15" t="n">
        <v>57.75</v>
      </c>
      <c r="N21" s="16" t="n">
        <v>5.25</v>
      </c>
      <c r="O21" s="16" t="n">
        <v>5.899</v>
      </c>
      <c r="P21" s="16" t="n">
        <v>8</v>
      </c>
      <c r="Q21" s="16" t="n">
        <v>7.1</v>
      </c>
      <c r="R21" s="15" t="n">
        <v>88</v>
      </c>
      <c r="S21" s="15" t="n">
        <v>69.509</v>
      </c>
      <c r="T21" s="7" t="n">
        <v>0.65625</v>
      </c>
      <c r="U21" s="7" t="n">
        <v>0.8308276626048425</v>
      </c>
      <c r="V21" s="15" t="n">
        <v>57.75</v>
      </c>
      <c r="W21" s="15" t="n">
        <v>600</v>
      </c>
      <c r="X21" s="17" t="n">
        <v>3</v>
      </c>
      <c r="Y21" s="15" t="n">
        <v>615</v>
      </c>
      <c r="Z21" s="18" t="n">
        <v>1.8</v>
      </c>
      <c r="AA21" s="18" t="n">
        <v>6.6</v>
      </c>
      <c r="AB21" s="19" t="n">
        <v>1</v>
      </c>
      <c r="AC21" s="19" t="n">
        <v>0.02</v>
      </c>
      <c r="AD21" s="19" t="n">
        <v>0.08</v>
      </c>
      <c r="AE21" s="20" t="n">
        <v>0.01</v>
      </c>
    </row>
    <row r="22" ht="45" customHeight="1">
      <c r="A22" s="13" t="inlineStr">
        <is>
          <t>Castlemere Data Solutions</t>
        </is>
      </c>
      <c r="B22" s="13" t="inlineStr">
        <is>
          <t>Iron Gate Capital</t>
        </is>
      </c>
      <c r="C22" s="13" t="n">
        <v>20202030</v>
      </c>
      <c r="D22" s="13" t="inlineStr">
        <is>
          <t>Data Processing &amp; Outsourced Services</t>
        </is>
      </c>
      <c r="E22" s="13" t="inlineStr">
        <is>
          <t>Professional Services</t>
        </is>
      </c>
      <c r="F22" s="13" t="inlineStr">
        <is>
          <t>Industrials</t>
        </is>
      </c>
      <c r="G22" s="14" t="inlineStr">
        <is>
          <t>Outsourced data-processing and back-office operations provider to regional banks and credit unions.</t>
        </is>
      </c>
      <c r="H22" s="14" t="inlineStr">
        <is>
          <t>Multi-year outsourcing contracts with high switching costs; margin expansion through offshore delivery mix.</t>
        </is>
      </c>
      <c r="I22" s="15" t="n">
        <v>69</v>
      </c>
      <c r="J22" s="7" t="n">
        <v>0.2</v>
      </c>
      <c r="K22" s="15" t="n">
        <v>13.8</v>
      </c>
      <c r="L22" s="15" t="n">
        <v>14.766</v>
      </c>
      <c r="M22" s="15" t="n">
        <v>65.55</v>
      </c>
      <c r="N22" s="16" t="n">
        <v>4.75</v>
      </c>
      <c r="O22" s="16" t="n">
        <v>4.439</v>
      </c>
      <c r="P22" s="16" t="n">
        <v>8.5</v>
      </c>
      <c r="Q22" s="16" t="n">
        <v>8.4</v>
      </c>
      <c r="R22" s="15" t="n">
        <v>117.3</v>
      </c>
      <c r="S22" s="15" t="n">
        <v>124.0344</v>
      </c>
      <c r="T22" s="7" t="n">
        <v>0.5588235294117646</v>
      </c>
      <c r="U22" s="7" t="n">
        <v>0.5284824210057854</v>
      </c>
      <c r="V22" s="15" t="n">
        <v>62.27249999999999</v>
      </c>
      <c r="W22" s="15" t="n">
        <v>525</v>
      </c>
      <c r="X22" s="17" t="n">
        <v>3.2</v>
      </c>
      <c r="Y22" s="15" t="n">
        <v>495</v>
      </c>
      <c r="Z22" s="18" t="n">
        <v>2</v>
      </c>
      <c r="AA22" s="18" t="n">
        <v>6.1</v>
      </c>
      <c r="AB22" s="19" t="n">
        <v>1</v>
      </c>
      <c r="AC22" s="19" t="n">
        <v>0.03</v>
      </c>
      <c r="AD22" s="19" t="n">
        <v>0.09</v>
      </c>
      <c r="AE22" s="20" t="n">
        <v>0.01</v>
      </c>
    </row>
    <row r="23" ht="45" customHeight="1">
      <c r="A23" s="13" t="inlineStr">
        <is>
          <t>Oakhurst Homes</t>
        </is>
      </c>
      <c r="B23" s="13" t="inlineStr">
        <is>
          <t>Ferrow Street Partners</t>
        </is>
      </c>
      <c r="C23" s="13" t="n">
        <v>25201030</v>
      </c>
      <c r="D23" s="13" t="inlineStr">
        <is>
          <t>Homebuilding</t>
        </is>
      </c>
      <c r="E23" s="13" t="inlineStr">
        <is>
          <t>Household Durables</t>
        </is>
      </c>
      <c r="F23" s="13" t="inlineStr">
        <is>
          <t>Consumer Discretionary</t>
        </is>
      </c>
      <c r="G23" s="14" t="inlineStr">
        <is>
          <t>Regional entry-level homebuilder operating across secondary markets in the Sun Belt.</t>
        </is>
      </c>
      <c r="H23" s="14" t="inlineStr">
        <is>
          <t>Land-light option-based lot pipeline reduces balance-sheet risk; demographic tailwind in target markets.</t>
        </is>
      </c>
      <c r="I23" s="15" t="n">
        <v>224</v>
      </c>
      <c r="J23" s="7" t="n">
        <v>0.12</v>
      </c>
      <c r="K23" s="15" t="n">
        <v>26.9</v>
      </c>
      <c r="L23" s="15" t="n">
        <v>22.058</v>
      </c>
      <c r="M23" s="15" t="n">
        <v>121.05</v>
      </c>
      <c r="N23" s="16" t="n">
        <v>4.5</v>
      </c>
      <c r="O23" s="16" t="n">
        <v>5.488</v>
      </c>
      <c r="P23" s="16" t="n">
        <v>6.5</v>
      </c>
      <c r="Q23" s="16" t="n">
        <v>5.6</v>
      </c>
      <c r="R23" s="15" t="n">
        <v>174.85</v>
      </c>
      <c r="S23" s="15" t="n">
        <v>123.5248</v>
      </c>
      <c r="T23" s="7" t="n">
        <v>0.6923076923076923</v>
      </c>
      <c r="U23" s="7" t="n">
        <v>0.9799651567944252</v>
      </c>
      <c r="V23" s="15" t="n">
        <v>108.945</v>
      </c>
      <c r="W23" s="15" t="n">
        <v>625</v>
      </c>
      <c r="X23" s="17" t="n">
        <v>2.6</v>
      </c>
      <c r="Y23" s="15" t="n">
        <v>660</v>
      </c>
      <c r="Z23" s="18" t="n">
        <v>2.4</v>
      </c>
      <c r="AA23" s="18" t="n">
        <v>5.85</v>
      </c>
      <c r="AB23" s="19" t="n">
        <v>1</v>
      </c>
      <c r="AC23" s="19" t="n">
        <v>0.025</v>
      </c>
      <c r="AD23" s="19" t="n">
        <v>0.08</v>
      </c>
      <c r="AE23" s="20" t="n">
        <v>0.01</v>
      </c>
    </row>
    <row r="24" ht="45" customHeight="1">
      <c r="A24" s="13" t="inlineStr">
        <is>
          <t>Redmoor Auto Components</t>
        </is>
      </c>
      <c r="B24" s="13" t="inlineStr">
        <is>
          <t>Ridgeline Partners</t>
        </is>
      </c>
      <c r="C24" s="13" t="n">
        <v>25101010</v>
      </c>
      <c r="D24" s="13" t="inlineStr">
        <is>
          <t>Automotive Parts &amp; Equipment</t>
        </is>
      </c>
      <c r="E24" s="13" t="inlineStr">
        <is>
          <t>Automobile Components</t>
        </is>
      </c>
      <c r="F24" s="13" t="inlineStr">
        <is>
          <t>Consumer Discretionary</t>
        </is>
      </c>
      <c r="G24" s="14" t="inlineStr">
        <is>
          <t>Tier-2 supplier of precision-stamped metal components to automotive OEMs and Tier-1s.</t>
        </is>
      </c>
      <c r="H24" s="14" t="inlineStr">
        <is>
          <t>Diversifying customer base away from ICE platforms toward EV structural components; long qualification lead times protect share.</t>
        </is>
      </c>
      <c r="I24" s="15" t="n">
        <v>148</v>
      </c>
      <c r="J24" s="7" t="n">
        <v>0.14</v>
      </c>
      <c r="K24" s="15" t="n">
        <v>20.7</v>
      </c>
      <c r="L24" s="15" t="n">
        <v>17.388</v>
      </c>
      <c r="M24" s="15" t="n">
        <v>103.5</v>
      </c>
      <c r="N24" s="16" t="n">
        <v>5</v>
      </c>
      <c r="O24" s="16" t="n">
        <v>5.952</v>
      </c>
      <c r="P24" s="16" t="n">
        <v>6.5</v>
      </c>
      <c r="Q24" s="16" t="n">
        <v>5.8</v>
      </c>
      <c r="R24" s="15" t="n">
        <v>134.55</v>
      </c>
      <c r="S24" s="15" t="n">
        <v>100.8504</v>
      </c>
      <c r="T24" s="7" t="n">
        <v>0.7692307692307693</v>
      </c>
      <c r="U24" s="7" t="n">
        <v>1.026272577996716</v>
      </c>
      <c r="V24" s="15" t="n">
        <v>103.5</v>
      </c>
      <c r="W24" s="15" t="n">
        <v>650</v>
      </c>
      <c r="X24" s="17" t="n">
        <v>2.9</v>
      </c>
      <c r="Y24" s="15" t="n">
        <v>675</v>
      </c>
      <c r="Z24" s="18" t="n">
        <v>2.4</v>
      </c>
      <c r="AA24" s="18" t="n">
        <v>6.35</v>
      </c>
      <c r="AB24" s="19" t="n">
        <v>1</v>
      </c>
      <c r="AC24" s="19" t="n">
        <v>0.025</v>
      </c>
      <c r="AD24" s="19" t="n">
        <v>0.08</v>
      </c>
      <c r="AE24" s="20" t="n">
        <v>0.01</v>
      </c>
    </row>
    <row r="25" ht="45" customHeight="1">
      <c r="A25" s="13" t="inlineStr">
        <is>
          <t>Pemberton Leisure Clubs</t>
        </is>
      </c>
      <c r="B25" s="13" t="inlineStr">
        <is>
          <t>Northbridge Capital</t>
        </is>
      </c>
      <c r="C25" s="13" t="n">
        <v>25301030</v>
      </c>
      <c r="D25" s="13" t="inlineStr">
        <is>
          <t>Leisure Facilities</t>
        </is>
      </c>
      <c r="E25" s="13" t="inlineStr">
        <is>
          <t>Hotels, Restaurants &amp; Leisure</t>
        </is>
      </c>
      <c r="F25" s="13" t="inlineStr">
        <is>
          <t>Consumer Discretionary</t>
        </is>
      </c>
      <c r="G25" s="14" t="inlineStr">
        <is>
          <t>Operator of premium racquet and fitness clubs across affluent suburban markets.</t>
        </is>
      </c>
      <c r="H25" s="14" t="inlineStr">
        <is>
          <t>Membership-fee model with high renewal rates; ancillary F&amp;B and coaching revenue expanding per-member spend.</t>
        </is>
      </c>
      <c r="I25" s="15" t="n">
        <v>52</v>
      </c>
      <c r="J25" s="7" t="n">
        <v>0.22</v>
      </c>
      <c r="K25" s="15" t="n">
        <v>11.4</v>
      </c>
      <c r="L25" s="15" t="n">
        <v>11.856</v>
      </c>
      <c r="M25" s="15" t="n">
        <v>54.15</v>
      </c>
      <c r="N25" s="16" t="n">
        <v>4.75</v>
      </c>
      <c r="O25" s="16" t="n">
        <v>4.567</v>
      </c>
      <c r="P25" s="16" t="n">
        <v>8.5</v>
      </c>
      <c r="Q25" s="16" t="n">
        <v>8.199999999999999</v>
      </c>
      <c r="R25" s="15" t="n">
        <v>96.90000000000001</v>
      </c>
      <c r="S25" s="15" t="n">
        <v>97.2192</v>
      </c>
      <c r="T25" s="7" t="n">
        <v>0.5588235294117646</v>
      </c>
      <c r="U25" s="7" t="n">
        <v>0.5569887429643527</v>
      </c>
      <c r="V25" s="15" t="n">
        <v>54.15</v>
      </c>
      <c r="W25" s="15" t="n">
        <v>550</v>
      </c>
      <c r="X25" s="17" t="n">
        <v>3.1</v>
      </c>
      <c r="Y25" s="15" t="n">
        <v>520</v>
      </c>
      <c r="Z25" s="18" t="n">
        <v>2.4</v>
      </c>
      <c r="AA25" s="18" t="n">
        <v>6.1</v>
      </c>
      <c r="AB25" s="19" t="n">
        <v>1</v>
      </c>
      <c r="AC25" s="19" t="n">
        <v>0.025</v>
      </c>
      <c r="AD25" s="19" t="n">
        <v>0.08</v>
      </c>
      <c r="AE25" s="20" t="n">
        <v>0.01</v>
      </c>
    </row>
    <row r="26" ht="45" customHeight="1">
      <c r="A26" s="13" t="inlineStr">
        <is>
          <t>Linden &amp; Vale Personal Care</t>
        </is>
      </c>
      <c r="B26" s="13" t="inlineStr">
        <is>
          <t>Iron Gate Capital</t>
        </is>
      </c>
      <c r="C26" s="13" t="n">
        <v>30302010</v>
      </c>
      <c r="D26" s="13" t="inlineStr">
        <is>
          <t>Personal Care Products</t>
        </is>
      </c>
      <c r="E26" s="13" t="inlineStr">
        <is>
          <t>Personal Care Products</t>
        </is>
      </c>
      <c r="F26" s="13" t="inlineStr">
        <is>
          <t>Consumer Staples</t>
        </is>
      </c>
      <c r="G26" s="14" t="inlineStr">
        <is>
          <t>Manufacturer of premium personal care and grooming products sold through specialty and mass retail.</t>
        </is>
      </c>
      <c r="H26" s="14" t="inlineStr">
        <is>
          <t>Brand equity in a defensive category; private-equity buy-and-build via bolt-on brand acquisitions.</t>
        </is>
      </c>
      <c r="I26" s="15" t="n">
        <v>97</v>
      </c>
      <c r="J26" s="7" t="n">
        <v>0.19</v>
      </c>
      <c r="K26" s="15" t="n">
        <v>18.4</v>
      </c>
      <c r="L26" s="15" t="n">
        <v>18.584</v>
      </c>
      <c r="M26" s="15" t="n">
        <v>82.8</v>
      </c>
      <c r="N26" s="16" t="n">
        <v>4.5</v>
      </c>
      <c r="O26" s="16" t="n">
        <v>4.455</v>
      </c>
      <c r="P26" s="16" t="n">
        <v>9.5</v>
      </c>
      <c r="Q26" s="16" t="n">
        <v>9.300000000000001</v>
      </c>
      <c r="R26" s="15" t="n">
        <v>174.8</v>
      </c>
      <c r="S26" s="15" t="n">
        <v>172.8312</v>
      </c>
      <c r="T26" s="7" t="n">
        <v>0.4736842105263158</v>
      </c>
      <c r="U26" s="7" t="n">
        <v>0.4790801660811241</v>
      </c>
      <c r="V26" s="15" t="n">
        <v>78.66</v>
      </c>
      <c r="W26" s="15" t="n">
        <v>500</v>
      </c>
      <c r="X26" s="17" t="n">
        <v>3.3</v>
      </c>
      <c r="Y26" s="15" t="n">
        <v>470</v>
      </c>
      <c r="Z26" s="18" t="n">
        <v>1.5</v>
      </c>
      <c r="AA26" s="18" t="n">
        <v>5.85</v>
      </c>
      <c r="AB26" s="19" t="n">
        <v>1</v>
      </c>
      <c r="AC26" s="19" t="n">
        <v>0.02</v>
      </c>
      <c r="AD26" s="19" t="n">
        <v>0.11</v>
      </c>
      <c r="AE26" s="20" t="n">
        <v>0.01</v>
      </c>
    </row>
    <row r="27" ht="45" customHeight="1">
      <c r="A27" s="13" t="inlineStr">
        <is>
          <t>Harrowgate Distribution</t>
        </is>
      </c>
      <c r="B27" s="13" t="inlineStr">
        <is>
          <t>Ferrow Street Partners</t>
        </is>
      </c>
      <c r="C27" s="13" t="n">
        <v>25501010</v>
      </c>
      <c r="D27" s="13" t="inlineStr">
        <is>
          <t>Distributors</t>
        </is>
      </c>
      <c r="E27" s="13" t="inlineStr">
        <is>
          <t>Distributors</t>
        </is>
      </c>
      <c r="F27" s="13" t="inlineStr">
        <is>
          <t>Consumer Discretionary</t>
        </is>
      </c>
      <c r="G27" s="14" t="inlineStr">
        <is>
          <t>Wholesale distributor of building materials and hardware to independent contractors.</t>
        </is>
      </c>
      <c r="H27" s="14" t="inlineStr">
        <is>
          <t>Route-density economics and vendor-financing terms create structural cost advantage over new entrants.</t>
        </is>
      </c>
      <c r="I27" s="15" t="n">
        <v>167</v>
      </c>
      <c r="J27" s="7" t="n">
        <v>0.09</v>
      </c>
      <c r="K27" s="15" t="n">
        <v>15</v>
      </c>
      <c r="L27" s="15" t="n">
        <v>13.05</v>
      </c>
      <c r="M27" s="15" t="n">
        <v>78.75</v>
      </c>
      <c r="N27" s="16" t="n">
        <v>5.25</v>
      </c>
      <c r="O27" s="16" t="n">
        <v>6.034</v>
      </c>
      <c r="P27" s="16" t="n">
        <v>7.5</v>
      </c>
      <c r="Q27" s="16" t="n">
        <v>6.9</v>
      </c>
      <c r="R27" s="15" t="n">
        <v>112.5</v>
      </c>
      <c r="S27" s="15" t="n">
        <v>90.04500000000002</v>
      </c>
      <c r="T27" s="7" t="n">
        <v>0.7</v>
      </c>
      <c r="U27" s="7" t="n">
        <v>0.8745627186406795</v>
      </c>
      <c r="V27" s="15" t="n">
        <v>78.75</v>
      </c>
      <c r="W27" s="15" t="n">
        <v>575</v>
      </c>
      <c r="X27" s="17" t="n">
        <v>2.9</v>
      </c>
      <c r="Y27" s="15" t="n">
        <v>590</v>
      </c>
      <c r="Z27" s="18" t="n">
        <v>2.4</v>
      </c>
      <c r="AA27" s="18" t="n">
        <v>6.6</v>
      </c>
      <c r="AB27" s="19" t="n">
        <v>1</v>
      </c>
      <c r="AC27" s="19" t="n">
        <v>0.025</v>
      </c>
      <c r="AD27" s="19" t="n">
        <v>0.08</v>
      </c>
      <c r="AE27" s="20" t="n">
        <v>0.01</v>
      </c>
    </row>
    <row r="28" ht="45" customHeight="1">
      <c r="A28" s="13" t="inlineStr">
        <is>
          <t>Milverton Apparel Retail</t>
        </is>
      </c>
      <c r="B28" s="13" t="inlineStr">
        <is>
          <t>Ridgeline Partners</t>
        </is>
      </c>
      <c r="C28" s="13" t="n">
        <v>25504010</v>
      </c>
      <c r="D28" s="13" t="inlineStr">
        <is>
          <t>Apparel Retail</t>
        </is>
      </c>
      <c r="E28" s="13" t="inlineStr">
        <is>
          <t>Specialty Retail</t>
        </is>
      </c>
      <c r="F28" s="13" t="inlineStr">
        <is>
          <t>Consumer Discretionary</t>
        </is>
      </c>
      <c r="G28" s="14" t="inlineStr">
        <is>
          <t>Off-price specialty apparel retailer operating 210 stores across secondary and tertiary markets.</t>
        </is>
      </c>
      <c r="H28" s="14" t="inlineStr">
        <is>
          <t>Off-price value proposition is counter-cyclical; store-level unit economics support disciplined new-store growth.</t>
        </is>
      </c>
      <c r="I28" s="15" t="n">
        <v>312</v>
      </c>
      <c r="J28" s="7" t="n">
        <v>0.08</v>
      </c>
      <c r="K28" s="15" t="n">
        <v>25</v>
      </c>
      <c r="L28" s="15" t="n">
        <v>20.25</v>
      </c>
      <c r="M28" s="15" t="n">
        <v>137.5</v>
      </c>
      <c r="N28" s="16" t="n">
        <v>5.5</v>
      </c>
      <c r="O28" s="16" t="n">
        <v>6.79</v>
      </c>
      <c r="P28" s="16" t="n">
        <v>6</v>
      </c>
      <c r="Q28" s="16" t="n">
        <v>5.1</v>
      </c>
      <c r="R28" s="15" t="n">
        <v>150</v>
      </c>
      <c r="S28" s="15" t="n">
        <v>103.275</v>
      </c>
      <c r="T28" s="7" t="n">
        <v>0.9166666666666666</v>
      </c>
      <c r="U28" s="7" t="n">
        <v>1.331396756233358</v>
      </c>
      <c r="V28" s="15" t="n">
        <v>116.875</v>
      </c>
      <c r="W28" s="15" t="n">
        <v>675</v>
      </c>
      <c r="X28" s="17" t="n">
        <v>2.7</v>
      </c>
      <c r="Y28" s="15" t="n">
        <v>710</v>
      </c>
      <c r="Z28" s="18" t="n">
        <v>2.4</v>
      </c>
      <c r="AA28" s="18" t="n">
        <v>6.85</v>
      </c>
      <c r="AB28" s="19" t="n">
        <v>1</v>
      </c>
      <c r="AC28" s="19" t="n">
        <v>0.025</v>
      </c>
      <c r="AD28" s="19" t="n">
        <v>0.08</v>
      </c>
      <c r="AE28" s="20" t="n">
        <v>0.01</v>
      </c>
    </row>
    <row r="29" ht="45" customHeight="1">
      <c r="A29" s="13" t="inlineStr">
        <is>
          <t>Fenwick Application Software</t>
        </is>
      </c>
      <c r="B29" s="13" t="inlineStr">
        <is>
          <t>Northbridge Capital</t>
        </is>
      </c>
      <c r="C29" s="13" t="n">
        <v>45103010</v>
      </c>
      <c r="D29" s="13" t="inlineStr">
        <is>
          <t>Application Software</t>
        </is>
      </c>
      <c r="E29" s="13" t="inlineStr">
        <is>
          <t>Software</t>
        </is>
      </c>
      <c r="F29" s="13" t="inlineStr">
        <is>
          <t>Information Technology</t>
        </is>
      </c>
      <c r="G29" s="14" t="inlineStr">
        <is>
          <t>Vertical-market SaaS provider of scheduling and compliance software for the skilled-trades industry.</t>
        </is>
      </c>
      <c r="H29" s="14" t="inlineStr">
        <is>
          <t>High net-revenue-retention subscription base; land-and-expand motion into adjacent trades verticals.</t>
        </is>
      </c>
      <c r="I29" s="15" t="n">
        <v>41</v>
      </c>
      <c r="J29" s="7" t="n">
        <v>0.27</v>
      </c>
      <c r="K29" s="15" t="n">
        <v>11.1</v>
      </c>
      <c r="L29" s="15" t="n">
        <v>12.765</v>
      </c>
      <c r="M29" s="15" t="n">
        <v>44.4</v>
      </c>
      <c r="N29" s="16" t="n">
        <v>4</v>
      </c>
      <c r="O29" s="16" t="n">
        <v>3.478</v>
      </c>
      <c r="P29" s="16" t="n">
        <v>12</v>
      </c>
      <c r="Q29" s="16" t="n">
        <v>11.5</v>
      </c>
      <c r="R29" s="15" t="n">
        <v>133.2</v>
      </c>
      <c r="S29" s="15" t="n">
        <v>146.7975</v>
      </c>
      <c r="T29" s="7" t="n">
        <v>0.3333333333333334</v>
      </c>
      <c r="U29" s="7" t="n">
        <v>0.3024574669187146</v>
      </c>
      <c r="V29" s="15" t="n">
        <v>44.4</v>
      </c>
      <c r="W29" s="15" t="n">
        <v>475</v>
      </c>
      <c r="X29" s="17" t="n">
        <v>3.7</v>
      </c>
      <c r="Y29" s="15" t="n">
        <v>420</v>
      </c>
      <c r="Z29" s="18" t="n">
        <v>1.4</v>
      </c>
      <c r="AA29" s="18" t="n">
        <v>5.35</v>
      </c>
      <c r="AB29" s="19" t="n">
        <v>1</v>
      </c>
      <c r="AC29" s="19" t="n">
        <v>0.015</v>
      </c>
      <c r="AD29" s="19" t="n">
        <v>0.07000000000000001</v>
      </c>
      <c r="AE29" s="20" t="n">
        <v>0.01</v>
      </c>
    </row>
    <row r="30" ht="45" customHeight="1">
      <c r="A30" s="13" t="inlineStr">
        <is>
          <t>Calloway IT Consulting</t>
        </is>
      </c>
      <c r="B30" s="13" t="inlineStr">
        <is>
          <t>Iron Gate Capital</t>
        </is>
      </c>
      <c r="C30" s="13" t="n">
        <v>45102010</v>
      </c>
      <c r="D30" s="13" t="inlineStr">
        <is>
          <t>IT Consulting &amp; Other Services</t>
        </is>
      </c>
      <c r="E30" s="13" t="inlineStr">
        <is>
          <t>IT Services</t>
        </is>
      </c>
      <c r="F30" s="13" t="inlineStr">
        <is>
          <t>Information Technology</t>
        </is>
      </c>
      <c r="G30" s="14" t="inlineStr">
        <is>
          <t>Mid-market ERP implementation and managed-IT services consultancy serving manufacturing clients.</t>
        </is>
      </c>
      <c r="H30" s="14" t="inlineStr">
        <is>
          <t>Multi-year managed-services contracts provide recurring base beneath project-based implementation revenue.</t>
        </is>
      </c>
      <c r="I30" s="15" t="n">
        <v>73</v>
      </c>
      <c r="J30" s="7" t="n">
        <v>0.16</v>
      </c>
      <c r="K30" s="15" t="n">
        <v>11.7</v>
      </c>
      <c r="L30" s="15" t="n">
        <v>10.998</v>
      </c>
      <c r="M30" s="15" t="n">
        <v>55.575</v>
      </c>
      <c r="N30" s="16" t="n">
        <v>4.75</v>
      </c>
      <c r="O30" s="16" t="n">
        <v>5.053</v>
      </c>
      <c r="P30" s="16" t="n">
        <v>8</v>
      </c>
      <c r="Q30" s="16" t="n">
        <v>7.4</v>
      </c>
      <c r="R30" s="15" t="n">
        <v>93.59999999999999</v>
      </c>
      <c r="S30" s="15" t="n">
        <v>81.3852</v>
      </c>
      <c r="T30" s="7" t="n">
        <v>0.59375</v>
      </c>
      <c r="U30" s="7" t="n">
        <v>0.6828637147786084</v>
      </c>
      <c r="V30" s="15" t="n">
        <v>50.0175</v>
      </c>
      <c r="W30" s="15" t="n">
        <v>550</v>
      </c>
      <c r="X30" s="17" t="n">
        <v>3.2</v>
      </c>
      <c r="Y30" s="15" t="n">
        <v>545</v>
      </c>
      <c r="Z30" s="18" t="n">
        <v>1.4</v>
      </c>
      <c r="AA30" s="18" t="n">
        <v>6.1</v>
      </c>
      <c r="AB30" s="19" t="n">
        <v>1</v>
      </c>
      <c r="AC30" s="19" t="n">
        <v>0.015</v>
      </c>
      <c r="AD30" s="19" t="n">
        <v>0.07000000000000001</v>
      </c>
      <c r="AE30" s="20" t="n">
        <v>0.01</v>
      </c>
    </row>
    <row r="31" ht="45" customHeight="1">
      <c r="A31" s="13" t="inlineStr">
        <is>
          <t>Ashgrove Professional Staffing</t>
        </is>
      </c>
      <c r="B31" s="13" t="inlineStr">
        <is>
          <t>Ferrow Street Partners</t>
        </is>
      </c>
      <c r="C31" s="13" t="n">
        <v>20202010</v>
      </c>
      <c r="D31" s="13" t="inlineStr">
        <is>
          <t>Human Resource &amp; Employment Services</t>
        </is>
      </c>
      <c r="E31" s="13" t="inlineStr">
        <is>
          <t>Professional Services</t>
        </is>
      </c>
      <c r="F31" s="13" t="inlineStr">
        <is>
          <t>Industrials</t>
        </is>
      </c>
      <c r="G31" s="14" t="inlineStr">
        <is>
          <t>Specialized staffing provider for healthcare and light-industrial temporary placements.</t>
        </is>
      </c>
      <c r="H31" s="14" t="inlineStr">
        <is>
          <t>Diversified end-market mix cushions cyclicality; technology-enabled sourcing lowers cost-to-fill.</t>
        </is>
      </c>
      <c r="I31" s="15" t="n">
        <v>112</v>
      </c>
      <c r="J31" s="7" t="n">
        <v>0.09</v>
      </c>
      <c r="K31" s="15" t="n">
        <v>10.1</v>
      </c>
      <c r="L31" s="15" t="n">
        <v>9.09</v>
      </c>
      <c r="M31" s="15" t="n">
        <v>50.5</v>
      </c>
      <c r="N31" s="16" t="n">
        <v>5</v>
      </c>
      <c r="O31" s="16" t="n">
        <v>5.556</v>
      </c>
      <c r="P31" s="16" t="n">
        <v>7</v>
      </c>
      <c r="Q31" s="16" t="n">
        <v>6.3</v>
      </c>
      <c r="R31" s="15" t="n">
        <v>70.7</v>
      </c>
      <c r="S31" s="15" t="n">
        <v>57.267</v>
      </c>
      <c r="T31" s="7" t="n">
        <v>0.7142857142857143</v>
      </c>
      <c r="U31" s="7" t="n">
        <v>0.8818342151675486</v>
      </c>
      <c r="V31" s="15" t="n">
        <v>50.5</v>
      </c>
      <c r="W31" s="15" t="n">
        <v>625</v>
      </c>
      <c r="X31" s="17" t="n">
        <v>2.8</v>
      </c>
      <c r="Y31" s="15" t="n">
        <v>645</v>
      </c>
      <c r="Z31" s="18" t="n">
        <v>2</v>
      </c>
      <c r="AA31" s="18" t="n">
        <v>6.35</v>
      </c>
      <c r="AB31" s="19" t="n">
        <v>1</v>
      </c>
      <c r="AC31" s="19" t="n">
        <v>0.03</v>
      </c>
      <c r="AD31" s="19" t="n">
        <v>0.09</v>
      </c>
      <c r="AE31" s="20" t="n">
        <v>0.01</v>
      </c>
    </row>
    <row r="32" ht="45" customHeight="1">
      <c r="A32" s="13" t="inlineStr">
        <is>
          <t>Rowanmede Consulting Group</t>
        </is>
      </c>
      <c r="B32" s="13" t="inlineStr">
        <is>
          <t>Ridgeline Partners</t>
        </is>
      </c>
      <c r="C32" s="13" t="n">
        <v>20202020</v>
      </c>
      <c r="D32" s="13" t="inlineStr">
        <is>
          <t>Research &amp; Consulting Services</t>
        </is>
      </c>
      <c r="E32" s="13" t="inlineStr">
        <is>
          <t>Professional Services</t>
        </is>
      </c>
      <c r="F32" s="13" t="inlineStr">
        <is>
          <t>Industrials</t>
        </is>
      </c>
      <c r="G32" s="14" t="inlineStr">
        <is>
          <t>Boutique management consultancy specializing in supply-chain and operations advisory for industrials.</t>
        </is>
      </c>
      <c r="H32" s="14" t="inlineStr">
        <is>
          <t>High-touch advisory relationships with Fortune 1000 clients; low capital intensity, strong cash conversion.</t>
        </is>
      </c>
      <c r="I32" s="15" t="n">
        <v>64</v>
      </c>
      <c r="J32" s="7" t="n">
        <v>0.24</v>
      </c>
      <c r="K32" s="15" t="n">
        <v>15.4</v>
      </c>
      <c r="L32" s="15" t="n">
        <v>16.786</v>
      </c>
      <c r="M32" s="15" t="n">
        <v>65.45</v>
      </c>
      <c r="N32" s="16" t="n">
        <v>4.25</v>
      </c>
      <c r="O32" s="16" t="n">
        <v>3.899</v>
      </c>
      <c r="P32" s="16" t="n">
        <v>9</v>
      </c>
      <c r="Q32" s="16" t="n">
        <v>8.800000000000001</v>
      </c>
      <c r="R32" s="15" t="n">
        <v>138.6</v>
      </c>
      <c r="S32" s="15" t="n">
        <v>147.7168</v>
      </c>
      <c r="T32" s="7" t="n">
        <v>0.4722222222222223</v>
      </c>
      <c r="U32" s="7" t="n">
        <v>0.4430775646371976</v>
      </c>
      <c r="V32" s="15" t="n">
        <v>65.45</v>
      </c>
      <c r="W32" s="15" t="n">
        <v>500</v>
      </c>
      <c r="X32" s="17" t="n">
        <v>3.4</v>
      </c>
      <c r="Y32" s="15" t="n">
        <v>475</v>
      </c>
      <c r="Z32" s="18" t="n">
        <v>2</v>
      </c>
      <c r="AA32" s="18" t="n">
        <v>5.6</v>
      </c>
      <c r="AB32" s="19" t="n">
        <v>1</v>
      </c>
      <c r="AC32" s="19" t="n">
        <v>0.03</v>
      </c>
      <c r="AD32" s="19" t="n">
        <v>0.09</v>
      </c>
      <c r="AE32" s="20" t="n">
        <v>0.01</v>
      </c>
    </row>
    <row r="33" ht="45" customHeight="1">
      <c r="A33" s="13" t="inlineStr">
        <is>
          <t>Tanglewood Support Services</t>
        </is>
      </c>
      <c r="B33" s="13" t="inlineStr">
        <is>
          <t>Northbridge Capital</t>
        </is>
      </c>
      <c r="C33" s="13" t="n">
        <v>20201070</v>
      </c>
      <c r="D33" s="13" t="inlineStr">
        <is>
          <t>Diversified Support Services</t>
        </is>
      </c>
      <c r="E33" s="13" t="inlineStr">
        <is>
          <t>Commercial Services &amp; Supplies</t>
        </is>
      </c>
      <c r="F33" s="13" t="inlineStr">
        <is>
          <t>Industrials</t>
        </is>
      </c>
      <c r="G33" s="14" t="inlineStr">
        <is>
          <t>Outsourced facilities and support-services provider to healthcare and education campuses.</t>
        </is>
      </c>
      <c r="H33" s="14" t="inlineStr">
        <is>
          <t>Multi-year contracted revenue with inflation-linked escalators; consolidation of a fragmented regional base.</t>
        </is>
      </c>
      <c r="I33" s="15" t="n">
        <v>91</v>
      </c>
      <c r="J33" s="7" t="n">
        <v>0.11</v>
      </c>
      <c r="K33" s="15" t="n">
        <v>10</v>
      </c>
      <c r="L33" s="15" t="n">
        <v>9.5</v>
      </c>
      <c r="M33" s="15" t="n">
        <v>50</v>
      </c>
      <c r="N33" s="16" t="n">
        <v>5</v>
      </c>
      <c r="O33" s="16" t="n">
        <v>5.263</v>
      </c>
      <c r="P33" s="16" t="n">
        <v>7.5</v>
      </c>
      <c r="Q33" s="16" t="n">
        <v>7</v>
      </c>
      <c r="R33" s="15" t="n">
        <v>75</v>
      </c>
      <c r="S33" s="15" t="n">
        <v>66.5</v>
      </c>
      <c r="T33" s="7" t="n">
        <v>0.6666666666666666</v>
      </c>
      <c r="U33" s="7" t="n">
        <v>0.7518796992481203</v>
      </c>
      <c r="V33" s="15" t="n">
        <v>47.5</v>
      </c>
      <c r="W33" s="15" t="n">
        <v>575</v>
      </c>
      <c r="X33" s="17" t="n">
        <v>3</v>
      </c>
      <c r="Y33" s="15" t="n">
        <v>580</v>
      </c>
      <c r="Z33" s="18" t="n">
        <v>2</v>
      </c>
      <c r="AA33" s="18" t="n">
        <v>6.35</v>
      </c>
      <c r="AB33" s="19" t="n">
        <v>1</v>
      </c>
      <c r="AC33" s="19" t="n">
        <v>0.03</v>
      </c>
      <c r="AD33" s="19" t="n">
        <v>0.09</v>
      </c>
      <c r="AE33" s="20" t="n">
        <v>0.01</v>
      </c>
    </row>
  </sheetData>
  <mergeCells count="1">
    <mergeCell ref="A1:A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32"/>
  <sheetViews>
    <sheetView showGridLines="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24" customWidth="1" min="1" max="1"/>
    <col width="12" customWidth="1" min="2" max="2"/>
    <col width="16" customWidth="1" min="3" max="3"/>
    <col width="11" customWidth="1" min="4" max="4"/>
    <col width="11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 ht="40" customHeight="1">
      <c r="A1" t="inlineStr">
        <is>
          <t>STEP 3 — the B1/B3/B4/B5 formula chain (PC_Stress_Framework.html Section 5) run on all 30 deals. Columns D-G: GICS shock, looked up by each deal's own Sub-Industry code against 1_GICS_Shock_Input. Columns H-U: deal statics pulled from 2_Deal_Tape. Columns V onward: the live cascade — stressed EBITDA, interest, leverage, FCCR, EV, LTV, covenant headroom, Flatline (distance-to-covenant), and spread-duration MTM impact.</t>
        </is>
      </c>
    </row>
    <row r="2" ht="34" customHeight="1">
      <c r="A2" s="5" t="inlineStr">
        <is>
          <t>Deal Name</t>
        </is>
      </c>
      <c r="B2" s="5" t="inlineStr">
        <is>
          <t>Sub-Ind
Code</t>
        </is>
      </c>
      <c r="C2" s="5" t="inlineStr">
        <is>
          <t>Sector</t>
        </is>
      </c>
      <c r="D2" s="5" t="inlineStr">
        <is>
          <t>Revenue
Shock %</t>
        </is>
      </c>
      <c r="E2" s="5" t="inlineStr">
        <is>
          <t>EV/EBITDA Mult
Shock %</t>
        </is>
      </c>
      <c r="F2" s="5" t="inlineStr">
        <is>
          <t>Spread Widening
(bps)</t>
        </is>
      </c>
      <c r="G2" s="5" t="inlineStr">
        <is>
          <t>Emerging Risk
Overlay %</t>
        </is>
      </c>
      <c r="H2" s="5" t="inlineStr">
        <is>
          <t>Structuring
EBITDA</t>
        </is>
      </c>
      <c r="I2" s="5" t="inlineStr">
        <is>
          <t>Current
EBITDA</t>
        </is>
      </c>
      <c r="J2" s="5" t="inlineStr">
        <is>
          <t>Net Debt</t>
        </is>
      </c>
      <c r="K2" s="5" t="inlineStr">
        <is>
          <t>Current
Multiple</t>
        </is>
      </c>
      <c r="L2" s="5" t="inlineStr">
        <is>
          <t>Operating
Leverage</t>
        </is>
      </c>
      <c r="M2" s="5" t="inlineStr">
        <is>
          <t>Leverage
Covenant</t>
        </is>
      </c>
      <c r="N2" s="5" t="inlineStr">
        <is>
          <t>FCCR
Covenant</t>
        </is>
      </c>
      <c r="O2" s="5" t="inlineStr">
        <is>
          <t>Capex
% Rev</t>
        </is>
      </c>
      <c r="P2" s="5" t="inlineStr">
        <is>
          <t>Cash Tax
% EBITDA</t>
        </is>
      </c>
      <c r="Q2" s="5" t="inlineStr">
        <is>
          <t>Sched Amort
% Debt</t>
        </is>
      </c>
      <c r="R2" s="5" t="inlineStr">
        <is>
          <t>LTM
Revenue</t>
        </is>
      </c>
      <c r="S2" s="5" t="inlineStr">
        <is>
          <t>Coupon
(bps)</t>
        </is>
      </c>
      <c r="T2" s="5" t="inlineStr">
        <is>
          <t>Spread
Duration</t>
        </is>
      </c>
      <c r="U2" s="5" t="inlineStr">
        <is>
          <t>Invested
Amount</t>
        </is>
      </c>
      <c r="V2" s="5" t="inlineStr">
        <is>
          <t>Total Revenue
Shock % [B1]</t>
        </is>
      </c>
      <c r="W2" s="5" t="inlineStr">
        <is>
          <t>Stressed
EBITDA [B1]</t>
        </is>
      </c>
      <c r="X2" s="5" t="inlineStr">
        <is>
          <t>Stressed Ref
Rate % [B3]</t>
        </is>
      </c>
      <c r="Y2" s="5" t="inlineStr">
        <is>
          <t>Stressed Cash
Interest [B3]</t>
        </is>
      </c>
      <c r="Z2" s="5" t="inlineStr">
        <is>
          <t>Stressed
Leverage [B4]</t>
        </is>
      </c>
      <c r="AA2" s="5" t="inlineStr">
        <is>
          <t>Stressed
Capex $</t>
        </is>
      </c>
      <c r="AB2" s="5" t="inlineStr">
        <is>
          <t>Stressed
Cash Tax $</t>
        </is>
      </c>
      <c r="AC2" s="5" t="inlineStr">
        <is>
          <t>Sched
Amort $</t>
        </is>
      </c>
      <c r="AD2" s="5" t="inlineStr">
        <is>
          <t>Stressed
FCCR [B4]</t>
        </is>
      </c>
      <c r="AE2" s="5" t="inlineStr">
        <is>
          <t>Stressed
Multiple [B5]</t>
        </is>
      </c>
      <c r="AF2" s="5" t="inlineStr">
        <is>
          <t>Stressed
EV [B5]</t>
        </is>
      </c>
      <c r="AG2" s="5" t="inlineStr">
        <is>
          <t>Stressed
LTV [B5]</t>
        </is>
      </c>
      <c r="AH2" s="5" t="inlineStr">
        <is>
          <t>Leverage
Headroom (x)</t>
        </is>
      </c>
      <c r="AI2" s="5" t="inlineStr">
        <is>
          <t>Leverage
Breach?</t>
        </is>
      </c>
      <c r="AJ2" s="5" t="inlineStr">
        <is>
          <t>FCCR
Headroom (x)</t>
        </is>
      </c>
      <c r="AK2" s="5" t="inlineStr">
        <is>
          <t>FCCR
Breach?</t>
        </is>
      </c>
      <c r="AL2" s="5" t="inlineStr">
        <is>
          <t>Leverage E*
(breakeven EBITDA)</t>
        </is>
      </c>
      <c r="AM2" s="5" t="inlineStr">
        <is>
          <t>Leverage
Flatline %</t>
        </is>
      </c>
      <c r="AN2" s="5" t="inlineStr">
        <is>
          <t>FCCR E*
(breakeven EBITDA)</t>
        </is>
      </c>
      <c r="AO2" s="5" t="inlineStr">
        <is>
          <t>FCCR
Flatline %</t>
        </is>
      </c>
      <c r="AP2" s="5" t="inlineStr">
        <is>
          <t>Price Impact %
[Engine A]</t>
        </is>
      </c>
      <c r="AQ2" s="5" t="inlineStr">
        <is>
          <t>MTM $
Impact</t>
        </is>
      </c>
    </row>
    <row r="3">
      <c r="A3" s="21">
        <f>'2_Deal_Tape'!A4</f>
        <v/>
      </c>
      <c r="B3" s="21">
        <f>'2_Deal_Tape'!C4</f>
        <v/>
      </c>
      <c r="C3" s="21">
        <f>'2_Deal_Tape'!F4</f>
        <v/>
      </c>
      <c r="D3" s="22">
        <f>INDEX('1_GICS_Shock_Input'!$E$4:$E$166,MATCH($B3,'1_GICS_Shock_Input'!$A$4:$A$166,0))</f>
        <v/>
      </c>
      <c r="E3" s="22">
        <f>INDEX('1_GICS_Shock_Input'!$F$4:$F$166,MATCH($B3,'1_GICS_Shock_Input'!$A$4:$A$166,0))</f>
        <v/>
      </c>
      <c r="F3" s="23">
        <f>INDEX('1_GICS_Shock_Input'!$G$4:$G$166,MATCH($B3,'1_GICS_Shock_Input'!$A$4:$A$166,0))</f>
        <v/>
      </c>
      <c r="G3" s="22">
        <f>INDEX('1_GICS_Shock_Input'!$H$4:$H$166,MATCH($B3,'1_GICS_Shock_Input'!$A$4:$A$166,0))</f>
        <v/>
      </c>
      <c r="H3" s="24">
        <f>'2_Deal_Tape'!K4</f>
        <v/>
      </c>
      <c r="I3" s="25">
        <f>'2_Deal_Tape'!L4</f>
        <v/>
      </c>
      <c r="J3" s="24">
        <f>'2_Deal_Tape'!M4</f>
        <v/>
      </c>
      <c r="K3" s="22">
        <f>'2_Deal_Tape'!Q4</f>
        <v/>
      </c>
      <c r="L3" s="25">
        <f>'2_Deal_Tape'!Z4</f>
        <v/>
      </c>
      <c r="M3" s="25">
        <f>'2_Deal_Tape'!AA4</f>
        <v/>
      </c>
      <c r="N3" s="24">
        <f>'2_Deal_Tape'!AB4</f>
        <v/>
      </c>
      <c r="O3" s="22">
        <f>'2_Deal_Tape'!AC4</f>
        <v/>
      </c>
      <c r="P3" s="22">
        <f>'2_Deal_Tape'!AD4</f>
        <v/>
      </c>
      <c r="Q3" s="22">
        <f>'2_Deal_Tape'!AE4</f>
        <v/>
      </c>
      <c r="R3" s="24">
        <f>'2_Deal_Tape'!I4</f>
        <v/>
      </c>
      <c r="S3" s="24">
        <f>'2_Deal_Tape'!W4</f>
        <v/>
      </c>
      <c r="T3" s="26">
        <f>'2_Deal_Tape'!X4</f>
        <v/>
      </c>
      <c r="U3" s="24">
        <f>'2_Deal_Tape'!V4</f>
        <v/>
      </c>
      <c r="V3" s="22">
        <f>D3+G3</f>
        <v/>
      </c>
      <c r="W3" s="24">
        <f>I3*(1+V3*L3)</f>
        <v/>
      </c>
      <c r="X3" s="27">
        <f>'1_GICS_Shock_Input'!$B$169+'1_GICS_Shock_Input'!$B$170/10000</f>
        <v/>
      </c>
      <c r="Y3" s="24">
        <f>J3*(X3+S3/10000)</f>
        <v/>
      </c>
      <c r="Z3" s="25">
        <f>J3/W3</f>
        <v/>
      </c>
      <c r="AA3" s="24">
        <f>O3*R3</f>
        <v/>
      </c>
      <c r="AB3" s="24">
        <f>P3*W3</f>
        <v/>
      </c>
      <c r="AC3" s="24">
        <f>Q3*J3</f>
        <v/>
      </c>
      <c r="AD3" s="25">
        <f>(W3-AA3-AB3)/(Y3+AC3)</f>
        <v/>
      </c>
      <c r="AE3" s="25">
        <f>K3*(1+E3)</f>
        <v/>
      </c>
      <c r="AF3" s="24">
        <f>W3*AE3</f>
        <v/>
      </c>
      <c r="AG3" s="22">
        <f>J3/AF3</f>
        <v/>
      </c>
      <c r="AH3" s="25">
        <f>M3-Z3</f>
        <v/>
      </c>
      <c r="AI3" s="28">
        <f>IF(Z3&gt;M3,"BREACH","")</f>
        <v/>
      </c>
      <c r="AJ3" s="25">
        <f>AD3-N3</f>
        <v/>
      </c>
      <c r="AK3" s="28">
        <f>IF(AD3&lt;N3,"BREACH","")</f>
        <v/>
      </c>
      <c r="AL3" s="24">
        <f>J3/M3</f>
        <v/>
      </c>
      <c r="AM3" s="22">
        <f>(W3-AL3)/W3</f>
        <v/>
      </c>
      <c r="AN3" s="24">
        <f>N3*(Y3+AC3)+AA3+AB3</f>
        <v/>
      </c>
      <c r="AO3" s="22">
        <f>(W3-AN3)/W3</f>
        <v/>
      </c>
      <c r="AP3" s="27">
        <f>-T3*(F3/10000)</f>
        <v/>
      </c>
      <c r="AQ3" s="24">
        <f>U3*AP3</f>
        <v/>
      </c>
    </row>
    <row r="4">
      <c r="A4" s="21">
        <f>'2_Deal_Tape'!A5</f>
        <v/>
      </c>
      <c r="B4" s="21">
        <f>'2_Deal_Tape'!C5</f>
        <v/>
      </c>
      <c r="C4" s="21">
        <f>'2_Deal_Tape'!F5</f>
        <v/>
      </c>
      <c r="D4" s="22">
        <f>INDEX('1_GICS_Shock_Input'!$E$4:$E$166,MATCH($B4,'1_GICS_Shock_Input'!$A$4:$A$166,0))</f>
        <v/>
      </c>
      <c r="E4" s="22">
        <f>INDEX('1_GICS_Shock_Input'!$F$4:$F$166,MATCH($B4,'1_GICS_Shock_Input'!$A$4:$A$166,0))</f>
        <v/>
      </c>
      <c r="F4" s="23">
        <f>INDEX('1_GICS_Shock_Input'!$G$4:$G$166,MATCH($B4,'1_GICS_Shock_Input'!$A$4:$A$166,0))</f>
        <v/>
      </c>
      <c r="G4" s="22">
        <f>INDEX('1_GICS_Shock_Input'!$H$4:$H$166,MATCH($B4,'1_GICS_Shock_Input'!$A$4:$A$166,0))</f>
        <v/>
      </c>
      <c r="H4" s="24">
        <f>'2_Deal_Tape'!K5</f>
        <v/>
      </c>
      <c r="I4" s="25">
        <f>'2_Deal_Tape'!L5</f>
        <v/>
      </c>
      <c r="J4" s="24">
        <f>'2_Deal_Tape'!M5</f>
        <v/>
      </c>
      <c r="K4" s="22">
        <f>'2_Deal_Tape'!Q5</f>
        <v/>
      </c>
      <c r="L4" s="25">
        <f>'2_Deal_Tape'!Z5</f>
        <v/>
      </c>
      <c r="M4" s="25">
        <f>'2_Deal_Tape'!AA5</f>
        <v/>
      </c>
      <c r="N4" s="24">
        <f>'2_Deal_Tape'!AB5</f>
        <v/>
      </c>
      <c r="O4" s="22">
        <f>'2_Deal_Tape'!AC5</f>
        <v/>
      </c>
      <c r="P4" s="22">
        <f>'2_Deal_Tape'!AD5</f>
        <v/>
      </c>
      <c r="Q4" s="22">
        <f>'2_Deal_Tape'!AE5</f>
        <v/>
      </c>
      <c r="R4" s="24">
        <f>'2_Deal_Tape'!I5</f>
        <v/>
      </c>
      <c r="S4" s="24">
        <f>'2_Deal_Tape'!W5</f>
        <v/>
      </c>
      <c r="T4" s="26">
        <f>'2_Deal_Tape'!X5</f>
        <v/>
      </c>
      <c r="U4" s="24">
        <f>'2_Deal_Tape'!V5</f>
        <v/>
      </c>
      <c r="V4" s="22">
        <f>D4+G4</f>
        <v/>
      </c>
      <c r="W4" s="24">
        <f>I4*(1+V4*L4)</f>
        <v/>
      </c>
      <c r="X4" s="27">
        <f>'1_GICS_Shock_Input'!$B$169+'1_GICS_Shock_Input'!$B$170/10000</f>
        <v/>
      </c>
      <c r="Y4" s="24">
        <f>J4*(X4+S4/10000)</f>
        <v/>
      </c>
      <c r="Z4" s="25">
        <f>J4/W4</f>
        <v/>
      </c>
      <c r="AA4" s="24">
        <f>O4*R4</f>
        <v/>
      </c>
      <c r="AB4" s="24">
        <f>P4*W4</f>
        <v/>
      </c>
      <c r="AC4" s="24">
        <f>Q4*J4</f>
        <v/>
      </c>
      <c r="AD4" s="25">
        <f>(W4-AA4-AB4)/(Y4+AC4)</f>
        <v/>
      </c>
      <c r="AE4" s="25">
        <f>K4*(1+E4)</f>
        <v/>
      </c>
      <c r="AF4" s="24">
        <f>W4*AE4</f>
        <v/>
      </c>
      <c r="AG4" s="22">
        <f>J4/AF4</f>
        <v/>
      </c>
      <c r="AH4" s="25">
        <f>M4-Z4</f>
        <v/>
      </c>
      <c r="AI4" s="28">
        <f>IF(Z4&gt;M4,"BREACH","")</f>
        <v/>
      </c>
      <c r="AJ4" s="25">
        <f>AD4-N4</f>
        <v/>
      </c>
      <c r="AK4" s="28">
        <f>IF(AD4&lt;N4,"BREACH","")</f>
        <v/>
      </c>
      <c r="AL4" s="24">
        <f>J4/M4</f>
        <v/>
      </c>
      <c r="AM4" s="22">
        <f>(W4-AL4)/W4</f>
        <v/>
      </c>
      <c r="AN4" s="24">
        <f>N4*(Y4+AC4)+AA4+AB4</f>
        <v/>
      </c>
      <c r="AO4" s="22">
        <f>(W4-AN4)/W4</f>
        <v/>
      </c>
      <c r="AP4" s="27">
        <f>-T4*(F4/10000)</f>
        <v/>
      </c>
      <c r="AQ4" s="24">
        <f>U4*AP4</f>
        <v/>
      </c>
    </row>
    <row r="5">
      <c r="A5" s="21">
        <f>'2_Deal_Tape'!A6</f>
        <v/>
      </c>
      <c r="B5" s="21">
        <f>'2_Deal_Tape'!C6</f>
        <v/>
      </c>
      <c r="C5" s="21">
        <f>'2_Deal_Tape'!F6</f>
        <v/>
      </c>
      <c r="D5" s="22">
        <f>INDEX('1_GICS_Shock_Input'!$E$4:$E$166,MATCH($B5,'1_GICS_Shock_Input'!$A$4:$A$166,0))</f>
        <v/>
      </c>
      <c r="E5" s="22">
        <f>INDEX('1_GICS_Shock_Input'!$F$4:$F$166,MATCH($B5,'1_GICS_Shock_Input'!$A$4:$A$166,0))</f>
        <v/>
      </c>
      <c r="F5" s="23">
        <f>INDEX('1_GICS_Shock_Input'!$G$4:$G$166,MATCH($B5,'1_GICS_Shock_Input'!$A$4:$A$166,0))</f>
        <v/>
      </c>
      <c r="G5" s="22">
        <f>INDEX('1_GICS_Shock_Input'!$H$4:$H$166,MATCH($B5,'1_GICS_Shock_Input'!$A$4:$A$166,0))</f>
        <v/>
      </c>
      <c r="H5" s="24">
        <f>'2_Deal_Tape'!K6</f>
        <v/>
      </c>
      <c r="I5" s="25">
        <f>'2_Deal_Tape'!L6</f>
        <v/>
      </c>
      <c r="J5" s="24">
        <f>'2_Deal_Tape'!M6</f>
        <v/>
      </c>
      <c r="K5" s="22">
        <f>'2_Deal_Tape'!Q6</f>
        <v/>
      </c>
      <c r="L5" s="25">
        <f>'2_Deal_Tape'!Z6</f>
        <v/>
      </c>
      <c r="M5" s="25">
        <f>'2_Deal_Tape'!AA6</f>
        <v/>
      </c>
      <c r="N5" s="24">
        <f>'2_Deal_Tape'!AB6</f>
        <v/>
      </c>
      <c r="O5" s="22">
        <f>'2_Deal_Tape'!AC6</f>
        <v/>
      </c>
      <c r="P5" s="22">
        <f>'2_Deal_Tape'!AD6</f>
        <v/>
      </c>
      <c r="Q5" s="22">
        <f>'2_Deal_Tape'!AE6</f>
        <v/>
      </c>
      <c r="R5" s="24">
        <f>'2_Deal_Tape'!I6</f>
        <v/>
      </c>
      <c r="S5" s="24">
        <f>'2_Deal_Tape'!W6</f>
        <v/>
      </c>
      <c r="T5" s="26">
        <f>'2_Deal_Tape'!X6</f>
        <v/>
      </c>
      <c r="U5" s="24">
        <f>'2_Deal_Tape'!V6</f>
        <v/>
      </c>
      <c r="V5" s="22">
        <f>D5+G5</f>
        <v/>
      </c>
      <c r="W5" s="24">
        <f>I5*(1+V5*L5)</f>
        <v/>
      </c>
      <c r="X5" s="27">
        <f>'1_GICS_Shock_Input'!$B$169+'1_GICS_Shock_Input'!$B$170/10000</f>
        <v/>
      </c>
      <c r="Y5" s="24">
        <f>J5*(X5+S5/10000)</f>
        <v/>
      </c>
      <c r="Z5" s="25">
        <f>J5/W5</f>
        <v/>
      </c>
      <c r="AA5" s="24">
        <f>O5*R5</f>
        <v/>
      </c>
      <c r="AB5" s="24">
        <f>P5*W5</f>
        <v/>
      </c>
      <c r="AC5" s="24">
        <f>Q5*J5</f>
        <v/>
      </c>
      <c r="AD5" s="25">
        <f>(W5-AA5-AB5)/(Y5+AC5)</f>
        <v/>
      </c>
      <c r="AE5" s="25">
        <f>K5*(1+E5)</f>
        <v/>
      </c>
      <c r="AF5" s="24">
        <f>W5*AE5</f>
        <v/>
      </c>
      <c r="AG5" s="22">
        <f>J5/AF5</f>
        <v/>
      </c>
      <c r="AH5" s="25">
        <f>M5-Z5</f>
        <v/>
      </c>
      <c r="AI5" s="28">
        <f>IF(Z5&gt;M5,"BREACH","")</f>
        <v/>
      </c>
      <c r="AJ5" s="25">
        <f>AD5-N5</f>
        <v/>
      </c>
      <c r="AK5" s="28">
        <f>IF(AD5&lt;N5,"BREACH","")</f>
        <v/>
      </c>
      <c r="AL5" s="24">
        <f>J5/M5</f>
        <v/>
      </c>
      <c r="AM5" s="22">
        <f>(W5-AL5)/W5</f>
        <v/>
      </c>
      <c r="AN5" s="24">
        <f>N5*(Y5+AC5)+AA5+AB5</f>
        <v/>
      </c>
      <c r="AO5" s="22">
        <f>(W5-AN5)/W5</f>
        <v/>
      </c>
      <c r="AP5" s="27">
        <f>-T5*(F5/10000)</f>
        <v/>
      </c>
      <c r="AQ5" s="24">
        <f>U5*AP5</f>
        <v/>
      </c>
    </row>
    <row r="6">
      <c r="A6" s="21">
        <f>'2_Deal_Tape'!A7</f>
        <v/>
      </c>
      <c r="B6" s="21">
        <f>'2_Deal_Tape'!C7</f>
        <v/>
      </c>
      <c r="C6" s="21">
        <f>'2_Deal_Tape'!F7</f>
        <v/>
      </c>
      <c r="D6" s="22">
        <f>INDEX('1_GICS_Shock_Input'!$E$4:$E$166,MATCH($B6,'1_GICS_Shock_Input'!$A$4:$A$166,0))</f>
        <v/>
      </c>
      <c r="E6" s="22">
        <f>INDEX('1_GICS_Shock_Input'!$F$4:$F$166,MATCH($B6,'1_GICS_Shock_Input'!$A$4:$A$166,0))</f>
        <v/>
      </c>
      <c r="F6" s="23">
        <f>INDEX('1_GICS_Shock_Input'!$G$4:$G$166,MATCH($B6,'1_GICS_Shock_Input'!$A$4:$A$166,0))</f>
        <v/>
      </c>
      <c r="G6" s="22">
        <f>INDEX('1_GICS_Shock_Input'!$H$4:$H$166,MATCH($B6,'1_GICS_Shock_Input'!$A$4:$A$166,0))</f>
        <v/>
      </c>
      <c r="H6" s="24">
        <f>'2_Deal_Tape'!K7</f>
        <v/>
      </c>
      <c r="I6" s="25">
        <f>'2_Deal_Tape'!L7</f>
        <v/>
      </c>
      <c r="J6" s="24">
        <f>'2_Deal_Tape'!M7</f>
        <v/>
      </c>
      <c r="K6" s="22">
        <f>'2_Deal_Tape'!Q7</f>
        <v/>
      </c>
      <c r="L6" s="25">
        <f>'2_Deal_Tape'!Z7</f>
        <v/>
      </c>
      <c r="M6" s="25">
        <f>'2_Deal_Tape'!AA7</f>
        <v/>
      </c>
      <c r="N6" s="24">
        <f>'2_Deal_Tape'!AB7</f>
        <v/>
      </c>
      <c r="O6" s="22">
        <f>'2_Deal_Tape'!AC7</f>
        <v/>
      </c>
      <c r="P6" s="22">
        <f>'2_Deal_Tape'!AD7</f>
        <v/>
      </c>
      <c r="Q6" s="22">
        <f>'2_Deal_Tape'!AE7</f>
        <v/>
      </c>
      <c r="R6" s="24">
        <f>'2_Deal_Tape'!I7</f>
        <v/>
      </c>
      <c r="S6" s="24">
        <f>'2_Deal_Tape'!W7</f>
        <v/>
      </c>
      <c r="T6" s="26">
        <f>'2_Deal_Tape'!X7</f>
        <v/>
      </c>
      <c r="U6" s="24">
        <f>'2_Deal_Tape'!V7</f>
        <v/>
      </c>
      <c r="V6" s="22">
        <f>D6+G6</f>
        <v/>
      </c>
      <c r="W6" s="24">
        <f>I6*(1+V6*L6)</f>
        <v/>
      </c>
      <c r="X6" s="27">
        <f>'1_GICS_Shock_Input'!$B$169+'1_GICS_Shock_Input'!$B$170/10000</f>
        <v/>
      </c>
      <c r="Y6" s="24">
        <f>J6*(X6+S6/10000)</f>
        <v/>
      </c>
      <c r="Z6" s="25">
        <f>J6/W6</f>
        <v/>
      </c>
      <c r="AA6" s="24">
        <f>O6*R6</f>
        <v/>
      </c>
      <c r="AB6" s="24">
        <f>P6*W6</f>
        <v/>
      </c>
      <c r="AC6" s="24">
        <f>Q6*J6</f>
        <v/>
      </c>
      <c r="AD6" s="25">
        <f>(W6-AA6-AB6)/(Y6+AC6)</f>
        <v/>
      </c>
      <c r="AE6" s="25">
        <f>K6*(1+E6)</f>
        <v/>
      </c>
      <c r="AF6" s="24">
        <f>W6*AE6</f>
        <v/>
      </c>
      <c r="AG6" s="22">
        <f>J6/AF6</f>
        <v/>
      </c>
      <c r="AH6" s="25">
        <f>M6-Z6</f>
        <v/>
      </c>
      <c r="AI6" s="28">
        <f>IF(Z6&gt;M6,"BREACH","")</f>
        <v/>
      </c>
      <c r="AJ6" s="25">
        <f>AD6-N6</f>
        <v/>
      </c>
      <c r="AK6" s="28">
        <f>IF(AD6&lt;N6,"BREACH","")</f>
        <v/>
      </c>
      <c r="AL6" s="24">
        <f>J6/M6</f>
        <v/>
      </c>
      <c r="AM6" s="22">
        <f>(W6-AL6)/W6</f>
        <v/>
      </c>
      <c r="AN6" s="24">
        <f>N6*(Y6+AC6)+AA6+AB6</f>
        <v/>
      </c>
      <c r="AO6" s="22">
        <f>(W6-AN6)/W6</f>
        <v/>
      </c>
      <c r="AP6" s="27">
        <f>-T6*(F6/10000)</f>
        <v/>
      </c>
      <c r="AQ6" s="24">
        <f>U6*AP6</f>
        <v/>
      </c>
    </row>
    <row r="7">
      <c r="A7" s="21">
        <f>'2_Deal_Tape'!A8</f>
        <v/>
      </c>
      <c r="B7" s="21">
        <f>'2_Deal_Tape'!C8</f>
        <v/>
      </c>
      <c r="C7" s="21">
        <f>'2_Deal_Tape'!F8</f>
        <v/>
      </c>
      <c r="D7" s="22">
        <f>INDEX('1_GICS_Shock_Input'!$E$4:$E$166,MATCH($B7,'1_GICS_Shock_Input'!$A$4:$A$166,0))</f>
        <v/>
      </c>
      <c r="E7" s="22">
        <f>INDEX('1_GICS_Shock_Input'!$F$4:$F$166,MATCH($B7,'1_GICS_Shock_Input'!$A$4:$A$166,0))</f>
        <v/>
      </c>
      <c r="F7" s="23">
        <f>INDEX('1_GICS_Shock_Input'!$G$4:$G$166,MATCH($B7,'1_GICS_Shock_Input'!$A$4:$A$166,0))</f>
        <v/>
      </c>
      <c r="G7" s="22">
        <f>INDEX('1_GICS_Shock_Input'!$H$4:$H$166,MATCH($B7,'1_GICS_Shock_Input'!$A$4:$A$166,0))</f>
        <v/>
      </c>
      <c r="H7" s="24">
        <f>'2_Deal_Tape'!K8</f>
        <v/>
      </c>
      <c r="I7" s="25">
        <f>'2_Deal_Tape'!L8</f>
        <v/>
      </c>
      <c r="J7" s="24">
        <f>'2_Deal_Tape'!M8</f>
        <v/>
      </c>
      <c r="K7" s="22">
        <f>'2_Deal_Tape'!Q8</f>
        <v/>
      </c>
      <c r="L7" s="25">
        <f>'2_Deal_Tape'!Z8</f>
        <v/>
      </c>
      <c r="M7" s="25">
        <f>'2_Deal_Tape'!AA8</f>
        <v/>
      </c>
      <c r="N7" s="24">
        <f>'2_Deal_Tape'!AB8</f>
        <v/>
      </c>
      <c r="O7" s="22">
        <f>'2_Deal_Tape'!AC8</f>
        <v/>
      </c>
      <c r="P7" s="22">
        <f>'2_Deal_Tape'!AD8</f>
        <v/>
      </c>
      <c r="Q7" s="22">
        <f>'2_Deal_Tape'!AE8</f>
        <v/>
      </c>
      <c r="R7" s="24">
        <f>'2_Deal_Tape'!I8</f>
        <v/>
      </c>
      <c r="S7" s="24">
        <f>'2_Deal_Tape'!W8</f>
        <v/>
      </c>
      <c r="T7" s="26">
        <f>'2_Deal_Tape'!X8</f>
        <v/>
      </c>
      <c r="U7" s="24">
        <f>'2_Deal_Tape'!V8</f>
        <v/>
      </c>
      <c r="V7" s="22">
        <f>D7+G7</f>
        <v/>
      </c>
      <c r="W7" s="24">
        <f>I7*(1+V7*L7)</f>
        <v/>
      </c>
      <c r="X7" s="27">
        <f>'1_GICS_Shock_Input'!$B$169+'1_GICS_Shock_Input'!$B$170/10000</f>
        <v/>
      </c>
      <c r="Y7" s="24">
        <f>J7*(X7+S7/10000)</f>
        <v/>
      </c>
      <c r="Z7" s="25">
        <f>J7/W7</f>
        <v/>
      </c>
      <c r="AA7" s="24">
        <f>O7*R7</f>
        <v/>
      </c>
      <c r="AB7" s="24">
        <f>P7*W7</f>
        <v/>
      </c>
      <c r="AC7" s="24">
        <f>Q7*J7</f>
        <v/>
      </c>
      <c r="AD7" s="25">
        <f>(W7-AA7-AB7)/(Y7+AC7)</f>
        <v/>
      </c>
      <c r="AE7" s="25">
        <f>K7*(1+E7)</f>
        <v/>
      </c>
      <c r="AF7" s="24">
        <f>W7*AE7</f>
        <v/>
      </c>
      <c r="AG7" s="22">
        <f>J7/AF7</f>
        <v/>
      </c>
      <c r="AH7" s="25">
        <f>M7-Z7</f>
        <v/>
      </c>
      <c r="AI7" s="28">
        <f>IF(Z7&gt;M7,"BREACH","")</f>
        <v/>
      </c>
      <c r="AJ7" s="25">
        <f>AD7-N7</f>
        <v/>
      </c>
      <c r="AK7" s="28">
        <f>IF(AD7&lt;N7,"BREACH","")</f>
        <v/>
      </c>
      <c r="AL7" s="24">
        <f>J7/M7</f>
        <v/>
      </c>
      <c r="AM7" s="22">
        <f>(W7-AL7)/W7</f>
        <v/>
      </c>
      <c r="AN7" s="24">
        <f>N7*(Y7+AC7)+AA7+AB7</f>
        <v/>
      </c>
      <c r="AO7" s="22">
        <f>(W7-AN7)/W7</f>
        <v/>
      </c>
      <c r="AP7" s="27">
        <f>-T7*(F7/10000)</f>
        <v/>
      </c>
      <c r="AQ7" s="24">
        <f>U7*AP7</f>
        <v/>
      </c>
    </row>
    <row r="8">
      <c r="A8" s="21">
        <f>'2_Deal_Tape'!A9</f>
        <v/>
      </c>
      <c r="B8" s="21">
        <f>'2_Deal_Tape'!C9</f>
        <v/>
      </c>
      <c r="C8" s="21">
        <f>'2_Deal_Tape'!F9</f>
        <v/>
      </c>
      <c r="D8" s="22">
        <f>INDEX('1_GICS_Shock_Input'!$E$4:$E$166,MATCH($B8,'1_GICS_Shock_Input'!$A$4:$A$166,0))</f>
        <v/>
      </c>
      <c r="E8" s="22">
        <f>INDEX('1_GICS_Shock_Input'!$F$4:$F$166,MATCH($B8,'1_GICS_Shock_Input'!$A$4:$A$166,0))</f>
        <v/>
      </c>
      <c r="F8" s="23">
        <f>INDEX('1_GICS_Shock_Input'!$G$4:$G$166,MATCH($B8,'1_GICS_Shock_Input'!$A$4:$A$166,0))</f>
        <v/>
      </c>
      <c r="G8" s="22">
        <f>INDEX('1_GICS_Shock_Input'!$H$4:$H$166,MATCH($B8,'1_GICS_Shock_Input'!$A$4:$A$166,0))</f>
        <v/>
      </c>
      <c r="H8" s="24">
        <f>'2_Deal_Tape'!K9</f>
        <v/>
      </c>
      <c r="I8" s="25">
        <f>'2_Deal_Tape'!L9</f>
        <v/>
      </c>
      <c r="J8" s="24">
        <f>'2_Deal_Tape'!M9</f>
        <v/>
      </c>
      <c r="K8" s="22">
        <f>'2_Deal_Tape'!Q9</f>
        <v/>
      </c>
      <c r="L8" s="25">
        <f>'2_Deal_Tape'!Z9</f>
        <v/>
      </c>
      <c r="M8" s="25">
        <f>'2_Deal_Tape'!AA9</f>
        <v/>
      </c>
      <c r="N8" s="24">
        <f>'2_Deal_Tape'!AB9</f>
        <v/>
      </c>
      <c r="O8" s="22">
        <f>'2_Deal_Tape'!AC9</f>
        <v/>
      </c>
      <c r="P8" s="22">
        <f>'2_Deal_Tape'!AD9</f>
        <v/>
      </c>
      <c r="Q8" s="22">
        <f>'2_Deal_Tape'!AE9</f>
        <v/>
      </c>
      <c r="R8" s="24">
        <f>'2_Deal_Tape'!I9</f>
        <v/>
      </c>
      <c r="S8" s="24">
        <f>'2_Deal_Tape'!W9</f>
        <v/>
      </c>
      <c r="T8" s="26">
        <f>'2_Deal_Tape'!X9</f>
        <v/>
      </c>
      <c r="U8" s="24">
        <f>'2_Deal_Tape'!V9</f>
        <v/>
      </c>
      <c r="V8" s="22">
        <f>D8+G8</f>
        <v/>
      </c>
      <c r="W8" s="24">
        <f>I8*(1+V8*L8)</f>
        <v/>
      </c>
      <c r="X8" s="27">
        <f>'1_GICS_Shock_Input'!$B$169+'1_GICS_Shock_Input'!$B$170/10000</f>
        <v/>
      </c>
      <c r="Y8" s="24">
        <f>J8*(X8+S8/10000)</f>
        <v/>
      </c>
      <c r="Z8" s="25">
        <f>J8/W8</f>
        <v/>
      </c>
      <c r="AA8" s="24">
        <f>O8*R8</f>
        <v/>
      </c>
      <c r="AB8" s="24">
        <f>P8*W8</f>
        <v/>
      </c>
      <c r="AC8" s="24">
        <f>Q8*J8</f>
        <v/>
      </c>
      <c r="AD8" s="25">
        <f>(W8-AA8-AB8)/(Y8+AC8)</f>
        <v/>
      </c>
      <c r="AE8" s="25">
        <f>K8*(1+E8)</f>
        <v/>
      </c>
      <c r="AF8" s="24">
        <f>W8*AE8</f>
        <v/>
      </c>
      <c r="AG8" s="22">
        <f>J8/AF8</f>
        <v/>
      </c>
      <c r="AH8" s="25">
        <f>M8-Z8</f>
        <v/>
      </c>
      <c r="AI8" s="28">
        <f>IF(Z8&gt;M8,"BREACH","")</f>
        <v/>
      </c>
      <c r="AJ8" s="25">
        <f>AD8-N8</f>
        <v/>
      </c>
      <c r="AK8" s="28">
        <f>IF(AD8&lt;N8,"BREACH","")</f>
        <v/>
      </c>
      <c r="AL8" s="24">
        <f>J8/M8</f>
        <v/>
      </c>
      <c r="AM8" s="22">
        <f>(W8-AL8)/W8</f>
        <v/>
      </c>
      <c r="AN8" s="24">
        <f>N8*(Y8+AC8)+AA8+AB8</f>
        <v/>
      </c>
      <c r="AO8" s="22">
        <f>(W8-AN8)/W8</f>
        <v/>
      </c>
      <c r="AP8" s="27">
        <f>-T8*(F8/10000)</f>
        <v/>
      </c>
      <c r="AQ8" s="24">
        <f>U8*AP8</f>
        <v/>
      </c>
    </row>
    <row r="9">
      <c r="A9" s="21">
        <f>'2_Deal_Tape'!A10</f>
        <v/>
      </c>
      <c r="B9" s="21">
        <f>'2_Deal_Tape'!C10</f>
        <v/>
      </c>
      <c r="C9" s="21">
        <f>'2_Deal_Tape'!F10</f>
        <v/>
      </c>
      <c r="D9" s="22">
        <f>INDEX('1_GICS_Shock_Input'!$E$4:$E$166,MATCH($B9,'1_GICS_Shock_Input'!$A$4:$A$166,0))</f>
        <v/>
      </c>
      <c r="E9" s="22">
        <f>INDEX('1_GICS_Shock_Input'!$F$4:$F$166,MATCH($B9,'1_GICS_Shock_Input'!$A$4:$A$166,0))</f>
        <v/>
      </c>
      <c r="F9" s="23">
        <f>INDEX('1_GICS_Shock_Input'!$G$4:$G$166,MATCH($B9,'1_GICS_Shock_Input'!$A$4:$A$166,0))</f>
        <v/>
      </c>
      <c r="G9" s="22">
        <f>INDEX('1_GICS_Shock_Input'!$H$4:$H$166,MATCH($B9,'1_GICS_Shock_Input'!$A$4:$A$166,0))</f>
        <v/>
      </c>
      <c r="H9" s="24">
        <f>'2_Deal_Tape'!K10</f>
        <v/>
      </c>
      <c r="I9" s="25">
        <f>'2_Deal_Tape'!L10</f>
        <v/>
      </c>
      <c r="J9" s="24">
        <f>'2_Deal_Tape'!M10</f>
        <v/>
      </c>
      <c r="K9" s="22">
        <f>'2_Deal_Tape'!Q10</f>
        <v/>
      </c>
      <c r="L9" s="25">
        <f>'2_Deal_Tape'!Z10</f>
        <v/>
      </c>
      <c r="M9" s="25">
        <f>'2_Deal_Tape'!AA10</f>
        <v/>
      </c>
      <c r="N9" s="24">
        <f>'2_Deal_Tape'!AB10</f>
        <v/>
      </c>
      <c r="O9" s="22">
        <f>'2_Deal_Tape'!AC10</f>
        <v/>
      </c>
      <c r="P9" s="22">
        <f>'2_Deal_Tape'!AD10</f>
        <v/>
      </c>
      <c r="Q9" s="22">
        <f>'2_Deal_Tape'!AE10</f>
        <v/>
      </c>
      <c r="R9" s="24">
        <f>'2_Deal_Tape'!I10</f>
        <v/>
      </c>
      <c r="S9" s="24">
        <f>'2_Deal_Tape'!W10</f>
        <v/>
      </c>
      <c r="T9" s="26">
        <f>'2_Deal_Tape'!X10</f>
        <v/>
      </c>
      <c r="U9" s="24">
        <f>'2_Deal_Tape'!V10</f>
        <v/>
      </c>
      <c r="V9" s="22">
        <f>D9+G9</f>
        <v/>
      </c>
      <c r="W9" s="24">
        <f>I9*(1+V9*L9)</f>
        <v/>
      </c>
      <c r="X9" s="27">
        <f>'1_GICS_Shock_Input'!$B$169+'1_GICS_Shock_Input'!$B$170/10000</f>
        <v/>
      </c>
      <c r="Y9" s="24">
        <f>J9*(X9+S9/10000)</f>
        <v/>
      </c>
      <c r="Z9" s="25">
        <f>J9/W9</f>
        <v/>
      </c>
      <c r="AA9" s="24">
        <f>O9*R9</f>
        <v/>
      </c>
      <c r="AB9" s="24">
        <f>P9*W9</f>
        <v/>
      </c>
      <c r="AC9" s="24">
        <f>Q9*J9</f>
        <v/>
      </c>
      <c r="AD9" s="25">
        <f>(W9-AA9-AB9)/(Y9+AC9)</f>
        <v/>
      </c>
      <c r="AE9" s="25">
        <f>K9*(1+E9)</f>
        <v/>
      </c>
      <c r="AF9" s="24">
        <f>W9*AE9</f>
        <v/>
      </c>
      <c r="AG9" s="22">
        <f>J9/AF9</f>
        <v/>
      </c>
      <c r="AH9" s="25">
        <f>M9-Z9</f>
        <v/>
      </c>
      <c r="AI9" s="28">
        <f>IF(Z9&gt;M9,"BREACH","")</f>
        <v/>
      </c>
      <c r="AJ9" s="25">
        <f>AD9-N9</f>
        <v/>
      </c>
      <c r="AK9" s="28">
        <f>IF(AD9&lt;N9,"BREACH","")</f>
        <v/>
      </c>
      <c r="AL9" s="24">
        <f>J9/M9</f>
        <v/>
      </c>
      <c r="AM9" s="22">
        <f>(W9-AL9)/W9</f>
        <v/>
      </c>
      <c r="AN9" s="24">
        <f>N9*(Y9+AC9)+AA9+AB9</f>
        <v/>
      </c>
      <c r="AO9" s="22">
        <f>(W9-AN9)/W9</f>
        <v/>
      </c>
      <c r="AP9" s="27">
        <f>-T9*(F9/10000)</f>
        <v/>
      </c>
      <c r="AQ9" s="24">
        <f>U9*AP9</f>
        <v/>
      </c>
    </row>
    <row r="10">
      <c r="A10" s="21">
        <f>'2_Deal_Tape'!A11</f>
        <v/>
      </c>
      <c r="B10" s="21">
        <f>'2_Deal_Tape'!C11</f>
        <v/>
      </c>
      <c r="C10" s="21">
        <f>'2_Deal_Tape'!F11</f>
        <v/>
      </c>
      <c r="D10" s="22">
        <f>INDEX('1_GICS_Shock_Input'!$E$4:$E$166,MATCH($B10,'1_GICS_Shock_Input'!$A$4:$A$166,0))</f>
        <v/>
      </c>
      <c r="E10" s="22">
        <f>INDEX('1_GICS_Shock_Input'!$F$4:$F$166,MATCH($B10,'1_GICS_Shock_Input'!$A$4:$A$166,0))</f>
        <v/>
      </c>
      <c r="F10" s="23">
        <f>INDEX('1_GICS_Shock_Input'!$G$4:$G$166,MATCH($B10,'1_GICS_Shock_Input'!$A$4:$A$166,0))</f>
        <v/>
      </c>
      <c r="G10" s="22">
        <f>INDEX('1_GICS_Shock_Input'!$H$4:$H$166,MATCH($B10,'1_GICS_Shock_Input'!$A$4:$A$166,0))</f>
        <v/>
      </c>
      <c r="H10" s="24">
        <f>'2_Deal_Tape'!K11</f>
        <v/>
      </c>
      <c r="I10" s="25">
        <f>'2_Deal_Tape'!L11</f>
        <v/>
      </c>
      <c r="J10" s="24">
        <f>'2_Deal_Tape'!M11</f>
        <v/>
      </c>
      <c r="K10" s="22">
        <f>'2_Deal_Tape'!Q11</f>
        <v/>
      </c>
      <c r="L10" s="25">
        <f>'2_Deal_Tape'!Z11</f>
        <v/>
      </c>
      <c r="M10" s="25">
        <f>'2_Deal_Tape'!AA11</f>
        <v/>
      </c>
      <c r="N10" s="24">
        <f>'2_Deal_Tape'!AB11</f>
        <v/>
      </c>
      <c r="O10" s="22">
        <f>'2_Deal_Tape'!AC11</f>
        <v/>
      </c>
      <c r="P10" s="22">
        <f>'2_Deal_Tape'!AD11</f>
        <v/>
      </c>
      <c r="Q10" s="22">
        <f>'2_Deal_Tape'!AE11</f>
        <v/>
      </c>
      <c r="R10" s="24">
        <f>'2_Deal_Tape'!I11</f>
        <v/>
      </c>
      <c r="S10" s="24">
        <f>'2_Deal_Tape'!W11</f>
        <v/>
      </c>
      <c r="T10" s="26">
        <f>'2_Deal_Tape'!X11</f>
        <v/>
      </c>
      <c r="U10" s="24">
        <f>'2_Deal_Tape'!V11</f>
        <v/>
      </c>
      <c r="V10" s="22">
        <f>D10+G10</f>
        <v/>
      </c>
      <c r="W10" s="24">
        <f>I10*(1+V10*L10)</f>
        <v/>
      </c>
      <c r="X10" s="27">
        <f>'1_GICS_Shock_Input'!$B$169+'1_GICS_Shock_Input'!$B$170/10000</f>
        <v/>
      </c>
      <c r="Y10" s="24">
        <f>J10*(X10+S10/10000)</f>
        <v/>
      </c>
      <c r="Z10" s="25">
        <f>J10/W10</f>
        <v/>
      </c>
      <c r="AA10" s="24">
        <f>O10*R10</f>
        <v/>
      </c>
      <c r="AB10" s="24">
        <f>P10*W10</f>
        <v/>
      </c>
      <c r="AC10" s="24">
        <f>Q10*J10</f>
        <v/>
      </c>
      <c r="AD10" s="25">
        <f>(W10-AA10-AB10)/(Y10+AC10)</f>
        <v/>
      </c>
      <c r="AE10" s="25">
        <f>K10*(1+E10)</f>
        <v/>
      </c>
      <c r="AF10" s="24">
        <f>W10*AE10</f>
        <v/>
      </c>
      <c r="AG10" s="22">
        <f>J10/AF10</f>
        <v/>
      </c>
      <c r="AH10" s="25">
        <f>M10-Z10</f>
        <v/>
      </c>
      <c r="AI10" s="28">
        <f>IF(Z10&gt;M10,"BREACH","")</f>
        <v/>
      </c>
      <c r="AJ10" s="25">
        <f>AD10-N10</f>
        <v/>
      </c>
      <c r="AK10" s="28">
        <f>IF(AD10&lt;N10,"BREACH","")</f>
        <v/>
      </c>
      <c r="AL10" s="24">
        <f>J10/M10</f>
        <v/>
      </c>
      <c r="AM10" s="22">
        <f>(W10-AL10)/W10</f>
        <v/>
      </c>
      <c r="AN10" s="24">
        <f>N10*(Y10+AC10)+AA10+AB10</f>
        <v/>
      </c>
      <c r="AO10" s="22">
        <f>(W10-AN10)/W10</f>
        <v/>
      </c>
      <c r="AP10" s="27">
        <f>-T10*(F10/10000)</f>
        <v/>
      </c>
      <c r="AQ10" s="24">
        <f>U10*AP10</f>
        <v/>
      </c>
    </row>
    <row r="11">
      <c r="A11" s="21">
        <f>'2_Deal_Tape'!A12</f>
        <v/>
      </c>
      <c r="B11" s="21">
        <f>'2_Deal_Tape'!C12</f>
        <v/>
      </c>
      <c r="C11" s="21">
        <f>'2_Deal_Tape'!F12</f>
        <v/>
      </c>
      <c r="D11" s="22">
        <f>INDEX('1_GICS_Shock_Input'!$E$4:$E$166,MATCH($B11,'1_GICS_Shock_Input'!$A$4:$A$166,0))</f>
        <v/>
      </c>
      <c r="E11" s="22">
        <f>INDEX('1_GICS_Shock_Input'!$F$4:$F$166,MATCH($B11,'1_GICS_Shock_Input'!$A$4:$A$166,0))</f>
        <v/>
      </c>
      <c r="F11" s="23">
        <f>INDEX('1_GICS_Shock_Input'!$G$4:$G$166,MATCH($B11,'1_GICS_Shock_Input'!$A$4:$A$166,0))</f>
        <v/>
      </c>
      <c r="G11" s="22">
        <f>INDEX('1_GICS_Shock_Input'!$H$4:$H$166,MATCH($B11,'1_GICS_Shock_Input'!$A$4:$A$166,0))</f>
        <v/>
      </c>
      <c r="H11" s="24">
        <f>'2_Deal_Tape'!K12</f>
        <v/>
      </c>
      <c r="I11" s="25">
        <f>'2_Deal_Tape'!L12</f>
        <v/>
      </c>
      <c r="J11" s="24">
        <f>'2_Deal_Tape'!M12</f>
        <v/>
      </c>
      <c r="K11" s="22">
        <f>'2_Deal_Tape'!Q12</f>
        <v/>
      </c>
      <c r="L11" s="25">
        <f>'2_Deal_Tape'!Z12</f>
        <v/>
      </c>
      <c r="M11" s="25">
        <f>'2_Deal_Tape'!AA12</f>
        <v/>
      </c>
      <c r="N11" s="24">
        <f>'2_Deal_Tape'!AB12</f>
        <v/>
      </c>
      <c r="O11" s="22">
        <f>'2_Deal_Tape'!AC12</f>
        <v/>
      </c>
      <c r="P11" s="22">
        <f>'2_Deal_Tape'!AD12</f>
        <v/>
      </c>
      <c r="Q11" s="22">
        <f>'2_Deal_Tape'!AE12</f>
        <v/>
      </c>
      <c r="R11" s="24">
        <f>'2_Deal_Tape'!I12</f>
        <v/>
      </c>
      <c r="S11" s="24">
        <f>'2_Deal_Tape'!W12</f>
        <v/>
      </c>
      <c r="T11" s="26">
        <f>'2_Deal_Tape'!X12</f>
        <v/>
      </c>
      <c r="U11" s="24">
        <f>'2_Deal_Tape'!V12</f>
        <v/>
      </c>
      <c r="V11" s="22">
        <f>D11+G11</f>
        <v/>
      </c>
      <c r="W11" s="24">
        <f>I11*(1+V11*L11)</f>
        <v/>
      </c>
      <c r="X11" s="27">
        <f>'1_GICS_Shock_Input'!$B$169+'1_GICS_Shock_Input'!$B$170/10000</f>
        <v/>
      </c>
      <c r="Y11" s="24">
        <f>J11*(X11+S11/10000)</f>
        <v/>
      </c>
      <c r="Z11" s="25">
        <f>J11/W11</f>
        <v/>
      </c>
      <c r="AA11" s="24">
        <f>O11*R11</f>
        <v/>
      </c>
      <c r="AB11" s="24">
        <f>P11*W11</f>
        <v/>
      </c>
      <c r="AC11" s="24">
        <f>Q11*J11</f>
        <v/>
      </c>
      <c r="AD11" s="25">
        <f>(W11-AA11-AB11)/(Y11+AC11)</f>
        <v/>
      </c>
      <c r="AE11" s="25">
        <f>K11*(1+E11)</f>
        <v/>
      </c>
      <c r="AF11" s="24">
        <f>W11*AE11</f>
        <v/>
      </c>
      <c r="AG11" s="22">
        <f>J11/AF11</f>
        <v/>
      </c>
      <c r="AH11" s="25">
        <f>M11-Z11</f>
        <v/>
      </c>
      <c r="AI11" s="28">
        <f>IF(Z11&gt;M11,"BREACH","")</f>
        <v/>
      </c>
      <c r="AJ11" s="25">
        <f>AD11-N11</f>
        <v/>
      </c>
      <c r="AK11" s="28">
        <f>IF(AD11&lt;N11,"BREACH","")</f>
        <v/>
      </c>
      <c r="AL11" s="24">
        <f>J11/M11</f>
        <v/>
      </c>
      <c r="AM11" s="22">
        <f>(W11-AL11)/W11</f>
        <v/>
      </c>
      <c r="AN11" s="24">
        <f>N11*(Y11+AC11)+AA11+AB11</f>
        <v/>
      </c>
      <c r="AO11" s="22">
        <f>(W11-AN11)/W11</f>
        <v/>
      </c>
      <c r="AP11" s="27">
        <f>-T11*(F11/10000)</f>
        <v/>
      </c>
      <c r="AQ11" s="24">
        <f>U11*AP11</f>
        <v/>
      </c>
    </row>
    <row r="12">
      <c r="A12" s="21">
        <f>'2_Deal_Tape'!A13</f>
        <v/>
      </c>
      <c r="B12" s="21">
        <f>'2_Deal_Tape'!C13</f>
        <v/>
      </c>
      <c r="C12" s="21">
        <f>'2_Deal_Tape'!F13</f>
        <v/>
      </c>
      <c r="D12" s="22">
        <f>INDEX('1_GICS_Shock_Input'!$E$4:$E$166,MATCH($B12,'1_GICS_Shock_Input'!$A$4:$A$166,0))</f>
        <v/>
      </c>
      <c r="E12" s="22">
        <f>INDEX('1_GICS_Shock_Input'!$F$4:$F$166,MATCH($B12,'1_GICS_Shock_Input'!$A$4:$A$166,0))</f>
        <v/>
      </c>
      <c r="F12" s="23">
        <f>INDEX('1_GICS_Shock_Input'!$G$4:$G$166,MATCH($B12,'1_GICS_Shock_Input'!$A$4:$A$166,0))</f>
        <v/>
      </c>
      <c r="G12" s="22">
        <f>INDEX('1_GICS_Shock_Input'!$H$4:$H$166,MATCH($B12,'1_GICS_Shock_Input'!$A$4:$A$166,0))</f>
        <v/>
      </c>
      <c r="H12" s="24">
        <f>'2_Deal_Tape'!K13</f>
        <v/>
      </c>
      <c r="I12" s="25">
        <f>'2_Deal_Tape'!L13</f>
        <v/>
      </c>
      <c r="J12" s="24">
        <f>'2_Deal_Tape'!M13</f>
        <v/>
      </c>
      <c r="K12" s="22">
        <f>'2_Deal_Tape'!Q13</f>
        <v/>
      </c>
      <c r="L12" s="25">
        <f>'2_Deal_Tape'!Z13</f>
        <v/>
      </c>
      <c r="M12" s="25">
        <f>'2_Deal_Tape'!AA13</f>
        <v/>
      </c>
      <c r="N12" s="24">
        <f>'2_Deal_Tape'!AB13</f>
        <v/>
      </c>
      <c r="O12" s="22">
        <f>'2_Deal_Tape'!AC13</f>
        <v/>
      </c>
      <c r="P12" s="22">
        <f>'2_Deal_Tape'!AD13</f>
        <v/>
      </c>
      <c r="Q12" s="22">
        <f>'2_Deal_Tape'!AE13</f>
        <v/>
      </c>
      <c r="R12" s="24">
        <f>'2_Deal_Tape'!I13</f>
        <v/>
      </c>
      <c r="S12" s="24">
        <f>'2_Deal_Tape'!W13</f>
        <v/>
      </c>
      <c r="T12" s="26">
        <f>'2_Deal_Tape'!X13</f>
        <v/>
      </c>
      <c r="U12" s="24">
        <f>'2_Deal_Tape'!V13</f>
        <v/>
      </c>
      <c r="V12" s="22">
        <f>D12+G12</f>
        <v/>
      </c>
      <c r="W12" s="24">
        <f>I12*(1+V12*L12)</f>
        <v/>
      </c>
      <c r="X12" s="27">
        <f>'1_GICS_Shock_Input'!$B$169+'1_GICS_Shock_Input'!$B$170/10000</f>
        <v/>
      </c>
      <c r="Y12" s="24">
        <f>J12*(X12+S12/10000)</f>
        <v/>
      </c>
      <c r="Z12" s="25">
        <f>J12/W12</f>
        <v/>
      </c>
      <c r="AA12" s="24">
        <f>O12*R12</f>
        <v/>
      </c>
      <c r="AB12" s="24">
        <f>P12*W12</f>
        <v/>
      </c>
      <c r="AC12" s="24">
        <f>Q12*J12</f>
        <v/>
      </c>
      <c r="AD12" s="25">
        <f>(W12-AA12-AB12)/(Y12+AC12)</f>
        <v/>
      </c>
      <c r="AE12" s="25">
        <f>K12*(1+E12)</f>
        <v/>
      </c>
      <c r="AF12" s="24">
        <f>W12*AE12</f>
        <v/>
      </c>
      <c r="AG12" s="22">
        <f>J12/AF12</f>
        <v/>
      </c>
      <c r="AH12" s="25">
        <f>M12-Z12</f>
        <v/>
      </c>
      <c r="AI12" s="28">
        <f>IF(Z12&gt;M12,"BREACH","")</f>
        <v/>
      </c>
      <c r="AJ12" s="25">
        <f>AD12-N12</f>
        <v/>
      </c>
      <c r="AK12" s="28">
        <f>IF(AD12&lt;N12,"BREACH","")</f>
        <v/>
      </c>
      <c r="AL12" s="24">
        <f>J12/M12</f>
        <v/>
      </c>
      <c r="AM12" s="22">
        <f>(W12-AL12)/W12</f>
        <v/>
      </c>
      <c r="AN12" s="24">
        <f>N12*(Y12+AC12)+AA12+AB12</f>
        <v/>
      </c>
      <c r="AO12" s="22">
        <f>(W12-AN12)/W12</f>
        <v/>
      </c>
      <c r="AP12" s="27">
        <f>-T12*(F12/10000)</f>
        <v/>
      </c>
      <c r="AQ12" s="24">
        <f>U12*AP12</f>
        <v/>
      </c>
    </row>
    <row r="13">
      <c r="A13" s="21">
        <f>'2_Deal_Tape'!A14</f>
        <v/>
      </c>
      <c r="B13" s="21">
        <f>'2_Deal_Tape'!C14</f>
        <v/>
      </c>
      <c r="C13" s="21">
        <f>'2_Deal_Tape'!F14</f>
        <v/>
      </c>
      <c r="D13" s="22">
        <f>INDEX('1_GICS_Shock_Input'!$E$4:$E$166,MATCH($B13,'1_GICS_Shock_Input'!$A$4:$A$166,0))</f>
        <v/>
      </c>
      <c r="E13" s="22">
        <f>INDEX('1_GICS_Shock_Input'!$F$4:$F$166,MATCH($B13,'1_GICS_Shock_Input'!$A$4:$A$166,0))</f>
        <v/>
      </c>
      <c r="F13" s="23">
        <f>INDEX('1_GICS_Shock_Input'!$G$4:$G$166,MATCH($B13,'1_GICS_Shock_Input'!$A$4:$A$166,0))</f>
        <v/>
      </c>
      <c r="G13" s="22">
        <f>INDEX('1_GICS_Shock_Input'!$H$4:$H$166,MATCH($B13,'1_GICS_Shock_Input'!$A$4:$A$166,0))</f>
        <v/>
      </c>
      <c r="H13" s="24">
        <f>'2_Deal_Tape'!K14</f>
        <v/>
      </c>
      <c r="I13" s="25">
        <f>'2_Deal_Tape'!L14</f>
        <v/>
      </c>
      <c r="J13" s="24">
        <f>'2_Deal_Tape'!M14</f>
        <v/>
      </c>
      <c r="K13" s="22">
        <f>'2_Deal_Tape'!Q14</f>
        <v/>
      </c>
      <c r="L13" s="25">
        <f>'2_Deal_Tape'!Z14</f>
        <v/>
      </c>
      <c r="M13" s="25">
        <f>'2_Deal_Tape'!AA14</f>
        <v/>
      </c>
      <c r="N13" s="24">
        <f>'2_Deal_Tape'!AB14</f>
        <v/>
      </c>
      <c r="O13" s="22">
        <f>'2_Deal_Tape'!AC14</f>
        <v/>
      </c>
      <c r="P13" s="22">
        <f>'2_Deal_Tape'!AD14</f>
        <v/>
      </c>
      <c r="Q13" s="22">
        <f>'2_Deal_Tape'!AE14</f>
        <v/>
      </c>
      <c r="R13" s="24">
        <f>'2_Deal_Tape'!I14</f>
        <v/>
      </c>
      <c r="S13" s="24">
        <f>'2_Deal_Tape'!W14</f>
        <v/>
      </c>
      <c r="T13" s="26">
        <f>'2_Deal_Tape'!X14</f>
        <v/>
      </c>
      <c r="U13" s="24">
        <f>'2_Deal_Tape'!V14</f>
        <v/>
      </c>
      <c r="V13" s="22">
        <f>D13+G13</f>
        <v/>
      </c>
      <c r="W13" s="24">
        <f>I13*(1+V13*L13)</f>
        <v/>
      </c>
      <c r="X13" s="27">
        <f>'1_GICS_Shock_Input'!$B$169+'1_GICS_Shock_Input'!$B$170/10000</f>
        <v/>
      </c>
      <c r="Y13" s="24">
        <f>J13*(X13+S13/10000)</f>
        <v/>
      </c>
      <c r="Z13" s="25">
        <f>J13/W13</f>
        <v/>
      </c>
      <c r="AA13" s="24">
        <f>O13*R13</f>
        <v/>
      </c>
      <c r="AB13" s="24">
        <f>P13*W13</f>
        <v/>
      </c>
      <c r="AC13" s="24">
        <f>Q13*J13</f>
        <v/>
      </c>
      <c r="AD13" s="25">
        <f>(W13-AA13-AB13)/(Y13+AC13)</f>
        <v/>
      </c>
      <c r="AE13" s="25">
        <f>K13*(1+E13)</f>
        <v/>
      </c>
      <c r="AF13" s="24">
        <f>W13*AE13</f>
        <v/>
      </c>
      <c r="AG13" s="22">
        <f>J13/AF13</f>
        <v/>
      </c>
      <c r="AH13" s="25">
        <f>M13-Z13</f>
        <v/>
      </c>
      <c r="AI13" s="28">
        <f>IF(Z13&gt;M13,"BREACH","")</f>
        <v/>
      </c>
      <c r="AJ13" s="25">
        <f>AD13-N13</f>
        <v/>
      </c>
      <c r="AK13" s="28">
        <f>IF(AD13&lt;N13,"BREACH","")</f>
        <v/>
      </c>
      <c r="AL13" s="24">
        <f>J13/M13</f>
        <v/>
      </c>
      <c r="AM13" s="22">
        <f>(W13-AL13)/W13</f>
        <v/>
      </c>
      <c r="AN13" s="24">
        <f>N13*(Y13+AC13)+AA13+AB13</f>
        <v/>
      </c>
      <c r="AO13" s="22">
        <f>(W13-AN13)/W13</f>
        <v/>
      </c>
      <c r="AP13" s="27">
        <f>-T13*(F13/10000)</f>
        <v/>
      </c>
      <c r="AQ13" s="24">
        <f>U13*AP13</f>
        <v/>
      </c>
    </row>
    <row r="14">
      <c r="A14" s="21">
        <f>'2_Deal_Tape'!A15</f>
        <v/>
      </c>
      <c r="B14" s="21">
        <f>'2_Deal_Tape'!C15</f>
        <v/>
      </c>
      <c r="C14" s="21">
        <f>'2_Deal_Tape'!F15</f>
        <v/>
      </c>
      <c r="D14" s="22">
        <f>INDEX('1_GICS_Shock_Input'!$E$4:$E$166,MATCH($B14,'1_GICS_Shock_Input'!$A$4:$A$166,0))</f>
        <v/>
      </c>
      <c r="E14" s="22">
        <f>INDEX('1_GICS_Shock_Input'!$F$4:$F$166,MATCH($B14,'1_GICS_Shock_Input'!$A$4:$A$166,0))</f>
        <v/>
      </c>
      <c r="F14" s="23">
        <f>INDEX('1_GICS_Shock_Input'!$G$4:$G$166,MATCH($B14,'1_GICS_Shock_Input'!$A$4:$A$166,0))</f>
        <v/>
      </c>
      <c r="G14" s="22">
        <f>INDEX('1_GICS_Shock_Input'!$H$4:$H$166,MATCH($B14,'1_GICS_Shock_Input'!$A$4:$A$166,0))</f>
        <v/>
      </c>
      <c r="H14" s="24">
        <f>'2_Deal_Tape'!K15</f>
        <v/>
      </c>
      <c r="I14" s="25">
        <f>'2_Deal_Tape'!L15</f>
        <v/>
      </c>
      <c r="J14" s="24">
        <f>'2_Deal_Tape'!M15</f>
        <v/>
      </c>
      <c r="K14" s="22">
        <f>'2_Deal_Tape'!Q15</f>
        <v/>
      </c>
      <c r="L14" s="25">
        <f>'2_Deal_Tape'!Z15</f>
        <v/>
      </c>
      <c r="M14" s="25">
        <f>'2_Deal_Tape'!AA15</f>
        <v/>
      </c>
      <c r="N14" s="24">
        <f>'2_Deal_Tape'!AB15</f>
        <v/>
      </c>
      <c r="O14" s="22">
        <f>'2_Deal_Tape'!AC15</f>
        <v/>
      </c>
      <c r="P14" s="22">
        <f>'2_Deal_Tape'!AD15</f>
        <v/>
      </c>
      <c r="Q14" s="22">
        <f>'2_Deal_Tape'!AE15</f>
        <v/>
      </c>
      <c r="R14" s="24">
        <f>'2_Deal_Tape'!I15</f>
        <v/>
      </c>
      <c r="S14" s="24">
        <f>'2_Deal_Tape'!W15</f>
        <v/>
      </c>
      <c r="T14" s="26">
        <f>'2_Deal_Tape'!X15</f>
        <v/>
      </c>
      <c r="U14" s="24">
        <f>'2_Deal_Tape'!V15</f>
        <v/>
      </c>
      <c r="V14" s="22">
        <f>D14+G14</f>
        <v/>
      </c>
      <c r="W14" s="24">
        <f>I14*(1+V14*L14)</f>
        <v/>
      </c>
      <c r="X14" s="27">
        <f>'1_GICS_Shock_Input'!$B$169+'1_GICS_Shock_Input'!$B$170/10000</f>
        <v/>
      </c>
      <c r="Y14" s="24">
        <f>J14*(X14+S14/10000)</f>
        <v/>
      </c>
      <c r="Z14" s="25">
        <f>J14/W14</f>
        <v/>
      </c>
      <c r="AA14" s="24">
        <f>O14*R14</f>
        <v/>
      </c>
      <c r="AB14" s="24">
        <f>P14*W14</f>
        <v/>
      </c>
      <c r="AC14" s="24">
        <f>Q14*J14</f>
        <v/>
      </c>
      <c r="AD14" s="25">
        <f>(W14-AA14-AB14)/(Y14+AC14)</f>
        <v/>
      </c>
      <c r="AE14" s="25">
        <f>K14*(1+E14)</f>
        <v/>
      </c>
      <c r="AF14" s="24">
        <f>W14*AE14</f>
        <v/>
      </c>
      <c r="AG14" s="22">
        <f>J14/AF14</f>
        <v/>
      </c>
      <c r="AH14" s="25">
        <f>M14-Z14</f>
        <v/>
      </c>
      <c r="AI14" s="28">
        <f>IF(Z14&gt;M14,"BREACH","")</f>
        <v/>
      </c>
      <c r="AJ14" s="25">
        <f>AD14-N14</f>
        <v/>
      </c>
      <c r="AK14" s="28">
        <f>IF(AD14&lt;N14,"BREACH","")</f>
        <v/>
      </c>
      <c r="AL14" s="24">
        <f>J14/M14</f>
        <v/>
      </c>
      <c r="AM14" s="22">
        <f>(W14-AL14)/W14</f>
        <v/>
      </c>
      <c r="AN14" s="24">
        <f>N14*(Y14+AC14)+AA14+AB14</f>
        <v/>
      </c>
      <c r="AO14" s="22">
        <f>(W14-AN14)/W14</f>
        <v/>
      </c>
      <c r="AP14" s="27">
        <f>-T14*(F14/10000)</f>
        <v/>
      </c>
      <c r="AQ14" s="24">
        <f>U14*AP14</f>
        <v/>
      </c>
    </row>
    <row r="15">
      <c r="A15" s="21">
        <f>'2_Deal_Tape'!A16</f>
        <v/>
      </c>
      <c r="B15" s="21">
        <f>'2_Deal_Tape'!C16</f>
        <v/>
      </c>
      <c r="C15" s="21">
        <f>'2_Deal_Tape'!F16</f>
        <v/>
      </c>
      <c r="D15" s="22">
        <f>INDEX('1_GICS_Shock_Input'!$E$4:$E$166,MATCH($B15,'1_GICS_Shock_Input'!$A$4:$A$166,0))</f>
        <v/>
      </c>
      <c r="E15" s="22">
        <f>INDEX('1_GICS_Shock_Input'!$F$4:$F$166,MATCH($B15,'1_GICS_Shock_Input'!$A$4:$A$166,0))</f>
        <v/>
      </c>
      <c r="F15" s="23">
        <f>INDEX('1_GICS_Shock_Input'!$G$4:$G$166,MATCH($B15,'1_GICS_Shock_Input'!$A$4:$A$166,0))</f>
        <v/>
      </c>
      <c r="G15" s="22">
        <f>INDEX('1_GICS_Shock_Input'!$H$4:$H$166,MATCH($B15,'1_GICS_Shock_Input'!$A$4:$A$166,0))</f>
        <v/>
      </c>
      <c r="H15" s="24">
        <f>'2_Deal_Tape'!K16</f>
        <v/>
      </c>
      <c r="I15" s="25">
        <f>'2_Deal_Tape'!L16</f>
        <v/>
      </c>
      <c r="J15" s="24">
        <f>'2_Deal_Tape'!M16</f>
        <v/>
      </c>
      <c r="K15" s="22">
        <f>'2_Deal_Tape'!Q16</f>
        <v/>
      </c>
      <c r="L15" s="25">
        <f>'2_Deal_Tape'!Z16</f>
        <v/>
      </c>
      <c r="M15" s="25">
        <f>'2_Deal_Tape'!AA16</f>
        <v/>
      </c>
      <c r="N15" s="24">
        <f>'2_Deal_Tape'!AB16</f>
        <v/>
      </c>
      <c r="O15" s="22">
        <f>'2_Deal_Tape'!AC16</f>
        <v/>
      </c>
      <c r="P15" s="22">
        <f>'2_Deal_Tape'!AD16</f>
        <v/>
      </c>
      <c r="Q15" s="22">
        <f>'2_Deal_Tape'!AE16</f>
        <v/>
      </c>
      <c r="R15" s="24">
        <f>'2_Deal_Tape'!I16</f>
        <v/>
      </c>
      <c r="S15" s="24">
        <f>'2_Deal_Tape'!W16</f>
        <v/>
      </c>
      <c r="T15" s="26">
        <f>'2_Deal_Tape'!X16</f>
        <v/>
      </c>
      <c r="U15" s="24">
        <f>'2_Deal_Tape'!V16</f>
        <v/>
      </c>
      <c r="V15" s="22">
        <f>D15+G15</f>
        <v/>
      </c>
      <c r="W15" s="24">
        <f>I15*(1+V15*L15)</f>
        <v/>
      </c>
      <c r="X15" s="27">
        <f>'1_GICS_Shock_Input'!$B$169+'1_GICS_Shock_Input'!$B$170/10000</f>
        <v/>
      </c>
      <c r="Y15" s="24">
        <f>J15*(X15+S15/10000)</f>
        <v/>
      </c>
      <c r="Z15" s="25">
        <f>J15/W15</f>
        <v/>
      </c>
      <c r="AA15" s="24">
        <f>O15*R15</f>
        <v/>
      </c>
      <c r="AB15" s="24">
        <f>P15*W15</f>
        <v/>
      </c>
      <c r="AC15" s="24">
        <f>Q15*J15</f>
        <v/>
      </c>
      <c r="AD15" s="25">
        <f>(W15-AA15-AB15)/(Y15+AC15)</f>
        <v/>
      </c>
      <c r="AE15" s="25">
        <f>K15*(1+E15)</f>
        <v/>
      </c>
      <c r="AF15" s="24">
        <f>W15*AE15</f>
        <v/>
      </c>
      <c r="AG15" s="22">
        <f>J15/AF15</f>
        <v/>
      </c>
      <c r="AH15" s="25">
        <f>M15-Z15</f>
        <v/>
      </c>
      <c r="AI15" s="28">
        <f>IF(Z15&gt;M15,"BREACH","")</f>
        <v/>
      </c>
      <c r="AJ15" s="25">
        <f>AD15-N15</f>
        <v/>
      </c>
      <c r="AK15" s="28">
        <f>IF(AD15&lt;N15,"BREACH","")</f>
        <v/>
      </c>
      <c r="AL15" s="24">
        <f>J15/M15</f>
        <v/>
      </c>
      <c r="AM15" s="22">
        <f>(W15-AL15)/W15</f>
        <v/>
      </c>
      <c r="AN15" s="24">
        <f>N15*(Y15+AC15)+AA15+AB15</f>
        <v/>
      </c>
      <c r="AO15" s="22">
        <f>(W15-AN15)/W15</f>
        <v/>
      </c>
      <c r="AP15" s="27">
        <f>-T15*(F15/10000)</f>
        <v/>
      </c>
      <c r="AQ15" s="24">
        <f>U15*AP15</f>
        <v/>
      </c>
    </row>
    <row r="16">
      <c r="A16" s="21">
        <f>'2_Deal_Tape'!A17</f>
        <v/>
      </c>
      <c r="B16" s="21">
        <f>'2_Deal_Tape'!C17</f>
        <v/>
      </c>
      <c r="C16" s="21">
        <f>'2_Deal_Tape'!F17</f>
        <v/>
      </c>
      <c r="D16" s="22">
        <f>INDEX('1_GICS_Shock_Input'!$E$4:$E$166,MATCH($B16,'1_GICS_Shock_Input'!$A$4:$A$166,0))</f>
        <v/>
      </c>
      <c r="E16" s="22">
        <f>INDEX('1_GICS_Shock_Input'!$F$4:$F$166,MATCH($B16,'1_GICS_Shock_Input'!$A$4:$A$166,0))</f>
        <v/>
      </c>
      <c r="F16" s="23">
        <f>INDEX('1_GICS_Shock_Input'!$G$4:$G$166,MATCH($B16,'1_GICS_Shock_Input'!$A$4:$A$166,0))</f>
        <v/>
      </c>
      <c r="G16" s="22">
        <f>INDEX('1_GICS_Shock_Input'!$H$4:$H$166,MATCH($B16,'1_GICS_Shock_Input'!$A$4:$A$166,0))</f>
        <v/>
      </c>
      <c r="H16" s="24">
        <f>'2_Deal_Tape'!K17</f>
        <v/>
      </c>
      <c r="I16" s="25">
        <f>'2_Deal_Tape'!L17</f>
        <v/>
      </c>
      <c r="J16" s="24">
        <f>'2_Deal_Tape'!M17</f>
        <v/>
      </c>
      <c r="K16" s="22">
        <f>'2_Deal_Tape'!Q17</f>
        <v/>
      </c>
      <c r="L16" s="25">
        <f>'2_Deal_Tape'!Z17</f>
        <v/>
      </c>
      <c r="M16" s="25">
        <f>'2_Deal_Tape'!AA17</f>
        <v/>
      </c>
      <c r="N16" s="24">
        <f>'2_Deal_Tape'!AB17</f>
        <v/>
      </c>
      <c r="O16" s="22">
        <f>'2_Deal_Tape'!AC17</f>
        <v/>
      </c>
      <c r="P16" s="22">
        <f>'2_Deal_Tape'!AD17</f>
        <v/>
      </c>
      <c r="Q16" s="22">
        <f>'2_Deal_Tape'!AE17</f>
        <v/>
      </c>
      <c r="R16" s="24">
        <f>'2_Deal_Tape'!I17</f>
        <v/>
      </c>
      <c r="S16" s="24">
        <f>'2_Deal_Tape'!W17</f>
        <v/>
      </c>
      <c r="T16" s="26">
        <f>'2_Deal_Tape'!X17</f>
        <v/>
      </c>
      <c r="U16" s="24">
        <f>'2_Deal_Tape'!V17</f>
        <v/>
      </c>
      <c r="V16" s="22">
        <f>D16+G16</f>
        <v/>
      </c>
      <c r="W16" s="24">
        <f>I16*(1+V16*L16)</f>
        <v/>
      </c>
      <c r="X16" s="27">
        <f>'1_GICS_Shock_Input'!$B$169+'1_GICS_Shock_Input'!$B$170/10000</f>
        <v/>
      </c>
      <c r="Y16" s="24">
        <f>J16*(X16+S16/10000)</f>
        <v/>
      </c>
      <c r="Z16" s="25">
        <f>J16/W16</f>
        <v/>
      </c>
      <c r="AA16" s="24">
        <f>O16*R16</f>
        <v/>
      </c>
      <c r="AB16" s="24">
        <f>P16*W16</f>
        <v/>
      </c>
      <c r="AC16" s="24">
        <f>Q16*J16</f>
        <v/>
      </c>
      <c r="AD16" s="25">
        <f>(W16-AA16-AB16)/(Y16+AC16)</f>
        <v/>
      </c>
      <c r="AE16" s="25">
        <f>K16*(1+E16)</f>
        <v/>
      </c>
      <c r="AF16" s="24">
        <f>W16*AE16</f>
        <v/>
      </c>
      <c r="AG16" s="22">
        <f>J16/AF16</f>
        <v/>
      </c>
      <c r="AH16" s="25">
        <f>M16-Z16</f>
        <v/>
      </c>
      <c r="AI16" s="28">
        <f>IF(Z16&gt;M16,"BREACH","")</f>
        <v/>
      </c>
      <c r="AJ16" s="25">
        <f>AD16-N16</f>
        <v/>
      </c>
      <c r="AK16" s="28">
        <f>IF(AD16&lt;N16,"BREACH","")</f>
        <v/>
      </c>
      <c r="AL16" s="24">
        <f>J16/M16</f>
        <v/>
      </c>
      <c r="AM16" s="22">
        <f>(W16-AL16)/W16</f>
        <v/>
      </c>
      <c r="AN16" s="24">
        <f>N16*(Y16+AC16)+AA16+AB16</f>
        <v/>
      </c>
      <c r="AO16" s="22">
        <f>(W16-AN16)/W16</f>
        <v/>
      </c>
      <c r="AP16" s="27">
        <f>-T16*(F16/10000)</f>
        <v/>
      </c>
      <c r="AQ16" s="24">
        <f>U16*AP16</f>
        <v/>
      </c>
    </row>
    <row r="17">
      <c r="A17" s="21">
        <f>'2_Deal_Tape'!A18</f>
        <v/>
      </c>
      <c r="B17" s="21">
        <f>'2_Deal_Tape'!C18</f>
        <v/>
      </c>
      <c r="C17" s="21">
        <f>'2_Deal_Tape'!F18</f>
        <v/>
      </c>
      <c r="D17" s="22">
        <f>INDEX('1_GICS_Shock_Input'!$E$4:$E$166,MATCH($B17,'1_GICS_Shock_Input'!$A$4:$A$166,0))</f>
        <v/>
      </c>
      <c r="E17" s="22">
        <f>INDEX('1_GICS_Shock_Input'!$F$4:$F$166,MATCH($B17,'1_GICS_Shock_Input'!$A$4:$A$166,0))</f>
        <v/>
      </c>
      <c r="F17" s="23">
        <f>INDEX('1_GICS_Shock_Input'!$G$4:$G$166,MATCH($B17,'1_GICS_Shock_Input'!$A$4:$A$166,0))</f>
        <v/>
      </c>
      <c r="G17" s="22">
        <f>INDEX('1_GICS_Shock_Input'!$H$4:$H$166,MATCH($B17,'1_GICS_Shock_Input'!$A$4:$A$166,0))</f>
        <v/>
      </c>
      <c r="H17" s="24">
        <f>'2_Deal_Tape'!K18</f>
        <v/>
      </c>
      <c r="I17" s="25">
        <f>'2_Deal_Tape'!L18</f>
        <v/>
      </c>
      <c r="J17" s="24">
        <f>'2_Deal_Tape'!M18</f>
        <v/>
      </c>
      <c r="K17" s="22">
        <f>'2_Deal_Tape'!Q18</f>
        <v/>
      </c>
      <c r="L17" s="25">
        <f>'2_Deal_Tape'!Z18</f>
        <v/>
      </c>
      <c r="M17" s="25">
        <f>'2_Deal_Tape'!AA18</f>
        <v/>
      </c>
      <c r="N17" s="24">
        <f>'2_Deal_Tape'!AB18</f>
        <v/>
      </c>
      <c r="O17" s="22">
        <f>'2_Deal_Tape'!AC18</f>
        <v/>
      </c>
      <c r="P17" s="22">
        <f>'2_Deal_Tape'!AD18</f>
        <v/>
      </c>
      <c r="Q17" s="22">
        <f>'2_Deal_Tape'!AE18</f>
        <v/>
      </c>
      <c r="R17" s="24">
        <f>'2_Deal_Tape'!I18</f>
        <v/>
      </c>
      <c r="S17" s="24">
        <f>'2_Deal_Tape'!W18</f>
        <v/>
      </c>
      <c r="T17" s="26">
        <f>'2_Deal_Tape'!X18</f>
        <v/>
      </c>
      <c r="U17" s="24">
        <f>'2_Deal_Tape'!V18</f>
        <v/>
      </c>
      <c r="V17" s="22">
        <f>D17+G17</f>
        <v/>
      </c>
      <c r="W17" s="24">
        <f>I17*(1+V17*L17)</f>
        <v/>
      </c>
      <c r="X17" s="27">
        <f>'1_GICS_Shock_Input'!$B$169+'1_GICS_Shock_Input'!$B$170/10000</f>
        <v/>
      </c>
      <c r="Y17" s="24">
        <f>J17*(X17+S17/10000)</f>
        <v/>
      </c>
      <c r="Z17" s="25">
        <f>J17/W17</f>
        <v/>
      </c>
      <c r="AA17" s="24">
        <f>O17*R17</f>
        <v/>
      </c>
      <c r="AB17" s="24">
        <f>P17*W17</f>
        <v/>
      </c>
      <c r="AC17" s="24">
        <f>Q17*J17</f>
        <v/>
      </c>
      <c r="AD17" s="25">
        <f>(W17-AA17-AB17)/(Y17+AC17)</f>
        <v/>
      </c>
      <c r="AE17" s="25">
        <f>K17*(1+E17)</f>
        <v/>
      </c>
      <c r="AF17" s="24">
        <f>W17*AE17</f>
        <v/>
      </c>
      <c r="AG17" s="22">
        <f>J17/AF17</f>
        <v/>
      </c>
      <c r="AH17" s="25">
        <f>M17-Z17</f>
        <v/>
      </c>
      <c r="AI17" s="28">
        <f>IF(Z17&gt;M17,"BREACH","")</f>
        <v/>
      </c>
      <c r="AJ17" s="25">
        <f>AD17-N17</f>
        <v/>
      </c>
      <c r="AK17" s="28">
        <f>IF(AD17&lt;N17,"BREACH","")</f>
        <v/>
      </c>
      <c r="AL17" s="24">
        <f>J17/M17</f>
        <v/>
      </c>
      <c r="AM17" s="22">
        <f>(W17-AL17)/W17</f>
        <v/>
      </c>
      <c r="AN17" s="24">
        <f>N17*(Y17+AC17)+AA17+AB17</f>
        <v/>
      </c>
      <c r="AO17" s="22">
        <f>(W17-AN17)/W17</f>
        <v/>
      </c>
      <c r="AP17" s="27">
        <f>-T17*(F17/10000)</f>
        <v/>
      </c>
      <c r="AQ17" s="24">
        <f>U17*AP17</f>
        <v/>
      </c>
    </row>
    <row r="18">
      <c r="A18" s="21">
        <f>'2_Deal_Tape'!A19</f>
        <v/>
      </c>
      <c r="B18" s="21">
        <f>'2_Deal_Tape'!C19</f>
        <v/>
      </c>
      <c r="C18" s="21">
        <f>'2_Deal_Tape'!F19</f>
        <v/>
      </c>
      <c r="D18" s="22">
        <f>INDEX('1_GICS_Shock_Input'!$E$4:$E$166,MATCH($B18,'1_GICS_Shock_Input'!$A$4:$A$166,0))</f>
        <v/>
      </c>
      <c r="E18" s="22">
        <f>INDEX('1_GICS_Shock_Input'!$F$4:$F$166,MATCH($B18,'1_GICS_Shock_Input'!$A$4:$A$166,0))</f>
        <v/>
      </c>
      <c r="F18" s="23">
        <f>INDEX('1_GICS_Shock_Input'!$G$4:$G$166,MATCH($B18,'1_GICS_Shock_Input'!$A$4:$A$166,0))</f>
        <v/>
      </c>
      <c r="G18" s="22">
        <f>INDEX('1_GICS_Shock_Input'!$H$4:$H$166,MATCH($B18,'1_GICS_Shock_Input'!$A$4:$A$166,0))</f>
        <v/>
      </c>
      <c r="H18" s="24">
        <f>'2_Deal_Tape'!K19</f>
        <v/>
      </c>
      <c r="I18" s="25">
        <f>'2_Deal_Tape'!L19</f>
        <v/>
      </c>
      <c r="J18" s="24">
        <f>'2_Deal_Tape'!M19</f>
        <v/>
      </c>
      <c r="K18" s="22">
        <f>'2_Deal_Tape'!Q19</f>
        <v/>
      </c>
      <c r="L18" s="25">
        <f>'2_Deal_Tape'!Z19</f>
        <v/>
      </c>
      <c r="M18" s="25">
        <f>'2_Deal_Tape'!AA19</f>
        <v/>
      </c>
      <c r="N18" s="24">
        <f>'2_Deal_Tape'!AB19</f>
        <v/>
      </c>
      <c r="O18" s="22">
        <f>'2_Deal_Tape'!AC19</f>
        <v/>
      </c>
      <c r="P18" s="22">
        <f>'2_Deal_Tape'!AD19</f>
        <v/>
      </c>
      <c r="Q18" s="22">
        <f>'2_Deal_Tape'!AE19</f>
        <v/>
      </c>
      <c r="R18" s="24">
        <f>'2_Deal_Tape'!I19</f>
        <v/>
      </c>
      <c r="S18" s="24">
        <f>'2_Deal_Tape'!W19</f>
        <v/>
      </c>
      <c r="T18" s="26">
        <f>'2_Deal_Tape'!X19</f>
        <v/>
      </c>
      <c r="U18" s="24">
        <f>'2_Deal_Tape'!V19</f>
        <v/>
      </c>
      <c r="V18" s="22">
        <f>D18+G18</f>
        <v/>
      </c>
      <c r="W18" s="24">
        <f>I18*(1+V18*L18)</f>
        <v/>
      </c>
      <c r="X18" s="27">
        <f>'1_GICS_Shock_Input'!$B$169+'1_GICS_Shock_Input'!$B$170/10000</f>
        <v/>
      </c>
      <c r="Y18" s="24">
        <f>J18*(X18+S18/10000)</f>
        <v/>
      </c>
      <c r="Z18" s="25">
        <f>J18/W18</f>
        <v/>
      </c>
      <c r="AA18" s="24">
        <f>O18*R18</f>
        <v/>
      </c>
      <c r="AB18" s="24">
        <f>P18*W18</f>
        <v/>
      </c>
      <c r="AC18" s="24">
        <f>Q18*J18</f>
        <v/>
      </c>
      <c r="AD18" s="25">
        <f>(W18-AA18-AB18)/(Y18+AC18)</f>
        <v/>
      </c>
      <c r="AE18" s="25">
        <f>K18*(1+E18)</f>
        <v/>
      </c>
      <c r="AF18" s="24">
        <f>W18*AE18</f>
        <v/>
      </c>
      <c r="AG18" s="22">
        <f>J18/AF18</f>
        <v/>
      </c>
      <c r="AH18" s="25">
        <f>M18-Z18</f>
        <v/>
      </c>
      <c r="AI18" s="28">
        <f>IF(Z18&gt;M18,"BREACH","")</f>
        <v/>
      </c>
      <c r="AJ18" s="25">
        <f>AD18-N18</f>
        <v/>
      </c>
      <c r="AK18" s="28">
        <f>IF(AD18&lt;N18,"BREACH","")</f>
        <v/>
      </c>
      <c r="AL18" s="24">
        <f>J18/M18</f>
        <v/>
      </c>
      <c r="AM18" s="22">
        <f>(W18-AL18)/W18</f>
        <v/>
      </c>
      <c r="AN18" s="24">
        <f>N18*(Y18+AC18)+AA18+AB18</f>
        <v/>
      </c>
      <c r="AO18" s="22">
        <f>(W18-AN18)/W18</f>
        <v/>
      </c>
      <c r="AP18" s="27">
        <f>-T18*(F18/10000)</f>
        <v/>
      </c>
      <c r="AQ18" s="24">
        <f>U18*AP18</f>
        <v/>
      </c>
    </row>
    <row r="19">
      <c r="A19" s="21">
        <f>'2_Deal_Tape'!A20</f>
        <v/>
      </c>
      <c r="B19" s="21">
        <f>'2_Deal_Tape'!C20</f>
        <v/>
      </c>
      <c r="C19" s="21">
        <f>'2_Deal_Tape'!F20</f>
        <v/>
      </c>
      <c r="D19" s="22">
        <f>INDEX('1_GICS_Shock_Input'!$E$4:$E$166,MATCH($B19,'1_GICS_Shock_Input'!$A$4:$A$166,0))</f>
        <v/>
      </c>
      <c r="E19" s="22">
        <f>INDEX('1_GICS_Shock_Input'!$F$4:$F$166,MATCH($B19,'1_GICS_Shock_Input'!$A$4:$A$166,0))</f>
        <v/>
      </c>
      <c r="F19" s="23">
        <f>INDEX('1_GICS_Shock_Input'!$G$4:$G$166,MATCH($B19,'1_GICS_Shock_Input'!$A$4:$A$166,0))</f>
        <v/>
      </c>
      <c r="G19" s="22">
        <f>INDEX('1_GICS_Shock_Input'!$H$4:$H$166,MATCH($B19,'1_GICS_Shock_Input'!$A$4:$A$166,0))</f>
        <v/>
      </c>
      <c r="H19" s="24">
        <f>'2_Deal_Tape'!K20</f>
        <v/>
      </c>
      <c r="I19" s="25">
        <f>'2_Deal_Tape'!L20</f>
        <v/>
      </c>
      <c r="J19" s="24">
        <f>'2_Deal_Tape'!M20</f>
        <v/>
      </c>
      <c r="K19" s="22">
        <f>'2_Deal_Tape'!Q20</f>
        <v/>
      </c>
      <c r="L19" s="25">
        <f>'2_Deal_Tape'!Z20</f>
        <v/>
      </c>
      <c r="M19" s="25">
        <f>'2_Deal_Tape'!AA20</f>
        <v/>
      </c>
      <c r="N19" s="24">
        <f>'2_Deal_Tape'!AB20</f>
        <v/>
      </c>
      <c r="O19" s="22">
        <f>'2_Deal_Tape'!AC20</f>
        <v/>
      </c>
      <c r="P19" s="22">
        <f>'2_Deal_Tape'!AD20</f>
        <v/>
      </c>
      <c r="Q19" s="22">
        <f>'2_Deal_Tape'!AE20</f>
        <v/>
      </c>
      <c r="R19" s="24">
        <f>'2_Deal_Tape'!I20</f>
        <v/>
      </c>
      <c r="S19" s="24">
        <f>'2_Deal_Tape'!W20</f>
        <v/>
      </c>
      <c r="T19" s="26">
        <f>'2_Deal_Tape'!X20</f>
        <v/>
      </c>
      <c r="U19" s="24">
        <f>'2_Deal_Tape'!V20</f>
        <v/>
      </c>
      <c r="V19" s="22">
        <f>D19+G19</f>
        <v/>
      </c>
      <c r="W19" s="24">
        <f>I19*(1+V19*L19)</f>
        <v/>
      </c>
      <c r="X19" s="27">
        <f>'1_GICS_Shock_Input'!$B$169+'1_GICS_Shock_Input'!$B$170/10000</f>
        <v/>
      </c>
      <c r="Y19" s="24">
        <f>J19*(X19+S19/10000)</f>
        <v/>
      </c>
      <c r="Z19" s="25">
        <f>J19/W19</f>
        <v/>
      </c>
      <c r="AA19" s="24">
        <f>O19*R19</f>
        <v/>
      </c>
      <c r="AB19" s="24">
        <f>P19*W19</f>
        <v/>
      </c>
      <c r="AC19" s="24">
        <f>Q19*J19</f>
        <v/>
      </c>
      <c r="AD19" s="25">
        <f>(W19-AA19-AB19)/(Y19+AC19)</f>
        <v/>
      </c>
      <c r="AE19" s="25">
        <f>K19*(1+E19)</f>
        <v/>
      </c>
      <c r="AF19" s="24">
        <f>W19*AE19</f>
        <v/>
      </c>
      <c r="AG19" s="22">
        <f>J19/AF19</f>
        <v/>
      </c>
      <c r="AH19" s="25">
        <f>M19-Z19</f>
        <v/>
      </c>
      <c r="AI19" s="28">
        <f>IF(Z19&gt;M19,"BREACH","")</f>
        <v/>
      </c>
      <c r="AJ19" s="25">
        <f>AD19-N19</f>
        <v/>
      </c>
      <c r="AK19" s="28">
        <f>IF(AD19&lt;N19,"BREACH","")</f>
        <v/>
      </c>
      <c r="AL19" s="24">
        <f>J19/M19</f>
        <v/>
      </c>
      <c r="AM19" s="22">
        <f>(W19-AL19)/W19</f>
        <v/>
      </c>
      <c r="AN19" s="24">
        <f>N19*(Y19+AC19)+AA19+AB19</f>
        <v/>
      </c>
      <c r="AO19" s="22">
        <f>(W19-AN19)/W19</f>
        <v/>
      </c>
      <c r="AP19" s="27">
        <f>-T19*(F19/10000)</f>
        <v/>
      </c>
      <c r="AQ19" s="24">
        <f>U19*AP19</f>
        <v/>
      </c>
    </row>
    <row r="20">
      <c r="A20" s="21">
        <f>'2_Deal_Tape'!A21</f>
        <v/>
      </c>
      <c r="B20" s="21">
        <f>'2_Deal_Tape'!C21</f>
        <v/>
      </c>
      <c r="C20" s="21">
        <f>'2_Deal_Tape'!F21</f>
        <v/>
      </c>
      <c r="D20" s="22">
        <f>INDEX('1_GICS_Shock_Input'!$E$4:$E$166,MATCH($B20,'1_GICS_Shock_Input'!$A$4:$A$166,0))</f>
        <v/>
      </c>
      <c r="E20" s="22">
        <f>INDEX('1_GICS_Shock_Input'!$F$4:$F$166,MATCH($B20,'1_GICS_Shock_Input'!$A$4:$A$166,0))</f>
        <v/>
      </c>
      <c r="F20" s="23">
        <f>INDEX('1_GICS_Shock_Input'!$G$4:$G$166,MATCH($B20,'1_GICS_Shock_Input'!$A$4:$A$166,0))</f>
        <v/>
      </c>
      <c r="G20" s="22">
        <f>INDEX('1_GICS_Shock_Input'!$H$4:$H$166,MATCH($B20,'1_GICS_Shock_Input'!$A$4:$A$166,0))</f>
        <v/>
      </c>
      <c r="H20" s="24">
        <f>'2_Deal_Tape'!K21</f>
        <v/>
      </c>
      <c r="I20" s="25">
        <f>'2_Deal_Tape'!L21</f>
        <v/>
      </c>
      <c r="J20" s="24">
        <f>'2_Deal_Tape'!M21</f>
        <v/>
      </c>
      <c r="K20" s="22">
        <f>'2_Deal_Tape'!Q21</f>
        <v/>
      </c>
      <c r="L20" s="25">
        <f>'2_Deal_Tape'!Z21</f>
        <v/>
      </c>
      <c r="M20" s="25">
        <f>'2_Deal_Tape'!AA21</f>
        <v/>
      </c>
      <c r="N20" s="24">
        <f>'2_Deal_Tape'!AB21</f>
        <v/>
      </c>
      <c r="O20" s="22">
        <f>'2_Deal_Tape'!AC21</f>
        <v/>
      </c>
      <c r="P20" s="22">
        <f>'2_Deal_Tape'!AD21</f>
        <v/>
      </c>
      <c r="Q20" s="22">
        <f>'2_Deal_Tape'!AE21</f>
        <v/>
      </c>
      <c r="R20" s="24">
        <f>'2_Deal_Tape'!I21</f>
        <v/>
      </c>
      <c r="S20" s="24">
        <f>'2_Deal_Tape'!W21</f>
        <v/>
      </c>
      <c r="T20" s="26">
        <f>'2_Deal_Tape'!X21</f>
        <v/>
      </c>
      <c r="U20" s="24">
        <f>'2_Deal_Tape'!V21</f>
        <v/>
      </c>
      <c r="V20" s="22">
        <f>D20+G20</f>
        <v/>
      </c>
      <c r="W20" s="24">
        <f>I20*(1+V20*L20)</f>
        <v/>
      </c>
      <c r="X20" s="27">
        <f>'1_GICS_Shock_Input'!$B$169+'1_GICS_Shock_Input'!$B$170/10000</f>
        <v/>
      </c>
      <c r="Y20" s="24">
        <f>J20*(X20+S20/10000)</f>
        <v/>
      </c>
      <c r="Z20" s="25">
        <f>J20/W20</f>
        <v/>
      </c>
      <c r="AA20" s="24">
        <f>O20*R20</f>
        <v/>
      </c>
      <c r="AB20" s="24">
        <f>P20*W20</f>
        <v/>
      </c>
      <c r="AC20" s="24">
        <f>Q20*J20</f>
        <v/>
      </c>
      <c r="AD20" s="25">
        <f>(W20-AA20-AB20)/(Y20+AC20)</f>
        <v/>
      </c>
      <c r="AE20" s="25">
        <f>K20*(1+E20)</f>
        <v/>
      </c>
      <c r="AF20" s="24">
        <f>W20*AE20</f>
        <v/>
      </c>
      <c r="AG20" s="22">
        <f>J20/AF20</f>
        <v/>
      </c>
      <c r="AH20" s="25">
        <f>M20-Z20</f>
        <v/>
      </c>
      <c r="AI20" s="28">
        <f>IF(Z20&gt;M20,"BREACH","")</f>
        <v/>
      </c>
      <c r="AJ20" s="25">
        <f>AD20-N20</f>
        <v/>
      </c>
      <c r="AK20" s="28">
        <f>IF(AD20&lt;N20,"BREACH","")</f>
        <v/>
      </c>
      <c r="AL20" s="24">
        <f>J20/M20</f>
        <v/>
      </c>
      <c r="AM20" s="22">
        <f>(W20-AL20)/W20</f>
        <v/>
      </c>
      <c r="AN20" s="24">
        <f>N20*(Y20+AC20)+AA20+AB20</f>
        <v/>
      </c>
      <c r="AO20" s="22">
        <f>(W20-AN20)/W20</f>
        <v/>
      </c>
      <c r="AP20" s="27">
        <f>-T20*(F20/10000)</f>
        <v/>
      </c>
      <c r="AQ20" s="24">
        <f>U20*AP20</f>
        <v/>
      </c>
    </row>
    <row r="21">
      <c r="A21" s="21">
        <f>'2_Deal_Tape'!A22</f>
        <v/>
      </c>
      <c r="B21" s="21">
        <f>'2_Deal_Tape'!C22</f>
        <v/>
      </c>
      <c r="C21" s="21">
        <f>'2_Deal_Tape'!F22</f>
        <v/>
      </c>
      <c r="D21" s="22">
        <f>INDEX('1_GICS_Shock_Input'!$E$4:$E$166,MATCH($B21,'1_GICS_Shock_Input'!$A$4:$A$166,0))</f>
        <v/>
      </c>
      <c r="E21" s="22">
        <f>INDEX('1_GICS_Shock_Input'!$F$4:$F$166,MATCH($B21,'1_GICS_Shock_Input'!$A$4:$A$166,0))</f>
        <v/>
      </c>
      <c r="F21" s="23">
        <f>INDEX('1_GICS_Shock_Input'!$G$4:$G$166,MATCH($B21,'1_GICS_Shock_Input'!$A$4:$A$166,0))</f>
        <v/>
      </c>
      <c r="G21" s="22">
        <f>INDEX('1_GICS_Shock_Input'!$H$4:$H$166,MATCH($B21,'1_GICS_Shock_Input'!$A$4:$A$166,0))</f>
        <v/>
      </c>
      <c r="H21" s="24">
        <f>'2_Deal_Tape'!K22</f>
        <v/>
      </c>
      <c r="I21" s="25">
        <f>'2_Deal_Tape'!L22</f>
        <v/>
      </c>
      <c r="J21" s="24">
        <f>'2_Deal_Tape'!M22</f>
        <v/>
      </c>
      <c r="K21" s="22">
        <f>'2_Deal_Tape'!Q22</f>
        <v/>
      </c>
      <c r="L21" s="25">
        <f>'2_Deal_Tape'!Z22</f>
        <v/>
      </c>
      <c r="M21" s="25">
        <f>'2_Deal_Tape'!AA22</f>
        <v/>
      </c>
      <c r="N21" s="24">
        <f>'2_Deal_Tape'!AB22</f>
        <v/>
      </c>
      <c r="O21" s="22">
        <f>'2_Deal_Tape'!AC22</f>
        <v/>
      </c>
      <c r="P21" s="22">
        <f>'2_Deal_Tape'!AD22</f>
        <v/>
      </c>
      <c r="Q21" s="22">
        <f>'2_Deal_Tape'!AE22</f>
        <v/>
      </c>
      <c r="R21" s="24">
        <f>'2_Deal_Tape'!I22</f>
        <v/>
      </c>
      <c r="S21" s="24">
        <f>'2_Deal_Tape'!W22</f>
        <v/>
      </c>
      <c r="T21" s="26">
        <f>'2_Deal_Tape'!X22</f>
        <v/>
      </c>
      <c r="U21" s="24">
        <f>'2_Deal_Tape'!V22</f>
        <v/>
      </c>
      <c r="V21" s="22">
        <f>D21+G21</f>
        <v/>
      </c>
      <c r="W21" s="24">
        <f>I21*(1+V21*L21)</f>
        <v/>
      </c>
      <c r="X21" s="27">
        <f>'1_GICS_Shock_Input'!$B$169+'1_GICS_Shock_Input'!$B$170/10000</f>
        <v/>
      </c>
      <c r="Y21" s="24">
        <f>J21*(X21+S21/10000)</f>
        <v/>
      </c>
      <c r="Z21" s="25">
        <f>J21/W21</f>
        <v/>
      </c>
      <c r="AA21" s="24">
        <f>O21*R21</f>
        <v/>
      </c>
      <c r="AB21" s="24">
        <f>P21*W21</f>
        <v/>
      </c>
      <c r="AC21" s="24">
        <f>Q21*J21</f>
        <v/>
      </c>
      <c r="AD21" s="25">
        <f>(W21-AA21-AB21)/(Y21+AC21)</f>
        <v/>
      </c>
      <c r="AE21" s="25">
        <f>K21*(1+E21)</f>
        <v/>
      </c>
      <c r="AF21" s="24">
        <f>W21*AE21</f>
        <v/>
      </c>
      <c r="AG21" s="22">
        <f>J21/AF21</f>
        <v/>
      </c>
      <c r="AH21" s="25">
        <f>M21-Z21</f>
        <v/>
      </c>
      <c r="AI21" s="28">
        <f>IF(Z21&gt;M21,"BREACH","")</f>
        <v/>
      </c>
      <c r="AJ21" s="25">
        <f>AD21-N21</f>
        <v/>
      </c>
      <c r="AK21" s="28">
        <f>IF(AD21&lt;N21,"BREACH","")</f>
        <v/>
      </c>
      <c r="AL21" s="24">
        <f>J21/M21</f>
        <v/>
      </c>
      <c r="AM21" s="22">
        <f>(W21-AL21)/W21</f>
        <v/>
      </c>
      <c r="AN21" s="24">
        <f>N21*(Y21+AC21)+AA21+AB21</f>
        <v/>
      </c>
      <c r="AO21" s="22">
        <f>(W21-AN21)/W21</f>
        <v/>
      </c>
      <c r="AP21" s="27">
        <f>-T21*(F21/10000)</f>
        <v/>
      </c>
      <c r="AQ21" s="24">
        <f>U21*AP21</f>
        <v/>
      </c>
    </row>
    <row r="22">
      <c r="A22" s="21">
        <f>'2_Deal_Tape'!A23</f>
        <v/>
      </c>
      <c r="B22" s="21">
        <f>'2_Deal_Tape'!C23</f>
        <v/>
      </c>
      <c r="C22" s="21">
        <f>'2_Deal_Tape'!F23</f>
        <v/>
      </c>
      <c r="D22" s="22">
        <f>INDEX('1_GICS_Shock_Input'!$E$4:$E$166,MATCH($B22,'1_GICS_Shock_Input'!$A$4:$A$166,0))</f>
        <v/>
      </c>
      <c r="E22" s="22">
        <f>INDEX('1_GICS_Shock_Input'!$F$4:$F$166,MATCH($B22,'1_GICS_Shock_Input'!$A$4:$A$166,0))</f>
        <v/>
      </c>
      <c r="F22" s="23">
        <f>INDEX('1_GICS_Shock_Input'!$G$4:$G$166,MATCH($B22,'1_GICS_Shock_Input'!$A$4:$A$166,0))</f>
        <v/>
      </c>
      <c r="G22" s="22">
        <f>INDEX('1_GICS_Shock_Input'!$H$4:$H$166,MATCH($B22,'1_GICS_Shock_Input'!$A$4:$A$166,0))</f>
        <v/>
      </c>
      <c r="H22" s="24">
        <f>'2_Deal_Tape'!K23</f>
        <v/>
      </c>
      <c r="I22" s="25">
        <f>'2_Deal_Tape'!L23</f>
        <v/>
      </c>
      <c r="J22" s="24">
        <f>'2_Deal_Tape'!M23</f>
        <v/>
      </c>
      <c r="K22" s="22">
        <f>'2_Deal_Tape'!Q23</f>
        <v/>
      </c>
      <c r="L22" s="25">
        <f>'2_Deal_Tape'!Z23</f>
        <v/>
      </c>
      <c r="M22" s="25">
        <f>'2_Deal_Tape'!AA23</f>
        <v/>
      </c>
      <c r="N22" s="24">
        <f>'2_Deal_Tape'!AB23</f>
        <v/>
      </c>
      <c r="O22" s="22">
        <f>'2_Deal_Tape'!AC23</f>
        <v/>
      </c>
      <c r="P22" s="22">
        <f>'2_Deal_Tape'!AD23</f>
        <v/>
      </c>
      <c r="Q22" s="22">
        <f>'2_Deal_Tape'!AE23</f>
        <v/>
      </c>
      <c r="R22" s="24">
        <f>'2_Deal_Tape'!I23</f>
        <v/>
      </c>
      <c r="S22" s="24">
        <f>'2_Deal_Tape'!W23</f>
        <v/>
      </c>
      <c r="T22" s="26">
        <f>'2_Deal_Tape'!X23</f>
        <v/>
      </c>
      <c r="U22" s="24">
        <f>'2_Deal_Tape'!V23</f>
        <v/>
      </c>
      <c r="V22" s="22">
        <f>D22+G22</f>
        <v/>
      </c>
      <c r="W22" s="24">
        <f>I22*(1+V22*L22)</f>
        <v/>
      </c>
      <c r="X22" s="27">
        <f>'1_GICS_Shock_Input'!$B$169+'1_GICS_Shock_Input'!$B$170/10000</f>
        <v/>
      </c>
      <c r="Y22" s="24">
        <f>J22*(X22+S22/10000)</f>
        <v/>
      </c>
      <c r="Z22" s="25">
        <f>J22/W22</f>
        <v/>
      </c>
      <c r="AA22" s="24">
        <f>O22*R22</f>
        <v/>
      </c>
      <c r="AB22" s="24">
        <f>P22*W22</f>
        <v/>
      </c>
      <c r="AC22" s="24">
        <f>Q22*J22</f>
        <v/>
      </c>
      <c r="AD22" s="25">
        <f>(W22-AA22-AB22)/(Y22+AC22)</f>
        <v/>
      </c>
      <c r="AE22" s="25">
        <f>K22*(1+E22)</f>
        <v/>
      </c>
      <c r="AF22" s="24">
        <f>W22*AE22</f>
        <v/>
      </c>
      <c r="AG22" s="22">
        <f>J22/AF22</f>
        <v/>
      </c>
      <c r="AH22" s="25">
        <f>M22-Z22</f>
        <v/>
      </c>
      <c r="AI22" s="28">
        <f>IF(Z22&gt;M22,"BREACH","")</f>
        <v/>
      </c>
      <c r="AJ22" s="25">
        <f>AD22-N22</f>
        <v/>
      </c>
      <c r="AK22" s="28">
        <f>IF(AD22&lt;N22,"BREACH","")</f>
        <v/>
      </c>
      <c r="AL22" s="24">
        <f>J22/M22</f>
        <v/>
      </c>
      <c r="AM22" s="22">
        <f>(W22-AL22)/W22</f>
        <v/>
      </c>
      <c r="AN22" s="24">
        <f>N22*(Y22+AC22)+AA22+AB22</f>
        <v/>
      </c>
      <c r="AO22" s="22">
        <f>(W22-AN22)/W22</f>
        <v/>
      </c>
      <c r="AP22" s="27">
        <f>-T22*(F22/10000)</f>
        <v/>
      </c>
      <c r="AQ22" s="24">
        <f>U22*AP22</f>
        <v/>
      </c>
    </row>
    <row r="23">
      <c r="A23" s="21">
        <f>'2_Deal_Tape'!A24</f>
        <v/>
      </c>
      <c r="B23" s="21">
        <f>'2_Deal_Tape'!C24</f>
        <v/>
      </c>
      <c r="C23" s="21">
        <f>'2_Deal_Tape'!F24</f>
        <v/>
      </c>
      <c r="D23" s="22">
        <f>INDEX('1_GICS_Shock_Input'!$E$4:$E$166,MATCH($B23,'1_GICS_Shock_Input'!$A$4:$A$166,0))</f>
        <v/>
      </c>
      <c r="E23" s="22">
        <f>INDEX('1_GICS_Shock_Input'!$F$4:$F$166,MATCH($B23,'1_GICS_Shock_Input'!$A$4:$A$166,0))</f>
        <v/>
      </c>
      <c r="F23" s="23">
        <f>INDEX('1_GICS_Shock_Input'!$G$4:$G$166,MATCH($B23,'1_GICS_Shock_Input'!$A$4:$A$166,0))</f>
        <v/>
      </c>
      <c r="G23" s="22">
        <f>INDEX('1_GICS_Shock_Input'!$H$4:$H$166,MATCH($B23,'1_GICS_Shock_Input'!$A$4:$A$166,0))</f>
        <v/>
      </c>
      <c r="H23" s="24">
        <f>'2_Deal_Tape'!K24</f>
        <v/>
      </c>
      <c r="I23" s="25">
        <f>'2_Deal_Tape'!L24</f>
        <v/>
      </c>
      <c r="J23" s="24">
        <f>'2_Deal_Tape'!M24</f>
        <v/>
      </c>
      <c r="K23" s="22">
        <f>'2_Deal_Tape'!Q24</f>
        <v/>
      </c>
      <c r="L23" s="25">
        <f>'2_Deal_Tape'!Z24</f>
        <v/>
      </c>
      <c r="M23" s="25">
        <f>'2_Deal_Tape'!AA24</f>
        <v/>
      </c>
      <c r="N23" s="24">
        <f>'2_Deal_Tape'!AB24</f>
        <v/>
      </c>
      <c r="O23" s="22">
        <f>'2_Deal_Tape'!AC24</f>
        <v/>
      </c>
      <c r="P23" s="22">
        <f>'2_Deal_Tape'!AD24</f>
        <v/>
      </c>
      <c r="Q23" s="22">
        <f>'2_Deal_Tape'!AE24</f>
        <v/>
      </c>
      <c r="R23" s="24">
        <f>'2_Deal_Tape'!I24</f>
        <v/>
      </c>
      <c r="S23" s="24">
        <f>'2_Deal_Tape'!W24</f>
        <v/>
      </c>
      <c r="T23" s="26">
        <f>'2_Deal_Tape'!X24</f>
        <v/>
      </c>
      <c r="U23" s="24">
        <f>'2_Deal_Tape'!V24</f>
        <v/>
      </c>
      <c r="V23" s="22">
        <f>D23+G23</f>
        <v/>
      </c>
      <c r="W23" s="24">
        <f>I23*(1+V23*L23)</f>
        <v/>
      </c>
      <c r="X23" s="27">
        <f>'1_GICS_Shock_Input'!$B$169+'1_GICS_Shock_Input'!$B$170/10000</f>
        <v/>
      </c>
      <c r="Y23" s="24">
        <f>J23*(X23+S23/10000)</f>
        <v/>
      </c>
      <c r="Z23" s="25">
        <f>J23/W23</f>
        <v/>
      </c>
      <c r="AA23" s="24">
        <f>O23*R23</f>
        <v/>
      </c>
      <c r="AB23" s="24">
        <f>P23*W23</f>
        <v/>
      </c>
      <c r="AC23" s="24">
        <f>Q23*J23</f>
        <v/>
      </c>
      <c r="AD23" s="25">
        <f>(W23-AA23-AB23)/(Y23+AC23)</f>
        <v/>
      </c>
      <c r="AE23" s="25">
        <f>K23*(1+E23)</f>
        <v/>
      </c>
      <c r="AF23" s="24">
        <f>W23*AE23</f>
        <v/>
      </c>
      <c r="AG23" s="22">
        <f>J23/AF23</f>
        <v/>
      </c>
      <c r="AH23" s="25">
        <f>M23-Z23</f>
        <v/>
      </c>
      <c r="AI23" s="28">
        <f>IF(Z23&gt;M23,"BREACH","")</f>
        <v/>
      </c>
      <c r="AJ23" s="25">
        <f>AD23-N23</f>
        <v/>
      </c>
      <c r="AK23" s="28">
        <f>IF(AD23&lt;N23,"BREACH","")</f>
        <v/>
      </c>
      <c r="AL23" s="24">
        <f>J23/M23</f>
        <v/>
      </c>
      <c r="AM23" s="22">
        <f>(W23-AL23)/W23</f>
        <v/>
      </c>
      <c r="AN23" s="24">
        <f>N23*(Y23+AC23)+AA23+AB23</f>
        <v/>
      </c>
      <c r="AO23" s="22">
        <f>(W23-AN23)/W23</f>
        <v/>
      </c>
      <c r="AP23" s="27">
        <f>-T23*(F23/10000)</f>
        <v/>
      </c>
      <c r="AQ23" s="24">
        <f>U23*AP23</f>
        <v/>
      </c>
    </row>
    <row r="24">
      <c r="A24" s="21">
        <f>'2_Deal_Tape'!A25</f>
        <v/>
      </c>
      <c r="B24" s="21">
        <f>'2_Deal_Tape'!C25</f>
        <v/>
      </c>
      <c r="C24" s="21">
        <f>'2_Deal_Tape'!F25</f>
        <v/>
      </c>
      <c r="D24" s="22">
        <f>INDEX('1_GICS_Shock_Input'!$E$4:$E$166,MATCH($B24,'1_GICS_Shock_Input'!$A$4:$A$166,0))</f>
        <v/>
      </c>
      <c r="E24" s="22">
        <f>INDEX('1_GICS_Shock_Input'!$F$4:$F$166,MATCH($B24,'1_GICS_Shock_Input'!$A$4:$A$166,0))</f>
        <v/>
      </c>
      <c r="F24" s="23">
        <f>INDEX('1_GICS_Shock_Input'!$G$4:$G$166,MATCH($B24,'1_GICS_Shock_Input'!$A$4:$A$166,0))</f>
        <v/>
      </c>
      <c r="G24" s="22">
        <f>INDEX('1_GICS_Shock_Input'!$H$4:$H$166,MATCH($B24,'1_GICS_Shock_Input'!$A$4:$A$166,0))</f>
        <v/>
      </c>
      <c r="H24" s="24">
        <f>'2_Deal_Tape'!K25</f>
        <v/>
      </c>
      <c r="I24" s="25">
        <f>'2_Deal_Tape'!L25</f>
        <v/>
      </c>
      <c r="J24" s="24">
        <f>'2_Deal_Tape'!M25</f>
        <v/>
      </c>
      <c r="K24" s="22">
        <f>'2_Deal_Tape'!Q25</f>
        <v/>
      </c>
      <c r="L24" s="25">
        <f>'2_Deal_Tape'!Z25</f>
        <v/>
      </c>
      <c r="M24" s="25">
        <f>'2_Deal_Tape'!AA25</f>
        <v/>
      </c>
      <c r="N24" s="24">
        <f>'2_Deal_Tape'!AB25</f>
        <v/>
      </c>
      <c r="O24" s="22">
        <f>'2_Deal_Tape'!AC25</f>
        <v/>
      </c>
      <c r="P24" s="22">
        <f>'2_Deal_Tape'!AD25</f>
        <v/>
      </c>
      <c r="Q24" s="22">
        <f>'2_Deal_Tape'!AE25</f>
        <v/>
      </c>
      <c r="R24" s="24">
        <f>'2_Deal_Tape'!I25</f>
        <v/>
      </c>
      <c r="S24" s="24">
        <f>'2_Deal_Tape'!W25</f>
        <v/>
      </c>
      <c r="T24" s="26">
        <f>'2_Deal_Tape'!X25</f>
        <v/>
      </c>
      <c r="U24" s="24">
        <f>'2_Deal_Tape'!V25</f>
        <v/>
      </c>
      <c r="V24" s="22">
        <f>D24+G24</f>
        <v/>
      </c>
      <c r="W24" s="24">
        <f>I24*(1+V24*L24)</f>
        <v/>
      </c>
      <c r="X24" s="27">
        <f>'1_GICS_Shock_Input'!$B$169+'1_GICS_Shock_Input'!$B$170/10000</f>
        <v/>
      </c>
      <c r="Y24" s="24">
        <f>J24*(X24+S24/10000)</f>
        <v/>
      </c>
      <c r="Z24" s="25">
        <f>J24/W24</f>
        <v/>
      </c>
      <c r="AA24" s="24">
        <f>O24*R24</f>
        <v/>
      </c>
      <c r="AB24" s="24">
        <f>P24*W24</f>
        <v/>
      </c>
      <c r="AC24" s="24">
        <f>Q24*J24</f>
        <v/>
      </c>
      <c r="AD24" s="25">
        <f>(W24-AA24-AB24)/(Y24+AC24)</f>
        <v/>
      </c>
      <c r="AE24" s="25">
        <f>K24*(1+E24)</f>
        <v/>
      </c>
      <c r="AF24" s="24">
        <f>W24*AE24</f>
        <v/>
      </c>
      <c r="AG24" s="22">
        <f>J24/AF24</f>
        <v/>
      </c>
      <c r="AH24" s="25">
        <f>M24-Z24</f>
        <v/>
      </c>
      <c r="AI24" s="28">
        <f>IF(Z24&gt;M24,"BREACH","")</f>
        <v/>
      </c>
      <c r="AJ24" s="25">
        <f>AD24-N24</f>
        <v/>
      </c>
      <c r="AK24" s="28">
        <f>IF(AD24&lt;N24,"BREACH","")</f>
        <v/>
      </c>
      <c r="AL24" s="24">
        <f>J24/M24</f>
        <v/>
      </c>
      <c r="AM24" s="22">
        <f>(W24-AL24)/W24</f>
        <v/>
      </c>
      <c r="AN24" s="24">
        <f>N24*(Y24+AC24)+AA24+AB24</f>
        <v/>
      </c>
      <c r="AO24" s="22">
        <f>(W24-AN24)/W24</f>
        <v/>
      </c>
      <c r="AP24" s="27">
        <f>-T24*(F24/10000)</f>
        <v/>
      </c>
      <c r="AQ24" s="24">
        <f>U24*AP24</f>
        <v/>
      </c>
    </row>
    <row r="25">
      <c r="A25" s="21">
        <f>'2_Deal_Tape'!A26</f>
        <v/>
      </c>
      <c r="B25" s="21">
        <f>'2_Deal_Tape'!C26</f>
        <v/>
      </c>
      <c r="C25" s="21">
        <f>'2_Deal_Tape'!F26</f>
        <v/>
      </c>
      <c r="D25" s="22">
        <f>INDEX('1_GICS_Shock_Input'!$E$4:$E$166,MATCH($B25,'1_GICS_Shock_Input'!$A$4:$A$166,0))</f>
        <v/>
      </c>
      <c r="E25" s="22">
        <f>INDEX('1_GICS_Shock_Input'!$F$4:$F$166,MATCH($B25,'1_GICS_Shock_Input'!$A$4:$A$166,0))</f>
        <v/>
      </c>
      <c r="F25" s="23">
        <f>INDEX('1_GICS_Shock_Input'!$G$4:$G$166,MATCH($B25,'1_GICS_Shock_Input'!$A$4:$A$166,0))</f>
        <v/>
      </c>
      <c r="G25" s="22">
        <f>INDEX('1_GICS_Shock_Input'!$H$4:$H$166,MATCH($B25,'1_GICS_Shock_Input'!$A$4:$A$166,0))</f>
        <v/>
      </c>
      <c r="H25" s="24">
        <f>'2_Deal_Tape'!K26</f>
        <v/>
      </c>
      <c r="I25" s="25">
        <f>'2_Deal_Tape'!L26</f>
        <v/>
      </c>
      <c r="J25" s="24">
        <f>'2_Deal_Tape'!M26</f>
        <v/>
      </c>
      <c r="K25" s="22">
        <f>'2_Deal_Tape'!Q26</f>
        <v/>
      </c>
      <c r="L25" s="25">
        <f>'2_Deal_Tape'!Z26</f>
        <v/>
      </c>
      <c r="M25" s="25">
        <f>'2_Deal_Tape'!AA26</f>
        <v/>
      </c>
      <c r="N25" s="24">
        <f>'2_Deal_Tape'!AB26</f>
        <v/>
      </c>
      <c r="O25" s="22">
        <f>'2_Deal_Tape'!AC26</f>
        <v/>
      </c>
      <c r="P25" s="22">
        <f>'2_Deal_Tape'!AD26</f>
        <v/>
      </c>
      <c r="Q25" s="22">
        <f>'2_Deal_Tape'!AE26</f>
        <v/>
      </c>
      <c r="R25" s="24">
        <f>'2_Deal_Tape'!I26</f>
        <v/>
      </c>
      <c r="S25" s="24">
        <f>'2_Deal_Tape'!W26</f>
        <v/>
      </c>
      <c r="T25" s="26">
        <f>'2_Deal_Tape'!X26</f>
        <v/>
      </c>
      <c r="U25" s="24">
        <f>'2_Deal_Tape'!V26</f>
        <v/>
      </c>
      <c r="V25" s="22">
        <f>D25+G25</f>
        <v/>
      </c>
      <c r="W25" s="24">
        <f>I25*(1+V25*L25)</f>
        <v/>
      </c>
      <c r="X25" s="27">
        <f>'1_GICS_Shock_Input'!$B$169+'1_GICS_Shock_Input'!$B$170/10000</f>
        <v/>
      </c>
      <c r="Y25" s="24">
        <f>J25*(X25+S25/10000)</f>
        <v/>
      </c>
      <c r="Z25" s="25">
        <f>J25/W25</f>
        <v/>
      </c>
      <c r="AA25" s="24">
        <f>O25*R25</f>
        <v/>
      </c>
      <c r="AB25" s="24">
        <f>P25*W25</f>
        <v/>
      </c>
      <c r="AC25" s="24">
        <f>Q25*J25</f>
        <v/>
      </c>
      <c r="AD25" s="25">
        <f>(W25-AA25-AB25)/(Y25+AC25)</f>
        <v/>
      </c>
      <c r="AE25" s="25">
        <f>K25*(1+E25)</f>
        <v/>
      </c>
      <c r="AF25" s="24">
        <f>W25*AE25</f>
        <v/>
      </c>
      <c r="AG25" s="22">
        <f>J25/AF25</f>
        <v/>
      </c>
      <c r="AH25" s="25">
        <f>M25-Z25</f>
        <v/>
      </c>
      <c r="AI25" s="28">
        <f>IF(Z25&gt;M25,"BREACH","")</f>
        <v/>
      </c>
      <c r="AJ25" s="25">
        <f>AD25-N25</f>
        <v/>
      </c>
      <c r="AK25" s="28">
        <f>IF(AD25&lt;N25,"BREACH","")</f>
        <v/>
      </c>
      <c r="AL25" s="24">
        <f>J25/M25</f>
        <v/>
      </c>
      <c r="AM25" s="22">
        <f>(W25-AL25)/W25</f>
        <v/>
      </c>
      <c r="AN25" s="24">
        <f>N25*(Y25+AC25)+AA25+AB25</f>
        <v/>
      </c>
      <c r="AO25" s="22">
        <f>(W25-AN25)/W25</f>
        <v/>
      </c>
      <c r="AP25" s="27">
        <f>-T25*(F25/10000)</f>
        <v/>
      </c>
      <c r="AQ25" s="24">
        <f>U25*AP25</f>
        <v/>
      </c>
    </row>
    <row r="26">
      <c r="A26" s="21">
        <f>'2_Deal_Tape'!A27</f>
        <v/>
      </c>
      <c r="B26" s="21">
        <f>'2_Deal_Tape'!C27</f>
        <v/>
      </c>
      <c r="C26" s="21">
        <f>'2_Deal_Tape'!F27</f>
        <v/>
      </c>
      <c r="D26" s="22">
        <f>INDEX('1_GICS_Shock_Input'!$E$4:$E$166,MATCH($B26,'1_GICS_Shock_Input'!$A$4:$A$166,0))</f>
        <v/>
      </c>
      <c r="E26" s="22">
        <f>INDEX('1_GICS_Shock_Input'!$F$4:$F$166,MATCH($B26,'1_GICS_Shock_Input'!$A$4:$A$166,0))</f>
        <v/>
      </c>
      <c r="F26" s="23">
        <f>INDEX('1_GICS_Shock_Input'!$G$4:$G$166,MATCH($B26,'1_GICS_Shock_Input'!$A$4:$A$166,0))</f>
        <v/>
      </c>
      <c r="G26" s="22">
        <f>INDEX('1_GICS_Shock_Input'!$H$4:$H$166,MATCH($B26,'1_GICS_Shock_Input'!$A$4:$A$166,0))</f>
        <v/>
      </c>
      <c r="H26" s="24">
        <f>'2_Deal_Tape'!K27</f>
        <v/>
      </c>
      <c r="I26" s="25">
        <f>'2_Deal_Tape'!L27</f>
        <v/>
      </c>
      <c r="J26" s="24">
        <f>'2_Deal_Tape'!M27</f>
        <v/>
      </c>
      <c r="K26" s="22">
        <f>'2_Deal_Tape'!Q27</f>
        <v/>
      </c>
      <c r="L26" s="25">
        <f>'2_Deal_Tape'!Z27</f>
        <v/>
      </c>
      <c r="M26" s="25">
        <f>'2_Deal_Tape'!AA27</f>
        <v/>
      </c>
      <c r="N26" s="24">
        <f>'2_Deal_Tape'!AB27</f>
        <v/>
      </c>
      <c r="O26" s="22">
        <f>'2_Deal_Tape'!AC27</f>
        <v/>
      </c>
      <c r="P26" s="22">
        <f>'2_Deal_Tape'!AD27</f>
        <v/>
      </c>
      <c r="Q26" s="22">
        <f>'2_Deal_Tape'!AE27</f>
        <v/>
      </c>
      <c r="R26" s="24">
        <f>'2_Deal_Tape'!I27</f>
        <v/>
      </c>
      <c r="S26" s="24">
        <f>'2_Deal_Tape'!W27</f>
        <v/>
      </c>
      <c r="T26" s="26">
        <f>'2_Deal_Tape'!X27</f>
        <v/>
      </c>
      <c r="U26" s="24">
        <f>'2_Deal_Tape'!V27</f>
        <v/>
      </c>
      <c r="V26" s="22">
        <f>D26+G26</f>
        <v/>
      </c>
      <c r="W26" s="24">
        <f>I26*(1+V26*L26)</f>
        <v/>
      </c>
      <c r="X26" s="27">
        <f>'1_GICS_Shock_Input'!$B$169+'1_GICS_Shock_Input'!$B$170/10000</f>
        <v/>
      </c>
      <c r="Y26" s="24">
        <f>J26*(X26+S26/10000)</f>
        <v/>
      </c>
      <c r="Z26" s="25">
        <f>J26/W26</f>
        <v/>
      </c>
      <c r="AA26" s="24">
        <f>O26*R26</f>
        <v/>
      </c>
      <c r="AB26" s="24">
        <f>P26*W26</f>
        <v/>
      </c>
      <c r="AC26" s="24">
        <f>Q26*J26</f>
        <v/>
      </c>
      <c r="AD26" s="25">
        <f>(W26-AA26-AB26)/(Y26+AC26)</f>
        <v/>
      </c>
      <c r="AE26" s="25">
        <f>K26*(1+E26)</f>
        <v/>
      </c>
      <c r="AF26" s="24">
        <f>W26*AE26</f>
        <v/>
      </c>
      <c r="AG26" s="22">
        <f>J26/AF26</f>
        <v/>
      </c>
      <c r="AH26" s="25">
        <f>M26-Z26</f>
        <v/>
      </c>
      <c r="AI26" s="28">
        <f>IF(Z26&gt;M26,"BREACH","")</f>
        <v/>
      </c>
      <c r="AJ26" s="25">
        <f>AD26-N26</f>
        <v/>
      </c>
      <c r="AK26" s="28">
        <f>IF(AD26&lt;N26,"BREACH","")</f>
        <v/>
      </c>
      <c r="AL26" s="24">
        <f>J26/M26</f>
        <v/>
      </c>
      <c r="AM26" s="22">
        <f>(W26-AL26)/W26</f>
        <v/>
      </c>
      <c r="AN26" s="24">
        <f>N26*(Y26+AC26)+AA26+AB26</f>
        <v/>
      </c>
      <c r="AO26" s="22">
        <f>(W26-AN26)/W26</f>
        <v/>
      </c>
      <c r="AP26" s="27">
        <f>-T26*(F26/10000)</f>
        <v/>
      </c>
      <c r="AQ26" s="24">
        <f>U26*AP26</f>
        <v/>
      </c>
    </row>
    <row r="27">
      <c r="A27" s="21">
        <f>'2_Deal_Tape'!A28</f>
        <v/>
      </c>
      <c r="B27" s="21">
        <f>'2_Deal_Tape'!C28</f>
        <v/>
      </c>
      <c r="C27" s="21">
        <f>'2_Deal_Tape'!F28</f>
        <v/>
      </c>
      <c r="D27" s="22">
        <f>INDEX('1_GICS_Shock_Input'!$E$4:$E$166,MATCH($B27,'1_GICS_Shock_Input'!$A$4:$A$166,0))</f>
        <v/>
      </c>
      <c r="E27" s="22">
        <f>INDEX('1_GICS_Shock_Input'!$F$4:$F$166,MATCH($B27,'1_GICS_Shock_Input'!$A$4:$A$166,0))</f>
        <v/>
      </c>
      <c r="F27" s="23">
        <f>INDEX('1_GICS_Shock_Input'!$G$4:$G$166,MATCH($B27,'1_GICS_Shock_Input'!$A$4:$A$166,0))</f>
        <v/>
      </c>
      <c r="G27" s="22">
        <f>INDEX('1_GICS_Shock_Input'!$H$4:$H$166,MATCH($B27,'1_GICS_Shock_Input'!$A$4:$A$166,0))</f>
        <v/>
      </c>
      <c r="H27" s="24">
        <f>'2_Deal_Tape'!K28</f>
        <v/>
      </c>
      <c r="I27" s="25">
        <f>'2_Deal_Tape'!L28</f>
        <v/>
      </c>
      <c r="J27" s="24">
        <f>'2_Deal_Tape'!M28</f>
        <v/>
      </c>
      <c r="K27" s="22">
        <f>'2_Deal_Tape'!Q28</f>
        <v/>
      </c>
      <c r="L27" s="25">
        <f>'2_Deal_Tape'!Z28</f>
        <v/>
      </c>
      <c r="M27" s="25">
        <f>'2_Deal_Tape'!AA28</f>
        <v/>
      </c>
      <c r="N27" s="24">
        <f>'2_Deal_Tape'!AB28</f>
        <v/>
      </c>
      <c r="O27" s="22">
        <f>'2_Deal_Tape'!AC28</f>
        <v/>
      </c>
      <c r="P27" s="22">
        <f>'2_Deal_Tape'!AD28</f>
        <v/>
      </c>
      <c r="Q27" s="22">
        <f>'2_Deal_Tape'!AE28</f>
        <v/>
      </c>
      <c r="R27" s="24">
        <f>'2_Deal_Tape'!I28</f>
        <v/>
      </c>
      <c r="S27" s="24">
        <f>'2_Deal_Tape'!W28</f>
        <v/>
      </c>
      <c r="T27" s="26">
        <f>'2_Deal_Tape'!X28</f>
        <v/>
      </c>
      <c r="U27" s="24">
        <f>'2_Deal_Tape'!V28</f>
        <v/>
      </c>
      <c r="V27" s="22">
        <f>D27+G27</f>
        <v/>
      </c>
      <c r="W27" s="24">
        <f>I27*(1+V27*L27)</f>
        <v/>
      </c>
      <c r="X27" s="27">
        <f>'1_GICS_Shock_Input'!$B$169+'1_GICS_Shock_Input'!$B$170/10000</f>
        <v/>
      </c>
      <c r="Y27" s="24">
        <f>J27*(X27+S27/10000)</f>
        <v/>
      </c>
      <c r="Z27" s="25">
        <f>J27/W27</f>
        <v/>
      </c>
      <c r="AA27" s="24">
        <f>O27*R27</f>
        <v/>
      </c>
      <c r="AB27" s="24">
        <f>P27*W27</f>
        <v/>
      </c>
      <c r="AC27" s="24">
        <f>Q27*J27</f>
        <v/>
      </c>
      <c r="AD27" s="25">
        <f>(W27-AA27-AB27)/(Y27+AC27)</f>
        <v/>
      </c>
      <c r="AE27" s="25">
        <f>K27*(1+E27)</f>
        <v/>
      </c>
      <c r="AF27" s="24">
        <f>W27*AE27</f>
        <v/>
      </c>
      <c r="AG27" s="22">
        <f>J27/AF27</f>
        <v/>
      </c>
      <c r="AH27" s="25">
        <f>M27-Z27</f>
        <v/>
      </c>
      <c r="AI27" s="28">
        <f>IF(Z27&gt;M27,"BREACH","")</f>
        <v/>
      </c>
      <c r="AJ27" s="25">
        <f>AD27-N27</f>
        <v/>
      </c>
      <c r="AK27" s="28">
        <f>IF(AD27&lt;N27,"BREACH","")</f>
        <v/>
      </c>
      <c r="AL27" s="24">
        <f>J27/M27</f>
        <v/>
      </c>
      <c r="AM27" s="22">
        <f>(W27-AL27)/W27</f>
        <v/>
      </c>
      <c r="AN27" s="24">
        <f>N27*(Y27+AC27)+AA27+AB27</f>
        <v/>
      </c>
      <c r="AO27" s="22">
        <f>(W27-AN27)/W27</f>
        <v/>
      </c>
      <c r="AP27" s="27">
        <f>-T27*(F27/10000)</f>
        <v/>
      </c>
      <c r="AQ27" s="24">
        <f>U27*AP27</f>
        <v/>
      </c>
    </row>
    <row r="28">
      <c r="A28" s="21">
        <f>'2_Deal_Tape'!A29</f>
        <v/>
      </c>
      <c r="B28" s="21">
        <f>'2_Deal_Tape'!C29</f>
        <v/>
      </c>
      <c r="C28" s="21">
        <f>'2_Deal_Tape'!F29</f>
        <v/>
      </c>
      <c r="D28" s="22">
        <f>INDEX('1_GICS_Shock_Input'!$E$4:$E$166,MATCH($B28,'1_GICS_Shock_Input'!$A$4:$A$166,0))</f>
        <v/>
      </c>
      <c r="E28" s="22">
        <f>INDEX('1_GICS_Shock_Input'!$F$4:$F$166,MATCH($B28,'1_GICS_Shock_Input'!$A$4:$A$166,0))</f>
        <v/>
      </c>
      <c r="F28" s="23">
        <f>INDEX('1_GICS_Shock_Input'!$G$4:$G$166,MATCH($B28,'1_GICS_Shock_Input'!$A$4:$A$166,0))</f>
        <v/>
      </c>
      <c r="G28" s="22">
        <f>INDEX('1_GICS_Shock_Input'!$H$4:$H$166,MATCH($B28,'1_GICS_Shock_Input'!$A$4:$A$166,0))</f>
        <v/>
      </c>
      <c r="H28" s="24">
        <f>'2_Deal_Tape'!K29</f>
        <v/>
      </c>
      <c r="I28" s="25">
        <f>'2_Deal_Tape'!L29</f>
        <v/>
      </c>
      <c r="J28" s="24">
        <f>'2_Deal_Tape'!M29</f>
        <v/>
      </c>
      <c r="K28" s="22">
        <f>'2_Deal_Tape'!Q29</f>
        <v/>
      </c>
      <c r="L28" s="25">
        <f>'2_Deal_Tape'!Z29</f>
        <v/>
      </c>
      <c r="M28" s="25">
        <f>'2_Deal_Tape'!AA29</f>
        <v/>
      </c>
      <c r="N28" s="24">
        <f>'2_Deal_Tape'!AB29</f>
        <v/>
      </c>
      <c r="O28" s="22">
        <f>'2_Deal_Tape'!AC29</f>
        <v/>
      </c>
      <c r="P28" s="22">
        <f>'2_Deal_Tape'!AD29</f>
        <v/>
      </c>
      <c r="Q28" s="22">
        <f>'2_Deal_Tape'!AE29</f>
        <v/>
      </c>
      <c r="R28" s="24">
        <f>'2_Deal_Tape'!I29</f>
        <v/>
      </c>
      <c r="S28" s="24">
        <f>'2_Deal_Tape'!W29</f>
        <v/>
      </c>
      <c r="T28" s="26">
        <f>'2_Deal_Tape'!X29</f>
        <v/>
      </c>
      <c r="U28" s="24">
        <f>'2_Deal_Tape'!V29</f>
        <v/>
      </c>
      <c r="V28" s="22">
        <f>D28+G28</f>
        <v/>
      </c>
      <c r="W28" s="24">
        <f>I28*(1+V28*L28)</f>
        <v/>
      </c>
      <c r="X28" s="27">
        <f>'1_GICS_Shock_Input'!$B$169+'1_GICS_Shock_Input'!$B$170/10000</f>
        <v/>
      </c>
      <c r="Y28" s="24">
        <f>J28*(X28+S28/10000)</f>
        <v/>
      </c>
      <c r="Z28" s="25">
        <f>J28/W28</f>
        <v/>
      </c>
      <c r="AA28" s="24">
        <f>O28*R28</f>
        <v/>
      </c>
      <c r="AB28" s="24">
        <f>P28*W28</f>
        <v/>
      </c>
      <c r="AC28" s="24">
        <f>Q28*J28</f>
        <v/>
      </c>
      <c r="AD28" s="25">
        <f>(W28-AA28-AB28)/(Y28+AC28)</f>
        <v/>
      </c>
      <c r="AE28" s="25">
        <f>K28*(1+E28)</f>
        <v/>
      </c>
      <c r="AF28" s="24">
        <f>W28*AE28</f>
        <v/>
      </c>
      <c r="AG28" s="22">
        <f>J28/AF28</f>
        <v/>
      </c>
      <c r="AH28" s="25">
        <f>M28-Z28</f>
        <v/>
      </c>
      <c r="AI28" s="28">
        <f>IF(Z28&gt;M28,"BREACH","")</f>
        <v/>
      </c>
      <c r="AJ28" s="25">
        <f>AD28-N28</f>
        <v/>
      </c>
      <c r="AK28" s="28">
        <f>IF(AD28&lt;N28,"BREACH","")</f>
        <v/>
      </c>
      <c r="AL28" s="24">
        <f>J28/M28</f>
        <v/>
      </c>
      <c r="AM28" s="22">
        <f>(W28-AL28)/W28</f>
        <v/>
      </c>
      <c r="AN28" s="24">
        <f>N28*(Y28+AC28)+AA28+AB28</f>
        <v/>
      </c>
      <c r="AO28" s="22">
        <f>(W28-AN28)/W28</f>
        <v/>
      </c>
      <c r="AP28" s="27">
        <f>-T28*(F28/10000)</f>
        <v/>
      </c>
      <c r="AQ28" s="24">
        <f>U28*AP28</f>
        <v/>
      </c>
    </row>
    <row r="29">
      <c r="A29" s="21">
        <f>'2_Deal_Tape'!A30</f>
        <v/>
      </c>
      <c r="B29" s="21">
        <f>'2_Deal_Tape'!C30</f>
        <v/>
      </c>
      <c r="C29" s="21">
        <f>'2_Deal_Tape'!F30</f>
        <v/>
      </c>
      <c r="D29" s="22">
        <f>INDEX('1_GICS_Shock_Input'!$E$4:$E$166,MATCH($B29,'1_GICS_Shock_Input'!$A$4:$A$166,0))</f>
        <v/>
      </c>
      <c r="E29" s="22">
        <f>INDEX('1_GICS_Shock_Input'!$F$4:$F$166,MATCH($B29,'1_GICS_Shock_Input'!$A$4:$A$166,0))</f>
        <v/>
      </c>
      <c r="F29" s="23">
        <f>INDEX('1_GICS_Shock_Input'!$G$4:$G$166,MATCH($B29,'1_GICS_Shock_Input'!$A$4:$A$166,0))</f>
        <v/>
      </c>
      <c r="G29" s="22">
        <f>INDEX('1_GICS_Shock_Input'!$H$4:$H$166,MATCH($B29,'1_GICS_Shock_Input'!$A$4:$A$166,0))</f>
        <v/>
      </c>
      <c r="H29" s="24">
        <f>'2_Deal_Tape'!K30</f>
        <v/>
      </c>
      <c r="I29" s="25">
        <f>'2_Deal_Tape'!L30</f>
        <v/>
      </c>
      <c r="J29" s="24">
        <f>'2_Deal_Tape'!M30</f>
        <v/>
      </c>
      <c r="K29" s="22">
        <f>'2_Deal_Tape'!Q30</f>
        <v/>
      </c>
      <c r="L29" s="25">
        <f>'2_Deal_Tape'!Z30</f>
        <v/>
      </c>
      <c r="M29" s="25">
        <f>'2_Deal_Tape'!AA30</f>
        <v/>
      </c>
      <c r="N29" s="24">
        <f>'2_Deal_Tape'!AB30</f>
        <v/>
      </c>
      <c r="O29" s="22">
        <f>'2_Deal_Tape'!AC30</f>
        <v/>
      </c>
      <c r="P29" s="22">
        <f>'2_Deal_Tape'!AD30</f>
        <v/>
      </c>
      <c r="Q29" s="22">
        <f>'2_Deal_Tape'!AE30</f>
        <v/>
      </c>
      <c r="R29" s="24">
        <f>'2_Deal_Tape'!I30</f>
        <v/>
      </c>
      <c r="S29" s="24">
        <f>'2_Deal_Tape'!W30</f>
        <v/>
      </c>
      <c r="T29" s="26">
        <f>'2_Deal_Tape'!X30</f>
        <v/>
      </c>
      <c r="U29" s="24">
        <f>'2_Deal_Tape'!V30</f>
        <v/>
      </c>
      <c r="V29" s="22">
        <f>D29+G29</f>
        <v/>
      </c>
      <c r="W29" s="24">
        <f>I29*(1+V29*L29)</f>
        <v/>
      </c>
      <c r="X29" s="27">
        <f>'1_GICS_Shock_Input'!$B$169+'1_GICS_Shock_Input'!$B$170/10000</f>
        <v/>
      </c>
      <c r="Y29" s="24">
        <f>J29*(X29+S29/10000)</f>
        <v/>
      </c>
      <c r="Z29" s="25">
        <f>J29/W29</f>
        <v/>
      </c>
      <c r="AA29" s="24">
        <f>O29*R29</f>
        <v/>
      </c>
      <c r="AB29" s="24">
        <f>P29*W29</f>
        <v/>
      </c>
      <c r="AC29" s="24">
        <f>Q29*J29</f>
        <v/>
      </c>
      <c r="AD29" s="25">
        <f>(W29-AA29-AB29)/(Y29+AC29)</f>
        <v/>
      </c>
      <c r="AE29" s="25">
        <f>K29*(1+E29)</f>
        <v/>
      </c>
      <c r="AF29" s="24">
        <f>W29*AE29</f>
        <v/>
      </c>
      <c r="AG29" s="22">
        <f>J29/AF29</f>
        <v/>
      </c>
      <c r="AH29" s="25">
        <f>M29-Z29</f>
        <v/>
      </c>
      <c r="AI29" s="28">
        <f>IF(Z29&gt;M29,"BREACH","")</f>
        <v/>
      </c>
      <c r="AJ29" s="25">
        <f>AD29-N29</f>
        <v/>
      </c>
      <c r="AK29" s="28">
        <f>IF(AD29&lt;N29,"BREACH","")</f>
        <v/>
      </c>
      <c r="AL29" s="24">
        <f>J29/M29</f>
        <v/>
      </c>
      <c r="AM29" s="22">
        <f>(W29-AL29)/W29</f>
        <v/>
      </c>
      <c r="AN29" s="24">
        <f>N29*(Y29+AC29)+AA29+AB29</f>
        <v/>
      </c>
      <c r="AO29" s="22">
        <f>(W29-AN29)/W29</f>
        <v/>
      </c>
      <c r="AP29" s="27">
        <f>-T29*(F29/10000)</f>
        <v/>
      </c>
      <c r="AQ29" s="24">
        <f>U29*AP29</f>
        <v/>
      </c>
    </row>
    <row r="30">
      <c r="A30" s="21">
        <f>'2_Deal_Tape'!A31</f>
        <v/>
      </c>
      <c r="B30" s="21">
        <f>'2_Deal_Tape'!C31</f>
        <v/>
      </c>
      <c r="C30" s="21">
        <f>'2_Deal_Tape'!F31</f>
        <v/>
      </c>
      <c r="D30" s="22">
        <f>INDEX('1_GICS_Shock_Input'!$E$4:$E$166,MATCH($B30,'1_GICS_Shock_Input'!$A$4:$A$166,0))</f>
        <v/>
      </c>
      <c r="E30" s="22">
        <f>INDEX('1_GICS_Shock_Input'!$F$4:$F$166,MATCH($B30,'1_GICS_Shock_Input'!$A$4:$A$166,0))</f>
        <v/>
      </c>
      <c r="F30" s="23">
        <f>INDEX('1_GICS_Shock_Input'!$G$4:$G$166,MATCH($B30,'1_GICS_Shock_Input'!$A$4:$A$166,0))</f>
        <v/>
      </c>
      <c r="G30" s="22">
        <f>INDEX('1_GICS_Shock_Input'!$H$4:$H$166,MATCH($B30,'1_GICS_Shock_Input'!$A$4:$A$166,0))</f>
        <v/>
      </c>
      <c r="H30" s="24">
        <f>'2_Deal_Tape'!K31</f>
        <v/>
      </c>
      <c r="I30" s="25">
        <f>'2_Deal_Tape'!L31</f>
        <v/>
      </c>
      <c r="J30" s="24">
        <f>'2_Deal_Tape'!M31</f>
        <v/>
      </c>
      <c r="K30" s="22">
        <f>'2_Deal_Tape'!Q31</f>
        <v/>
      </c>
      <c r="L30" s="25">
        <f>'2_Deal_Tape'!Z31</f>
        <v/>
      </c>
      <c r="M30" s="25">
        <f>'2_Deal_Tape'!AA31</f>
        <v/>
      </c>
      <c r="N30" s="24">
        <f>'2_Deal_Tape'!AB31</f>
        <v/>
      </c>
      <c r="O30" s="22">
        <f>'2_Deal_Tape'!AC31</f>
        <v/>
      </c>
      <c r="P30" s="22">
        <f>'2_Deal_Tape'!AD31</f>
        <v/>
      </c>
      <c r="Q30" s="22">
        <f>'2_Deal_Tape'!AE31</f>
        <v/>
      </c>
      <c r="R30" s="24">
        <f>'2_Deal_Tape'!I31</f>
        <v/>
      </c>
      <c r="S30" s="24">
        <f>'2_Deal_Tape'!W31</f>
        <v/>
      </c>
      <c r="T30" s="26">
        <f>'2_Deal_Tape'!X31</f>
        <v/>
      </c>
      <c r="U30" s="24">
        <f>'2_Deal_Tape'!V31</f>
        <v/>
      </c>
      <c r="V30" s="22">
        <f>D30+G30</f>
        <v/>
      </c>
      <c r="W30" s="24">
        <f>I30*(1+V30*L30)</f>
        <v/>
      </c>
      <c r="X30" s="27">
        <f>'1_GICS_Shock_Input'!$B$169+'1_GICS_Shock_Input'!$B$170/10000</f>
        <v/>
      </c>
      <c r="Y30" s="24">
        <f>J30*(X30+S30/10000)</f>
        <v/>
      </c>
      <c r="Z30" s="25">
        <f>J30/W30</f>
        <v/>
      </c>
      <c r="AA30" s="24">
        <f>O30*R30</f>
        <v/>
      </c>
      <c r="AB30" s="24">
        <f>P30*W30</f>
        <v/>
      </c>
      <c r="AC30" s="24">
        <f>Q30*J30</f>
        <v/>
      </c>
      <c r="AD30" s="25">
        <f>(W30-AA30-AB30)/(Y30+AC30)</f>
        <v/>
      </c>
      <c r="AE30" s="25">
        <f>K30*(1+E30)</f>
        <v/>
      </c>
      <c r="AF30" s="24">
        <f>W30*AE30</f>
        <v/>
      </c>
      <c r="AG30" s="22">
        <f>J30/AF30</f>
        <v/>
      </c>
      <c r="AH30" s="25">
        <f>M30-Z30</f>
        <v/>
      </c>
      <c r="AI30" s="28">
        <f>IF(Z30&gt;M30,"BREACH","")</f>
        <v/>
      </c>
      <c r="AJ30" s="25">
        <f>AD30-N30</f>
        <v/>
      </c>
      <c r="AK30" s="28">
        <f>IF(AD30&lt;N30,"BREACH","")</f>
        <v/>
      </c>
      <c r="AL30" s="24">
        <f>J30/M30</f>
        <v/>
      </c>
      <c r="AM30" s="22">
        <f>(W30-AL30)/W30</f>
        <v/>
      </c>
      <c r="AN30" s="24">
        <f>N30*(Y30+AC30)+AA30+AB30</f>
        <v/>
      </c>
      <c r="AO30" s="22">
        <f>(W30-AN30)/W30</f>
        <v/>
      </c>
      <c r="AP30" s="27">
        <f>-T30*(F30/10000)</f>
        <v/>
      </c>
      <c r="AQ30" s="24">
        <f>U30*AP30</f>
        <v/>
      </c>
    </row>
    <row r="31">
      <c r="A31" s="21">
        <f>'2_Deal_Tape'!A32</f>
        <v/>
      </c>
      <c r="B31" s="21">
        <f>'2_Deal_Tape'!C32</f>
        <v/>
      </c>
      <c r="C31" s="21">
        <f>'2_Deal_Tape'!F32</f>
        <v/>
      </c>
      <c r="D31" s="22">
        <f>INDEX('1_GICS_Shock_Input'!$E$4:$E$166,MATCH($B31,'1_GICS_Shock_Input'!$A$4:$A$166,0))</f>
        <v/>
      </c>
      <c r="E31" s="22">
        <f>INDEX('1_GICS_Shock_Input'!$F$4:$F$166,MATCH($B31,'1_GICS_Shock_Input'!$A$4:$A$166,0))</f>
        <v/>
      </c>
      <c r="F31" s="23">
        <f>INDEX('1_GICS_Shock_Input'!$G$4:$G$166,MATCH($B31,'1_GICS_Shock_Input'!$A$4:$A$166,0))</f>
        <v/>
      </c>
      <c r="G31" s="22">
        <f>INDEX('1_GICS_Shock_Input'!$H$4:$H$166,MATCH($B31,'1_GICS_Shock_Input'!$A$4:$A$166,0))</f>
        <v/>
      </c>
      <c r="H31" s="24">
        <f>'2_Deal_Tape'!K32</f>
        <v/>
      </c>
      <c r="I31" s="25">
        <f>'2_Deal_Tape'!L32</f>
        <v/>
      </c>
      <c r="J31" s="24">
        <f>'2_Deal_Tape'!M32</f>
        <v/>
      </c>
      <c r="K31" s="22">
        <f>'2_Deal_Tape'!Q32</f>
        <v/>
      </c>
      <c r="L31" s="25">
        <f>'2_Deal_Tape'!Z32</f>
        <v/>
      </c>
      <c r="M31" s="25">
        <f>'2_Deal_Tape'!AA32</f>
        <v/>
      </c>
      <c r="N31" s="24">
        <f>'2_Deal_Tape'!AB32</f>
        <v/>
      </c>
      <c r="O31" s="22">
        <f>'2_Deal_Tape'!AC32</f>
        <v/>
      </c>
      <c r="P31" s="22">
        <f>'2_Deal_Tape'!AD32</f>
        <v/>
      </c>
      <c r="Q31" s="22">
        <f>'2_Deal_Tape'!AE32</f>
        <v/>
      </c>
      <c r="R31" s="24">
        <f>'2_Deal_Tape'!I32</f>
        <v/>
      </c>
      <c r="S31" s="24">
        <f>'2_Deal_Tape'!W32</f>
        <v/>
      </c>
      <c r="T31" s="26">
        <f>'2_Deal_Tape'!X32</f>
        <v/>
      </c>
      <c r="U31" s="24">
        <f>'2_Deal_Tape'!V32</f>
        <v/>
      </c>
      <c r="V31" s="22">
        <f>D31+G31</f>
        <v/>
      </c>
      <c r="W31" s="24">
        <f>I31*(1+V31*L31)</f>
        <v/>
      </c>
      <c r="X31" s="27">
        <f>'1_GICS_Shock_Input'!$B$169+'1_GICS_Shock_Input'!$B$170/10000</f>
        <v/>
      </c>
      <c r="Y31" s="24">
        <f>J31*(X31+S31/10000)</f>
        <v/>
      </c>
      <c r="Z31" s="25">
        <f>J31/W31</f>
        <v/>
      </c>
      <c r="AA31" s="24">
        <f>O31*R31</f>
        <v/>
      </c>
      <c r="AB31" s="24">
        <f>P31*W31</f>
        <v/>
      </c>
      <c r="AC31" s="24">
        <f>Q31*J31</f>
        <v/>
      </c>
      <c r="AD31" s="25">
        <f>(W31-AA31-AB31)/(Y31+AC31)</f>
        <v/>
      </c>
      <c r="AE31" s="25">
        <f>K31*(1+E31)</f>
        <v/>
      </c>
      <c r="AF31" s="24">
        <f>W31*AE31</f>
        <v/>
      </c>
      <c r="AG31" s="22">
        <f>J31/AF31</f>
        <v/>
      </c>
      <c r="AH31" s="25">
        <f>M31-Z31</f>
        <v/>
      </c>
      <c r="AI31" s="28">
        <f>IF(Z31&gt;M31,"BREACH","")</f>
        <v/>
      </c>
      <c r="AJ31" s="25">
        <f>AD31-N31</f>
        <v/>
      </c>
      <c r="AK31" s="28">
        <f>IF(AD31&lt;N31,"BREACH","")</f>
        <v/>
      </c>
      <c r="AL31" s="24">
        <f>J31/M31</f>
        <v/>
      </c>
      <c r="AM31" s="22">
        <f>(W31-AL31)/W31</f>
        <v/>
      </c>
      <c r="AN31" s="24">
        <f>N31*(Y31+AC31)+AA31+AB31</f>
        <v/>
      </c>
      <c r="AO31" s="22">
        <f>(W31-AN31)/W31</f>
        <v/>
      </c>
      <c r="AP31" s="27">
        <f>-T31*(F31/10000)</f>
        <v/>
      </c>
      <c r="AQ31" s="24">
        <f>U31*AP31</f>
        <v/>
      </c>
    </row>
    <row r="32">
      <c r="A32" s="21">
        <f>'2_Deal_Tape'!A33</f>
        <v/>
      </c>
      <c r="B32" s="21">
        <f>'2_Deal_Tape'!C33</f>
        <v/>
      </c>
      <c r="C32" s="21">
        <f>'2_Deal_Tape'!F33</f>
        <v/>
      </c>
      <c r="D32" s="22">
        <f>INDEX('1_GICS_Shock_Input'!$E$4:$E$166,MATCH($B32,'1_GICS_Shock_Input'!$A$4:$A$166,0))</f>
        <v/>
      </c>
      <c r="E32" s="22">
        <f>INDEX('1_GICS_Shock_Input'!$F$4:$F$166,MATCH($B32,'1_GICS_Shock_Input'!$A$4:$A$166,0))</f>
        <v/>
      </c>
      <c r="F32" s="23">
        <f>INDEX('1_GICS_Shock_Input'!$G$4:$G$166,MATCH($B32,'1_GICS_Shock_Input'!$A$4:$A$166,0))</f>
        <v/>
      </c>
      <c r="G32" s="22">
        <f>INDEX('1_GICS_Shock_Input'!$H$4:$H$166,MATCH($B32,'1_GICS_Shock_Input'!$A$4:$A$166,0))</f>
        <v/>
      </c>
      <c r="H32" s="24">
        <f>'2_Deal_Tape'!K33</f>
        <v/>
      </c>
      <c r="I32" s="25">
        <f>'2_Deal_Tape'!L33</f>
        <v/>
      </c>
      <c r="J32" s="24">
        <f>'2_Deal_Tape'!M33</f>
        <v/>
      </c>
      <c r="K32" s="22">
        <f>'2_Deal_Tape'!Q33</f>
        <v/>
      </c>
      <c r="L32" s="25">
        <f>'2_Deal_Tape'!Z33</f>
        <v/>
      </c>
      <c r="M32" s="25">
        <f>'2_Deal_Tape'!AA33</f>
        <v/>
      </c>
      <c r="N32" s="24">
        <f>'2_Deal_Tape'!AB33</f>
        <v/>
      </c>
      <c r="O32" s="22">
        <f>'2_Deal_Tape'!AC33</f>
        <v/>
      </c>
      <c r="P32" s="22">
        <f>'2_Deal_Tape'!AD33</f>
        <v/>
      </c>
      <c r="Q32" s="22">
        <f>'2_Deal_Tape'!AE33</f>
        <v/>
      </c>
      <c r="R32" s="24">
        <f>'2_Deal_Tape'!I33</f>
        <v/>
      </c>
      <c r="S32" s="24">
        <f>'2_Deal_Tape'!W33</f>
        <v/>
      </c>
      <c r="T32" s="26">
        <f>'2_Deal_Tape'!X33</f>
        <v/>
      </c>
      <c r="U32" s="24">
        <f>'2_Deal_Tape'!V33</f>
        <v/>
      </c>
      <c r="V32" s="22">
        <f>D32+G32</f>
        <v/>
      </c>
      <c r="W32" s="24">
        <f>I32*(1+V32*L32)</f>
        <v/>
      </c>
      <c r="X32" s="27">
        <f>'1_GICS_Shock_Input'!$B$169+'1_GICS_Shock_Input'!$B$170/10000</f>
        <v/>
      </c>
      <c r="Y32" s="24">
        <f>J32*(X32+S32/10000)</f>
        <v/>
      </c>
      <c r="Z32" s="25">
        <f>J32/W32</f>
        <v/>
      </c>
      <c r="AA32" s="24">
        <f>O32*R32</f>
        <v/>
      </c>
      <c r="AB32" s="24">
        <f>P32*W32</f>
        <v/>
      </c>
      <c r="AC32" s="24">
        <f>Q32*J32</f>
        <v/>
      </c>
      <c r="AD32" s="25">
        <f>(W32-AA32-AB32)/(Y32+AC32)</f>
        <v/>
      </c>
      <c r="AE32" s="25">
        <f>K32*(1+E32)</f>
        <v/>
      </c>
      <c r="AF32" s="24">
        <f>W32*AE32</f>
        <v/>
      </c>
      <c r="AG32" s="22">
        <f>J32/AF32</f>
        <v/>
      </c>
      <c r="AH32" s="25">
        <f>M32-Z32</f>
        <v/>
      </c>
      <c r="AI32" s="28">
        <f>IF(Z32&gt;M32,"BREACH","")</f>
        <v/>
      </c>
      <c r="AJ32" s="25">
        <f>AD32-N32</f>
        <v/>
      </c>
      <c r="AK32" s="28">
        <f>IF(AD32&lt;N32,"BREACH","")</f>
        <v/>
      </c>
      <c r="AL32" s="24">
        <f>J32/M32</f>
        <v/>
      </c>
      <c r="AM32" s="22">
        <f>(W32-AL32)/W32</f>
        <v/>
      </c>
      <c r="AN32" s="24">
        <f>N32*(Y32+AC32)+AA32+AB32</f>
        <v/>
      </c>
      <c r="AO32" s="22">
        <f>(W32-AN32)/W32</f>
        <v/>
      </c>
      <c r="AP32" s="27">
        <f>-T32*(F32/10000)</f>
        <v/>
      </c>
      <c r="AQ32" s="24">
        <f>U32*AP32</f>
        <v/>
      </c>
    </row>
  </sheetData>
  <mergeCells count="1">
    <mergeCell ref="A1:A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9"/>
  <sheetViews>
    <sheetView showGridLines="0" workbookViewId="0">
      <selection activeCell="A1" sqref="A1"/>
    </sheetView>
  </sheetViews>
  <sheetFormatPr baseColWidth="8" defaultRowHeight="15" outlineLevelCol="0"/>
  <cols>
    <col width="42" customWidth="1" min="1" max="1"/>
    <col width="20" customWidth="1" min="2" max="2"/>
  </cols>
  <sheetData>
    <row r="1">
      <c r="A1" s="1" t="inlineStr">
        <is>
          <t>STEP 4 — Portfolio roll-up, live formulas over 3_Scenario_Engine.</t>
        </is>
      </c>
    </row>
    <row r="3">
      <c r="A3" s="29" t="inlineStr">
        <is>
          <t>PORTFOLIO SIZE</t>
        </is>
      </c>
    </row>
    <row r="4">
      <c r="A4" s="30" t="inlineStr">
        <is>
          <t>Number of deals</t>
        </is>
      </c>
      <c r="B4" s="23">
        <f>COUNTA('3_Scenario_Engine'!$A$3:$A$32)</f>
        <v/>
      </c>
    </row>
    <row r="5">
      <c r="A5" s="30" t="inlineStr">
        <is>
          <t>Total invested at cost ($m)</t>
        </is>
      </c>
      <c r="B5" s="24">
        <f>SUM('3_Scenario_Engine'!$U$3:$U$32)</f>
        <v/>
      </c>
    </row>
    <row r="7">
      <c r="A7" s="29" t="inlineStr">
        <is>
          <t>STRESSED PORTFOLIO METRICS (invested-amount-weighted)</t>
        </is>
      </c>
    </row>
    <row r="8">
      <c r="A8" s="30" t="inlineStr">
        <is>
          <t>Weighted-average stressed leverage (net, x)</t>
        </is>
      </c>
      <c r="B8" s="25">
        <f>SUMPRODUCT('3_Scenario_Engine'!$U$3:$U$32,'3_Scenario_Engine'!$Z$3:$Z$32)/SUM('3_Scenario_Engine'!$U$3:$U$32)</f>
        <v/>
      </c>
    </row>
    <row r="9">
      <c r="A9" s="30" t="inlineStr">
        <is>
          <t>Weighted-average stressed LTV %</t>
        </is>
      </c>
      <c r="B9" s="22">
        <f>SUMPRODUCT('3_Scenario_Engine'!$U$3:$U$32,'3_Scenario_Engine'!$AG$3:$AG$32)/SUM('3_Scenario_Engine'!$U$3:$U$32)</f>
        <v/>
      </c>
    </row>
    <row r="10">
      <c r="A10" s="30" t="inlineStr">
        <is>
          <t>Weighted-average Leverage Flatline %</t>
        </is>
      </c>
      <c r="B10" s="22">
        <f>SUMPRODUCT('3_Scenario_Engine'!$U$3:$U$32,'3_Scenario_Engine'!$AM$3:$AM$32)/SUM('3_Scenario_Engine'!$U$3:$U$32)</f>
        <v/>
      </c>
    </row>
    <row r="11">
      <c r="A11" s="30" t="inlineStr">
        <is>
          <t>Weighted-average FCCR Flatline %</t>
        </is>
      </c>
      <c r="B11" s="22">
        <f>SUMPRODUCT('3_Scenario_Engine'!$U$3:$U$32,'3_Scenario_Engine'!$AO$3:$AO$32)/SUM('3_Scenario_Engine'!$U$3:$U$32)</f>
        <v/>
      </c>
    </row>
    <row r="13">
      <c r="A13" s="29" t="inlineStr">
        <is>
          <t>COVENANT BREACHES (post-scenario)</t>
        </is>
      </c>
    </row>
    <row r="14">
      <c r="A14" s="30" t="inlineStr">
        <is>
          <t>Deals breaching Leverage covenant</t>
        </is>
      </c>
      <c r="B14" s="23">
        <f>COUNTIF('3_Scenario_Engine'!$AI$3:$AI$32,"BREACH")</f>
        <v/>
      </c>
    </row>
    <row r="15">
      <c r="A15" s="30" t="inlineStr">
        <is>
          <t>Deals breaching FCCR covenant</t>
        </is>
      </c>
      <c r="B15" s="23">
        <f>COUNTIF('3_Scenario_Engine'!$AK$3:$AK$32,"BREACH")</f>
        <v/>
      </c>
    </row>
    <row r="16">
      <c r="A16" s="30" t="inlineStr">
        <is>
          <t>Deals breaching either covenant</t>
        </is>
      </c>
      <c r="B16" s="23">
        <f>SUMPRODUCT((('3_Scenario_Engine'!$AI$3:$AI$32&lt;&gt;"")+('3_Scenario_Engine'!$AK$3:$AK$32&lt;&gt;"")&gt;0)*1)</f>
        <v/>
      </c>
    </row>
    <row r="17">
      <c r="A17" s="30" t="inlineStr">
        <is>
          <t>Invested amount in a covenant breach ($m)</t>
        </is>
      </c>
      <c r="B17" s="24">
        <f>SUMPRODUCT((('3_Scenario_Engine'!$AI$3:$AI$32&lt;&gt;"")+('3_Scenario_Engine'!$AK$3:$AK$32&lt;&gt;"")&gt;0)*'3_Scenario_Engine'!$U$3:$U$32)</f>
        <v/>
      </c>
    </row>
    <row r="18">
      <c r="A18" s="30" t="inlineStr">
        <is>
          <t>% of invested amount in a covenant breach</t>
        </is>
      </c>
      <c r="B18" s="22">
        <f>SUMPRODUCT((('3_Scenario_Engine'!$AI$3:$AI$32&lt;&gt;"")+('3_Scenario_Engine'!$AK$3:$AK$32&lt;&gt;"")&gt;0)*'3_Scenario_Engine'!$U$3:$U$32)/SUM('3_Scenario_Engine'!$U$3:$U$32)</f>
        <v/>
      </c>
    </row>
    <row r="20">
      <c r="A20" s="29" t="inlineStr">
        <is>
          <t>MARK-TO-MARKET (Engine A: spread duration x spread widening)</t>
        </is>
      </c>
    </row>
    <row r="21">
      <c r="A21" s="30" t="inlineStr">
        <is>
          <t>Total MTM impact ($m)</t>
        </is>
      </c>
      <c r="B21" s="24">
        <f>SUM('3_Scenario_Engine'!$AQ$3:$AQ$32)</f>
        <v/>
      </c>
    </row>
    <row r="22">
      <c r="A22" s="30" t="inlineStr">
        <is>
          <t>Total MTM impact (% of invested)</t>
        </is>
      </c>
      <c r="B22" s="22">
        <f>SUM('3_Scenario_Engine'!$AQ$3:$AQ$32)/SUM('3_Scenario_Engine'!$U$3:$U$32)</f>
        <v/>
      </c>
    </row>
    <row r="24">
      <c r="A24" s="29" t="inlineStr">
        <is>
          <t>FRAGILITY — invested amount within a given Flatline band of EITHER covenant</t>
        </is>
      </c>
    </row>
    <row r="25">
      <c r="A25" s="30" t="inlineStr">
        <is>
          <t>Within 0% of breach (already breached)</t>
        </is>
      </c>
      <c r="B25" s="22">
        <f>SUMPRODUCT((MIN(1,('3_Scenario_Engine'!$AM$3:$AM$32&lt;0)+('3_Scenario_Engine'!$AO$3:$AO$32&lt;0))&gt;0)*'3_Scenario_Engine'!$U$3:$U$32)/SUM('3_Scenario_Engine'!$U$3:$U$32)</f>
        <v/>
      </c>
    </row>
    <row r="26">
      <c r="A26" s="30" t="inlineStr">
        <is>
          <t>Within 10% Flatline of breach</t>
        </is>
      </c>
      <c r="B26" s="22">
        <f>SUMPRODUCT((MIN(1,(('3_Scenario_Engine'!$AM$3:$AM$32&gt;=0)*('3_Scenario_Engine'!$AM$3:$AM$32&lt;0.10))+(('3_Scenario_Engine'!$AO$3:$AO$32&gt;=0)*('3_Scenario_Engine'!$AO$3:$AO$32&lt;0.10)))&gt;0)*'3_Scenario_Engine'!$U$3:$U$32)/SUM('3_Scenario_Engine'!$U$3:$U$32)</f>
        <v/>
      </c>
    </row>
    <row r="27">
      <c r="A27" s="30" t="inlineStr">
        <is>
          <t>Within 20% Flatline of breach</t>
        </is>
      </c>
      <c r="B27" s="22">
        <f>SUMPRODUCT((MIN(1,(('3_Scenario_Engine'!$AM$3:$AM$32&gt;=0)*('3_Scenario_Engine'!$AM$3:$AM$32&lt;0.20))+(('3_Scenario_Engine'!$AO$3:$AO$32&gt;=0)*('3_Scenario_Engine'!$AO$3:$AO$32&lt;0.20)))&gt;0)*'3_Scenario_Engine'!$U$3:$U$32)/SUM('3_Scenario_Engine'!$U$3:$U$32)</f>
        <v/>
      </c>
    </row>
    <row r="29">
      <c r="A29" s="31" t="inlineStr">
        <is>
          <t>The C5 'distance-to-covenant surface' from PC_Stress_Framework.html Section 8/11 — the fragility bands above are that standing metric applied to this tape.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89"/>
  <sheetViews>
    <sheetView showGridLines="0" workbookViewId="0">
      <selection activeCell="A1" sqref="A1"/>
    </sheetView>
  </sheetViews>
  <sheetFormatPr baseColWidth="8" defaultRowHeight="15" outlineLevelCol="0"/>
  <cols>
    <col width="112" customWidth="1" min="1" max="1"/>
  </cols>
  <sheetData>
    <row r="1">
      <c r="A1" s="1" t="inlineStr">
        <is>
          <t>CREDIT RISK BRIDGE — SWES SHOCKS TO PD / LGD / EL AND CREDIT-DERIVED SPREAD</t>
        </is>
      </c>
    </row>
    <row r="2">
      <c r="A2" s="2" t="inlineStr">
        <is>
          <t>Bottom-up (PD/LGD/EL, aggregated) and top-down (credit-derived spread widening, MTM) transmission of the same SWES scenario already in 1_GICS_Shock_Input / 3_Scenario_Engine — built to reconcile.</t>
        </is>
      </c>
    </row>
    <row r="4">
      <c r="A4" s="3" t="inlineStr"/>
    </row>
    <row r="5">
      <c r="A5" s="4" t="inlineStr">
        <is>
          <t>WHY MERTON / VASICEK, NOT A BESPOKE MODEL</t>
        </is>
      </c>
    </row>
    <row r="6">
      <c r="A6" s="3" t="inlineStr">
        <is>
          <t>Vasicek's (1987) single-factor model is the large-portfolio limit of Merton's (1974) firm-level structural model, and</t>
        </is>
      </c>
    </row>
    <row r="7">
      <c r="A7" s="3" t="inlineStr">
        <is>
          <t>it is the literal mathematical basis of the Basel II/III IRB capital formula (Gordy 2003, Asymptotic Single Risk Factor).</t>
        </is>
      </c>
    </row>
    <row r="8">
      <c r="A8" s="3" t="inlineStr">
        <is>
          <t>Using the firm-level Merton form here — one systematic factor (the SWES scenario) moving a distance-to-default —</t>
        </is>
      </c>
    </row>
    <row r="9">
      <c r="A9" s="3" t="inlineStr">
        <is>
          <t>means this bridge is built on the same math a PRA/EBA/Basel model validator already recognises, rather than a</t>
        </is>
      </c>
    </row>
    <row r="10">
      <c r="A10" s="3" t="inlineStr">
        <is>
          <t>bespoke technique that needs separate justification. It also needs almost no new inputs: Stressed EV is already</t>
        </is>
      </c>
    </row>
    <row r="11">
      <c r="A11" s="3" t="inlineStr">
        <is>
          <t>computed in 3_Scenario_Engine (column AF) by the existing SWES chain — that number IS the Merton 'asset value</t>
        </is>
      </c>
    </row>
    <row r="12">
      <c r="A12" s="3" t="inlineStr">
        <is>
          <t>under stress'. No separate shock-transmission step is invented.</t>
        </is>
      </c>
    </row>
    <row r="13">
      <c r="A13" s="3" t="inlineStr"/>
    </row>
    <row r="14">
      <c r="A14" s="4" t="inlineStr">
        <is>
          <t>BOTTOM-UP CHAIN</t>
        </is>
      </c>
    </row>
    <row r="15">
      <c r="A15" s="3" t="inlineStr">
        <is>
          <t xml:space="preserve">  Distance to Default:  DD = [ln(V/F) + (r - sigma^2/2)T] / (sigma x sqrt(T))         PD = Phi(-DD)</t>
        </is>
      </c>
    </row>
    <row r="16">
      <c r="A16" s="3" t="inlineStr">
        <is>
          <t xml:space="preserve">  V = Enterprise Value — Current EV (baseline / quasi-TTC) or Stressed EV (post-scenario / PIT), both already</t>
        </is>
      </c>
    </row>
    <row r="17">
      <c r="A17" s="3" t="inlineStr">
        <is>
          <t xml:space="preserve">      computed elsewhere in this workbook (2_Deal_Tape!S, 3_Scenario_Engine!AF).</t>
        </is>
      </c>
    </row>
    <row r="18">
      <c r="A18" s="3" t="inlineStr">
        <is>
          <t xml:space="preserve">  F = default point = Net Debt (3_Scenario_Engine!J) — same field the LTV calc already uses.</t>
        </is>
      </c>
    </row>
    <row r="19">
      <c r="A19" s="3" t="inlineStr">
        <is>
          <t xml:space="preserve">  sigma = asset volatility, per GICS sub-industry, REAL data: Damodaran industry equity volatility, DE-LEVERED</t>
        </is>
      </c>
    </row>
    <row r="20">
      <c r="A20" s="3" t="inlineStr">
        <is>
          <t xml:space="preserve">      using Damodaran's own D/E ratio for that industry: sigma_V = sigma_E / (1 + D/E). This removes Damodaran's</t>
        </is>
      </c>
    </row>
    <row r="21">
      <c r="A21" s="3" t="inlineStr">
        <is>
          <t xml:space="preserve">      sample-average leverage from his equity vol, leaving a capital-structure-independent business-risk figure —</t>
        </is>
      </c>
    </row>
    <row r="22">
      <c r="A22" s="3" t="inlineStr">
        <is>
          <t xml:space="preserve">      the correct input for Merton (which explicitly wants ASSET, not equity, volatility). See 7_GICS_Asset_Vol.</t>
        </is>
      </c>
    </row>
    <row r="23">
      <c r="A23" s="3" t="inlineStr">
        <is>
          <t xml:space="preserve">  T = 1 year (standard PRA/EBA/CCAR stress horizon). r = risk-free rate (matches the reference rate assumption</t>
        </is>
      </c>
    </row>
    <row r="24">
      <c r="A24" s="3" t="inlineStr">
        <is>
          <t xml:space="preserve">      already on 1_GICS_Shock_Input). DISCLOSED SIMPLIFICATION: asset drift mu is set equal to r because the true</t>
        </is>
      </c>
    </row>
    <row r="25">
      <c r="A25" s="3" t="inlineStr">
        <is>
          <t xml:space="preserve">      physical-measure drift is unobservable — a standard, well-documented practitioner shortcut (produces a</t>
        </is>
      </c>
    </row>
    <row r="26">
      <c r="A26" s="3" t="inlineStr">
        <is>
          <t xml:space="preserve">      'risk-neutral' PD, mechanically more conservative than a physical-measure estimate). Flagged here, not hidden.</t>
        </is>
      </c>
    </row>
    <row r="27">
      <c r="A27" s="3" t="inlineStr"/>
    </row>
    <row r="28">
      <c r="A28" s="3" t="inlineStr">
        <is>
          <t xml:space="preserve">  LGD = collateral-coverage function of Stressed LTV (3_Scenario_Engine!AG, already computed):</t>
        </is>
      </c>
    </row>
    <row r="29">
      <c r="A29" s="3" t="inlineStr">
        <is>
          <t xml:space="preserve">      LGD = LGD_floor                      if Stressed LTV &lt;= 1  (fully collateralised)</t>
        </is>
      </c>
    </row>
    <row r="30">
      <c r="A30" s="3" t="inlineStr">
        <is>
          <t xml:space="preserve">      LGD = clamp(1 - 1/LTV, floor, ceiling)  if Stressed LTV &gt; 1  (shortfall = loss)</t>
        </is>
      </c>
    </row>
    <row r="31">
      <c r="A31" s="3" t="inlineStr">
        <is>
          <t xml:space="preserve">  LGD_floor = 30% — consistent with widely cited senior secured leveraged-loan recovery studies (Moody's Ultimate</t>
        </is>
      </c>
    </row>
    <row r="32">
      <c r="A32" s="3" t="inlineStr">
        <is>
          <t xml:space="preserve">  Recovery Database / S&amp;P LCD show ~65-70% average recovery for senior secured, i.e. ~30-35% LGD).</t>
        </is>
      </c>
    </row>
    <row r="33">
      <c r="A33" s="3" t="inlineStr"/>
    </row>
    <row r="34">
      <c r="A34" s="3" t="inlineStr">
        <is>
          <t xml:space="preserve">  EL = PD x LGD x EAD (EAD = Invested Amount at cost). Portfolio EL = sum of deal-level EL, computed baseline</t>
        </is>
      </c>
    </row>
    <row r="35">
      <c r="A35" s="3" t="inlineStr">
        <is>
          <t xml:space="preserve">  (current, pre-scenario state) and stressed (post-scenario), so Delta-EL isolates the scenario's own impact.</t>
        </is>
      </c>
    </row>
    <row r="36">
      <c r="A36" s="3" t="inlineStr"/>
    </row>
    <row r="37">
      <c r="A37" s="4" t="inlineStr">
        <is>
          <t>CROSS-CHECK — IS THE MERTON PD SANE?</t>
        </is>
      </c>
    </row>
    <row r="38">
      <c r="A38" s="3" t="inlineStr">
        <is>
          <t>Each deal's STRESSED leverage is bucketed against a standard leveraged-finance rating grid (&lt;4.0x~BB, 4-6x~B,</t>
        </is>
      </c>
    </row>
    <row r="39">
      <c r="A39" s="3" t="inlineStr">
        <is>
          <t xml:space="preserve">  &gt;6x~CCC/C) and compared to that rating's REAL S&amp;P Global long-run 1-year average default rate (S&amp;P Global,</t>
        </is>
      </c>
    </row>
    <row r="40">
      <c r="A40" s="3" t="inlineStr">
        <is>
          <t xml:space="preserve">  'Default, Transition, and Recovery' Annual Global Corporate Default Study, 1981-2009 period averages: BB 0.97%,</t>
        </is>
      </c>
    </row>
    <row r="41">
      <c r="A41" s="3" t="inlineStr">
        <is>
          <t xml:space="preserve">  B 4.93%, CCC/C 27.98%). A Merton PD wildly outside its bucket's historical range is a flag worth investigating,</t>
        </is>
      </c>
    </row>
    <row r="42">
      <c r="A42" s="3" t="inlineStr">
        <is>
          <t xml:space="preserve">  not a reason to distrust the whole model — this is exactly the external-benchmarking step a model validator</t>
        </is>
      </c>
    </row>
    <row r="43">
      <c r="A43" s="3" t="inlineStr">
        <is>
          <t xml:space="preserve">  (per EBA GL/2017/16 on PD/LGD estimation) would expect to see built in, not bolted on after the fact.</t>
        </is>
      </c>
    </row>
    <row r="44">
      <c r="A44" s="3" t="inlineStr"/>
    </row>
    <row r="45">
      <c r="A45" s="4" t="inlineStr">
        <is>
          <t>TOP-DOWN CHAIN — reuses the existing spread-duration MTM machinery</t>
        </is>
      </c>
    </row>
    <row r="46">
      <c r="A46" s="3" t="inlineStr">
        <is>
          <t xml:space="preserve">  EL-implied spread (bps) = Delta-PD x LGD x 10,000 — the standard actuarial/expected-loss credit-pricing identity.</t>
        </is>
      </c>
    </row>
    <row r="47">
      <c r="A47" s="3" t="inlineStr">
        <is>
          <t xml:space="preserve">  Market spreads sit above pure EL because they also price risk premium and liquidity/technical effects — well</t>
        </is>
      </c>
    </row>
    <row r="48">
      <c r="A48" s="3" t="inlineStr">
        <is>
          <t xml:space="preserve">  documented in the corporate-spread-decomposition literature (e.g. Elton/Gruber/Agrawal/Mann 2001), with the gap</t>
        </is>
      </c>
    </row>
    <row r="49">
      <c r="A49" s="3" t="inlineStr">
        <is>
          <t xml:space="preserve">  narrower for lower-quality (higher-PD) credits, whose spreads converge toward actuarial value as default nears.</t>
        </is>
      </c>
    </row>
    <row r="50">
      <c r="A50" s="3" t="inlineStr">
        <is>
          <t xml:space="preserve">  Credit-derived Spread Widening (bps) = EL-implied spread x Risk Premium Multiplier (judgement, by rating band:</t>
        </is>
      </c>
    </row>
    <row r="51">
      <c r="A51" s="3" t="inlineStr">
        <is>
          <t xml:space="preserve">  BB 2.5x, B 1.8x, CCC/C 1.2x — narrowing toward 1x for weaker credits, per that literature).</t>
        </is>
      </c>
    </row>
    <row r="52">
      <c r="A52" s="3" t="inlineStr">
        <is>
          <t xml:space="preserve">  This feeds the SAME price-impact formula 3_Scenario_Engine already uses: MTM = Invested x (-SpreadDuration x</t>
        </is>
      </c>
    </row>
    <row r="53">
      <c r="A53" s="3" t="inlineStr">
        <is>
          <t xml:space="preserve">  Spread/10,000) — so the only new mechanism is WHERE the spread number comes from (derived from the bottom-up</t>
        </is>
      </c>
    </row>
    <row r="54">
      <c r="A54" s="3" t="inlineStr">
        <is>
          <t xml:space="preserve">  PD/LGD chain here, vs the exogenous GICS-level input on 1_GICS_Shock_Input that 3_Scenario_Engine already used).</t>
        </is>
      </c>
    </row>
    <row r="55">
      <c r="A55" s="3" t="inlineStr">
        <is>
          <t xml:space="preserve">  Both are shown side by side in 9_TopDown_Spread_Engine for comparison.</t>
        </is>
      </c>
    </row>
    <row r="56">
      <c r="A56" s="3" t="inlineStr"/>
    </row>
    <row r="57">
      <c r="A57" s="4" t="inlineStr">
        <is>
          <t>RECONCILIATION — why bottom-up and top-down should NOT match exactly</t>
        </is>
      </c>
    </row>
    <row r="58">
      <c r="A58" s="3" t="inlineStr">
        <is>
          <t>Bottom-up EL is a fundamental / hold-to-maturity / accounting-style loss view. Top-down MTM is a mark-to-market</t>
        </is>
      </c>
    </row>
    <row r="59">
      <c r="A59" s="3" t="inlineStr">
        <is>
          <t>view, which prices risk premium and liquidity on top of expected loss — it will typically show a LARGER impact.</t>
        </is>
      </c>
    </row>
    <row r="60">
      <c r="A60" s="3" t="inlineStr">
        <is>
          <t>This divergence is not an error to reconcile away; it is the same PIT-EL-vs-market-spread duality the PRA</t>
        </is>
      </c>
    </row>
    <row r="61">
      <c r="A61" s="3" t="inlineStr">
        <is>
          <t>explicitly wants firms to understand under SWES. 10_Reconciliation shows both, the ratio between them, and a</t>
        </is>
      </c>
    </row>
    <row r="62">
      <c r="A62" s="3" t="inlineStr">
        <is>
          <t>sensitivity table across Risk Premium Multiplier values — the multiplier at which the two converge is itself a</t>
        </is>
      </c>
    </row>
    <row r="63">
      <c r="A63" s="3" t="inlineStr">
        <is>
          <t>useful diagnostic (a portfolio at genuine distress should converge near 1.0x; a healthy portfolio should not).</t>
        </is>
      </c>
    </row>
    <row r="64">
      <c r="A64" s="3" t="inlineStr"/>
    </row>
    <row r="65">
      <c r="A65" s="4" t="inlineStr">
        <is>
          <t>KNOWN MODEL LIMITATIONS (disclosed, not discovered later by a validator)</t>
        </is>
      </c>
    </row>
    <row r="66">
      <c r="A66" s="3" t="inlineStr">
        <is>
          <t>Single-period Merton is intentionally decisive once Stressed EV falls below Net Debt (V&lt;F): PD jumps toward ~100%,</t>
        </is>
      </c>
    </row>
    <row r="67">
      <c r="A67" s="3" t="inlineStr">
        <is>
          <t>especially for LOW asset-volatility names, because a tight distribution around a value already below the default</t>
        </is>
      </c>
    </row>
    <row r="68">
      <c r="A68" s="3" t="inlineStr">
        <is>
          <t>point implies near-certainty of staying there at the 1-year horizon. This is correct model behaviour, not an error —</t>
        </is>
      </c>
    </row>
    <row r="69">
      <c r="A69" s="3" t="inlineStr">
        <is>
          <t>but it means a PD near 100% should be read as 'Merton-implied insolvency under this scenario', not a precise</t>
        </is>
      </c>
    </row>
    <row r="70">
      <c r="A70" s="3" t="inlineStr">
        <is>
          <t>probability estimate, and is exactly why the S&amp;P rating cross-check sits alongside it rather than standing alone.</t>
        </is>
      </c>
    </row>
    <row r="71">
      <c r="A71" s="3" t="inlineStr">
        <is>
          <t>Merton/KMV-style models are also less reliable for FINANCIALS names specifically (banks, consumer finance) —</t>
        </is>
      </c>
    </row>
    <row r="72">
      <c r="A72" s="3" t="inlineStr">
        <is>
          <t>their liabilities are not structured like industrial corporate debt, and Damodaran's measured equity volatility for</t>
        </is>
      </c>
    </row>
    <row r="73">
      <c r="A73" s="3" t="inlineStr">
        <is>
          <t>financial-services industries tends to run structurally low, which can amplify the effect above. Treat any Financials</t>
        </is>
      </c>
    </row>
    <row r="74">
      <c r="A74" s="3" t="inlineStr">
        <is>
          <t>-sector name showing a PD near 100% as a flag to investigate the specific deal, not as a portfolio-wide red flag.</t>
        </is>
      </c>
    </row>
    <row r="75">
      <c r="A75" s="3" t="inlineStr"/>
    </row>
    <row r="76">
      <c r="A76" s="4" t="inlineStr">
        <is>
          <t>WHAT'S REAL DATA VS. JUDGEMENT (green = real/sourced, blue = disclosed judgement/calibration)</t>
        </is>
      </c>
    </row>
    <row r="77">
      <c r="A77" s="3" t="inlineStr">
        <is>
          <t>REAL: Damodaran industry equity volatility &amp; D/E ratio (per GICS sub-industry, same source used all session).</t>
        </is>
      </c>
    </row>
    <row r="78">
      <c r="A78" s="3" t="inlineStr">
        <is>
          <t>REAL: S&amp;P Global long-run average 1-year default rates by rating (BB/B/CCC/C), used only as an external cross-</t>
        </is>
      </c>
    </row>
    <row r="79">
      <c r="A79" s="3" t="inlineStr">
        <is>
          <t xml:space="preserve">  check on the model output, not as a PD input.</t>
        </is>
      </c>
    </row>
    <row r="80">
      <c r="A80" s="3" t="inlineStr">
        <is>
          <t>JUDGEMENT: Risk Premium Multiplier by rating band, LGD floor/ceiling, 1-year horizon, mu=r simplification, the</t>
        </is>
      </c>
    </row>
    <row r="81">
      <c r="A81" s="3" t="inlineStr">
        <is>
          <t xml:space="preserve">  leverage-to-rating bucket thresholds. All on 6_Credit_Bridge_Assumptions, each cell individually editable and</t>
        </is>
      </c>
    </row>
    <row r="82">
      <c r="A82" s="3" t="inlineStr">
        <is>
          <t xml:space="preserve">  labelled — nothing is buried inside a formula.</t>
        </is>
      </c>
    </row>
    <row r="83">
      <c r="A83" s="3" t="inlineStr"/>
    </row>
    <row r="84">
      <c r="A84" s="4" t="inlineStr">
        <is>
          <t>SHEET GUIDE</t>
        </is>
      </c>
    </row>
    <row r="85">
      <c r="A85" s="3" t="inlineStr">
        <is>
          <t>6_Credit_Bridge_Assumptions   Merton/LGD/rating-grid/risk-premium parameters. Values only.</t>
        </is>
      </c>
    </row>
    <row r="86">
      <c r="A86" s="3" t="inlineStr">
        <is>
          <t>7_GICS_Asset_Vol              163 GICS sub-industries, real Damodaran-derived asset volatility. Values only.</t>
        </is>
      </c>
    </row>
    <row r="87">
      <c r="A87" s="3" t="inlineStr">
        <is>
          <t>8_Credit_Risk_Engine          30 deals: bottom-up Merton DD/PD, LGD, EL (baseline &amp; stressed).</t>
        </is>
      </c>
    </row>
    <row r="88">
      <c r="A88" s="3" t="inlineStr">
        <is>
          <t>9_TopDown_Spread_Engine       30 deals: EL-implied spread, credit-derived MTM, vs the exogenous SWES-spread MTM.</t>
        </is>
      </c>
    </row>
    <row r="89">
      <c r="A89" s="3" t="inlineStr">
        <is>
          <t>10_Reconciliation             Portfolio roll-up, bottom-up vs top-down comparison, sensitivity, rating cross-check.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 outlineLevelCol="0"/>
  <cols>
    <col width="46" customWidth="1" min="1" max="1"/>
    <col width="14" customWidth="1" min="2" max="2"/>
    <col width="66" customWidth="1" min="3" max="3"/>
  </cols>
  <sheetData>
    <row r="1">
      <c r="A1" s="1" t="inlineStr">
        <is>
          <t>Credit Risk Bridge parameters. Green = real/sourced data. Blue = disclosed judgement/calibration, editable.</t>
        </is>
      </c>
    </row>
    <row r="3">
      <c r="A3" s="4" t="inlineStr">
        <is>
          <t>MERTON MODEL PARAMETERS</t>
        </is>
      </c>
    </row>
    <row r="4" ht="28" customHeight="1">
      <c r="A4" s="30" t="inlineStr">
        <is>
          <t>Time Horizon T (years)</t>
        </is>
      </c>
      <c r="B4" s="12" t="n">
        <v>1</v>
      </c>
      <c r="C4" s="32" t="inlineStr">
        <is>
          <t>Standard PRA/EBA/CCAR 1-year stress horizon.</t>
        </is>
      </c>
    </row>
    <row r="5" ht="28" customHeight="1">
      <c r="A5" s="30" t="inlineStr">
        <is>
          <t>Risk-Free Rate</t>
        </is>
      </c>
      <c r="B5" s="11" t="n">
        <v>0.0525</v>
      </c>
      <c r="C5" s="32" t="inlineStr">
        <is>
          <t>Matches Current Reference Rate on 1_GICS_Shock_Input. Used as asset drift proxy (mu=r) — disclosed simplification, see 5_CreditBridge_ReadMe.</t>
        </is>
      </c>
    </row>
    <row r="7">
      <c r="A7" s="4" t="inlineStr">
        <is>
          <t>LGD PARAMETERS (collateral-coverage / stressed LTV based)</t>
        </is>
      </c>
    </row>
    <row r="8" ht="28" customHeight="1">
      <c r="A8" s="30" t="inlineStr">
        <is>
          <t>LGD Floor (fully collateralised)</t>
        </is>
      </c>
      <c r="B8" s="33" t="n">
        <v>0.3</v>
      </c>
      <c r="C8" s="32" t="inlineStr">
        <is>
          <t>~65-70% avg recovery for senior secured leveraged loans (Moody's Ultimate Recovery Database / S&amp;P LCD).</t>
        </is>
      </c>
    </row>
    <row r="9" ht="28" customHeight="1">
      <c r="A9" s="30" t="inlineStr">
        <is>
          <t>LGD Ceiling (soft cap)</t>
        </is>
      </c>
      <c r="B9" s="33" t="n">
        <v>0.9</v>
      </c>
      <c r="C9" s="32" t="inlineStr">
        <is>
          <t>Even a heavily underwater loan retains some workout/collateral value.</t>
        </is>
      </c>
    </row>
    <row r="11">
      <c r="A11" s="4" t="inlineStr">
        <is>
          <t>RATING CROSS-CHECK GRID (leverage bucket -&gt; implied rating -&gt; S&amp;P long-run 1yr default rate)</t>
        </is>
      </c>
    </row>
    <row r="12" ht="28" customHeight="1">
      <c r="A12" s="30" t="inlineStr">
        <is>
          <t>Leverage threshold: BB / B boundary (x)</t>
        </is>
      </c>
      <c r="B12" s="34" t="n">
        <v>4</v>
      </c>
      <c r="C12" s="32" t="inlineStr">
        <is>
          <t>Standard leveraged-finance credit-stats-to-rating grid.</t>
        </is>
      </c>
    </row>
    <row r="13" ht="28" customHeight="1">
      <c r="A13" s="30" t="inlineStr">
        <is>
          <t>Leverage threshold: B / CCC boundary (x)</t>
        </is>
      </c>
      <c r="B13" s="34" t="n">
        <v>6</v>
      </c>
      <c r="C13" s="32" t="inlineStr">
        <is>
          <t>Standard leveraged-finance credit-stats-to-rating grid.</t>
        </is>
      </c>
    </row>
    <row r="14" ht="28" customHeight="1">
      <c r="A14" s="30" t="inlineStr">
        <is>
          <t>BB 1-year default rate</t>
        </is>
      </c>
      <c r="B14" s="35" t="n">
        <v>0.0097</v>
      </c>
      <c r="C14" s="32" t="inlineStr">
        <is>
          <t>S&amp;P Global, Annual Global Corporate Default Study, 1981-2009 period average.</t>
        </is>
      </c>
    </row>
    <row r="15" ht="28" customHeight="1">
      <c r="A15" s="30" t="inlineStr">
        <is>
          <t>B 1-year default rate</t>
        </is>
      </c>
      <c r="B15" s="35" t="n">
        <v>0.0493</v>
      </c>
      <c r="C15" s="32" t="inlineStr">
        <is>
          <t>S&amp;P Global, Annual Global Corporate Default Study, 1981-2009 period average.</t>
        </is>
      </c>
    </row>
    <row r="16" ht="28" customHeight="1">
      <c r="A16" s="30" t="inlineStr">
        <is>
          <t>CCC/C 1-year default rate</t>
        </is>
      </c>
      <c r="B16" s="35" t="n">
        <v>0.2798</v>
      </c>
      <c r="C16" s="32" t="inlineStr">
        <is>
          <t>S&amp;P Global, Annual Global Corporate Default Study, 1981-2009 period average.</t>
        </is>
      </c>
    </row>
    <row r="18">
      <c r="A18" s="4" t="inlineStr">
        <is>
          <t>TOP-DOWN RISK PREMIUM MULTIPLIER (judgement — market spread / EL-implied spread, by rating band)</t>
        </is>
      </c>
    </row>
    <row r="19" ht="28" customHeight="1">
      <c r="A19" s="30" t="inlineStr">
        <is>
          <t>BB multiplier</t>
        </is>
      </c>
      <c r="B19" s="34" t="n">
        <v>2.5</v>
      </c>
      <c r="C19" s="32" t="inlineStr">
        <is>
          <t>Corporate-spread-decomposition literature (e.g. Elton/Gruber/Agrawal/Mann 2001): risk premium/liquidity dominate for higher-quality credits.</t>
        </is>
      </c>
    </row>
    <row r="20" ht="28" customHeight="1">
      <c r="A20" s="30" t="inlineStr">
        <is>
          <t>B multiplier</t>
        </is>
      </c>
      <c r="B20" s="34" t="n">
        <v>1.8</v>
      </c>
      <c r="C20" s="32" t="inlineStr">
        <is>
          <t>Narrowing toward actuarial value as credit quality deteriorates.</t>
        </is>
      </c>
    </row>
    <row r="21" ht="28" customHeight="1">
      <c r="A21" s="30" t="inlineStr">
        <is>
          <t>CCC/C multiplier</t>
        </is>
      </c>
      <c r="B21" s="34" t="n">
        <v>1.2</v>
      </c>
      <c r="C21" s="32" t="inlineStr">
        <is>
          <t>Near-distress: market spread converges toward actuarial expected loss.</t>
        </is>
      </c>
    </row>
  </sheetData>
  <mergeCells count="5">
    <mergeCell ref="A11:C11"/>
    <mergeCell ref="A1:C1"/>
    <mergeCell ref="A18:C18"/>
    <mergeCell ref="A3:C3"/>
    <mergeCell ref="A7:C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6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2" customWidth="1" min="1" max="1"/>
    <col width="36" customWidth="1" min="2" max="2"/>
    <col width="26" customWidth="1" min="3" max="3"/>
    <col width="16" customWidth="1" min="4" max="4"/>
    <col width="14" customWidth="1" min="5" max="5"/>
    <col width="16" customWidth="1" min="6" max="6"/>
  </cols>
  <sheetData>
    <row r="1" ht="52" customHeight="1">
      <c r="A1" t="inlineStr">
        <is>
          <t>Columns A-E: real data, values only — Damodaran industry equity volatility ('Standard deviation of equity') and D/E ratio, mapped to each GICS sub-industry via the same crosswalk used for the earlier GICS shock-propagation work this session. Column F: LIVE FORMULA — Asset (unlevered) volatility = Equity Vol / (1 + D/E), computed in Excel from columns D and E on the same row. This removes Damodaran's own sample-average leverage, leaving a capital-structure-independent business-risk figure, the correct input for Merton DD.</t>
        </is>
      </c>
    </row>
    <row r="3" ht="30" customHeight="1">
      <c r="A3" s="5" t="inlineStr">
        <is>
          <t>Sub-Ind Code</t>
        </is>
      </c>
      <c r="B3" s="5" t="inlineStr">
        <is>
          <t>Sub-Industry</t>
        </is>
      </c>
      <c r="C3" s="5" t="inlineStr">
        <is>
          <t>Damodaran Industry</t>
        </is>
      </c>
      <c r="D3" s="5" t="inlineStr">
        <is>
          <t>Equity Vol
(real)</t>
        </is>
      </c>
      <c r="E3" s="5" t="inlineStr">
        <is>
          <t>D/E Ratio
(real)</t>
        </is>
      </c>
      <c r="F3" s="5" t="inlineStr">
        <is>
          <t>Asset Vol
(=D/(1+E), live formula)</t>
        </is>
      </c>
    </row>
    <row r="4">
      <c r="A4" s="6" t="n">
        <v>10101010</v>
      </c>
      <c r="B4" s="6" t="inlineStr">
        <is>
          <t>Oil &amp; Gas Drilling</t>
        </is>
      </c>
      <c r="C4" s="6" t="inlineStr">
        <is>
          <t>Oilfield Svcs/Equip.</t>
        </is>
      </c>
      <c r="D4" s="36" t="n">
        <v>0.4831643535406242</v>
      </c>
      <c r="E4" s="37" t="n">
        <v>0.3736062386054503</v>
      </c>
      <c r="F4" s="22">
        <f>D4/(1+E4)</f>
        <v/>
      </c>
    </row>
    <row r="5">
      <c r="A5" s="6" t="n">
        <v>10101020</v>
      </c>
      <c r="B5" s="6" t="inlineStr">
        <is>
          <t>Oil &amp; Gas Equipment &amp; Services</t>
        </is>
      </c>
      <c r="C5" s="6" t="inlineStr">
        <is>
          <t>Oilfield Svcs/Equip.</t>
        </is>
      </c>
      <c r="D5" s="36" t="n">
        <v>0.4831643535406242</v>
      </c>
      <c r="E5" s="37" t="n">
        <v>0.3736062386054503</v>
      </c>
      <c r="F5" s="22">
        <f>D5/(1+E5)</f>
        <v/>
      </c>
    </row>
    <row r="6">
      <c r="A6" s="6" t="n">
        <v>10102010</v>
      </c>
      <c r="B6" s="6" t="inlineStr">
        <is>
          <t>Integrated Oil &amp; Gas</t>
        </is>
      </c>
      <c r="C6" s="6" t="inlineStr">
        <is>
          <t>Oil/Gas (Integrated)</t>
        </is>
      </c>
      <c r="D6" s="36" t="n">
        <v>0.2026827904588578</v>
      </c>
      <c r="E6" s="37" t="n">
        <v>0.1384500280550897</v>
      </c>
      <c r="F6" s="22">
        <f>D6/(1+E6)</f>
        <v/>
      </c>
    </row>
    <row r="7">
      <c r="A7" s="6" t="n">
        <v>10102020</v>
      </c>
      <c r="B7" s="6" t="inlineStr">
        <is>
          <t>Oil &amp; Gas Exploration &amp; Production</t>
        </is>
      </c>
      <c r="C7" s="6" t="inlineStr">
        <is>
          <t>Oil/Gas (Production and Exploration)</t>
        </is>
      </c>
      <c r="D7" s="36" t="n">
        <v>0.4221920097460941</v>
      </c>
      <c r="E7" s="37" t="n">
        <v>0.3758762558777869</v>
      </c>
      <c r="F7" s="22">
        <f>D7/(1+E7)</f>
        <v/>
      </c>
    </row>
    <row r="8">
      <c r="A8" s="6" t="n">
        <v>10102030</v>
      </c>
      <c r="B8" s="6" t="inlineStr">
        <is>
          <t>Oil &amp; Gas Refining &amp; Marketing</t>
        </is>
      </c>
      <c r="C8" s="6" t="inlineStr">
        <is>
          <t>Oil/Gas Distribution</t>
        </is>
      </c>
      <c r="D8" s="36" t="n">
        <v>0.4224037245326557</v>
      </c>
      <c r="E8" s="37" t="n">
        <v>0.5852713715207659</v>
      </c>
      <c r="F8" s="22">
        <f>D8/(1+E8)</f>
        <v/>
      </c>
    </row>
    <row r="9">
      <c r="A9" s="6" t="n">
        <v>10102040</v>
      </c>
      <c r="B9" s="6" t="inlineStr">
        <is>
          <t>Oil &amp; Gas Storage &amp; Transportation</t>
        </is>
      </c>
      <c r="C9" s="6" t="inlineStr">
        <is>
          <t>Oil/Gas Distribution</t>
        </is>
      </c>
      <c r="D9" s="36" t="n">
        <v>0.4224037245326557</v>
      </c>
      <c r="E9" s="37" t="n">
        <v>0.5852713715207659</v>
      </c>
      <c r="F9" s="22">
        <f>D9/(1+E9)</f>
        <v/>
      </c>
    </row>
    <row r="10">
      <c r="A10" s="6" t="n">
        <v>10102050</v>
      </c>
      <c r="B10" s="6" t="inlineStr">
        <is>
          <t>Coal &amp; Consumable Fuels</t>
        </is>
      </c>
      <c r="C10" s="6" t="inlineStr">
        <is>
          <t>Coal &amp; Related Energy</t>
        </is>
      </c>
      <c r="D10" s="36" t="n">
        <v>0.6431490912216578</v>
      </c>
      <c r="E10" s="37" t="n">
        <v>0.07142984737214478</v>
      </c>
      <c r="F10" s="22">
        <f>D10/(1+E10)</f>
        <v/>
      </c>
    </row>
    <row r="11">
      <c r="A11" s="6" t="n">
        <v>15101010</v>
      </c>
      <c r="B11" s="6" t="inlineStr">
        <is>
          <t>Commodity Chemicals</t>
        </is>
      </c>
      <c r="C11" s="6" t="inlineStr">
        <is>
          <t>Chemical (Basic)</t>
        </is>
      </c>
      <c r="D11" s="36" t="n">
        <v>0.4580970692608343</v>
      </c>
      <c r="E11" s="37" t="n">
        <v>0.9935397565078776</v>
      </c>
      <c r="F11" s="22">
        <f>D11/(1+E11)</f>
        <v/>
      </c>
    </row>
    <row r="12">
      <c r="A12" s="6" t="n">
        <v>15101020</v>
      </c>
      <c r="B12" s="6" t="inlineStr">
        <is>
          <t>Diversified Chemicals</t>
        </is>
      </c>
      <c r="C12" s="6" t="inlineStr">
        <is>
          <t>Chemical (Diversified)</t>
        </is>
      </c>
      <c r="D12" s="36" t="n">
        <v>0.3903520023839609</v>
      </c>
      <c r="E12" s="37" t="n">
        <v>1.761099887797016</v>
      </c>
      <c r="F12" s="22">
        <f>D12/(1+E12)</f>
        <v/>
      </c>
    </row>
    <row r="13">
      <c r="A13" s="6" t="n">
        <v>15101030</v>
      </c>
      <c r="B13" s="6" t="inlineStr">
        <is>
          <t>Fertilizers &amp; Agricultural Chemicals</t>
        </is>
      </c>
      <c r="C13" s="6" t="inlineStr">
        <is>
          <t>Chemical (Basic)</t>
        </is>
      </c>
      <c r="D13" s="36" t="n">
        <v>0.4580970692608343</v>
      </c>
      <c r="E13" s="37" t="n">
        <v>0.9935397565078776</v>
      </c>
      <c r="F13" s="22">
        <f>D13/(1+E13)</f>
        <v/>
      </c>
    </row>
    <row r="14">
      <c r="A14" s="6" t="n">
        <v>15101040</v>
      </c>
      <c r="B14" s="6" t="inlineStr">
        <is>
          <t>Industrial Gases</t>
        </is>
      </c>
      <c r="C14" s="6" t="inlineStr">
        <is>
          <t>Chemical (Specialty)</t>
        </is>
      </c>
      <c r="D14" s="36" t="n">
        <v>0.4230516095475031</v>
      </c>
      <c r="E14" s="37" t="n">
        <v>0.2988296237371031</v>
      </c>
      <c r="F14" s="22">
        <f>D14/(1+E14)</f>
        <v/>
      </c>
    </row>
    <row r="15">
      <c r="A15" s="6" t="n">
        <v>15101050</v>
      </c>
      <c r="B15" s="6" t="inlineStr">
        <is>
          <t>Specialty Chemicals</t>
        </is>
      </c>
      <c r="C15" s="6" t="inlineStr">
        <is>
          <t>Chemical (Specialty)</t>
        </is>
      </c>
      <c r="D15" s="36" t="n">
        <v>0.4230516095475031</v>
      </c>
      <c r="E15" s="37" t="n">
        <v>0.2988296237371031</v>
      </c>
      <c r="F15" s="22">
        <f>D15/(1+E15)</f>
        <v/>
      </c>
    </row>
    <row r="16">
      <c r="A16" s="6" t="n">
        <v>15102010</v>
      </c>
      <c r="B16" s="6" t="inlineStr">
        <is>
          <t>Construction Materials</t>
        </is>
      </c>
      <c r="C16" s="6" t="inlineStr">
        <is>
          <t>Construction Supplies</t>
        </is>
      </c>
      <c r="D16" s="36" t="n">
        <v>0.3551332113586579</v>
      </c>
      <c r="E16" s="37" t="n">
        <v>0.176219493393375</v>
      </c>
      <c r="F16" s="22">
        <f>D16/(1+E16)</f>
        <v/>
      </c>
    </row>
    <row r="17">
      <c r="A17" s="6" t="n">
        <v>15103010</v>
      </c>
      <c r="B17" s="6" t="inlineStr">
        <is>
          <t>Metal, Glass &amp; Plastic Containers</t>
        </is>
      </c>
      <c r="C17" s="6" t="inlineStr">
        <is>
          <t>Packaging &amp; Container</t>
        </is>
      </c>
      <c r="D17" s="36" t="n">
        <v>0.2544790914399858</v>
      </c>
      <c r="E17" s="37" t="n">
        <v>0.55109591650755</v>
      </c>
      <c r="F17" s="22">
        <f>D17/(1+E17)</f>
        <v/>
      </c>
    </row>
    <row r="18">
      <c r="A18" s="6" t="n">
        <v>15103020</v>
      </c>
      <c r="B18" s="6" t="inlineStr">
        <is>
          <t>Paper &amp; Plastic Packaging Products &amp; Materials</t>
        </is>
      </c>
      <c r="C18" s="6" t="inlineStr">
        <is>
          <t>Packaging &amp; Container</t>
        </is>
      </c>
      <c r="D18" s="36" t="n">
        <v>0.2544790914399858</v>
      </c>
      <c r="E18" s="37" t="n">
        <v>0.55109591650755</v>
      </c>
      <c r="F18" s="22">
        <f>D18/(1+E18)</f>
        <v/>
      </c>
    </row>
    <row r="19">
      <c r="A19" s="6" t="n">
        <v>15104010</v>
      </c>
      <c r="B19" s="6" t="inlineStr">
        <is>
          <t>Aluminum</t>
        </is>
      </c>
      <c r="C19" s="6" t="inlineStr">
        <is>
          <t>Metals &amp; Mining</t>
        </is>
      </c>
      <c r="D19" s="36" t="n">
        <v>0.7756025957468325</v>
      </c>
      <c r="E19" s="37" t="n">
        <v>0.1098452128204907</v>
      </c>
      <c r="F19" s="22">
        <f>D19/(1+E19)</f>
        <v/>
      </c>
    </row>
    <row r="20">
      <c r="A20" s="6" t="n">
        <v>15104020</v>
      </c>
      <c r="B20" s="6" t="inlineStr">
        <is>
          <t>Diversified Metals &amp; Mining</t>
        </is>
      </c>
      <c r="C20" s="6" t="inlineStr">
        <is>
          <t>Metals &amp; Mining</t>
        </is>
      </c>
      <c r="D20" s="36" t="n">
        <v>0.7756025957468325</v>
      </c>
      <c r="E20" s="37" t="n">
        <v>0.1098452128204907</v>
      </c>
      <c r="F20" s="22">
        <f>D20/(1+E20)</f>
        <v/>
      </c>
    </row>
    <row r="21">
      <c r="A21" s="6" t="n">
        <v>15104025</v>
      </c>
      <c r="B21" s="6" t="inlineStr">
        <is>
          <t>Copper</t>
        </is>
      </c>
      <c r="C21" s="6" t="inlineStr">
        <is>
          <t>Metals &amp; Mining</t>
        </is>
      </c>
      <c r="D21" s="36" t="n">
        <v>0.7756025957468325</v>
      </c>
      <c r="E21" s="37" t="n">
        <v>0.1098452128204907</v>
      </c>
      <c r="F21" s="22">
        <f>D21/(1+E21)</f>
        <v/>
      </c>
    </row>
    <row r="22">
      <c r="A22" s="6" t="n">
        <v>15104030</v>
      </c>
      <c r="B22" s="6" t="inlineStr">
        <is>
          <t>Gold</t>
        </is>
      </c>
      <c r="C22" s="6" t="inlineStr">
        <is>
          <t>Precious Metals</t>
        </is>
      </c>
      <c r="D22" s="36" t="n">
        <v>0.6994720354601837</v>
      </c>
      <c r="E22" s="37" t="n">
        <v>0.07281104300881082</v>
      </c>
      <c r="F22" s="22">
        <f>D22/(1+E22)</f>
        <v/>
      </c>
    </row>
    <row r="23">
      <c r="A23" s="6" t="n">
        <v>15104040</v>
      </c>
      <c r="B23" s="6" t="inlineStr">
        <is>
          <t>Precious Metals &amp; Minerals</t>
        </is>
      </c>
      <c r="C23" s="6" t="inlineStr">
        <is>
          <t>Precious Metals</t>
        </is>
      </c>
      <c r="D23" s="36" t="n">
        <v>0.6994720354601837</v>
      </c>
      <c r="E23" s="37" t="n">
        <v>0.07281104300881082</v>
      </c>
      <c r="F23" s="22">
        <f>D23/(1+E23)</f>
        <v/>
      </c>
    </row>
    <row r="24">
      <c r="A24" s="6" t="n">
        <v>15104045</v>
      </c>
      <c r="B24" s="6" t="inlineStr">
        <is>
          <t>Silver</t>
        </is>
      </c>
      <c r="C24" s="6" t="inlineStr">
        <is>
          <t>Precious Metals</t>
        </is>
      </c>
      <c r="D24" s="36" t="n">
        <v>0.6994720354601837</v>
      </c>
      <c r="E24" s="37" t="n">
        <v>0.07281104300881082</v>
      </c>
      <c r="F24" s="22">
        <f>D24/(1+E24)</f>
        <v/>
      </c>
    </row>
    <row r="25">
      <c r="A25" s="6" t="n">
        <v>15104050</v>
      </c>
      <c r="B25" s="6" t="inlineStr">
        <is>
          <t>Steel</t>
        </is>
      </c>
      <c r="C25" s="6" t="inlineStr">
        <is>
          <t>Steel</t>
        </is>
      </c>
      <c r="D25" s="36" t="n">
        <v>0.3850985479390227</v>
      </c>
      <c r="E25" s="37" t="n">
        <v>0.2351292538992214</v>
      </c>
      <c r="F25" s="22">
        <f>D25/(1+E25)</f>
        <v/>
      </c>
    </row>
    <row r="26">
      <c r="A26" s="6" t="n">
        <v>15105010</v>
      </c>
      <c r="B26" s="6" t="inlineStr">
        <is>
          <t>Forest Products</t>
        </is>
      </c>
      <c r="C26" s="6" t="inlineStr">
        <is>
          <t>Paper/Forest Products</t>
        </is>
      </c>
      <c r="D26" s="36" t="n">
        <v>0.5694450238249283</v>
      </c>
      <c r="E26" s="37" t="n">
        <v>0.4368817616068936</v>
      </c>
      <c r="F26" s="22">
        <f>D26/(1+E26)</f>
        <v/>
      </c>
    </row>
    <row r="27">
      <c r="A27" s="6" t="n">
        <v>15105020</v>
      </c>
      <c r="B27" s="6" t="inlineStr">
        <is>
          <t>Paper Products</t>
        </is>
      </c>
      <c r="C27" s="6" t="inlineStr">
        <is>
          <t>Paper/Forest Products</t>
        </is>
      </c>
      <c r="D27" s="36" t="n">
        <v>0.5694450238249283</v>
      </c>
      <c r="E27" s="37" t="n">
        <v>0.4368817616068936</v>
      </c>
      <c r="F27" s="22">
        <f>D27/(1+E27)</f>
        <v/>
      </c>
    </row>
    <row r="28">
      <c r="A28" s="6" t="n">
        <v>20101010</v>
      </c>
      <c r="B28" s="6" t="inlineStr">
        <is>
          <t>Aerospace &amp; Defense</t>
        </is>
      </c>
      <c r="C28" s="6" t="inlineStr">
        <is>
          <t>Aerospace/Defense</t>
        </is>
      </c>
      <c r="D28" s="36" t="n">
        <v>0.4645229995086378</v>
      </c>
      <c r="E28" s="37" t="n">
        <v>0.1556259774178424</v>
      </c>
      <c r="F28" s="22">
        <f>D28/(1+E28)</f>
        <v/>
      </c>
    </row>
    <row r="29">
      <c r="A29" s="6" t="n">
        <v>20102010</v>
      </c>
      <c r="B29" s="6" t="inlineStr">
        <is>
          <t>Building Products</t>
        </is>
      </c>
      <c r="C29" s="6" t="inlineStr">
        <is>
          <t>Building Materials</t>
        </is>
      </c>
      <c r="D29" s="36" t="n">
        <v>0.3528210091019042</v>
      </c>
      <c r="E29" s="37" t="n">
        <v>0.2599830392452558</v>
      </c>
      <c r="F29" s="22">
        <f>D29/(1+E29)</f>
        <v/>
      </c>
    </row>
    <row r="30">
      <c r="A30" s="6" t="n">
        <v>20103010</v>
      </c>
      <c r="B30" s="6" t="inlineStr">
        <is>
          <t>Construction &amp; Engineering</t>
        </is>
      </c>
      <c r="C30" s="6" t="inlineStr">
        <is>
          <t>Engineering/Construction</t>
        </is>
      </c>
      <c r="D30" s="36" t="n">
        <v>0.4592364631713382</v>
      </c>
      <c r="E30" s="37" t="n">
        <v>0.1401147535589371</v>
      </c>
      <c r="F30" s="22">
        <f>D30/(1+E30)</f>
        <v/>
      </c>
    </row>
    <row r="31">
      <c r="A31" s="6" t="n">
        <v>20104010</v>
      </c>
      <c r="B31" s="6" t="inlineStr">
        <is>
          <t>Electrical Components &amp; Equipment</t>
        </is>
      </c>
      <c r="C31" s="6" t="inlineStr">
        <is>
          <t>Electrical Equipment</t>
        </is>
      </c>
      <c r="D31" s="36" t="n">
        <v>0.7271388016174681</v>
      </c>
      <c r="E31" s="37" t="n">
        <v>0.1200322888564449</v>
      </c>
      <c r="F31" s="22">
        <f>D31/(1+E31)</f>
        <v/>
      </c>
    </row>
    <row r="32">
      <c r="A32" s="6" t="n">
        <v>20104020</v>
      </c>
      <c r="B32" s="6" t="inlineStr">
        <is>
          <t>Heavy Electrical Equipment</t>
        </is>
      </c>
      <c r="C32" s="6" t="inlineStr">
        <is>
          <t>Electrical Equipment</t>
        </is>
      </c>
      <c r="D32" s="36" t="n">
        <v>0.7271388016174681</v>
      </c>
      <c r="E32" s="37" t="n">
        <v>0.1200322888564449</v>
      </c>
      <c r="F32" s="22">
        <f>D32/(1+E32)</f>
        <v/>
      </c>
    </row>
    <row r="33">
      <c r="A33" s="6" t="n">
        <v>20105010</v>
      </c>
      <c r="B33" s="6" t="inlineStr">
        <is>
          <t>Industrial Conglomerates</t>
        </is>
      </c>
      <c r="C33" s="6" t="inlineStr">
        <is>
          <t>Diversified</t>
        </is>
      </c>
      <c r="D33" s="36" t="n">
        <v>0.2841172358254972</v>
      </c>
      <c r="E33" s="37" t="n">
        <v>0.155527021991128</v>
      </c>
      <c r="F33" s="22">
        <f>D33/(1+E33)</f>
        <v/>
      </c>
    </row>
    <row r="34">
      <c r="A34" s="6" t="n">
        <v>20106010</v>
      </c>
      <c r="B34" s="6" t="inlineStr">
        <is>
          <t>Construction Machinery &amp; Heavy Transportation Equipment</t>
        </is>
      </c>
      <c r="C34" s="6" t="inlineStr">
        <is>
          <t>Machinery</t>
        </is>
      </c>
      <c r="D34" s="36" t="n">
        <v>0.4503411666073636</v>
      </c>
      <c r="E34" s="37" t="n">
        <v>0.146923015527636</v>
      </c>
      <c r="F34" s="22">
        <f>D34/(1+E34)</f>
        <v/>
      </c>
    </row>
    <row r="35">
      <c r="A35" s="6" t="n">
        <v>20106015</v>
      </c>
      <c r="B35" s="6" t="inlineStr">
        <is>
          <t>Agricultural &amp; Farm Machinery</t>
        </is>
      </c>
      <c r="C35" s="6" t="inlineStr">
        <is>
          <t>Machinery</t>
        </is>
      </c>
      <c r="D35" s="36" t="n">
        <v>0.4503411666073636</v>
      </c>
      <c r="E35" s="37" t="n">
        <v>0.146923015527636</v>
      </c>
      <c r="F35" s="22">
        <f>D35/(1+E35)</f>
        <v/>
      </c>
    </row>
    <row r="36">
      <c r="A36" s="6" t="n">
        <v>20106020</v>
      </c>
      <c r="B36" s="6" t="inlineStr">
        <is>
          <t>Industrial Machinery &amp; Supplies &amp; Components</t>
        </is>
      </c>
      <c r="C36" s="6" t="inlineStr">
        <is>
          <t>Machinery</t>
        </is>
      </c>
      <c r="D36" s="36" t="n">
        <v>0.4503411666073636</v>
      </c>
      <c r="E36" s="37" t="n">
        <v>0.146923015527636</v>
      </c>
      <c r="F36" s="22">
        <f>D36/(1+E36)</f>
        <v/>
      </c>
    </row>
    <row r="37">
      <c r="A37" s="6" t="n">
        <v>20107010</v>
      </c>
      <c r="B37" s="6" t="inlineStr">
        <is>
          <t>Trading Companies &amp; Distributors</t>
        </is>
      </c>
      <c r="C37" s="6" t="inlineStr">
        <is>
          <t>Retail (Distributors)</t>
        </is>
      </c>
      <c r="D37" s="36" t="n">
        <v>0.3929235163979659</v>
      </c>
      <c r="E37" s="37" t="n">
        <v>0.2823636659199003</v>
      </c>
      <c r="F37" s="22">
        <f>D37/(1+E37)</f>
        <v/>
      </c>
    </row>
    <row r="38">
      <c r="A38" s="6" t="n">
        <v>20201010</v>
      </c>
      <c r="B38" s="6" t="inlineStr">
        <is>
          <t>Commercial Printing</t>
        </is>
      </c>
      <c r="C38" s="6" t="inlineStr">
        <is>
          <t>Business &amp; Consumer Services</t>
        </is>
      </c>
      <c r="D38" s="36" t="n">
        <v>0.4110699163971621</v>
      </c>
      <c r="E38" s="37" t="n">
        <v>0.1971610017047299</v>
      </c>
      <c r="F38" s="22">
        <f>D38/(1+E38)</f>
        <v/>
      </c>
    </row>
    <row r="39">
      <c r="A39" s="6" t="n">
        <v>20201050</v>
      </c>
      <c r="B39" s="6" t="inlineStr">
        <is>
          <t>Environmental &amp; Facilities Services</t>
        </is>
      </c>
      <c r="C39" s="6" t="inlineStr">
        <is>
          <t>Environmental &amp; Waste Services</t>
        </is>
      </c>
      <c r="D39" s="36" t="n">
        <v>0.5491271709973529</v>
      </c>
      <c r="E39" s="37" t="n">
        <v>0.2144746613305266</v>
      </c>
      <c r="F39" s="22">
        <f>D39/(1+E39)</f>
        <v/>
      </c>
    </row>
    <row r="40">
      <c r="A40" s="6" t="n">
        <v>20201060</v>
      </c>
      <c r="B40" s="6" t="inlineStr">
        <is>
          <t>Office Services &amp; Supplies</t>
        </is>
      </c>
      <c r="C40" s="6" t="inlineStr">
        <is>
          <t>Office Equipment &amp; Services</t>
        </is>
      </c>
      <c r="D40" s="36" t="n">
        <v>0.3960756696465002</v>
      </c>
      <c r="E40" s="37" t="n">
        <v>0.4810247634925184</v>
      </c>
      <c r="F40" s="22">
        <f>D40/(1+E40)</f>
        <v/>
      </c>
    </row>
    <row r="41">
      <c r="A41" s="6" t="n">
        <v>20201070</v>
      </c>
      <c r="B41" s="6" t="inlineStr">
        <is>
          <t>Diversified Support Services</t>
        </is>
      </c>
      <c r="C41" s="6" t="inlineStr">
        <is>
          <t>Business &amp; Consumer Services</t>
        </is>
      </c>
      <c r="D41" s="36" t="n">
        <v>0.4110699163971621</v>
      </c>
      <c r="E41" s="37" t="n">
        <v>0.1971610017047299</v>
      </c>
      <c r="F41" s="22">
        <f>D41/(1+E41)</f>
        <v/>
      </c>
    </row>
    <row r="42">
      <c r="A42" s="6" t="n">
        <v>20201080</v>
      </c>
      <c r="B42" s="6" t="inlineStr">
        <is>
          <t>Security &amp; Alarm Services</t>
        </is>
      </c>
      <c r="C42" s="6" t="inlineStr">
        <is>
          <t>Business &amp; Consumer Services</t>
        </is>
      </c>
      <c r="D42" s="36" t="n">
        <v>0.4110699163971621</v>
      </c>
      <c r="E42" s="37" t="n">
        <v>0.1971610017047299</v>
      </c>
      <c r="F42" s="22">
        <f>D42/(1+E42)</f>
        <v/>
      </c>
    </row>
    <row r="43">
      <c r="A43" s="6" t="n">
        <v>20202010</v>
      </c>
      <c r="B43" s="6" t="inlineStr">
        <is>
          <t>Human Resource &amp; Employment Services</t>
        </is>
      </c>
      <c r="C43" s="6" t="inlineStr">
        <is>
          <t>Business &amp; Consumer Services</t>
        </is>
      </c>
      <c r="D43" s="36" t="n">
        <v>0.4110699163971621</v>
      </c>
      <c r="E43" s="37" t="n">
        <v>0.1971610017047299</v>
      </c>
      <c r="F43" s="22">
        <f>D43/(1+E43)</f>
        <v/>
      </c>
    </row>
    <row r="44">
      <c r="A44" s="6" t="n">
        <v>20202020</v>
      </c>
      <c r="B44" s="6" t="inlineStr">
        <is>
          <t>Research &amp; Consulting Services</t>
        </is>
      </c>
      <c r="C44" s="6" t="inlineStr">
        <is>
          <t>Business &amp; Consumer Services</t>
        </is>
      </c>
      <c r="D44" s="36" t="n">
        <v>0.4110699163971621</v>
      </c>
      <c r="E44" s="37" t="n">
        <v>0.1971610017047299</v>
      </c>
      <c r="F44" s="22">
        <f>D44/(1+E44)</f>
        <v/>
      </c>
    </row>
    <row r="45">
      <c r="A45" s="6" t="n">
        <v>20202030</v>
      </c>
      <c r="B45" s="6" t="inlineStr">
        <is>
          <t>Data Processing &amp; Outsourced Services</t>
        </is>
      </c>
      <c r="C45" s="6" t="inlineStr">
        <is>
          <t>Computer Services</t>
        </is>
      </c>
      <c r="D45" s="36" t="n">
        <v>0.5342530314325552</v>
      </c>
      <c r="E45" s="37" t="n">
        <v>0.2510012259609475</v>
      </c>
      <c r="F45" s="22">
        <f>D45/(1+E45)</f>
        <v/>
      </c>
    </row>
    <row r="46">
      <c r="A46" s="6" t="n">
        <v>20301010</v>
      </c>
      <c r="B46" s="6" t="inlineStr">
        <is>
          <t>Air Freight &amp; Logistics</t>
        </is>
      </c>
      <c r="C46" s="6" t="inlineStr">
        <is>
          <t>Transportation</t>
        </is>
      </c>
      <c r="D46" s="36" t="n">
        <v>0.381329406156173</v>
      </c>
      <c r="E46" s="37" t="n">
        <v>0.3644955938376248</v>
      </c>
      <c r="F46" s="22">
        <f>D46/(1+E46)</f>
        <v/>
      </c>
    </row>
    <row r="47">
      <c r="A47" s="6" t="n">
        <v>20302010</v>
      </c>
      <c r="B47" s="6" t="inlineStr">
        <is>
          <t>Passenger Airlines</t>
        </is>
      </c>
      <c r="C47" s="6" t="inlineStr">
        <is>
          <t>Air Transport</t>
        </is>
      </c>
      <c r="D47" s="36" t="n">
        <v>0.590043262853523</v>
      </c>
      <c r="E47" s="37" t="n">
        <v>0.91170567766528</v>
      </c>
      <c r="F47" s="22">
        <f>D47/(1+E47)</f>
        <v/>
      </c>
    </row>
    <row r="48">
      <c r="A48" s="6" t="n">
        <v>20303010</v>
      </c>
      <c r="B48" s="6" t="inlineStr">
        <is>
          <t>Marine Transportation</t>
        </is>
      </c>
      <c r="C48" s="6" t="inlineStr">
        <is>
          <t>Shipbuilding &amp; Marine</t>
        </is>
      </c>
      <c r="D48" s="36" t="n">
        <v>0.500867632683849</v>
      </c>
      <c r="E48" s="37" t="n">
        <v>0.2255019664788323</v>
      </c>
      <c r="F48" s="22">
        <f>D48/(1+E48)</f>
        <v/>
      </c>
    </row>
    <row r="49">
      <c r="A49" s="6" t="n">
        <v>20304010</v>
      </c>
      <c r="B49" s="6" t="inlineStr">
        <is>
          <t>Rail Transportation</t>
        </is>
      </c>
      <c r="C49" s="6" t="inlineStr">
        <is>
          <t>Transportation (Railroads)</t>
        </is>
      </c>
      <c r="D49" s="36" t="n">
        <v>0.2389848583668918</v>
      </c>
      <c r="E49" s="37" t="n">
        <v>0.2779156347027222</v>
      </c>
      <c r="F49" s="22">
        <f>D49/(1+E49)</f>
        <v/>
      </c>
    </row>
    <row r="50">
      <c r="A50" s="6" t="n">
        <v>20304030</v>
      </c>
      <c r="B50" s="6" t="inlineStr">
        <is>
          <t>Cargo Ground Transportation</t>
        </is>
      </c>
      <c r="C50" s="6" t="inlineStr">
        <is>
          <t>Trucking</t>
        </is>
      </c>
      <c r="D50" s="36" t="n">
        <v>0.3529091741098341</v>
      </c>
      <c r="E50" s="37" t="n">
        <v>0.252316484517862</v>
      </c>
      <c r="F50" s="22">
        <f>D50/(1+E50)</f>
        <v/>
      </c>
    </row>
    <row r="51">
      <c r="A51" s="6" t="n">
        <v>20304040</v>
      </c>
      <c r="B51" s="6" t="inlineStr">
        <is>
          <t>Passenger Ground Transportation</t>
        </is>
      </c>
      <c r="C51" s="6" t="inlineStr">
        <is>
          <t>Transportation</t>
        </is>
      </c>
      <c r="D51" s="36" t="n">
        <v>0.381329406156173</v>
      </c>
      <c r="E51" s="37" t="n">
        <v>0.3644955938376248</v>
      </c>
      <c r="F51" s="22">
        <f>D51/(1+E51)</f>
        <v/>
      </c>
    </row>
    <row r="52">
      <c r="A52" s="6" t="n">
        <v>20305010</v>
      </c>
      <c r="B52" s="6" t="inlineStr">
        <is>
          <t>Airport Services</t>
        </is>
      </c>
      <c r="C52" s="6" t="inlineStr">
        <is>
          <t>Transportation</t>
        </is>
      </c>
      <c r="D52" s="36" t="n">
        <v>0.381329406156173</v>
      </c>
      <c r="E52" s="37" t="n">
        <v>0.3644955938376248</v>
      </c>
      <c r="F52" s="22">
        <f>D52/(1+E52)</f>
        <v/>
      </c>
    </row>
    <row r="53">
      <c r="A53" s="6" t="n">
        <v>20305020</v>
      </c>
      <c r="B53" s="6" t="inlineStr">
        <is>
          <t>Highways &amp; Railtracks</t>
        </is>
      </c>
      <c r="C53" s="6" t="inlineStr">
        <is>
          <t>Transportation (Railroads)</t>
        </is>
      </c>
      <c r="D53" s="36" t="n">
        <v>0.2389848583668918</v>
      </c>
      <c r="E53" s="37" t="n">
        <v>0.2779156347027222</v>
      </c>
      <c r="F53" s="22">
        <f>D53/(1+E53)</f>
        <v/>
      </c>
    </row>
    <row r="54">
      <c r="A54" s="6" t="n">
        <v>20305030</v>
      </c>
      <c r="B54" s="6" t="inlineStr">
        <is>
          <t>Marine Ports &amp; Services</t>
        </is>
      </c>
      <c r="C54" s="6" t="inlineStr">
        <is>
          <t>Transportation</t>
        </is>
      </c>
      <c r="D54" s="36" t="n">
        <v>0.381329406156173</v>
      </c>
      <c r="E54" s="37" t="n">
        <v>0.3644955938376248</v>
      </c>
      <c r="F54" s="22">
        <f>D54/(1+E54)</f>
        <v/>
      </c>
    </row>
    <row r="55">
      <c r="A55" s="6" t="n">
        <v>25101010</v>
      </c>
      <c r="B55" s="6" t="inlineStr">
        <is>
          <t>Automotive Parts &amp; Equipment</t>
        </is>
      </c>
      <c r="C55" s="6" t="inlineStr">
        <is>
          <t>Auto Parts</t>
        </is>
      </c>
      <c r="D55" s="36" t="n">
        <v>0.4987204042985499</v>
      </c>
      <c r="E55" s="37" t="n">
        <v>0.4146400386187307</v>
      </c>
      <c r="F55" s="22">
        <f>D55/(1+E55)</f>
        <v/>
      </c>
    </row>
    <row r="56">
      <c r="A56" s="6" t="n">
        <v>25101020</v>
      </c>
      <c r="B56" s="6" t="inlineStr">
        <is>
          <t>Tires &amp; Rubber</t>
        </is>
      </c>
      <c r="C56" s="6" t="inlineStr">
        <is>
          <t>Rubber&amp; Tires</t>
        </is>
      </c>
      <c r="D56" s="36" t="n">
        <v>0.5076716036736197</v>
      </c>
      <c r="E56" s="37" t="n">
        <v>3.584723598407843</v>
      </c>
      <c r="F56" s="22">
        <f>D56/(1+E56)</f>
        <v/>
      </c>
    </row>
    <row r="57">
      <c r="A57" s="6" t="n">
        <v>25102010</v>
      </c>
      <c r="B57" s="6" t="inlineStr">
        <is>
          <t>Automobile Manufacturers</t>
        </is>
      </c>
      <c r="C57" s="6" t="inlineStr">
        <is>
          <t>Auto &amp; Truck</t>
        </is>
      </c>
      <c r="D57" s="36" t="n">
        <v>0.6183460542354303</v>
      </c>
      <c r="E57" s="37" t="n">
        <v>0.1969587985374462</v>
      </c>
      <c r="F57" s="22">
        <f>D57/(1+E57)</f>
        <v/>
      </c>
    </row>
    <row r="58">
      <c r="A58" s="6" t="n">
        <v>25102020</v>
      </c>
      <c r="B58" s="6" t="inlineStr">
        <is>
          <t>Motorcycle Manufacturers</t>
        </is>
      </c>
      <c r="C58" s="6" t="inlineStr">
        <is>
          <t>Auto &amp; Truck</t>
        </is>
      </c>
      <c r="D58" s="36" t="n">
        <v>0.6183460542354303</v>
      </c>
      <c r="E58" s="37" t="n">
        <v>0.1969587985374462</v>
      </c>
      <c r="F58" s="22">
        <f>D58/(1+E58)</f>
        <v/>
      </c>
    </row>
    <row r="59">
      <c r="A59" s="6" t="n">
        <v>25201010</v>
      </c>
      <c r="B59" s="6" t="inlineStr">
        <is>
          <t>Consumer Electronics</t>
        </is>
      </c>
      <c r="C59" s="6" t="inlineStr">
        <is>
          <t>Electronics (Consumer &amp; Office)</t>
        </is>
      </c>
      <c r="D59" s="36" t="n">
        <v>0.7018361349746528</v>
      </c>
      <c r="E59" s="37" t="n">
        <v>0.05804313853844197</v>
      </c>
      <c r="F59" s="22">
        <f>D59/(1+E59)</f>
        <v/>
      </c>
    </row>
    <row r="60">
      <c r="A60" s="6" t="n">
        <v>25201020</v>
      </c>
      <c r="B60" s="6" t="inlineStr">
        <is>
          <t>Home Furnishings</t>
        </is>
      </c>
      <c r="C60" s="6" t="inlineStr">
        <is>
          <t>Furn/Home Furnishings</t>
        </is>
      </c>
      <c r="D60" s="36" t="n">
        <v>0.5150986273981181</v>
      </c>
      <c r="E60" s="37" t="n">
        <v>0.4233337456808395</v>
      </c>
      <c r="F60" s="22">
        <f>D60/(1+E60)</f>
        <v/>
      </c>
    </row>
    <row r="61">
      <c r="A61" s="6" t="n">
        <v>25201030</v>
      </c>
      <c r="B61" s="6" t="inlineStr">
        <is>
          <t>Homebuilding</t>
        </is>
      </c>
      <c r="C61" s="6" t="inlineStr">
        <is>
          <t>Homebuilding</t>
        </is>
      </c>
      <c r="D61" s="36" t="n">
        <v>0.327940466753169</v>
      </c>
      <c r="E61" s="37" t="n">
        <v>0.213441505538572</v>
      </c>
      <c r="F61" s="22">
        <f>D61/(1+E61)</f>
        <v/>
      </c>
    </row>
    <row r="62">
      <c r="A62" s="6" t="n">
        <v>25201040</v>
      </c>
      <c r="B62" s="6" t="inlineStr">
        <is>
          <t>Household Appliances</t>
        </is>
      </c>
      <c r="C62" s="6" t="inlineStr">
        <is>
          <t>Furn/Home Furnishings</t>
        </is>
      </c>
      <c r="D62" s="36" t="n">
        <v>0.5150986273981181</v>
      </c>
      <c r="E62" s="37" t="n">
        <v>0.4233337456808395</v>
      </c>
      <c r="F62" s="22">
        <f>D62/(1+E62)</f>
        <v/>
      </c>
    </row>
    <row r="63">
      <c r="A63" s="6" t="n">
        <v>25201050</v>
      </c>
      <c r="B63" s="6" t="inlineStr">
        <is>
          <t>Housewares &amp; Specialties</t>
        </is>
      </c>
      <c r="C63" s="6" t="inlineStr">
        <is>
          <t>Furn/Home Furnishings</t>
        </is>
      </c>
      <c r="D63" s="36" t="n">
        <v>0.5150986273981181</v>
      </c>
      <c r="E63" s="37" t="n">
        <v>0.4233337456808395</v>
      </c>
      <c r="F63" s="22">
        <f>D63/(1+E63)</f>
        <v/>
      </c>
    </row>
    <row r="64">
      <c r="A64" s="6" t="n">
        <v>25202010</v>
      </c>
      <c r="B64" s="6" t="inlineStr">
        <is>
          <t>Leisure Products</t>
        </is>
      </c>
      <c r="C64" s="6" t="inlineStr">
        <is>
          <t>Recreation</t>
        </is>
      </c>
      <c r="D64" s="36" t="n">
        <v>0.4830813033858449</v>
      </c>
      <c r="E64" s="37" t="n">
        <v>0.6299053181462322</v>
      </c>
      <c r="F64" s="22">
        <f>D64/(1+E64)</f>
        <v/>
      </c>
    </row>
    <row r="65">
      <c r="A65" s="6" t="n">
        <v>25203010</v>
      </c>
      <c r="B65" s="6" t="inlineStr">
        <is>
          <t>Apparel, Accessories &amp; Luxury Goods</t>
        </is>
      </c>
      <c r="C65" s="6" t="inlineStr">
        <is>
          <t>Apparel</t>
        </is>
      </c>
      <c r="D65" s="36" t="n">
        <v>0.4626373673236945</v>
      </c>
      <c r="E65" s="37" t="n">
        <v>0.3129227437987455</v>
      </c>
      <c r="F65" s="22">
        <f>D65/(1+E65)</f>
        <v/>
      </c>
    </row>
    <row r="66">
      <c r="A66" s="6" t="n">
        <v>25203020</v>
      </c>
      <c r="B66" s="6" t="inlineStr">
        <is>
          <t>Footwear</t>
        </is>
      </c>
      <c r="C66" s="6" t="inlineStr">
        <is>
          <t>Shoe</t>
        </is>
      </c>
      <c r="D66" s="36" t="n">
        <v>0.5008276206019689</v>
      </c>
      <c r="E66" s="37" t="n">
        <v>0.1194472847692664</v>
      </c>
      <c r="F66" s="22">
        <f>D66/(1+E66)</f>
        <v/>
      </c>
    </row>
    <row r="67">
      <c r="A67" s="6" t="n">
        <v>25203030</v>
      </c>
      <c r="B67" s="6" t="inlineStr">
        <is>
          <t>Textiles</t>
        </is>
      </c>
      <c r="C67" s="6" t="inlineStr">
        <is>
          <t>Apparel</t>
        </is>
      </c>
      <c r="D67" s="36" t="n">
        <v>0.4626373673236945</v>
      </c>
      <c r="E67" s="37" t="n">
        <v>0.3129227437987455</v>
      </c>
      <c r="F67" s="22">
        <f>D67/(1+E67)</f>
        <v/>
      </c>
    </row>
    <row r="68">
      <c r="A68" s="6" t="n">
        <v>25301010</v>
      </c>
      <c r="B68" s="6" t="inlineStr">
        <is>
          <t>Casinos &amp; Gaming</t>
        </is>
      </c>
      <c r="C68" s="6" t="inlineStr">
        <is>
          <t>Hotel/Gaming</t>
        </is>
      </c>
      <c r="D68" s="36" t="n">
        <v>0.3965335196981276</v>
      </c>
      <c r="E68" s="37" t="n">
        <v>0.3975020277066638</v>
      </c>
      <c r="F68" s="22">
        <f>D68/(1+E68)</f>
        <v/>
      </c>
    </row>
    <row r="69">
      <c r="A69" s="6" t="n">
        <v>25301020</v>
      </c>
      <c r="B69" s="6" t="inlineStr">
        <is>
          <t>Hotels, Resorts &amp; Cruise Lines</t>
        </is>
      </c>
      <c r="C69" s="6" t="inlineStr">
        <is>
          <t>Hotel/Gaming</t>
        </is>
      </c>
      <c r="D69" s="36" t="n">
        <v>0.3965335196981276</v>
      </c>
      <c r="E69" s="37" t="n">
        <v>0.3975020277066638</v>
      </c>
      <c r="F69" s="22">
        <f>D69/(1+E69)</f>
        <v/>
      </c>
    </row>
    <row r="70">
      <c r="A70" s="6" t="n">
        <v>25301030</v>
      </c>
      <c r="B70" s="6" t="inlineStr">
        <is>
          <t>Leisure Facilities</t>
        </is>
      </c>
      <c r="C70" s="6" t="inlineStr">
        <is>
          <t>Recreation</t>
        </is>
      </c>
      <c r="D70" s="36" t="n">
        <v>0.4830813033858449</v>
      </c>
      <c r="E70" s="37" t="n">
        <v>0.6299053181462322</v>
      </c>
      <c r="F70" s="22">
        <f>D70/(1+E70)</f>
        <v/>
      </c>
    </row>
    <row r="71">
      <c r="A71" s="6" t="n">
        <v>25301040</v>
      </c>
      <c r="B71" s="6" t="inlineStr">
        <is>
          <t>Restaurants</t>
        </is>
      </c>
      <c r="C71" s="6" t="inlineStr">
        <is>
          <t>Restaurant/Dining</t>
        </is>
      </c>
      <c r="D71" s="36" t="n">
        <v>0.411494619604859</v>
      </c>
      <c r="E71" s="37" t="n">
        <v>0.2721981524363927</v>
      </c>
      <c r="F71" s="22">
        <f>D71/(1+E71)</f>
        <v/>
      </c>
    </row>
    <row r="72">
      <c r="A72" s="6" t="n">
        <v>25302010</v>
      </c>
      <c r="B72" s="6" t="inlineStr">
        <is>
          <t>Education Services</t>
        </is>
      </c>
      <c r="C72" s="6" t="inlineStr">
        <is>
          <t>Education</t>
        </is>
      </c>
      <c r="D72" s="36" t="n">
        <v>0.4723775113573218</v>
      </c>
      <c r="E72" s="37" t="n">
        <v>0.2437863574992706</v>
      </c>
      <c r="F72" s="22">
        <f>D72/(1+E72)</f>
        <v/>
      </c>
    </row>
    <row r="73">
      <c r="A73" s="6" t="n">
        <v>25302020</v>
      </c>
      <c r="B73" s="6" t="inlineStr">
        <is>
          <t>Specialized Consumer Services</t>
        </is>
      </c>
      <c r="C73" s="6" t="inlineStr">
        <is>
          <t>Business &amp; Consumer Services</t>
        </is>
      </c>
      <c r="D73" s="36" t="n">
        <v>0.4110699163971621</v>
      </c>
      <c r="E73" s="37" t="n">
        <v>0.1971610017047299</v>
      </c>
      <c r="F73" s="22">
        <f>D73/(1+E73)</f>
        <v/>
      </c>
    </row>
    <row r="74">
      <c r="A74" s="6" t="n">
        <v>25501010</v>
      </c>
      <c r="B74" s="6" t="inlineStr">
        <is>
          <t>Distributors</t>
        </is>
      </c>
      <c r="C74" s="6" t="inlineStr">
        <is>
          <t>Retail (Distributors)</t>
        </is>
      </c>
      <c r="D74" s="36" t="n">
        <v>0.3929235163979659</v>
      </c>
      <c r="E74" s="37" t="n">
        <v>0.2823636659199003</v>
      </c>
      <c r="F74" s="22">
        <f>D74/(1+E74)</f>
        <v/>
      </c>
    </row>
    <row r="75">
      <c r="A75" s="6" t="n">
        <v>25503030</v>
      </c>
      <c r="B75" s="6" t="inlineStr">
        <is>
          <t>Broadline Retail</t>
        </is>
      </c>
      <c r="C75" s="6" t="inlineStr">
        <is>
          <t>Retail (General)</t>
        </is>
      </c>
      <c r="D75" s="36" t="n">
        <v>0.433427459331772</v>
      </c>
      <c r="E75" s="37" t="n">
        <v>0.07943684178442863</v>
      </c>
      <c r="F75" s="22">
        <f>D75/(1+E75)</f>
        <v/>
      </c>
    </row>
    <row r="76">
      <c r="A76" s="6" t="n">
        <v>25504010</v>
      </c>
      <c r="B76" s="6" t="inlineStr">
        <is>
          <t>Apparel Retail</t>
        </is>
      </c>
      <c r="C76" s="6" t="inlineStr">
        <is>
          <t>Retail (Special Lines)</t>
        </is>
      </c>
      <c r="D76" s="36" t="n">
        <v>0.5324516747558207</v>
      </c>
      <c r="E76" s="37" t="n">
        <v>0.1976097886094633</v>
      </c>
      <c r="F76" s="22">
        <f>D76/(1+E76)</f>
        <v/>
      </c>
    </row>
    <row r="77">
      <c r="A77" s="6" t="n">
        <v>25504020</v>
      </c>
      <c r="B77" s="6" t="inlineStr">
        <is>
          <t>Computer &amp; Electronics Retail</t>
        </is>
      </c>
      <c r="C77" s="6" t="inlineStr">
        <is>
          <t>Retail (Special Lines)</t>
        </is>
      </c>
      <c r="D77" s="36" t="n">
        <v>0.5324516747558207</v>
      </c>
      <c r="E77" s="37" t="n">
        <v>0.1976097886094633</v>
      </c>
      <c r="F77" s="22">
        <f>D77/(1+E77)</f>
        <v/>
      </c>
    </row>
    <row r="78">
      <c r="A78" s="6" t="n">
        <v>25504030</v>
      </c>
      <c r="B78" s="6" t="inlineStr">
        <is>
          <t>Home Improvement Retail</t>
        </is>
      </c>
      <c r="C78" s="6" t="inlineStr">
        <is>
          <t>Retail (Building Supply)</t>
        </is>
      </c>
      <c r="D78" s="36" t="n">
        <v>0.4588350569025514</v>
      </c>
      <c r="E78" s="37" t="n">
        <v>0.2328921812948963</v>
      </c>
      <c r="F78" s="22">
        <f>D78/(1+E78)</f>
        <v/>
      </c>
    </row>
    <row r="79">
      <c r="A79" s="6" t="n">
        <v>25504040</v>
      </c>
      <c r="B79" s="6" t="inlineStr">
        <is>
          <t>Other Specialty Retail</t>
        </is>
      </c>
      <c r="C79" s="6" t="inlineStr">
        <is>
          <t>Retail (Special Lines)</t>
        </is>
      </c>
      <c r="D79" s="36" t="n">
        <v>0.5324516747558207</v>
      </c>
      <c r="E79" s="37" t="n">
        <v>0.1976097886094633</v>
      </c>
      <c r="F79" s="22">
        <f>D79/(1+E79)</f>
        <v/>
      </c>
    </row>
    <row r="80">
      <c r="A80" s="6" t="n">
        <v>25504050</v>
      </c>
      <c r="B80" s="6" t="inlineStr">
        <is>
          <t>Automotive Retail</t>
        </is>
      </c>
      <c r="C80" s="6" t="inlineStr">
        <is>
          <t>Retail (Automotive)</t>
        </is>
      </c>
      <c r="D80" s="36" t="n">
        <v>0.4458209569703029</v>
      </c>
      <c r="E80" s="37" t="n">
        <v>0.4535539451963139</v>
      </c>
      <c r="F80" s="22">
        <f>D80/(1+E80)</f>
        <v/>
      </c>
    </row>
    <row r="81">
      <c r="A81" s="6" t="n">
        <v>25504060</v>
      </c>
      <c r="B81" s="6" t="inlineStr">
        <is>
          <t>Homefurnishing Retail</t>
        </is>
      </c>
      <c r="C81" s="6" t="inlineStr">
        <is>
          <t>Retail (Special Lines)</t>
        </is>
      </c>
      <c r="D81" s="36" t="n">
        <v>0.5324516747558207</v>
      </c>
      <c r="E81" s="37" t="n">
        <v>0.1976097886094633</v>
      </c>
      <c r="F81" s="22">
        <f>D81/(1+E81)</f>
        <v/>
      </c>
    </row>
    <row r="82">
      <c r="A82" s="6" t="n">
        <v>30101010</v>
      </c>
      <c r="B82" s="6" t="inlineStr">
        <is>
          <t>Drug Retail</t>
        </is>
      </c>
      <c r="C82" s="6" t="inlineStr">
        <is>
          <t>Retail (Grocery and Food)</t>
        </is>
      </c>
      <c r="D82" s="36" t="n">
        <v>0.4942294835852475</v>
      </c>
      <c r="E82" s="37" t="n">
        <v>0.5195017227110472</v>
      </c>
      <c r="F82" s="22">
        <f>D82/(1+E82)</f>
        <v/>
      </c>
    </row>
    <row r="83">
      <c r="A83" s="6" t="n">
        <v>30101020</v>
      </c>
      <c r="B83" s="6" t="inlineStr">
        <is>
          <t>Food Distributors</t>
        </is>
      </c>
      <c r="C83" s="6" t="inlineStr">
        <is>
          <t>Food Wholesalers</t>
        </is>
      </c>
      <c r="D83" s="36" t="n">
        <v>0.3397822415435992</v>
      </c>
      <c r="E83" s="37" t="n">
        <v>0.4696855126722596</v>
      </c>
      <c r="F83" s="22">
        <f>D83/(1+E83)</f>
        <v/>
      </c>
    </row>
    <row r="84">
      <c r="A84" s="6" t="n">
        <v>30101030</v>
      </c>
      <c r="B84" s="6" t="inlineStr">
        <is>
          <t>Food Retail</t>
        </is>
      </c>
      <c r="C84" s="6" t="inlineStr">
        <is>
          <t>Retail (Grocery and Food)</t>
        </is>
      </c>
      <c r="D84" s="36" t="n">
        <v>0.4942294835852475</v>
      </c>
      <c r="E84" s="37" t="n">
        <v>0.5195017227110472</v>
      </c>
      <c r="F84" s="22">
        <f>D84/(1+E84)</f>
        <v/>
      </c>
    </row>
    <row r="85">
      <c r="A85" s="6" t="n">
        <v>30101040</v>
      </c>
      <c r="B85" s="6" t="inlineStr">
        <is>
          <t>Consumer Staples Merchandise Retail</t>
        </is>
      </c>
      <c r="C85" s="6" t="inlineStr">
        <is>
          <t>Retail (Grocery and Food)</t>
        </is>
      </c>
      <c r="D85" s="36" t="n">
        <v>0.4942294835852475</v>
      </c>
      <c r="E85" s="37" t="n">
        <v>0.5195017227110472</v>
      </c>
      <c r="F85" s="22">
        <f>D85/(1+E85)</f>
        <v/>
      </c>
    </row>
    <row r="86">
      <c r="A86" s="6" t="n">
        <v>30201010</v>
      </c>
      <c r="B86" s="6" t="inlineStr">
        <is>
          <t>Brewers</t>
        </is>
      </c>
      <c r="C86" s="6" t="inlineStr">
        <is>
          <t>Beverage (Alcoholic)</t>
        </is>
      </c>
      <c r="D86" s="36" t="n">
        <v>0.5596193724547387</v>
      </c>
      <c r="E86" s="37" t="n">
        <v>0.4333840741223201</v>
      </c>
      <c r="F86" s="22">
        <f>D86/(1+E86)</f>
        <v/>
      </c>
    </row>
    <row r="87">
      <c r="A87" s="6" t="n">
        <v>30201020</v>
      </c>
      <c r="B87" s="6" t="inlineStr">
        <is>
          <t>Distillers &amp; Vintners</t>
        </is>
      </c>
      <c r="C87" s="6" t="inlineStr">
        <is>
          <t>Beverage (Alcoholic)</t>
        </is>
      </c>
      <c r="D87" s="36" t="n">
        <v>0.5596193724547387</v>
      </c>
      <c r="E87" s="37" t="n">
        <v>0.4333840741223201</v>
      </c>
      <c r="F87" s="22">
        <f>D87/(1+E87)</f>
        <v/>
      </c>
    </row>
    <row r="88">
      <c r="A88" s="6" t="n">
        <v>30201030</v>
      </c>
      <c r="B88" s="6" t="inlineStr">
        <is>
          <t>Soft Drinks &amp; Non-alcoholic Beverages</t>
        </is>
      </c>
      <c r="C88" s="6" t="inlineStr">
        <is>
          <t>Beverage (Soft)</t>
        </is>
      </c>
      <c r="D88" s="36" t="n">
        <v>0.5788689759563741</v>
      </c>
      <c r="E88" s="37" t="n">
        <v>0.2058711852552215</v>
      </c>
      <c r="F88" s="22">
        <f>D88/(1+E88)</f>
        <v/>
      </c>
    </row>
    <row r="89">
      <c r="A89" s="6" t="n">
        <v>30202010</v>
      </c>
      <c r="B89" s="6" t="inlineStr">
        <is>
          <t>Agricultural Products &amp; Services</t>
        </is>
      </c>
      <c r="C89" s="6" t="inlineStr">
        <is>
          <t>Farming/Agriculture</t>
        </is>
      </c>
      <c r="D89" s="36" t="n">
        <v>0.507938158066483</v>
      </c>
      <c r="E89" s="37" t="n">
        <v>0.5184849801548149</v>
      </c>
      <c r="F89" s="22">
        <f>D89/(1+E89)</f>
        <v/>
      </c>
    </row>
    <row r="90">
      <c r="A90" s="6" t="n">
        <v>30202030</v>
      </c>
      <c r="B90" s="6" t="inlineStr">
        <is>
          <t>Packaged Foods &amp; Meats</t>
        </is>
      </c>
      <c r="C90" s="6" t="inlineStr">
        <is>
          <t>Food Processing</t>
        </is>
      </c>
      <c r="D90" s="36" t="n">
        <v>0.4346763943257051</v>
      </c>
      <c r="E90" s="37" t="n">
        <v>0.4373385787423181</v>
      </c>
      <c r="F90" s="22">
        <f>D90/(1+E90)</f>
        <v/>
      </c>
    </row>
    <row r="91">
      <c r="A91" s="6" t="n">
        <v>30203010</v>
      </c>
      <c r="B91" s="6" t="inlineStr">
        <is>
          <t>Tobacco</t>
        </is>
      </c>
      <c r="C91" s="6" t="inlineStr">
        <is>
          <t>Tobacco</t>
        </is>
      </c>
      <c r="D91" s="36" t="n">
        <v>0.659579872239021</v>
      </c>
      <c r="E91" s="37" t="n">
        <v>0.2296850277783775</v>
      </c>
      <c r="F91" s="22">
        <f>D91/(1+E91)</f>
        <v/>
      </c>
    </row>
    <row r="92">
      <c r="A92" s="6" t="n">
        <v>30301010</v>
      </c>
      <c r="B92" s="6" t="inlineStr">
        <is>
          <t>Household Products</t>
        </is>
      </c>
      <c r="C92" s="6" t="inlineStr">
        <is>
          <t>Household Products</t>
        </is>
      </c>
      <c r="D92" s="36" t="n">
        <v>0.5546378639806525</v>
      </c>
      <c r="E92" s="37" t="n">
        <v>0.1814762837551913</v>
      </c>
      <c r="F92" s="22">
        <f>D92/(1+E92)</f>
        <v/>
      </c>
    </row>
    <row r="93">
      <c r="A93" s="6" t="n">
        <v>30302010</v>
      </c>
      <c r="B93" s="6" t="inlineStr">
        <is>
          <t>Personal Care Products</t>
        </is>
      </c>
      <c r="C93" s="6" t="inlineStr">
        <is>
          <t>Household Products</t>
        </is>
      </c>
      <c r="D93" s="36" t="n">
        <v>0.5546378639806525</v>
      </c>
      <c r="E93" s="37" t="n">
        <v>0.1814762837551913</v>
      </c>
      <c r="F93" s="22">
        <f>D93/(1+E93)</f>
        <v/>
      </c>
    </row>
    <row r="94">
      <c r="A94" s="6" t="n">
        <v>35101010</v>
      </c>
      <c r="B94" s="6" t="inlineStr">
        <is>
          <t>Health Care Equipment</t>
        </is>
      </c>
      <c r="C94" s="6" t="inlineStr">
        <is>
          <t>Healthcare Products</t>
        </is>
      </c>
      <c r="D94" s="36" t="n">
        <v>0.6179058995412937</v>
      </c>
      <c r="E94" s="37" t="n">
        <v>0.1278515840391968</v>
      </c>
      <c r="F94" s="22">
        <f>D94/(1+E94)</f>
        <v/>
      </c>
    </row>
    <row r="95">
      <c r="A95" s="6" t="n">
        <v>35101020</v>
      </c>
      <c r="B95" s="6" t="inlineStr">
        <is>
          <t>Health Care Supplies</t>
        </is>
      </c>
      <c r="C95" s="6" t="inlineStr">
        <is>
          <t>Healthcare Products</t>
        </is>
      </c>
      <c r="D95" s="36" t="n">
        <v>0.6179058995412937</v>
      </c>
      <c r="E95" s="37" t="n">
        <v>0.1278515840391968</v>
      </c>
      <c r="F95" s="22">
        <f>D95/(1+E95)</f>
        <v/>
      </c>
    </row>
    <row r="96">
      <c r="A96" s="6" t="n">
        <v>35102010</v>
      </c>
      <c r="B96" s="6" t="inlineStr">
        <is>
          <t>Health Care Distributors</t>
        </is>
      </c>
      <c r="C96" s="6" t="inlineStr">
        <is>
          <t>Healthcare Support Services</t>
        </is>
      </c>
      <c r="D96" s="36" t="n">
        <v>0.4724003230719404</v>
      </c>
      <c r="E96" s="37" t="n">
        <v>0.354253188687874</v>
      </c>
      <c r="F96" s="22">
        <f>D96/(1+E96)</f>
        <v/>
      </c>
    </row>
    <row r="97">
      <c r="A97" s="6" t="n">
        <v>35102015</v>
      </c>
      <c r="B97" s="6" t="inlineStr">
        <is>
          <t>Health Care Services</t>
        </is>
      </c>
      <c r="C97" s="6" t="inlineStr">
        <is>
          <t>Healthcare Support Services</t>
        </is>
      </c>
      <c r="D97" s="36" t="n">
        <v>0.4724003230719404</v>
      </c>
      <c r="E97" s="37" t="n">
        <v>0.354253188687874</v>
      </c>
      <c r="F97" s="22">
        <f>D97/(1+E97)</f>
        <v/>
      </c>
    </row>
    <row r="98">
      <c r="A98" s="6" t="n">
        <v>35102020</v>
      </c>
      <c r="B98" s="6" t="inlineStr">
        <is>
          <t>Health Care Facilities</t>
        </is>
      </c>
      <c r="C98" s="6" t="inlineStr">
        <is>
          <t>Hospitals/Healthcare Facilities</t>
        </is>
      </c>
      <c r="D98" s="36" t="n">
        <v>0.5645694737555678</v>
      </c>
      <c r="E98" s="37" t="n">
        <v>0.5992038400269105</v>
      </c>
      <c r="F98" s="22">
        <f>D98/(1+E98)</f>
        <v/>
      </c>
    </row>
    <row r="99">
      <c r="A99" s="6" t="n">
        <v>35102030</v>
      </c>
      <c r="B99" s="6" t="inlineStr">
        <is>
          <t>Managed Health Care</t>
        </is>
      </c>
      <c r="C99" s="6" t="inlineStr">
        <is>
          <t>Healthcare Support Services</t>
        </is>
      </c>
      <c r="D99" s="36" t="n">
        <v>0.4724003230719404</v>
      </c>
      <c r="E99" s="37" t="n">
        <v>0.354253188687874</v>
      </c>
      <c r="F99" s="22">
        <f>D99/(1+E99)</f>
        <v/>
      </c>
    </row>
    <row r="100">
      <c r="A100" s="6" t="n">
        <v>35103010</v>
      </c>
      <c r="B100" s="6" t="inlineStr">
        <is>
          <t>Health Care Technology</t>
        </is>
      </c>
      <c r="C100" s="6" t="inlineStr">
        <is>
          <t>Heathcare Information and Technology</t>
        </is>
      </c>
      <c r="D100" s="36" t="n">
        <v>0.6378002122444473</v>
      </c>
      <c r="E100" s="37" t="n">
        <v>0.1574134360720486</v>
      </c>
      <c r="F100" s="22">
        <f>D100/(1+E100)</f>
        <v/>
      </c>
    </row>
    <row r="101">
      <c r="A101" s="6" t="n">
        <v>35201010</v>
      </c>
      <c r="B101" s="6" t="inlineStr">
        <is>
          <t>Biotechnology</t>
        </is>
      </c>
      <c r="C101" s="6" t="inlineStr">
        <is>
          <t>Drugs (Biotechnology)</t>
        </is>
      </c>
      <c r="D101" s="36" t="n">
        <v>0.7567979803880647</v>
      </c>
      <c r="E101" s="37" t="n">
        <v>0.1303981361711938</v>
      </c>
      <c r="F101" s="22">
        <f>D101/(1+E101)</f>
        <v/>
      </c>
    </row>
    <row r="102">
      <c r="A102" s="6" t="n">
        <v>35202010</v>
      </c>
      <c r="B102" s="6" t="inlineStr">
        <is>
          <t>Pharmaceuticals</t>
        </is>
      </c>
      <c r="C102" s="6" t="inlineStr">
        <is>
          <t>Drugs (Pharmaceutical)</t>
        </is>
      </c>
      <c r="D102" s="36" t="n">
        <v>0.7664492440646036</v>
      </c>
      <c r="E102" s="37" t="n">
        <v>0.1453707588418458</v>
      </c>
      <c r="F102" s="22">
        <f>D102/(1+E102)</f>
        <v/>
      </c>
    </row>
    <row r="103">
      <c r="A103" s="6" t="n">
        <v>35203010</v>
      </c>
      <c r="B103" s="6" t="inlineStr">
        <is>
          <t>Life Sciences Tools &amp; Services</t>
        </is>
      </c>
      <c r="C103" s="6" t="inlineStr">
        <is>
          <t>Healthcare Products</t>
        </is>
      </c>
      <c r="D103" s="36" t="n">
        <v>0.6179058995412937</v>
      </c>
      <c r="E103" s="37" t="n">
        <v>0.1278515840391968</v>
      </c>
      <c r="F103" s="22">
        <f>D103/(1+E103)</f>
        <v/>
      </c>
    </row>
    <row r="104">
      <c r="A104" s="6" t="n">
        <v>40101010</v>
      </c>
      <c r="B104" s="6" t="inlineStr">
        <is>
          <t>Diversified Banks</t>
        </is>
      </c>
      <c r="C104" s="6" t="inlineStr">
        <is>
          <t>Bank (Money Center)</t>
        </is>
      </c>
      <c r="D104" s="36" t="n">
        <v>0.2273871767054001</v>
      </c>
      <c r="E104" s="37" t="n">
        <v>1.641896635763823</v>
      </c>
      <c r="F104" s="22">
        <f>D104/(1+E104)</f>
        <v/>
      </c>
    </row>
    <row r="105">
      <c r="A105" s="6" t="n">
        <v>40101015</v>
      </c>
      <c r="B105" s="6" t="inlineStr">
        <is>
          <t>Regional Banks</t>
        </is>
      </c>
      <c r="C105" s="6" t="inlineStr">
        <is>
          <t>Banks (Regional)</t>
        </is>
      </c>
      <c r="D105" s="36" t="n">
        <v>0.2268255755296142</v>
      </c>
      <c r="E105" s="37" t="n">
        <v>0.5210229274429405</v>
      </c>
      <c r="F105" s="22">
        <f>D105/(1+E105)</f>
        <v/>
      </c>
    </row>
    <row r="106">
      <c r="A106" s="6" t="n">
        <v>40201020</v>
      </c>
      <c r="B106" s="6" t="inlineStr">
        <is>
          <t>Diversified Financial Services</t>
        </is>
      </c>
      <c r="C106" s="6" t="inlineStr">
        <is>
          <t>Financial Svcs. (Non-bank &amp; Insurance)</t>
        </is>
      </c>
      <c r="D106" s="36" t="n">
        <v>0.4246919214774036</v>
      </c>
      <c r="E106" s="37" t="n">
        <v>2.721299675975284</v>
      </c>
      <c r="F106" s="22">
        <f>D106/(1+E106)</f>
        <v/>
      </c>
    </row>
    <row r="107">
      <c r="A107" s="6" t="n">
        <v>40201030</v>
      </c>
      <c r="B107" s="6" t="inlineStr">
        <is>
          <t>Multi-Sector Holdings</t>
        </is>
      </c>
      <c r="C107" s="6" t="inlineStr">
        <is>
          <t>Financial Svcs. (Non-bank &amp; Insurance)</t>
        </is>
      </c>
      <c r="D107" s="36" t="n">
        <v>0.4246919214774036</v>
      </c>
      <c r="E107" s="37" t="n">
        <v>2.721299675975284</v>
      </c>
      <c r="F107" s="22">
        <f>D107/(1+E107)</f>
        <v/>
      </c>
    </row>
    <row r="108">
      <c r="A108" s="6" t="n">
        <v>40201040</v>
      </c>
      <c r="B108" s="6" t="inlineStr">
        <is>
          <t>Specialized Finance</t>
        </is>
      </c>
      <c r="C108" s="6" t="inlineStr">
        <is>
          <t>Financial Svcs. (Non-bank &amp; Insurance)</t>
        </is>
      </c>
      <c r="D108" s="36" t="n">
        <v>0.4246919214774036</v>
      </c>
      <c r="E108" s="37" t="n">
        <v>2.721299675975284</v>
      </c>
      <c r="F108" s="22">
        <f>D108/(1+E108)</f>
        <v/>
      </c>
    </row>
    <row r="109">
      <c r="A109" s="6" t="n">
        <v>40201050</v>
      </c>
      <c r="B109" s="6" t="inlineStr">
        <is>
          <t>Commercial &amp; Residential Mortgage Finance</t>
        </is>
      </c>
      <c r="C109" s="6" t="inlineStr">
        <is>
          <t>Financial Svcs. (Non-bank &amp; Insurance)</t>
        </is>
      </c>
      <c r="D109" s="36" t="n">
        <v>0.4246919214774036</v>
      </c>
      <c r="E109" s="37" t="n">
        <v>2.721299675975284</v>
      </c>
      <c r="F109" s="22">
        <f>D109/(1+E109)</f>
        <v/>
      </c>
    </row>
    <row r="110">
      <c r="A110" s="6" t="n">
        <v>40201060</v>
      </c>
      <c r="B110" s="6" t="inlineStr">
        <is>
          <t>Transaction &amp; Payment Processing Services</t>
        </is>
      </c>
      <c r="C110" s="6" t="inlineStr">
        <is>
          <t>Information Services</t>
        </is>
      </c>
      <c r="D110" s="36" t="n">
        <v>0.3237524454802279</v>
      </c>
      <c r="E110" s="37" t="n">
        <v>0.3316984905170498</v>
      </c>
      <c r="F110" s="22">
        <f>D110/(1+E110)</f>
        <v/>
      </c>
    </row>
    <row r="111">
      <c r="A111" s="6" t="n">
        <v>40202010</v>
      </c>
      <c r="B111" s="6" t="inlineStr">
        <is>
          <t>Consumer Finance</t>
        </is>
      </c>
      <c r="C111" s="6" t="inlineStr">
        <is>
          <t>Financial Svcs. (Non-bank &amp; Insurance)</t>
        </is>
      </c>
      <c r="D111" s="36" t="n">
        <v>0.4246919214774036</v>
      </c>
      <c r="E111" s="37" t="n">
        <v>2.721299675975284</v>
      </c>
      <c r="F111" s="22">
        <f>D111/(1+E111)</f>
        <v/>
      </c>
    </row>
    <row r="112">
      <c r="A112" s="6" t="n">
        <v>40203010</v>
      </c>
      <c r="B112" s="6" t="inlineStr">
        <is>
          <t>Asset Management &amp; Custody Banks</t>
        </is>
      </c>
      <c r="C112" s="6" t="inlineStr">
        <is>
          <t>Investments &amp; Asset Management</t>
        </is>
      </c>
      <c r="D112" s="36" t="n">
        <v>0.3004225728309703</v>
      </c>
      <c r="E112" s="37" t="n">
        <v>0.3268818496772947</v>
      </c>
      <c r="F112" s="22">
        <f>D112/(1+E112)</f>
        <v/>
      </c>
    </row>
    <row r="113">
      <c r="A113" s="6" t="n">
        <v>40203020</v>
      </c>
      <c r="B113" s="6" t="inlineStr">
        <is>
          <t>Investment Banking &amp; Brokerage</t>
        </is>
      </c>
      <c r="C113" s="6" t="inlineStr">
        <is>
          <t>Brokerage &amp; Investment Banking</t>
        </is>
      </c>
      <c r="D113" s="36" t="n">
        <v>0.366085597210624</v>
      </c>
      <c r="E113" s="37" t="n">
        <v>1.355736253440363</v>
      </c>
      <c r="F113" s="22">
        <f>D113/(1+E113)</f>
        <v/>
      </c>
    </row>
    <row r="114">
      <c r="A114" s="6" t="n">
        <v>40203030</v>
      </c>
      <c r="B114" s="6" t="inlineStr">
        <is>
          <t>Diversified Capital Markets</t>
        </is>
      </c>
      <c r="C114" s="6" t="inlineStr">
        <is>
          <t>Brokerage &amp; Investment Banking</t>
        </is>
      </c>
      <c r="D114" s="36" t="n">
        <v>0.366085597210624</v>
      </c>
      <c r="E114" s="37" t="n">
        <v>1.355736253440363</v>
      </c>
      <c r="F114" s="22">
        <f>D114/(1+E114)</f>
        <v/>
      </c>
    </row>
    <row r="115">
      <c r="A115" s="6" t="n">
        <v>40203040</v>
      </c>
      <c r="B115" s="6" t="inlineStr">
        <is>
          <t>Financial Exchanges &amp; Data</t>
        </is>
      </c>
      <c r="C115" s="6" t="inlineStr">
        <is>
          <t>Information Services</t>
        </is>
      </c>
      <c r="D115" s="36" t="n">
        <v>0.3237524454802279</v>
      </c>
      <c r="E115" s="37" t="n">
        <v>0.3316984905170498</v>
      </c>
      <c r="F115" s="22">
        <f>D115/(1+E115)</f>
        <v/>
      </c>
    </row>
    <row r="116">
      <c r="A116" s="6" t="n">
        <v>40204010</v>
      </c>
      <c r="B116" s="6" t="inlineStr">
        <is>
          <t>Mortgage REITs*</t>
        </is>
      </c>
      <c r="C116" s="6" t="inlineStr">
        <is>
          <t>R.E.I.T.</t>
        </is>
      </c>
      <c r="D116" s="36" t="n">
        <v>0.2636928702689285</v>
      </c>
      <c r="E116" s="37" t="n">
        <v>0.844629934379348</v>
      </c>
      <c r="F116" s="22">
        <f>D116/(1+E116)</f>
        <v/>
      </c>
    </row>
    <row r="117">
      <c r="A117" s="6" t="n">
        <v>40301010</v>
      </c>
      <c r="B117" s="6" t="inlineStr">
        <is>
          <t>Insurance Brokers</t>
        </is>
      </c>
      <c r="C117" s="6" t="inlineStr">
        <is>
          <t>Insurance (General)</t>
        </is>
      </c>
      <c r="D117" s="36" t="n">
        <v>0.46070163153831</v>
      </c>
      <c r="E117" s="37" t="n">
        <v>0.2562761358769038</v>
      </c>
      <c r="F117" s="22">
        <f>D117/(1+E117)</f>
        <v/>
      </c>
    </row>
    <row r="118">
      <c r="A118" s="6" t="n">
        <v>40301020</v>
      </c>
      <c r="B118" s="6" t="inlineStr">
        <is>
          <t>Life &amp; Health Insurance</t>
        </is>
      </c>
      <c r="C118" s="6" t="inlineStr">
        <is>
          <t>Insurance (Life)</t>
        </is>
      </c>
      <c r="D118" s="36" t="n">
        <v>0.3515193422631459</v>
      </c>
      <c r="E118" s="37" t="n">
        <v>0.6783987776748907</v>
      </c>
      <c r="F118" s="22">
        <f>D118/(1+E118)</f>
        <v/>
      </c>
    </row>
    <row r="119">
      <c r="A119" s="6" t="n">
        <v>40301030</v>
      </c>
      <c r="B119" s="6" t="inlineStr">
        <is>
          <t>Multi-line Insurance</t>
        </is>
      </c>
      <c r="C119" s="6" t="inlineStr">
        <is>
          <t>Insurance (General)</t>
        </is>
      </c>
      <c r="D119" s="36" t="n">
        <v>0.46070163153831</v>
      </c>
      <c r="E119" s="37" t="n">
        <v>0.2562761358769038</v>
      </c>
      <c r="F119" s="22">
        <f>D119/(1+E119)</f>
        <v/>
      </c>
    </row>
    <row r="120">
      <c r="A120" s="6" t="n">
        <v>40301040</v>
      </c>
      <c r="B120" s="6" t="inlineStr">
        <is>
          <t>Property &amp; Casualty Insurance</t>
        </is>
      </c>
      <c r="C120" s="6" t="inlineStr">
        <is>
          <t>Insurance (Prop/Cas.)</t>
        </is>
      </c>
      <c r="D120" s="36" t="n">
        <v>0.2869687952853511</v>
      </c>
      <c r="E120" s="37" t="n">
        <v>0.1482928711512957</v>
      </c>
      <c r="F120" s="22">
        <f>D120/(1+E120)</f>
        <v/>
      </c>
    </row>
    <row r="121">
      <c r="A121" s="6" t="n">
        <v>40301050</v>
      </c>
      <c r="B121" s="6" t="inlineStr">
        <is>
          <t>Reinsurance</t>
        </is>
      </c>
      <c r="C121" s="6" t="inlineStr">
        <is>
          <t>Reinsurance</t>
        </is>
      </c>
      <c r="D121" s="36" t="n">
        <v>0.1921142517209114</v>
      </c>
      <c r="E121" s="37" t="n">
        <v>0.4346722815513458</v>
      </c>
      <c r="F121" s="22">
        <f>D121/(1+E121)</f>
        <v/>
      </c>
    </row>
    <row r="122">
      <c r="A122" s="6" t="n">
        <v>45102010</v>
      </c>
      <c r="B122" s="6" t="inlineStr">
        <is>
          <t>IT Consulting &amp; Other Services</t>
        </is>
      </c>
      <c r="C122" s="6" t="inlineStr">
        <is>
          <t>Computer Services</t>
        </is>
      </c>
      <c r="D122" s="36" t="n">
        <v>0.5342530314325552</v>
      </c>
      <c r="E122" s="37" t="n">
        <v>0.2510012259609475</v>
      </c>
      <c r="F122" s="22">
        <f>D122/(1+E122)</f>
        <v/>
      </c>
    </row>
    <row r="123">
      <c r="A123" s="6" t="n">
        <v>45102030</v>
      </c>
      <c r="B123" s="6" t="inlineStr">
        <is>
          <t>Internet Services &amp; Infrastructure</t>
        </is>
      </c>
      <c r="C123" s="6" t="inlineStr">
        <is>
          <t>Software (Internet)</t>
        </is>
      </c>
      <c r="D123" s="36" t="n">
        <v>0.526123151821511</v>
      </c>
      <c r="E123" s="37" t="n">
        <v>0.1229891134313239</v>
      </c>
      <c r="F123" s="22">
        <f>D123/(1+E123)</f>
        <v/>
      </c>
    </row>
    <row r="124">
      <c r="A124" s="6" t="n">
        <v>45103010</v>
      </c>
      <c r="B124" s="6" t="inlineStr">
        <is>
          <t>Application Software</t>
        </is>
      </c>
      <c r="C124" s="6" t="inlineStr">
        <is>
          <t>Software (System &amp; Application)</t>
        </is>
      </c>
      <c r="D124" s="36" t="n">
        <v>0.5678932632947824</v>
      </c>
      <c r="E124" s="37" t="n">
        <v>0.05577131922321719</v>
      </c>
      <c r="F124" s="22">
        <f>D124/(1+E124)</f>
        <v/>
      </c>
    </row>
    <row r="125">
      <c r="A125" s="6" t="n">
        <v>45103020</v>
      </c>
      <c r="B125" s="6" t="inlineStr">
        <is>
          <t>Systems Software</t>
        </is>
      </c>
      <c r="C125" s="6" t="inlineStr">
        <is>
          <t>Software (System &amp; Application)</t>
        </is>
      </c>
      <c r="D125" s="36" t="n">
        <v>0.5678932632947824</v>
      </c>
      <c r="E125" s="37" t="n">
        <v>0.05577131922321719</v>
      </c>
      <c r="F125" s="22">
        <f>D125/(1+E125)</f>
        <v/>
      </c>
    </row>
    <row r="126">
      <c r="A126" s="6" t="n">
        <v>45201020</v>
      </c>
      <c r="B126" s="6" t="inlineStr">
        <is>
          <t>Communications Equipment</t>
        </is>
      </c>
      <c r="C126" s="6" t="inlineStr">
        <is>
          <t>Telecom. Equipment</t>
        </is>
      </c>
      <c r="D126" s="36" t="n">
        <v>0.5526305461735282</v>
      </c>
      <c r="E126" s="37" t="n">
        <v>0.09222748494322085</v>
      </c>
      <c r="F126" s="22">
        <f>D126/(1+E126)</f>
        <v/>
      </c>
    </row>
    <row r="127">
      <c r="A127" s="6" t="n">
        <v>45202030</v>
      </c>
      <c r="B127" s="6" t="inlineStr">
        <is>
          <t>Technology Hardware, Storage &amp; Peripherals</t>
        </is>
      </c>
      <c r="C127" s="6" t="inlineStr">
        <is>
          <t>Computers/Peripherals</t>
        </is>
      </c>
      <c r="D127" s="36" t="n">
        <v>0.5457679517178851</v>
      </c>
      <c r="E127" s="37" t="n">
        <v>0.04624738158842277</v>
      </c>
      <c r="F127" s="22">
        <f>D127/(1+E127)</f>
        <v/>
      </c>
    </row>
    <row r="128">
      <c r="A128" s="6" t="n">
        <v>45203010</v>
      </c>
      <c r="B128" s="6" t="inlineStr">
        <is>
          <t>Electronic Equipment &amp; Instruments</t>
        </is>
      </c>
      <c r="C128" s="6" t="inlineStr">
        <is>
          <t>Electronics (General)</t>
        </is>
      </c>
      <c r="D128" s="36" t="n">
        <v>0.5183878524748988</v>
      </c>
      <c r="E128" s="37" t="n">
        <v>0.1101176648064408</v>
      </c>
      <c r="F128" s="22">
        <f>D128/(1+E128)</f>
        <v/>
      </c>
    </row>
    <row r="129">
      <c r="A129" s="6" t="n">
        <v>45203015</v>
      </c>
      <c r="B129" s="6" t="inlineStr">
        <is>
          <t>Electronic Components</t>
        </is>
      </c>
      <c r="C129" s="6" t="inlineStr">
        <is>
          <t>Electronics (General)</t>
        </is>
      </c>
      <c r="D129" s="36" t="n">
        <v>0.5183878524748988</v>
      </c>
      <c r="E129" s="37" t="n">
        <v>0.1101176648064408</v>
      </c>
      <c r="F129" s="22">
        <f>D129/(1+E129)</f>
        <v/>
      </c>
    </row>
    <row r="130">
      <c r="A130" s="6" t="n">
        <v>45203020</v>
      </c>
      <c r="B130" s="6" t="inlineStr">
        <is>
          <t>Electronic Manufacturing Services</t>
        </is>
      </c>
      <c r="C130" s="6" t="inlineStr">
        <is>
          <t>Electronics (General)</t>
        </is>
      </c>
      <c r="D130" s="36" t="n">
        <v>0.5183878524748988</v>
      </c>
      <c r="E130" s="37" t="n">
        <v>0.1101176648064408</v>
      </c>
      <c r="F130" s="22">
        <f>D130/(1+E130)</f>
        <v/>
      </c>
    </row>
    <row r="131">
      <c r="A131" s="6" t="n">
        <v>45203030</v>
      </c>
      <c r="B131" s="6" t="inlineStr">
        <is>
          <t>Technology Distributors</t>
        </is>
      </c>
      <c r="C131" s="6" t="inlineStr">
        <is>
          <t>Electronics (General)</t>
        </is>
      </c>
      <c r="D131" s="36" t="n">
        <v>0.5183878524748988</v>
      </c>
      <c r="E131" s="37" t="n">
        <v>0.1101176648064408</v>
      </c>
      <c r="F131" s="22">
        <f>D131/(1+E131)</f>
        <v/>
      </c>
    </row>
    <row r="132">
      <c r="A132" s="6" t="n">
        <v>45301010</v>
      </c>
      <c r="B132" s="6" t="inlineStr">
        <is>
          <t>Semiconductor Materials &amp; Equipment</t>
        </is>
      </c>
      <c r="C132" s="6" t="inlineStr">
        <is>
          <t>Semiconductor Equip</t>
        </is>
      </c>
      <c r="D132" s="36" t="n">
        <v>0.5007740861926404</v>
      </c>
      <c r="E132" s="37" t="n">
        <v>0.04861265405817292</v>
      </c>
      <c r="F132" s="22">
        <f>D132/(1+E132)</f>
        <v/>
      </c>
    </row>
    <row r="133">
      <c r="A133" s="6" t="n">
        <v>45301020</v>
      </c>
      <c r="B133" s="6" t="inlineStr">
        <is>
          <t>Semiconductors</t>
        </is>
      </c>
      <c r="C133" s="6" t="inlineStr">
        <is>
          <t>Semiconductor</t>
        </is>
      </c>
      <c r="D133" s="36" t="n">
        <v>0.5582720818010325</v>
      </c>
      <c r="E133" s="37" t="n">
        <v>0.02591104732744511</v>
      </c>
      <c r="F133" s="22">
        <f>D133/(1+E133)</f>
        <v/>
      </c>
    </row>
    <row r="134">
      <c r="A134" s="6" t="n">
        <v>50101010</v>
      </c>
      <c r="B134" s="6" t="inlineStr">
        <is>
          <t>Alternative Carriers</t>
        </is>
      </c>
      <c r="C134" s="6" t="inlineStr">
        <is>
          <t>Telecom. Services</t>
        </is>
      </c>
      <c r="D134" s="36" t="n">
        <v>0.6028775992480886</v>
      </c>
      <c r="E134" s="37" t="n">
        <v>0.9606320738181406</v>
      </c>
      <c r="F134" s="22">
        <f>D134/(1+E134)</f>
        <v/>
      </c>
    </row>
    <row r="135">
      <c r="A135" s="6" t="n">
        <v>50101020</v>
      </c>
      <c r="B135" s="6" t="inlineStr">
        <is>
          <t>Integrated Telecommunication Services</t>
        </is>
      </c>
      <c r="C135" s="6" t="inlineStr">
        <is>
          <t>Telecom. Services</t>
        </is>
      </c>
      <c r="D135" s="36" t="n">
        <v>0.6028775992480886</v>
      </c>
      <c r="E135" s="37" t="n">
        <v>0.9606320738181406</v>
      </c>
      <c r="F135" s="22">
        <f>D135/(1+E135)</f>
        <v/>
      </c>
    </row>
    <row r="136">
      <c r="A136" s="6" t="n">
        <v>50102010</v>
      </c>
      <c r="B136" s="6" t="inlineStr">
        <is>
          <t>Wireless Telecommunication Services</t>
        </is>
      </c>
      <c r="C136" s="6" t="inlineStr">
        <is>
          <t>Telecom (Wireless)</t>
        </is>
      </c>
      <c r="D136" s="36" t="n">
        <v>0.4018099968867836</v>
      </c>
      <c r="E136" s="37" t="n">
        <v>0.519466977505286</v>
      </c>
      <c r="F136" s="22">
        <f>D136/(1+E136)</f>
        <v/>
      </c>
    </row>
    <row r="137">
      <c r="A137" s="6" t="n">
        <v>50201010</v>
      </c>
      <c r="B137" s="6" t="inlineStr">
        <is>
          <t>Advertising</t>
        </is>
      </c>
      <c r="C137" s="6" t="inlineStr">
        <is>
          <t>Advertising</t>
        </is>
      </c>
      <c r="D137" s="36" t="n">
        <v>0.6291480405048702</v>
      </c>
      <c r="E137" s="37" t="n">
        <v>0.4020006635676013</v>
      </c>
      <c r="F137" s="22">
        <f>D137/(1+E137)</f>
        <v/>
      </c>
    </row>
    <row r="138">
      <c r="A138" s="6" t="n">
        <v>50201020</v>
      </c>
      <c r="B138" s="6" t="inlineStr">
        <is>
          <t>Broadcasting</t>
        </is>
      </c>
      <c r="C138" s="6" t="inlineStr">
        <is>
          <t>Broadcasting</t>
        </is>
      </c>
      <c r="D138" s="36" t="n">
        <v>0.4662306993347863</v>
      </c>
      <c r="E138" s="37" t="n">
        <v>0.8585429035988935</v>
      </c>
      <c r="F138" s="22">
        <f>D138/(1+E138)</f>
        <v/>
      </c>
    </row>
    <row r="139">
      <c r="A139" s="6" t="n">
        <v>50201030</v>
      </c>
      <c r="B139" s="6" t="inlineStr">
        <is>
          <t>Cable &amp; Satellite</t>
        </is>
      </c>
      <c r="C139" s="6" t="inlineStr">
        <is>
          <t>Cable TV</t>
        </is>
      </c>
      <c r="D139" s="36" t="n">
        <v>0.4404071378928042</v>
      </c>
      <c r="E139" s="37" t="n">
        <v>1.469394514839746</v>
      </c>
      <c r="F139" s="22">
        <f>D139/(1+E139)</f>
        <v/>
      </c>
    </row>
    <row r="140">
      <c r="A140" s="6" t="n">
        <v>50201040</v>
      </c>
      <c r="B140" s="6" t="inlineStr">
        <is>
          <t>Publishing</t>
        </is>
      </c>
      <c r="C140" s="6" t="inlineStr">
        <is>
          <t>Publishing &amp; Newspapers</t>
        </is>
      </c>
      <c r="D140" s="36" t="n">
        <v>0.3592530970001513</v>
      </c>
      <c r="E140" s="37" t="n">
        <v>0.2393987480231246</v>
      </c>
      <c r="F140" s="22">
        <f>D140/(1+E140)</f>
        <v/>
      </c>
    </row>
    <row r="141">
      <c r="A141" s="6" t="n">
        <v>50202010</v>
      </c>
      <c r="B141" s="6" t="inlineStr">
        <is>
          <t>Movies &amp; Entertainment</t>
        </is>
      </c>
      <c r="C141" s="6" t="inlineStr">
        <is>
          <t>Entertainment</t>
        </is>
      </c>
      <c r="D141" s="36" t="n">
        <v>0.4870659020881054</v>
      </c>
      <c r="E141" s="37" t="n">
        <v>0.1591386157682423</v>
      </c>
      <c r="F141" s="22">
        <f>D141/(1+E141)</f>
        <v/>
      </c>
    </row>
    <row r="142">
      <c r="A142" s="6" t="n">
        <v>50202020</v>
      </c>
      <c r="B142" s="6" t="inlineStr">
        <is>
          <t>Interactive Home Entertainment</t>
        </is>
      </c>
      <c r="C142" s="6" t="inlineStr">
        <is>
          <t>Software (Entertainment)</t>
        </is>
      </c>
      <c r="D142" s="36" t="n">
        <v>0.5706184370658361</v>
      </c>
      <c r="E142" s="37" t="n">
        <v>0.02044609811708157</v>
      </c>
      <c r="F142" s="22">
        <f>D142/(1+E142)</f>
        <v/>
      </c>
    </row>
    <row r="143">
      <c r="A143" s="6" t="n">
        <v>50203010</v>
      </c>
      <c r="B143" s="6" t="inlineStr">
        <is>
          <t>Interactive Media &amp; Services</t>
        </is>
      </c>
      <c r="C143" s="6" t="inlineStr">
        <is>
          <t>Software (Internet)</t>
        </is>
      </c>
      <c r="D143" s="36" t="n">
        <v>0.526123151821511</v>
      </c>
      <c r="E143" s="37" t="n">
        <v>0.1229891134313239</v>
      </c>
      <c r="F143" s="22">
        <f>D143/(1+E143)</f>
        <v/>
      </c>
    </row>
    <row r="144">
      <c r="A144" s="6" t="n">
        <v>55101010</v>
      </c>
      <c r="B144" s="6" t="inlineStr">
        <is>
          <t>Electric Utilities</t>
        </is>
      </c>
      <c r="C144" s="6" t="inlineStr">
        <is>
          <t>Utility (General)</t>
        </is>
      </c>
      <c r="D144" s="36" t="n">
        <v>0.1496203104444805</v>
      </c>
      <c r="E144" s="37" t="n">
        <v>0.8148428973368238</v>
      </c>
      <c r="F144" s="22">
        <f>D144/(1+E144)</f>
        <v/>
      </c>
    </row>
    <row r="145">
      <c r="A145" s="6" t="n">
        <v>55102010</v>
      </c>
      <c r="B145" s="6" t="inlineStr">
        <is>
          <t>Gas Utilities</t>
        </is>
      </c>
      <c r="C145" s="6" t="inlineStr">
        <is>
          <t>Utility (General)</t>
        </is>
      </c>
      <c r="D145" s="36" t="n">
        <v>0.1496203104444805</v>
      </c>
      <c r="E145" s="37" t="n">
        <v>0.8148428973368238</v>
      </c>
      <c r="F145" s="22">
        <f>D145/(1+E145)</f>
        <v/>
      </c>
    </row>
    <row r="146">
      <c r="A146" s="6" t="n">
        <v>55103010</v>
      </c>
      <c r="B146" s="6" t="inlineStr">
        <is>
          <t>Multi-Utilities</t>
        </is>
      </c>
      <c r="C146" s="6" t="inlineStr">
        <is>
          <t>Utility (General)</t>
        </is>
      </c>
      <c r="D146" s="36" t="n">
        <v>0.1496203104444805</v>
      </c>
      <c r="E146" s="37" t="n">
        <v>0.8148428973368238</v>
      </c>
      <c r="F146" s="22">
        <f>D146/(1+E146)</f>
        <v/>
      </c>
    </row>
    <row r="147">
      <c r="A147" s="6" t="n">
        <v>55104010</v>
      </c>
      <c r="B147" s="6" t="inlineStr">
        <is>
          <t>Water Utilities</t>
        </is>
      </c>
      <c r="C147" s="6" t="inlineStr">
        <is>
          <t>Utility (Water)</t>
        </is>
      </c>
      <c r="D147" s="36" t="n">
        <v>0.4806656285191974</v>
      </c>
      <c r="E147" s="37" t="n">
        <v>0.6235944507219604</v>
      </c>
      <c r="F147" s="22">
        <f>D147/(1+E147)</f>
        <v/>
      </c>
    </row>
    <row r="148">
      <c r="A148" s="6" t="n">
        <v>55105010</v>
      </c>
      <c r="B148" s="6" t="inlineStr">
        <is>
          <t>Independent Power Producers &amp; Energy Traders</t>
        </is>
      </c>
      <c r="C148" s="6" t="inlineStr">
        <is>
          <t>Power</t>
        </is>
      </c>
      <c r="D148" s="36" t="n">
        <v>0.2537998869785569</v>
      </c>
      <c r="E148" s="37" t="n">
        <v>0.7414865026995126</v>
      </c>
      <c r="F148" s="22">
        <f>D148/(1+E148)</f>
        <v/>
      </c>
    </row>
    <row r="149">
      <c r="A149" s="6" t="n">
        <v>55105020</v>
      </c>
      <c r="B149" s="6" t="inlineStr">
        <is>
          <t>Renewable Electricity</t>
        </is>
      </c>
      <c r="C149" s="6" t="inlineStr">
        <is>
          <t>Green &amp; Renewable Energy</t>
        </is>
      </c>
      <c r="D149" s="36" t="n">
        <v>0.6514340075377375</v>
      </c>
      <c r="E149" s="37" t="n">
        <v>1.131096072089713</v>
      </c>
      <c r="F149" s="22">
        <f>D149/(1+E149)</f>
        <v/>
      </c>
    </row>
    <row r="150">
      <c r="A150" s="6" t="n">
        <v>60101010</v>
      </c>
      <c r="B150" s="6" t="inlineStr">
        <is>
          <t>Diversified REITs*</t>
        </is>
      </c>
      <c r="C150" s="6" t="inlineStr">
        <is>
          <t>Real Estate (General/Diversified)</t>
        </is>
      </c>
      <c r="D150" s="36" t="n">
        <v>0.3120953532502339</v>
      </c>
      <c r="E150" s="37" t="n">
        <v>0.5356019016772732</v>
      </c>
      <c r="F150" s="22">
        <f>D150/(1+E150)</f>
        <v/>
      </c>
    </row>
    <row r="151">
      <c r="A151" s="6" t="n">
        <v>60102510</v>
      </c>
      <c r="B151" s="6" t="inlineStr">
        <is>
          <t>Industrial REITs*</t>
        </is>
      </c>
      <c r="C151" s="6" t="inlineStr">
        <is>
          <t>R.E.I.T.</t>
        </is>
      </c>
      <c r="D151" s="36" t="n">
        <v>0.2636928702689285</v>
      </c>
      <c r="E151" s="37" t="n">
        <v>0.844629934379348</v>
      </c>
      <c r="F151" s="22">
        <f>D151/(1+E151)</f>
        <v/>
      </c>
    </row>
    <row r="152">
      <c r="A152" s="6" t="n">
        <v>60103010</v>
      </c>
      <c r="B152" s="6" t="inlineStr">
        <is>
          <t>Hotel &amp; Resort REITs*</t>
        </is>
      </c>
      <c r="C152" s="6" t="inlineStr">
        <is>
          <t>R.E.I.T.</t>
        </is>
      </c>
      <c r="D152" s="36" t="n">
        <v>0.2636928702689285</v>
      </c>
      <c r="E152" s="37" t="n">
        <v>0.844629934379348</v>
      </c>
      <c r="F152" s="22">
        <f>D152/(1+E152)</f>
        <v/>
      </c>
    </row>
    <row r="153">
      <c r="A153" s="6" t="n">
        <v>60104010</v>
      </c>
      <c r="B153" s="6" t="inlineStr">
        <is>
          <t>Office REITs*</t>
        </is>
      </c>
      <c r="C153" s="6" t="inlineStr">
        <is>
          <t>R.E.I.T.</t>
        </is>
      </c>
      <c r="D153" s="36" t="n">
        <v>0.2636928702689285</v>
      </c>
      <c r="E153" s="37" t="n">
        <v>0.844629934379348</v>
      </c>
      <c r="F153" s="22">
        <f>D153/(1+E153)</f>
        <v/>
      </c>
    </row>
    <row r="154">
      <c r="A154" s="6" t="n">
        <v>60105010</v>
      </c>
      <c r="B154" s="6" t="inlineStr">
        <is>
          <t>Health Care REITs*</t>
        </is>
      </c>
      <c r="C154" s="6" t="inlineStr">
        <is>
          <t>R.E.I.T.</t>
        </is>
      </c>
      <c r="D154" s="36" t="n">
        <v>0.2636928702689285</v>
      </c>
      <c r="E154" s="37" t="n">
        <v>0.844629934379348</v>
      </c>
      <c r="F154" s="22">
        <f>D154/(1+E154)</f>
        <v/>
      </c>
    </row>
    <row r="155">
      <c r="A155" s="6" t="n">
        <v>60106010</v>
      </c>
      <c r="B155" s="6" t="inlineStr">
        <is>
          <t>Multi-Family Residential REITs*</t>
        </is>
      </c>
      <c r="C155" s="6" t="inlineStr">
        <is>
          <t>R.E.I.T.</t>
        </is>
      </c>
      <c r="D155" s="36" t="n">
        <v>0.2636928702689285</v>
      </c>
      <c r="E155" s="37" t="n">
        <v>0.844629934379348</v>
      </c>
      <c r="F155" s="22">
        <f>D155/(1+E155)</f>
        <v/>
      </c>
    </row>
    <row r="156">
      <c r="A156" s="6" t="n">
        <v>60106020</v>
      </c>
      <c r="B156" s="6" t="inlineStr">
        <is>
          <t>Single-Family Residential REITs*</t>
        </is>
      </c>
      <c r="C156" s="6" t="inlineStr">
        <is>
          <t>R.E.I.T.</t>
        </is>
      </c>
      <c r="D156" s="36" t="n">
        <v>0.2636928702689285</v>
      </c>
      <c r="E156" s="37" t="n">
        <v>0.844629934379348</v>
      </c>
      <c r="F156" s="22">
        <f>D156/(1+E156)</f>
        <v/>
      </c>
    </row>
    <row r="157">
      <c r="A157" s="6" t="n">
        <v>60107010</v>
      </c>
      <c r="B157" s="6" t="inlineStr">
        <is>
          <t>Retail REITs*</t>
        </is>
      </c>
      <c r="C157" s="6" t="inlineStr">
        <is>
          <t>Retail (REITs)</t>
        </is>
      </c>
      <c r="D157" s="36" t="n">
        <v>0.18768911101931</v>
      </c>
      <c r="E157" s="37" t="n">
        <v>0.5641981493610073</v>
      </c>
      <c r="F157" s="22">
        <f>D157/(1+E157)</f>
        <v/>
      </c>
    </row>
    <row r="158">
      <c r="A158" s="6" t="n">
        <v>60108010</v>
      </c>
      <c r="B158" s="6" t="inlineStr">
        <is>
          <t>Other Specialized REITs*</t>
        </is>
      </c>
      <c r="C158" s="6" t="inlineStr">
        <is>
          <t>R.E.I.T.</t>
        </is>
      </c>
      <c r="D158" s="36" t="n">
        <v>0.2636928702689285</v>
      </c>
      <c r="E158" s="37" t="n">
        <v>0.844629934379348</v>
      </c>
      <c r="F158" s="22">
        <f>D158/(1+E158)</f>
        <v/>
      </c>
    </row>
    <row r="159">
      <c r="A159" s="6" t="n">
        <v>60108020</v>
      </c>
      <c r="B159" s="6" t="inlineStr">
        <is>
          <t>Self-Storage REITs*</t>
        </is>
      </c>
      <c r="C159" s="6" t="inlineStr">
        <is>
          <t>R.E.I.T.</t>
        </is>
      </c>
      <c r="D159" s="36" t="n">
        <v>0.2636928702689285</v>
      </c>
      <c r="E159" s="37" t="n">
        <v>0.844629934379348</v>
      </c>
      <c r="F159" s="22">
        <f>D159/(1+E159)</f>
        <v/>
      </c>
    </row>
    <row r="160">
      <c r="A160" s="6" t="n">
        <v>60108030</v>
      </c>
      <c r="B160" s="6" t="inlineStr">
        <is>
          <t>Telecom Tower REITs*</t>
        </is>
      </c>
      <c r="C160" s="6" t="inlineStr">
        <is>
          <t>R.E.I.T.</t>
        </is>
      </c>
      <c r="D160" s="36" t="n">
        <v>0.2636928702689285</v>
      </c>
      <c r="E160" s="37" t="n">
        <v>0.844629934379348</v>
      </c>
      <c r="F160" s="22">
        <f>D160/(1+E160)</f>
        <v/>
      </c>
    </row>
    <row r="161">
      <c r="A161" s="6" t="n">
        <v>60108040</v>
      </c>
      <c r="B161" s="6" t="inlineStr">
        <is>
          <t>Timber REITs*</t>
        </is>
      </c>
      <c r="C161" s="6" t="inlineStr">
        <is>
          <t>R.E.I.T.</t>
        </is>
      </c>
      <c r="D161" s="36" t="n">
        <v>0.2636928702689285</v>
      </c>
      <c r="E161" s="37" t="n">
        <v>0.844629934379348</v>
      </c>
      <c r="F161" s="22">
        <f>D161/(1+E161)</f>
        <v/>
      </c>
    </row>
    <row r="162">
      <c r="A162" s="6" t="n">
        <v>60108050</v>
      </c>
      <c r="B162" s="6" t="inlineStr">
        <is>
          <t>Data Center REITs*</t>
        </is>
      </c>
      <c r="C162" s="6" t="inlineStr">
        <is>
          <t>R.E.I.T.</t>
        </is>
      </c>
      <c r="D162" s="36" t="n">
        <v>0.2636928702689285</v>
      </c>
      <c r="E162" s="37" t="n">
        <v>0.844629934379348</v>
      </c>
      <c r="F162" s="22">
        <f>D162/(1+E162)</f>
        <v/>
      </c>
    </row>
    <row r="163">
      <c r="A163" s="6" t="n">
        <v>60201010</v>
      </c>
      <c r="B163" s="6" t="inlineStr">
        <is>
          <t>Diversified Real Estate Activities</t>
        </is>
      </c>
      <c r="C163" s="6" t="inlineStr">
        <is>
          <t>Real Estate (General/Diversified)</t>
        </is>
      </c>
      <c r="D163" s="36" t="n">
        <v>0.3120953532502339</v>
      </c>
      <c r="E163" s="37" t="n">
        <v>0.5356019016772732</v>
      </c>
      <c r="F163" s="22">
        <f>D163/(1+E163)</f>
        <v/>
      </c>
    </row>
    <row r="164">
      <c r="A164" s="6" t="n">
        <v>60201020</v>
      </c>
      <c r="B164" s="6" t="inlineStr">
        <is>
          <t>Real Estate Operating Companies</t>
        </is>
      </c>
      <c r="C164" s="6" t="inlineStr">
        <is>
          <t>Real Estate (Operations &amp; Services)</t>
        </is>
      </c>
      <c r="D164" s="36" t="n">
        <v>0.505596255690735</v>
      </c>
      <c r="E164" s="37" t="n">
        <v>0.2464228127382477</v>
      </c>
      <c r="F164" s="22">
        <f>D164/(1+E164)</f>
        <v/>
      </c>
    </row>
    <row r="165">
      <c r="A165" s="6" t="n">
        <v>60201030</v>
      </c>
      <c r="B165" s="6" t="inlineStr">
        <is>
          <t>Real Estate Development</t>
        </is>
      </c>
      <c r="C165" s="6" t="inlineStr">
        <is>
          <t>Real Estate (Development)</t>
        </is>
      </c>
      <c r="D165" s="36" t="n">
        <v>0.5210233738934074</v>
      </c>
      <c r="E165" s="37" t="n">
        <v>1.018293748454449</v>
      </c>
      <c r="F165" s="22">
        <f>D165/(1+E165)</f>
        <v/>
      </c>
    </row>
    <row r="166">
      <c r="A166" s="6" t="n">
        <v>60201040</v>
      </c>
      <c r="B166" s="6" t="inlineStr">
        <is>
          <t>Real Estate Services</t>
        </is>
      </c>
      <c r="C166" s="6" t="inlineStr">
        <is>
          <t>Real Estate (Operations &amp; Services)</t>
        </is>
      </c>
      <c r="D166" s="36" t="n">
        <v>0.505596255690735</v>
      </c>
      <c r="E166" s="37" t="n">
        <v>0.2464228127382477</v>
      </c>
      <c r="F166" s="22">
        <f>D166/(1+E166)</f>
        <v/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4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24" customWidth="1" min="1" max="1"/>
    <col width="11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 ht="40" customHeight="1">
      <c r="A1" t="inlineStr">
        <is>
          <t>STEP 8 — bottom-up Merton distance-to-default PD, collateral-coverage LGD, and Expected Loss, baseline vs stressed. Pulls Stressed EV, Net Debt, Stressed LTV straight from 3_Scenario_Engine (no re-derivation), and Asset Vol from 7_GICS_Asset_Vol via each deal's own Sub-Industry code.</t>
        </is>
      </c>
    </row>
    <row r="2" ht="34" customHeight="1">
      <c r="A2" s="5" t="inlineStr">
        <is>
          <t>Deal Name</t>
        </is>
      </c>
      <c r="B2" s="5" t="inlineStr">
        <is>
          <t>Sub-Ind
Code</t>
        </is>
      </c>
      <c r="C2" s="5" t="inlineStr">
        <is>
          <t>Asset Vol
(sigma)</t>
        </is>
      </c>
      <c r="D2" s="5" t="inlineStr">
        <is>
          <t>Net Debt
(F)</t>
        </is>
      </c>
      <c r="E2" s="5" t="inlineStr">
        <is>
          <t>Baseline EV
(V0)</t>
        </is>
      </c>
      <c r="F2" s="5" t="inlineStr">
        <is>
          <t>Stressed EV
(V1)</t>
        </is>
      </c>
      <c r="G2" s="5" t="inlineStr">
        <is>
          <t>Baseline DD</t>
        </is>
      </c>
      <c r="H2" s="5" t="inlineStr">
        <is>
          <t>Baseline PD</t>
        </is>
      </c>
      <c r="I2" s="5" t="inlineStr">
        <is>
          <t>Stressed DD</t>
        </is>
      </c>
      <c r="J2" s="5" t="inlineStr">
        <is>
          <t>Stressed PD</t>
        </is>
      </c>
      <c r="K2" s="5" t="inlineStr">
        <is>
          <t>Delta PD</t>
        </is>
      </c>
      <c r="L2" s="5" t="inlineStr">
        <is>
          <t>Stressed
Leverage (x)</t>
        </is>
      </c>
      <c r="M2" s="5" t="inlineStr">
        <is>
          <t>Implied
Rating</t>
        </is>
      </c>
      <c r="N2" s="5" t="inlineStr">
        <is>
          <t>S&amp;P Cross-Check
PD (real)</t>
        </is>
      </c>
      <c r="O2" s="5" t="inlineStr">
        <is>
          <t>Merton vs S&amp;P
Gap (pp)</t>
        </is>
      </c>
      <c r="P2" s="5" t="inlineStr">
        <is>
          <t>Stressed LTV</t>
        </is>
      </c>
      <c r="Q2" s="5" t="inlineStr">
        <is>
          <t>Stressed
LGD</t>
        </is>
      </c>
      <c r="R2" s="5" t="inlineStr">
        <is>
          <t>Current LTV
(baseline)</t>
        </is>
      </c>
      <c r="S2" s="5" t="inlineStr">
        <is>
          <t>Baseline
LGD</t>
        </is>
      </c>
      <c r="T2" s="5" t="inlineStr">
        <is>
          <t>EAD
(Invested)</t>
        </is>
      </c>
      <c r="U2" s="5" t="inlineStr">
        <is>
          <t>EL Baseline
($m)</t>
        </is>
      </c>
      <c r="V2" s="5" t="inlineStr">
        <is>
          <t>EL Stressed
($m)</t>
        </is>
      </c>
      <c r="W2" s="5" t="inlineStr">
        <is>
          <t>Delta EL
($m)</t>
        </is>
      </c>
    </row>
    <row r="3">
      <c r="A3" s="21">
        <f>'3_Scenario_Engine'!A3</f>
        <v/>
      </c>
      <c r="B3" s="21">
        <f>'3_Scenario_Engine'!B3</f>
        <v/>
      </c>
      <c r="C3" s="22">
        <f>INDEX('7_GICS_Asset_Vol'!$F$4:$F$166,MATCH(B3,'7_GICS_Asset_Vol'!$A$4:$A$166,0))</f>
        <v/>
      </c>
      <c r="D3" s="24">
        <f>'3_Scenario_Engine'!J3</f>
        <v/>
      </c>
      <c r="E3" s="24">
        <f>'2_Deal_Tape'!S4</f>
        <v/>
      </c>
      <c r="F3" s="24">
        <f>'3_Scenario_Engine'!AF3</f>
        <v/>
      </c>
      <c r="G3" s="38">
        <f>(LN(E3/D3)+('6_Credit_Bridge_Assumptions'!$B$5-C3^2/2)*'6_Credit_Bridge_Assumptions'!$B$4)/(C3*SQRT('6_Credit_Bridge_Assumptions'!$B$4))</f>
        <v/>
      </c>
      <c r="H3" s="27">
        <f>NORMSDIST(-G3)</f>
        <v/>
      </c>
      <c r="I3" s="38">
        <f>(LN(F3/D3)+('6_Credit_Bridge_Assumptions'!$B$5-C3^2/2)*'6_Credit_Bridge_Assumptions'!$B$4)/(C3*SQRT('6_Credit_Bridge_Assumptions'!$B$4))</f>
        <v/>
      </c>
      <c r="J3" s="27">
        <f>NORMSDIST(-I3)</f>
        <v/>
      </c>
      <c r="K3" s="27">
        <f>J3-H3</f>
        <v/>
      </c>
      <c r="L3" s="25">
        <f>'3_Scenario_Engine'!Z3</f>
        <v/>
      </c>
      <c r="M3" s="21">
        <f>IF(L3&lt;'6_Credit_Bridge_Assumptions'!$B$12,"BB",IF(L3&lt;'6_Credit_Bridge_Assumptions'!$B$13,"B","CCC/C"))</f>
        <v/>
      </c>
      <c r="N3" s="27">
        <f>IF(L3&lt;'6_Credit_Bridge_Assumptions'!$B$12,'6_Credit_Bridge_Assumptions'!$B$14,IF(L3&lt;'6_Credit_Bridge_Assumptions'!$B$13,'6_Credit_Bridge_Assumptions'!$B$15,'6_Credit_Bridge_Assumptions'!$B$16))</f>
        <v/>
      </c>
      <c r="O3" s="38">
        <f>(J3-N3)*100</f>
        <v/>
      </c>
      <c r="P3" s="22">
        <f>'3_Scenario_Engine'!AG3</f>
        <v/>
      </c>
      <c r="Q3" s="22">
        <f>IF(P3&lt;=1,'6_Credit_Bridge_Assumptions'!$B$8,MIN('6_Credit_Bridge_Assumptions'!$B$9,MAX('6_Credit_Bridge_Assumptions'!$B$8,1-1/P3)))</f>
        <v/>
      </c>
      <c r="R3" s="22">
        <f>'2_Deal_Tape'!U4</f>
        <v/>
      </c>
      <c r="S3" s="22">
        <f>IF(R3&lt;=1,'6_Credit_Bridge_Assumptions'!$B$8,MIN('6_Credit_Bridge_Assumptions'!$B$9,MAX('6_Credit_Bridge_Assumptions'!$B$8,1-1/R3)))</f>
        <v/>
      </c>
      <c r="T3" s="24">
        <f>'3_Scenario_Engine'!U3</f>
        <v/>
      </c>
      <c r="U3" s="24">
        <f>H3*S3*T3</f>
        <v/>
      </c>
      <c r="V3" s="24">
        <f>J3*Q3*T3</f>
        <v/>
      </c>
      <c r="W3" s="24">
        <f>V3-U3</f>
        <v/>
      </c>
    </row>
    <row r="4">
      <c r="A4" s="21">
        <f>'3_Scenario_Engine'!A4</f>
        <v/>
      </c>
      <c r="B4" s="21">
        <f>'3_Scenario_Engine'!B4</f>
        <v/>
      </c>
      <c r="C4" s="22">
        <f>INDEX('7_GICS_Asset_Vol'!$F$4:$F$166,MATCH(B4,'7_GICS_Asset_Vol'!$A$4:$A$166,0))</f>
        <v/>
      </c>
      <c r="D4" s="24">
        <f>'3_Scenario_Engine'!J4</f>
        <v/>
      </c>
      <c r="E4" s="24">
        <f>'2_Deal_Tape'!S5</f>
        <v/>
      </c>
      <c r="F4" s="24">
        <f>'3_Scenario_Engine'!AF4</f>
        <v/>
      </c>
      <c r="G4" s="38">
        <f>(LN(E4/D4)+('6_Credit_Bridge_Assumptions'!$B$5-C4^2/2)*'6_Credit_Bridge_Assumptions'!$B$4)/(C4*SQRT('6_Credit_Bridge_Assumptions'!$B$4))</f>
        <v/>
      </c>
      <c r="H4" s="27">
        <f>NORMSDIST(-G4)</f>
        <v/>
      </c>
      <c r="I4" s="38">
        <f>(LN(F4/D4)+('6_Credit_Bridge_Assumptions'!$B$5-C4^2/2)*'6_Credit_Bridge_Assumptions'!$B$4)/(C4*SQRT('6_Credit_Bridge_Assumptions'!$B$4))</f>
        <v/>
      </c>
      <c r="J4" s="27">
        <f>NORMSDIST(-I4)</f>
        <v/>
      </c>
      <c r="K4" s="27">
        <f>J4-H4</f>
        <v/>
      </c>
      <c r="L4" s="25">
        <f>'3_Scenario_Engine'!Z4</f>
        <v/>
      </c>
      <c r="M4" s="21">
        <f>IF(L4&lt;'6_Credit_Bridge_Assumptions'!$B$12,"BB",IF(L4&lt;'6_Credit_Bridge_Assumptions'!$B$13,"B","CCC/C"))</f>
        <v/>
      </c>
      <c r="N4" s="27">
        <f>IF(L4&lt;'6_Credit_Bridge_Assumptions'!$B$12,'6_Credit_Bridge_Assumptions'!$B$14,IF(L4&lt;'6_Credit_Bridge_Assumptions'!$B$13,'6_Credit_Bridge_Assumptions'!$B$15,'6_Credit_Bridge_Assumptions'!$B$16))</f>
        <v/>
      </c>
      <c r="O4" s="38">
        <f>(J4-N4)*100</f>
        <v/>
      </c>
      <c r="P4" s="22">
        <f>'3_Scenario_Engine'!AG4</f>
        <v/>
      </c>
      <c r="Q4" s="22">
        <f>IF(P4&lt;=1,'6_Credit_Bridge_Assumptions'!$B$8,MIN('6_Credit_Bridge_Assumptions'!$B$9,MAX('6_Credit_Bridge_Assumptions'!$B$8,1-1/P4)))</f>
        <v/>
      </c>
      <c r="R4" s="22">
        <f>'2_Deal_Tape'!U5</f>
        <v/>
      </c>
      <c r="S4" s="22">
        <f>IF(R4&lt;=1,'6_Credit_Bridge_Assumptions'!$B$8,MIN('6_Credit_Bridge_Assumptions'!$B$9,MAX('6_Credit_Bridge_Assumptions'!$B$8,1-1/R4)))</f>
        <v/>
      </c>
      <c r="T4" s="24">
        <f>'3_Scenario_Engine'!U4</f>
        <v/>
      </c>
      <c r="U4" s="24">
        <f>H4*S4*T4</f>
        <v/>
      </c>
      <c r="V4" s="24">
        <f>J4*Q4*T4</f>
        <v/>
      </c>
      <c r="W4" s="24">
        <f>V4-U4</f>
        <v/>
      </c>
    </row>
    <row r="5">
      <c r="A5" s="21">
        <f>'3_Scenario_Engine'!A5</f>
        <v/>
      </c>
      <c r="B5" s="21">
        <f>'3_Scenario_Engine'!B5</f>
        <v/>
      </c>
      <c r="C5" s="22">
        <f>INDEX('7_GICS_Asset_Vol'!$F$4:$F$166,MATCH(B5,'7_GICS_Asset_Vol'!$A$4:$A$166,0))</f>
        <v/>
      </c>
      <c r="D5" s="24">
        <f>'3_Scenario_Engine'!J5</f>
        <v/>
      </c>
      <c r="E5" s="24">
        <f>'2_Deal_Tape'!S6</f>
        <v/>
      </c>
      <c r="F5" s="24">
        <f>'3_Scenario_Engine'!AF5</f>
        <v/>
      </c>
      <c r="G5" s="38">
        <f>(LN(E5/D5)+('6_Credit_Bridge_Assumptions'!$B$5-C5^2/2)*'6_Credit_Bridge_Assumptions'!$B$4)/(C5*SQRT('6_Credit_Bridge_Assumptions'!$B$4))</f>
        <v/>
      </c>
      <c r="H5" s="27">
        <f>NORMSDIST(-G5)</f>
        <v/>
      </c>
      <c r="I5" s="38">
        <f>(LN(F5/D5)+('6_Credit_Bridge_Assumptions'!$B$5-C5^2/2)*'6_Credit_Bridge_Assumptions'!$B$4)/(C5*SQRT('6_Credit_Bridge_Assumptions'!$B$4))</f>
        <v/>
      </c>
      <c r="J5" s="27">
        <f>NORMSDIST(-I5)</f>
        <v/>
      </c>
      <c r="K5" s="27">
        <f>J5-H5</f>
        <v/>
      </c>
      <c r="L5" s="25">
        <f>'3_Scenario_Engine'!Z5</f>
        <v/>
      </c>
      <c r="M5" s="21">
        <f>IF(L5&lt;'6_Credit_Bridge_Assumptions'!$B$12,"BB",IF(L5&lt;'6_Credit_Bridge_Assumptions'!$B$13,"B","CCC/C"))</f>
        <v/>
      </c>
      <c r="N5" s="27">
        <f>IF(L5&lt;'6_Credit_Bridge_Assumptions'!$B$12,'6_Credit_Bridge_Assumptions'!$B$14,IF(L5&lt;'6_Credit_Bridge_Assumptions'!$B$13,'6_Credit_Bridge_Assumptions'!$B$15,'6_Credit_Bridge_Assumptions'!$B$16))</f>
        <v/>
      </c>
      <c r="O5" s="38">
        <f>(J5-N5)*100</f>
        <v/>
      </c>
      <c r="P5" s="22">
        <f>'3_Scenario_Engine'!AG5</f>
        <v/>
      </c>
      <c r="Q5" s="22">
        <f>IF(P5&lt;=1,'6_Credit_Bridge_Assumptions'!$B$8,MIN('6_Credit_Bridge_Assumptions'!$B$9,MAX('6_Credit_Bridge_Assumptions'!$B$8,1-1/P5)))</f>
        <v/>
      </c>
      <c r="R5" s="22">
        <f>'2_Deal_Tape'!U6</f>
        <v/>
      </c>
      <c r="S5" s="22">
        <f>IF(R5&lt;=1,'6_Credit_Bridge_Assumptions'!$B$8,MIN('6_Credit_Bridge_Assumptions'!$B$9,MAX('6_Credit_Bridge_Assumptions'!$B$8,1-1/R5)))</f>
        <v/>
      </c>
      <c r="T5" s="24">
        <f>'3_Scenario_Engine'!U5</f>
        <v/>
      </c>
      <c r="U5" s="24">
        <f>H5*S5*T5</f>
        <v/>
      </c>
      <c r="V5" s="24">
        <f>J5*Q5*T5</f>
        <v/>
      </c>
      <c r="W5" s="24">
        <f>V5-U5</f>
        <v/>
      </c>
    </row>
    <row r="6">
      <c r="A6" s="21">
        <f>'3_Scenario_Engine'!A6</f>
        <v/>
      </c>
      <c r="B6" s="21">
        <f>'3_Scenario_Engine'!B6</f>
        <v/>
      </c>
      <c r="C6" s="22">
        <f>INDEX('7_GICS_Asset_Vol'!$F$4:$F$166,MATCH(B6,'7_GICS_Asset_Vol'!$A$4:$A$166,0))</f>
        <v/>
      </c>
      <c r="D6" s="24">
        <f>'3_Scenario_Engine'!J6</f>
        <v/>
      </c>
      <c r="E6" s="24">
        <f>'2_Deal_Tape'!S7</f>
        <v/>
      </c>
      <c r="F6" s="24">
        <f>'3_Scenario_Engine'!AF6</f>
        <v/>
      </c>
      <c r="G6" s="38">
        <f>(LN(E6/D6)+('6_Credit_Bridge_Assumptions'!$B$5-C6^2/2)*'6_Credit_Bridge_Assumptions'!$B$4)/(C6*SQRT('6_Credit_Bridge_Assumptions'!$B$4))</f>
        <v/>
      </c>
      <c r="H6" s="27">
        <f>NORMSDIST(-G6)</f>
        <v/>
      </c>
      <c r="I6" s="38">
        <f>(LN(F6/D6)+('6_Credit_Bridge_Assumptions'!$B$5-C6^2/2)*'6_Credit_Bridge_Assumptions'!$B$4)/(C6*SQRT('6_Credit_Bridge_Assumptions'!$B$4))</f>
        <v/>
      </c>
      <c r="J6" s="27">
        <f>NORMSDIST(-I6)</f>
        <v/>
      </c>
      <c r="K6" s="27">
        <f>J6-H6</f>
        <v/>
      </c>
      <c r="L6" s="25">
        <f>'3_Scenario_Engine'!Z6</f>
        <v/>
      </c>
      <c r="M6" s="21">
        <f>IF(L6&lt;'6_Credit_Bridge_Assumptions'!$B$12,"BB",IF(L6&lt;'6_Credit_Bridge_Assumptions'!$B$13,"B","CCC/C"))</f>
        <v/>
      </c>
      <c r="N6" s="27">
        <f>IF(L6&lt;'6_Credit_Bridge_Assumptions'!$B$12,'6_Credit_Bridge_Assumptions'!$B$14,IF(L6&lt;'6_Credit_Bridge_Assumptions'!$B$13,'6_Credit_Bridge_Assumptions'!$B$15,'6_Credit_Bridge_Assumptions'!$B$16))</f>
        <v/>
      </c>
      <c r="O6" s="38">
        <f>(J6-N6)*100</f>
        <v/>
      </c>
      <c r="P6" s="22">
        <f>'3_Scenario_Engine'!AG6</f>
        <v/>
      </c>
      <c r="Q6" s="22">
        <f>IF(P6&lt;=1,'6_Credit_Bridge_Assumptions'!$B$8,MIN('6_Credit_Bridge_Assumptions'!$B$9,MAX('6_Credit_Bridge_Assumptions'!$B$8,1-1/P6)))</f>
        <v/>
      </c>
      <c r="R6" s="22">
        <f>'2_Deal_Tape'!U7</f>
        <v/>
      </c>
      <c r="S6" s="22">
        <f>IF(R6&lt;=1,'6_Credit_Bridge_Assumptions'!$B$8,MIN('6_Credit_Bridge_Assumptions'!$B$9,MAX('6_Credit_Bridge_Assumptions'!$B$8,1-1/R6)))</f>
        <v/>
      </c>
      <c r="T6" s="24">
        <f>'3_Scenario_Engine'!U6</f>
        <v/>
      </c>
      <c r="U6" s="24">
        <f>H6*S6*T6</f>
        <v/>
      </c>
      <c r="V6" s="24">
        <f>J6*Q6*T6</f>
        <v/>
      </c>
      <c r="W6" s="24">
        <f>V6-U6</f>
        <v/>
      </c>
    </row>
    <row r="7">
      <c r="A7" s="21">
        <f>'3_Scenario_Engine'!A7</f>
        <v/>
      </c>
      <c r="B7" s="21">
        <f>'3_Scenario_Engine'!B7</f>
        <v/>
      </c>
      <c r="C7" s="22">
        <f>INDEX('7_GICS_Asset_Vol'!$F$4:$F$166,MATCH(B7,'7_GICS_Asset_Vol'!$A$4:$A$166,0))</f>
        <v/>
      </c>
      <c r="D7" s="24">
        <f>'3_Scenario_Engine'!J7</f>
        <v/>
      </c>
      <c r="E7" s="24">
        <f>'2_Deal_Tape'!S8</f>
        <v/>
      </c>
      <c r="F7" s="24">
        <f>'3_Scenario_Engine'!AF7</f>
        <v/>
      </c>
      <c r="G7" s="38">
        <f>(LN(E7/D7)+('6_Credit_Bridge_Assumptions'!$B$5-C7^2/2)*'6_Credit_Bridge_Assumptions'!$B$4)/(C7*SQRT('6_Credit_Bridge_Assumptions'!$B$4))</f>
        <v/>
      </c>
      <c r="H7" s="27">
        <f>NORMSDIST(-G7)</f>
        <v/>
      </c>
      <c r="I7" s="38">
        <f>(LN(F7/D7)+('6_Credit_Bridge_Assumptions'!$B$5-C7^2/2)*'6_Credit_Bridge_Assumptions'!$B$4)/(C7*SQRT('6_Credit_Bridge_Assumptions'!$B$4))</f>
        <v/>
      </c>
      <c r="J7" s="27">
        <f>NORMSDIST(-I7)</f>
        <v/>
      </c>
      <c r="K7" s="27">
        <f>J7-H7</f>
        <v/>
      </c>
      <c r="L7" s="25">
        <f>'3_Scenario_Engine'!Z7</f>
        <v/>
      </c>
      <c r="M7" s="21">
        <f>IF(L7&lt;'6_Credit_Bridge_Assumptions'!$B$12,"BB",IF(L7&lt;'6_Credit_Bridge_Assumptions'!$B$13,"B","CCC/C"))</f>
        <v/>
      </c>
      <c r="N7" s="27">
        <f>IF(L7&lt;'6_Credit_Bridge_Assumptions'!$B$12,'6_Credit_Bridge_Assumptions'!$B$14,IF(L7&lt;'6_Credit_Bridge_Assumptions'!$B$13,'6_Credit_Bridge_Assumptions'!$B$15,'6_Credit_Bridge_Assumptions'!$B$16))</f>
        <v/>
      </c>
      <c r="O7" s="38">
        <f>(J7-N7)*100</f>
        <v/>
      </c>
      <c r="P7" s="22">
        <f>'3_Scenario_Engine'!AG7</f>
        <v/>
      </c>
      <c r="Q7" s="22">
        <f>IF(P7&lt;=1,'6_Credit_Bridge_Assumptions'!$B$8,MIN('6_Credit_Bridge_Assumptions'!$B$9,MAX('6_Credit_Bridge_Assumptions'!$B$8,1-1/P7)))</f>
        <v/>
      </c>
      <c r="R7" s="22">
        <f>'2_Deal_Tape'!U8</f>
        <v/>
      </c>
      <c r="S7" s="22">
        <f>IF(R7&lt;=1,'6_Credit_Bridge_Assumptions'!$B$8,MIN('6_Credit_Bridge_Assumptions'!$B$9,MAX('6_Credit_Bridge_Assumptions'!$B$8,1-1/R7)))</f>
        <v/>
      </c>
      <c r="T7" s="24">
        <f>'3_Scenario_Engine'!U7</f>
        <v/>
      </c>
      <c r="U7" s="24">
        <f>H7*S7*T7</f>
        <v/>
      </c>
      <c r="V7" s="24">
        <f>J7*Q7*T7</f>
        <v/>
      </c>
      <c r="W7" s="24">
        <f>V7-U7</f>
        <v/>
      </c>
    </row>
    <row r="8">
      <c r="A8" s="21">
        <f>'3_Scenario_Engine'!A8</f>
        <v/>
      </c>
      <c r="B8" s="21">
        <f>'3_Scenario_Engine'!B8</f>
        <v/>
      </c>
      <c r="C8" s="22">
        <f>INDEX('7_GICS_Asset_Vol'!$F$4:$F$166,MATCH(B8,'7_GICS_Asset_Vol'!$A$4:$A$166,0))</f>
        <v/>
      </c>
      <c r="D8" s="24">
        <f>'3_Scenario_Engine'!J8</f>
        <v/>
      </c>
      <c r="E8" s="24">
        <f>'2_Deal_Tape'!S9</f>
        <v/>
      </c>
      <c r="F8" s="24">
        <f>'3_Scenario_Engine'!AF8</f>
        <v/>
      </c>
      <c r="G8" s="38">
        <f>(LN(E8/D8)+('6_Credit_Bridge_Assumptions'!$B$5-C8^2/2)*'6_Credit_Bridge_Assumptions'!$B$4)/(C8*SQRT('6_Credit_Bridge_Assumptions'!$B$4))</f>
        <v/>
      </c>
      <c r="H8" s="27">
        <f>NORMSDIST(-G8)</f>
        <v/>
      </c>
      <c r="I8" s="38">
        <f>(LN(F8/D8)+('6_Credit_Bridge_Assumptions'!$B$5-C8^2/2)*'6_Credit_Bridge_Assumptions'!$B$4)/(C8*SQRT('6_Credit_Bridge_Assumptions'!$B$4))</f>
        <v/>
      </c>
      <c r="J8" s="27">
        <f>NORMSDIST(-I8)</f>
        <v/>
      </c>
      <c r="K8" s="27">
        <f>J8-H8</f>
        <v/>
      </c>
      <c r="L8" s="25">
        <f>'3_Scenario_Engine'!Z8</f>
        <v/>
      </c>
      <c r="M8" s="21">
        <f>IF(L8&lt;'6_Credit_Bridge_Assumptions'!$B$12,"BB",IF(L8&lt;'6_Credit_Bridge_Assumptions'!$B$13,"B","CCC/C"))</f>
        <v/>
      </c>
      <c r="N8" s="27">
        <f>IF(L8&lt;'6_Credit_Bridge_Assumptions'!$B$12,'6_Credit_Bridge_Assumptions'!$B$14,IF(L8&lt;'6_Credit_Bridge_Assumptions'!$B$13,'6_Credit_Bridge_Assumptions'!$B$15,'6_Credit_Bridge_Assumptions'!$B$16))</f>
        <v/>
      </c>
      <c r="O8" s="38">
        <f>(J8-N8)*100</f>
        <v/>
      </c>
      <c r="P8" s="22">
        <f>'3_Scenario_Engine'!AG8</f>
        <v/>
      </c>
      <c r="Q8" s="22">
        <f>IF(P8&lt;=1,'6_Credit_Bridge_Assumptions'!$B$8,MIN('6_Credit_Bridge_Assumptions'!$B$9,MAX('6_Credit_Bridge_Assumptions'!$B$8,1-1/P8)))</f>
        <v/>
      </c>
      <c r="R8" s="22">
        <f>'2_Deal_Tape'!U9</f>
        <v/>
      </c>
      <c r="S8" s="22">
        <f>IF(R8&lt;=1,'6_Credit_Bridge_Assumptions'!$B$8,MIN('6_Credit_Bridge_Assumptions'!$B$9,MAX('6_Credit_Bridge_Assumptions'!$B$8,1-1/R8)))</f>
        <v/>
      </c>
      <c r="T8" s="24">
        <f>'3_Scenario_Engine'!U8</f>
        <v/>
      </c>
      <c r="U8" s="24">
        <f>H8*S8*T8</f>
        <v/>
      </c>
      <c r="V8" s="24">
        <f>J8*Q8*T8</f>
        <v/>
      </c>
      <c r="W8" s="24">
        <f>V8-U8</f>
        <v/>
      </c>
    </row>
    <row r="9">
      <c r="A9" s="21">
        <f>'3_Scenario_Engine'!A9</f>
        <v/>
      </c>
      <c r="B9" s="21">
        <f>'3_Scenario_Engine'!B9</f>
        <v/>
      </c>
      <c r="C9" s="22">
        <f>INDEX('7_GICS_Asset_Vol'!$F$4:$F$166,MATCH(B9,'7_GICS_Asset_Vol'!$A$4:$A$166,0))</f>
        <v/>
      </c>
      <c r="D9" s="24">
        <f>'3_Scenario_Engine'!J9</f>
        <v/>
      </c>
      <c r="E9" s="24">
        <f>'2_Deal_Tape'!S10</f>
        <v/>
      </c>
      <c r="F9" s="24">
        <f>'3_Scenario_Engine'!AF9</f>
        <v/>
      </c>
      <c r="G9" s="38">
        <f>(LN(E9/D9)+('6_Credit_Bridge_Assumptions'!$B$5-C9^2/2)*'6_Credit_Bridge_Assumptions'!$B$4)/(C9*SQRT('6_Credit_Bridge_Assumptions'!$B$4))</f>
        <v/>
      </c>
      <c r="H9" s="27">
        <f>NORMSDIST(-G9)</f>
        <v/>
      </c>
      <c r="I9" s="38">
        <f>(LN(F9/D9)+('6_Credit_Bridge_Assumptions'!$B$5-C9^2/2)*'6_Credit_Bridge_Assumptions'!$B$4)/(C9*SQRT('6_Credit_Bridge_Assumptions'!$B$4))</f>
        <v/>
      </c>
      <c r="J9" s="27">
        <f>NORMSDIST(-I9)</f>
        <v/>
      </c>
      <c r="K9" s="27">
        <f>J9-H9</f>
        <v/>
      </c>
      <c r="L9" s="25">
        <f>'3_Scenario_Engine'!Z9</f>
        <v/>
      </c>
      <c r="M9" s="21">
        <f>IF(L9&lt;'6_Credit_Bridge_Assumptions'!$B$12,"BB",IF(L9&lt;'6_Credit_Bridge_Assumptions'!$B$13,"B","CCC/C"))</f>
        <v/>
      </c>
      <c r="N9" s="27">
        <f>IF(L9&lt;'6_Credit_Bridge_Assumptions'!$B$12,'6_Credit_Bridge_Assumptions'!$B$14,IF(L9&lt;'6_Credit_Bridge_Assumptions'!$B$13,'6_Credit_Bridge_Assumptions'!$B$15,'6_Credit_Bridge_Assumptions'!$B$16))</f>
        <v/>
      </c>
      <c r="O9" s="38">
        <f>(J9-N9)*100</f>
        <v/>
      </c>
      <c r="P9" s="22">
        <f>'3_Scenario_Engine'!AG9</f>
        <v/>
      </c>
      <c r="Q9" s="22">
        <f>IF(P9&lt;=1,'6_Credit_Bridge_Assumptions'!$B$8,MIN('6_Credit_Bridge_Assumptions'!$B$9,MAX('6_Credit_Bridge_Assumptions'!$B$8,1-1/P9)))</f>
        <v/>
      </c>
      <c r="R9" s="22">
        <f>'2_Deal_Tape'!U10</f>
        <v/>
      </c>
      <c r="S9" s="22">
        <f>IF(R9&lt;=1,'6_Credit_Bridge_Assumptions'!$B$8,MIN('6_Credit_Bridge_Assumptions'!$B$9,MAX('6_Credit_Bridge_Assumptions'!$B$8,1-1/R9)))</f>
        <v/>
      </c>
      <c r="T9" s="24">
        <f>'3_Scenario_Engine'!U9</f>
        <v/>
      </c>
      <c r="U9" s="24">
        <f>H9*S9*T9</f>
        <v/>
      </c>
      <c r="V9" s="24">
        <f>J9*Q9*T9</f>
        <v/>
      </c>
      <c r="W9" s="24">
        <f>V9-U9</f>
        <v/>
      </c>
    </row>
    <row r="10">
      <c r="A10" s="21">
        <f>'3_Scenario_Engine'!A10</f>
        <v/>
      </c>
      <c r="B10" s="21">
        <f>'3_Scenario_Engine'!B10</f>
        <v/>
      </c>
      <c r="C10" s="22">
        <f>INDEX('7_GICS_Asset_Vol'!$F$4:$F$166,MATCH(B10,'7_GICS_Asset_Vol'!$A$4:$A$166,0))</f>
        <v/>
      </c>
      <c r="D10" s="24">
        <f>'3_Scenario_Engine'!J10</f>
        <v/>
      </c>
      <c r="E10" s="24">
        <f>'2_Deal_Tape'!S11</f>
        <v/>
      </c>
      <c r="F10" s="24">
        <f>'3_Scenario_Engine'!AF10</f>
        <v/>
      </c>
      <c r="G10" s="38">
        <f>(LN(E10/D10)+('6_Credit_Bridge_Assumptions'!$B$5-C10^2/2)*'6_Credit_Bridge_Assumptions'!$B$4)/(C10*SQRT('6_Credit_Bridge_Assumptions'!$B$4))</f>
        <v/>
      </c>
      <c r="H10" s="27">
        <f>NORMSDIST(-G10)</f>
        <v/>
      </c>
      <c r="I10" s="38">
        <f>(LN(F10/D10)+('6_Credit_Bridge_Assumptions'!$B$5-C10^2/2)*'6_Credit_Bridge_Assumptions'!$B$4)/(C10*SQRT('6_Credit_Bridge_Assumptions'!$B$4))</f>
        <v/>
      </c>
      <c r="J10" s="27">
        <f>NORMSDIST(-I10)</f>
        <v/>
      </c>
      <c r="K10" s="27">
        <f>J10-H10</f>
        <v/>
      </c>
      <c r="L10" s="25">
        <f>'3_Scenario_Engine'!Z10</f>
        <v/>
      </c>
      <c r="M10" s="21">
        <f>IF(L10&lt;'6_Credit_Bridge_Assumptions'!$B$12,"BB",IF(L10&lt;'6_Credit_Bridge_Assumptions'!$B$13,"B","CCC/C"))</f>
        <v/>
      </c>
      <c r="N10" s="27">
        <f>IF(L10&lt;'6_Credit_Bridge_Assumptions'!$B$12,'6_Credit_Bridge_Assumptions'!$B$14,IF(L10&lt;'6_Credit_Bridge_Assumptions'!$B$13,'6_Credit_Bridge_Assumptions'!$B$15,'6_Credit_Bridge_Assumptions'!$B$16))</f>
        <v/>
      </c>
      <c r="O10" s="38">
        <f>(J10-N10)*100</f>
        <v/>
      </c>
      <c r="P10" s="22">
        <f>'3_Scenario_Engine'!AG10</f>
        <v/>
      </c>
      <c r="Q10" s="22">
        <f>IF(P10&lt;=1,'6_Credit_Bridge_Assumptions'!$B$8,MIN('6_Credit_Bridge_Assumptions'!$B$9,MAX('6_Credit_Bridge_Assumptions'!$B$8,1-1/P10)))</f>
        <v/>
      </c>
      <c r="R10" s="22">
        <f>'2_Deal_Tape'!U11</f>
        <v/>
      </c>
      <c r="S10" s="22">
        <f>IF(R10&lt;=1,'6_Credit_Bridge_Assumptions'!$B$8,MIN('6_Credit_Bridge_Assumptions'!$B$9,MAX('6_Credit_Bridge_Assumptions'!$B$8,1-1/R10)))</f>
        <v/>
      </c>
      <c r="T10" s="24">
        <f>'3_Scenario_Engine'!U10</f>
        <v/>
      </c>
      <c r="U10" s="24">
        <f>H10*S10*T10</f>
        <v/>
      </c>
      <c r="V10" s="24">
        <f>J10*Q10*T10</f>
        <v/>
      </c>
      <c r="W10" s="24">
        <f>V10-U10</f>
        <v/>
      </c>
    </row>
    <row r="11">
      <c r="A11" s="21">
        <f>'3_Scenario_Engine'!A11</f>
        <v/>
      </c>
      <c r="B11" s="21">
        <f>'3_Scenario_Engine'!B11</f>
        <v/>
      </c>
      <c r="C11" s="22">
        <f>INDEX('7_GICS_Asset_Vol'!$F$4:$F$166,MATCH(B11,'7_GICS_Asset_Vol'!$A$4:$A$166,0))</f>
        <v/>
      </c>
      <c r="D11" s="24">
        <f>'3_Scenario_Engine'!J11</f>
        <v/>
      </c>
      <c r="E11" s="24">
        <f>'2_Deal_Tape'!S12</f>
        <v/>
      </c>
      <c r="F11" s="24">
        <f>'3_Scenario_Engine'!AF11</f>
        <v/>
      </c>
      <c r="G11" s="38">
        <f>(LN(E11/D11)+('6_Credit_Bridge_Assumptions'!$B$5-C11^2/2)*'6_Credit_Bridge_Assumptions'!$B$4)/(C11*SQRT('6_Credit_Bridge_Assumptions'!$B$4))</f>
        <v/>
      </c>
      <c r="H11" s="27">
        <f>NORMSDIST(-G11)</f>
        <v/>
      </c>
      <c r="I11" s="38">
        <f>(LN(F11/D11)+('6_Credit_Bridge_Assumptions'!$B$5-C11^2/2)*'6_Credit_Bridge_Assumptions'!$B$4)/(C11*SQRT('6_Credit_Bridge_Assumptions'!$B$4))</f>
        <v/>
      </c>
      <c r="J11" s="27">
        <f>NORMSDIST(-I11)</f>
        <v/>
      </c>
      <c r="K11" s="27">
        <f>J11-H11</f>
        <v/>
      </c>
      <c r="L11" s="25">
        <f>'3_Scenario_Engine'!Z11</f>
        <v/>
      </c>
      <c r="M11" s="21">
        <f>IF(L11&lt;'6_Credit_Bridge_Assumptions'!$B$12,"BB",IF(L11&lt;'6_Credit_Bridge_Assumptions'!$B$13,"B","CCC/C"))</f>
        <v/>
      </c>
      <c r="N11" s="27">
        <f>IF(L11&lt;'6_Credit_Bridge_Assumptions'!$B$12,'6_Credit_Bridge_Assumptions'!$B$14,IF(L11&lt;'6_Credit_Bridge_Assumptions'!$B$13,'6_Credit_Bridge_Assumptions'!$B$15,'6_Credit_Bridge_Assumptions'!$B$16))</f>
        <v/>
      </c>
      <c r="O11" s="38">
        <f>(J11-N11)*100</f>
        <v/>
      </c>
      <c r="P11" s="22">
        <f>'3_Scenario_Engine'!AG11</f>
        <v/>
      </c>
      <c r="Q11" s="22">
        <f>IF(P11&lt;=1,'6_Credit_Bridge_Assumptions'!$B$8,MIN('6_Credit_Bridge_Assumptions'!$B$9,MAX('6_Credit_Bridge_Assumptions'!$B$8,1-1/P11)))</f>
        <v/>
      </c>
      <c r="R11" s="22">
        <f>'2_Deal_Tape'!U12</f>
        <v/>
      </c>
      <c r="S11" s="22">
        <f>IF(R11&lt;=1,'6_Credit_Bridge_Assumptions'!$B$8,MIN('6_Credit_Bridge_Assumptions'!$B$9,MAX('6_Credit_Bridge_Assumptions'!$B$8,1-1/R11)))</f>
        <v/>
      </c>
      <c r="T11" s="24">
        <f>'3_Scenario_Engine'!U11</f>
        <v/>
      </c>
      <c r="U11" s="24">
        <f>H11*S11*T11</f>
        <v/>
      </c>
      <c r="V11" s="24">
        <f>J11*Q11*T11</f>
        <v/>
      </c>
      <c r="W11" s="24">
        <f>V11-U11</f>
        <v/>
      </c>
    </row>
    <row r="12">
      <c r="A12" s="21">
        <f>'3_Scenario_Engine'!A12</f>
        <v/>
      </c>
      <c r="B12" s="21">
        <f>'3_Scenario_Engine'!B12</f>
        <v/>
      </c>
      <c r="C12" s="22">
        <f>INDEX('7_GICS_Asset_Vol'!$F$4:$F$166,MATCH(B12,'7_GICS_Asset_Vol'!$A$4:$A$166,0))</f>
        <v/>
      </c>
      <c r="D12" s="24">
        <f>'3_Scenario_Engine'!J12</f>
        <v/>
      </c>
      <c r="E12" s="24">
        <f>'2_Deal_Tape'!S13</f>
        <v/>
      </c>
      <c r="F12" s="24">
        <f>'3_Scenario_Engine'!AF12</f>
        <v/>
      </c>
      <c r="G12" s="38">
        <f>(LN(E12/D12)+('6_Credit_Bridge_Assumptions'!$B$5-C12^2/2)*'6_Credit_Bridge_Assumptions'!$B$4)/(C12*SQRT('6_Credit_Bridge_Assumptions'!$B$4))</f>
        <v/>
      </c>
      <c r="H12" s="27">
        <f>NORMSDIST(-G12)</f>
        <v/>
      </c>
      <c r="I12" s="38">
        <f>(LN(F12/D12)+('6_Credit_Bridge_Assumptions'!$B$5-C12^2/2)*'6_Credit_Bridge_Assumptions'!$B$4)/(C12*SQRT('6_Credit_Bridge_Assumptions'!$B$4))</f>
        <v/>
      </c>
      <c r="J12" s="27">
        <f>NORMSDIST(-I12)</f>
        <v/>
      </c>
      <c r="K12" s="27">
        <f>J12-H12</f>
        <v/>
      </c>
      <c r="L12" s="25">
        <f>'3_Scenario_Engine'!Z12</f>
        <v/>
      </c>
      <c r="M12" s="21">
        <f>IF(L12&lt;'6_Credit_Bridge_Assumptions'!$B$12,"BB",IF(L12&lt;'6_Credit_Bridge_Assumptions'!$B$13,"B","CCC/C"))</f>
        <v/>
      </c>
      <c r="N12" s="27">
        <f>IF(L12&lt;'6_Credit_Bridge_Assumptions'!$B$12,'6_Credit_Bridge_Assumptions'!$B$14,IF(L12&lt;'6_Credit_Bridge_Assumptions'!$B$13,'6_Credit_Bridge_Assumptions'!$B$15,'6_Credit_Bridge_Assumptions'!$B$16))</f>
        <v/>
      </c>
      <c r="O12" s="38">
        <f>(J12-N12)*100</f>
        <v/>
      </c>
      <c r="P12" s="22">
        <f>'3_Scenario_Engine'!AG12</f>
        <v/>
      </c>
      <c r="Q12" s="22">
        <f>IF(P12&lt;=1,'6_Credit_Bridge_Assumptions'!$B$8,MIN('6_Credit_Bridge_Assumptions'!$B$9,MAX('6_Credit_Bridge_Assumptions'!$B$8,1-1/P12)))</f>
        <v/>
      </c>
      <c r="R12" s="22">
        <f>'2_Deal_Tape'!U13</f>
        <v/>
      </c>
      <c r="S12" s="22">
        <f>IF(R12&lt;=1,'6_Credit_Bridge_Assumptions'!$B$8,MIN('6_Credit_Bridge_Assumptions'!$B$9,MAX('6_Credit_Bridge_Assumptions'!$B$8,1-1/R12)))</f>
        <v/>
      </c>
      <c r="T12" s="24">
        <f>'3_Scenario_Engine'!U12</f>
        <v/>
      </c>
      <c r="U12" s="24">
        <f>H12*S12*T12</f>
        <v/>
      </c>
      <c r="V12" s="24">
        <f>J12*Q12*T12</f>
        <v/>
      </c>
      <c r="W12" s="24">
        <f>V12-U12</f>
        <v/>
      </c>
    </row>
    <row r="13">
      <c r="A13" s="21">
        <f>'3_Scenario_Engine'!A13</f>
        <v/>
      </c>
      <c r="B13" s="21">
        <f>'3_Scenario_Engine'!B13</f>
        <v/>
      </c>
      <c r="C13" s="22">
        <f>INDEX('7_GICS_Asset_Vol'!$F$4:$F$166,MATCH(B13,'7_GICS_Asset_Vol'!$A$4:$A$166,0))</f>
        <v/>
      </c>
      <c r="D13" s="24">
        <f>'3_Scenario_Engine'!J13</f>
        <v/>
      </c>
      <c r="E13" s="24">
        <f>'2_Deal_Tape'!S14</f>
        <v/>
      </c>
      <c r="F13" s="24">
        <f>'3_Scenario_Engine'!AF13</f>
        <v/>
      </c>
      <c r="G13" s="38">
        <f>(LN(E13/D13)+('6_Credit_Bridge_Assumptions'!$B$5-C13^2/2)*'6_Credit_Bridge_Assumptions'!$B$4)/(C13*SQRT('6_Credit_Bridge_Assumptions'!$B$4))</f>
        <v/>
      </c>
      <c r="H13" s="27">
        <f>NORMSDIST(-G13)</f>
        <v/>
      </c>
      <c r="I13" s="38">
        <f>(LN(F13/D13)+('6_Credit_Bridge_Assumptions'!$B$5-C13^2/2)*'6_Credit_Bridge_Assumptions'!$B$4)/(C13*SQRT('6_Credit_Bridge_Assumptions'!$B$4))</f>
        <v/>
      </c>
      <c r="J13" s="27">
        <f>NORMSDIST(-I13)</f>
        <v/>
      </c>
      <c r="K13" s="27">
        <f>J13-H13</f>
        <v/>
      </c>
      <c r="L13" s="25">
        <f>'3_Scenario_Engine'!Z13</f>
        <v/>
      </c>
      <c r="M13" s="21">
        <f>IF(L13&lt;'6_Credit_Bridge_Assumptions'!$B$12,"BB",IF(L13&lt;'6_Credit_Bridge_Assumptions'!$B$13,"B","CCC/C"))</f>
        <v/>
      </c>
      <c r="N13" s="27">
        <f>IF(L13&lt;'6_Credit_Bridge_Assumptions'!$B$12,'6_Credit_Bridge_Assumptions'!$B$14,IF(L13&lt;'6_Credit_Bridge_Assumptions'!$B$13,'6_Credit_Bridge_Assumptions'!$B$15,'6_Credit_Bridge_Assumptions'!$B$16))</f>
        <v/>
      </c>
      <c r="O13" s="38">
        <f>(J13-N13)*100</f>
        <v/>
      </c>
      <c r="P13" s="22">
        <f>'3_Scenario_Engine'!AG13</f>
        <v/>
      </c>
      <c r="Q13" s="22">
        <f>IF(P13&lt;=1,'6_Credit_Bridge_Assumptions'!$B$8,MIN('6_Credit_Bridge_Assumptions'!$B$9,MAX('6_Credit_Bridge_Assumptions'!$B$8,1-1/P13)))</f>
        <v/>
      </c>
      <c r="R13" s="22">
        <f>'2_Deal_Tape'!U14</f>
        <v/>
      </c>
      <c r="S13" s="22">
        <f>IF(R13&lt;=1,'6_Credit_Bridge_Assumptions'!$B$8,MIN('6_Credit_Bridge_Assumptions'!$B$9,MAX('6_Credit_Bridge_Assumptions'!$B$8,1-1/R13)))</f>
        <v/>
      </c>
      <c r="T13" s="24">
        <f>'3_Scenario_Engine'!U13</f>
        <v/>
      </c>
      <c r="U13" s="24">
        <f>H13*S13*T13</f>
        <v/>
      </c>
      <c r="V13" s="24">
        <f>J13*Q13*T13</f>
        <v/>
      </c>
      <c r="W13" s="24">
        <f>V13-U13</f>
        <v/>
      </c>
    </row>
    <row r="14">
      <c r="A14" s="21">
        <f>'3_Scenario_Engine'!A14</f>
        <v/>
      </c>
      <c r="B14" s="21">
        <f>'3_Scenario_Engine'!B14</f>
        <v/>
      </c>
      <c r="C14" s="22">
        <f>INDEX('7_GICS_Asset_Vol'!$F$4:$F$166,MATCH(B14,'7_GICS_Asset_Vol'!$A$4:$A$166,0))</f>
        <v/>
      </c>
      <c r="D14" s="24">
        <f>'3_Scenario_Engine'!J14</f>
        <v/>
      </c>
      <c r="E14" s="24">
        <f>'2_Deal_Tape'!S15</f>
        <v/>
      </c>
      <c r="F14" s="24">
        <f>'3_Scenario_Engine'!AF14</f>
        <v/>
      </c>
      <c r="G14" s="38">
        <f>(LN(E14/D14)+('6_Credit_Bridge_Assumptions'!$B$5-C14^2/2)*'6_Credit_Bridge_Assumptions'!$B$4)/(C14*SQRT('6_Credit_Bridge_Assumptions'!$B$4))</f>
        <v/>
      </c>
      <c r="H14" s="27">
        <f>NORMSDIST(-G14)</f>
        <v/>
      </c>
      <c r="I14" s="38">
        <f>(LN(F14/D14)+('6_Credit_Bridge_Assumptions'!$B$5-C14^2/2)*'6_Credit_Bridge_Assumptions'!$B$4)/(C14*SQRT('6_Credit_Bridge_Assumptions'!$B$4))</f>
        <v/>
      </c>
      <c r="J14" s="27">
        <f>NORMSDIST(-I14)</f>
        <v/>
      </c>
      <c r="K14" s="27">
        <f>J14-H14</f>
        <v/>
      </c>
      <c r="L14" s="25">
        <f>'3_Scenario_Engine'!Z14</f>
        <v/>
      </c>
      <c r="M14" s="21">
        <f>IF(L14&lt;'6_Credit_Bridge_Assumptions'!$B$12,"BB",IF(L14&lt;'6_Credit_Bridge_Assumptions'!$B$13,"B","CCC/C"))</f>
        <v/>
      </c>
      <c r="N14" s="27">
        <f>IF(L14&lt;'6_Credit_Bridge_Assumptions'!$B$12,'6_Credit_Bridge_Assumptions'!$B$14,IF(L14&lt;'6_Credit_Bridge_Assumptions'!$B$13,'6_Credit_Bridge_Assumptions'!$B$15,'6_Credit_Bridge_Assumptions'!$B$16))</f>
        <v/>
      </c>
      <c r="O14" s="38">
        <f>(J14-N14)*100</f>
        <v/>
      </c>
      <c r="P14" s="22">
        <f>'3_Scenario_Engine'!AG14</f>
        <v/>
      </c>
      <c r="Q14" s="22">
        <f>IF(P14&lt;=1,'6_Credit_Bridge_Assumptions'!$B$8,MIN('6_Credit_Bridge_Assumptions'!$B$9,MAX('6_Credit_Bridge_Assumptions'!$B$8,1-1/P14)))</f>
        <v/>
      </c>
      <c r="R14" s="22">
        <f>'2_Deal_Tape'!U15</f>
        <v/>
      </c>
      <c r="S14" s="22">
        <f>IF(R14&lt;=1,'6_Credit_Bridge_Assumptions'!$B$8,MIN('6_Credit_Bridge_Assumptions'!$B$9,MAX('6_Credit_Bridge_Assumptions'!$B$8,1-1/R14)))</f>
        <v/>
      </c>
      <c r="T14" s="24">
        <f>'3_Scenario_Engine'!U14</f>
        <v/>
      </c>
      <c r="U14" s="24">
        <f>H14*S14*T14</f>
        <v/>
      </c>
      <c r="V14" s="24">
        <f>J14*Q14*T14</f>
        <v/>
      </c>
      <c r="W14" s="24">
        <f>V14-U14</f>
        <v/>
      </c>
    </row>
    <row r="15">
      <c r="A15" s="21">
        <f>'3_Scenario_Engine'!A15</f>
        <v/>
      </c>
      <c r="B15" s="21">
        <f>'3_Scenario_Engine'!B15</f>
        <v/>
      </c>
      <c r="C15" s="22">
        <f>INDEX('7_GICS_Asset_Vol'!$F$4:$F$166,MATCH(B15,'7_GICS_Asset_Vol'!$A$4:$A$166,0))</f>
        <v/>
      </c>
      <c r="D15" s="24">
        <f>'3_Scenario_Engine'!J15</f>
        <v/>
      </c>
      <c r="E15" s="24">
        <f>'2_Deal_Tape'!S16</f>
        <v/>
      </c>
      <c r="F15" s="24">
        <f>'3_Scenario_Engine'!AF15</f>
        <v/>
      </c>
      <c r="G15" s="38">
        <f>(LN(E15/D15)+('6_Credit_Bridge_Assumptions'!$B$5-C15^2/2)*'6_Credit_Bridge_Assumptions'!$B$4)/(C15*SQRT('6_Credit_Bridge_Assumptions'!$B$4))</f>
        <v/>
      </c>
      <c r="H15" s="27">
        <f>NORMSDIST(-G15)</f>
        <v/>
      </c>
      <c r="I15" s="38">
        <f>(LN(F15/D15)+('6_Credit_Bridge_Assumptions'!$B$5-C15^2/2)*'6_Credit_Bridge_Assumptions'!$B$4)/(C15*SQRT('6_Credit_Bridge_Assumptions'!$B$4))</f>
        <v/>
      </c>
      <c r="J15" s="27">
        <f>NORMSDIST(-I15)</f>
        <v/>
      </c>
      <c r="K15" s="27">
        <f>J15-H15</f>
        <v/>
      </c>
      <c r="L15" s="25">
        <f>'3_Scenario_Engine'!Z15</f>
        <v/>
      </c>
      <c r="M15" s="21">
        <f>IF(L15&lt;'6_Credit_Bridge_Assumptions'!$B$12,"BB",IF(L15&lt;'6_Credit_Bridge_Assumptions'!$B$13,"B","CCC/C"))</f>
        <v/>
      </c>
      <c r="N15" s="27">
        <f>IF(L15&lt;'6_Credit_Bridge_Assumptions'!$B$12,'6_Credit_Bridge_Assumptions'!$B$14,IF(L15&lt;'6_Credit_Bridge_Assumptions'!$B$13,'6_Credit_Bridge_Assumptions'!$B$15,'6_Credit_Bridge_Assumptions'!$B$16))</f>
        <v/>
      </c>
      <c r="O15" s="38">
        <f>(J15-N15)*100</f>
        <v/>
      </c>
      <c r="P15" s="22">
        <f>'3_Scenario_Engine'!AG15</f>
        <v/>
      </c>
      <c r="Q15" s="22">
        <f>IF(P15&lt;=1,'6_Credit_Bridge_Assumptions'!$B$8,MIN('6_Credit_Bridge_Assumptions'!$B$9,MAX('6_Credit_Bridge_Assumptions'!$B$8,1-1/P15)))</f>
        <v/>
      </c>
      <c r="R15" s="22">
        <f>'2_Deal_Tape'!U16</f>
        <v/>
      </c>
      <c r="S15" s="22">
        <f>IF(R15&lt;=1,'6_Credit_Bridge_Assumptions'!$B$8,MIN('6_Credit_Bridge_Assumptions'!$B$9,MAX('6_Credit_Bridge_Assumptions'!$B$8,1-1/R15)))</f>
        <v/>
      </c>
      <c r="T15" s="24">
        <f>'3_Scenario_Engine'!U15</f>
        <v/>
      </c>
      <c r="U15" s="24">
        <f>H15*S15*T15</f>
        <v/>
      </c>
      <c r="V15" s="24">
        <f>J15*Q15*T15</f>
        <v/>
      </c>
      <c r="W15" s="24">
        <f>V15-U15</f>
        <v/>
      </c>
    </row>
    <row r="16">
      <c r="A16" s="21">
        <f>'3_Scenario_Engine'!A16</f>
        <v/>
      </c>
      <c r="B16" s="21">
        <f>'3_Scenario_Engine'!B16</f>
        <v/>
      </c>
      <c r="C16" s="22">
        <f>INDEX('7_GICS_Asset_Vol'!$F$4:$F$166,MATCH(B16,'7_GICS_Asset_Vol'!$A$4:$A$166,0))</f>
        <v/>
      </c>
      <c r="D16" s="24">
        <f>'3_Scenario_Engine'!J16</f>
        <v/>
      </c>
      <c r="E16" s="24">
        <f>'2_Deal_Tape'!S17</f>
        <v/>
      </c>
      <c r="F16" s="24">
        <f>'3_Scenario_Engine'!AF16</f>
        <v/>
      </c>
      <c r="G16" s="38">
        <f>(LN(E16/D16)+('6_Credit_Bridge_Assumptions'!$B$5-C16^2/2)*'6_Credit_Bridge_Assumptions'!$B$4)/(C16*SQRT('6_Credit_Bridge_Assumptions'!$B$4))</f>
        <v/>
      </c>
      <c r="H16" s="27">
        <f>NORMSDIST(-G16)</f>
        <v/>
      </c>
      <c r="I16" s="38">
        <f>(LN(F16/D16)+('6_Credit_Bridge_Assumptions'!$B$5-C16^2/2)*'6_Credit_Bridge_Assumptions'!$B$4)/(C16*SQRT('6_Credit_Bridge_Assumptions'!$B$4))</f>
        <v/>
      </c>
      <c r="J16" s="27">
        <f>NORMSDIST(-I16)</f>
        <v/>
      </c>
      <c r="K16" s="27">
        <f>J16-H16</f>
        <v/>
      </c>
      <c r="L16" s="25">
        <f>'3_Scenario_Engine'!Z16</f>
        <v/>
      </c>
      <c r="M16" s="21">
        <f>IF(L16&lt;'6_Credit_Bridge_Assumptions'!$B$12,"BB",IF(L16&lt;'6_Credit_Bridge_Assumptions'!$B$13,"B","CCC/C"))</f>
        <v/>
      </c>
      <c r="N16" s="27">
        <f>IF(L16&lt;'6_Credit_Bridge_Assumptions'!$B$12,'6_Credit_Bridge_Assumptions'!$B$14,IF(L16&lt;'6_Credit_Bridge_Assumptions'!$B$13,'6_Credit_Bridge_Assumptions'!$B$15,'6_Credit_Bridge_Assumptions'!$B$16))</f>
        <v/>
      </c>
      <c r="O16" s="38">
        <f>(J16-N16)*100</f>
        <v/>
      </c>
      <c r="P16" s="22">
        <f>'3_Scenario_Engine'!AG16</f>
        <v/>
      </c>
      <c r="Q16" s="22">
        <f>IF(P16&lt;=1,'6_Credit_Bridge_Assumptions'!$B$8,MIN('6_Credit_Bridge_Assumptions'!$B$9,MAX('6_Credit_Bridge_Assumptions'!$B$8,1-1/P16)))</f>
        <v/>
      </c>
      <c r="R16" s="22">
        <f>'2_Deal_Tape'!U17</f>
        <v/>
      </c>
      <c r="S16" s="22">
        <f>IF(R16&lt;=1,'6_Credit_Bridge_Assumptions'!$B$8,MIN('6_Credit_Bridge_Assumptions'!$B$9,MAX('6_Credit_Bridge_Assumptions'!$B$8,1-1/R16)))</f>
        <v/>
      </c>
      <c r="T16" s="24">
        <f>'3_Scenario_Engine'!U16</f>
        <v/>
      </c>
      <c r="U16" s="24">
        <f>H16*S16*T16</f>
        <v/>
      </c>
      <c r="V16" s="24">
        <f>J16*Q16*T16</f>
        <v/>
      </c>
      <c r="W16" s="24">
        <f>V16-U16</f>
        <v/>
      </c>
    </row>
    <row r="17">
      <c r="A17" s="21">
        <f>'3_Scenario_Engine'!A17</f>
        <v/>
      </c>
      <c r="B17" s="21">
        <f>'3_Scenario_Engine'!B17</f>
        <v/>
      </c>
      <c r="C17" s="22">
        <f>INDEX('7_GICS_Asset_Vol'!$F$4:$F$166,MATCH(B17,'7_GICS_Asset_Vol'!$A$4:$A$166,0))</f>
        <v/>
      </c>
      <c r="D17" s="24">
        <f>'3_Scenario_Engine'!J17</f>
        <v/>
      </c>
      <c r="E17" s="24">
        <f>'2_Deal_Tape'!S18</f>
        <v/>
      </c>
      <c r="F17" s="24">
        <f>'3_Scenario_Engine'!AF17</f>
        <v/>
      </c>
      <c r="G17" s="38">
        <f>(LN(E17/D17)+('6_Credit_Bridge_Assumptions'!$B$5-C17^2/2)*'6_Credit_Bridge_Assumptions'!$B$4)/(C17*SQRT('6_Credit_Bridge_Assumptions'!$B$4))</f>
        <v/>
      </c>
      <c r="H17" s="27">
        <f>NORMSDIST(-G17)</f>
        <v/>
      </c>
      <c r="I17" s="38">
        <f>(LN(F17/D17)+('6_Credit_Bridge_Assumptions'!$B$5-C17^2/2)*'6_Credit_Bridge_Assumptions'!$B$4)/(C17*SQRT('6_Credit_Bridge_Assumptions'!$B$4))</f>
        <v/>
      </c>
      <c r="J17" s="27">
        <f>NORMSDIST(-I17)</f>
        <v/>
      </c>
      <c r="K17" s="27">
        <f>J17-H17</f>
        <v/>
      </c>
      <c r="L17" s="25">
        <f>'3_Scenario_Engine'!Z17</f>
        <v/>
      </c>
      <c r="M17" s="21">
        <f>IF(L17&lt;'6_Credit_Bridge_Assumptions'!$B$12,"BB",IF(L17&lt;'6_Credit_Bridge_Assumptions'!$B$13,"B","CCC/C"))</f>
        <v/>
      </c>
      <c r="N17" s="27">
        <f>IF(L17&lt;'6_Credit_Bridge_Assumptions'!$B$12,'6_Credit_Bridge_Assumptions'!$B$14,IF(L17&lt;'6_Credit_Bridge_Assumptions'!$B$13,'6_Credit_Bridge_Assumptions'!$B$15,'6_Credit_Bridge_Assumptions'!$B$16))</f>
        <v/>
      </c>
      <c r="O17" s="38">
        <f>(J17-N17)*100</f>
        <v/>
      </c>
      <c r="P17" s="22">
        <f>'3_Scenario_Engine'!AG17</f>
        <v/>
      </c>
      <c r="Q17" s="22">
        <f>IF(P17&lt;=1,'6_Credit_Bridge_Assumptions'!$B$8,MIN('6_Credit_Bridge_Assumptions'!$B$9,MAX('6_Credit_Bridge_Assumptions'!$B$8,1-1/P17)))</f>
        <v/>
      </c>
      <c r="R17" s="22">
        <f>'2_Deal_Tape'!U18</f>
        <v/>
      </c>
      <c r="S17" s="22">
        <f>IF(R17&lt;=1,'6_Credit_Bridge_Assumptions'!$B$8,MIN('6_Credit_Bridge_Assumptions'!$B$9,MAX('6_Credit_Bridge_Assumptions'!$B$8,1-1/R17)))</f>
        <v/>
      </c>
      <c r="T17" s="24">
        <f>'3_Scenario_Engine'!U17</f>
        <v/>
      </c>
      <c r="U17" s="24">
        <f>H17*S17*T17</f>
        <v/>
      </c>
      <c r="V17" s="24">
        <f>J17*Q17*T17</f>
        <v/>
      </c>
      <c r="W17" s="24">
        <f>V17-U17</f>
        <v/>
      </c>
    </row>
    <row r="18">
      <c r="A18" s="21">
        <f>'3_Scenario_Engine'!A18</f>
        <v/>
      </c>
      <c r="B18" s="21">
        <f>'3_Scenario_Engine'!B18</f>
        <v/>
      </c>
      <c r="C18" s="22">
        <f>INDEX('7_GICS_Asset_Vol'!$F$4:$F$166,MATCH(B18,'7_GICS_Asset_Vol'!$A$4:$A$166,0))</f>
        <v/>
      </c>
      <c r="D18" s="24">
        <f>'3_Scenario_Engine'!J18</f>
        <v/>
      </c>
      <c r="E18" s="24">
        <f>'2_Deal_Tape'!S19</f>
        <v/>
      </c>
      <c r="F18" s="24">
        <f>'3_Scenario_Engine'!AF18</f>
        <v/>
      </c>
      <c r="G18" s="38">
        <f>(LN(E18/D18)+('6_Credit_Bridge_Assumptions'!$B$5-C18^2/2)*'6_Credit_Bridge_Assumptions'!$B$4)/(C18*SQRT('6_Credit_Bridge_Assumptions'!$B$4))</f>
        <v/>
      </c>
      <c r="H18" s="27">
        <f>NORMSDIST(-G18)</f>
        <v/>
      </c>
      <c r="I18" s="38">
        <f>(LN(F18/D18)+('6_Credit_Bridge_Assumptions'!$B$5-C18^2/2)*'6_Credit_Bridge_Assumptions'!$B$4)/(C18*SQRT('6_Credit_Bridge_Assumptions'!$B$4))</f>
        <v/>
      </c>
      <c r="J18" s="27">
        <f>NORMSDIST(-I18)</f>
        <v/>
      </c>
      <c r="K18" s="27">
        <f>J18-H18</f>
        <v/>
      </c>
      <c r="L18" s="25">
        <f>'3_Scenario_Engine'!Z18</f>
        <v/>
      </c>
      <c r="M18" s="21">
        <f>IF(L18&lt;'6_Credit_Bridge_Assumptions'!$B$12,"BB",IF(L18&lt;'6_Credit_Bridge_Assumptions'!$B$13,"B","CCC/C"))</f>
        <v/>
      </c>
      <c r="N18" s="27">
        <f>IF(L18&lt;'6_Credit_Bridge_Assumptions'!$B$12,'6_Credit_Bridge_Assumptions'!$B$14,IF(L18&lt;'6_Credit_Bridge_Assumptions'!$B$13,'6_Credit_Bridge_Assumptions'!$B$15,'6_Credit_Bridge_Assumptions'!$B$16))</f>
        <v/>
      </c>
      <c r="O18" s="38">
        <f>(J18-N18)*100</f>
        <v/>
      </c>
      <c r="P18" s="22">
        <f>'3_Scenario_Engine'!AG18</f>
        <v/>
      </c>
      <c r="Q18" s="22">
        <f>IF(P18&lt;=1,'6_Credit_Bridge_Assumptions'!$B$8,MIN('6_Credit_Bridge_Assumptions'!$B$9,MAX('6_Credit_Bridge_Assumptions'!$B$8,1-1/P18)))</f>
        <v/>
      </c>
      <c r="R18" s="22">
        <f>'2_Deal_Tape'!U19</f>
        <v/>
      </c>
      <c r="S18" s="22">
        <f>IF(R18&lt;=1,'6_Credit_Bridge_Assumptions'!$B$8,MIN('6_Credit_Bridge_Assumptions'!$B$9,MAX('6_Credit_Bridge_Assumptions'!$B$8,1-1/R18)))</f>
        <v/>
      </c>
      <c r="T18" s="24">
        <f>'3_Scenario_Engine'!U18</f>
        <v/>
      </c>
      <c r="U18" s="24">
        <f>H18*S18*T18</f>
        <v/>
      </c>
      <c r="V18" s="24">
        <f>J18*Q18*T18</f>
        <v/>
      </c>
      <c r="W18" s="24">
        <f>V18-U18</f>
        <v/>
      </c>
    </row>
    <row r="19">
      <c r="A19" s="21">
        <f>'3_Scenario_Engine'!A19</f>
        <v/>
      </c>
      <c r="B19" s="21">
        <f>'3_Scenario_Engine'!B19</f>
        <v/>
      </c>
      <c r="C19" s="22">
        <f>INDEX('7_GICS_Asset_Vol'!$F$4:$F$166,MATCH(B19,'7_GICS_Asset_Vol'!$A$4:$A$166,0))</f>
        <v/>
      </c>
      <c r="D19" s="24">
        <f>'3_Scenario_Engine'!J19</f>
        <v/>
      </c>
      <c r="E19" s="24">
        <f>'2_Deal_Tape'!S20</f>
        <v/>
      </c>
      <c r="F19" s="24">
        <f>'3_Scenario_Engine'!AF19</f>
        <v/>
      </c>
      <c r="G19" s="38">
        <f>(LN(E19/D19)+('6_Credit_Bridge_Assumptions'!$B$5-C19^2/2)*'6_Credit_Bridge_Assumptions'!$B$4)/(C19*SQRT('6_Credit_Bridge_Assumptions'!$B$4))</f>
        <v/>
      </c>
      <c r="H19" s="27">
        <f>NORMSDIST(-G19)</f>
        <v/>
      </c>
      <c r="I19" s="38">
        <f>(LN(F19/D19)+('6_Credit_Bridge_Assumptions'!$B$5-C19^2/2)*'6_Credit_Bridge_Assumptions'!$B$4)/(C19*SQRT('6_Credit_Bridge_Assumptions'!$B$4))</f>
        <v/>
      </c>
      <c r="J19" s="27">
        <f>NORMSDIST(-I19)</f>
        <v/>
      </c>
      <c r="K19" s="27">
        <f>J19-H19</f>
        <v/>
      </c>
      <c r="L19" s="25">
        <f>'3_Scenario_Engine'!Z19</f>
        <v/>
      </c>
      <c r="M19" s="21">
        <f>IF(L19&lt;'6_Credit_Bridge_Assumptions'!$B$12,"BB",IF(L19&lt;'6_Credit_Bridge_Assumptions'!$B$13,"B","CCC/C"))</f>
        <v/>
      </c>
      <c r="N19" s="27">
        <f>IF(L19&lt;'6_Credit_Bridge_Assumptions'!$B$12,'6_Credit_Bridge_Assumptions'!$B$14,IF(L19&lt;'6_Credit_Bridge_Assumptions'!$B$13,'6_Credit_Bridge_Assumptions'!$B$15,'6_Credit_Bridge_Assumptions'!$B$16))</f>
        <v/>
      </c>
      <c r="O19" s="38">
        <f>(J19-N19)*100</f>
        <v/>
      </c>
      <c r="P19" s="22">
        <f>'3_Scenario_Engine'!AG19</f>
        <v/>
      </c>
      <c r="Q19" s="22">
        <f>IF(P19&lt;=1,'6_Credit_Bridge_Assumptions'!$B$8,MIN('6_Credit_Bridge_Assumptions'!$B$9,MAX('6_Credit_Bridge_Assumptions'!$B$8,1-1/P19)))</f>
        <v/>
      </c>
      <c r="R19" s="22">
        <f>'2_Deal_Tape'!U20</f>
        <v/>
      </c>
      <c r="S19" s="22">
        <f>IF(R19&lt;=1,'6_Credit_Bridge_Assumptions'!$B$8,MIN('6_Credit_Bridge_Assumptions'!$B$9,MAX('6_Credit_Bridge_Assumptions'!$B$8,1-1/R19)))</f>
        <v/>
      </c>
      <c r="T19" s="24">
        <f>'3_Scenario_Engine'!U19</f>
        <v/>
      </c>
      <c r="U19" s="24">
        <f>H19*S19*T19</f>
        <v/>
      </c>
      <c r="V19" s="24">
        <f>J19*Q19*T19</f>
        <v/>
      </c>
      <c r="W19" s="24">
        <f>V19-U19</f>
        <v/>
      </c>
    </row>
    <row r="20">
      <c r="A20" s="21">
        <f>'3_Scenario_Engine'!A20</f>
        <v/>
      </c>
      <c r="B20" s="21">
        <f>'3_Scenario_Engine'!B20</f>
        <v/>
      </c>
      <c r="C20" s="22">
        <f>INDEX('7_GICS_Asset_Vol'!$F$4:$F$166,MATCH(B20,'7_GICS_Asset_Vol'!$A$4:$A$166,0))</f>
        <v/>
      </c>
      <c r="D20" s="24">
        <f>'3_Scenario_Engine'!J20</f>
        <v/>
      </c>
      <c r="E20" s="24">
        <f>'2_Deal_Tape'!S21</f>
        <v/>
      </c>
      <c r="F20" s="24">
        <f>'3_Scenario_Engine'!AF20</f>
        <v/>
      </c>
      <c r="G20" s="38">
        <f>(LN(E20/D20)+('6_Credit_Bridge_Assumptions'!$B$5-C20^2/2)*'6_Credit_Bridge_Assumptions'!$B$4)/(C20*SQRT('6_Credit_Bridge_Assumptions'!$B$4))</f>
        <v/>
      </c>
      <c r="H20" s="27">
        <f>NORMSDIST(-G20)</f>
        <v/>
      </c>
      <c r="I20" s="38">
        <f>(LN(F20/D20)+('6_Credit_Bridge_Assumptions'!$B$5-C20^2/2)*'6_Credit_Bridge_Assumptions'!$B$4)/(C20*SQRT('6_Credit_Bridge_Assumptions'!$B$4))</f>
        <v/>
      </c>
      <c r="J20" s="27">
        <f>NORMSDIST(-I20)</f>
        <v/>
      </c>
      <c r="K20" s="27">
        <f>J20-H20</f>
        <v/>
      </c>
      <c r="L20" s="25">
        <f>'3_Scenario_Engine'!Z20</f>
        <v/>
      </c>
      <c r="M20" s="21">
        <f>IF(L20&lt;'6_Credit_Bridge_Assumptions'!$B$12,"BB",IF(L20&lt;'6_Credit_Bridge_Assumptions'!$B$13,"B","CCC/C"))</f>
        <v/>
      </c>
      <c r="N20" s="27">
        <f>IF(L20&lt;'6_Credit_Bridge_Assumptions'!$B$12,'6_Credit_Bridge_Assumptions'!$B$14,IF(L20&lt;'6_Credit_Bridge_Assumptions'!$B$13,'6_Credit_Bridge_Assumptions'!$B$15,'6_Credit_Bridge_Assumptions'!$B$16))</f>
        <v/>
      </c>
      <c r="O20" s="38">
        <f>(J20-N20)*100</f>
        <v/>
      </c>
      <c r="P20" s="22">
        <f>'3_Scenario_Engine'!AG20</f>
        <v/>
      </c>
      <c r="Q20" s="22">
        <f>IF(P20&lt;=1,'6_Credit_Bridge_Assumptions'!$B$8,MIN('6_Credit_Bridge_Assumptions'!$B$9,MAX('6_Credit_Bridge_Assumptions'!$B$8,1-1/P20)))</f>
        <v/>
      </c>
      <c r="R20" s="22">
        <f>'2_Deal_Tape'!U21</f>
        <v/>
      </c>
      <c r="S20" s="22">
        <f>IF(R20&lt;=1,'6_Credit_Bridge_Assumptions'!$B$8,MIN('6_Credit_Bridge_Assumptions'!$B$9,MAX('6_Credit_Bridge_Assumptions'!$B$8,1-1/R20)))</f>
        <v/>
      </c>
      <c r="T20" s="24">
        <f>'3_Scenario_Engine'!U20</f>
        <v/>
      </c>
      <c r="U20" s="24">
        <f>H20*S20*T20</f>
        <v/>
      </c>
      <c r="V20" s="24">
        <f>J20*Q20*T20</f>
        <v/>
      </c>
      <c r="W20" s="24">
        <f>V20-U20</f>
        <v/>
      </c>
    </row>
    <row r="21">
      <c r="A21" s="21">
        <f>'3_Scenario_Engine'!A21</f>
        <v/>
      </c>
      <c r="B21" s="21">
        <f>'3_Scenario_Engine'!B21</f>
        <v/>
      </c>
      <c r="C21" s="22">
        <f>INDEX('7_GICS_Asset_Vol'!$F$4:$F$166,MATCH(B21,'7_GICS_Asset_Vol'!$A$4:$A$166,0))</f>
        <v/>
      </c>
      <c r="D21" s="24">
        <f>'3_Scenario_Engine'!J21</f>
        <v/>
      </c>
      <c r="E21" s="24">
        <f>'2_Deal_Tape'!S22</f>
        <v/>
      </c>
      <c r="F21" s="24">
        <f>'3_Scenario_Engine'!AF21</f>
        <v/>
      </c>
      <c r="G21" s="38">
        <f>(LN(E21/D21)+('6_Credit_Bridge_Assumptions'!$B$5-C21^2/2)*'6_Credit_Bridge_Assumptions'!$B$4)/(C21*SQRT('6_Credit_Bridge_Assumptions'!$B$4))</f>
        <v/>
      </c>
      <c r="H21" s="27">
        <f>NORMSDIST(-G21)</f>
        <v/>
      </c>
      <c r="I21" s="38">
        <f>(LN(F21/D21)+('6_Credit_Bridge_Assumptions'!$B$5-C21^2/2)*'6_Credit_Bridge_Assumptions'!$B$4)/(C21*SQRT('6_Credit_Bridge_Assumptions'!$B$4))</f>
        <v/>
      </c>
      <c r="J21" s="27">
        <f>NORMSDIST(-I21)</f>
        <v/>
      </c>
      <c r="K21" s="27">
        <f>J21-H21</f>
        <v/>
      </c>
      <c r="L21" s="25">
        <f>'3_Scenario_Engine'!Z21</f>
        <v/>
      </c>
      <c r="M21" s="21">
        <f>IF(L21&lt;'6_Credit_Bridge_Assumptions'!$B$12,"BB",IF(L21&lt;'6_Credit_Bridge_Assumptions'!$B$13,"B","CCC/C"))</f>
        <v/>
      </c>
      <c r="N21" s="27">
        <f>IF(L21&lt;'6_Credit_Bridge_Assumptions'!$B$12,'6_Credit_Bridge_Assumptions'!$B$14,IF(L21&lt;'6_Credit_Bridge_Assumptions'!$B$13,'6_Credit_Bridge_Assumptions'!$B$15,'6_Credit_Bridge_Assumptions'!$B$16))</f>
        <v/>
      </c>
      <c r="O21" s="38">
        <f>(J21-N21)*100</f>
        <v/>
      </c>
      <c r="P21" s="22">
        <f>'3_Scenario_Engine'!AG21</f>
        <v/>
      </c>
      <c r="Q21" s="22">
        <f>IF(P21&lt;=1,'6_Credit_Bridge_Assumptions'!$B$8,MIN('6_Credit_Bridge_Assumptions'!$B$9,MAX('6_Credit_Bridge_Assumptions'!$B$8,1-1/P21)))</f>
        <v/>
      </c>
      <c r="R21" s="22">
        <f>'2_Deal_Tape'!U22</f>
        <v/>
      </c>
      <c r="S21" s="22">
        <f>IF(R21&lt;=1,'6_Credit_Bridge_Assumptions'!$B$8,MIN('6_Credit_Bridge_Assumptions'!$B$9,MAX('6_Credit_Bridge_Assumptions'!$B$8,1-1/R21)))</f>
        <v/>
      </c>
      <c r="T21" s="24">
        <f>'3_Scenario_Engine'!U21</f>
        <v/>
      </c>
      <c r="U21" s="24">
        <f>H21*S21*T21</f>
        <v/>
      </c>
      <c r="V21" s="24">
        <f>J21*Q21*T21</f>
        <v/>
      </c>
      <c r="W21" s="24">
        <f>V21-U21</f>
        <v/>
      </c>
    </row>
    <row r="22">
      <c r="A22" s="21">
        <f>'3_Scenario_Engine'!A22</f>
        <v/>
      </c>
      <c r="B22" s="21">
        <f>'3_Scenario_Engine'!B22</f>
        <v/>
      </c>
      <c r="C22" s="22">
        <f>INDEX('7_GICS_Asset_Vol'!$F$4:$F$166,MATCH(B22,'7_GICS_Asset_Vol'!$A$4:$A$166,0))</f>
        <v/>
      </c>
      <c r="D22" s="24">
        <f>'3_Scenario_Engine'!J22</f>
        <v/>
      </c>
      <c r="E22" s="24">
        <f>'2_Deal_Tape'!S23</f>
        <v/>
      </c>
      <c r="F22" s="24">
        <f>'3_Scenario_Engine'!AF22</f>
        <v/>
      </c>
      <c r="G22" s="38">
        <f>(LN(E22/D22)+('6_Credit_Bridge_Assumptions'!$B$5-C22^2/2)*'6_Credit_Bridge_Assumptions'!$B$4)/(C22*SQRT('6_Credit_Bridge_Assumptions'!$B$4))</f>
        <v/>
      </c>
      <c r="H22" s="27">
        <f>NORMSDIST(-G22)</f>
        <v/>
      </c>
      <c r="I22" s="38">
        <f>(LN(F22/D22)+('6_Credit_Bridge_Assumptions'!$B$5-C22^2/2)*'6_Credit_Bridge_Assumptions'!$B$4)/(C22*SQRT('6_Credit_Bridge_Assumptions'!$B$4))</f>
        <v/>
      </c>
      <c r="J22" s="27">
        <f>NORMSDIST(-I22)</f>
        <v/>
      </c>
      <c r="K22" s="27">
        <f>J22-H22</f>
        <v/>
      </c>
      <c r="L22" s="25">
        <f>'3_Scenario_Engine'!Z22</f>
        <v/>
      </c>
      <c r="M22" s="21">
        <f>IF(L22&lt;'6_Credit_Bridge_Assumptions'!$B$12,"BB",IF(L22&lt;'6_Credit_Bridge_Assumptions'!$B$13,"B","CCC/C"))</f>
        <v/>
      </c>
      <c r="N22" s="27">
        <f>IF(L22&lt;'6_Credit_Bridge_Assumptions'!$B$12,'6_Credit_Bridge_Assumptions'!$B$14,IF(L22&lt;'6_Credit_Bridge_Assumptions'!$B$13,'6_Credit_Bridge_Assumptions'!$B$15,'6_Credit_Bridge_Assumptions'!$B$16))</f>
        <v/>
      </c>
      <c r="O22" s="38">
        <f>(J22-N22)*100</f>
        <v/>
      </c>
      <c r="P22" s="22">
        <f>'3_Scenario_Engine'!AG22</f>
        <v/>
      </c>
      <c r="Q22" s="22">
        <f>IF(P22&lt;=1,'6_Credit_Bridge_Assumptions'!$B$8,MIN('6_Credit_Bridge_Assumptions'!$B$9,MAX('6_Credit_Bridge_Assumptions'!$B$8,1-1/P22)))</f>
        <v/>
      </c>
      <c r="R22" s="22">
        <f>'2_Deal_Tape'!U23</f>
        <v/>
      </c>
      <c r="S22" s="22">
        <f>IF(R22&lt;=1,'6_Credit_Bridge_Assumptions'!$B$8,MIN('6_Credit_Bridge_Assumptions'!$B$9,MAX('6_Credit_Bridge_Assumptions'!$B$8,1-1/R22)))</f>
        <v/>
      </c>
      <c r="T22" s="24">
        <f>'3_Scenario_Engine'!U22</f>
        <v/>
      </c>
      <c r="U22" s="24">
        <f>H22*S22*T22</f>
        <v/>
      </c>
      <c r="V22" s="24">
        <f>J22*Q22*T22</f>
        <v/>
      </c>
      <c r="W22" s="24">
        <f>V22-U22</f>
        <v/>
      </c>
    </row>
    <row r="23">
      <c r="A23" s="21">
        <f>'3_Scenario_Engine'!A23</f>
        <v/>
      </c>
      <c r="B23" s="21">
        <f>'3_Scenario_Engine'!B23</f>
        <v/>
      </c>
      <c r="C23" s="22">
        <f>INDEX('7_GICS_Asset_Vol'!$F$4:$F$166,MATCH(B23,'7_GICS_Asset_Vol'!$A$4:$A$166,0))</f>
        <v/>
      </c>
      <c r="D23" s="24">
        <f>'3_Scenario_Engine'!J23</f>
        <v/>
      </c>
      <c r="E23" s="24">
        <f>'2_Deal_Tape'!S24</f>
        <v/>
      </c>
      <c r="F23" s="24">
        <f>'3_Scenario_Engine'!AF23</f>
        <v/>
      </c>
      <c r="G23" s="38">
        <f>(LN(E23/D23)+('6_Credit_Bridge_Assumptions'!$B$5-C23^2/2)*'6_Credit_Bridge_Assumptions'!$B$4)/(C23*SQRT('6_Credit_Bridge_Assumptions'!$B$4))</f>
        <v/>
      </c>
      <c r="H23" s="27">
        <f>NORMSDIST(-G23)</f>
        <v/>
      </c>
      <c r="I23" s="38">
        <f>(LN(F23/D23)+('6_Credit_Bridge_Assumptions'!$B$5-C23^2/2)*'6_Credit_Bridge_Assumptions'!$B$4)/(C23*SQRT('6_Credit_Bridge_Assumptions'!$B$4))</f>
        <v/>
      </c>
      <c r="J23" s="27">
        <f>NORMSDIST(-I23)</f>
        <v/>
      </c>
      <c r="K23" s="27">
        <f>J23-H23</f>
        <v/>
      </c>
      <c r="L23" s="25">
        <f>'3_Scenario_Engine'!Z23</f>
        <v/>
      </c>
      <c r="M23" s="21">
        <f>IF(L23&lt;'6_Credit_Bridge_Assumptions'!$B$12,"BB",IF(L23&lt;'6_Credit_Bridge_Assumptions'!$B$13,"B","CCC/C"))</f>
        <v/>
      </c>
      <c r="N23" s="27">
        <f>IF(L23&lt;'6_Credit_Bridge_Assumptions'!$B$12,'6_Credit_Bridge_Assumptions'!$B$14,IF(L23&lt;'6_Credit_Bridge_Assumptions'!$B$13,'6_Credit_Bridge_Assumptions'!$B$15,'6_Credit_Bridge_Assumptions'!$B$16))</f>
        <v/>
      </c>
      <c r="O23" s="38">
        <f>(J23-N23)*100</f>
        <v/>
      </c>
      <c r="P23" s="22">
        <f>'3_Scenario_Engine'!AG23</f>
        <v/>
      </c>
      <c r="Q23" s="22">
        <f>IF(P23&lt;=1,'6_Credit_Bridge_Assumptions'!$B$8,MIN('6_Credit_Bridge_Assumptions'!$B$9,MAX('6_Credit_Bridge_Assumptions'!$B$8,1-1/P23)))</f>
        <v/>
      </c>
      <c r="R23" s="22">
        <f>'2_Deal_Tape'!U24</f>
        <v/>
      </c>
      <c r="S23" s="22">
        <f>IF(R23&lt;=1,'6_Credit_Bridge_Assumptions'!$B$8,MIN('6_Credit_Bridge_Assumptions'!$B$9,MAX('6_Credit_Bridge_Assumptions'!$B$8,1-1/R23)))</f>
        <v/>
      </c>
      <c r="T23" s="24">
        <f>'3_Scenario_Engine'!U23</f>
        <v/>
      </c>
      <c r="U23" s="24">
        <f>H23*S23*T23</f>
        <v/>
      </c>
      <c r="V23" s="24">
        <f>J23*Q23*T23</f>
        <v/>
      </c>
      <c r="W23" s="24">
        <f>V23-U23</f>
        <v/>
      </c>
    </row>
    <row r="24">
      <c r="A24" s="21">
        <f>'3_Scenario_Engine'!A24</f>
        <v/>
      </c>
      <c r="B24" s="21">
        <f>'3_Scenario_Engine'!B24</f>
        <v/>
      </c>
      <c r="C24" s="22">
        <f>INDEX('7_GICS_Asset_Vol'!$F$4:$F$166,MATCH(B24,'7_GICS_Asset_Vol'!$A$4:$A$166,0))</f>
        <v/>
      </c>
      <c r="D24" s="24">
        <f>'3_Scenario_Engine'!J24</f>
        <v/>
      </c>
      <c r="E24" s="24">
        <f>'2_Deal_Tape'!S25</f>
        <v/>
      </c>
      <c r="F24" s="24">
        <f>'3_Scenario_Engine'!AF24</f>
        <v/>
      </c>
      <c r="G24" s="38">
        <f>(LN(E24/D24)+('6_Credit_Bridge_Assumptions'!$B$5-C24^2/2)*'6_Credit_Bridge_Assumptions'!$B$4)/(C24*SQRT('6_Credit_Bridge_Assumptions'!$B$4))</f>
        <v/>
      </c>
      <c r="H24" s="27">
        <f>NORMSDIST(-G24)</f>
        <v/>
      </c>
      <c r="I24" s="38">
        <f>(LN(F24/D24)+('6_Credit_Bridge_Assumptions'!$B$5-C24^2/2)*'6_Credit_Bridge_Assumptions'!$B$4)/(C24*SQRT('6_Credit_Bridge_Assumptions'!$B$4))</f>
        <v/>
      </c>
      <c r="J24" s="27">
        <f>NORMSDIST(-I24)</f>
        <v/>
      </c>
      <c r="K24" s="27">
        <f>J24-H24</f>
        <v/>
      </c>
      <c r="L24" s="25">
        <f>'3_Scenario_Engine'!Z24</f>
        <v/>
      </c>
      <c r="M24" s="21">
        <f>IF(L24&lt;'6_Credit_Bridge_Assumptions'!$B$12,"BB",IF(L24&lt;'6_Credit_Bridge_Assumptions'!$B$13,"B","CCC/C"))</f>
        <v/>
      </c>
      <c r="N24" s="27">
        <f>IF(L24&lt;'6_Credit_Bridge_Assumptions'!$B$12,'6_Credit_Bridge_Assumptions'!$B$14,IF(L24&lt;'6_Credit_Bridge_Assumptions'!$B$13,'6_Credit_Bridge_Assumptions'!$B$15,'6_Credit_Bridge_Assumptions'!$B$16))</f>
        <v/>
      </c>
      <c r="O24" s="38">
        <f>(J24-N24)*100</f>
        <v/>
      </c>
      <c r="P24" s="22">
        <f>'3_Scenario_Engine'!AG24</f>
        <v/>
      </c>
      <c r="Q24" s="22">
        <f>IF(P24&lt;=1,'6_Credit_Bridge_Assumptions'!$B$8,MIN('6_Credit_Bridge_Assumptions'!$B$9,MAX('6_Credit_Bridge_Assumptions'!$B$8,1-1/P24)))</f>
        <v/>
      </c>
      <c r="R24" s="22">
        <f>'2_Deal_Tape'!U25</f>
        <v/>
      </c>
      <c r="S24" s="22">
        <f>IF(R24&lt;=1,'6_Credit_Bridge_Assumptions'!$B$8,MIN('6_Credit_Bridge_Assumptions'!$B$9,MAX('6_Credit_Bridge_Assumptions'!$B$8,1-1/R24)))</f>
        <v/>
      </c>
      <c r="T24" s="24">
        <f>'3_Scenario_Engine'!U24</f>
        <v/>
      </c>
      <c r="U24" s="24">
        <f>H24*S24*T24</f>
        <v/>
      </c>
      <c r="V24" s="24">
        <f>J24*Q24*T24</f>
        <v/>
      </c>
      <c r="W24" s="24">
        <f>V24-U24</f>
        <v/>
      </c>
    </row>
    <row r="25">
      <c r="A25" s="21">
        <f>'3_Scenario_Engine'!A25</f>
        <v/>
      </c>
      <c r="B25" s="21">
        <f>'3_Scenario_Engine'!B25</f>
        <v/>
      </c>
      <c r="C25" s="22">
        <f>INDEX('7_GICS_Asset_Vol'!$F$4:$F$166,MATCH(B25,'7_GICS_Asset_Vol'!$A$4:$A$166,0))</f>
        <v/>
      </c>
      <c r="D25" s="24">
        <f>'3_Scenario_Engine'!J25</f>
        <v/>
      </c>
      <c r="E25" s="24">
        <f>'2_Deal_Tape'!S26</f>
        <v/>
      </c>
      <c r="F25" s="24">
        <f>'3_Scenario_Engine'!AF25</f>
        <v/>
      </c>
      <c r="G25" s="38">
        <f>(LN(E25/D25)+('6_Credit_Bridge_Assumptions'!$B$5-C25^2/2)*'6_Credit_Bridge_Assumptions'!$B$4)/(C25*SQRT('6_Credit_Bridge_Assumptions'!$B$4))</f>
        <v/>
      </c>
      <c r="H25" s="27">
        <f>NORMSDIST(-G25)</f>
        <v/>
      </c>
      <c r="I25" s="38">
        <f>(LN(F25/D25)+('6_Credit_Bridge_Assumptions'!$B$5-C25^2/2)*'6_Credit_Bridge_Assumptions'!$B$4)/(C25*SQRT('6_Credit_Bridge_Assumptions'!$B$4))</f>
        <v/>
      </c>
      <c r="J25" s="27">
        <f>NORMSDIST(-I25)</f>
        <v/>
      </c>
      <c r="K25" s="27">
        <f>J25-H25</f>
        <v/>
      </c>
      <c r="L25" s="25">
        <f>'3_Scenario_Engine'!Z25</f>
        <v/>
      </c>
      <c r="M25" s="21">
        <f>IF(L25&lt;'6_Credit_Bridge_Assumptions'!$B$12,"BB",IF(L25&lt;'6_Credit_Bridge_Assumptions'!$B$13,"B","CCC/C"))</f>
        <v/>
      </c>
      <c r="N25" s="27">
        <f>IF(L25&lt;'6_Credit_Bridge_Assumptions'!$B$12,'6_Credit_Bridge_Assumptions'!$B$14,IF(L25&lt;'6_Credit_Bridge_Assumptions'!$B$13,'6_Credit_Bridge_Assumptions'!$B$15,'6_Credit_Bridge_Assumptions'!$B$16))</f>
        <v/>
      </c>
      <c r="O25" s="38">
        <f>(J25-N25)*100</f>
        <v/>
      </c>
      <c r="P25" s="22">
        <f>'3_Scenario_Engine'!AG25</f>
        <v/>
      </c>
      <c r="Q25" s="22">
        <f>IF(P25&lt;=1,'6_Credit_Bridge_Assumptions'!$B$8,MIN('6_Credit_Bridge_Assumptions'!$B$9,MAX('6_Credit_Bridge_Assumptions'!$B$8,1-1/P25)))</f>
        <v/>
      </c>
      <c r="R25" s="22">
        <f>'2_Deal_Tape'!U26</f>
        <v/>
      </c>
      <c r="S25" s="22">
        <f>IF(R25&lt;=1,'6_Credit_Bridge_Assumptions'!$B$8,MIN('6_Credit_Bridge_Assumptions'!$B$9,MAX('6_Credit_Bridge_Assumptions'!$B$8,1-1/R25)))</f>
        <v/>
      </c>
      <c r="T25" s="24">
        <f>'3_Scenario_Engine'!U25</f>
        <v/>
      </c>
      <c r="U25" s="24">
        <f>H25*S25*T25</f>
        <v/>
      </c>
      <c r="V25" s="24">
        <f>J25*Q25*T25</f>
        <v/>
      </c>
      <c r="W25" s="24">
        <f>V25-U25</f>
        <v/>
      </c>
    </row>
    <row r="26">
      <c r="A26" s="21">
        <f>'3_Scenario_Engine'!A26</f>
        <v/>
      </c>
      <c r="B26" s="21">
        <f>'3_Scenario_Engine'!B26</f>
        <v/>
      </c>
      <c r="C26" s="22">
        <f>INDEX('7_GICS_Asset_Vol'!$F$4:$F$166,MATCH(B26,'7_GICS_Asset_Vol'!$A$4:$A$166,0))</f>
        <v/>
      </c>
      <c r="D26" s="24">
        <f>'3_Scenario_Engine'!J26</f>
        <v/>
      </c>
      <c r="E26" s="24">
        <f>'2_Deal_Tape'!S27</f>
        <v/>
      </c>
      <c r="F26" s="24">
        <f>'3_Scenario_Engine'!AF26</f>
        <v/>
      </c>
      <c r="G26" s="38">
        <f>(LN(E26/D26)+('6_Credit_Bridge_Assumptions'!$B$5-C26^2/2)*'6_Credit_Bridge_Assumptions'!$B$4)/(C26*SQRT('6_Credit_Bridge_Assumptions'!$B$4))</f>
        <v/>
      </c>
      <c r="H26" s="27">
        <f>NORMSDIST(-G26)</f>
        <v/>
      </c>
      <c r="I26" s="38">
        <f>(LN(F26/D26)+('6_Credit_Bridge_Assumptions'!$B$5-C26^2/2)*'6_Credit_Bridge_Assumptions'!$B$4)/(C26*SQRT('6_Credit_Bridge_Assumptions'!$B$4))</f>
        <v/>
      </c>
      <c r="J26" s="27">
        <f>NORMSDIST(-I26)</f>
        <v/>
      </c>
      <c r="K26" s="27">
        <f>J26-H26</f>
        <v/>
      </c>
      <c r="L26" s="25">
        <f>'3_Scenario_Engine'!Z26</f>
        <v/>
      </c>
      <c r="M26" s="21">
        <f>IF(L26&lt;'6_Credit_Bridge_Assumptions'!$B$12,"BB",IF(L26&lt;'6_Credit_Bridge_Assumptions'!$B$13,"B","CCC/C"))</f>
        <v/>
      </c>
      <c r="N26" s="27">
        <f>IF(L26&lt;'6_Credit_Bridge_Assumptions'!$B$12,'6_Credit_Bridge_Assumptions'!$B$14,IF(L26&lt;'6_Credit_Bridge_Assumptions'!$B$13,'6_Credit_Bridge_Assumptions'!$B$15,'6_Credit_Bridge_Assumptions'!$B$16))</f>
        <v/>
      </c>
      <c r="O26" s="38">
        <f>(J26-N26)*100</f>
        <v/>
      </c>
      <c r="P26" s="22">
        <f>'3_Scenario_Engine'!AG26</f>
        <v/>
      </c>
      <c r="Q26" s="22">
        <f>IF(P26&lt;=1,'6_Credit_Bridge_Assumptions'!$B$8,MIN('6_Credit_Bridge_Assumptions'!$B$9,MAX('6_Credit_Bridge_Assumptions'!$B$8,1-1/P26)))</f>
        <v/>
      </c>
      <c r="R26" s="22">
        <f>'2_Deal_Tape'!U27</f>
        <v/>
      </c>
      <c r="S26" s="22">
        <f>IF(R26&lt;=1,'6_Credit_Bridge_Assumptions'!$B$8,MIN('6_Credit_Bridge_Assumptions'!$B$9,MAX('6_Credit_Bridge_Assumptions'!$B$8,1-1/R26)))</f>
        <v/>
      </c>
      <c r="T26" s="24">
        <f>'3_Scenario_Engine'!U26</f>
        <v/>
      </c>
      <c r="U26" s="24">
        <f>H26*S26*T26</f>
        <v/>
      </c>
      <c r="V26" s="24">
        <f>J26*Q26*T26</f>
        <v/>
      </c>
      <c r="W26" s="24">
        <f>V26-U26</f>
        <v/>
      </c>
    </row>
    <row r="27">
      <c r="A27" s="21">
        <f>'3_Scenario_Engine'!A27</f>
        <v/>
      </c>
      <c r="B27" s="21">
        <f>'3_Scenario_Engine'!B27</f>
        <v/>
      </c>
      <c r="C27" s="22">
        <f>INDEX('7_GICS_Asset_Vol'!$F$4:$F$166,MATCH(B27,'7_GICS_Asset_Vol'!$A$4:$A$166,0))</f>
        <v/>
      </c>
      <c r="D27" s="24">
        <f>'3_Scenario_Engine'!J27</f>
        <v/>
      </c>
      <c r="E27" s="24">
        <f>'2_Deal_Tape'!S28</f>
        <v/>
      </c>
      <c r="F27" s="24">
        <f>'3_Scenario_Engine'!AF27</f>
        <v/>
      </c>
      <c r="G27" s="38">
        <f>(LN(E27/D27)+('6_Credit_Bridge_Assumptions'!$B$5-C27^2/2)*'6_Credit_Bridge_Assumptions'!$B$4)/(C27*SQRT('6_Credit_Bridge_Assumptions'!$B$4))</f>
        <v/>
      </c>
      <c r="H27" s="27">
        <f>NORMSDIST(-G27)</f>
        <v/>
      </c>
      <c r="I27" s="38">
        <f>(LN(F27/D27)+('6_Credit_Bridge_Assumptions'!$B$5-C27^2/2)*'6_Credit_Bridge_Assumptions'!$B$4)/(C27*SQRT('6_Credit_Bridge_Assumptions'!$B$4))</f>
        <v/>
      </c>
      <c r="J27" s="27">
        <f>NORMSDIST(-I27)</f>
        <v/>
      </c>
      <c r="K27" s="27">
        <f>J27-H27</f>
        <v/>
      </c>
      <c r="L27" s="25">
        <f>'3_Scenario_Engine'!Z27</f>
        <v/>
      </c>
      <c r="M27" s="21">
        <f>IF(L27&lt;'6_Credit_Bridge_Assumptions'!$B$12,"BB",IF(L27&lt;'6_Credit_Bridge_Assumptions'!$B$13,"B","CCC/C"))</f>
        <v/>
      </c>
      <c r="N27" s="27">
        <f>IF(L27&lt;'6_Credit_Bridge_Assumptions'!$B$12,'6_Credit_Bridge_Assumptions'!$B$14,IF(L27&lt;'6_Credit_Bridge_Assumptions'!$B$13,'6_Credit_Bridge_Assumptions'!$B$15,'6_Credit_Bridge_Assumptions'!$B$16))</f>
        <v/>
      </c>
      <c r="O27" s="38">
        <f>(J27-N27)*100</f>
        <v/>
      </c>
      <c r="P27" s="22">
        <f>'3_Scenario_Engine'!AG27</f>
        <v/>
      </c>
      <c r="Q27" s="22">
        <f>IF(P27&lt;=1,'6_Credit_Bridge_Assumptions'!$B$8,MIN('6_Credit_Bridge_Assumptions'!$B$9,MAX('6_Credit_Bridge_Assumptions'!$B$8,1-1/P27)))</f>
        <v/>
      </c>
      <c r="R27" s="22">
        <f>'2_Deal_Tape'!U28</f>
        <v/>
      </c>
      <c r="S27" s="22">
        <f>IF(R27&lt;=1,'6_Credit_Bridge_Assumptions'!$B$8,MIN('6_Credit_Bridge_Assumptions'!$B$9,MAX('6_Credit_Bridge_Assumptions'!$B$8,1-1/R27)))</f>
        <v/>
      </c>
      <c r="T27" s="24">
        <f>'3_Scenario_Engine'!U27</f>
        <v/>
      </c>
      <c r="U27" s="24">
        <f>H27*S27*T27</f>
        <v/>
      </c>
      <c r="V27" s="24">
        <f>J27*Q27*T27</f>
        <v/>
      </c>
      <c r="W27" s="24">
        <f>V27-U27</f>
        <v/>
      </c>
    </row>
    <row r="28">
      <c r="A28" s="21">
        <f>'3_Scenario_Engine'!A28</f>
        <v/>
      </c>
      <c r="B28" s="21">
        <f>'3_Scenario_Engine'!B28</f>
        <v/>
      </c>
      <c r="C28" s="22">
        <f>INDEX('7_GICS_Asset_Vol'!$F$4:$F$166,MATCH(B28,'7_GICS_Asset_Vol'!$A$4:$A$166,0))</f>
        <v/>
      </c>
      <c r="D28" s="24">
        <f>'3_Scenario_Engine'!J28</f>
        <v/>
      </c>
      <c r="E28" s="24">
        <f>'2_Deal_Tape'!S29</f>
        <v/>
      </c>
      <c r="F28" s="24">
        <f>'3_Scenario_Engine'!AF28</f>
        <v/>
      </c>
      <c r="G28" s="38">
        <f>(LN(E28/D28)+('6_Credit_Bridge_Assumptions'!$B$5-C28^2/2)*'6_Credit_Bridge_Assumptions'!$B$4)/(C28*SQRT('6_Credit_Bridge_Assumptions'!$B$4))</f>
        <v/>
      </c>
      <c r="H28" s="27">
        <f>NORMSDIST(-G28)</f>
        <v/>
      </c>
      <c r="I28" s="38">
        <f>(LN(F28/D28)+('6_Credit_Bridge_Assumptions'!$B$5-C28^2/2)*'6_Credit_Bridge_Assumptions'!$B$4)/(C28*SQRT('6_Credit_Bridge_Assumptions'!$B$4))</f>
        <v/>
      </c>
      <c r="J28" s="27">
        <f>NORMSDIST(-I28)</f>
        <v/>
      </c>
      <c r="K28" s="27">
        <f>J28-H28</f>
        <v/>
      </c>
      <c r="L28" s="25">
        <f>'3_Scenario_Engine'!Z28</f>
        <v/>
      </c>
      <c r="M28" s="21">
        <f>IF(L28&lt;'6_Credit_Bridge_Assumptions'!$B$12,"BB",IF(L28&lt;'6_Credit_Bridge_Assumptions'!$B$13,"B","CCC/C"))</f>
        <v/>
      </c>
      <c r="N28" s="27">
        <f>IF(L28&lt;'6_Credit_Bridge_Assumptions'!$B$12,'6_Credit_Bridge_Assumptions'!$B$14,IF(L28&lt;'6_Credit_Bridge_Assumptions'!$B$13,'6_Credit_Bridge_Assumptions'!$B$15,'6_Credit_Bridge_Assumptions'!$B$16))</f>
        <v/>
      </c>
      <c r="O28" s="38">
        <f>(J28-N28)*100</f>
        <v/>
      </c>
      <c r="P28" s="22">
        <f>'3_Scenario_Engine'!AG28</f>
        <v/>
      </c>
      <c r="Q28" s="22">
        <f>IF(P28&lt;=1,'6_Credit_Bridge_Assumptions'!$B$8,MIN('6_Credit_Bridge_Assumptions'!$B$9,MAX('6_Credit_Bridge_Assumptions'!$B$8,1-1/P28)))</f>
        <v/>
      </c>
      <c r="R28" s="22">
        <f>'2_Deal_Tape'!U29</f>
        <v/>
      </c>
      <c r="S28" s="22">
        <f>IF(R28&lt;=1,'6_Credit_Bridge_Assumptions'!$B$8,MIN('6_Credit_Bridge_Assumptions'!$B$9,MAX('6_Credit_Bridge_Assumptions'!$B$8,1-1/R28)))</f>
        <v/>
      </c>
      <c r="T28" s="24">
        <f>'3_Scenario_Engine'!U28</f>
        <v/>
      </c>
      <c r="U28" s="24">
        <f>H28*S28*T28</f>
        <v/>
      </c>
      <c r="V28" s="24">
        <f>J28*Q28*T28</f>
        <v/>
      </c>
      <c r="W28" s="24">
        <f>V28-U28</f>
        <v/>
      </c>
    </row>
    <row r="29">
      <c r="A29" s="21">
        <f>'3_Scenario_Engine'!A29</f>
        <v/>
      </c>
      <c r="B29" s="21">
        <f>'3_Scenario_Engine'!B29</f>
        <v/>
      </c>
      <c r="C29" s="22">
        <f>INDEX('7_GICS_Asset_Vol'!$F$4:$F$166,MATCH(B29,'7_GICS_Asset_Vol'!$A$4:$A$166,0))</f>
        <v/>
      </c>
      <c r="D29" s="24">
        <f>'3_Scenario_Engine'!J29</f>
        <v/>
      </c>
      <c r="E29" s="24">
        <f>'2_Deal_Tape'!S30</f>
        <v/>
      </c>
      <c r="F29" s="24">
        <f>'3_Scenario_Engine'!AF29</f>
        <v/>
      </c>
      <c r="G29" s="38">
        <f>(LN(E29/D29)+('6_Credit_Bridge_Assumptions'!$B$5-C29^2/2)*'6_Credit_Bridge_Assumptions'!$B$4)/(C29*SQRT('6_Credit_Bridge_Assumptions'!$B$4))</f>
        <v/>
      </c>
      <c r="H29" s="27">
        <f>NORMSDIST(-G29)</f>
        <v/>
      </c>
      <c r="I29" s="38">
        <f>(LN(F29/D29)+('6_Credit_Bridge_Assumptions'!$B$5-C29^2/2)*'6_Credit_Bridge_Assumptions'!$B$4)/(C29*SQRT('6_Credit_Bridge_Assumptions'!$B$4))</f>
        <v/>
      </c>
      <c r="J29" s="27">
        <f>NORMSDIST(-I29)</f>
        <v/>
      </c>
      <c r="K29" s="27">
        <f>J29-H29</f>
        <v/>
      </c>
      <c r="L29" s="25">
        <f>'3_Scenario_Engine'!Z29</f>
        <v/>
      </c>
      <c r="M29" s="21">
        <f>IF(L29&lt;'6_Credit_Bridge_Assumptions'!$B$12,"BB",IF(L29&lt;'6_Credit_Bridge_Assumptions'!$B$13,"B","CCC/C"))</f>
        <v/>
      </c>
      <c r="N29" s="27">
        <f>IF(L29&lt;'6_Credit_Bridge_Assumptions'!$B$12,'6_Credit_Bridge_Assumptions'!$B$14,IF(L29&lt;'6_Credit_Bridge_Assumptions'!$B$13,'6_Credit_Bridge_Assumptions'!$B$15,'6_Credit_Bridge_Assumptions'!$B$16))</f>
        <v/>
      </c>
      <c r="O29" s="38">
        <f>(J29-N29)*100</f>
        <v/>
      </c>
      <c r="P29" s="22">
        <f>'3_Scenario_Engine'!AG29</f>
        <v/>
      </c>
      <c r="Q29" s="22">
        <f>IF(P29&lt;=1,'6_Credit_Bridge_Assumptions'!$B$8,MIN('6_Credit_Bridge_Assumptions'!$B$9,MAX('6_Credit_Bridge_Assumptions'!$B$8,1-1/P29)))</f>
        <v/>
      </c>
      <c r="R29" s="22">
        <f>'2_Deal_Tape'!U30</f>
        <v/>
      </c>
      <c r="S29" s="22">
        <f>IF(R29&lt;=1,'6_Credit_Bridge_Assumptions'!$B$8,MIN('6_Credit_Bridge_Assumptions'!$B$9,MAX('6_Credit_Bridge_Assumptions'!$B$8,1-1/R29)))</f>
        <v/>
      </c>
      <c r="T29" s="24">
        <f>'3_Scenario_Engine'!U29</f>
        <v/>
      </c>
      <c r="U29" s="24">
        <f>H29*S29*T29</f>
        <v/>
      </c>
      <c r="V29" s="24">
        <f>J29*Q29*T29</f>
        <v/>
      </c>
      <c r="W29" s="24">
        <f>V29-U29</f>
        <v/>
      </c>
    </row>
    <row r="30">
      <c r="A30" s="21">
        <f>'3_Scenario_Engine'!A30</f>
        <v/>
      </c>
      <c r="B30" s="21">
        <f>'3_Scenario_Engine'!B30</f>
        <v/>
      </c>
      <c r="C30" s="22">
        <f>INDEX('7_GICS_Asset_Vol'!$F$4:$F$166,MATCH(B30,'7_GICS_Asset_Vol'!$A$4:$A$166,0))</f>
        <v/>
      </c>
      <c r="D30" s="24">
        <f>'3_Scenario_Engine'!J30</f>
        <v/>
      </c>
      <c r="E30" s="24">
        <f>'2_Deal_Tape'!S31</f>
        <v/>
      </c>
      <c r="F30" s="24">
        <f>'3_Scenario_Engine'!AF30</f>
        <v/>
      </c>
      <c r="G30" s="38">
        <f>(LN(E30/D30)+('6_Credit_Bridge_Assumptions'!$B$5-C30^2/2)*'6_Credit_Bridge_Assumptions'!$B$4)/(C30*SQRT('6_Credit_Bridge_Assumptions'!$B$4))</f>
        <v/>
      </c>
      <c r="H30" s="27">
        <f>NORMSDIST(-G30)</f>
        <v/>
      </c>
      <c r="I30" s="38">
        <f>(LN(F30/D30)+('6_Credit_Bridge_Assumptions'!$B$5-C30^2/2)*'6_Credit_Bridge_Assumptions'!$B$4)/(C30*SQRT('6_Credit_Bridge_Assumptions'!$B$4))</f>
        <v/>
      </c>
      <c r="J30" s="27">
        <f>NORMSDIST(-I30)</f>
        <v/>
      </c>
      <c r="K30" s="27">
        <f>J30-H30</f>
        <v/>
      </c>
      <c r="L30" s="25">
        <f>'3_Scenario_Engine'!Z30</f>
        <v/>
      </c>
      <c r="M30" s="21">
        <f>IF(L30&lt;'6_Credit_Bridge_Assumptions'!$B$12,"BB",IF(L30&lt;'6_Credit_Bridge_Assumptions'!$B$13,"B","CCC/C"))</f>
        <v/>
      </c>
      <c r="N30" s="27">
        <f>IF(L30&lt;'6_Credit_Bridge_Assumptions'!$B$12,'6_Credit_Bridge_Assumptions'!$B$14,IF(L30&lt;'6_Credit_Bridge_Assumptions'!$B$13,'6_Credit_Bridge_Assumptions'!$B$15,'6_Credit_Bridge_Assumptions'!$B$16))</f>
        <v/>
      </c>
      <c r="O30" s="38">
        <f>(J30-N30)*100</f>
        <v/>
      </c>
      <c r="P30" s="22">
        <f>'3_Scenario_Engine'!AG30</f>
        <v/>
      </c>
      <c r="Q30" s="22">
        <f>IF(P30&lt;=1,'6_Credit_Bridge_Assumptions'!$B$8,MIN('6_Credit_Bridge_Assumptions'!$B$9,MAX('6_Credit_Bridge_Assumptions'!$B$8,1-1/P30)))</f>
        <v/>
      </c>
      <c r="R30" s="22">
        <f>'2_Deal_Tape'!U31</f>
        <v/>
      </c>
      <c r="S30" s="22">
        <f>IF(R30&lt;=1,'6_Credit_Bridge_Assumptions'!$B$8,MIN('6_Credit_Bridge_Assumptions'!$B$9,MAX('6_Credit_Bridge_Assumptions'!$B$8,1-1/R30)))</f>
        <v/>
      </c>
      <c r="T30" s="24">
        <f>'3_Scenario_Engine'!U30</f>
        <v/>
      </c>
      <c r="U30" s="24">
        <f>H30*S30*T30</f>
        <v/>
      </c>
      <c r="V30" s="24">
        <f>J30*Q30*T30</f>
        <v/>
      </c>
      <c r="W30" s="24">
        <f>V30-U30</f>
        <v/>
      </c>
    </row>
    <row r="31">
      <c r="A31" s="21">
        <f>'3_Scenario_Engine'!A31</f>
        <v/>
      </c>
      <c r="B31" s="21">
        <f>'3_Scenario_Engine'!B31</f>
        <v/>
      </c>
      <c r="C31" s="22">
        <f>INDEX('7_GICS_Asset_Vol'!$F$4:$F$166,MATCH(B31,'7_GICS_Asset_Vol'!$A$4:$A$166,0))</f>
        <v/>
      </c>
      <c r="D31" s="24">
        <f>'3_Scenario_Engine'!J31</f>
        <v/>
      </c>
      <c r="E31" s="24">
        <f>'2_Deal_Tape'!S32</f>
        <v/>
      </c>
      <c r="F31" s="24">
        <f>'3_Scenario_Engine'!AF31</f>
        <v/>
      </c>
      <c r="G31" s="38">
        <f>(LN(E31/D31)+('6_Credit_Bridge_Assumptions'!$B$5-C31^2/2)*'6_Credit_Bridge_Assumptions'!$B$4)/(C31*SQRT('6_Credit_Bridge_Assumptions'!$B$4))</f>
        <v/>
      </c>
      <c r="H31" s="27">
        <f>NORMSDIST(-G31)</f>
        <v/>
      </c>
      <c r="I31" s="38">
        <f>(LN(F31/D31)+('6_Credit_Bridge_Assumptions'!$B$5-C31^2/2)*'6_Credit_Bridge_Assumptions'!$B$4)/(C31*SQRT('6_Credit_Bridge_Assumptions'!$B$4))</f>
        <v/>
      </c>
      <c r="J31" s="27">
        <f>NORMSDIST(-I31)</f>
        <v/>
      </c>
      <c r="K31" s="27">
        <f>J31-H31</f>
        <v/>
      </c>
      <c r="L31" s="25">
        <f>'3_Scenario_Engine'!Z31</f>
        <v/>
      </c>
      <c r="M31" s="21">
        <f>IF(L31&lt;'6_Credit_Bridge_Assumptions'!$B$12,"BB",IF(L31&lt;'6_Credit_Bridge_Assumptions'!$B$13,"B","CCC/C"))</f>
        <v/>
      </c>
      <c r="N31" s="27">
        <f>IF(L31&lt;'6_Credit_Bridge_Assumptions'!$B$12,'6_Credit_Bridge_Assumptions'!$B$14,IF(L31&lt;'6_Credit_Bridge_Assumptions'!$B$13,'6_Credit_Bridge_Assumptions'!$B$15,'6_Credit_Bridge_Assumptions'!$B$16))</f>
        <v/>
      </c>
      <c r="O31" s="38">
        <f>(J31-N31)*100</f>
        <v/>
      </c>
      <c r="P31" s="22">
        <f>'3_Scenario_Engine'!AG31</f>
        <v/>
      </c>
      <c r="Q31" s="22">
        <f>IF(P31&lt;=1,'6_Credit_Bridge_Assumptions'!$B$8,MIN('6_Credit_Bridge_Assumptions'!$B$9,MAX('6_Credit_Bridge_Assumptions'!$B$8,1-1/P31)))</f>
        <v/>
      </c>
      <c r="R31" s="22">
        <f>'2_Deal_Tape'!U32</f>
        <v/>
      </c>
      <c r="S31" s="22">
        <f>IF(R31&lt;=1,'6_Credit_Bridge_Assumptions'!$B$8,MIN('6_Credit_Bridge_Assumptions'!$B$9,MAX('6_Credit_Bridge_Assumptions'!$B$8,1-1/R31)))</f>
        <v/>
      </c>
      <c r="T31" s="24">
        <f>'3_Scenario_Engine'!U31</f>
        <v/>
      </c>
      <c r="U31" s="24">
        <f>H31*S31*T31</f>
        <v/>
      </c>
      <c r="V31" s="24">
        <f>J31*Q31*T31</f>
        <v/>
      </c>
      <c r="W31" s="24">
        <f>V31-U31</f>
        <v/>
      </c>
    </row>
    <row r="32">
      <c r="A32" s="21">
        <f>'3_Scenario_Engine'!A32</f>
        <v/>
      </c>
      <c r="B32" s="21">
        <f>'3_Scenario_Engine'!B32</f>
        <v/>
      </c>
      <c r="C32" s="22">
        <f>INDEX('7_GICS_Asset_Vol'!$F$4:$F$166,MATCH(B32,'7_GICS_Asset_Vol'!$A$4:$A$166,0))</f>
        <v/>
      </c>
      <c r="D32" s="24">
        <f>'3_Scenario_Engine'!J32</f>
        <v/>
      </c>
      <c r="E32" s="24">
        <f>'2_Deal_Tape'!S33</f>
        <v/>
      </c>
      <c r="F32" s="24">
        <f>'3_Scenario_Engine'!AF32</f>
        <v/>
      </c>
      <c r="G32" s="38">
        <f>(LN(E32/D32)+('6_Credit_Bridge_Assumptions'!$B$5-C32^2/2)*'6_Credit_Bridge_Assumptions'!$B$4)/(C32*SQRT('6_Credit_Bridge_Assumptions'!$B$4))</f>
        <v/>
      </c>
      <c r="H32" s="27">
        <f>NORMSDIST(-G32)</f>
        <v/>
      </c>
      <c r="I32" s="38">
        <f>(LN(F32/D32)+('6_Credit_Bridge_Assumptions'!$B$5-C32^2/2)*'6_Credit_Bridge_Assumptions'!$B$4)/(C32*SQRT('6_Credit_Bridge_Assumptions'!$B$4))</f>
        <v/>
      </c>
      <c r="J32" s="27">
        <f>NORMSDIST(-I32)</f>
        <v/>
      </c>
      <c r="K32" s="27">
        <f>J32-H32</f>
        <v/>
      </c>
      <c r="L32" s="25">
        <f>'3_Scenario_Engine'!Z32</f>
        <v/>
      </c>
      <c r="M32" s="21">
        <f>IF(L32&lt;'6_Credit_Bridge_Assumptions'!$B$12,"BB",IF(L32&lt;'6_Credit_Bridge_Assumptions'!$B$13,"B","CCC/C"))</f>
        <v/>
      </c>
      <c r="N32" s="27">
        <f>IF(L32&lt;'6_Credit_Bridge_Assumptions'!$B$12,'6_Credit_Bridge_Assumptions'!$B$14,IF(L32&lt;'6_Credit_Bridge_Assumptions'!$B$13,'6_Credit_Bridge_Assumptions'!$B$15,'6_Credit_Bridge_Assumptions'!$B$16))</f>
        <v/>
      </c>
      <c r="O32" s="38">
        <f>(J32-N32)*100</f>
        <v/>
      </c>
      <c r="P32" s="22">
        <f>'3_Scenario_Engine'!AG32</f>
        <v/>
      </c>
      <c r="Q32" s="22">
        <f>IF(P32&lt;=1,'6_Credit_Bridge_Assumptions'!$B$8,MIN('6_Credit_Bridge_Assumptions'!$B$9,MAX('6_Credit_Bridge_Assumptions'!$B$8,1-1/P32)))</f>
        <v/>
      </c>
      <c r="R32" s="22">
        <f>'2_Deal_Tape'!U33</f>
        <v/>
      </c>
      <c r="S32" s="22">
        <f>IF(R32&lt;=1,'6_Credit_Bridge_Assumptions'!$B$8,MIN('6_Credit_Bridge_Assumptions'!$B$9,MAX('6_Credit_Bridge_Assumptions'!$B$8,1-1/R32)))</f>
        <v/>
      </c>
      <c r="T32" s="24">
        <f>'3_Scenario_Engine'!U32</f>
        <v/>
      </c>
      <c r="U32" s="24">
        <f>H32*S32*T32</f>
        <v/>
      </c>
      <c r="V32" s="24">
        <f>J32*Q32*T32</f>
        <v/>
      </c>
      <c r="W32" s="24">
        <f>V32-U32</f>
        <v/>
      </c>
    </row>
    <row r="34" ht="24" customHeight="1">
      <c r="A34" s="1" t="inlineStr">
        <is>
          <t>COLUMN-BY-COLUMN EXPLANATION — what each formula computes in plain English, and why it is the correct approach from first principles</t>
        </is>
      </c>
    </row>
    <row r="36" ht="88" customHeight="1">
      <c r="A36" s="39" t="inlineStr">
        <is>
          <t>Col A
Deal Name</t>
        </is>
      </c>
      <c r="B36" s="40" t="inlineStr">
        <is>
          <t>WHAT: Pulled live from 3_Scenario_Engine, column A, same row.
WHY (first principles): A label, not a risk quantity — no derivation needed. Keeping it a live pull (not retyped) means this sheet can never silently drift out of sync with the deal tape.</t>
        </is>
      </c>
    </row>
    <row r="37" ht="88" customHeight="1">
      <c r="A37" s="39" t="inlineStr">
        <is>
          <t>Col B
Sub-Ind Code</t>
        </is>
      </c>
      <c r="B37" s="40" t="inlineStr">
        <is>
          <t>WHAT: Pulled live from 3_Scenario_Engine, column B.
WHY (first principles): This is the join key column C's lookup uses. Pulling it live (not retyping the code) is what keeps that lookup safe if a deal's GICS classification is ever corrected upstream.</t>
        </is>
      </c>
    </row>
    <row r="38" ht="88" customHeight="1">
      <c r="A38" s="39" t="inlineStr">
        <is>
          <t>Col C
Asset Vol (sigma)</t>
        </is>
      </c>
      <c r="B38" s="40" t="inlineStr">
        <is>
          <t>WHAT: INDEX/MATCH: looks up the deal's own Sub-Industry Code (col B) in 7_GICS_Asset_Vol's 163-row table and returns that sub-industry's asset (unlevered) volatility.
WHY (first principles): Merton's model needs the volatility of the firm's ASSETS, not its equity — equity vol is inflated by leverage, which would overstate risk for a heavily-levered borrower and understate it for a lightly-levered one. Using real Damodaran equity vol, de-levered by Damodaran's own D/E ratio (7_GICS_Asset_Vol col F), isolates pure business risk from financing choice, so one volatility figure is valid across deals with very different capital structures.</t>
        </is>
      </c>
    </row>
    <row r="39" ht="88" customHeight="1">
      <c r="A39" s="39" t="inlineStr">
        <is>
          <t>Col D
Net Debt (F)</t>
        </is>
      </c>
      <c r="B39" s="40" t="inlineStr">
        <is>
          <t>WHAT: Pulled live from 3_Scenario_Engine, column J.
WHY (first principles): In Merton's model F is the face value of obligations due at the horizon — the 'default point'. Net Debt is what the borrower must actually service and repay net of cash, and it is the exact same denominator the deal's own LTV/leverage ratios use elsewhere in this workbook — one debt figure, used consistently everywhere, not a second competing definition.</t>
        </is>
      </c>
    </row>
    <row r="40" ht="88" customHeight="1">
      <c r="A40" s="39" t="inlineStr">
        <is>
          <t>Col E
Baseline EV (V0)</t>
        </is>
      </c>
      <c r="B40" s="40" t="inlineStr">
        <is>
          <t>WHAT: Pulled live from 2_Deal_Tape, column S ('Current EV') — the deal's enterprise value BEFORE the SWES scenario is applied.
WHY (first principles): Merton's V is the market value of the firm's assets; enterprise value (debt + equity claims) is the standard empirical proxy for it, not equity value alone. Using the CURRENT, pre-scenario EV as the baseline isolates the scenario's own effect, rather than mixing in the deal's drift since origination.</t>
        </is>
      </c>
    </row>
    <row r="41" ht="88" customHeight="1">
      <c r="A41" s="39" t="inlineStr">
        <is>
          <t>Col F
Stressed EV (V1)</t>
        </is>
      </c>
      <c r="B41" s="40" t="inlineStr">
        <is>
          <t>WHAT: Pulled live from 3_Scenario_Engine, column AF — the SAME stressed EV the existing SWES chain already produces (Stressed EBITDA x Stressed Multiple).
WHY (first principles): The single most important design choice in this bridge: no separate 'shock transmission' assumption is invented for credit risk. Revenue decline, margin compression AND multiple de-rating all flow into the one asset-value figure Merton needs, because that IS what Merton's V represents.</t>
        </is>
      </c>
    </row>
    <row r="42" ht="88" customHeight="1">
      <c r="A42" s="39" t="inlineStr">
        <is>
          <t>Col G / I
Baseline DD / Stressed DD</t>
        </is>
      </c>
      <c r="B42" s="40" t="inlineStr">
        <is>
          <t>WHAT: Distance to Default = [ln(V/F) + (r - sigma^2/2) x T] / (sigma x sqrt(T)), using Baseline EV (G) or Stressed EV (I), Net Debt, the sub-industry asset vol, and the risk-free rate / 1-year horizon from 6_Credit_Bridge_Assumptions.
WHY (first principles): This is the unmodified Merton (1974) formula — the same firm-level building block that Vasicek's (1987) single-factor model, which IS the Basel IRB capital formula, generalises to a portfolio. It is also what Moody's KMV and most practitioner structural-credit models use. Computing it twice (baseline vs stressed) with every OTHER input held fixed isolates the scenario's own effect on default risk.</t>
        </is>
      </c>
    </row>
    <row r="43" ht="88" customHeight="1">
      <c r="A43" s="39" t="inlineStr">
        <is>
          <t>Col H / J
Baseline PD / Stressed PD</t>
        </is>
      </c>
      <c r="B43" s="40" t="inlineStr">
        <is>
          <t>WHAT: PD = NORMSDIST(-DD) — the standard normal cumulative probability of a draw falling below minus DD.
WHY (first principles): Under Merton's assumption that log-asset-value is normally distributed, 'default' is exactly the event that assets end up below the default point at the horizon — precisely the event captured by Phi(-DD). This is the model's exact analytic solution, not a curve-fit or calibrated heuristic, which is why it holds up in a model-validation review on first principles.</t>
        </is>
      </c>
    </row>
    <row r="44" ht="88" customHeight="1">
      <c r="A44" s="39" t="inlineStr">
        <is>
          <t>Col K
Delta PD</t>
        </is>
      </c>
      <c r="B44" s="40" t="inlineStr">
        <is>
          <t>WHAT: Stressed PD minus Baseline PD.
WHY (first principles): The scenario's marginal impact on 1-year default probability, with every other input held fixed — the number both the bottom-up EL and the top-down EL-implied-spread calculations are built from. Expressed as a difference (not a ratio) so it stays additive and directly interpretable in probability terms.</t>
        </is>
      </c>
    </row>
    <row r="45" ht="88" customHeight="1">
      <c r="A45" s="39" t="inlineStr">
        <is>
          <t>Col L
Stressed Leverage (x)</t>
        </is>
      </c>
      <c r="B45" s="40" t="inlineStr">
        <is>
          <t>WHAT: Pulled live from 3_Scenario_Engine, column Z (Net Debt / Stressed EBITDA).
WHY (first principles): Feeds the rating cross-check (M, N). Leverage multiples are the most widely used, most easily verifiable proxy for credit quality in leveraged/private credit — exactly why it's the right variable to bucket against a published, independently-sourced rating grid rather than inventing a new metric.</t>
        </is>
      </c>
    </row>
    <row r="46" ht="88" customHeight="1">
      <c r="A46" s="39" t="inlineStr">
        <is>
          <t>Col M
Implied Rating</t>
        </is>
      </c>
      <c r="B46" s="40" t="inlineStr">
        <is>
          <t>WHAT: Nested IF: buckets Stressed Leverage against two thresholds (6_Credit_Bridge_Assumptions) into BB / B / CCC-C.
WHY (first principles): Standard leveraged-finance market convention, not invented for this model — the same rough grid sponsors, agents and rating agencies use informally when sizing a leveraged capital structure, which is what makes it a credible, recognisable external benchmark rather than a bespoke rule.</t>
        </is>
      </c>
    </row>
    <row r="47" ht="88" customHeight="1">
      <c r="A47" s="39" t="inlineStr">
        <is>
          <t>Col N
S&amp;P Cross-Check PD (real)</t>
        </is>
      </c>
      <c r="B47" s="40" t="inlineStr">
        <is>
          <t>WHAT: Nested IF: looks up the REAL S&amp;P Global long-run average 1-year default rate for that rating bucket (BB 0.97%, B 4.93%, CCC/C 27.98% — S&amp;P Global, 1981-2009 period average) from 6_Credit_Bridge_Assumptions.
WHY (first principles): The external-benchmarking step a model validator (per EBA GL/2017/16 on PD/LGD estimation) expects: an independent, published, empirically-observed default rate used only to sanity-check the model's own output, not fed back in as an input that could bias the model toward agreeing with itself.</t>
        </is>
      </c>
    </row>
    <row r="48" ht="88" customHeight="1">
      <c r="A48" s="39" t="inlineStr">
        <is>
          <t>Col O
Merton vs S&amp;P Gap (pp)</t>
        </is>
      </c>
      <c r="B48" s="40" t="inlineStr">
        <is>
          <t>WHAT: Stressed PD (Merton) minus S&amp;P Cross-Check PD, in percentage points.
WHY (first principles): A large gap on a given deal is not automatically evidence the model is broken — Merton PD is scenario-conditional and deal-specific, the S&amp;P figure is an unconditional through-the-cycle average for an entire rating category — but it is exactly the kind of number a credit committee or validator wants flagged and explained name-by-name, not buried.</t>
        </is>
      </c>
    </row>
    <row r="49" ht="88" customHeight="1">
      <c r="A49" s="39" t="inlineStr">
        <is>
          <t>Col P
Stressed LTV</t>
        </is>
      </c>
      <c r="B49" s="40" t="inlineStr">
        <is>
          <t>WHAT: Pulled live from 3_Scenario_Engine, column AG (Net Debt / Stressed EV).
WHY (first principles): Direct measure of collateral coverage — how much of the debt claim the (stressed) enterprise value covers — which is exactly the quantity that determines actual recovery in a workout, making it the natural driver for LGD.</t>
        </is>
      </c>
    </row>
    <row r="50" ht="88" customHeight="1">
      <c r="A50" s="39" t="inlineStr">
        <is>
          <t>Col Q / S
Stressed LGD / Baseline LGD</t>
        </is>
      </c>
      <c r="B50" s="40" t="inlineStr">
        <is>
          <t>WHAT: IF LTV &lt;= 100%: LGD = the floor (30%). IF LTV &gt; 100%: LGD = 1 - 1/LTV, capped at the ceiling (90%). Applied to Stressed LTV (col P) for Q, and Current/baseline LTV (col R) for S.
WHY (first principles): When collateral covers the debt (LTV&lt;=100%), recovery still isn't perfect — workout costs, time value, legal costs — hence a floor, not zero. When collateral falls short (LTV&gt;100%), the shortfall fraction (1-1/LTV) is by definition unrecoverable from that collateral. This is the same collateral-haircut logic Basel's own IRB framework applies to secured exposures, driven here directly off the deal's own LTV rather than a flat, undifferentiated LGD assumption. Computing both baseline and stressed LGD puts EL Baseline and EL Stressed (U, V) on a like-for-like footing.</t>
        </is>
      </c>
    </row>
    <row r="51" ht="88" customHeight="1">
      <c r="A51" s="39" t="inlineStr">
        <is>
          <t>Col R
Current LTV (baseline)</t>
        </is>
      </c>
      <c r="B51" s="40" t="inlineStr">
        <is>
          <t>WHAT: Pulled live from 2_Deal_Tape, column U.
WHY (first principles): The input to Baseline LGD (col S) — same before/after logic used throughout this sheet.</t>
        </is>
      </c>
    </row>
    <row r="52" ht="88" customHeight="1">
      <c r="A52" s="39" t="inlineStr">
        <is>
          <t>Col T
EAD (Invested)</t>
        </is>
      </c>
      <c r="B52" s="40" t="inlineStr">
        <is>
          <t>WHAT: Pulled live from 3_Scenario_Engine, column U (Invested Amount at cost).
WHY (first principles): For a fully-drawn private credit term loan with no undrawn commitment, invested amount at cost IS exposure at default — there is no revolver-utilisation assumption to model, unlike (say) an undrawn RCF, so no separate EAD estimation step is needed.</t>
        </is>
      </c>
    </row>
    <row r="53" ht="88" customHeight="1">
      <c r="A53" s="39" t="inlineStr">
        <is>
          <t>Col U / V
EL Baseline ($m) / EL Stressed ($m)</t>
        </is>
      </c>
      <c r="B53" s="40" t="inlineStr">
        <is>
          <t>WHAT: PD x LGD x EAD — baseline (H x S x T) and stressed (J x Q x T) respectively.
WHY (first principles): The standard, universally-used expected-loss identity in credit risk — the same one underlying Basel's own capital formula and IFRS9 ECL provisioning. Expected loss is, by definition, the probability-weighted average loss, and PD x LGD x EAD is exactly that expectation under the standard simplifying assumption that PD and LGD are estimated independently for a given exposure.</t>
        </is>
      </c>
    </row>
    <row r="54" ht="88" customHeight="1">
      <c r="A54" s="39" t="inlineStr">
        <is>
          <t>Col W
Delta EL ($m)</t>
        </is>
      </c>
      <c r="B54" s="40" t="inlineStr">
        <is>
          <t>WHAT: EL Stressed minus EL Baseline.
WHY (first principles): The bottom-up quantity this whole exercise exists to produce: the scenario's own marginal contribution to expected credit loss, cleanly separated from the deal's pre-existing (baseline) credit risk — exactly what a portfolio stress test is meant to isolate.</t>
        </is>
      </c>
    </row>
  </sheetData>
  <mergeCells count="21">
    <mergeCell ref="B37:W37"/>
    <mergeCell ref="A34:W34"/>
    <mergeCell ref="B49:W49"/>
    <mergeCell ref="B40:W40"/>
    <mergeCell ref="B53:W53"/>
    <mergeCell ref="B51:W51"/>
    <mergeCell ref="A1:W1"/>
    <mergeCell ref="B36:W36"/>
    <mergeCell ref="B45:W45"/>
    <mergeCell ref="B41:W41"/>
    <mergeCell ref="B50:W50"/>
    <mergeCell ref="B47:W47"/>
    <mergeCell ref="B54:W54"/>
    <mergeCell ref="B46:W46"/>
    <mergeCell ref="B52:W52"/>
    <mergeCell ref="B43:W43"/>
    <mergeCell ref="B39:W39"/>
    <mergeCell ref="B48:W48"/>
    <mergeCell ref="B42:W42"/>
    <mergeCell ref="B44:W44"/>
    <mergeCell ref="B38:W3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3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24" customWidth="1" min="1" max="1"/>
    <col width="11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52" customHeight="1">
      <c r="A1" t="inlineStr">
        <is>
          <t>STEP 9 — top-down: EL-implied spread (Delta-PD x LGD) scaled by a rating-band Risk Premium Multiplier, fed into the SAME spread-duration MTM formula 3_Scenario_Engine already uses. Shown next to the ORIGINAL exogenous-SWES-spread MTM (3_Scenario_Engine column AQ), AND next to this SAME deal's bottom-up Delta EL (8_Credit_Risk_Engine), so bottom-up and top-down compare side by side, deal by deal, on the same basis (stress loss, $m and % of invested) — not just at the portfolio level (10_Reconciliation).</t>
        </is>
      </c>
    </row>
    <row r="2" ht="34" customHeight="1">
      <c r="A2" s="5" t="inlineStr">
        <is>
          <t>Deal Name</t>
        </is>
      </c>
      <c r="B2" s="5" t="inlineStr">
        <is>
          <t>Sub-Ind
Code</t>
        </is>
      </c>
      <c r="C2" s="5" t="inlineStr">
        <is>
          <t>Delta PD
(from sheet 8)</t>
        </is>
      </c>
      <c r="D2" s="5" t="inlineStr">
        <is>
          <t>Stressed LGD
(from sheet 8)</t>
        </is>
      </c>
      <c r="E2" s="5" t="inlineStr">
        <is>
          <t>EL-Implied
Spread (bps)</t>
        </is>
      </c>
      <c r="F2" s="5" t="inlineStr">
        <is>
          <t>Stressed
Leverage (x)</t>
        </is>
      </c>
      <c r="G2" s="5" t="inlineStr">
        <is>
          <t>Risk Premium
Multiplier</t>
        </is>
      </c>
      <c r="H2" s="5" t="inlineStr">
        <is>
          <t>Credit-Derived
Spread (bps)</t>
        </is>
      </c>
      <c r="I2" s="5" t="inlineStr">
        <is>
          <t>Spread
Duration</t>
        </is>
      </c>
      <c r="J2" s="5" t="inlineStr">
        <is>
          <t>Invested
Amount</t>
        </is>
      </c>
      <c r="K2" s="5" t="inlineStr">
        <is>
          <t>Price Impact %
(credit-derived)</t>
        </is>
      </c>
      <c r="L2" s="5" t="inlineStr">
        <is>
          <t>MTM $
(credit-derived)</t>
        </is>
      </c>
      <c r="M2" s="5" t="inlineStr">
        <is>
          <t>Exogenous SWES
Spread (bps)</t>
        </is>
      </c>
      <c r="N2" s="5" t="inlineStr">
        <is>
          <t>Exogenous MTM $
(3_Scenario_Engine)</t>
        </is>
      </c>
      <c r="O2" s="5" t="inlineStr">
        <is>
          <t>Gap: credit-derived
minus exogenous ($m)</t>
        </is>
      </c>
      <c r="P2" s="5" t="inlineStr">
        <is>
          <t>Bottom-Up Delta EL
($m, from sheet 8)</t>
        </is>
      </c>
      <c r="Q2" s="5" t="inlineStr">
        <is>
          <t>Bottom-Up Delta EL
(% of invested)</t>
        </is>
      </c>
      <c r="R2" s="5" t="inlineStr">
        <is>
          <t>SAME-BASIS GAP: |Top-Down %|
minus Bottom-Up % (pp)</t>
        </is>
      </c>
    </row>
    <row r="3">
      <c r="A3" s="21">
        <f>'3_Scenario_Engine'!A3</f>
        <v/>
      </c>
      <c r="B3" s="21">
        <f>'3_Scenario_Engine'!B3</f>
        <v/>
      </c>
      <c r="C3" s="21">
        <f>'8_Credit_Risk_Engine'!K3</f>
        <v/>
      </c>
      <c r="D3" s="21">
        <f>'8_Credit_Risk_Engine'!Q3</f>
        <v/>
      </c>
      <c r="E3" s="26">
        <f>C3*D3*10000</f>
        <v/>
      </c>
      <c r="F3" s="25">
        <f>'3_Scenario_Engine'!Z3</f>
        <v/>
      </c>
      <c r="G3" s="25">
        <f>IF(F3&lt;'6_Credit_Bridge_Assumptions'!$B$12,'6_Credit_Bridge_Assumptions'!$B$19,IF(F3&lt;'6_Credit_Bridge_Assumptions'!$B$13,'6_Credit_Bridge_Assumptions'!$B$20,'6_Credit_Bridge_Assumptions'!$B$21))</f>
        <v/>
      </c>
      <c r="H3" s="26">
        <f>E3*G3</f>
        <v/>
      </c>
      <c r="I3" s="38">
        <f>'3_Scenario_Engine'!T3</f>
        <v/>
      </c>
      <c r="J3" s="24">
        <f>'3_Scenario_Engine'!U3</f>
        <v/>
      </c>
      <c r="K3" s="27">
        <f>-I3*(H3/10000)</f>
        <v/>
      </c>
      <c r="L3" s="24">
        <f>J3*K3</f>
        <v/>
      </c>
      <c r="M3" s="26">
        <f>'3_Scenario_Engine'!F3</f>
        <v/>
      </c>
      <c r="N3" s="24">
        <f>'3_Scenario_Engine'!AQ3</f>
        <v/>
      </c>
      <c r="O3" s="24">
        <f>L3-N3</f>
        <v/>
      </c>
      <c r="P3" s="24">
        <f>'8_Credit_Risk_Engine'!W3</f>
        <v/>
      </c>
      <c r="Q3" s="27">
        <f>P3/J3</f>
        <v/>
      </c>
      <c r="R3" s="38">
        <f>(ABS(K3)-Q3)*100</f>
        <v/>
      </c>
    </row>
    <row r="4">
      <c r="A4" s="21">
        <f>'3_Scenario_Engine'!A4</f>
        <v/>
      </c>
      <c r="B4" s="21">
        <f>'3_Scenario_Engine'!B4</f>
        <v/>
      </c>
      <c r="C4" s="21">
        <f>'8_Credit_Risk_Engine'!K4</f>
        <v/>
      </c>
      <c r="D4" s="21">
        <f>'8_Credit_Risk_Engine'!Q4</f>
        <v/>
      </c>
      <c r="E4" s="26">
        <f>C4*D4*10000</f>
        <v/>
      </c>
      <c r="F4" s="25">
        <f>'3_Scenario_Engine'!Z4</f>
        <v/>
      </c>
      <c r="G4" s="25">
        <f>IF(F4&lt;'6_Credit_Bridge_Assumptions'!$B$12,'6_Credit_Bridge_Assumptions'!$B$19,IF(F4&lt;'6_Credit_Bridge_Assumptions'!$B$13,'6_Credit_Bridge_Assumptions'!$B$20,'6_Credit_Bridge_Assumptions'!$B$21))</f>
        <v/>
      </c>
      <c r="H4" s="26">
        <f>E4*G4</f>
        <v/>
      </c>
      <c r="I4" s="38">
        <f>'3_Scenario_Engine'!T4</f>
        <v/>
      </c>
      <c r="J4" s="24">
        <f>'3_Scenario_Engine'!U4</f>
        <v/>
      </c>
      <c r="K4" s="27">
        <f>-I4*(H4/10000)</f>
        <v/>
      </c>
      <c r="L4" s="24">
        <f>J4*K4</f>
        <v/>
      </c>
      <c r="M4" s="26">
        <f>'3_Scenario_Engine'!F4</f>
        <v/>
      </c>
      <c r="N4" s="24">
        <f>'3_Scenario_Engine'!AQ4</f>
        <v/>
      </c>
      <c r="O4" s="24">
        <f>L4-N4</f>
        <v/>
      </c>
      <c r="P4" s="24">
        <f>'8_Credit_Risk_Engine'!W4</f>
        <v/>
      </c>
      <c r="Q4" s="27">
        <f>P4/J4</f>
        <v/>
      </c>
      <c r="R4" s="38">
        <f>(ABS(K4)-Q4)*100</f>
        <v/>
      </c>
    </row>
    <row r="5">
      <c r="A5" s="21">
        <f>'3_Scenario_Engine'!A5</f>
        <v/>
      </c>
      <c r="B5" s="21">
        <f>'3_Scenario_Engine'!B5</f>
        <v/>
      </c>
      <c r="C5" s="21">
        <f>'8_Credit_Risk_Engine'!K5</f>
        <v/>
      </c>
      <c r="D5" s="21">
        <f>'8_Credit_Risk_Engine'!Q5</f>
        <v/>
      </c>
      <c r="E5" s="26">
        <f>C5*D5*10000</f>
        <v/>
      </c>
      <c r="F5" s="25">
        <f>'3_Scenario_Engine'!Z5</f>
        <v/>
      </c>
      <c r="G5" s="25">
        <f>IF(F5&lt;'6_Credit_Bridge_Assumptions'!$B$12,'6_Credit_Bridge_Assumptions'!$B$19,IF(F5&lt;'6_Credit_Bridge_Assumptions'!$B$13,'6_Credit_Bridge_Assumptions'!$B$20,'6_Credit_Bridge_Assumptions'!$B$21))</f>
        <v/>
      </c>
      <c r="H5" s="26">
        <f>E5*G5</f>
        <v/>
      </c>
      <c r="I5" s="38">
        <f>'3_Scenario_Engine'!T5</f>
        <v/>
      </c>
      <c r="J5" s="24">
        <f>'3_Scenario_Engine'!U5</f>
        <v/>
      </c>
      <c r="K5" s="27">
        <f>-I5*(H5/10000)</f>
        <v/>
      </c>
      <c r="L5" s="24">
        <f>J5*K5</f>
        <v/>
      </c>
      <c r="M5" s="26">
        <f>'3_Scenario_Engine'!F5</f>
        <v/>
      </c>
      <c r="N5" s="24">
        <f>'3_Scenario_Engine'!AQ5</f>
        <v/>
      </c>
      <c r="O5" s="24">
        <f>L5-N5</f>
        <v/>
      </c>
      <c r="P5" s="24">
        <f>'8_Credit_Risk_Engine'!W5</f>
        <v/>
      </c>
      <c r="Q5" s="27">
        <f>P5/J5</f>
        <v/>
      </c>
      <c r="R5" s="38">
        <f>(ABS(K5)-Q5)*100</f>
        <v/>
      </c>
    </row>
    <row r="6">
      <c r="A6" s="21">
        <f>'3_Scenario_Engine'!A6</f>
        <v/>
      </c>
      <c r="B6" s="21">
        <f>'3_Scenario_Engine'!B6</f>
        <v/>
      </c>
      <c r="C6" s="21">
        <f>'8_Credit_Risk_Engine'!K6</f>
        <v/>
      </c>
      <c r="D6" s="21">
        <f>'8_Credit_Risk_Engine'!Q6</f>
        <v/>
      </c>
      <c r="E6" s="26">
        <f>C6*D6*10000</f>
        <v/>
      </c>
      <c r="F6" s="25">
        <f>'3_Scenario_Engine'!Z6</f>
        <v/>
      </c>
      <c r="G6" s="25">
        <f>IF(F6&lt;'6_Credit_Bridge_Assumptions'!$B$12,'6_Credit_Bridge_Assumptions'!$B$19,IF(F6&lt;'6_Credit_Bridge_Assumptions'!$B$13,'6_Credit_Bridge_Assumptions'!$B$20,'6_Credit_Bridge_Assumptions'!$B$21))</f>
        <v/>
      </c>
      <c r="H6" s="26">
        <f>E6*G6</f>
        <v/>
      </c>
      <c r="I6" s="38">
        <f>'3_Scenario_Engine'!T6</f>
        <v/>
      </c>
      <c r="J6" s="24">
        <f>'3_Scenario_Engine'!U6</f>
        <v/>
      </c>
      <c r="K6" s="27">
        <f>-I6*(H6/10000)</f>
        <v/>
      </c>
      <c r="L6" s="24">
        <f>J6*K6</f>
        <v/>
      </c>
      <c r="M6" s="26">
        <f>'3_Scenario_Engine'!F6</f>
        <v/>
      </c>
      <c r="N6" s="24">
        <f>'3_Scenario_Engine'!AQ6</f>
        <v/>
      </c>
      <c r="O6" s="24">
        <f>L6-N6</f>
        <v/>
      </c>
      <c r="P6" s="24">
        <f>'8_Credit_Risk_Engine'!W6</f>
        <v/>
      </c>
      <c r="Q6" s="27">
        <f>P6/J6</f>
        <v/>
      </c>
      <c r="R6" s="38">
        <f>(ABS(K6)-Q6)*100</f>
        <v/>
      </c>
    </row>
    <row r="7">
      <c r="A7" s="21">
        <f>'3_Scenario_Engine'!A7</f>
        <v/>
      </c>
      <c r="B7" s="21">
        <f>'3_Scenario_Engine'!B7</f>
        <v/>
      </c>
      <c r="C7" s="21">
        <f>'8_Credit_Risk_Engine'!K7</f>
        <v/>
      </c>
      <c r="D7" s="21">
        <f>'8_Credit_Risk_Engine'!Q7</f>
        <v/>
      </c>
      <c r="E7" s="26">
        <f>C7*D7*10000</f>
        <v/>
      </c>
      <c r="F7" s="25">
        <f>'3_Scenario_Engine'!Z7</f>
        <v/>
      </c>
      <c r="G7" s="25">
        <f>IF(F7&lt;'6_Credit_Bridge_Assumptions'!$B$12,'6_Credit_Bridge_Assumptions'!$B$19,IF(F7&lt;'6_Credit_Bridge_Assumptions'!$B$13,'6_Credit_Bridge_Assumptions'!$B$20,'6_Credit_Bridge_Assumptions'!$B$21))</f>
        <v/>
      </c>
      <c r="H7" s="26">
        <f>E7*G7</f>
        <v/>
      </c>
      <c r="I7" s="38">
        <f>'3_Scenario_Engine'!T7</f>
        <v/>
      </c>
      <c r="J7" s="24">
        <f>'3_Scenario_Engine'!U7</f>
        <v/>
      </c>
      <c r="K7" s="27">
        <f>-I7*(H7/10000)</f>
        <v/>
      </c>
      <c r="L7" s="24">
        <f>J7*K7</f>
        <v/>
      </c>
      <c r="M7" s="26">
        <f>'3_Scenario_Engine'!F7</f>
        <v/>
      </c>
      <c r="N7" s="24">
        <f>'3_Scenario_Engine'!AQ7</f>
        <v/>
      </c>
      <c r="O7" s="24">
        <f>L7-N7</f>
        <v/>
      </c>
      <c r="P7" s="24">
        <f>'8_Credit_Risk_Engine'!W7</f>
        <v/>
      </c>
      <c r="Q7" s="27">
        <f>P7/J7</f>
        <v/>
      </c>
      <c r="R7" s="38">
        <f>(ABS(K7)-Q7)*100</f>
        <v/>
      </c>
    </row>
    <row r="8">
      <c r="A8" s="21">
        <f>'3_Scenario_Engine'!A8</f>
        <v/>
      </c>
      <c r="B8" s="21">
        <f>'3_Scenario_Engine'!B8</f>
        <v/>
      </c>
      <c r="C8" s="21">
        <f>'8_Credit_Risk_Engine'!K8</f>
        <v/>
      </c>
      <c r="D8" s="21">
        <f>'8_Credit_Risk_Engine'!Q8</f>
        <v/>
      </c>
      <c r="E8" s="26">
        <f>C8*D8*10000</f>
        <v/>
      </c>
      <c r="F8" s="25">
        <f>'3_Scenario_Engine'!Z8</f>
        <v/>
      </c>
      <c r="G8" s="25">
        <f>IF(F8&lt;'6_Credit_Bridge_Assumptions'!$B$12,'6_Credit_Bridge_Assumptions'!$B$19,IF(F8&lt;'6_Credit_Bridge_Assumptions'!$B$13,'6_Credit_Bridge_Assumptions'!$B$20,'6_Credit_Bridge_Assumptions'!$B$21))</f>
        <v/>
      </c>
      <c r="H8" s="26">
        <f>E8*G8</f>
        <v/>
      </c>
      <c r="I8" s="38">
        <f>'3_Scenario_Engine'!T8</f>
        <v/>
      </c>
      <c r="J8" s="24">
        <f>'3_Scenario_Engine'!U8</f>
        <v/>
      </c>
      <c r="K8" s="27">
        <f>-I8*(H8/10000)</f>
        <v/>
      </c>
      <c r="L8" s="24">
        <f>J8*K8</f>
        <v/>
      </c>
      <c r="M8" s="26">
        <f>'3_Scenario_Engine'!F8</f>
        <v/>
      </c>
      <c r="N8" s="24">
        <f>'3_Scenario_Engine'!AQ8</f>
        <v/>
      </c>
      <c r="O8" s="24">
        <f>L8-N8</f>
        <v/>
      </c>
      <c r="P8" s="24">
        <f>'8_Credit_Risk_Engine'!W8</f>
        <v/>
      </c>
      <c r="Q8" s="27">
        <f>P8/J8</f>
        <v/>
      </c>
      <c r="R8" s="38">
        <f>(ABS(K8)-Q8)*100</f>
        <v/>
      </c>
    </row>
    <row r="9">
      <c r="A9" s="21">
        <f>'3_Scenario_Engine'!A9</f>
        <v/>
      </c>
      <c r="B9" s="21">
        <f>'3_Scenario_Engine'!B9</f>
        <v/>
      </c>
      <c r="C9" s="21">
        <f>'8_Credit_Risk_Engine'!K9</f>
        <v/>
      </c>
      <c r="D9" s="21">
        <f>'8_Credit_Risk_Engine'!Q9</f>
        <v/>
      </c>
      <c r="E9" s="26">
        <f>C9*D9*10000</f>
        <v/>
      </c>
      <c r="F9" s="25">
        <f>'3_Scenario_Engine'!Z9</f>
        <v/>
      </c>
      <c r="G9" s="25">
        <f>IF(F9&lt;'6_Credit_Bridge_Assumptions'!$B$12,'6_Credit_Bridge_Assumptions'!$B$19,IF(F9&lt;'6_Credit_Bridge_Assumptions'!$B$13,'6_Credit_Bridge_Assumptions'!$B$20,'6_Credit_Bridge_Assumptions'!$B$21))</f>
        <v/>
      </c>
      <c r="H9" s="26">
        <f>E9*G9</f>
        <v/>
      </c>
      <c r="I9" s="38">
        <f>'3_Scenario_Engine'!T9</f>
        <v/>
      </c>
      <c r="J9" s="24">
        <f>'3_Scenario_Engine'!U9</f>
        <v/>
      </c>
      <c r="K9" s="27">
        <f>-I9*(H9/10000)</f>
        <v/>
      </c>
      <c r="L9" s="24">
        <f>J9*K9</f>
        <v/>
      </c>
      <c r="M9" s="26">
        <f>'3_Scenario_Engine'!F9</f>
        <v/>
      </c>
      <c r="N9" s="24">
        <f>'3_Scenario_Engine'!AQ9</f>
        <v/>
      </c>
      <c r="O9" s="24">
        <f>L9-N9</f>
        <v/>
      </c>
      <c r="P9" s="24">
        <f>'8_Credit_Risk_Engine'!W9</f>
        <v/>
      </c>
      <c r="Q9" s="27">
        <f>P9/J9</f>
        <v/>
      </c>
      <c r="R9" s="38">
        <f>(ABS(K9)-Q9)*100</f>
        <v/>
      </c>
    </row>
    <row r="10">
      <c r="A10" s="21">
        <f>'3_Scenario_Engine'!A10</f>
        <v/>
      </c>
      <c r="B10" s="21">
        <f>'3_Scenario_Engine'!B10</f>
        <v/>
      </c>
      <c r="C10" s="21">
        <f>'8_Credit_Risk_Engine'!K10</f>
        <v/>
      </c>
      <c r="D10" s="21">
        <f>'8_Credit_Risk_Engine'!Q10</f>
        <v/>
      </c>
      <c r="E10" s="26">
        <f>C10*D10*10000</f>
        <v/>
      </c>
      <c r="F10" s="25">
        <f>'3_Scenario_Engine'!Z10</f>
        <v/>
      </c>
      <c r="G10" s="25">
        <f>IF(F10&lt;'6_Credit_Bridge_Assumptions'!$B$12,'6_Credit_Bridge_Assumptions'!$B$19,IF(F10&lt;'6_Credit_Bridge_Assumptions'!$B$13,'6_Credit_Bridge_Assumptions'!$B$20,'6_Credit_Bridge_Assumptions'!$B$21))</f>
        <v/>
      </c>
      <c r="H10" s="26">
        <f>E10*G10</f>
        <v/>
      </c>
      <c r="I10" s="38">
        <f>'3_Scenario_Engine'!T10</f>
        <v/>
      </c>
      <c r="J10" s="24">
        <f>'3_Scenario_Engine'!U10</f>
        <v/>
      </c>
      <c r="K10" s="27">
        <f>-I10*(H10/10000)</f>
        <v/>
      </c>
      <c r="L10" s="24">
        <f>J10*K10</f>
        <v/>
      </c>
      <c r="M10" s="26">
        <f>'3_Scenario_Engine'!F10</f>
        <v/>
      </c>
      <c r="N10" s="24">
        <f>'3_Scenario_Engine'!AQ10</f>
        <v/>
      </c>
      <c r="O10" s="24">
        <f>L10-N10</f>
        <v/>
      </c>
      <c r="P10" s="24">
        <f>'8_Credit_Risk_Engine'!W10</f>
        <v/>
      </c>
      <c r="Q10" s="27">
        <f>P10/J10</f>
        <v/>
      </c>
      <c r="R10" s="38">
        <f>(ABS(K10)-Q10)*100</f>
        <v/>
      </c>
    </row>
    <row r="11">
      <c r="A11" s="21">
        <f>'3_Scenario_Engine'!A11</f>
        <v/>
      </c>
      <c r="B11" s="21">
        <f>'3_Scenario_Engine'!B11</f>
        <v/>
      </c>
      <c r="C11" s="21">
        <f>'8_Credit_Risk_Engine'!K11</f>
        <v/>
      </c>
      <c r="D11" s="21">
        <f>'8_Credit_Risk_Engine'!Q11</f>
        <v/>
      </c>
      <c r="E11" s="26">
        <f>C11*D11*10000</f>
        <v/>
      </c>
      <c r="F11" s="25">
        <f>'3_Scenario_Engine'!Z11</f>
        <v/>
      </c>
      <c r="G11" s="25">
        <f>IF(F11&lt;'6_Credit_Bridge_Assumptions'!$B$12,'6_Credit_Bridge_Assumptions'!$B$19,IF(F11&lt;'6_Credit_Bridge_Assumptions'!$B$13,'6_Credit_Bridge_Assumptions'!$B$20,'6_Credit_Bridge_Assumptions'!$B$21))</f>
        <v/>
      </c>
      <c r="H11" s="26">
        <f>E11*G11</f>
        <v/>
      </c>
      <c r="I11" s="38">
        <f>'3_Scenario_Engine'!T11</f>
        <v/>
      </c>
      <c r="J11" s="24">
        <f>'3_Scenario_Engine'!U11</f>
        <v/>
      </c>
      <c r="K11" s="27">
        <f>-I11*(H11/10000)</f>
        <v/>
      </c>
      <c r="L11" s="24">
        <f>J11*K11</f>
        <v/>
      </c>
      <c r="M11" s="26">
        <f>'3_Scenario_Engine'!F11</f>
        <v/>
      </c>
      <c r="N11" s="24">
        <f>'3_Scenario_Engine'!AQ11</f>
        <v/>
      </c>
      <c r="O11" s="24">
        <f>L11-N11</f>
        <v/>
      </c>
      <c r="P11" s="24">
        <f>'8_Credit_Risk_Engine'!W11</f>
        <v/>
      </c>
      <c r="Q11" s="27">
        <f>P11/J11</f>
        <v/>
      </c>
      <c r="R11" s="38">
        <f>(ABS(K11)-Q11)*100</f>
        <v/>
      </c>
    </row>
    <row r="12">
      <c r="A12" s="21">
        <f>'3_Scenario_Engine'!A12</f>
        <v/>
      </c>
      <c r="B12" s="21">
        <f>'3_Scenario_Engine'!B12</f>
        <v/>
      </c>
      <c r="C12" s="21">
        <f>'8_Credit_Risk_Engine'!K12</f>
        <v/>
      </c>
      <c r="D12" s="21">
        <f>'8_Credit_Risk_Engine'!Q12</f>
        <v/>
      </c>
      <c r="E12" s="26">
        <f>C12*D12*10000</f>
        <v/>
      </c>
      <c r="F12" s="25">
        <f>'3_Scenario_Engine'!Z12</f>
        <v/>
      </c>
      <c r="G12" s="25">
        <f>IF(F12&lt;'6_Credit_Bridge_Assumptions'!$B$12,'6_Credit_Bridge_Assumptions'!$B$19,IF(F12&lt;'6_Credit_Bridge_Assumptions'!$B$13,'6_Credit_Bridge_Assumptions'!$B$20,'6_Credit_Bridge_Assumptions'!$B$21))</f>
        <v/>
      </c>
      <c r="H12" s="26">
        <f>E12*G12</f>
        <v/>
      </c>
      <c r="I12" s="38">
        <f>'3_Scenario_Engine'!T12</f>
        <v/>
      </c>
      <c r="J12" s="24">
        <f>'3_Scenario_Engine'!U12</f>
        <v/>
      </c>
      <c r="K12" s="27">
        <f>-I12*(H12/10000)</f>
        <v/>
      </c>
      <c r="L12" s="24">
        <f>J12*K12</f>
        <v/>
      </c>
      <c r="M12" s="26">
        <f>'3_Scenario_Engine'!F12</f>
        <v/>
      </c>
      <c r="N12" s="24">
        <f>'3_Scenario_Engine'!AQ12</f>
        <v/>
      </c>
      <c r="O12" s="24">
        <f>L12-N12</f>
        <v/>
      </c>
      <c r="P12" s="24">
        <f>'8_Credit_Risk_Engine'!W12</f>
        <v/>
      </c>
      <c r="Q12" s="27">
        <f>P12/J12</f>
        <v/>
      </c>
      <c r="R12" s="38">
        <f>(ABS(K12)-Q12)*100</f>
        <v/>
      </c>
    </row>
    <row r="13">
      <c r="A13" s="21">
        <f>'3_Scenario_Engine'!A13</f>
        <v/>
      </c>
      <c r="B13" s="21">
        <f>'3_Scenario_Engine'!B13</f>
        <v/>
      </c>
      <c r="C13" s="21">
        <f>'8_Credit_Risk_Engine'!K13</f>
        <v/>
      </c>
      <c r="D13" s="21">
        <f>'8_Credit_Risk_Engine'!Q13</f>
        <v/>
      </c>
      <c r="E13" s="26">
        <f>C13*D13*10000</f>
        <v/>
      </c>
      <c r="F13" s="25">
        <f>'3_Scenario_Engine'!Z13</f>
        <v/>
      </c>
      <c r="G13" s="25">
        <f>IF(F13&lt;'6_Credit_Bridge_Assumptions'!$B$12,'6_Credit_Bridge_Assumptions'!$B$19,IF(F13&lt;'6_Credit_Bridge_Assumptions'!$B$13,'6_Credit_Bridge_Assumptions'!$B$20,'6_Credit_Bridge_Assumptions'!$B$21))</f>
        <v/>
      </c>
      <c r="H13" s="26">
        <f>E13*G13</f>
        <v/>
      </c>
      <c r="I13" s="38">
        <f>'3_Scenario_Engine'!T13</f>
        <v/>
      </c>
      <c r="J13" s="24">
        <f>'3_Scenario_Engine'!U13</f>
        <v/>
      </c>
      <c r="K13" s="27">
        <f>-I13*(H13/10000)</f>
        <v/>
      </c>
      <c r="L13" s="24">
        <f>J13*K13</f>
        <v/>
      </c>
      <c r="M13" s="26">
        <f>'3_Scenario_Engine'!F13</f>
        <v/>
      </c>
      <c r="N13" s="24">
        <f>'3_Scenario_Engine'!AQ13</f>
        <v/>
      </c>
      <c r="O13" s="24">
        <f>L13-N13</f>
        <v/>
      </c>
      <c r="P13" s="24">
        <f>'8_Credit_Risk_Engine'!W13</f>
        <v/>
      </c>
      <c r="Q13" s="27">
        <f>P13/J13</f>
        <v/>
      </c>
      <c r="R13" s="38">
        <f>(ABS(K13)-Q13)*100</f>
        <v/>
      </c>
    </row>
    <row r="14">
      <c r="A14" s="21">
        <f>'3_Scenario_Engine'!A14</f>
        <v/>
      </c>
      <c r="B14" s="21">
        <f>'3_Scenario_Engine'!B14</f>
        <v/>
      </c>
      <c r="C14" s="21">
        <f>'8_Credit_Risk_Engine'!K14</f>
        <v/>
      </c>
      <c r="D14" s="21">
        <f>'8_Credit_Risk_Engine'!Q14</f>
        <v/>
      </c>
      <c r="E14" s="26">
        <f>C14*D14*10000</f>
        <v/>
      </c>
      <c r="F14" s="25">
        <f>'3_Scenario_Engine'!Z14</f>
        <v/>
      </c>
      <c r="G14" s="25">
        <f>IF(F14&lt;'6_Credit_Bridge_Assumptions'!$B$12,'6_Credit_Bridge_Assumptions'!$B$19,IF(F14&lt;'6_Credit_Bridge_Assumptions'!$B$13,'6_Credit_Bridge_Assumptions'!$B$20,'6_Credit_Bridge_Assumptions'!$B$21))</f>
        <v/>
      </c>
      <c r="H14" s="26">
        <f>E14*G14</f>
        <v/>
      </c>
      <c r="I14" s="38">
        <f>'3_Scenario_Engine'!T14</f>
        <v/>
      </c>
      <c r="J14" s="24">
        <f>'3_Scenario_Engine'!U14</f>
        <v/>
      </c>
      <c r="K14" s="27">
        <f>-I14*(H14/10000)</f>
        <v/>
      </c>
      <c r="L14" s="24">
        <f>J14*K14</f>
        <v/>
      </c>
      <c r="M14" s="26">
        <f>'3_Scenario_Engine'!F14</f>
        <v/>
      </c>
      <c r="N14" s="24">
        <f>'3_Scenario_Engine'!AQ14</f>
        <v/>
      </c>
      <c r="O14" s="24">
        <f>L14-N14</f>
        <v/>
      </c>
      <c r="P14" s="24">
        <f>'8_Credit_Risk_Engine'!W14</f>
        <v/>
      </c>
      <c r="Q14" s="27">
        <f>P14/J14</f>
        <v/>
      </c>
      <c r="R14" s="38">
        <f>(ABS(K14)-Q14)*100</f>
        <v/>
      </c>
    </row>
    <row r="15">
      <c r="A15" s="21">
        <f>'3_Scenario_Engine'!A15</f>
        <v/>
      </c>
      <c r="B15" s="21">
        <f>'3_Scenario_Engine'!B15</f>
        <v/>
      </c>
      <c r="C15" s="21">
        <f>'8_Credit_Risk_Engine'!K15</f>
        <v/>
      </c>
      <c r="D15" s="21">
        <f>'8_Credit_Risk_Engine'!Q15</f>
        <v/>
      </c>
      <c r="E15" s="26">
        <f>C15*D15*10000</f>
        <v/>
      </c>
      <c r="F15" s="25">
        <f>'3_Scenario_Engine'!Z15</f>
        <v/>
      </c>
      <c r="G15" s="25">
        <f>IF(F15&lt;'6_Credit_Bridge_Assumptions'!$B$12,'6_Credit_Bridge_Assumptions'!$B$19,IF(F15&lt;'6_Credit_Bridge_Assumptions'!$B$13,'6_Credit_Bridge_Assumptions'!$B$20,'6_Credit_Bridge_Assumptions'!$B$21))</f>
        <v/>
      </c>
      <c r="H15" s="26">
        <f>E15*G15</f>
        <v/>
      </c>
      <c r="I15" s="38">
        <f>'3_Scenario_Engine'!T15</f>
        <v/>
      </c>
      <c r="J15" s="24">
        <f>'3_Scenario_Engine'!U15</f>
        <v/>
      </c>
      <c r="K15" s="27">
        <f>-I15*(H15/10000)</f>
        <v/>
      </c>
      <c r="L15" s="24">
        <f>J15*K15</f>
        <v/>
      </c>
      <c r="M15" s="26">
        <f>'3_Scenario_Engine'!F15</f>
        <v/>
      </c>
      <c r="N15" s="24">
        <f>'3_Scenario_Engine'!AQ15</f>
        <v/>
      </c>
      <c r="O15" s="24">
        <f>L15-N15</f>
        <v/>
      </c>
      <c r="P15" s="24">
        <f>'8_Credit_Risk_Engine'!W15</f>
        <v/>
      </c>
      <c r="Q15" s="27">
        <f>P15/J15</f>
        <v/>
      </c>
      <c r="R15" s="38">
        <f>(ABS(K15)-Q15)*100</f>
        <v/>
      </c>
    </row>
    <row r="16">
      <c r="A16" s="21">
        <f>'3_Scenario_Engine'!A16</f>
        <v/>
      </c>
      <c r="B16" s="21">
        <f>'3_Scenario_Engine'!B16</f>
        <v/>
      </c>
      <c r="C16" s="21">
        <f>'8_Credit_Risk_Engine'!K16</f>
        <v/>
      </c>
      <c r="D16" s="21">
        <f>'8_Credit_Risk_Engine'!Q16</f>
        <v/>
      </c>
      <c r="E16" s="26">
        <f>C16*D16*10000</f>
        <v/>
      </c>
      <c r="F16" s="25">
        <f>'3_Scenario_Engine'!Z16</f>
        <v/>
      </c>
      <c r="G16" s="25">
        <f>IF(F16&lt;'6_Credit_Bridge_Assumptions'!$B$12,'6_Credit_Bridge_Assumptions'!$B$19,IF(F16&lt;'6_Credit_Bridge_Assumptions'!$B$13,'6_Credit_Bridge_Assumptions'!$B$20,'6_Credit_Bridge_Assumptions'!$B$21))</f>
        <v/>
      </c>
      <c r="H16" s="26">
        <f>E16*G16</f>
        <v/>
      </c>
      <c r="I16" s="38">
        <f>'3_Scenario_Engine'!T16</f>
        <v/>
      </c>
      <c r="J16" s="24">
        <f>'3_Scenario_Engine'!U16</f>
        <v/>
      </c>
      <c r="K16" s="27">
        <f>-I16*(H16/10000)</f>
        <v/>
      </c>
      <c r="L16" s="24">
        <f>J16*K16</f>
        <v/>
      </c>
      <c r="M16" s="26">
        <f>'3_Scenario_Engine'!F16</f>
        <v/>
      </c>
      <c r="N16" s="24">
        <f>'3_Scenario_Engine'!AQ16</f>
        <v/>
      </c>
      <c r="O16" s="24">
        <f>L16-N16</f>
        <v/>
      </c>
      <c r="P16" s="24">
        <f>'8_Credit_Risk_Engine'!W16</f>
        <v/>
      </c>
      <c r="Q16" s="27">
        <f>P16/J16</f>
        <v/>
      </c>
      <c r="R16" s="38">
        <f>(ABS(K16)-Q16)*100</f>
        <v/>
      </c>
    </row>
    <row r="17">
      <c r="A17" s="21">
        <f>'3_Scenario_Engine'!A17</f>
        <v/>
      </c>
      <c r="B17" s="21">
        <f>'3_Scenario_Engine'!B17</f>
        <v/>
      </c>
      <c r="C17" s="21">
        <f>'8_Credit_Risk_Engine'!K17</f>
        <v/>
      </c>
      <c r="D17" s="21">
        <f>'8_Credit_Risk_Engine'!Q17</f>
        <v/>
      </c>
      <c r="E17" s="26">
        <f>C17*D17*10000</f>
        <v/>
      </c>
      <c r="F17" s="25">
        <f>'3_Scenario_Engine'!Z17</f>
        <v/>
      </c>
      <c r="G17" s="25">
        <f>IF(F17&lt;'6_Credit_Bridge_Assumptions'!$B$12,'6_Credit_Bridge_Assumptions'!$B$19,IF(F17&lt;'6_Credit_Bridge_Assumptions'!$B$13,'6_Credit_Bridge_Assumptions'!$B$20,'6_Credit_Bridge_Assumptions'!$B$21))</f>
        <v/>
      </c>
      <c r="H17" s="26">
        <f>E17*G17</f>
        <v/>
      </c>
      <c r="I17" s="38">
        <f>'3_Scenario_Engine'!T17</f>
        <v/>
      </c>
      <c r="J17" s="24">
        <f>'3_Scenario_Engine'!U17</f>
        <v/>
      </c>
      <c r="K17" s="27">
        <f>-I17*(H17/10000)</f>
        <v/>
      </c>
      <c r="L17" s="24">
        <f>J17*K17</f>
        <v/>
      </c>
      <c r="M17" s="26">
        <f>'3_Scenario_Engine'!F17</f>
        <v/>
      </c>
      <c r="N17" s="24">
        <f>'3_Scenario_Engine'!AQ17</f>
        <v/>
      </c>
      <c r="O17" s="24">
        <f>L17-N17</f>
        <v/>
      </c>
      <c r="P17" s="24">
        <f>'8_Credit_Risk_Engine'!W17</f>
        <v/>
      </c>
      <c r="Q17" s="27">
        <f>P17/J17</f>
        <v/>
      </c>
      <c r="R17" s="38">
        <f>(ABS(K17)-Q17)*100</f>
        <v/>
      </c>
    </row>
    <row r="18">
      <c r="A18" s="21">
        <f>'3_Scenario_Engine'!A18</f>
        <v/>
      </c>
      <c r="B18" s="21">
        <f>'3_Scenario_Engine'!B18</f>
        <v/>
      </c>
      <c r="C18" s="21">
        <f>'8_Credit_Risk_Engine'!K18</f>
        <v/>
      </c>
      <c r="D18" s="21">
        <f>'8_Credit_Risk_Engine'!Q18</f>
        <v/>
      </c>
      <c r="E18" s="26">
        <f>C18*D18*10000</f>
        <v/>
      </c>
      <c r="F18" s="25">
        <f>'3_Scenario_Engine'!Z18</f>
        <v/>
      </c>
      <c r="G18" s="25">
        <f>IF(F18&lt;'6_Credit_Bridge_Assumptions'!$B$12,'6_Credit_Bridge_Assumptions'!$B$19,IF(F18&lt;'6_Credit_Bridge_Assumptions'!$B$13,'6_Credit_Bridge_Assumptions'!$B$20,'6_Credit_Bridge_Assumptions'!$B$21))</f>
        <v/>
      </c>
      <c r="H18" s="26">
        <f>E18*G18</f>
        <v/>
      </c>
      <c r="I18" s="38">
        <f>'3_Scenario_Engine'!T18</f>
        <v/>
      </c>
      <c r="J18" s="24">
        <f>'3_Scenario_Engine'!U18</f>
        <v/>
      </c>
      <c r="K18" s="27">
        <f>-I18*(H18/10000)</f>
        <v/>
      </c>
      <c r="L18" s="24">
        <f>J18*K18</f>
        <v/>
      </c>
      <c r="M18" s="26">
        <f>'3_Scenario_Engine'!F18</f>
        <v/>
      </c>
      <c r="N18" s="24">
        <f>'3_Scenario_Engine'!AQ18</f>
        <v/>
      </c>
      <c r="O18" s="24">
        <f>L18-N18</f>
        <v/>
      </c>
      <c r="P18" s="24">
        <f>'8_Credit_Risk_Engine'!W18</f>
        <v/>
      </c>
      <c r="Q18" s="27">
        <f>P18/J18</f>
        <v/>
      </c>
      <c r="R18" s="38">
        <f>(ABS(K18)-Q18)*100</f>
        <v/>
      </c>
    </row>
    <row r="19">
      <c r="A19" s="21">
        <f>'3_Scenario_Engine'!A19</f>
        <v/>
      </c>
      <c r="B19" s="21">
        <f>'3_Scenario_Engine'!B19</f>
        <v/>
      </c>
      <c r="C19" s="21">
        <f>'8_Credit_Risk_Engine'!K19</f>
        <v/>
      </c>
      <c r="D19" s="21">
        <f>'8_Credit_Risk_Engine'!Q19</f>
        <v/>
      </c>
      <c r="E19" s="26">
        <f>C19*D19*10000</f>
        <v/>
      </c>
      <c r="F19" s="25">
        <f>'3_Scenario_Engine'!Z19</f>
        <v/>
      </c>
      <c r="G19" s="25">
        <f>IF(F19&lt;'6_Credit_Bridge_Assumptions'!$B$12,'6_Credit_Bridge_Assumptions'!$B$19,IF(F19&lt;'6_Credit_Bridge_Assumptions'!$B$13,'6_Credit_Bridge_Assumptions'!$B$20,'6_Credit_Bridge_Assumptions'!$B$21))</f>
        <v/>
      </c>
      <c r="H19" s="26">
        <f>E19*G19</f>
        <v/>
      </c>
      <c r="I19" s="38">
        <f>'3_Scenario_Engine'!T19</f>
        <v/>
      </c>
      <c r="J19" s="24">
        <f>'3_Scenario_Engine'!U19</f>
        <v/>
      </c>
      <c r="K19" s="27">
        <f>-I19*(H19/10000)</f>
        <v/>
      </c>
      <c r="L19" s="24">
        <f>J19*K19</f>
        <v/>
      </c>
      <c r="M19" s="26">
        <f>'3_Scenario_Engine'!F19</f>
        <v/>
      </c>
      <c r="N19" s="24">
        <f>'3_Scenario_Engine'!AQ19</f>
        <v/>
      </c>
      <c r="O19" s="24">
        <f>L19-N19</f>
        <v/>
      </c>
      <c r="P19" s="24">
        <f>'8_Credit_Risk_Engine'!W19</f>
        <v/>
      </c>
      <c r="Q19" s="27">
        <f>P19/J19</f>
        <v/>
      </c>
      <c r="R19" s="38">
        <f>(ABS(K19)-Q19)*100</f>
        <v/>
      </c>
    </row>
    <row r="20">
      <c r="A20" s="21">
        <f>'3_Scenario_Engine'!A20</f>
        <v/>
      </c>
      <c r="B20" s="21">
        <f>'3_Scenario_Engine'!B20</f>
        <v/>
      </c>
      <c r="C20" s="21">
        <f>'8_Credit_Risk_Engine'!K20</f>
        <v/>
      </c>
      <c r="D20" s="21">
        <f>'8_Credit_Risk_Engine'!Q20</f>
        <v/>
      </c>
      <c r="E20" s="26">
        <f>C20*D20*10000</f>
        <v/>
      </c>
      <c r="F20" s="25">
        <f>'3_Scenario_Engine'!Z20</f>
        <v/>
      </c>
      <c r="G20" s="25">
        <f>IF(F20&lt;'6_Credit_Bridge_Assumptions'!$B$12,'6_Credit_Bridge_Assumptions'!$B$19,IF(F20&lt;'6_Credit_Bridge_Assumptions'!$B$13,'6_Credit_Bridge_Assumptions'!$B$20,'6_Credit_Bridge_Assumptions'!$B$21))</f>
        <v/>
      </c>
      <c r="H20" s="26">
        <f>E20*G20</f>
        <v/>
      </c>
      <c r="I20" s="38">
        <f>'3_Scenario_Engine'!T20</f>
        <v/>
      </c>
      <c r="J20" s="24">
        <f>'3_Scenario_Engine'!U20</f>
        <v/>
      </c>
      <c r="K20" s="27">
        <f>-I20*(H20/10000)</f>
        <v/>
      </c>
      <c r="L20" s="24">
        <f>J20*K20</f>
        <v/>
      </c>
      <c r="M20" s="26">
        <f>'3_Scenario_Engine'!F20</f>
        <v/>
      </c>
      <c r="N20" s="24">
        <f>'3_Scenario_Engine'!AQ20</f>
        <v/>
      </c>
      <c r="O20" s="24">
        <f>L20-N20</f>
        <v/>
      </c>
      <c r="P20" s="24">
        <f>'8_Credit_Risk_Engine'!W20</f>
        <v/>
      </c>
      <c r="Q20" s="27">
        <f>P20/J20</f>
        <v/>
      </c>
      <c r="R20" s="38">
        <f>(ABS(K20)-Q20)*100</f>
        <v/>
      </c>
    </row>
    <row r="21">
      <c r="A21" s="21">
        <f>'3_Scenario_Engine'!A21</f>
        <v/>
      </c>
      <c r="B21" s="21">
        <f>'3_Scenario_Engine'!B21</f>
        <v/>
      </c>
      <c r="C21" s="21">
        <f>'8_Credit_Risk_Engine'!K21</f>
        <v/>
      </c>
      <c r="D21" s="21">
        <f>'8_Credit_Risk_Engine'!Q21</f>
        <v/>
      </c>
      <c r="E21" s="26">
        <f>C21*D21*10000</f>
        <v/>
      </c>
      <c r="F21" s="25">
        <f>'3_Scenario_Engine'!Z21</f>
        <v/>
      </c>
      <c r="G21" s="25">
        <f>IF(F21&lt;'6_Credit_Bridge_Assumptions'!$B$12,'6_Credit_Bridge_Assumptions'!$B$19,IF(F21&lt;'6_Credit_Bridge_Assumptions'!$B$13,'6_Credit_Bridge_Assumptions'!$B$20,'6_Credit_Bridge_Assumptions'!$B$21))</f>
        <v/>
      </c>
      <c r="H21" s="26">
        <f>E21*G21</f>
        <v/>
      </c>
      <c r="I21" s="38">
        <f>'3_Scenario_Engine'!T21</f>
        <v/>
      </c>
      <c r="J21" s="24">
        <f>'3_Scenario_Engine'!U21</f>
        <v/>
      </c>
      <c r="K21" s="27">
        <f>-I21*(H21/10000)</f>
        <v/>
      </c>
      <c r="L21" s="24">
        <f>J21*K21</f>
        <v/>
      </c>
      <c r="M21" s="26">
        <f>'3_Scenario_Engine'!F21</f>
        <v/>
      </c>
      <c r="N21" s="24">
        <f>'3_Scenario_Engine'!AQ21</f>
        <v/>
      </c>
      <c r="O21" s="24">
        <f>L21-N21</f>
        <v/>
      </c>
      <c r="P21" s="24">
        <f>'8_Credit_Risk_Engine'!W21</f>
        <v/>
      </c>
      <c r="Q21" s="27">
        <f>P21/J21</f>
        <v/>
      </c>
      <c r="R21" s="38">
        <f>(ABS(K21)-Q21)*100</f>
        <v/>
      </c>
    </row>
    <row r="22">
      <c r="A22" s="21">
        <f>'3_Scenario_Engine'!A22</f>
        <v/>
      </c>
      <c r="B22" s="21">
        <f>'3_Scenario_Engine'!B22</f>
        <v/>
      </c>
      <c r="C22" s="21">
        <f>'8_Credit_Risk_Engine'!K22</f>
        <v/>
      </c>
      <c r="D22" s="21">
        <f>'8_Credit_Risk_Engine'!Q22</f>
        <v/>
      </c>
      <c r="E22" s="26">
        <f>C22*D22*10000</f>
        <v/>
      </c>
      <c r="F22" s="25">
        <f>'3_Scenario_Engine'!Z22</f>
        <v/>
      </c>
      <c r="G22" s="25">
        <f>IF(F22&lt;'6_Credit_Bridge_Assumptions'!$B$12,'6_Credit_Bridge_Assumptions'!$B$19,IF(F22&lt;'6_Credit_Bridge_Assumptions'!$B$13,'6_Credit_Bridge_Assumptions'!$B$20,'6_Credit_Bridge_Assumptions'!$B$21))</f>
        <v/>
      </c>
      <c r="H22" s="26">
        <f>E22*G22</f>
        <v/>
      </c>
      <c r="I22" s="38">
        <f>'3_Scenario_Engine'!T22</f>
        <v/>
      </c>
      <c r="J22" s="24">
        <f>'3_Scenario_Engine'!U22</f>
        <v/>
      </c>
      <c r="K22" s="27">
        <f>-I22*(H22/10000)</f>
        <v/>
      </c>
      <c r="L22" s="24">
        <f>J22*K22</f>
        <v/>
      </c>
      <c r="M22" s="26">
        <f>'3_Scenario_Engine'!F22</f>
        <v/>
      </c>
      <c r="N22" s="24">
        <f>'3_Scenario_Engine'!AQ22</f>
        <v/>
      </c>
      <c r="O22" s="24">
        <f>L22-N22</f>
        <v/>
      </c>
      <c r="P22" s="24">
        <f>'8_Credit_Risk_Engine'!W22</f>
        <v/>
      </c>
      <c r="Q22" s="27">
        <f>P22/J22</f>
        <v/>
      </c>
      <c r="R22" s="38">
        <f>(ABS(K22)-Q22)*100</f>
        <v/>
      </c>
    </row>
    <row r="23">
      <c r="A23" s="21">
        <f>'3_Scenario_Engine'!A23</f>
        <v/>
      </c>
      <c r="B23" s="21">
        <f>'3_Scenario_Engine'!B23</f>
        <v/>
      </c>
      <c r="C23" s="21">
        <f>'8_Credit_Risk_Engine'!K23</f>
        <v/>
      </c>
      <c r="D23" s="21">
        <f>'8_Credit_Risk_Engine'!Q23</f>
        <v/>
      </c>
      <c r="E23" s="26">
        <f>C23*D23*10000</f>
        <v/>
      </c>
      <c r="F23" s="25">
        <f>'3_Scenario_Engine'!Z23</f>
        <v/>
      </c>
      <c r="G23" s="25">
        <f>IF(F23&lt;'6_Credit_Bridge_Assumptions'!$B$12,'6_Credit_Bridge_Assumptions'!$B$19,IF(F23&lt;'6_Credit_Bridge_Assumptions'!$B$13,'6_Credit_Bridge_Assumptions'!$B$20,'6_Credit_Bridge_Assumptions'!$B$21))</f>
        <v/>
      </c>
      <c r="H23" s="26">
        <f>E23*G23</f>
        <v/>
      </c>
      <c r="I23" s="38">
        <f>'3_Scenario_Engine'!T23</f>
        <v/>
      </c>
      <c r="J23" s="24">
        <f>'3_Scenario_Engine'!U23</f>
        <v/>
      </c>
      <c r="K23" s="27">
        <f>-I23*(H23/10000)</f>
        <v/>
      </c>
      <c r="L23" s="24">
        <f>J23*K23</f>
        <v/>
      </c>
      <c r="M23" s="26">
        <f>'3_Scenario_Engine'!F23</f>
        <v/>
      </c>
      <c r="N23" s="24">
        <f>'3_Scenario_Engine'!AQ23</f>
        <v/>
      </c>
      <c r="O23" s="24">
        <f>L23-N23</f>
        <v/>
      </c>
      <c r="P23" s="24">
        <f>'8_Credit_Risk_Engine'!W23</f>
        <v/>
      </c>
      <c r="Q23" s="27">
        <f>P23/J23</f>
        <v/>
      </c>
      <c r="R23" s="38">
        <f>(ABS(K23)-Q23)*100</f>
        <v/>
      </c>
    </row>
    <row r="24">
      <c r="A24" s="21">
        <f>'3_Scenario_Engine'!A24</f>
        <v/>
      </c>
      <c r="B24" s="21">
        <f>'3_Scenario_Engine'!B24</f>
        <v/>
      </c>
      <c r="C24" s="21">
        <f>'8_Credit_Risk_Engine'!K24</f>
        <v/>
      </c>
      <c r="D24" s="21">
        <f>'8_Credit_Risk_Engine'!Q24</f>
        <v/>
      </c>
      <c r="E24" s="26">
        <f>C24*D24*10000</f>
        <v/>
      </c>
      <c r="F24" s="25">
        <f>'3_Scenario_Engine'!Z24</f>
        <v/>
      </c>
      <c r="G24" s="25">
        <f>IF(F24&lt;'6_Credit_Bridge_Assumptions'!$B$12,'6_Credit_Bridge_Assumptions'!$B$19,IF(F24&lt;'6_Credit_Bridge_Assumptions'!$B$13,'6_Credit_Bridge_Assumptions'!$B$20,'6_Credit_Bridge_Assumptions'!$B$21))</f>
        <v/>
      </c>
      <c r="H24" s="26">
        <f>E24*G24</f>
        <v/>
      </c>
      <c r="I24" s="38">
        <f>'3_Scenario_Engine'!T24</f>
        <v/>
      </c>
      <c r="J24" s="24">
        <f>'3_Scenario_Engine'!U24</f>
        <v/>
      </c>
      <c r="K24" s="27">
        <f>-I24*(H24/10000)</f>
        <v/>
      </c>
      <c r="L24" s="24">
        <f>J24*K24</f>
        <v/>
      </c>
      <c r="M24" s="26">
        <f>'3_Scenario_Engine'!F24</f>
        <v/>
      </c>
      <c r="N24" s="24">
        <f>'3_Scenario_Engine'!AQ24</f>
        <v/>
      </c>
      <c r="O24" s="24">
        <f>L24-N24</f>
        <v/>
      </c>
      <c r="P24" s="24">
        <f>'8_Credit_Risk_Engine'!W24</f>
        <v/>
      </c>
      <c r="Q24" s="27">
        <f>P24/J24</f>
        <v/>
      </c>
      <c r="R24" s="38">
        <f>(ABS(K24)-Q24)*100</f>
        <v/>
      </c>
    </row>
    <row r="25">
      <c r="A25" s="21">
        <f>'3_Scenario_Engine'!A25</f>
        <v/>
      </c>
      <c r="B25" s="21">
        <f>'3_Scenario_Engine'!B25</f>
        <v/>
      </c>
      <c r="C25" s="21">
        <f>'8_Credit_Risk_Engine'!K25</f>
        <v/>
      </c>
      <c r="D25" s="21">
        <f>'8_Credit_Risk_Engine'!Q25</f>
        <v/>
      </c>
      <c r="E25" s="26">
        <f>C25*D25*10000</f>
        <v/>
      </c>
      <c r="F25" s="25">
        <f>'3_Scenario_Engine'!Z25</f>
        <v/>
      </c>
      <c r="G25" s="25">
        <f>IF(F25&lt;'6_Credit_Bridge_Assumptions'!$B$12,'6_Credit_Bridge_Assumptions'!$B$19,IF(F25&lt;'6_Credit_Bridge_Assumptions'!$B$13,'6_Credit_Bridge_Assumptions'!$B$20,'6_Credit_Bridge_Assumptions'!$B$21))</f>
        <v/>
      </c>
      <c r="H25" s="26">
        <f>E25*G25</f>
        <v/>
      </c>
      <c r="I25" s="38">
        <f>'3_Scenario_Engine'!T25</f>
        <v/>
      </c>
      <c r="J25" s="24">
        <f>'3_Scenario_Engine'!U25</f>
        <v/>
      </c>
      <c r="K25" s="27">
        <f>-I25*(H25/10000)</f>
        <v/>
      </c>
      <c r="L25" s="24">
        <f>J25*K25</f>
        <v/>
      </c>
      <c r="M25" s="26">
        <f>'3_Scenario_Engine'!F25</f>
        <v/>
      </c>
      <c r="N25" s="24">
        <f>'3_Scenario_Engine'!AQ25</f>
        <v/>
      </c>
      <c r="O25" s="24">
        <f>L25-N25</f>
        <v/>
      </c>
      <c r="P25" s="24">
        <f>'8_Credit_Risk_Engine'!W25</f>
        <v/>
      </c>
      <c r="Q25" s="27">
        <f>P25/J25</f>
        <v/>
      </c>
      <c r="R25" s="38">
        <f>(ABS(K25)-Q25)*100</f>
        <v/>
      </c>
    </row>
    <row r="26">
      <c r="A26" s="21">
        <f>'3_Scenario_Engine'!A26</f>
        <v/>
      </c>
      <c r="B26" s="21">
        <f>'3_Scenario_Engine'!B26</f>
        <v/>
      </c>
      <c r="C26" s="21">
        <f>'8_Credit_Risk_Engine'!K26</f>
        <v/>
      </c>
      <c r="D26" s="21">
        <f>'8_Credit_Risk_Engine'!Q26</f>
        <v/>
      </c>
      <c r="E26" s="26">
        <f>C26*D26*10000</f>
        <v/>
      </c>
      <c r="F26" s="25">
        <f>'3_Scenario_Engine'!Z26</f>
        <v/>
      </c>
      <c r="G26" s="25">
        <f>IF(F26&lt;'6_Credit_Bridge_Assumptions'!$B$12,'6_Credit_Bridge_Assumptions'!$B$19,IF(F26&lt;'6_Credit_Bridge_Assumptions'!$B$13,'6_Credit_Bridge_Assumptions'!$B$20,'6_Credit_Bridge_Assumptions'!$B$21))</f>
        <v/>
      </c>
      <c r="H26" s="26">
        <f>E26*G26</f>
        <v/>
      </c>
      <c r="I26" s="38">
        <f>'3_Scenario_Engine'!T26</f>
        <v/>
      </c>
      <c r="J26" s="24">
        <f>'3_Scenario_Engine'!U26</f>
        <v/>
      </c>
      <c r="K26" s="27">
        <f>-I26*(H26/10000)</f>
        <v/>
      </c>
      <c r="L26" s="24">
        <f>J26*K26</f>
        <v/>
      </c>
      <c r="M26" s="26">
        <f>'3_Scenario_Engine'!F26</f>
        <v/>
      </c>
      <c r="N26" s="24">
        <f>'3_Scenario_Engine'!AQ26</f>
        <v/>
      </c>
      <c r="O26" s="24">
        <f>L26-N26</f>
        <v/>
      </c>
      <c r="P26" s="24">
        <f>'8_Credit_Risk_Engine'!W26</f>
        <v/>
      </c>
      <c r="Q26" s="27">
        <f>P26/J26</f>
        <v/>
      </c>
      <c r="R26" s="38">
        <f>(ABS(K26)-Q26)*100</f>
        <v/>
      </c>
    </row>
    <row r="27">
      <c r="A27" s="21">
        <f>'3_Scenario_Engine'!A27</f>
        <v/>
      </c>
      <c r="B27" s="21">
        <f>'3_Scenario_Engine'!B27</f>
        <v/>
      </c>
      <c r="C27" s="21">
        <f>'8_Credit_Risk_Engine'!K27</f>
        <v/>
      </c>
      <c r="D27" s="21">
        <f>'8_Credit_Risk_Engine'!Q27</f>
        <v/>
      </c>
      <c r="E27" s="26">
        <f>C27*D27*10000</f>
        <v/>
      </c>
      <c r="F27" s="25">
        <f>'3_Scenario_Engine'!Z27</f>
        <v/>
      </c>
      <c r="G27" s="25">
        <f>IF(F27&lt;'6_Credit_Bridge_Assumptions'!$B$12,'6_Credit_Bridge_Assumptions'!$B$19,IF(F27&lt;'6_Credit_Bridge_Assumptions'!$B$13,'6_Credit_Bridge_Assumptions'!$B$20,'6_Credit_Bridge_Assumptions'!$B$21))</f>
        <v/>
      </c>
      <c r="H27" s="26">
        <f>E27*G27</f>
        <v/>
      </c>
      <c r="I27" s="38">
        <f>'3_Scenario_Engine'!T27</f>
        <v/>
      </c>
      <c r="J27" s="24">
        <f>'3_Scenario_Engine'!U27</f>
        <v/>
      </c>
      <c r="K27" s="27">
        <f>-I27*(H27/10000)</f>
        <v/>
      </c>
      <c r="L27" s="24">
        <f>J27*K27</f>
        <v/>
      </c>
      <c r="M27" s="26">
        <f>'3_Scenario_Engine'!F27</f>
        <v/>
      </c>
      <c r="N27" s="24">
        <f>'3_Scenario_Engine'!AQ27</f>
        <v/>
      </c>
      <c r="O27" s="24">
        <f>L27-N27</f>
        <v/>
      </c>
      <c r="P27" s="24">
        <f>'8_Credit_Risk_Engine'!W27</f>
        <v/>
      </c>
      <c r="Q27" s="27">
        <f>P27/J27</f>
        <v/>
      </c>
      <c r="R27" s="38">
        <f>(ABS(K27)-Q27)*100</f>
        <v/>
      </c>
    </row>
    <row r="28">
      <c r="A28" s="21">
        <f>'3_Scenario_Engine'!A28</f>
        <v/>
      </c>
      <c r="B28" s="21">
        <f>'3_Scenario_Engine'!B28</f>
        <v/>
      </c>
      <c r="C28" s="21">
        <f>'8_Credit_Risk_Engine'!K28</f>
        <v/>
      </c>
      <c r="D28" s="21">
        <f>'8_Credit_Risk_Engine'!Q28</f>
        <v/>
      </c>
      <c r="E28" s="26">
        <f>C28*D28*10000</f>
        <v/>
      </c>
      <c r="F28" s="25">
        <f>'3_Scenario_Engine'!Z28</f>
        <v/>
      </c>
      <c r="G28" s="25">
        <f>IF(F28&lt;'6_Credit_Bridge_Assumptions'!$B$12,'6_Credit_Bridge_Assumptions'!$B$19,IF(F28&lt;'6_Credit_Bridge_Assumptions'!$B$13,'6_Credit_Bridge_Assumptions'!$B$20,'6_Credit_Bridge_Assumptions'!$B$21))</f>
        <v/>
      </c>
      <c r="H28" s="26">
        <f>E28*G28</f>
        <v/>
      </c>
      <c r="I28" s="38">
        <f>'3_Scenario_Engine'!T28</f>
        <v/>
      </c>
      <c r="J28" s="24">
        <f>'3_Scenario_Engine'!U28</f>
        <v/>
      </c>
      <c r="K28" s="27">
        <f>-I28*(H28/10000)</f>
        <v/>
      </c>
      <c r="L28" s="24">
        <f>J28*K28</f>
        <v/>
      </c>
      <c r="M28" s="26">
        <f>'3_Scenario_Engine'!F28</f>
        <v/>
      </c>
      <c r="N28" s="24">
        <f>'3_Scenario_Engine'!AQ28</f>
        <v/>
      </c>
      <c r="O28" s="24">
        <f>L28-N28</f>
        <v/>
      </c>
      <c r="P28" s="24">
        <f>'8_Credit_Risk_Engine'!W28</f>
        <v/>
      </c>
      <c r="Q28" s="27">
        <f>P28/J28</f>
        <v/>
      </c>
      <c r="R28" s="38">
        <f>(ABS(K28)-Q28)*100</f>
        <v/>
      </c>
    </row>
    <row r="29">
      <c r="A29" s="21">
        <f>'3_Scenario_Engine'!A29</f>
        <v/>
      </c>
      <c r="B29" s="21">
        <f>'3_Scenario_Engine'!B29</f>
        <v/>
      </c>
      <c r="C29" s="21">
        <f>'8_Credit_Risk_Engine'!K29</f>
        <v/>
      </c>
      <c r="D29" s="21">
        <f>'8_Credit_Risk_Engine'!Q29</f>
        <v/>
      </c>
      <c r="E29" s="26">
        <f>C29*D29*10000</f>
        <v/>
      </c>
      <c r="F29" s="25">
        <f>'3_Scenario_Engine'!Z29</f>
        <v/>
      </c>
      <c r="G29" s="25">
        <f>IF(F29&lt;'6_Credit_Bridge_Assumptions'!$B$12,'6_Credit_Bridge_Assumptions'!$B$19,IF(F29&lt;'6_Credit_Bridge_Assumptions'!$B$13,'6_Credit_Bridge_Assumptions'!$B$20,'6_Credit_Bridge_Assumptions'!$B$21))</f>
        <v/>
      </c>
      <c r="H29" s="26">
        <f>E29*G29</f>
        <v/>
      </c>
      <c r="I29" s="38">
        <f>'3_Scenario_Engine'!T29</f>
        <v/>
      </c>
      <c r="J29" s="24">
        <f>'3_Scenario_Engine'!U29</f>
        <v/>
      </c>
      <c r="K29" s="27">
        <f>-I29*(H29/10000)</f>
        <v/>
      </c>
      <c r="L29" s="24">
        <f>J29*K29</f>
        <v/>
      </c>
      <c r="M29" s="26">
        <f>'3_Scenario_Engine'!F29</f>
        <v/>
      </c>
      <c r="N29" s="24">
        <f>'3_Scenario_Engine'!AQ29</f>
        <v/>
      </c>
      <c r="O29" s="24">
        <f>L29-N29</f>
        <v/>
      </c>
      <c r="P29" s="24">
        <f>'8_Credit_Risk_Engine'!W29</f>
        <v/>
      </c>
      <c r="Q29" s="27">
        <f>P29/J29</f>
        <v/>
      </c>
      <c r="R29" s="38">
        <f>(ABS(K29)-Q29)*100</f>
        <v/>
      </c>
    </row>
    <row r="30">
      <c r="A30" s="21">
        <f>'3_Scenario_Engine'!A30</f>
        <v/>
      </c>
      <c r="B30" s="21">
        <f>'3_Scenario_Engine'!B30</f>
        <v/>
      </c>
      <c r="C30" s="21">
        <f>'8_Credit_Risk_Engine'!K30</f>
        <v/>
      </c>
      <c r="D30" s="21">
        <f>'8_Credit_Risk_Engine'!Q30</f>
        <v/>
      </c>
      <c r="E30" s="26">
        <f>C30*D30*10000</f>
        <v/>
      </c>
      <c r="F30" s="25">
        <f>'3_Scenario_Engine'!Z30</f>
        <v/>
      </c>
      <c r="G30" s="25">
        <f>IF(F30&lt;'6_Credit_Bridge_Assumptions'!$B$12,'6_Credit_Bridge_Assumptions'!$B$19,IF(F30&lt;'6_Credit_Bridge_Assumptions'!$B$13,'6_Credit_Bridge_Assumptions'!$B$20,'6_Credit_Bridge_Assumptions'!$B$21))</f>
        <v/>
      </c>
      <c r="H30" s="26">
        <f>E30*G30</f>
        <v/>
      </c>
      <c r="I30" s="38">
        <f>'3_Scenario_Engine'!T30</f>
        <v/>
      </c>
      <c r="J30" s="24">
        <f>'3_Scenario_Engine'!U30</f>
        <v/>
      </c>
      <c r="K30" s="27">
        <f>-I30*(H30/10000)</f>
        <v/>
      </c>
      <c r="L30" s="24">
        <f>J30*K30</f>
        <v/>
      </c>
      <c r="M30" s="26">
        <f>'3_Scenario_Engine'!F30</f>
        <v/>
      </c>
      <c r="N30" s="24">
        <f>'3_Scenario_Engine'!AQ30</f>
        <v/>
      </c>
      <c r="O30" s="24">
        <f>L30-N30</f>
        <v/>
      </c>
      <c r="P30" s="24">
        <f>'8_Credit_Risk_Engine'!W30</f>
        <v/>
      </c>
      <c r="Q30" s="27">
        <f>P30/J30</f>
        <v/>
      </c>
      <c r="R30" s="38">
        <f>(ABS(K30)-Q30)*100</f>
        <v/>
      </c>
    </row>
    <row r="31">
      <c r="A31" s="21">
        <f>'3_Scenario_Engine'!A31</f>
        <v/>
      </c>
      <c r="B31" s="21">
        <f>'3_Scenario_Engine'!B31</f>
        <v/>
      </c>
      <c r="C31" s="21">
        <f>'8_Credit_Risk_Engine'!K31</f>
        <v/>
      </c>
      <c r="D31" s="21">
        <f>'8_Credit_Risk_Engine'!Q31</f>
        <v/>
      </c>
      <c r="E31" s="26">
        <f>C31*D31*10000</f>
        <v/>
      </c>
      <c r="F31" s="25">
        <f>'3_Scenario_Engine'!Z31</f>
        <v/>
      </c>
      <c r="G31" s="25">
        <f>IF(F31&lt;'6_Credit_Bridge_Assumptions'!$B$12,'6_Credit_Bridge_Assumptions'!$B$19,IF(F31&lt;'6_Credit_Bridge_Assumptions'!$B$13,'6_Credit_Bridge_Assumptions'!$B$20,'6_Credit_Bridge_Assumptions'!$B$21))</f>
        <v/>
      </c>
      <c r="H31" s="26">
        <f>E31*G31</f>
        <v/>
      </c>
      <c r="I31" s="38">
        <f>'3_Scenario_Engine'!T31</f>
        <v/>
      </c>
      <c r="J31" s="24">
        <f>'3_Scenario_Engine'!U31</f>
        <v/>
      </c>
      <c r="K31" s="27">
        <f>-I31*(H31/10000)</f>
        <v/>
      </c>
      <c r="L31" s="24">
        <f>J31*K31</f>
        <v/>
      </c>
      <c r="M31" s="26">
        <f>'3_Scenario_Engine'!F31</f>
        <v/>
      </c>
      <c r="N31" s="24">
        <f>'3_Scenario_Engine'!AQ31</f>
        <v/>
      </c>
      <c r="O31" s="24">
        <f>L31-N31</f>
        <v/>
      </c>
      <c r="P31" s="24">
        <f>'8_Credit_Risk_Engine'!W31</f>
        <v/>
      </c>
      <c r="Q31" s="27">
        <f>P31/J31</f>
        <v/>
      </c>
      <c r="R31" s="38">
        <f>(ABS(K31)-Q31)*100</f>
        <v/>
      </c>
    </row>
    <row r="32">
      <c r="A32" s="21">
        <f>'3_Scenario_Engine'!A32</f>
        <v/>
      </c>
      <c r="B32" s="21">
        <f>'3_Scenario_Engine'!B32</f>
        <v/>
      </c>
      <c r="C32" s="21">
        <f>'8_Credit_Risk_Engine'!K32</f>
        <v/>
      </c>
      <c r="D32" s="21">
        <f>'8_Credit_Risk_Engine'!Q32</f>
        <v/>
      </c>
      <c r="E32" s="26">
        <f>C32*D32*10000</f>
        <v/>
      </c>
      <c r="F32" s="25">
        <f>'3_Scenario_Engine'!Z32</f>
        <v/>
      </c>
      <c r="G32" s="25">
        <f>IF(F32&lt;'6_Credit_Bridge_Assumptions'!$B$12,'6_Credit_Bridge_Assumptions'!$B$19,IF(F32&lt;'6_Credit_Bridge_Assumptions'!$B$13,'6_Credit_Bridge_Assumptions'!$B$20,'6_Credit_Bridge_Assumptions'!$B$21))</f>
        <v/>
      </c>
      <c r="H32" s="26">
        <f>E32*G32</f>
        <v/>
      </c>
      <c r="I32" s="38">
        <f>'3_Scenario_Engine'!T32</f>
        <v/>
      </c>
      <c r="J32" s="24">
        <f>'3_Scenario_Engine'!U32</f>
        <v/>
      </c>
      <c r="K32" s="27">
        <f>-I32*(H32/10000)</f>
        <v/>
      </c>
      <c r="L32" s="24">
        <f>J32*K32</f>
        <v/>
      </c>
      <c r="M32" s="26">
        <f>'3_Scenario_Engine'!F32</f>
        <v/>
      </c>
      <c r="N32" s="24">
        <f>'3_Scenario_Engine'!AQ32</f>
        <v/>
      </c>
      <c r="O32" s="24">
        <f>L32-N32</f>
        <v/>
      </c>
      <c r="P32" s="24">
        <f>'8_Credit_Risk_Engine'!W32</f>
        <v/>
      </c>
      <c r="Q32" s="27">
        <f>P32/J32</f>
        <v/>
      </c>
      <c r="R32" s="38">
        <f>(ABS(K32)-Q32)*100</f>
        <v/>
      </c>
    </row>
  </sheetData>
  <mergeCells count="1">
    <mergeCell ref="A1:R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24" customWidth="1" min="3" max="3"/>
    <col width="24" customWidth="1" min="4" max="4"/>
  </cols>
  <sheetData>
    <row r="1" ht="28" customHeight="1">
      <c r="A1" s="1" t="inlineStr">
        <is>
          <t>STEP 10 — bottom-up and top-down, shown side by side on the SAME basis (stress loss, $m and % of invested), plus sensitivity and rating cross-check.</t>
        </is>
      </c>
    </row>
    <row r="3" ht="30" customHeight="1">
      <c r="A3" s="29" t="inlineStr">
        <is>
          <t>SIDE-BY-SIDE — same portfolio, same SWES scenario, same units (stress loss). Bottom-up is an accounting/fundamental EL view; top-down is a mark-to-market view — read together, not forced to equal each other (see 5_CreditBridge_ReadMe, 'why they should NOT match exactly').</t>
        </is>
      </c>
    </row>
    <row r="5" ht="32" customHeight="1">
      <c r="A5" s="5" t="inlineStr">
        <is>
          <t>Metric</t>
        </is>
      </c>
      <c r="B5" s="5" t="inlineStr">
        <is>
          <t>BOTTOM-UP
(Merton PD x LGD x EAD)</t>
        </is>
      </c>
      <c r="C5" s="5" t="inlineStr">
        <is>
          <t>TOP-DOWN
(Credit-Derived Spread)</t>
        </is>
      </c>
      <c r="D5" s="5" t="inlineStr">
        <is>
          <t>TOP-DOWN
(Exogenous SWES Spread)</t>
        </is>
      </c>
    </row>
    <row r="6" ht="20" customHeight="1">
      <c r="A6" s="30" t="inlineStr">
        <is>
          <t>Stress loss ($m)</t>
        </is>
      </c>
      <c r="B6" s="24">
        <f>SUM('8_Credit_Risk_Engine'!$W$3:$W$32)</f>
        <v/>
      </c>
      <c r="C6" s="24">
        <f>ABS(SUM('9_TopDown_Spread_Engine'!$L$3:$L$32))</f>
        <v/>
      </c>
      <c r="D6" s="24">
        <f>ABS(SUM('9_TopDown_Spread_Engine'!$N$3:$N$32))</f>
        <v/>
      </c>
    </row>
    <row r="7" ht="20" customHeight="1">
      <c r="A7" s="30" t="inlineStr">
        <is>
          <t>Stress loss (% of invested)</t>
        </is>
      </c>
      <c r="B7" s="27">
        <f>SUM('8_Credit_Risk_Engine'!$W$3:$W$32)/SUM('9_TopDown_Spread_Engine'!$J$3:$J$32)</f>
        <v/>
      </c>
      <c r="C7" s="27">
        <f>ABS(SUM('9_TopDown_Spread_Engine'!$L$3:$L$32))/SUM('9_TopDown_Spread_Engine'!$J$3:$J$32)</f>
        <v/>
      </c>
      <c r="D7" s="27">
        <f>ABS(SUM('9_TopDown_Spread_Engine'!$N$3:$N$32))/SUM('9_TopDown_Spread_Engine'!$J$3:$J$32)</f>
        <v/>
      </c>
    </row>
    <row r="8" ht="20" customHeight="1">
      <c r="A8" s="30" t="inlineStr">
        <is>
          <t>Ratio to bottom-up (x)</t>
        </is>
      </c>
      <c r="B8" s="25">
        <f>1</f>
        <v/>
      </c>
      <c r="C8" s="25">
        <f>ABS(SUM('9_TopDown_Spread_Engine'!$L$3:$L$32))/SUM('8_Credit_Risk_Engine'!$W$3:$W$32)</f>
        <v/>
      </c>
      <c r="D8" s="25">
        <f>ABS(SUM('9_TopDown_Spread_Engine'!$N$3:$N$32))/SUM('8_Credit_Risk_Engine'!$W$3:$W$32)</f>
        <v/>
      </c>
    </row>
    <row r="10">
      <c r="A10" s="30" t="inlineStr">
        <is>
          <t>Total invested at cost ($m)</t>
        </is>
      </c>
      <c r="B10" s="24">
        <f>SUM('9_TopDown_Spread_Engine'!$J$3:$J$32)</f>
        <v/>
      </c>
    </row>
    <row r="12">
      <c r="A12" s="29" t="inlineStr">
        <is>
          <t>SENSITIVITY — portfolio credit-derived MTM at a FLAT Risk Premium Multiplier (overrides the rating-band table)</t>
        </is>
      </c>
    </row>
    <row r="13">
      <c r="A13" s="30" t="inlineStr">
        <is>
          <t>MTM at 1.0x (≈ pure actuarial expected loss)</t>
        </is>
      </c>
      <c r="B13" s="24">
        <f>-SUMPRODUCT('9_TopDown_Spread_Engine'!$I$3:$I$32,'9_TopDown_Spread_Engine'!$E$3:$E$32)/10000*1.0</f>
        <v/>
      </c>
    </row>
    <row r="14">
      <c r="A14" s="30" t="inlineStr">
        <is>
          <t>MTM at 1.5x</t>
        </is>
      </c>
      <c r="B14" s="24">
        <f>-SUMPRODUCT('9_TopDown_Spread_Engine'!$I$3:$I$32,'9_TopDown_Spread_Engine'!$E$3:$E$32)/10000*1.5</f>
        <v/>
      </c>
    </row>
    <row r="15">
      <c r="A15" s="30" t="inlineStr">
        <is>
          <t>MTM at 2.0x</t>
        </is>
      </c>
      <c r="B15" s="24">
        <f>-SUMPRODUCT('9_TopDown_Spread_Engine'!$I$3:$I$32,'9_TopDown_Spread_Engine'!$E$3:$E$32)/10000*2.0</f>
        <v/>
      </c>
    </row>
    <row r="16">
      <c r="A16" s="30" t="inlineStr">
        <is>
          <t>MTM at 2.5x</t>
        </is>
      </c>
      <c r="B16" s="24">
        <f>-SUMPRODUCT('9_TopDown_Spread_Engine'!$I$3:$I$32,'9_TopDown_Spread_Engine'!$E$3:$E$32)/10000*2.5</f>
        <v/>
      </c>
    </row>
    <row r="17">
      <c r="A17" s="30" t="inlineStr">
        <is>
          <t>MTM at 3.0x</t>
        </is>
      </c>
      <c r="B17" s="24">
        <f>-SUMPRODUCT('9_TopDown_Spread_Engine'!$I$3:$I$32,'9_TopDown_Spread_Engine'!$E$3:$E$32)/10000*3.0</f>
        <v/>
      </c>
    </row>
    <row r="18">
      <c r="A18" s="30" t="inlineStr"/>
      <c r="B18" s="21" t="n"/>
    </row>
    <row r="19">
      <c r="A19" s="29" t="inlineStr">
        <is>
          <t>RATING CROSS-CHECK — invested-weighted Merton stressed PD vs S&amp;P Global long-run average, by implied rating</t>
        </is>
      </c>
    </row>
    <row r="20">
      <c r="A20" s="30" t="inlineStr">
        <is>
          <t>BB — # deals / invested-wtd Merton PD / S&amp;P benchmark PD</t>
        </is>
      </c>
      <c r="B20" s="21">
        <f>COUNTIF('8_Credit_Risk_Engine'!$M$3:$M$32,"BB")&amp;"  /  "&amp;TEXT(SUMPRODUCT(('8_Credit_Risk_Engine'!$M$3:$M$32="BB")*'8_Credit_Risk_Engine'!$J$3:$J$32*'8_Credit_Risk_Engine'!$T$3:$T$32)/MAX(1,SUMPRODUCT(('8_Credit_Risk_Engine'!$M$3:$M$32="BB")*'8_Credit_Risk_Engine'!$T$3:$T$32)),"0.00%")&amp;"  /  "&amp;TEXT('6_Credit_Bridge_Assumptions'!$B$14,"0.00%")</f>
        <v/>
      </c>
    </row>
    <row r="21">
      <c r="A21" s="30" t="inlineStr">
        <is>
          <t>B — # deals / invested-wtd Merton PD / S&amp;P benchmark PD</t>
        </is>
      </c>
      <c r="B21" s="21">
        <f>COUNTIF('8_Credit_Risk_Engine'!$M$3:$M$32,"B")&amp;"  /  "&amp;TEXT(SUMPRODUCT(('8_Credit_Risk_Engine'!$M$3:$M$32="B")*'8_Credit_Risk_Engine'!$J$3:$J$32*'8_Credit_Risk_Engine'!$T$3:$T$32)/MAX(1,SUMPRODUCT(('8_Credit_Risk_Engine'!$M$3:$M$32="B")*'8_Credit_Risk_Engine'!$T$3:$T$32)),"0.00%")&amp;"  /  "&amp;TEXT('6_Credit_Bridge_Assumptions'!$B$15,"0.00%")</f>
        <v/>
      </c>
    </row>
    <row r="22">
      <c r="A22" s="30" t="inlineStr">
        <is>
          <t>CCC/C — # deals / invested-wtd Merton PD / S&amp;P benchmark PD</t>
        </is>
      </c>
      <c r="B22" s="21">
        <f>COUNTIF('8_Credit_Risk_Engine'!$M$3:$M$32,"CCC/C")&amp;"  /  "&amp;TEXT(SUMPRODUCT(('8_Credit_Risk_Engine'!$M$3:$M$32="CCC/C")*'8_Credit_Risk_Engine'!$J$3:$J$32*'8_Credit_Risk_Engine'!$T$3:$T$32)/MAX(1,SUMPRODUCT(('8_Credit_Risk_Engine'!$M$3:$M$32="CCC/C")*'8_Credit_Risk_Engine'!$T$3:$T$32)),"0.00%")&amp;"  /  "&amp;TEXT('6_Credit_Bridge_Assumptions'!$B$16,"0.00%")</f>
        <v/>
      </c>
    </row>
    <row r="24">
      <c r="A24" s="31" t="inlineStr">
        <is>
          <t>Rating cross-check cells are text concatenations (count / invested-weighted Merton PD / S&amp;P benchmark PD) for quick eyeballing — pull the three components apart into separate cells if you want them chartable.</t>
        </is>
      </c>
    </row>
  </sheetData>
  <mergeCells count="4">
    <mergeCell ref="A1:D1"/>
    <mergeCell ref="A12:D12"/>
    <mergeCell ref="A3:D3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2026-08-10T09:38:36Z</dcterms:created>
  <dcterms:modified xmlns:dcterms="http://purl.org/dc/terms/" xmlns:xsi="http://www.w3.org/2001/XMLSchema-instance" xsi:type="dcterms:W3CDTF">2026-08-10T09:38:37Z</dcterms:modified>
</cp:coreProperties>
</file>