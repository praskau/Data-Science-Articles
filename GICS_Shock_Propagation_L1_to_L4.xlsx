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GICS_Structure" sheetId="2" state="visible" r:id="rId2"/>
    <sheet xmlns:r="http://schemas.openxmlformats.org/officeDocument/2006/relationships" name="2_Damodaran_Betas" sheetId="3" state="visible" r:id="rId3"/>
    <sheet xmlns:r="http://schemas.openxmlformats.org/officeDocument/2006/relationships" name="3_PRA_SWES_L1_Input" sheetId="4" state="visible" r:id="rId4"/>
    <sheet xmlns:r="http://schemas.openxmlformats.org/officeDocument/2006/relationships" name="4_Cascade_Engine" sheetId="5" state="visible" r:id="rId5"/>
    <sheet xmlns:r="http://schemas.openxmlformats.org/officeDocument/2006/relationships" name="5_Control_Check" sheetId="6" state="visible" r:id="rId6"/>
    <sheet xmlns:r="http://schemas.openxmlformats.org/officeDocument/2006/relationships" name="6_Output_L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sz val="10"/>
    </font>
    <font>
      <b val="1"/>
      <color rgb="001F4E79"/>
      <sz val="11"/>
    </font>
    <font>
      <name val="Courier New"/>
      <color rgb="00333333"/>
      <sz val="9.5"/>
    </font>
    <font>
      <b val="1"/>
      <color rgb="00FFFFFF"/>
    </font>
    <font>
      <i val="1"/>
      <color rgb="00666666"/>
      <sz val="9"/>
    </font>
    <font>
      <b val="1"/>
    </font>
    <font>
      <b val="1"/>
      <color rgb="008a6d1a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2" fontId="0" fillId="0" borderId="1" pivotButton="0" quotePrefix="0" xfId="0"/>
    <xf numFmtId="164" fontId="0" fillId="3" borderId="1" pivotButton="0" quotePrefix="0" xfId="0"/>
    <xf numFmtId="0" fontId="8" fillId="0" borderId="0" pivotButton="0" quotePrefix="0" xfId="0"/>
    <xf numFmtId="0" fontId="8" fillId="4" borderId="0" pivotButton="0" quotePrefix="0" xfId="0"/>
    <xf numFmtId="0" fontId="9" fillId="0" borderId="0" applyAlignment="1" pivotButton="0" quotePrefix="0" xfId="0">
      <alignment wrapText="1"/>
    </xf>
    <xf numFmtId="165" fontId="0" fillId="4" borderId="1" pivotButton="0" quotePrefix="0" xfId="0"/>
    <xf numFmtId="2" fontId="0" fillId="3" borderId="1" pivotButton="0" quotePrefix="0" xfId="0"/>
    <xf numFmtId="165" fontId="0" fillId="3" borderId="1" pivotButton="0" quotePrefix="0" xfId="0"/>
    <xf numFmtId="165" fontId="0" fillId="0" borderId="1" pivotButton="0" quotePrefix="0" xfId="0"/>
    <xf numFmtId="165" fontId="0" fillId="5" borderId="1" pivotButton="0" quotePrefix="0" xfId="0"/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showGridLines="0"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GICS SHOCK PROPAGATION — PRA SWES SECTOR SHOCKS FROM LEVEL 1 TO LEVEL 4</t>
        </is>
      </c>
    </row>
    <row r="2">
      <c r="A2" s="2" t="inlineStr">
        <is>
          <t>Expanding the PRA's 11 GICS-Sector revenue &amp; EV/EBITDA multiple shocks to all 163 GICS Sub-Industries</t>
        </is>
      </c>
    </row>
    <row r="3"/>
    <row r="4">
      <c r="A4" s="3" t="inlineStr"/>
    </row>
    <row r="5">
      <c r="A5" s="4" t="inlineStr">
        <is>
          <t>THE PROBLEM</t>
        </is>
      </c>
    </row>
    <row r="6">
      <c r="A6" s="3" t="inlineStr">
        <is>
          <t>The PRA SWES publishes revenue and EV/EBITDA multiple shocks at GICS Level 1 (11 sectors). A real loan</t>
        </is>
      </c>
    </row>
    <row r="7">
      <c r="A7" s="3" t="inlineStr">
        <is>
          <t>book is tagged at GICS Level 4 (163 sub-industries), and within one sector the true cyclicality of, say,</t>
        </is>
      </c>
    </row>
    <row r="8">
      <c r="A8" s="3" t="inlineStr">
        <is>
          <t>Automobiles vs. Household Durables (both 'Consumer Discretionary') differs enormously. Applying the flat</t>
        </is>
      </c>
    </row>
    <row r="9">
      <c r="A9" s="3" t="inlineStr">
        <is>
          <t>sector number to every borrower either overstates the shock for defensive names or understates it for</t>
        </is>
      </c>
    </row>
    <row r="10">
      <c r="A10" s="3" t="inlineStr">
        <is>
          <t>cyclical ones. This workbook expands (propagates) the coarse shock down to the granularity you actually</t>
        </is>
      </c>
    </row>
    <row r="11">
      <c r="A11" s="3" t="inlineStr">
        <is>
          <t>hold, without ever contradicting the number the regulator gave you.</t>
        </is>
      </c>
    </row>
    <row r="12">
      <c r="A12" s="3" t="inlineStr"/>
    </row>
    <row r="13">
      <c r="A13" s="4" t="inlineStr">
        <is>
          <t>THE FRAMEWORK — BETA-CASCADE MULTIPLICATIVE DISAGGREGATION</t>
        </is>
      </c>
    </row>
    <row r="14">
      <c r="A14" s="3" t="inlineStr">
        <is>
          <t>1. Get an independent, public, objective measure of relative CYCLICALITY for every GICS sub-industry —</t>
        </is>
      </c>
    </row>
    <row r="15">
      <c r="A15" s="3" t="inlineStr">
        <is>
          <t xml:space="preserve">   NOT derived from your own portfolio (that would be circular: you'd be using your book to size the</t>
        </is>
      </c>
    </row>
    <row r="16">
      <c r="A16" s="3" t="inlineStr">
        <is>
          <t xml:space="preserve">   shock you then apply to your book). We use Aswath Damodaran's (NYU Stern) published unlevered beta</t>
        </is>
      </c>
    </row>
    <row r="17">
      <c r="A17" s="3" t="inlineStr">
        <is>
          <t xml:space="preserve">   by industry, corrected for cash — a standard, widely-cited, freely available proxy for a business's</t>
        </is>
      </c>
    </row>
    <row r="18">
      <c r="A18" s="3" t="inlineStr">
        <is>
          <t xml:space="preserve">   pure operating/revenue cyclicality, stripped of financing leverage and cash drag.</t>
        </is>
      </c>
    </row>
    <row r="19">
      <c r="A19" s="3" t="inlineStr">
        <is>
          <t>2. Cross-walk each of the 163 GICS Sub-Industries to its single best-fit Damodaran industry (sheet 1,</t>
        </is>
      </c>
    </row>
    <row r="20">
      <c r="A20" s="3" t="inlineStr">
        <is>
          <t xml:space="preserve">   column I). Damodaran's ~95 categories sit at roughly GICS Industry (Level 3) granularity for most</t>
        </is>
      </c>
    </row>
    <row r="21">
      <c r="A21" s="3" t="inlineStr">
        <is>
          <t xml:space="preserve">   sectors, and AT Level 4 for others (Energy, REITs, Retail, Telecom) — so the data differentiates as</t>
        </is>
      </c>
    </row>
    <row r="22">
      <c r="A22" s="3" t="inlineStr">
        <is>
          <t xml:space="preserve">   far down as it genuinely can, and sub-industries sharing a Damodaran category simply share its beta.</t>
        </is>
      </c>
    </row>
    <row r="23">
      <c r="A23" s="3" t="inlineStr">
        <is>
          <t>3. Shrink thin-sample industry betas toward the market mean (credibility = n/(n+10), n = number of listed</t>
        </is>
      </c>
    </row>
    <row r="24">
      <c r="A24" s="3" t="inlineStr">
        <is>
          <t xml:space="preserve">   firms in that Damodaran industry) so a category with 1-4 constituents (e.g. Reinsurance, n=1) doesn't</t>
        </is>
      </c>
    </row>
    <row r="25">
      <c r="A25" s="3" t="inlineStr">
        <is>
          <t xml:space="preserve">   inject single-name noise into the cascade. Standard actuarial/Bayesian credibility technique.</t>
        </is>
      </c>
    </row>
    <row r="26">
      <c r="A26" s="3" t="inlineStr">
        <is>
          <t>4. Cascade the shock down using RELATIVE (normalised) beta at each level, so the weighted-average of the</t>
        </is>
      </c>
    </row>
    <row r="27">
      <c r="A27" s="3" t="inlineStr">
        <is>
          <t xml:space="preserve">   163 Level-4 shocks reconstructs the Level-1 number EXACTLY, by construction:</t>
        </is>
      </c>
    </row>
    <row r="28">
      <c r="A28" s="5" t="inlineStr">
        <is>
          <t xml:space="preserve">      Shock_L4 = Shock_L1 x (AvgBeta_L2/AvgBeta_L1) x (AvgBeta_L3/AvgBeta_L2) x (ShrunkBeta_L4/AvgBeta_L3)</t>
        </is>
      </c>
    </row>
    <row r="29">
      <c r="A29" s="5" t="inlineStr">
        <is>
          <t xml:space="preserve">      which telescopes to    Shock_L4 = Shock_L1 x (ShrunkBeta_L4 / AvgBeta_L1)</t>
        </is>
      </c>
    </row>
    <row r="30">
      <c r="A30" s="3" t="inlineStr">
        <is>
          <t xml:space="preserve">   Sheet 5 shows a live reconciliation: weighted-avg(Level-4 shocks within a sector) MINUS the Level-1</t>
        </is>
      </c>
    </row>
    <row r="31">
      <c r="A31" s="3" t="inlineStr">
        <is>
          <t xml:space="preserve">   input = 0.00% for every sector, every metric. That reconciliation IS the defensibility argument.</t>
        </is>
      </c>
    </row>
    <row r="32">
      <c r="A32" s="3" t="inlineStr"/>
    </row>
    <row r="33">
      <c r="A33" s="4" t="inlineStr">
        <is>
          <t>WHY THIS IS THE SAME FAMILY AS THE PORT/MAC3 APPROACH ALREADY USED IN THIS PROJECT</t>
        </is>
      </c>
    </row>
    <row r="34">
      <c r="A34" s="3" t="inlineStr">
        <is>
          <t>This is mechanically identical to how Bloomberg's MAC3 propagates a handful of macro shocks to 3,000+</t>
        </is>
      </c>
    </row>
    <row r="35">
      <c r="A35" s="3" t="inlineStr">
        <is>
          <t>factors: a coarse driver shock, disaggregated to granular instruments via a NORMALISED SENSITIVITY</t>
        </is>
      </c>
    </row>
    <row r="36">
      <c r="A36" s="3" t="inlineStr">
        <is>
          <t>(there: f_U = Sigma_US Sigma_SS^-1 f_S via covariance; here: relative beta via cross-sectional betas),</t>
        </is>
      </c>
    </row>
    <row r="37">
      <c r="A37" s="3" t="inlineStr">
        <is>
          <t>with the aggregate preserved by construction. Same idea, different sensitivity source and hierarchy axis</t>
        </is>
      </c>
    </row>
    <row r="38">
      <c r="A38" s="3" t="inlineStr">
        <is>
          <t>(GICS levels instead of a covariance matrix) — chosen because GICS is a strict tree (each sub-industry</t>
        </is>
      </c>
    </row>
    <row r="39">
      <c r="A39" s="3" t="inlineStr">
        <is>
          <t>has exactly one parent at each level), so a beta-ratio cascade is simpler and equally rigorous here.</t>
        </is>
      </c>
    </row>
    <row r="40">
      <c r="A40" s="3" t="inlineStr">
        <is>
          <t>See 6_PORT_MAC3_Guide in SWES_10Loan_Integration_Workbook.xlsx for the propagation this mirrors.</t>
        </is>
      </c>
    </row>
    <row r="41">
      <c r="A41" s="3" t="inlineStr"/>
    </row>
    <row r="42">
      <c r="A42" s="4" t="inlineStr">
        <is>
          <t>WHAT THIS DELIBERATELY DOES NOT DO (SIMPLICITY BY DESIGN)</t>
        </is>
      </c>
    </row>
    <row r="43">
      <c r="A43" s="3" t="inlineStr">
        <is>
          <t>- Does not use market-cap or portfolio weights for the within-parent averages (Sheet 4, column 'Weight')</t>
        </is>
      </c>
    </row>
    <row r="44">
      <c r="A44" s="3" t="inlineStr">
        <is>
          <t xml:space="preserve">  by default — every sub-industry counts equally. This avoids a second external data dependency on day</t>
        </is>
      </c>
    </row>
    <row r="45">
      <c r="A45" s="3" t="inlineStr">
        <is>
          <t xml:space="preserve">  one. Overwrite the Weight column with your own book's MV by sub-industry (or index weights) any time —</t>
        </is>
      </c>
    </row>
    <row r="46">
      <c r="A46" s="3" t="inlineStr">
        <is>
          <t xml:space="preserve">  every downstream formula updates automatically and the control-total check still holds by construction.</t>
        </is>
      </c>
    </row>
    <row r="47">
      <c r="A47" s="3" t="inlineStr">
        <is>
          <t>- Does not attempt to differentiate BELOW the resolution Damodaran's data actually supports. Where several</t>
        </is>
      </c>
    </row>
    <row r="48">
      <c r="A48" s="3" t="inlineStr">
        <is>
          <t xml:space="preserve">  Level-4 sub-industries share one Damodaran category, they receive the identical shock — that is the</t>
        </is>
      </c>
    </row>
    <row r="49">
      <c r="A49" s="3" t="inlineStr">
        <is>
          <t xml:space="preserve">  honest limit of this data source, not an approximation error. Two upgrade paths if finer granularity is</t>
        </is>
      </c>
    </row>
    <row r="50">
      <c r="A50" s="3" t="inlineStr">
        <is>
          <t xml:space="preserve">  needed: (a) pull Bloomberg BETA&lt;GO&gt; / EQS&lt;GO&gt; by native GICS sub-industry tag for your investable</t>
        </is>
      </c>
    </row>
    <row r="51">
      <c r="A51" s="3" t="inlineStr">
        <is>
          <t xml:space="preserve">  universe (paste-zone ready in sheet 2, column G); (b) use borrower-specific fundamentals already captured</t>
        </is>
      </c>
    </row>
    <row r="52">
      <c r="A52" s="3" t="inlineStr">
        <is>
          <t xml:space="preserve">  in the Engine B fundamental model (2_Borrower_Engine, SWES_10Loan_Integration_Workbook.xlsx).</t>
        </is>
      </c>
    </row>
    <row r="53">
      <c r="A53" s="3" t="inlineStr"/>
    </row>
    <row r="54">
      <c r="A54" s="4" t="inlineStr">
        <is>
          <t>COLOUR CODE</t>
        </is>
      </c>
    </row>
    <row r="55">
      <c r="A55" s="3" t="inlineStr">
        <is>
          <t>Yellow = input / paste zone (edit freely). Grey = live formula (do not overtype). Green = control-total</t>
        </is>
      </c>
    </row>
    <row r="56">
      <c r="A56" s="3" t="inlineStr">
        <is>
          <t>check (should always read ~0.00%; investigate any sheet if it doesn't).</t>
        </is>
      </c>
    </row>
    <row r="57">
      <c r="A57" s="3" t="inlineStr"/>
    </row>
    <row r="58">
      <c r="A58" s="4" t="inlineStr">
        <is>
          <t>SHEET GUIDE</t>
        </is>
      </c>
    </row>
    <row r="59">
      <c r="A59" s="3" t="inlineStr">
        <is>
          <t>1_GICS_Structure    all 163 GICS sub-industries, 4-level hierarchy + codes + Damodaran crosswalk + weight</t>
        </is>
      </c>
    </row>
    <row r="60">
      <c r="A60" s="3" t="inlineStr">
        <is>
          <t>2_Damodaran_Betas   95 industries, raw + unlevered-corrected-for-cash beta, credibility shrinkage</t>
        </is>
      </c>
    </row>
    <row r="61">
      <c r="A61" s="3" t="inlineStr">
        <is>
          <t>3_PRA_SWES_L1_Input PASTE ZONE: 11 sector x {US, UK/EU} x {Revenue shock %, EV/EBITDA multiple shock %}</t>
        </is>
      </c>
    </row>
    <row r="62">
      <c r="A62" s="3" t="inlineStr">
        <is>
          <t>4_Cascade_Engine    the 163-row engine: avg betas at each level, relative betas, cascaded shocks</t>
        </is>
      </c>
    </row>
    <row r="63">
      <c r="A63" s="3" t="inlineStr">
        <is>
          <t>5_Control_Check     live reconciliation: weighted-avg(L4) vs L1 input, by sector/metric — proof of no drift</t>
        </is>
      </c>
    </row>
    <row r="64">
      <c r="A64" s="3" t="inlineStr">
        <is>
          <t>6_Output_L4         clean flat lookup table for VLOOKUP against your loan tape's GICS sub-industry code</t>
        </is>
      </c>
    </row>
    <row r="65">
      <c r="A65" s="3" t="inlineStr"/>
    </row>
    <row r="66">
      <c r="A66" s="4" t="inlineStr">
        <is>
          <t>SOURCES</t>
        </is>
      </c>
    </row>
    <row r="67">
      <c r="A67" s="3" t="inlineStr">
        <is>
          <t>GICS structure: MSCI/S&amp;P Global Industry Classification Standard (11 sectors / 25 industry groups / 74</t>
        </is>
      </c>
    </row>
    <row r="68">
      <c r="A68" s="3" t="inlineStr">
        <is>
          <t>industries / 163 sub-industries, confirmed via MSCI/S&amp;P methodology references, 6 Aug 2026). Damodaran</t>
        </is>
      </c>
    </row>
    <row r="69">
      <c r="A69" s="3" t="inlineStr">
        <is>
          <t>Industry Betas: NYU Stern (pages.stern.nyu.edu/~adamodar), 'Date updated: 5 Jan 2026', US companies,</t>
        </is>
      </c>
    </row>
    <row r="70">
      <c r="A70" s="3" t="inlineStr">
        <is>
          <t>marginal tax rate 25%. Crosswalk and shrinkage: analyst judgement, documented and auditable (sheet 1 col I,</t>
        </is>
      </c>
    </row>
    <row r="71">
      <c r="A71" s="3" t="inlineStr">
        <is>
          <t>sheet 2 col E-F). PRA SWES Level-1 shocks: BoE Private Markets SWES scenario annex (paste from your own</t>
        </is>
      </c>
    </row>
    <row r="72">
      <c r="A72" s="3" t="inlineStr">
        <is>
          <t>'Variable Paths' rows 41-64 / 91-114), read 6 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2" customWidth="1" min="2" max="2"/>
    <col width="8" customWidth="1" min="3" max="3"/>
    <col width="26" customWidth="1" min="4" max="4"/>
    <col width="10" customWidth="1" min="5" max="5"/>
    <col width="34" customWidth="1" min="6" max="6"/>
    <col width="12" customWidth="1" min="7" max="7"/>
    <col width="34" customWidth="1" min="8" max="8"/>
    <col width="26" customWidth="1" min="9" max="9"/>
    <col width="9" customWidth="1" min="10" max="10"/>
  </cols>
  <sheetData>
    <row r="1">
      <c r="A1" s="6" t="inlineStr">
        <is>
          <t>STEP 1 — All 163 GICS sub-industries, 4-level hierarchy, crosswalked to a Damodaran industry (col I). Weight (col J) defaults to 1 (equal-weight); overwrite with portfolio MV or index weight to reweight every downstream average.</t>
        </is>
      </c>
    </row>
    <row r="2">
      <c r="A2" s="7" t="inlineStr">
        <is>
          <t>Sector Code</t>
        </is>
      </c>
      <c r="B2" s="7" t="inlineStr">
        <is>
          <t>Sector</t>
        </is>
      </c>
      <c r="C2" s="7" t="inlineStr">
        <is>
          <t>IG Code</t>
        </is>
      </c>
      <c r="D2" s="7" t="inlineStr">
        <is>
          <t>Industry Group</t>
        </is>
      </c>
      <c r="E2" s="7" t="inlineStr">
        <is>
          <t>Industry Code</t>
        </is>
      </c>
      <c r="F2" s="7" t="inlineStr">
        <is>
          <t>Industry</t>
        </is>
      </c>
      <c r="G2" s="7" t="inlineStr">
        <is>
          <t>Sub-Ind Code</t>
        </is>
      </c>
      <c r="H2" s="7" t="inlineStr">
        <is>
          <t>Sub-Industry</t>
        </is>
      </c>
      <c r="I2" s="7" t="inlineStr">
        <is>
          <t>Damodaran Industry (crosswalk)</t>
        </is>
      </c>
      <c r="J2" s="7" t="inlineStr">
        <is>
          <t>Weight</t>
        </is>
      </c>
    </row>
    <row r="3">
      <c r="A3" s="8" t="n">
        <v>10</v>
      </c>
      <c r="B3" s="8" t="inlineStr">
        <is>
          <t>Energy</t>
        </is>
      </c>
      <c r="C3" s="8" t="n">
        <v>1010</v>
      </c>
      <c r="D3" s="8" t="inlineStr">
        <is>
          <t>Energy</t>
        </is>
      </c>
      <c r="E3" s="8" t="n">
        <v>101010</v>
      </c>
      <c r="F3" s="8" t="inlineStr">
        <is>
          <t>Energy Equipment &amp; Services</t>
        </is>
      </c>
      <c r="G3" s="8" t="n">
        <v>10101010</v>
      </c>
      <c r="H3" s="8" t="inlineStr">
        <is>
          <t>Oil &amp; Gas Drilling</t>
        </is>
      </c>
      <c r="I3" s="9" t="inlineStr">
        <is>
          <t>Oilfield Svcs/Equip.</t>
        </is>
      </c>
      <c r="J3" s="10" t="n">
        <v>1</v>
      </c>
    </row>
    <row r="4">
      <c r="A4" s="8" t="n">
        <v>10</v>
      </c>
      <c r="B4" s="8" t="inlineStr">
        <is>
          <t>Energy</t>
        </is>
      </c>
      <c r="C4" s="8" t="n">
        <v>1010</v>
      </c>
      <c r="D4" s="8" t="inlineStr">
        <is>
          <t>Energy</t>
        </is>
      </c>
      <c r="E4" s="8" t="n">
        <v>101010</v>
      </c>
      <c r="F4" s="8" t="inlineStr">
        <is>
          <t>Energy Equipment &amp; Services</t>
        </is>
      </c>
      <c r="G4" s="8" t="n">
        <v>10101020</v>
      </c>
      <c r="H4" s="8" t="inlineStr">
        <is>
          <t>Oil &amp; Gas Equipment &amp; Services</t>
        </is>
      </c>
      <c r="I4" s="9" t="inlineStr">
        <is>
          <t>Oilfield Svcs/Equip.</t>
        </is>
      </c>
      <c r="J4" s="10" t="n">
        <v>1</v>
      </c>
    </row>
    <row r="5">
      <c r="A5" s="8" t="n">
        <v>10</v>
      </c>
      <c r="B5" s="8" t="inlineStr">
        <is>
          <t>Energy</t>
        </is>
      </c>
      <c r="C5" s="8" t="n">
        <v>1010</v>
      </c>
      <c r="D5" s="8" t="inlineStr">
        <is>
          <t>Energy</t>
        </is>
      </c>
      <c r="E5" s="8" t="n">
        <v>101020</v>
      </c>
      <c r="F5" s="8" t="inlineStr">
        <is>
          <t>Oil, Gas &amp; Consumable Fuels</t>
        </is>
      </c>
      <c r="G5" s="8" t="n">
        <v>10102010</v>
      </c>
      <c r="H5" s="8" t="inlineStr">
        <is>
          <t>Integrated Oil &amp; Gas</t>
        </is>
      </c>
      <c r="I5" s="9" t="inlineStr">
        <is>
          <t>Oil/Gas (Integrated)</t>
        </is>
      </c>
      <c r="J5" s="10" t="n">
        <v>1</v>
      </c>
    </row>
    <row r="6">
      <c r="A6" s="8" t="n">
        <v>10</v>
      </c>
      <c r="B6" s="8" t="inlineStr">
        <is>
          <t>Energy</t>
        </is>
      </c>
      <c r="C6" s="8" t="n">
        <v>1010</v>
      </c>
      <c r="D6" s="8" t="inlineStr">
        <is>
          <t>Energy</t>
        </is>
      </c>
      <c r="E6" s="8" t="n">
        <v>101020</v>
      </c>
      <c r="F6" s="8" t="inlineStr">
        <is>
          <t>Oil, Gas &amp; Consumable Fuels</t>
        </is>
      </c>
      <c r="G6" s="8" t="n">
        <v>10102020</v>
      </c>
      <c r="H6" s="8" t="inlineStr">
        <is>
          <t>Oil &amp; Gas Exploration &amp; Production</t>
        </is>
      </c>
      <c r="I6" s="9" t="inlineStr">
        <is>
          <t>Oil/Gas (Production and Exploration)</t>
        </is>
      </c>
      <c r="J6" s="10" t="n">
        <v>1</v>
      </c>
    </row>
    <row r="7">
      <c r="A7" s="8" t="n">
        <v>10</v>
      </c>
      <c r="B7" s="8" t="inlineStr">
        <is>
          <t>Energy</t>
        </is>
      </c>
      <c r="C7" s="8" t="n">
        <v>1010</v>
      </c>
      <c r="D7" s="8" t="inlineStr">
        <is>
          <t>Energy</t>
        </is>
      </c>
      <c r="E7" s="8" t="n">
        <v>101020</v>
      </c>
      <c r="F7" s="8" t="inlineStr">
        <is>
          <t>Oil, Gas &amp; Consumable Fuels</t>
        </is>
      </c>
      <c r="G7" s="8" t="n">
        <v>10102030</v>
      </c>
      <c r="H7" s="8" t="inlineStr">
        <is>
          <t>Oil &amp; Gas Refining &amp; Marketing</t>
        </is>
      </c>
      <c r="I7" s="9" t="inlineStr">
        <is>
          <t>Oil/Gas Distribution</t>
        </is>
      </c>
      <c r="J7" s="10" t="n">
        <v>1</v>
      </c>
    </row>
    <row r="8">
      <c r="A8" s="8" t="n">
        <v>10</v>
      </c>
      <c r="B8" s="8" t="inlineStr">
        <is>
          <t>Energy</t>
        </is>
      </c>
      <c r="C8" s="8" t="n">
        <v>1010</v>
      </c>
      <c r="D8" s="8" t="inlineStr">
        <is>
          <t>Energy</t>
        </is>
      </c>
      <c r="E8" s="8" t="n">
        <v>101020</v>
      </c>
      <c r="F8" s="8" t="inlineStr">
        <is>
          <t>Oil, Gas &amp; Consumable Fuels</t>
        </is>
      </c>
      <c r="G8" s="8" t="n">
        <v>10102040</v>
      </c>
      <c r="H8" s="8" t="inlineStr">
        <is>
          <t>Oil &amp; Gas Storage &amp; Transportation</t>
        </is>
      </c>
      <c r="I8" s="9" t="inlineStr">
        <is>
          <t>Oil/Gas Distribution</t>
        </is>
      </c>
      <c r="J8" s="10" t="n">
        <v>1</v>
      </c>
    </row>
    <row r="9">
      <c r="A9" s="8" t="n">
        <v>10</v>
      </c>
      <c r="B9" s="8" t="inlineStr">
        <is>
          <t>Energy</t>
        </is>
      </c>
      <c r="C9" s="8" t="n">
        <v>1010</v>
      </c>
      <c r="D9" s="8" t="inlineStr">
        <is>
          <t>Energy</t>
        </is>
      </c>
      <c r="E9" s="8" t="n">
        <v>101020</v>
      </c>
      <c r="F9" s="8" t="inlineStr">
        <is>
          <t>Oil, Gas &amp; Consumable Fuels</t>
        </is>
      </c>
      <c r="G9" s="8" t="n">
        <v>10102050</v>
      </c>
      <c r="H9" s="8" t="inlineStr">
        <is>
          <t>Coal &amp; Consumable Fuels</t>
        </is>
      </c>
      <c r="I9" s="9" t="inlineStr">
        <is>
          <t>Coal &amp; Related Energy</t>
        </is>
      </c>
      <c r="J9" s="10" t="n">
        <v>1</v>
      </c>
    </row>
    <row r="10">
      <c r="A10" s="8" t="n">
        <v>15</v>
      </c>
      <c r="B10" s="8" t="inlineStr">
        <is>
          <t>Materials</t>
        </is>
      </c>
      <c r="C10" s="8" t="n">
        <v>1510</v>
      </c>
      <c r="D10" s="8" t="inlineStr">
        <is>
          <t>Materials</t>
        </is>
      </c>
      <c r="E10" s="8" t="n">
        <v>151010</v>
      </c>
      <c r="F10" s="8" t="inlineStr">
        <is>
          <t>Chemicals</t>
        </is>
      </c>
      <c r="G10" s="8" t="n">
        <v>15101010</v>
      </c>
      <c r="H10" s="8" t="inlineStr">
        <is>
          <t>Commodity Chemicals</t>
        </is>
      </c>
      <c r="I10" s="9" t="inlineStr">
        <is>
          <t>Chemical (Basic)</t>
        </is>
      </c>
      <c r="J10" s="10" t="n">
        <v>1</v>
      </c>
    </row>
    <row r="11">
      <c r="A11" s="8" t="n">
        <v>15</v>
      </c>
      <c r="B11" s="8" t="inlineStr">
        <is>
          <t>Materials</t>
        </is>
      </c>
      <c r="C11" s="8" t="n">
        <v>1510</v>
      </c>
      <c r="D11" s="8" t="inlineStr">
        <is>
          <t>Materials</t>
        </is>
      </c>
      <c r="E11" s="8" t="n">
        <v>151010</v>
      </c>
      <c r="F11" s="8" t="inlineStr">
        <is>
          <t>Chemicals</t>
        </is>
      </c>
      <c r="G11" s="8" t="n">
        <v>15101020</v>
      </c>
      <c r="H11" s="8" t="inlineStr">
        <is>
          <t>Diversified Chemicals</t>
        </is>
      </c>
      <c r="I11" s="9" t="inlineStr">
        <is>
          <t>Chemical (Diversified)</t>
        </is>
      </c>
      <c r="J11" s="10" t="n">
        <v>1</v>
      </c>
    </row>
    <row r="12">
      <c r="A12" s="8" t="n">
        <v>15</v>
      </c>
      <c r="B12" s="8" t="inlineStr">
        <is>
          <t>Materials</t>
        </is>
      </c>
      <c r="C12" s="8" t="n">
        <v>1510</v>
      </c>
      <c r="D12" s="8" t="inlineStr">
        <is>
          <t>Materials</t>
        </is>
      </c>
      <c r="E12" s="8" t="n">
        <v>151010</v>
      </c>
      <c r="F12" s="8" t="inlineStr">
        <is>
          <t>Chemicals</t>
        </is>
      </c>
      <c r="G12" s="8" t="n">
        <v>15101030</v>
      </c>
      <c r="H12" s="8" t="inlineStr">
        <is>
          <t>Fertilizers &amp; Agricultural Chemicals</t>
        </is>
      </c>
      <c r="I12" s="9" t="inlineStr">
        <is>
          <t>Chemical (Basic)</t>
        </is>
      </c>
      <c r="J12" s="10" t="n">
        <v>1</v>
      </c>
    </row>
    <row r="13">
      <c r="A13" s="8" t="n">
        <v>15</v>
      </c>
      <c r="B13" s="8" t="inlineStr">
        <is>
          <t>Materials</t>
        </is>
      </c>
      <c r="C13" s="8" t="n">
        <v>1510</v>
      </c>
      <c r="D13" s="8" t="inlineStr">
        <is>
          <t>Materials</t>
        </is>
      </c>
      <c r="E13" s="8" t="n">
        <v>151010</v>
      </c>
      <c r="F13" s="8" t="inlineStr">
        <is>
          <t>Chemicals</t>
        </is>
      </c>
      <c r="G13" s="8" t="n">
        <v>15101040</v>
      </c>
      <c r="H13" s="8" t="inlineStr">
        <is>
          <t>Industrial Gases</t>
        </is>
      </c>
      <c r="I13" s="9" t="inlineStr">
        <is>
          <t>Chemical (Specialty)</t>
        </is>
      </c>
      <c r="J13" s="10" t="n">
        <v>1</v>
      </c>
    </row>
    <row r="14">
      <c r="A14" s="8" t="n">
        <v>15</v>
      </c>
      <c r="B14" s="8" t="inlineStr">
        <is>
          <t>Materials</t>
        </is>
      </c>
      <c r="C14" s="8" t="n">
        <v>1510</v>
      </c>
      <c r="D14" s="8" t="inlineStr">
        <is>
          <t>Materials</t>
        </is>
      </c>
      <c r="E14" s="8" t="n">
        <v>151010</v>
      </c>
      <c r="F14" s="8" t="inlineStr">
        <is>
          <t>Chemicals</t>
        </is>
      </c>
      <c r="G14" s="8" t="n">
        <v>15101050</v>
      </c>
      <c r="H14" s="8" t="inlineStr">
        <is>
          <t>Specialty Chemicals</t>
        </is>
      </c>
      <c r="I14" s="9" t="inlineStr">
        <is>
          <t>Chemical (Specialty)</t>
        </is>
      </c>
      <c r="J14" s="10" t="n">
        <v>1</v>
      </c>
    </row>
    <row r="15">
      <c r="A15" s="8" t="n">
        <v>15</v>
      </c>
      <c r="B15" s="8" t="inlineStr">
        <is>
          <t>Materials</t>
        </is>
      </c>
      <c r="C15" s="8" t="n">
        <v>1510</v>
      </c>
      <c r="D15" s="8" t="inlineStr">
        <is>
          <t>Materials</t>
        </is>
      </c>
      <c r="E15" s="8" t="n">
        <v>151020</v>
      </c>
      <c r="F15" s="8" t="inlineStr">
        <is>
          <t>Construction Materials</t>
        </is>
      </c>
      <c r="G15" s="8" t="n">
        <v>15102010</v>
      </c>
      <c r="H15" s="8" t="inlineStr">
        <is>
          <t>Construction Materials</t>
        </is>
      </c>
      <c r="I15" s="9" t="inlineStr">
        <is>
          <t>Construction Supplies</t>
        </is>
      </c>
      <c r="J15" s="10" t="n">
        <v>1</v>
      </c>
    </row>
    <row r="16">
      <c r="A16" s="8" t="n">
        <v>15</v>
      </c>
      <c r="B16" s="8" t="inlineStr">
        <is>
          <t>Materials</t>
        </is>
      </c>
      <c r="C16" s="8" t="n">
        <v>1510</v>
      </c>
      <c r="D16" s="8" t="inlineStr">
        <is>
          <t>Materials</t>
        </is>
      </c>
      <c r="E16" s="8" t="n">
        <v>151030</v>
      </c>
      <c r="F16" s="8" t="inlineStr">
        <is>
          <t>Containers &amp; Packaging</t>
        </is>
      </c>
      <c r="G16" s="8" t="n">
        <v>15103010</v>
      </c>
      <c r="H16" s="8" t="inlineStr">
        <is>
          <t>Metal, Glass &amp; Plastic Containers</t>
        </is>
      </c>
      <c r="I16" s="9" t="inlineStr">
        <is>
          <t>Packaging &amp; Container</t>
        </is>
      </c>
      <c r="J16" s="10" t="n">
        <v>1</v>
      </c>
    </row>
    <row r="17">
      <c r="A17" s="8" t="n">
        <v>15</v>
      </c>
      <c r="B17" s="8" t="inlineStr">
        <is>
          <t>Materials</t>
        </is>
      </c>
      <c r="C17" s="8" t="n">
        <v>1510</v>
      </c>
      <c r="D17" s="8" t="inlineStr">
        <is>
          <t>Materials</t>
        </is>
      </c>
      <c r="E17" s="8" t="n">
        <v>151030</v>
      </c>
      <c r="F17" s="8" t="inlineStr">
        <is>
          <t>Containers &amp; Packaging</t>
        </is>
      </c>
      <c r="G17" s="8" t="n">
        <v>15103020</v>
      </c>
      <c r="H17" s="8" t="inlineStr">
        <is>
          <t>Paper &amp; Plastic Packaging Products &amp; Materials</t>
        </is>
      </c>
      <c r="I17" s="9" t="inlineStr">
        <is>
          <t>Packaging &amp; Container</t>
        </is>
      </c>
      <c r="J17" s="10" t="n">
        <v>1</v>
      </c>
    </row>
    <row r="18">
      <c r="A18" s="8" t="n">
        <v>15</v>
      </c>
      <c r="B18" s="8" t="inlineStr">
        <is>
          <t>Materials</t>
        </is>
      </c>
      <c r="C18" s="8" t="n">
        <v>1510</v>
      </c>
      <c r="D18" s="8" t="inlineStr">
        <is>
          <t>Materials</t>
        </is>
      </c>
      <c r="E18" s="8" t="n">
        <v>151040</v>
      </c>
      <c r="F18" s="8" t="inlineStr">
        <is>
          <t>Metals &amp; Mining</t>
        </is>
      </c>
      <c r="G18" s="8" t="n">
        <v>15104010</v>
      </c>
      <c r="H18" s="8" t="inlineStr">
        <is>
          <t>Aluminum</t>
        </is>
      </c>
      <c r="I18" s="9" t="inlineStr">
        <is>
          <t>Metals &amp; Mining</t>
        </is>
      </c>
      <c r="J18" s="10" t="n">
        <v>1</v>
      </c>
    </row>
    <row r="19">
      <c r="A19" s="8" t="n">
        <v>15</v>
      </c>
      <c r="B19" s="8" t="inlineStr">
        <is>
          <t>Materials</t>
        </is>
      </c>
      <c r="C19" s="8" t="n">
        <v>1510</v>
      </c>
      <c r="D19" s="8" t="inlineStr">
        <is>
          <t>Materials</t>
        </is>
      </c>
      <c r="E19" s="8" t="n">
        <v>151040</v>
      </c>
      <c r="F19" s="8" t="inlineStr">
        <is>
          <t>Metals &amp; Mining</t>
        </is>
      </c>
      <c r="G19" s="8" t="n">
        <v>15104020</v>
      </c>
      <c r="H19" s="8" t="inlineStr">
        <is>
          <t>Diversified Metals &amp; Mining</t>
        </is>
      </c>
      <c r="I19" s="9" t="inlineStr">
        <is>
          <t>Metals &amp; Mining</t>
        </is>
      </c>
      <c r="J19" s="10" t="n">
        <v>1</v>
      </c>
    </row>
    <row r="20">
      <c r="A20" s="8" t="n">
        <v>15</v>
      </c>
      <c r="B20" s="8" t="inlineStr">
        <is>
          <t>Materials</t>
        </is>
      </c>
      <c r="C20" s="8" t="n">
        <v>1510</v>
      </c>
      <c r="D20" s="8" t="inlineStr">
        <is>
          <t>Materials</t>
        </is>
      </c>
      <c r="E20" s="8" t="n">
        <v>151040</v>
      </c>
      <c r="F20" s="8" t="inlineStr">
        <is>
          <t>Metals &amp; Mining</t>
        </is>
      </c>
      <c r="G20" s="8" t="n">
        <v>15104025</v>
      </c>
      <c r="H20" s="8" t="inlineStr">
        <is>
          <t>Copper</t>
        </is>
      </c>
      <c r="I20" s="9" t="inlineStr">
        <is>
          <t>Metals &amp; Mining</t>
        </is>
      </c>
      <c r="J20" s="10" t="n">
        <v>1</v>
      </c>
    </row>
    <row r="21">
      <c r="A21" s="8" t="n">
        <v>15</v>
      </c>
      <c r="B21" s="8" t="inlineStr">
        <is>
          <t>Materials</t>
        </is>
      </c>
      <c r="C21" s="8" t="n">
        <v>1510</v>
      </c>
      <c r="D21" s="8" t="inlineStr">
        <is>
          <t>Materials</t>
        </is>
      </c>
      <c r="E21" s="8" t="n">
        <v>151040</v>
      </c>
      <c r="F21" s="8" t="inlineStr">
        <is>
          <t>Metals &amp; Mining</t>
        </is>
      </c>
      <c r="G21" s="8" t="n">
        <v>15104030</v>
      </c>
      <c r="H21" s="8" t="inlineStr">
        <is>
          <t>Gold</t>
        </is>
      </c>
      <c r="I21" s="9" t="inlineStr">
        <is>
          <t>Precious Metals</t>
        </is>
      </c>
      <c r="J21" s="10" t="n">
        <v>1</v>
      </c>
    </row>
    <row r="22">
      <c r="A22" s="8" t="n">
        <v>15</v>
      </c>
      <c r="B22" s="8" t="inlineStr">
        <is>
          <t>Materials</t>
        </is>
      </c>
      <c r="C22" s="8" t="n">
        <v>1510</v>
      </c>
      <c r="D22" s="8" t="inlineStr">
        <is>
          <t>Materials</t>
        </is>
      </c>
      <c r="E22" s="8" t="n">
        <v>151040</v>
      </c>
      <c r="F22" s="8" t="inlineStr">
        <is>
          <t>Metals &amp; Mining</t>
        </is>
      </c>
      <c r="G22" s="8" t="n">
        <v>15104040</v>
      </c>
      <c r="H22" s="8" t="inlineStr">
        <is>
          <t>Precious Metals &amp; Minerals</t>
        </is>
      </c>
      <c r="I22" s="9" t="inlineStr">
        <is>
          <t>Precious Metals</t>
        </is>
      </c>
      <c r="J22" s="10" t="n">
        <v>1</v>
      </c>
    </row>
    <row r="23">
      <c r="A23" s="8" t="n">
        <v>15</v>
      </c>
      <c r="B23" s="8" t="inlineStr">
        <is>
          <t>Materials</t>
        </is>
      </c>
      <c r="C23" s="8" t="n">
        <v>1510</v>
      </c>
      <c r="D23" s="8" t="inlineStr">
        <is>
          <t>Materials</t>
        </is>
      </c>
      <c r="E23" s="8" t="n">
        <v>151040</v>
      </c>
      <c r="F23" s="8" t="inlineStr">
        <is>
          <t>Metals &amp; Mining</t>
        </is>
      </c>
      <c r="G23" s="8" t="n">
        <v>15104045</v>
      </c>
      <c r="H23" s="8" t="inlineStr">
        <is>
          <t>Silver</t>
        </is>
      </c>
      <c r="I23" s="9" t="inlineStr">
        <is>
          <t>Precious Metals</t>
        </is>
      </c>
      <c r="J23" s="10" t="n">
        <v>1</v>
      </c>
    </row>
    <row r="24">
      <c r="A24" s="8" t="n">
        <v>15</v>
      </c>
      <c r="B24" s="8" t="inlineStr">
        <is>
          <t>Materials</t>
        </is>
      </c>
      <c r="C24" s="8" t="n">
        <v>1510</v>
      </c>
      <c r="D24" s="8" t="inlineStr">
        <is>
          <t>Materials</t>
        </is>
      </c>
      <c r="E24" s="8" t="n">
        <v>151040</v>
      </c>
      <c r="F24" s="8" t="inlineStr">
        <is>
          <t>Metals &amp; Mining</t>
        </is>
      </c>
      <c r="G24" s="8" t="n">
        <v>15104050</v>
      </c>
      <c r="H24" s="8" t="inlineStr">
        <is>
          <t>Steel</t>
        </is>
      </c>
      <c r="I24" s="9" t="inlineStr">
        <is>
          <t>Steel</t>
        </is>
      </c>
      <c r="J24" s="10" t="n">
        <v>1</v>
      </c>
    </row>
    <row r="25">
      <c r="A25" s="8" t="n">
        <v>15</v>
      </c>
      <c r="B25" s="8" t="inlineStr">
        <is>
          <t>Materials</t>
        </is>
      </c>
      <c r="C25" s="8" t="n">
        <v>1510</v>
      </c>
      <c r="D25" s="8" t="inlineStr">
        <is>
          <t>Materials</t>
        </is>
      </c>
      <c r="E25" s="8" t="n">
        <v>151050</v>
      </c>
      <c r="F25" s="8" t="inlineStr">
        <is>
          <t>Paper &amp; Forest Products</t>
        </is>
      </c>
      <c r="G25" s="8" t="n">
        <v>15105010</v>
      </c>
      <c r="H25" s="8" t="inlineStr">
        <is>
          <t>Forest Products</t>
        </is>
      </c>
      <c r="I25" s="9" t="inlineStr">
        <is>
          <t>Paper/Forest Products</t>
        </is>
      </c>
      <c r="J25" s="10" t="n">
        <v>1</v>
      </c>
    </row>
    <row r="26">
      <c r="A26" s="8" t="n">
        <v>15</v>
      </c>
      <c r="B26" s="8" t="inlineStr">
        <is>
          <t>Materials</t>
        </is>
      </c>
      <c r="C26" s="8" t="n">
        <v>1510</v>
      </c>
      <c r="D26" s="8" t="inlineStr">
        <is>
          <t>Materials</t>
        </is>
      </c>
      <c r="E26" s="8" t="n">
        <v>151050</v>
      </c>
      <c r="F26" s="8" t="inlineStr">
        <is>
          <t>Paper &amp; Forest Products</t>
        </is>
      </c>
      <c r="G26" s="8" t="n">
        <v>15105020</v>
      </c>
      <c r="H26" s="8" t="inlineStr">
        <is>
          <t>Paper Products</t>
        </is>
      </c>
      <c r="I26" s="9" t="inlineStr">
        <is>
          <t>Paper/Forest Products</t>
        </is>
      </c>
      <c r="J26" s="10" t="n">
        <v>1</v>
      </c>
    </row>
    <row r="27">
      <c r="A27" s="8" t="n">
        <v>20</v>
      </c>
      <c r="B27" s="8" t="inlineStr">
        <is>
          <t>Industrials</t>
        </is>
      </c>
      <c r="C27" s="8" t="n">
        <v>2010</v>
      </c>
      <c r="D27" s="8" t="inlineStr">
        <is>
          <t>Capital Goods</t>
        </is>
      </c>
      <c r="E27" s="8" t="n">
        <v>201010</v>
      </c>
      <c r="F27" s="8" t="inlineStr">
        <is>
          <t>Aerospace &amp; Defense</t>
        </is>
      </c>
      <c r="G27" s="8" t="n">
        <v>20101010</v>
      </c>
      <c r="H27" s="8" t="inlineStr">
        <is>
          <t>Aerospace &amp; Defense</t>
        </is>
      </c>
      <c r="I27" s="9" t="inlineStr">
        <is>
          <t>Aerospace/Defense</t>
        </is>
      </c>
      <c r="J27" s="10" t="n">
        <v>1</v>
      </c>
    </row>
    <row r="28">
      <c r="A28" s="8" t="n">
        <v>20</v>
      </c>
      <c r="B28" s="8" t="inlineStr">
        <is>
          <t>Industrials</t>
        </is>
      </c>
      <c r="C28" s="8" t="n">
        <v>2010</v>
      </c>
      <c r="D28" s="8" t="inlineStr">
        <is>
          <t>Capital Goods</t>
        </is>
      </c>
      <c r="E28" s="8" t="n">
        <v>201020</v>
      </c>
      <c r="F28" s="8" t="inlineStr">
        <is>
          <t>Building Products</t>
        </is>
      </c>
      <c r="G28" s="8" t="n">
        <v>20102010</v>
      </c>
      <c r="H28" s="8" t="inlineStr">
        <is>
          <t>Building Products</t>
        </is>
      </c>
      <c r="I28" s="9" t="inlineStr">
        <is>
          <t>Building Materials</t>
        </is>
      </c>
      <c r="J28" s="10" t="n">
        <v>1</v>
      </c>
    </row>
    <row r="29">
      <c r="A29" s="8" t="n">
        <v>20</v>
      </c>
      <c r="B29" s="8" t="inlineStr">
        <is>
          <t>Industrials</t>
        </is>
      </c>
      <c r="C29" s="8" t="n">
        <v>2010</v>
      </c>
      <c r="D29" s="8" t="inlineStr">
        <is>
          <t>Capital Goods</t>
        </is>
      </c>
      <c r="E29" s="8" t="n">
        <v>201030</v>
      </c>
      <c r="F29" s="8" t="inlineStr">
        <is>
          <t>Construction &amp; Engineering</t>
        </is>
      </c>
      <c r="G29" s="8" t="n">
        <v>20103010</v>
      </c>
      <c r="H29" s="8" t="inlineStr">
        <is>
          <t>Construction &amp; Engineering</t>
        </is>
      </c>
      <c r="I29" s="9" t="inlineStr">
        <is>
          <t>Engineering/Construction</t>
        </is>
      </c>
      <c r="J29" s="10" t="n">
        <v>1</v>
      </c>
    </row>
    <row r="30">
      <c r="A30" s="8" t="n">
        <v>20</v>
      </c>
      <c r="B30" s="8" t="inlineStr">
        <is>
          <t>Industrials</t>
        </is>
      </c>
      <c r="C30" s="8" t="n">
        <v>2010</v>
      </c>
      <c r="D30" s="8" t="inlineStr">
        <is>
          <t>Capital Goods</t>
        </is>
      </c>
      <c r="E30" s="8" t="n">
        <v>201040</v>
      </c>
      <c r="F30" s="8" t="inlineStr">
        <is>
          <t>Electrical Equipment</t>
        </is>
      </c>
      <c r="G30" s="8" t="n">
        <v>20104010</v>
      </c>
      <c r="H30" s="8" t="inlineStr">
        <is>
          <t>Electrical Components &amp; Equipment</t>
        </is>
      </c>
      <c r="I30" s="9" t="inlineStr">
        <is>
          <t>Electrical Equipment</t>
        </is>
      </c>
      <c r="J30" s="10" t="n">
        <v>1</v>
      </c>
    </row>
    <row r="31">
      <c r="A31" s="8" t="n">
        <v>20</v>
      </c>
      <c r="B31" s="8" t="inlineStr">
        <is>
          <t>Industrials</t>
        </is>
      </c>
      <c r="C31" s="8" t="n">
        <v>2010</v>
      </c>
      <c r="D31" s="8" t="inlineStr">
        <is>
          <t>Capital Goods</t>
        </is>
      </c>
      <c r="E31" s="8" t="n">
        <v>201040</v>
      </c>
      <c r="F31" s="8" t="inlineStr">
        <is>
          <t>Electrical Equipment</t>
        </is>
      </c>
      <c r="G31" s="8" t="n">
        <v>20104020</v>
      </c>
      <c r="H31" s="8" t="inlineStr">
        <is>
          <t>Heavy Electrical Equipment</t>
        </is>
      </c>
      <c r="I31" s="9" t="inlineStr">
        <is>
          <t>Electrical Equipment</t>
        </is>
      </c>
      <c r="J31" s="10" t="n">
        <v>1</v>
      </c>
    </row>
    <row r="32">
      <c r="A32" s="8" t="n">
        <v>20</v>
      </c>
      <c r="B32" s="8" t="inlineStr">
        <is>
          <t>Industrials</t>
        </is>
      </c>
      <c r="C32" s="8" t="n">
        <v>2010</v>
      </c>
      <c r="D32" s="8" t="inlineStr">
        <is>
          <t>Capital Goods</t>
        </is>
      </c>
      <c r="E32" s="8" t="n">
        <v>201050</v>
      </c>
      <c r="F32" s="8" t="inlineStr">
        <is>
          <t>Industrial Conglomerates</t>
        </is>
      </c>
      <c r="G32" s="8" t="n">
        <v>20105010</v>
      </c>
      <c r="H32" s="8" t="inlineStr">
        <is>
          <t>Industrial Conglomerates</t>
        </is>
      </c>
      <c r="I32" s="9" t="inlineStr">
        <is>
          <t>Diversified</t>
        </is>
      </c>
      <c r="J32" s="10" t="n">
        <v>1</v>
      </c>
    </row>
    <row r="33">
      <c r="A33" s="8" t="n">
        <v>20</v>
      </c>
      <c r="B33" s="8" t="inlineStr">
        <is>
          <t>Industrials</t>
        </is>
      </c>
      <c r="C33" s="8" t="n">
        <v>2010</v>
      </c>
      <c r="D33" s="8" t="inlineStr">
        <is>
          <t>Capital Goods</t>
        </is>
      </c>
      <c r="E33" s="8" t="n">
        <v>201060</v>
      </c>
      <c r="F33" s="8" t="inlineStr">
        <is>
          <t>Machinery</t>
        </is>
      </c>
      <c r="G33" s="8" t="n">
        <v>20106010</v>
      </c>
      <c r="H33" s="8" t="inlineStr">
        <is>
          <t>Construction Machinery &amp; Heavy Transportation Equipment</t>
        </is>
      </c>
      <c r="I33" s="9" t="inlineStr">
        <is>
          <t>Machinery</t>
        </is>
      </c>
      <c r="J33" s="10" t="n">
        <v>1</v>
      </c>
    </row>
    <row r="34">
      <c r="A34" s="8" t="n">
        <v>20</v>
      </c>
      <c r="B34" s="8" t="inlineStr">
        <is>
          <t>Industrials</t>
        </is>
      </c>
      <c r="C34" s="8" t="n">
        <v>2010</v>
      </c>
      <c r="D34" s="8" t="inlineStr">
        <is>
          <t>Capital Goods</t>
        </is>
      </c>
      <c r="E34" s="8" t="n">
        <v>201060</v>
      </c>
      <c r="F34" s="8" t="inlineStr">
        <is>
          <t>Machinery</t>
        </is>
      </c>
      <c r="G34" s="8" t="n">
        <v>20106015</v>
      </c>
      <c r="H34" s="8" t="inlineStr">
        <is>
          <t>Agricultural &amp; Farm Machinery</t>
        </is>
      </c>
      <c r="I34" s="9" t="inlineStr">
        <is>
          <t>Machinery</t>
        </is>
      </c>
      <c r="J34" s="10" t="n">
        <v>1</v>
      </c>
    </row>
    <row r="35">
      <c r="A35" s="8" t="n">
        <v>20</v>
      </c>
      <c r="B35" s="8" t="inlineStr">
        <is>
          <t>Industrials</t>
        </is>
      </c>
      <c r="C35" s="8" t="n">
        <v>2010</v>
      </c>
      <c r="D35" s="8" t="inlineStr">
        <is>
          <t>Capital Goods</t>
        </is>
      </c>
      <c r="E35" s="8" t="n">
        <v>201060</v>
      </c>
      <c r="F35" s="8" t="inlineStr">
        <is>
          <t>Machinery</t>
        </is>
      </c>
      <c r="G35" s="8" t="n">
        <v>20106020</v>
      </c>
      <c r="H35" s="8" t="inlineStr">
        <is>
          <t>Industrial Machinery &amp; Supplies &amp; Components</t>
        </is>
      </c>
      <c r="I35" s="9" t="inlineStr">
        <is>
          <t>Machinery</t>
        </is>
      </c>
      <c r="J35" s="10" t="n">
        <v>1</v>
      </c>
    </row>
    <row r="36">
      <c r="A36" s="8" t="n">
        <v>20</v>
      </c>
      <c r="B36" s="8" t="inlineStr">
        <is>
          <t>Industrials</t>
        </is>
      </c>
      <c r="C36" s="8" t="n">
        <v>2010</v>
      </c>
      <c r="D36" s="8" t="inlineStr">
        <is>
          <t>Capital Goods</t>
        </is>
      </c>
      <c r="E36" s="8" t="n">
        <v>201070</v>
      </c>
      <c r="F36" s="8" t="inlineStr">
        <is>
          <t>Trading Companies &amp; Distributors</t>
        </is>
      </c>
      <c r="G36" s="8" t="n">
        <v>20107010</v>
      </c>
      <c r="H36" s="8" t="inlineStr">
        <is>
          <t>Trading Companies &amp; Distributors</t>
        </is>
      </c>
      <c r="I36" s="9" t="inlineStr">
        <is>
          <t>Retail (Distributors)</t>
        </is>
      </c>
      <c r="J36" s="10" t="n">
        <v>1</v>
      </c>
    </row>
    <row r="37">
      <c r="A37" s="8" t="n">
        <v>20</v>
      </c>
      <c r="B37" s="8" t="inlineStr">
        <is>
          <t>Industrials</t>
        </is>
      </c>
      <c r="C37" s="8" t="n">
        <v>2020</v>
      </c>
      <c r="D37" s="8" t="inlineStr">
        <is>
          <t>Commercial  &amp; Professional Services</t>
        </is>
      </c>
      <c r="E37" s="8" t="n">
        <v>202010</v>
      </c>
      <c r="F37" s="8" t="inlineStr">
        <is>
          <t>Commercial Services &amp; Supplies</t>
        </is>
      </c>
      <c r="G37" s="8" t="n">
        <v>20201010</v>
      </c>
      <c r="H37" s="8" t="inlineStr">
        <is>
          <t>Commercial Printing</t>
        </is>
      </c>
      <c r="I37" s="9" t="inlineStr">
        <is>
          <t>Business &amp; Consumer Services</t>
        </is>
      </c>
      <c r="J37" s="10" t="n">
        <v>1</v>
      </c>
    </row>
    <row r="38">
      <c r="A38" s="8" t="n">
        <v>20</v>
      </c>
      <c r="B38" s="8" t="inlineStr">
        <is>
          <t>Industrials</t>
        </is>
      </c>
      <c r="C38" s="8" t="n">
        <v>2020</v>
      </c>
      <c r="D38" s="8" t="inlineStr">
        <is>
          <t>Commercial  &amp; Professional Services</t>
        </is>
      </c>
      <c r="E38" s="8" t="n">
        <v>202010</v>
      </c>
      <c r="F38" s="8" t="inlineStr">
        <is>
          <t>Commercial Services &amp; Supplies</t>
        </is>
      </c>
      <c r="G38" s="8" t="n">
        <v>20201050</v>
      </c>
      <c r="H38" s="8" t="inlineStr">
        <is>
          <t>Environmental &amp; Facilities Services</t>
        </is>
      </c>
      <c r="I38" s="9" t="inlineStr">
        <is>
          <t>Environmental &amp; Waste Services</t>
        </is>
      </c>
      <c r="J38" s="10" t="n">
        <v>1</v>
      </c>
    </row>
    <row r="39">
      <c r="A39" s="8" t="n">
        <v>20</v>
      </c>
      <c r="B39" s="8" t="inlineStr">
        <is>
          <t>Industrials</t>
        </is>
      </c>
      <c r="C39" s="8" t="n">
        <v>2020</v>
      </c>
      <c r="D39" s="8" t="inlineStr">
        <is>
          <t>Commercial  &amp; Professional Services</t>
        </is>
      </c>
      <c r="E39" s="8" t="n">
        <v>202010</v>
      </c>
      <c r="F39" s="8" t="inlineStr">
        <is>
          <t>Commercial Services &amp; Supplies</t>
        </is>
      </c>
      <c r="G39" s="8" t="n">
        <v>20201060</v>
      </c>
      <c r="H39" s="8" t="inlineStr">
        <is>
          <t>Office Services &amp; Supplies</t>
        </is>
      </c>
      <c r="I39" s="9" t="inlineStr">
        <is>
          <t>Office Equipment &amp; Services</t>
        </is>
      </c>
      <c r="J39" s="10" t="n">
        <v>1</v>
      </c>
    </row>
    <row r="40">
      <c r="A40" s="8" t="n">
        <v>20</v>
      </c>
      <c r="B40" s="8" t="inlineStr">
        <is>
          <t>Industrials</t>
        </is>
      </c>
      <c r="C40" s="8" t="n">
        <v>2020</v>
      </c>
      <c r="D40" s="8" t="inlineStr">
        <is>
          <t>Commercial  &amp; Professional Services</t>
        </is>
      </c>
      <c r="E40" s="8" t="n">
        <v>202010</v>
      </c>
      <c r="F40" s="8" t="inlineStr">
        <is>
          <t>Commercial Services &amp; Supplies</t>
        </is>
      </c>
      <c r="G40" s="8" t="n">
        <v>20201070</v>
      </c>
      <c r="H40" s="8" t="inlineStr">
        <is>
          <t>Diversified Support Services</t>
        </is>
      </c>
      <c r="I40" s="9" t="inlineStr">
        <is>
          <t>Business &amp; Consumer Services</t>
        </is>
      </c>
      <c r="J40" s="10" t="n">
        <v>1</v>
      </c>
    </row>
    <row r="41">
      <c r="A41" s="8" t="n">
        <v>20</v>
      </c>
      <c r="B41" s="8" t="inlineStr">
        <is>
          <t>Industrials</t>
        </is>
      </c>
      <c r="C41" s="8" t="n">
        <v>2020</v>
      </c>
      <c r="D41" s="8" t="inlineStr">
        <is>
          <t>Commercial  &amp; Professional Services</t>
        </is>
      </c>
      <c r="E41" s="8" t="n">
        <v>202010</v>
      </c>
      <c r="F41" s="8" t="inlineStr">
        <is>
          <t>Commercial Services &amp; Supplies</t>
        </is>
      </c>
      <c r="G41" s="8" t="n">
        <v>20201080</v>
      </c>
      <c r="H41" s="8" t="inlineStr">
        <is>
          <t>Security &amp; Alarm Services</t>
        </is>
      </c>
      <c r="I41" s="9" t="inlineStr">
        <is>
          <t>Business &amp; Consumer Services</t>
        </is>
      </c>
      <c r="J41" s="10" t="n">
        <v>1</v>
      </c>
    </row>
    <row r="42">
      <c r="A42" s="8" t="n">
        <v>20</v>
      </c>
      <c r="B42" s="8" t="inlineStr">
        <is>
          <t>Industrials</t>
        </is>
      </c>
      <c r="C42" s="8" t="n">
        <v>2020</v>
      </c>
      <c r="D42" s="8" t="inlineStr">
        <is>
          <t>Commercial  &amp; Professional Services</t>
        </is>
      </c>
      <c r="E42" s="8" t="n">
        <v>202020</v>
      </c>
      <c r="F42" s="8" t="inlineStr">
        <is>
          <t>Professional Services</t>
        </is>
      </c>
      <c r="G42" s="8" t="n">
        <v>20202010</v>
      </c>
      <c r="H42" s="8" t="inlineStr">
        <is>
          <t>Human Resource &amp; Employment Services</t>
        </is>
      </c>
      <c r="I42" s="9" t="inlineStr">
        <is>
          <t>Business &amp; Consumer Services</t>
        </is>
      </c>
      <c r="J42" s="10" t="n">
        <v>1</v>
      </c>
    </row>
    <row r="43">
      <c r="A43" s="8" t="n">
        <v>20</v>
      </c>
      <c r="B43" s="8" t="inlineStr">
        <is>
          <t>Industrials</t>
        </is>
      </c>
      <c r="C43" s="8" t="n">
        <v>2020</v>
      </c>
      <c r="D43" s="8" t="inlineStr">
        <is>
          <t>Commercial  &amp; Professional Services</t>
        </is>
      </c>
      <c r="E43" s="8" t="n">
        <v>202020</v>
      </c>
      <c r="F43" s="8" t="inlineStr">
        <is>
          <t>Professional Services</t>
        </is>
      </c>
      <c r="G43" s="8" t="n">
        <v>20202020</v>
      </c>
      <c r="H43" s="8" t="inlineStr">
        <is>
          <t>Research &amp; Consulting Services</t>
        </is>
      </c>
      <c r="I43" s="9" t="inlineStr">
        <is>
          <t>Business &amp; Consumer Services</t>
        </is>
      </c>
      <c r="J43" s="10" t="n">
        <v>1</v>
      </c>
    </row>
    <row r="44">
      <c r="A44" s="8" t="n">
        <v>20</v>
      </c>
      <c r="B44" s="8" t="inlineStr">
        <is>
          <t>Industrials</t>
        </is>
      </c>
      <c r="C44" s="8" t="n">
        <v>2020</v>
      </c>
      <c r="D44" s="8" t="inlineStr">
        <is>
          <t>Commercial  &amp; Professional Services</t>
        </is>
      </c>
      <c r="E44" s="8" t="n">
        <v>202020</v>
      </c>
      <c r="F44" s="8" t="inlineStr">
        <is>
          <t>Professional Services</t>
        </is>
      </c>
      <c r="G44" s="8" t="n">
        <v>20202030</v>
      </c>
      <c r="H44" s="8" t="inlineStr">
        <is>
          <t>Data Processing &amp; Outsourced Services</t>
        </is>
      </c>
      <c r="I44" s="9" t="inlineStr">
        <is>
          <t>Computer Services</t>
        </is>
      </c>
      <c r="J44" s="10" t="n">
        <v>1</v>
      </c>
    </row>
    <row r="45">
      <c r="A45" s="8" t="n">
        <v>20</v>
      </c>
      <c r="B45" s="8" t="inlineStr">
        <is>
          <t>Industrials</t>
        </is>
      </c>
      <c r="C45" s="8" t="n">
        <v>2030</v>
      </c>
      <c r="D45" s="8" t="inlineStr">
        <is>
          <t>Transportation</t>
        </is>
      </c>
      <c r="E45" s="8" t="n">
        <v>203010</v>
      </c>
      <c r="F45" s="8" t="inlineStr">
        <is>
          <t>Air Freight &amp; Logistics</t>
        </is>
      </c>
      <c r="G45" s="8" t="n">
        <v>20301010</v>
      </c>
      <c r="H45" s="8" t="inlineStr">
        <is>
          <t>Air Freight &amp; Logistics</t>
        </is>
      </c>
      <c r="I45" s="9" t="inlineStr">
        <is>
          <t>Transportation</t>
        </is>
      </c>
      <c r="J45" s="10" t="n">
        <v>1</v>
      </c>
    </row>
    <row r="46">
      <c r="A46" s="8" t="n">
        <v>20</v>
      </c>
      <c r="B46" s="8" t="inlineStr">
        <is>
          <t>Industrials</t>
        </is>
      </c>
      <c r="C46" s="8" t="n">
        <v>2030</v>
      </c>
      <c r="D46" s="8" t="inlineStr">
        <is>
          <t>Transportation</t>
        </is>
      </c>
      <c r="E46" s="8" t="n">
        <v>203020</v>
      </c>
      <c r="F46" s="8" t="inlineStr">
        <is>
          <t>Passenger Airlines</t>
        </is>
      </c>
      <c r="G46" s="8" t="n">
        <v>20302010</v>
      </c>
      <c r="H46" s="8" t="inlineStr">
        <is>
          <t>Passenger Airlines</t>
        </is>
      </c>
      <c r="I46" s="9" t="inlineStr">
        <is>
          <t>Air Transport</t>
        </is>
      </c>
      <c r="J46" s="10" t="n">
        <v>1</v>
      </c>
    </row>
    <row r="47">
      <c r="A47" s="8" t="n">
        <v>20</v>
      </c>
      <c r="B47" s="8" t="inlineStr">
        <is>
          <t>Industrials</t>
        </is>
      </c>
      <c r="C47" s="8" t="n">
        <v>2030</v>
      </c>
      <c r="D47" s="8" t="inlineStr">
        <is>
          <t>Transportation</t>
        </is>
      </c>
      <c r="E47" s="8" t="n">
        <v>203030</v>
      </c>
      <c r="F47" s="8" t="inlineStr">
        <is>
          <t>Marine Transportation</t>
        </is>
      </c>
      <c r="G47" s="8" t="n">
        <v>20303010</v>
      </c>
      <c r="H47" s="8" t="inlineStr">
        <is>
          <t>Marine Transportation</t>
        </is>
      </c>
      <c r="I47" s="9" t="inlineStr">
        <is>
          <t>Shipbuilding &amp; Marine</t>
        </is>
      </c>
      <c r="J47" s="10" t="n">
        <v>1</v>
      </c>
    </row>
    <row r="48">
      <c r="A48" s="8" t="n">
        <v>20</v>
      </c>
      <c r="B48" s="8" t="inlineStr">
        <is>
          <t>Industrials</t>
        </is>
      </c>
      <c r="C48" s="8" t="n">
        <v>2030</v>
      </c>
      <c r="D48" s="8" t="inlineStr">
        <is>
          <t>Transportation</t>
        </is>
      </c>
      <c r="E48" s="8" t="n">
        <v>203040</v>
      </c>
      <c r="F48" s="8" t="inlineStr">
        <is>
          <t>Ground Transportation</t>
        </is>
      </c>
      <c r="G48" s="8" t="n">
        <v>20304010</v>
      </c>
      <c r="H48" s="8" t="inlineStr">
        <is>
          <t>Rail Transportation</t>
        </is>
      </c>
      <c r="I48" s="9" t="inlineStr">
        <is>
          <t>Transportation (Railroads)</t>
        </is>
      </c>
      <c r="J48" s="10" t="n">
        <v>1</v>
      </c>
    </row>
    <row r="49">
      <c r="A49" s="8" t="n">
        <v>20</v>
      </c>
      <c r="B49" s="8" t="inlineStr">
        <is>
          <t>Industrials</t>
        </is>
      </c>
      <c r="C49" s="8" t="n">
        <v>2030</v>
      </c>
      <c r="D49" s="8" t="inlineStr">
        <is>
          <t>Transportation</t>
        </is>
      </c>
      <c r="E49" s="8" t="n">
        <v>203040</v>
      </c>
      <c r="F49" s="8" t="inlineStr">
        <is>
          <t>Ground Transportation</t>
        </is>
      </c>
      <c r="G49" s="8" t="n">
        <v>20304030</v>
      </c>
      <c r="H49" s="8" t="inlineStr">
        <is>
          <t>Cargo Ground Transportation</t>
        </is>
      </c>
      <c r="I49" s="9" t="inlineStr">
        <is>
          <t>Trucking</t>
        </is>
      </c>
      <c r="J49" s="10" t="n">
        <v>1</v>
      </c>
    </row>
    <row r="50">
      <c r="A50" s="8" t="n">
        <v>20</v>
      </c>
      <c r="B50" s="8" t="inlineStr">
        <is>
          <t>Industrials</t>
        </is>
      </c>
      <c r="C50" s="8" t="n">
        <v>2030</v>
      </c>
      <c r="D50" s="8" t="inlineStr">
        <is>
          <t>Transportation</t>
        </is>
      </c>
      <c r="E50" s="8" t="n">
        <v>203040</v>
      </c>
      <c r="F50" s="8" t="inlineStr">
        <is>
          <t>Ground Transportation</t>
        </is>
      </c>
      <c r="G50" s="8" t="n">
        <v>20304040</v>
      </c>
      <c r="H50" s="8" t="inlineStr">
        <is>
          <t>Passenger Ground Transportation</t>
        </is>
      </c>
      <c r="I50" s="9" t="inlineStr">
        <is>
          <t>Transportation</t>
        </is>
      </c>
      <c r="J50" s="10" t="n">
        <v>1</v>
      </c>
    </row>
    <row r="51">
      <c r="A51" s="8" t="n">
        <v>20</v>
      </c>
      <c r="B51" s="8" t="inlineStr">
        <is>
          <t>Industrials</t>
        </is>
      </c>
      <c r="C51" s="8" t="n">
        <v>2030</v>
      </c>
      <c r="D51" s="8" t="inlineStr">
        <is>
          <t>Transportation</t>
        </is>
      </c>
      <c r="E51" s="8" t="n">
        <v>203050</v>
      </c>
      <c r="F51" s="8" t="inlineStr">
        <is>
          <t>Transportation Infrastructure</t>
        </is>
      </c>
      <c r="G51" s="8" t="n">
        <v>20305010</v>
      </c>
      <c r="H51" s="8" t="inlineStr">
        <is>
          <t>Airport Services</t>
        </is>
      </c>
      <c r="I51" s="9" t="inlineStr">
        <is>
          <t>Transportation</t>
        </is>
      </c>
      <c r="J51" s="10" t="n">
        <v>1</v>
      </c>
    </row>
    <row r="52">
      <c r="A52" s="8" t="n">
        <v>20</v>
      </c>
      <c r="B52" s="8" t="inlineStr">
        <is>
          <t>Industrials</t>
        </is>
      </c>
      <c r="C52" s="8" t="n">
        <v>2030</v>
      </c>
      <c r="D52" s="8" t="inlineStr">
        <is>
          <t>Transportation</t>
        </is>
      </c>
      <c r="E52" s="8" t="n">
        <v>203050</v>
      </c>
      <c r="F52" s="8" t="inlineStr">
        <is>
          <t>Transportation Infrastructure</t>
        </is>
      </c>
      <c r="G52" s="8" t="n">
        <v>20305020</v>
      </c>
      <c r="H52" s="8" t="inlineStr">
        <is>
          <t>Highways &amp; Railtracks</t>
        </is>
      </c>
      <c r="I52" s="9" t="inlineStr">
        <is>
          <t>Transportation (Railroads)</t>
        </is>
      </c>
      <c r="J52" s="10" t="n">
        <v>1</v>
      </c>
    </row>
    <row r="53">
      <c r="A53" s="8" t="n">
        <v>20</v>
      </c>
      <c r="B53" s="8" t="inlineStr">
        <is>
          <t>Industrials</t>
        </is>
      </c>
      <c r="C53" s="8" t="n">
        <v>2030</v>
      </c>
      <c r="D53" s="8" t="inlineStr">
        <is>
          <t>Transportation</t>
        </is>
      </c>
      <c r="E53" s="8" t="n">
        <v>203050</v>
      </c>
      <c r="F53" s="8" t="inlineStr">
        <is>
          <t>Transportation Infrastructure</t>
        </is>
      </c>
      <c r="G53" s="8" t="n">
        <v>20305030</v>
      </c>
      <c r="H53" s="8" t="inlineStr">
        <is>
          <t>Marine Ports &amp; Services</t>
        </is>
      </c>
      <c r="I53" s="9" t="inlineStr">
        <is>
          <t>Transportation</t>
        </is>
      </c>
      <c r="J53" s="10" t="n">
        <v>1</v>
      </c>
    </row>
    <row r="54">
      <c r="A54" s="8" t="n">
        <v>25</v>
      </c>
      <c r="B54" s="8" t="inlineStr">
        <is>
          <t>Consumer Discretionary</t>
        </is>
      </c>
      <c r="C54" s="8" t="n">
        <v>2510</v>
      </c>
      <c r="D54" s="8" t="inlineStr">
        <is>
          <t>Automobiles &amp; Components</t>
        </is>
      </c>
      <c r="E54" s="8" t="n">
        <v>251010</v>
      </c>
      <c r="F54" s="8" t="inlineStr">
        <is>
          <t>Automobile Components</t>
        </is>
      </c>
      <c r="G54" s="8" t="n">
        <v>25101010</v>
      </c>
      <c r="H54" s="8" t="inlineStr">
        <is>
          <t>Automotive Parts &amp; Equipment</t>
        </is>
      </c>
      <c r="I54" s="9" t="inlineStr">
        <is>
          <t>Auto Parts</t>
        </is>
      </c>
      <c r="J54" s="10" t="n">
        <v>1</v>
      </c>
    </row>
    <row r="55">
      <c r="A55" s="8" t="n">
        <v>25</v>
      </c>
      <c r="B55" s="8" t="inlineStr">
        <is>
          <t>Consumer Discretionary</t>
        </is>
      </c>
      <c r="C55" s="8" t="n">
        <v>2510</v>
      </c>
      <c r="D55" s="8" t="inlineStr">
        <is>
          <t>Automobiles &amp; Components</t>
        </is>
      </c>
      <c r="E55" s="8" t="n">
        <v>251010</v>
      </c>
      <c r="F55" s="8" t="inlineStr">
        <is>
          <t>Automobile Components</t>
        </is>
      </c>
      <c r="G55" s="8" t="n">
        <v>25101020</v>
      </c>
      <c r="H55" s="8" t="inlineStr">
        <is>
          <t>Tires &amp; Rubber</t>
        </is>
      </c>
      <c r="I55" s="9" t="inlineStr">
        <is>
          <t>Rubber&amp; Tires</t>
        </is>
      </c>
      <c r="J55" s="10" t="n">
        <v>1</v>
      </c>
    </row>
    <row r="56">
      <c r="A56" s="8" t="n">
        <v>25</v>
      </c>
      <c r="B56" s="8" t="inlineStr">
        <is>
          <t>Consumer Discretionary</t>
        </is>
      </c>
      <c r="C56" s="8" t="n">
        <v>2510</v>
      </c>
      <c r="D56" s="8" t="inlineStr">
        <is>
          <t>Automobiles &amp; Components</t>
        </is>
      </c>
      <c r="E56" s="8" t="n">
        <v>251020</v>
      </c>
      <c r="F56" s="8" t="inlineStr">
        <is>
          <t>Automobiles</t>
        </is>
      </c>
      <c r="G56" s="8" t="n">
        <v>25102010</v>
      </c>
      <c r="H56" s="8" t="inlineStr">
        <is>
          <t>Automobile Manufacturers</t>
        </is>
      </c>
      <c r="I56" s="9" t="inlineStr">
        <is>
          <t>Auto &amp; Truck</t>
        </is>
      </c>
      <c r="J56" s="10" t="n">
        <v>1</v>
      </c>
    </row>
    <row r="57">
      <c r="A57" s="8" t="n">
        <v>25</v>
      </c>
      <c r="B57" s="8" t="inlineStr">
        <is>
          <t>Consumer Discretionary</t>
        </is>
      </c>
      <c r="C57" s="8" t="n">
        <v>2510</v>
      </c>
      <c r="D57" s="8" t="inlineStr">
        <is>
          <t>Automobiles &amp; Components</t>
        </is>
      </c>
      <c r="E57" s="8" t="n">
        <v>251020</v>
      </c>
      <c r="F57" s="8" t="inlineStr">
        <is>
          <t>Automobiles</t>
        </is>
      </c>
      <c r="G57" s="8" t="n">
        <v>25102020</v>
      </c>
      <c r="H57" s="8" t="inlineStr">
        <is>
          <t>Motorcycle Manufacturers</t>
        </is>
      </c>
      <c r="I57" s="9" t="inlineStr">
        <is>
          <t>Auto &amp; Truck</t>
        </is>
      </c>
      <c r="J57" s="10" t="n">
        <v>1</v>
      </c>
    </row>
    <row r="58">
      <c r="A58" s="8" t="n">
        <v>25</v>
      </c>
      <c r="B58" s="8" t="inlineStr">
        <is>
          <t>Consumer Discretionary</t>
        </is>
      </c>
      <c r="C58" s="8" t="n">
        <v>2520</v>
      </c>
      <c r="D58" s="8" t="inlineStr">
        <is>
          <t>Consumer Durables &amp; Apparel</t>
        </is>
      </c>
      <c r="E58" s="8" t="n">
        <v>252010</v>
      </c>
      <c r="F58" s="8" t="inlineStr">
        <is>
          <t>Household Durables</t>
        </is>
      </c>
      <c r="G58" s="8" t="n">
        <v>25201010</v>
      </c>
      <c r="H58" s="8" t="inlineStr">
        <is>
          <t>Consumer Electronics</t>
        </is>
      </c>
      <c r="I58" s="9" t="inlineStr">
        <is>
          <t>Electronics (Consumer &amp; Office)</t>
        </is>
      </c>
      <c r="J58" s="10" t="n">
        <v>1</v>
      </c>
    </row>
    <row r="59">
      <c r="A59" s="8" t="n">
        <v>25</v>
      </c>
      <c r="B59" s="8" t="inlineStr">
        <is>
          <t>Consumer Discretionary</t>
        </is>
      </c>
      <c r="C59" s="8" t="n">
        <v>2520</v>
      </c>
      <c r="D59" s="8" t="inlineStr">
        <is>
          <t>Consumer Durables &amp; Apparel</t>
        </is>
      </c>
      <c r="E59" s="8" t="n">
        <v>252010</v>
      </c>
      <c r="F59" s="8" t="inlineStr">
        <is>
          <t>Household Durables</t>
        </is>
      </c>
      <c r="G59" s="8" t="n">
        <v>25201020</v>
      </c>
      <c r="H59" s="8" t="inlineStr">
        <is>
          <t>Home Furnishings</t>
        </is>
      </c>
      <c r="I59" s="9" t="inlineStr">
        <is>
          <t>Furn/Home Furnishings</t>
        </is>
      </c>
      <c r="J59" s="10" t="n">
        <v>1</v>
      </c>
    </row>
    <row r="60">
      <c r="A60" s="8" t="n">
        <v>25</v>
      </c>
      <c r="B60" s="8" t="inlineStr">
        <is>
          <t>Consumer Discretionary</t>
        </is>
      </c>
      <c r="C60" s="8" t="n">
        <v>2520</v>
      </c>
      <c r="D60" s="8" t="inlineStr">
        <is>
          <t>Consumer Durables &amp; Apparel</t>
        </is>
      </c>
      <c r="E60" s="8" t="n">
        <v>252010</v>
      </c>
      <c r="F60" s="8" t="inlineStr">
        <is>
          <t>Household Durables</t>
        </is>
      </c>
      <c r="G60" s="8" t="n">
        <v>25201030</v>
      </c>
      <c r="H60" s="8" t="inlineStr">
        <is>
          <t>Homebuilding</t>
        </is>
      </c>
      <c r="I60" s="9" t="inlineStr">
        <is>
          <t>Homebuilding</t>
        </is>
      </c>
      <c r="J60" s="10" t="n">
        <v>1</v>
      </c>
    </row>
    <row r="61">
      <c r="A61" s="8" t="n">
        <v>25</v>
      </c>
      <c r="B61" s="8" t="inlineStr">
        <is>
          <t>Consumer Discretionary</t>
        </is>
      </c>
      <c r="C61" s="8" t="n">
        <v>2520</v>
      </c>
      <c r="D61" s="8" t="inlineStr">
        <is>
          <t>Consumer Durables &amp; Apparel</t>
        </is>
      </c>
      <c r="E61" s="8" t="n">
        <v>252010</v>
      </c>
      <c r="F61" s="8" t="inlineStr">
        <is>
          <t>Household Durables</t>
        </is>
      </c>
      <c r="G61" s="8" t="n">
        <v>25201040</v>
      </c>
      <c r="H61" s="8" t="inlineStr">
        <is>
          <t>Household Appliances</t>
        </is>
      </c>
      <c r="I61" s="9" t="inlineStr">
        <is>
          <t>Furn/Home Furnishings</t>
        </is>
      </c>
      <c r="J61" s="10" t="n">
        <v>1</v>
      </c>
    </row>
    <row r="62">
      <c r="A62" s="8" t="n">
        <v>25</v>
      </c>
      <c r="B62" s="8" t="inlineStr">
        <is>
          <t>Consumer Discretionary</t>
        </is>
      </c>
      <c r="C62" s="8" t="n">
        <v>2520</v>
      </c>
      <c r="D62" s="8" t="inlineStr">
        <is>
          <t>Consumer Durables &amp; Apparel</t>
        </is>
      </c>
      <c r="E62" s="8" t="n">
        <v>252010</v>
      </c>
      <c r="F62" s="8" t="inlineStr">
        <is>
          <t>Household Durables</t>
        </is>
      </c>
      <c r="G62" s="8" t="n">
        <v>25201050</v>
      </c>
      <c r="H62" s="8" t="inlineStr">
        <is>
          <t>Housewares &amp; Specialties</t>
        </is>
      </c>
      <c r="I62" s="9" t="inlineStr">
        <is>
          <t>Furn/Home Furnishings</t>
        </is>
      </c>
      <c r="J62" s="10" t="n">
        <v>1</v>
      </c>
    </row>
    <row r="63">
      <c r="A63" s="8" t="n">
        <v>25</v>
      </c>
      <c r="B63" s="8" t="inlineStr">
        <is>
          <t>Consumer Discretionary</t>
        </is>
      </c>
      <c r="C63" s="8" t="n">
        <v>2520</v>
      </c>
      <c r="D63" s="8" t="inlineStr">
        <is>
          <t>Consumer Durables &amp; Apparel</t>
        </is>
      </c>
      <c r="E63" s="8" t="n">
        <v>252020</v>
      </c>
      <c r="F63" s="8" t="inlineStr">
        <is>
          <t>Leisure Products</t>
        </is>
      </c>
      <c r="G63" s="8" t="n">
        <v>25202010</v>
      </c>
      <c r="H63" s="8" t="inlineStr">
        <is>
          <t>Leisure Products</t>
        </is>
      </c>
      <c r="I63" s="9" t="inlineStr">
        <is>
          <t>Recreation</t>
        </is>
      </c>
      <c r="J63" s="10" t="n">
        <v>1</v>
      </c>
    </row>
    <row r="64">
      <c r="A64" s="8" t="n">
        <v>25</v>
      </c>
      <c r="B64" s="8" t="inlineStr">
        <is>
          <t>Consumer Discretionary</t>
        </is>
      </c>
      <c r="C64" s="8" t="n">
        <v>2520</v>
      </c>
      <c r="D64" s="8" t="inlineStr">
        <is>
          <t>Consumer Durables &amp; Apparel</t>
        </is>
      </c>
      <c r="E64" s="8" t="n">
        <v>252030</v>
      </c>
      <c r="F64" s="8" t="inlineStr">
        <is>
          <t>Textiles, Apparel &amp; Luxury Goods</t>
        </is>
      </c>
      <c r="G64" s="8" t="n">
        <v>25203010</v>
      </c>
      <c r="H64" s="8" t="inlineStr">
        <is>
          <t>Apparel, Accessories &amp; Luxury Goods</t>
        </is>
      </c>
      <c r="I64" s="9" t="inlineStr">
        <is>
          <t>Apparel</t>
        </is>
      </c>
      <c r="J64" s="10" t="n">
        <v>1</v>
      </c>
    </row>
    <row r="65">
      <c r="A65" s="8" t="n">
        <v>25</v>
      </c>
      <c r="B65" s="8" t="inlineStr">
        <is>
          <t>Consumer Discretionary</t>
        </is>
      </c>
      <c r="C65" s="8" t="n">
        <v>2520</v>
      </c>
      <c r="D65" s="8" t="inlineStr">
        <is>
          <t>Consumer Durables &amp; Apparel</t>
        </is>
      </c>
      <c r="E65" s="8" t="n">
        <v>252030</v>
      </c>
      <c r="F65" s="8" t="inlineStr">
        <is>
          <t>Textiles, Apparel &amp; Luxury Goods</t>
        </is>
      </c>
      <c r="G65" s="8" t="n">
        <v>25203020</v>
      </c>
      <c r="H65" s="8" t="inlineStr">
        <is>
          <t>Footwear</t>
        </is>
      </c>
      <c r="I65" s="9" t="inlineStr">
        <is>
          <t>Shoe</t>
        </is>
      </c>
      <c r="J65" s="10" t="n">
        <v>1</v>
      </c>
    </row>
    <row r="66">
      <c r="A66" s="8" t="n">
        <v>25</v>
      </c>
      <c r="B66" s="8" t="inlineStr">
        <is>
          <t>Consumer Discretionary</t>
        </is>
      </c>
      <c r="C66" s="8" t="n">
        <v>2520</v>
      </c>
      <c r="D66" s="8" t="inlineStr">
        <is>
          <t>Consumer Durables &amp; Apparel</t>
        </is>
      </c>
      <c r="E66" s="8" t="n">
        <v>252030</v>
      </c>
      <c r="F66" s="8" t="inlineStr">
        <is>
          <t>Textiles, Apparel &amp; Luxury Goods</t>
        </is>
      </c>
      <c r="G66" s="8" t="n">
        <v>25203030</v>
      </c>
      <c r="H66" s="8" t="inlineStr">
        <is>
          <t>Textiles</t>
        </is>
      </c>
      <c r="I66" s="9" t="inlineStr">
        <is>
          <t>Apparel</t>
        </is>
      </c>
      <c r="J66" s="10" t="n">
        <v>1</v>
      </c>
    </row>
    <row r="67">
      <c r="A67" s="8" t="n">
        <v>25</v>
      </c>
      <c r="B67" s="8" t="inlineStr">
        <is>
          <t>Consumer Discretionary</t>
        </is>
      </c>
      <c r="C67" s="8" t="n">
        <v>2530</v>
      </c>
      <c r="D67" s="8" t="inlineStr">
        <is>
          <t>Consumer Services</t>
        </is>
      </c>
      <c r="E67" s="8" t="n">
        <v>253010</v>
      </c>
      <c r="F67" s="8" t="inlineStr">
        <is>
          <t>Hotels, Restaurants &amp; Leisure</t>
        </is>
      </c>
      <c r="G67" s="8" t="n">
        <v>25301010</v>
      </c>
      <c r="H67" s="8" t="inlineStr">
        <is>
          <t>Casinos &amp; Gaming</t>
        </is>
      </c>
      <c r="I67" s="9" t="inlineStr">
        <is>
          <t>Hotel/Gaming</t>
        </is>
      </c>
      <c r="J67" s="10" t="n">
        <v>1</v>
      </c>
    </row>
    <row r="68">
      <c r="A68" s="8" t="n">
        <v>25</v>
      </c>
      <c r="B68" s="8" t="inlineStr">
        <is>
          <t>Consumer Discretionary</t>
        </is>
      </c>
      <c r="C68" s="8" t="n">
        <v>2530</v>
      </c>
      <c r="D68" s="8" t="inlineStr">
        <is>
          <t>Consumer Services</t>
        </is>
      </c>
      <c r="E68" s="8" t="n">
        <v>253010</v>
      </c>
      <c r="F68" s="8" t="inlineStr">
        <is>
          <t>Hotels, Restaurants &amp; Leisure</t>
        </is>
      </c>
      <c r="G68" s="8" t="n">
        <v>25301020</v>
      </c>
      <c r="H68" s="8" t="inlineStr">
        <is>
          <t>Hotels, Resorts &amp; Cruise Lines</t>
        </is>
      </c>
      <c r="I68" s="9" t="inlineStr">
        <is>
          <t>Hotel/Gaming</t>
        </is>
      </c>
      <c r="J68" s="10" t="n">
        <v>1</v>
      </c>
    </row>
    <row r="69">
      <c r="A69" s="8" t="n">
        <v>25</v>
      </c>
      <c r="B69" s="8" t="inlineStr">
        <is>
          <t>Consumer Discretionary</t>
        </is>
      </c>
      <c r="C69" s="8" t="n">
        <v>2530</v>
      </c>
      <c r="D69" s="8" t="inlineStr">
        <is>
          <t>Consumer Services</t>
        </is>
      </c>
      <c r="E69" s="8" t="n">
        <v>253010</v>
      </c>
      <c r="F69" s="8" t="inlineStr">
        <is>
          <t>Hotels, Restaurants &amp; Leisure</t>
        </is>
      </c>
      <c r="G69" s="8" t="n">
        <v>25301030</v>
      </c>
      <c r="H69" s="8" t="inlineStr">
        <is>
          <t>Leisure Facilities</t>
        </is>
      </c>
      <c r="I69" s="9" t="inlineStr">
        <is>
          <t>Recreation</t>
        </is>
      </c>
      <c r="J69" s="10" t="n">
        <v>1</v>
      </c>
    </row>
    <row r="70">
      <c r="A70" s="8" t="n">
        <v>25</v>
      </c>
      <c r="B70" s="8" t="inlineStr">
        <is>
          <t>Consumer Discretionary</t>
        </is>
      </c>
      <c r="C70" s="8" t="n">
        <v>2530</v>
      </c>
      <c r="D70" s="8" t="inlineStr">
        <is>
          <t>Consumer Services</t>
        </is>
      </c>
      <c r="E70" s="8" t="n">
        <v>253010</v>
      </c>
      <c r="F70" s="8" t="inlineStr">
        <is>
          <t>Hotels, Restaurants &amp; Leisure</t>
        </is>
      </c>
      <c r="G70" s="8" t="n">
        <v>25301040</v>
      </c>
      <c r="H70" s="8" t="inlineStr">
        <is>
          <t>Restaurants</t>
        </is>
      </c>
      <c r="I70" s="9" t="inlineStr">
        <is>
          <t>Restaurant/Dining</t>
        </is>
      </c>
      <c r="J70" s="10" t="n">
        <v>1</v>
      </c>
    </row>
    <row r="71">
      <c r="A71" s="8" t="n">
        <v>25</v>
      </c>
      <c r="B71" s="8" t="inlineStr">
        <is>
          <t>Consumer Discretionary</t>
        </is>
      </c>
      <c r="C71" s="8" t="n">
        <v>2530</v>
      </c>
      <c r="D71" s="8" t="inlineStr">
        <is>
          <t>Consumer Services</t>
        </is>
      </c>
      <c r="E71" s="8" t="n">
        <v>253020</v>
      </c>
      <c r="F71" s="8" t="inlineStr">
        <is>
          <t>Diversified Consumer Services</t>
        </is>
      </c>
      <c r="G71" s="8" t="n">
        <v>25302010</v>
      </c>
      <c r="H71" s="8" t="inlineStr">
        <is>
          <t>Education Services</t>
        </is>
      </c>
      <c r="I71" s="9" t="inlineStr">
        <is>
          <t>Education</t>
        </is>
      </c>
      <c r="J71" s="10" t="n">
        <v>1</v>
      </c>
    </row>
    <row r="72">
      <c r="A72" s="8" t="n">
        <v>25</v>
      </c>
      <c r="B72" s="8" t="inlineStr">
        <is>
          <t>Consumer Discretionary</t>
        </is>
      </c>
      <c r="C72" s="8" t="n">
        <v>2530</v>
      </c>
      <c r="D72" s="8" t="inlineStr">
        <is>
          <t>Consumer Services</t>
        </is>
      </c>
      <c r="E72" s="8" t="n">
        <v>253020</v>
      </c>
      <c r="F72" s="8" t="inlineStr">
        <is>
          <t>Diversified Consumer Services</t>
        </is>
      </c>
      <c r="G72" s="8" t="n">
        <v>25302020</v>
      </c>
      <c r="H72" s="8" t="inlineStr">
        <is>
          <t>Specialized Consumer Services</t>
        </is>
      </c>
      <c r="I72" s="9" t="inlineStr">
        <is>
          <t>Business &amp; Consumer Services</t>
        </is>
      </c>
      <c r="J72" s="10" t="n">
        <v>1</v>
      </c>
    </row>
    <row r="73">
      <c r="A73" s="8" t="n">
        <v>25</v>
      </c>
      <c r="B73" s="8" t="inlineStr">
        <is>
          <t>Consumer Discretionary</t>
        </is>
      </c>
      <c r="C73" s="8" t="n">
        <v>2550</v>
      </c>
      <c r="D73" s="8" t="inlineStr">
        <is>
          <t>Consumer Discretionary Distribution &amp; Retail</t>
        </is>
      </c>
      <c r="E73" s="8" t="n">
        <v>255010</v>
      </c>
      <c r="F73" s="8" t="inlineStr">
        <is>
          <t>Distributors</t>
        </is>
      </c>
      <c r="G73" s="8" t="n">
        <v>25501010</v>
      </c>
      <c r="H73" s="8" t="inlineStr">
        <is>
          <t>Distributors</t>
        </is>
      </c>
      <c r="I73" s="9" t="inlineStr">
        <is>
          <t>Retail (Distributors)</t>
        </is>
      </c>
      <c r="J73" s="10" t="n">
        <v>1</v>
      </c>
    </row>
    <row r="74">
      <c r="A74" s="8" t="n">
        <v>25</v>
      </c>
      <c r="B74" s="8" t="inlineStr">
        <is>
          <t>Consumer Discretionary</t>
        </is>
      </c>
      <c r="C74" s="8" t="n">
        <v>2550</v>
      </c>
      <c r="D74" s="8" t="inlineStr">
        <is>
          <t>Consumer Discretionary Distribution &amp; Retail</t>
        </is>
      </c>
      <c r="E74" s="8" t="n">
        <v>255030</v>
      </c>
      <c r="F74" s="8" t="inlineStr">
        <is>
          <t>Broadline Retail</t>
        </is>
      </c>
      <c r="G74" s="8" t="n">
        <v>25503030</v>
      </c>
      <c r="H74" s="8" t="inlineStr">
        <is>
          <t>Broadline Retail</t>
        </is>
      </c>
      <c r="I74" s="9" t="inlineStr">
        <is>
          <t>Retail (General)</t>
        </is>
      </c>
      <c r="J74" s="10" t="n">
        <v>1</v>
      </c>
    </row>
    <row r="75">
      <c r="A75" s="8" t="n">
        <v>25</v>
      </c>
      <c r="B75" s="8" t="inlineStr">
        <is>
          <t>Consumer Discretionary</t>
        </is>
      </c>
      <c r="C75" s="8" t="n">
        <v>2550</v>
      </c>
      <c r="D75" s="8" t="inlineStr">
        <is>
          <t>Consumer Discretionary Distribution &amp; Retail</t>
        </is>
      </c>
      <c r="E75" s="8" t="n">
        <v>255040</v>
      </c>
      <c r="F75" s="8" t="inlineStr">
        <is>
          <t>Specialty Retail</t>
        </is>
      </c>
      <c r="G75" s="8" t="n">
        <v>25504010</v>
      </c>
      <c r="H75" s="8" t="inlineStr">
        <is>
          <t>Apparel Retail</t>
        </is>
      </c>
      <c r="I75" s="9" t="inlineStr">
        <is>
          <t>Retail (Special Lines)</t>
        </is>
      </c>
      <c r="J75" s="10" t="n">
        <v>1</v>
      </c>
    </row>
    <row r="76">
      <c r="A76" s="8" t="n">
        <v>25</v>
      </c>
      <c r="B76" s="8" t="inlineStr">
        <is>
          <t>Consumer Discretionary</t>
        </is>
      </c>
      <c r="C76" s="8" t="n">
        <v>2550</v>
      </c>
      <c r="D76" s="8" t="inlineStr">
        <is>
          <t>Consumer Discretionary Distribution &amp; Retail</t>
        </is>
      </c>
      <c r="E76" s="8" t="n">
        <v>255040</v>
      </c>
      <c r="F76" s="8" t="inlineStr">
        <is>
          <t>Specialty Retail</t>
        </is>
      </c>
      <c r="G76" s="8" t="n">
        <v>25504020</v>
      </c>
      <c r="H76" s="8" t="inlineStr">
        <is>
          <t>Computer &amp; Electronics Retail</t>
        </is>
      </c>
      <c r="I76" s="9" t="inlineStr">
        <is>
          <t>Retail (Special Lines)</t>
        </is>
      </c>
      <c r="J76" s="10" t="n">
        <v>1</v>
      </c>
    </row>
    <row r="77">
      <c r="A77" s="8" t="n">
        <v>25</v>
      </c>
      <c r="B77" s="8" t="inlineStr">
        <is>
          <t>Consumer Discretionary</t>
        </is>
      </c>
      <c r="C77" s="8" t="n">
        <v>2550</v>
      </c>
      <c r="D77" s="8" t="inlineStr">
        <is>
          <t>Consumer Discretionary Distribution &amp; Retail</t>
        </is>
      </c>
      <c r="E77" s="8" t="n">
        <v>255040</v>
      </c>
      <c r="F77" s="8" t="inlineStr">
        <is>
          <t>Specialty Retail</t>
        </is>
      </c>
      <c r="G77" s="8" t="n">
        <v>25504030</v>
      </c>
      <c r="H77" s="8" t="inlineStr">
        <is>
          <t>Home Improvement Retail</t>
        </is>
      </c>
      <c r="I77" s="9" t="inlineStr">
        <is>
          <t>Retail (Building Supply)</t>
        </is>
      </c>
      <c r="J77" s="10" t="n">
        <v>1</v>
      </c>
    </row>
    <row r="78">
      <c r="A78" s="8" t="n">
        <v>25</v>
      </c>
      <c r="B78" s="8" t="inlineStr">
        <is>
          <t>Consumer Discretionary</t>
        </is>
      </c>
      <c r="C78" s="8" t="n">
        <v>2550</v>
      </c>
      <c r="D78" s="8" t="inlineStr">
        <is>
          <t>Consumer Discretionary Distribution &amp; Retail</t>
        </is>
      </c>
      <c r="E78" s="8" t="n">
        <v>255040</v>
      </c>
      <c r="F78" s="8" t="inlineStr">
        <is>
          <t>Specialty Retail</t>
        </is>
      </c>
      <c r="G78" s="8" t="n">
        <v>25504040</v>
      </c>
      <c r="H78" s="8" t="inlineStr">
        <is>
          <t>Other Specialty Retail</t>
        </is>
      </c>
      <c r="I78" s="9" t="inlineStr">
        <is>
          <t>Retail (Special Lines)</t>
        </is>
      </c>
      <c r="J78" s="10" t="n">
        <v>1</v>
      </c>
    </row>
    <row r="79">
      <c r="A79" s="8" t="n">
        <v>25</v>
      </c>
      <c r="B79" s="8" t="inlineStr">
        <is>
          <t>Consumer Discretionary</t>
        </is>
      </c>
      <c r="C79" s="8" t="n">
        <v>2550</v>
      </c>
      <c r="D79" s="8" t="inlineStr">
        <is>
          <t>Consumer Discretionary Distribution &amp; Retail</t>
        </is>
      </c>
      <c r="E79" s="8" t="n">
        <v>255040</v>
      </c>
      <c r="F79" s="8" t="inlineStr">
        <is>
          <t>Specialty Retail</t>
        </is>
      </c>
      <c r="G79" s="8" t="n">
        <v>25504050</v>
      </c>
      <c r="H79" s="8" t="inlineStr">
        <is>
          <t>Automotive Retail</t>
        </is>
      </c>
      <c r="I79" s="9" t="inlineStr">
        <is>
          <t>Retail (Automotive)</t>
        </is>
      </c>
      <c r="J79" s="10" t="n">
        <v>1</v>
      </c>
    </row>
    <row r="80">
      <c r="A80" s="8" t="n">
        <v>25</v>
      </c>
      <c r="B80" s="8" t="inlineStr">
        <is>
          <t>Consumer Discretionary</t>
        </is>
      </c>
      <c r="C80" s="8" t="n">
        <v>2550</v>
      </c>
      <c r="D80" s="8" t="inlineStr">
        <is>
          <t>Consumer Discretionary Distribution &amp; Retail</t>
        </is>
      </c>
      <c r="E80" s="8" t="n">
        <v>255040</v>
      </c>
      <c r="F80" s="8" t="inlineStr">
        <is>
          <t>Specialty Retail</t>
        </is>
      </c>
      <c r="G80" s="8" t="n">
        <v>25504060</v>
      </c>
      <c r="H80" s="8" t="inlineStr">
        <is>
          <t>Homefurnishing Retail</t>
        </is>
      </c>
      <c r="I80" s="9" t="inlineStr">
        <is>
          <t>Retail (Special Lines)</t>
        </is>
      </c>
      <c r="J80" s="10" t="n">
        <v>1</v>
      </c>
    </row>
    <row r="81">
      <c r="A81" s="8" t="n">
        <v>30</v>
      </c>
      <c r="B81" s="8" t="inlineStr">
        <is>
          <t>Consumer Staples</t>
        </is>
      </c>
      <c r="C81" s="8" t="n">
        <v>3010</v>
      </c>
      <c r="D81" s="8" t="inlineStr">
        <is>
          <t>Consumer Staples Distribution &amp; Retail</t>
        </is>
      </c>
      <c r="E81" s="8" t="n">
        <v>301010</v>
      </c>
      <c r="F81" s="8" t="inlineStr">
        <is>
          <t>Consumer Staples Distribution &amp; Retail</t>
        </is>
      </c>
      <c r="G81" s="8" t="n">
        <v>30101010</v>
      </c>
      <c r="H81" s="8" t="inlineStr">
        <is>
          <t>Drug Retail</t>
        </is>
      </c>
      <c r="I81" s="9" t="inlineStr">
        <is>
          <t>Retail (Grocery and Food)</t>
        </is>
      </c>
      <c r="J81" s="10" t="n">
        <v>1</v>
      </c>
    </row>
    <row r="82">
      <c r="A82" s="8" t="n">
        <v>30</v>
      </c>
      <c r="B82" s="8" t="inlineStr">
        <is>
          <t>Consumer Staples</t>
        </is>
      </c>
      <c r="C82" s="8" t="n">
        <v>3010</v>
      </c>
      <c r="D82" s="8" t="inlineStr">
        <is>
          <t>Consumer Staples Distribution &amp; Retail</t>
        </is>
      </c>
      <c r="E82" s="8" t="n">
        <v>301010</v>
      </c>
      <c r="F82" s="8" t="inlineStr">
        <is>
          <t>Consumer Staples Distribution &amp; Retail</t>
        </is>
      </c>
      <c r="G82" s="8" t="n">
        <v>30101020</v>
      </c>
      <c r="H82" s="8" t="inlineStr">
        <is>
          <t>Food Distributors</t>
        </is>
      </c>
      <c r="I82" s="9" t="inlineStr">
        <is>
          <t>Food Wholesalers</t>
        </is>
      </c>
      <c r="J82" s="10" t="n">
        <v>1</v>
      </c>
    </row>
    <row r="83">
      <c r="A83" s="8" t="n">
        <v>30</v>
      </c>
      <c r="B83" s="8" t="inlineStr">
        <is>
          <t>Consumer Staples</t>
        </is>
      </c>
      <c r="C83" s="8" t="n">
        <v>3010</v>
      </c>
      <c r="D83" s="8" t="inlineStr">
        <is>
          <t>Consumer Staples Distribution &amp; Retail</t>
        </is>
      </c>
      <c r="E83" s="8" t="n">
        <v>301010</v>
      </c>
      <c r="F83" s="8" t="inlineStr">
        <is>
          <t>Consumer Staples Distribution &amp; Retail</t>
        </is>
      </c>
      <c r="G83" s="8" t="n">
        <v>30101030</v>
      </c>
      <c r="H83" s="8" t="inlineStr">
        <is>
          <t>Food Retail</t>
        </is>
      </c>
      <c r="I83" s="9" t="inlineStr">
        <is>
          <t>Retail (Grocery and Food)</t>
        </is>
      </c>
      <c r="J83" s="10" t="n">
        <v>1</v>
      </c>
    </row>
    <row r="84">
      <c r="A84" s="8" t="n">
        <v>30</v>
      </c>
      <c r="B84" s="8" t="inlineStr">
        <is>
          <t>Consumer Staples</t>
        </is>
      </c>
      <c r="C84" s="8" t="n">
        <v>3010</v>
      </c>
      <c r="D84" s="8" t="inlineStr">
        <is>
          <t>Consumer Staples Distribution &amp; Retail</t>
        </is>
      </c>
      <c r="E84" s="8" t="n">
        <v>301010</v>
      </c>
      <c r="F84" s="8" t="inlineStr">
        <is>
          <t>Consumer Staples Distribution &amp; Retail</t>
        </is>
      </c>
      <c r="G84" s="8" t="n">
        <v>30101040</v>
      </c>
      <c r="H84" s="8" t="inlineStr">
        <is>
          <t>Consumer Staples Merchandise Retail</t>
        </is>
      </c>
      <c r="I84" s="9" t="inlineStr">
        <is>
          <t>Retail (Grocery and Food)</t>
        </is>
      </c>
      <c r="J84" s="10" t="n">
        <v>1</v>
      </c>
    </row>
    <row r="85">
      <c r="A85" s="8" t="n">
        <v>30</v>
      </c>
      <c r="B85" s="8" t="inlineStr">
        <is>
          <t>Consumer Staples</t>
        </is>
      </c>
      <c r="C85" s="8" t="n">
        <v>3020</v>
      </c>
      <c r="D85" s="8" t="inlineStr">
        <is>
          <t>Food, Beverage &amp; Tobacco</t>
        </is>
      </c>
      <c r="E85" s="8" t="n">
        <v>302010</v>
      </c>
      <c r="F85" s="8" t="inlineStr">
        <is>
          <t>Beverages</t>
        </is>
      </c>
      <c r="G85" s="8" t="n">
        <v>30201010</v>
      </c>
      <c r="H85" s="8" t="inlineStr">
        <is>
          <t>Brewers</t>
        </is>
      </c>
      <c r="I85" s="9" t="inlineStr">
        <is>
          <t>Beverage (Alcoholic)</t>
        </is>
      </c>
      <c r="J85" s="10" t="n">
        <v>1</v>
      </c>
    </row>
    <row r="86">
      <c r="A86" s="8" t="n">
        <v>30</v>
      </c>
      <c r="B86" s="8" t="inlineStr">
        <is>
          <t>Consumer Staples</t>
        </is>
      </c>
      <c r="C86" s="8" t="n">
        <v>3020</v>
      </c>
      <c r="D86" s="8" t="inlineStr">
        <is>
          <t>Food, Beverage &amp; Tobacco</t>
        </is>
      </c>
      <c r="E86" s="8" t="n">
        <v>302010</v>
      </c>
      <c r="F86" s="8" t="inlineStr">
        <is>
          <t>Beverages</t>
        </is>
      </c>
      <c r="G86" s="8" t="n">
        <v>30201020</v>
      </c>
      <c r="H86" s="8" t="inlineStr">
        <is>
          <t>Distillers &amp; Vintners</t>
        </is>
      </c>
      <c r="I86" s="9" t="inlineStr">
        <is>
          <t>Beverage (Alcoholic)</t>
        </is>
      </c>
      <c r="J86" s="10" t="n">
        <v>1</v>
      </c>
    </row>
    <row r="87">
      <c r="A87" s="8" t="n">
        <v>30</v>
      </c>
      <c r="B87" s="8" t="inlineStr">
        <is>
          <t>Consumer Staples</t>
        </is>
      </c>
      <c r="C87" s="8" t="n">
        <v>3020</v>
      </c>
      <c r="D87" s="8" t="inlineStr">
        <is>
          <t>Food, Beverage &amp; Tobacco</t>
        </is>
      </c>
      <c r="E87" s="8" t="n">
        <v>302010</v>
      </c>
      <c r="F87" s="8" t="inlineStr">
        <is>
          <t>Beverages</t>
        </is>
      </c>
      <c r="G87" s="8" t="n">
        <v>30201030</v>
      </c>
      <c r="H87" s="8" t="inlineStr">
        <is>
          <t>Soft Drinks &amp; Non-alcoholic Beverages</t>
        </is>
      </c>
      <c r="I87" s="9" t="inlineStr">
        <is>
          <t>Beverage (Soft)</t>
        </is>
      </c>
      <c r="J87" s="10" t="n">
        <v>1</v>
      </c>
    </row>
    <row r="88">
      <c r="A88" s="8" t="n">
        <v>30</v>
      </c>
      <c r="B88" s="8" t="inlineStr">
        <is>
          <t>Consumer Staples</t>
        </is>
      </c>
      <c r="C88" s="8" t="n">
        <v>3020</v>
      </c>
      <c r="D88" s="8" t="inlineStr">
        <is>
          <t>Food, Beverage &amp; Tobacco</t>
        </is>
      </c>
      <c r="E88" s="8" t="n">
        <v>302020</v>
      </c>
      <c r="F88" s="8" t="inlineStr">
        <is>
          <t>Food Products</t>
        </is>
      </c>
      <c r="G88" s="8" t="n">
        <v>30202010</v>
      </c>
      <c r="H88" s="8" t="inlineStr">
        <is>
          <t>Agricultural Products &amp; Services</t>
        </is>
      </c>
      <c r="I88" s="9" t="inlineStr">
        <is>
          <t>Farming/Agriculture</t>
        </is>
      </c>
      <c r="J88" s="10" t="n">
        <v>1</v>
      </c>
    </row>
    <row r="89">
      <c r="A89" s="8" t="n">
        <v>30</v>
      </c>
      <c r="B89" s="8" t="inlineStr">
        <is>
          <t>Consumer Staples</t>
        </is>
      </c>
      <c r="C89" s="8" t="n">
        <v>3020</v>
      </c>
      <c r="D89" s="8" t="inlineStr">
        <is>
          <t>Food, Beverage &amp; Tobacco</t>
        </is>
      </c>
      <c r="E89" s="8" t="n">
        <v>302020</v>
      </c>
      <c r="F89" s="8" t="inlineStr">
        <is>
          <t>Food Products</t>
        </is>
      </c>
      <c r="G89" s="8" t="n">
        <v>30202030</v>
      </c>
      <c r="H89" s="8" t="inlineStr">
        <is>
          <t>Packaged Foods &amp; Meats</t>
        </is>
      </c>
      <c r="I89" s="9" t="inlineStr">
        <is>
          <t>Food Processing</t>
        </is>
      </c>
      <c r="J89" s="10" t="n">
        <v>1</v>
      </c>
    </row>
    <row r="90">
      <c r="A90" s="8" t="n">
        <v>30</v>
      </c>
      <c r="B90" s="8" t="inlineStr">
        <is>
          <t>Consumer Staples</t>
        </is>
      </c>
      <c r="C90" s="8" t="n">
        <v>3020</v>
      </c>
      <c r="D90" s="8" t="inlineStr">
        <is>
          <t>Food, Beverage &amp; Tobacco</t>
        </is>
      </c>
      <c r="E90" s="8" t="n">
        <v>302030</v>
      </c>
      <c r="F90" s="8" t="inlineStr">
        <is>
          <t>Tobacco</t>
        </is>
      </c>
      <c r="G90" s="8" t="n">
        <v>30203010</v>
      </c>
      <c r="H90" s="8" t="inlineStr">
        <is>
          <t>Tobacco</t>
        </is>
      </c>
      <c r="I90" s="9" t="inlineStr">
        <is>
          <t>Tobacco</t>
        </is>
      </c>
      <c r="J90" s="10" t="n">
        <v>1</v>
      </c>
    </row>
    <row r="91">
      <c r="A91" s="8" t="n">
        <v>30</v>
      </c>
      <c r="B91" s="8" t="inlineStr">
        <is>
          <t>Consumer Staples</t>
        </is>
      </c>
      <c r="C91" s="8" t="n">
        <v>3030</v>
      </c>
      <c r="D91" s="8" t="inlineStr">
        <is>
          <t>Household &amp; Personal Products</t>
        </is>
      </c>
      <c r="E91" s="8" t="n">
        <v>303010</v>
      </c>
      <c r="F91" s="8" t="inlineStr">
        <is>
          <t>Household Products</t>
        </is>
      </c>
      <c r="G91" s="8" t="n">
        <v>30301010</v>
      </c>
      <c r="H91" s="8" t="inlineStr">
        <is>
          <t>Household Products</t>
        </is>
      </c>
      <c r="I91" s="9" t="inlineStr">
        <is>
          <t>Household Products</t>
        </is>
      </c>
      <c r="J91" s="10" t="n">
        <v>1</v>
      </c>
    </row>
    <row r="92">
      <c r="A92" s="8" t="n">
        <v>30</v>
      </c>
      <c r="B92" s="8" t="inlineStr">
        <is>
          <t>Consumer Staples</t>
        </is>
      </c>
      <c r="C92" s="8" t="n">
        <v>3030</v>
      </c>
      <c r="D92" s="8" t="inlineStr">
        <is>
          <t>Household &amp; Personal Products</t>
        </is>
      </c>
      <c r="E92" s="8" t="n">
        <v>303020</v>
      </c>
      <c r="F92" s="8" t="inlineStr">
        <is>
          <t>Personal Care Products</t>
        </is>
      </c>
      <c r="G92" s="8" t="n">
        <v>30302010</v>
      </c>
      <c r="H92" s="8" t="inlineStr">
        <is>
          <t>Personal Care Products</t>
        </is>
      </c>
      <c r="I92" s="9" t="inlineStr">
        <is>
          <t>Household Products</t>
        </is>
      </c>
      <c r="J92" s="10" t="n">
        <v>1</v>
      </c>
    </row>
    <row r="93">
      <c r="A93" s="8" t="n">
        <v>35</v>
      </c>
      <c r="B93" s="8" t="inlineStr">
        <is>
          <t>Health Care</t>
        </is>
      </c>
      <c r="C93" s="8" t="n">
        <v>3510</v>
      </c>
      <c r="D93" s="8" t="inlineStr">
        <is>
          <t>Health Care Equipment &amp; Services</t>
        </is>
      </c>
      <c r="E93" s="8" t="n">
        <v>351010</v>
      </c>
      <c r="F93" s="8" t="inlineStr">
        <is>
          <t>Health Care Equipment &amp; Supplies</t>
        </is>
      </c>
      <c r="G93" s="8" t="n">
        <v>35101010</v>
      </c>
      <c r="H93" s="8" t="inlineStr">
        <is>
          <t>Health Care Equipment</t>
        </is>
      </c>
      <c r="I93" s="9" t="inlineStr">
        <is>
          <t>Healthcare Products</t>
        </is>
      </c>
      <c r="J93" s="10" t="n">
        <v>1</v>
      </c>
    </row>
    <row r="94">
      <c r="A94" s="8" t="n">
        <v>35</v>
      </c>
      <c r="B94" s="8" t="inlineStr">
        <is>
          <t>Health Care</t>
        </is>
      </c>
      <c r="C94" s="8" t="n">
        <v>3510</v>
      </c>
      <c r="D94" s="8" t="inlineStr">
        <is>
          <t>Health Care Equipment &amp; Services</t>
        </is>
      </c>
      <c r="E94" s="8" t="n">
        <v>351010</v>
      </c>
      <c r="F94" s="8" t="inlineStr">
        <is>
          <t>Health Care Equipment &amp; Supplies</t>
        </is>
      </c>
      <c r="G94" s="8" t="n">
        <v>35101020</v>
      </c>
      <c r="H94" s="8" t="inlineStr">
        <is>
          <t>Health Care Supplies</t>
        </is>
      </c>
      <c r="I94" s="9" t="inlineStr">
        <is>
          <t>Healthcare Products</t>
        </is>
      </c>
      <c r="J94" s="10" t="n">
        <v>1</v>
      </c>
    </row>
    <row r="95">
      <c r="A95" s="8" t="n">
        <v>35</v>
      </c>
      <c r="B95" s="8" t="inlineStr">
        <is>
          <t>Health Care</t>
        </is>
      </c>
      <c r="C95" s="8" t="n">
        <v>3510</v>
      </c>
      <c r="D95" s="8" t="inlineStr">
        <is>
          <t>Health Care Equipment &amp; Services</t>
        </is>
      </c>
      <c r="E95" s="8" t="n">
        <v>351020</v>
      </c>
      <c r="F95" s="8" t="inlineStr">
        <is>
          <t>Health Care Providers &amp; Services</t>
        </is>
      </c>
      <c r="G95" s="8" t="n">
        <v>35102010</v>
      </c>
      <c r="H95" s="8" t="inlineStr">
        <is>
          <t>Health Care Distributors</t>
        </is>
      </c>
      <c r="I95" s="9" t="inlineStr">
        <is>
          <t>Healthcare Support Services</t>
        </is>
      </c>
      <c r="J95" s="10" t="n">
        <v>1</v>
      </c>
    </row>
    <row r="96">
      <c r="A96" s="8" t="n">
        <v>35</v>
      </c>
      <c r="B96" s="8" t="inlineStr">
        <is>
          <t>Health Care</t>
        </is>
      </c>
      <c r="C96" s="8" t="n">
        <v>3510</v>
      </c>
      <c r="D96" s="8" t="inlineStr">
        <is>
          <t>Health Care Equipment &amp; Services</t>
        </is>
      </c>
      <c r="E96" s="8" t="n">
        <v>351020</v>
      </c>
      <c r="F96" s="8" t="inlineStr">
        <is>
          <t>Health Care Providers &amp; Services</t>
        </is>
      </c>
      <c r="G96" s="8" t="n">
        <v>35102015</v>
      </c>
      <c r="H96" s="8" t="inlineStr">
        <is>
          <t>Health Care Services</t>
        </is>
      </c>
      <c r="I96" s="9" t="inlineStr">
        <is>
          <t>Healthcare Support Services</t>
        </is>
      </c>
      <c r="J96" s="10" t="n">
        <v>1</v>
      </c>
    </row>
    <row r="97">
      <c r="A97" s="8" t="n">
        <v>35</v>
      </c>
      <c r="B97" s="8" t="inlineStr">
        <is>
          <t>Health Care</t>
        </is>
      </c>
      <c r="C97" s="8" t="n">
        <v>3510</v>
      </c>
      <c r="D97" s="8" t="inlineStr">
        <is>
          <t>Health Care Equipment &amp; Services</t>
        </is>
      </c>
      <c r="E97" s="8" t="n">
        <v>351020</v>
      </c>
      <c r="F97" s="8" t="inlineStr">
        <is>
          <t>Health Care Providers &amp; Services</t>
        </is>
      </c>
      <c r="G97" s="8" t="n">
        <v>35102020</v>
      </c>
      <c r="H97" s="8" t="inlineStr">
        <is>
          <t>Health Care Facilities</t>
        </is>
      </c>
      <c r="I97" s="9" t="inlineStr">
        <is>
          <t>Hospitals/Healthcare Facilities</t>
        </is>
      </c>
      <c r="J97" s="10" t="n">
        <v>1</v>
      </c>
    </row>
    <row r="98">
      <c r="A98" s="8" t="n">
        <v>35</v>
      </c>
      <c r="B98" s="8" t="inlineStr">
        <is>
          <t>Health Care</t>
        </is>
      </c>
      <c r="C98" s="8" t="n">
        <v>3510</v>
      </c>
      <c r="D98" s="8" t="inlineStr">
        <is>
          <t>Health Care Equipment &amp; Services</t>
        </is>
      </c>
      <c r="E98" s="8" t="n">
        <v>351020</v>
      </c>
      <c r="F98" s="8" t="inlineStr">
        <is>
          <t>Health Care Providers &amp; Services</t>
        </is>
      </c>
      <c r="G98" s="8" t="n">
        <v>35102030</v>
      </c>
      <c r="H98" s="8" t="inlineStr">
        <is>
          <t>Managed Health Care</t>
        </is>
      </c>
      <c r="I98" s="9" t="inlineStr">
        <is>
          <t>Healthcare Support Services</t>
        </is>
      </c>
      <c r="J98" s="10" t="n">
        <v>1</v>
      </c>
    </row>
    <row r="99">
      <c r="A99" s="8" t="n">
        <v>35</v>
      </c>
      <c r="B99" s="8" t="inlineStr">
        <is>
          <t>Health Care</t>
        </is>
      </c>
      <c r="C99" s="8" t="n">
        <v>3510</v>
      </c>
      <c r="D99" s="8" t="inlineStr">
        <is>
          <t>Health Care Equipment &amp; Services</t>
        </is>
      </c>
      <c r="E99" s="8" t="n">
        <v>351030</v>
      </c>
      <c r="F99" s="8" t="inlineStr">
        <is>
          <t>Health Care Technology</t>
        </is>
      </c>
      <c r="G99" s="8" t="n">
        <v>35103010</v>
      </c>
      <c r="H99" s="8" t="inlineStr">
        <is>
          <t>Health Care Technology</t>
        </is>
      </c>
      <c r="I99" s="9" t="inlineStr">
        <is>
          <t>Heathcare Information and Technology</t>
        </is>
      </c>
      <c r="J99" s="10" t="n">
        <v>1</v>
      </c>
    </row>
    <row r="100">
      <c r="A100" s="8" t="n">
        <v>35</v>
      </c>
      <c r="B100" s="8" t="inlineStr">
        <is>
          <t>Health Care</t>
        </is>
      </c>
      <c r="C100" s="8" t="n">
        <v>3520</v>
      </c>
      <c r="D100" s="8" t="inlineStr">
        <is>
          <t>Pharmaceuticals, Biotechnology &amp; Life Sciences</t>
        </is>
      </c>
      <c r="E100" s="8" t="n">
        <v>352010</v>
      </c>
      <c r="F100" s="8" t="inlineStr">
        <is>
          <t>Biotechnology</t>
        </is>
      </c>
      <c r="G100" s="8" t="n">
        <v>35201010</v>
      </c>
      <c r="H100" s="8" t="inlineStr">
        <is>
          <t>Biotechnology</t>
        </is>
      </c>
      <c r="I100" s="9" t="inlineStr">
        <is>
          <t>Drugs (Biotechnology)</t>
        </is>
      </c>
      <c r="J100" s="10" t="n">
        <v>1</v>
      </c>
    </row>
    <row r="101">
      <c r="A101" s="8" t="n">
        <v>35</v>
      </c>
      <c r="B101" s="8" t="inlineStr">
        <is>
          <t>Health Care</t>
        </is>
      </c>
      <c r="C101" s="8" t="n">
        <v>3520</v>
      </c>
      <c r="D101" s="8" t="inlineStr">
        <is>
          <t>Pharmaceuticals, Biotechnology &amp; Life Sciences</t>
        </is>
      </c>
      <c r="E101" s="8" t="n">
        <v>352020</v>
      </c>
      <c r="F101" s="8" t="inlineStr">
        <is>
          <t>Pharmaceuticals</t>
        </is>
      </c>
      <c r="G101" s="8" t="n">
        <v>35202010</v>
      </c>
      <c r="H101" s="8" t="inlineStr">
        <is>
          <t>Pharmaceuticals</t>
        </is>
      </c>
      <c r="I101" s="9" t="inlineStr">
        <is>
          <t>Drugs (Pharmaceutical)</t>
        </is>
      </c>
      <c r="J101" s="10" t="n">
        <v>1</v>
      </c>
    </row>
    <row r="102">
      <c r="A102" s="8" t="n">
        <v>35</v>
      </c>
      <c r="B102" s="8" t="inlineStr">
        <is>
          <t>Health Care</t>
        </is>
      </c>
      <c r="C102" s="8" t="n">
        <v>3520</v>
      </c>
      <c r="D102" s="8" t="inlineStr">
        <is>
          <t>Pharmaceuticals, Biotechnology &amp; Life Sciences</t>
        </is>
      </c>
      <c r="E102" s="8" t="n">
        <v>352030</v>
      </c>
      <c r="F102" s="8" t="inlineStr">
        <is>
          <t>Life Sciences Tools &amp; Services</t>
        </is>
      </c>
      <c r="G102" s="8" t="n">
        <v>35203010</v>
      </c>
      <c r="H102" s="8" t="inlineStr">
        <is>
          <t>Life Sciences Tools &amp; Services</t>
        </is>
      </c>
      <c r="I102" s="9" t="inlineStr">
        <is>
          <t>Healthcare Products</t>
        </is>
      </c>
      <c r="J102" s="10" t="n">
        <v>1</v>
      </c>
    </row>
    <row r="103">
      <c r="A103" s="8" t="n">
        <v>40</v>
      </c>
      <c r="B103" s="8" t="inlineStr">
        <is>
          <t>Financials</t>
        </is>
      </c>
      <c r="C103" s="8" t="n">
        <v>4010</v>
      </c>
      <c r="D103" s="8" t="inlineStr">
        <is>
          <t>Banks</t>
        </is>
      </c>
      <c r="E103" s="8" t="n">
        <v>401010</v>
      </c>
      <c r="F103" s="8" t="inlineStr">
        <is>
          <t>Banks</t>
        </is>
      </c>
      <c r="G103" s="8" t="n">
        <v>40101010</v>
      </c>
      <c r="H103" s="8" t="inlineStr">
        <is>
          <t>Diversified Banks</t>
        </is>
      </c>
      <c r="I103" s="9" t="inlineStr">
        <is>
          <t>Bank (Money Center)</t>
        </is>
      </c>
      <c r="J103" s="10" t="n">
        <v>1</v>
      </c>
    </row>
    <row r="104">
      <c r="A104" s="8" t="n">
        <v>40</v>
      </c>
      <c r="B104" s="8" t="inlineStr">
        <is>
          <t>Financials</t>
        </is>
      </c>
      <c r="C104" s="8" t="n">
        <v>4010</v>
      </c>
      <c r="D104" s="8" t="inlineStr">
        <is>
          <t>Banks</t>
        </is>
      </c>
      <c r="E104" s="8" t="n">
        <v>401010</v>
      </c>
      <c r="F104" s="8" t="inlineStr">
        <is>
          <t>Banks</t>
        </is>
      </c>
      <c r="G104" s="8" t="n">
        <v>40101015</v>
      </c>
      <c r="H104" s="8" t="inlineStr">
        <is>
          <t>Regional Banks</t>
        </is>
      </c>
      <c r="I104" s="9" t="inlineStr">
        <is>
          <t>Banks (Regional)</t>
        </is>
      </c>
      <c r="J104" s="10" t="n">
        <v>1</v>
      </c>
    </row>
    <row r="105">
      <c r="A105" s="8" t="n">
        <v>40</v>
      </c>
      <c r="B105" s="8" t="inlineStr">
        <is>
          <t>Financials</t>
        </is>
      </c>
      <c r="C105" s="8" t="n">
        <v>4020</v>
      </c>
      <c r="D105" s="8" t="inlineStr">
        <is>
          <t>Financial Services</t>
        </is>
      </c>
      <c r="E105" s="8" t="n">
        <v>402010</v>
      </c>
      <c r="F105" s="8" t="inlineStr">
        <is>
          <t>Financial Services</t>
        </is>
      </c>
      <c r="G105" s="8" t="n">
        <v>40201020</v>
      </c>
      <c r="H105" s="8" t="inlineStr">
        <is>
          <t>Diversified Financial Services</t>
        </is>
      </c>
      <c r="I105" s="9" t="inlineStr">
        <is>
          <t>Financial Svcs. (Non-bank &amp; Insurance)</t>
        </is>
      </c>
      <c r="J105" s="10" t="n">
        <v>1</v>
      </c>
    </row>
    <row r="106">
      <c r="A106" s="8" t="n">
        <v>40</v>
      </c>
      <c r="B106" s="8" t="inlineStr">
        <is>
          <t>Financials</t>
        </is>
      </c>
      <c r="C106" s="8" t="n">
        <v>4020</v>
      </c>
      <c r="D106" s="8" t="inlineStr">
        <is>
          <t>Financial Services</t>
        </is>
      </c>
      <c r="E106" s="8" t="n">
        <v>402010</v>
      </c>
      <c r="F106" s="8" t="inlineStr">
        <is>
          <t>Financial Services</t>
        </is>
      </c>
      <c r="G106" s="8" t="n">
        <v>40201030</v>
      </c>
      <c r="H106" s="8" t="inlineStr">
        <is>
          <t>Multi-Sector Holdings</t>
        </is>
      </c>
      <c r="I106" s="9" t="inlineStr">
        <is>
          <t>Financial Svcs. (Non-bank &amp; Insurance)</t>
        </is>
      </c>
      <c r="J106" s="10" t="n">
        <v>1</v>
      </c>
    </row>
    <row r="107">
      <c r="A107" s="8" t="n">
        <v>40</v>
      </c>
      <c r="B107" s="8" t="inlineStr">
        <is>
          <t>Financials</t>
        </is>
      </c>
      <c r="C107" s="8" t="n">
        <v>4020</v>
      </c>
      <c r="D107" s="8" t="inlineStr">
        <is>
          <t>Financial Services</t>
        </is>
      </c>
      <c r="E107" s="8" t="n">
        <v>402010</v>
      </c>
      <c r="F107" s="8" t="inlineStr">
        <is>
          <t>Financial Services</t>
        </is>
      </c>
      <c r="G107" s="8" t="n">
        <v>40201040</v>
      </c>
      <c r="H107" s="8" t="inlineStr">
        <is>
          <t>Specialized Finance</t>
        </is>
      </c>
      <c r="I107" s="9" t="inlineStr">
        <is>
          <t>Financial Svcs. (Non-bank &amp; Insurance)</t>
        </is>
      </c>
      <c r="J107" s="10" t="n">
        <v>1</v>
      </c>
    </row>
    <row r="108">
      <c r="A108" s="8" t="n">
        <v>40</v>
      </c>
      <c r="B108" s="8" t="inlineStr">
        <is>
          <t>Financials</t>
        </is>
      </c>
      <c r="C108" s="8" t="n">
        <v>4020</v>
      </c>
      <c r="D108" s="8" t="inlineStr">
        <is>
          <t>Financial Services</t>
        </is>
      </c>
      <c r="E108" s="8" t="n">
        <v>402010</v>
      </c>
      <c r="F108" s="8" t="inlineStr">
        <is>
          <t>Financial Services</t>
        </is>
      </c>
      <c r="G108" s="8" t="n">
        <v>40201050</v>
      </c>
      <c r="H108" s="8" t="inlineStr">
        <is>
          <t>Commercial &amp; Residential Mortgage Finance</t>
        </is>
      </c>
      <c r="I108" s="9" t="inlineStr">
        <is>
          <t>Financial Svcs. (Non-bank &amp; Insurance)</t>
        </is>
      </c>
      <c r="J108" s="10" t="n">
        <v>1</v>
      </c>
    </row>
    <row r="109">
      <c r="A109" s="8" t="n">
        <v>40</v>
      </c>
      <c r="B109" s="8" t="inlineStr">
        <is>
          <t>Financials</t>
        </is>
      </c>
      <c r="C109" s="8" t="n">
        <v>4020</v>
      </c>
      <c r="D109" s="8" t="inlineStr">
        <is>
          <t>Financial Services</t>
        </is>
      </c>
      <c r="E109" s="8" t="n">
        <v>402010</v>
      </c>
      <c r="F109" s="8" t="inlineStr">
        <is>
          <t>Financial Services</t>
        </is>
      </c>
      <c r="G109" s="8" t="n">
        <v>40201060</v>
      </c>
      <c r="H109" s="8" t="inlineStr">
        <is>
          <t>Transaction &amp; Payment Processing Services</t>
        </is>
      </c>
      <c r="I109" s="9" t="inlineStr">
        <is>
          <t>Information Services</t>
        </is>
      </c>
      <c r="J109" s="10" t="n">
        <v>1</v>
      </c>
    </row>
    <row r="110">
      <c r="A110" s="8" t="n">
        <v>40</v>
      </c>
      <c r="B110" s="8" t="inlineStr">
        <is>
          <t>Financials</t>
        </is>
      </c>
      <c r="C110" s="8" t="n">
        <v>4020</v>
      </c>
      <c r="D110" s="8" t="inlineStr">
        <is>
          <t>Financial Services</t>
        </is>
      </c>
      <c r="E110" s="8" t="n">
        <v>402020</v>
      </c>
      <c r="F110" s="8" t="inlineStr">
        <is>
          <t>Consumer Finance</t>
        </is>
      </c>
      <c r="G110" s="8" t="n">
        <v>40202010</v>
      </c>
      <c r="H110" s="8" t="inlineStr">
        <is>
          <t>Consumer Finance</t>
        </is>
      </c>
      <c r="I110" s="9" t="inlineStr">
        <is>
          <t>Financial Svcs. (Non-bank &amp; Insurance)</t>
        </is>
      </c>
      <c r="J110" s="10" t="n">
        <v>1</v>
      </c>
    </row>
    <row r="111">
      <c r="A111" s="8" t="n">
        <v>40</v>
      </c>
      <c r="B111" s="8" t="inlineStr">
        <is>
          <t>Financials</t>
        </is>
      </c>
      <c r="C111" s="8" t="n">
        <v>4020</v>
      </c>
      <c r="D111" s="8" t="inlineStr">
        <is>
          <t>Financial Services</t>
        </is>
      </c>
      <c r="E111" s="8" t="n">
        <v>402030</v>
      </c>
      <c r="F111" s="8" t="inlineStr">
        <is>
          <t>Capital Markets</t>
        </is>
      </c>
      <c r="G111" s="8" t="n">
        <v>40203010</v>
      </c>
      <c r="H111" s="8" t="inlineStr">
        <is>
          <t>Asset Management &amp; Custody Banks</t>
        </is>
      </c>
      <c r="I111" s="9" t="inlineStr">
        <is>
          <t>Investments &amp; Asset Management</t>
        </is>
      </c>
      <c r="J111" s="10" t="n">
        <v>1</v>
      </c>
    </row>
    <row r="112">
      <c r="A112" s="8" t="n">
        <v>40</v>
      </c>
      <c r="B112" s="8" t="inlineStr">
        <is>
          <t>Financials</t>
        </is>
      </c>
      <c r="C112" s="8" t="n">
        <v>4020</v>
      </c>
      <c r="D112" s="8" t="inlineStr">
        <is>
          <t>Financial Services</t>
        </is>
      </c>
      <c r="E112" s="8" t="n">
        <v>402030</v>
      </c>
      <c r="F112" s="8" t="inlineStr">
        <is>
          <t>Capital Markets</t>
        </is>
      </c>
      <c r="G112" s="8" t="n">
        <v>40203020</v>
      </c>
      <c r="H112" s="8" t="inlineStr">
        <is>
          <t>Investment Banking &amp; Brokerage</t>
        </is>
      </c>
      <c r="I112" s="9" t="inlineStr">
        <is>
          <t>Brokerage &amp; Investment Banking</t>
        </is>
      </c>
      <c r="J112" s="10" t="n">
        <v>1</v>
      </c>
    </row>
    <row r="113">
      <c r="A113" s="8" t="n">
        <v>40</v>
      </c>
      <c r="B113" s="8" t="inlineStr">
        <is>
          <t>Financials</t>
        </is>
      </c>
      <c r="C113" s="8" t="n">
        <v>4020</v>
      </c>
      <c r="D113" s="8" t="inlineStr">
        <is>
          <t>Financial Services</t>
        </is>
      </c>
      <c r="E113" s="8" t="n">
        <v>402030</v>
      </c>
      <c r="F113" s="8" t="inlineStr">
        <is>
          <t>Capital Markets</t>
        </is>
      </c>
      <c r="G113" s="8" t="n">
        <v>40203030</v>
      </c>
      <c r="H113" s="8" t="inlineStr">
        <is>
          <t>Diversified Capital Markets</t>
        </is>
      </c>
      <c r="I113" s="9" t="inlineStr">
        <is>
          <t>Brokerage &amp; Investment Banking</t>
        </is>
      </c>
      <c r="J113" s="10" t="n">
        <v>1</v>
      </c>
    </row>
    <row r="114">
      <c r="A114" s="8" t="n">
        <v>40</v>
      </c>
      <c r="B114" s="8" t="inlineStr">
        <is>
          <t>Financials</t>
        </is>
      </c>
      <c r="C114" s="8" t="n">
        <v>4020</v>
      </c>
      <c r="D114" s="8" t="inlineStr">
        <is>
          <t>Financial Services</t>
        </is>
      </c>
      <c r="E114" s="8" t="n">
        <v>402030</v>
      </c>
      <c r="F114" s="8" t="inlineStr">
        <is>
          <t>Capital Markets</t>
        </is>
      </c>
      <c r="G114" s="8" t="n">
        <v>40203040</v>
      </c>
      <c r="H114" s="8" t="inlineStr">
        <is>
          <t>Financial Exchanges &amp; Data</t>
        </is>
      </c>
      <c r="I114" s="9" t="inlineStr">
        <is>
          <t>Information Services</t>
        </is>
      </c>
      <c r="J114" s="10" t="n">
        <v>1</v>
      </c>
    </row>
    <row r="115">
      <c r="A115" s="8" t="n">
        <v>40</v>
      </c>
      <c r="B115" s="8" t="inlineStr">
        <is>
          <t>Financials</t>
        </is>
      </c>
      <c r="C115" s="8" t="n">
        <v>4020</v>
      </c>
      <c r="D115" s="8" t="inlineStr">
        <is>
          <t>Financial Services</t>
        </is>
      </c>
      <c r="E115" s="8" t="n">
        <v>402040</v>
      </c>
      <c r="F115" s="8" t="inlineStr">
        <is>
          <t>Mortgage Real Estate Investment Trusts (REITs)</t>
        </is>
      </c>
      <c r="G115" s="8" t="n">
        <v>40204010</v>
      </c>
      <c r="H115" s="8" t="inlineStr">
        <is>
          <t>Mortgage REITs*</t>
        </is>
      </c>
      <c r="I115" s="9" t="inlineStr">
        <is>
          <t>R.E.I.T.</t>
        </is>
      </c>
      <c r="J115" s="10" t="n">
        <v>1</v>
      </c>
    </row>
    <row r="116">
      <c r="A116" s="8" t="n">
        <v>40</v>
      </c>
      <c r="B116" s="8" t="inlineStr">
        <is>
          <t>Financials</t>
        </is>
      </c>
      <c r="C116" s="8" t="n">
        <v>4030</v>
      </c>
      <c r="D116" s="8" t="inlineStr">
        <is>
          <t>Insurance</t>
        </is>
      </c>
      <c r="E116" s="8" t="n">
        <v>403010</v>
      </c>
      <c r="F116" s="8" t="inlineStr">
        <is>
          <t>Insurance</t>
        </is>
      </c>
      <c r="G116" s="8" t="n">
        <v>40301010</v>
      </c>
      <c r="H116" s="8" t="inlineStr">
        <is>
          <t>Insurance Brokers</t>
        </is>
      </c>
      <c r="I116" s="9" t="inlineStr">
        <is>
          <t>Insurance (General)</t>
        </is>
      </c>
      <c r="J116" s="10" t="n">
        <v>1</v>
      </c>
    </row>
    <row r="117">
      <c r="A117" s="8" t="n">
        <v>40</v>
      </c>
      <c r="B117" s="8" t="inlineStr">
        <is>
          <t>Financials</t>
        </is>
      </c>
      <c r="C117" s="8" t="n">
        <v>4030</v>
      </c>
      <c r="D117" s="8" t="inlineStr">
        <is>
          <t>Insurance</t>
        </is>
      </c>
      <c r="E117" s="8" t="n">
        <v>403010</v>
      </c>
      <c r="F117" s="8" t="inlineStr">
        <is>
          <t>Insurance</t>
        </is>
      </c>
      <c r="G117" s="8" t="n">
        <v>40301020</v>
      </c>
      <c r="H117" s="8" t="inlineStr">
        <is>
          <t>Life &amp; Health Insurance</t>
        </is>
      </c>
      <c r="I117" s="9" t="inlineStr">
        <is>
          <t>Insurance (Life)</t>
        </is>
      </c>
      <c r="J117" s="10" t="n">
        <v>1</v>
      </c>
    </row>
    <row r="118">
      <c r="A118" s="8" t="n">
        <v>40</v>
      </c>
      <c r="B118" s="8" t="inlineStr">
        <is>
          <t>Financials</t>
        </is>
      </c>
      <c r="C118" s="8" t="n">
        <v>4030</v>
      </c>
      <c r="D118" s="8" t="inlineStr">
        <is>
          <t>Insurance</t>
        </is>
      </c>
      <c r="E118" s="8" t="n">
        <v>403010</v>
      </c>
      <c r="F118" s="8" t="inlineStr">
        <is>
          <t>Insurance</t>
        </is>
      </c>
      <c r="G118" s="8" t="n">
        <v>40301030</v>
      </c>
      <c r="H118" s="8" t="inlineStr">
        <is>
          <t>Multi-line Insurance</t>
        </is>
      </c>
      <c r="I118" s="9" t="inlineStr">
        <is>
          <t>Insurance (General)</t>
        </is>
      </c>
      <c r="J118" s="10" t="n">
        <v>1</v>
      </c>
    </row>
    <row r="119">
      <c r="A119" s="8" t="n">
        <v>40</v>
      </c>
      <c r="B119" s="8" t="inlineStr">
        <is>
          <t>Financials</t>
        </is>
      </c>
      <c r="C119" s="8" t="n">
        <v>4030</v>
      </c>
      <c r="D119" s="8" t="inlineStr">
        <is>
          <t>Insurance</t>
        </is>
      </c>
      <c r="E119" s="8" t="n">
        <v>403010</v>
      </c>
      <c r="F119" s="8" t="inlineStr">
        <is>
          <t>Insurance</t>
        </is>
      </c>
      <c r="G119" s="8" t="n">
        <v>40301040</v>
      </c>
      <c r="H119" s="8" t="inlineStr">
        <is>
          <t>Property &amp; Casualty Insurance</t>
        </is>
      </c>
      <c r="I119" s="9" t="inlineStr">
        <is>
          <t>Insurance (Prop/Cas.)</t>
        </is>
      </c>
      <c r="J119" s="10" t="n">
        <v>1</v>
      </c>
    </row>
    <row r="120">
      <c r="A120" s="8" t="n">
        <v>40</v>
      </c>
      <c r="B120" s="8" t="inlineStr">
        <is>
          <t>Financials</t>
        </is>
      </c>
      <c r="C120" s="8" t="n">
        <v>4030</v>
      </c>
      <c r="D120" s="8" t="inlineStr">
        <is>
          <t>Insurance</t>
        </is>
      </c>
      <c r="E120" s="8" t="n">
        <v>403010</v>
      </c>
      <c r="F120" s="8" t="inlineStr">
        <is>
          <t>Insurance</t>
        </is>
      </c>
      <c r="G120" s="8" t="n">
        <v>40301050</v>
      </c>
      <c r="H120" s="8" t="inlineStr">
        <is>
          <t>Reinsurance</t>
        </is>
      </c>
      <c r="I120" s="9" t="inlineStr">
        <is>
          <t>Reinsurance</t>
        </is>
      </c>
      <c r="J120" s="10" t="n">
        <v>1</v>
      </c>
    </row>
    <row r="121">
      <c r="A121" s="8" t="n">
        <v>45</v>
      </c>
      <c r="B121" s="8" t="inlineStr">
        <is>
          <t>Information Technology</t>
        </is>
      </c>
      <c r="C121" s="8" t="n">
        <v>4510</v>
      </c>
      <c r="D121" s="8" t="inlineStr">
        <is>
          <t>Software &amp; Services</t>
        </is>
      </c>
      <c r="E121" s="8" t="n">
        <v>451020</v>
      </c>
      <c r="F121" s="8" t="inlineStr">
        <is>
          <t>IT Services</t>
        </is>
      </c>
      <c r="G121" s="8" t="n">
        <v>45102010</v>
      </c>
      <c r="H121" s="8" t="inlineStr">
        <is>
          <t>IT Consulting &amp; Other Services</t>
        </is>
      </c>
      <c r="I121" s="9" t="inlineStr">
        <is>
          <t>Computer Services</t>
        </is>
      </c>
      <c r="J121" s="10" t="n">
        <v>1</v>
      </c>
    </row>
    <row r="122">
      <c r="A122" s="8" t="n">
        <v>45</v>
      </c>
      <c r="B122" s="8" t="inlineStr">
        <is>
          <t>Information Technology</t>
        </is>
      </c>
      <c r="C122" s="8" t="n">
        <v>4510</v>
      </c>
      <c r="D122" s="8" t="inlineStr">
        <is>
          <t>Software &amp; Services</t>
        </is>
      </c>
      <c r="E122" s="8" t="n">
        <v>451020</v>
      </c>
      <c r="F122" s="8" t="inlineStr">
        <is>
          <t>IT Services</t>
        </is>
      </c>
      <c r="G122" s="8" t="n">
        <v>45102030</v>
      </c>
      <c r="H122" s="8" t="inlineStr">
        <is>
          <t>Internet Services &amp; Infrastructure</t>
        </is>
      </c>
      <c r="I122" s="9" t="inlineStr">
        <is>
          <t>Software (Internet)</t>
        </is>
      </c>
      <c r="J122" s="10" t="n">
        <v>1</v>
      </c>
    </row>
    <row r="123">
      <c r="A123" s="8" t="n">
        <v>45</v>
      </c>
      <c r="B123" s="8" t="inlineStr">
        <is>
          <t>Information Technology</t>
        </is>
      </c>
      <c r="C123" s="8" t="n">
        <v>4510</v>
      </c>
      <c r="D123" s="8" t="inlineStr">
        <is>
          <t>Software &amp; Services</t>
        </is>
      </c>
      <c r="E123" s="8" t="n">
        <v>451030</v>
      </c>
      <c r="F123" s="8" t="inlineStr">
        <is>
          <t>Software</t>
        </is>
      </c>
      <c r="G123" s="8" t="n">
        <v>45103010</v>
      </c>
      <c r="H123" s="8" t="inlineStr">
        <is>
          <t>Application Software</t>
        </is>
      </c>
      <c r="I123" s="9" t="inlineStr">
        <is>
          <t>Software (System &amp; Application)</t>
        </is>
      </c>
      <c r="J123" s="10" t="n">
        <v>1</v>
      </c>
    </row>
    <row r="124">
      <c r="A124" s="8" t="n">
        <v>45</v>
      </c>
      <c r="B124" s="8" t="inlineStr">
        <is>
          <t>Information Technology</t>
        </is>
      </c>
      <c r="C124" s="8" t="n">
        <v>4510</v>
      </c>
      <c r="D124" s="8" t="inlineStr">
        <is>
          <t>Software &amp; Services</t>
        </is>
      </c>
      <c r="E124" s="8" t="n">
        <v>451030</v>
      </c>
      <c r="F124" s="8" t="inlineStr">
        <is>
          <t>Software</t>
        </is>
      </c>
      <c r="G124" s="8" t="n">
        <v>45103020</v>
      </c>
      <c r="H124" s="8" t="inlineStr">
        <is>
          <t>Systems Software</t>
        </is>
      </c>
      <c r="I124" s="9" t="inlineStr">
        <is>
          <t>Software (System &amp; Application)</t>
        </is>
      </c>
      <c r="J124" s="10" t="n">
        <v>1</v>
      </c>
    </row>
    <row r="125">
      <c r="A125" s="8" t="n">
        <v>45</v>
      </c>
      <c r="B125" s="8" t="inlineStr">
        <is>
          <t>Information Technology</t>
        </is>
      </c>
      <c r="C125" s="8" t="n">
        <v>4520</v>
      </c>
      <c r="D125" s="8" t="inlineStr">
        <is>
          <t>Technology Hardware &amp; Equipment</t>
        </is>
      </c>
      <c r="E125" s="8" t="n">
        <v>452010</v>
      </c>
      <c r="F125" s="8" t="inlineStr">
        <is>
          <t>Communications Equipment</t>
        </is>
      </c>
      <c r="G125" s="8" t="n">
        <v>45201020</v>
      </c>
      <c r="H125" s="8" t="inlineStr">
        <is>
          <t>Communications Equipment</t>
        </is>
      </c>
      <c r="I125" s="9" t="inlineStr">
        <is>
          <t>Telecom. Equipment</t>
        </is>
      </c>
      <c r="J125" s="10" t="n">
        <v>1</v>
      </c>
    </row>
    <row r="126">
      <c r="A126" s="8" t="n">
        <v>45</v>
      </c>
      <c r="B126" s="8" t="inlineStr">
        <is>
          <t>Information Technology</t>
        </is>
      </c>
      <c r="C126" s="8" t="n">
        <v>4520</v>
      </c>
      <c r="D126" s="8" t="inlineStr">
        <is>
          <t>Technology Hardware &amp; Equipment</t>
        </is>
      </c>
      <c r="E126" s="8" t="n">
        <v>452020</v>
      </c>
      <c r="F126" s="8" t="inlineStr">
        <is>
          <t>Technology Hardware, Storage &amp; Peripherals</t>
        </is>
      </c>
      <c r="G126" s="8" t="n">
        <v>45202030</v>
      </c>
      <c r="H126" s="8" t="inlineStr">
        <is>
          <t>Technology Hardware, Storage &amp; Peripherals</t>
        </is>
      </c>
      <c r="I126" s="9" t="inlineStr">
        <is>
          <t>Computers/Peripherals</t>
        </is>
      </c>
      <c r="J126" s="10" t="n">
        <v>1</v>
      </c>
    </row>
    <row r="127">
      <c r="A127" s="8" t="n">
        <v>45</v>
      </c>
      <c r="B127" s="8" t="inlineStr">
        <is>
          <t>Information Technology</t>
        </is>
      </c>
      <c r="C127" s="8" t="n">
        <v>4520</v>
      </c>
      <c r="D127" s="8" t="inlineStr">
        <is>
          <t>Technology Hardware &amp; Equipment</t>
        </is>
      </c>
      <c r="E127" s="8" t="n">
        <v>452030</v>
      </c>
      <c r="F127" s="8" t="inlineStr">
        <is>
          <t>Electronic Equipment, Instruments &amp; Components</t>
        </is>
      </c>
      <c r="G127" s="8" t="n">
        <v>45203010</v>
      </c>
      <c r="H127" s="8" t="inlineStr">
        <is>
          <t>Electronic Equipment &amp; Instruments</t>
        </is>
      </c>
      <c r="I127" s="9" t="inlineStr">
        <is>
          <t>Electronics (General)</t>
        </is>
      </c>
      <c r="J127" s="10" t="n">
        <v>1</v>
      </c>
    </row>
    <row r="128">
      <c r="A128" s="8" t="n">
        <v>45</v>
      </c>
      <c r="B128" s="8" t="inlineStr">
        <is>
          <t>Information Technology</t>
        </is>
      </c>
      <c r="C128" s="8" t="n">
        <v>4520</v>
      </c>
      <c r="D128" s="8" t="inlineStr">
        <is>
          <t>Technology Hardware &amp; Equipment</t>
        </is>
      </c>
      <c r="E128" s="8" t="n">
        <v>452030</v>
      </c>
      <c r="F128" s="8" t="inlineStr">
        <is>
          <t>Electronic Equipment, Instruments &amp; Components</t>
        </is>
      </c>
      <c r="G128" s="8" t="n">
        <v>45203015</v>
      </c>
      <c r="H128" s="8" t="inlineStr">
        <is>
          <t>Electronic Components</t>
        </is>
      </c>
      <c r="I128" s="9" t="inlineStr">
        <is>
          <t>Electronics (General)</t>
        </is>
      </c>
      <c r="J128" s="10" t="n">
        <v>1</v>
      </c>
    </row>
    <row r="129">
      <c r="A129" s="8" t="n">
        <v>45</v>
      </c>
      <c r="B129" s="8" t="inlineStr">
        <is>
          <t>Information Technology</t>
        </is>
      </c>
      <c r="C129" s="8" t="n">
        <v>4520</v>
      </c>
      <c r="D129" s="8" t="inlineStr">
        <is>
          <t>Technology Hardware &amp; Equipment</t>
        </is>
      </c>
      <c r="E129" s="8" t="n">
        <v>452030</v>
      </c>
      <c r="F129" s="8" t="inlineStr">
        <is>
          <t>Electronic Equipment, Instruments &amp; Components</t>
        </is>
      </c>
      <c r="G129" s="8" t="n">
        <v>45203020</v>
      </c>
      <c r="H129" s="8" t="inlineStr">
        <is>
          <t>Electronic Manufacturing Services</t>
        </is>
      </c>
      <c r="I129" s="9" t="inlineStr">
        <is>
          <t>Electronics (General)</t>
        </is>
      </c>
      <c r="J129" s="10" t="n">
        <v>1</v>
      </c>
    </row>
    <row r="130">
      <c r="A130" s="8" t="n">
        <v>45</v>
      </c>
      <c r="B130" s="8" t="inlineStr">
        <is>
          <t>Information Technology</t>
        </is>
      </c>
      <c r="C130" s="8" t="n">
        <v>4520</v>
      </c>
      <c r="D130" s="8" t="inlineStr">
        <is>
          <t>Technology Hardware &amp; Equipment</t>
        </is>
      </c>
      <c r="E130" s="8" t="n">
        <v>452030</v>
      </c>
      <c r="F130" s="8" t="inlineStr">
        <is>
          <t>Electronic Equipment, Instruments &amp; Components</t>
        </is>
      </c>
      <c r="G130" s="8" t="n">
        <v>45203030</v>
      </c>
      <c r="H130" s="8" t="inlineStr">
        <is>
          <t>Technology Distributors</t>
        </is>
      </c>
      <c r="I130" s="9" t="inlineStr">
        <is>
          <t>Electronics (General)</t>
        </is>
      </c>
      <c r="J130" s="10" t="n">
        <v>1</v>
      </c>
    </row>
    <row r="131">
      <c r="A131" s="8" t="n">
        <v>45</v>
      </c>
      <c r="B131" s="8" t="inlineStr">
        <is>
          <t>Information Technology</t>
        </is>
      </c>
      <c r="C131" s="8" t="n">
        <v>4530</v>
      </c>
      <c r="D131" s="8" t="inlineStr">
        <is>
          <t>Semiconductors &amp; Semiconductor Equipment</t>
        </is>
      </c>
      <c r="E131" s="8" t="n">
        <v>453010</v>
      </c>
      <c r="F131" s="8" t="inlineStr">
        <is>
          <t>Semiconductors &amp; Semiconductor Equipment</t>
        </is>
      </c>
      <c r="G131" s="8" t="n">
        <v>45301010</v>
      </c>
      <c r="H131" s="8" t="inlineStr">
        <is>
          <t>Semiconductor Materials &amp; Equipment</t>
        </is>
      </c>
      <c r="I131" s="9" t="inlineStr">
        <is>
          <t>Semiconductor Equip</t>
        </is>
      </c>
      <c r="J131" s="10" t="n">
        <v>1</v>
      </c>
    </row>
    <row r="132">
      <c r="A132" s="8" t="n">
        <v>45</v>
      </c>
      <c r="B132" s="8" t="inlineStr">
        <is>
          <t>Information Technology</t>
        </is>
      </c>
      <c r="C132" s="8" t="n">
        <v>4530</v>
      </c>
      <c r="D132" s="8" t="inlineStr">
        <is>
          <t>Semiconductors &amp; Semiconductor Equipment</t>
        </is>
      </c>
      <c r="E132" s="8" t="n">
        <v>453010</v>
      </c>
      <c r="F132" s="8" t="inlineStr">
        <is>
          <t>Semiconductors &amp; Semiconductor Equipment</t>
        </is>
      </c>
      <c r="G132" s="8" t="n">
        <v>45301020</v>
      </c>
      <c r="H132" s="8" t="inlineStr">
        <is>
          <t>Semiconductors</t>
        </is>
      </c>
      <c r="I132" s="9" t="inlineStr">
        <is>
          <t>Semiconductor</t>
        </is>
      </c>
      <c r="J132" s="10" t="n">
        <v>1</v>
      </c>
    </row>
    <row r="133">
      <c r="A133" s="8" t="n">
        <v>50</v>
      </c>
      <c r="B133" s="8" t="inlineStr">
        <is>
          <t>Communication Services</t>
        </is>
      </c>
      <c r="C133" s="8" t="n">
        <v>5010</v>
      </c>
      <c r="D133" s="8" t="inlineStr">
        <is>
          <t>Telecommunication Services</t>
        </is>
      </c>
      <c r="E133" s="8" t="n">
        <v>501010</v>
      </c>
      <c r="F133" s="8" t="inlineStr">
        <is>
          <t>Diversified Telecommunication Services</t>
        </is>
      </c>
      <c r="G133" s="8" t="n">
        <v>50101010</v>
      </c>
      <c r="H133" s="8" t="inlineStr">
        <is>
          <t>Alternative Carriers</t>
        </is>
      </c>
      <c r="I133" s="9" t="inlineStr">
        <is>
          <t>Telecom. Services</t>
        </is>
      </c>
      <c r="J133" s="10" t="n">
        <v>1</v>
      </c>
    </row>
    <row r="134">
      <c r="A134" s="8" t="n">
        <v>50</v>
      </c>
      <c r="B134" s="8" t="inlineStr">
        <is>
          <t>Communication Services</t>
        </is>
      </c>
      <c r="C134" s="8" t="n">
        <v>5010</v>
      </c>
      <c r="D134" s="8" t="inlineStr">
        <is>
          <t>Telecommunication Services</t>
        </is>
      </c>
      <c r="E134" s="8" t="n">
        <v>501010</v>
      </c>
      <c r="F134" s="8" t="inlineStr">
        <is>
          <t>Diversified Telecommunication Services</t>
        </is>
      </c>
      <c r="G134" s="8" t="n">
        <v>50101020</v>
      </c>
      <c r="H134" s="8" t="inlineStr">
        <is>
          <t>Integrated Telecommunication Services</t>
        </is>
      </c>
      <c r="I134" s="9" t="inlineStr">
        <is>
          <t>Telecom. Services</t>
        </is>
      </c>
      <c r="J134" s="10" t="n">
        <v>1</v>
      </c>
    </row>
    <row r="135">
      <c r="A135" s="8" t="n">
        <v>50</v>
      </c>
      <c r="B135" s="8" t="inlineStr">
        <is>
          <t>Communication Services</t>
        </is>
      </c>
      <c r="C135" s="8" t="n">
        <v>5010</v>
      </c>
      <c r="D135" s="8" t="inlineStr">
        <is>
          <t>Telecommunication Services</t>
        </is>
      </c>
      <c r="E135" s="8" t="n">
        <v>501020</v>
      </c>
      <c r="F135" s="8" t="inlineStr">
        <is>
          <t>Wireless Telecommunication Services</t>
        </is>
      </c>
      <c r="G135" s="8" t="n">
        <v>50102010</v>
      </c>
      <c r="H135" s="8" t="inlineStr">
        <is>
          <t>Wireless Telecommunication Services</t>
        </is>
      </c>
      <c r="I135" s="9" t="inlineStr">
        <is>
          <t>Telecom (Wireless)</t>
        </is>
      </c>
      <c r="J135" s="10" t="n">
        <v>1</v>
      </c>
    </row>
    <row r="136">
      <c r="A136" s="8" t="n">
        <v>50</v>
      </c>
      <c r="B136" s="8" t="inlineStr">
        <is>
          <t>Communication Services</t>
        </is>
      </c>
      <c r="C136" s="8" t="n">
        <v>5020</v>
      </c>
      <c r="D136" s="8" t="inlineStr">
        <is>
          <t>Media &amp; Entertainment</t>
        </is>
      </c>
      <c r="E136" s="8" t="n">
        <v>502010</v>
      </c>
      <c r="F136" s="8" t="inlineStr">
        <is>
          <t>Media</t>
        </is>
      </c>
      <c r="G136" s="8" t="n">
        <v>50201010</v>
      </c>
      <c r="H136" s="8" t="inlineStr">
        <is>
          <t>Advertising</t>
        </is>
      </c>
      <c r="I136" s="9" t="inlineStr">
        <is>
          <t>Advertising</t>
        </is>
      </c>
      <c r="J136" s="10" t="n">
        <v>1</v>
      </c>
    </row>
    <row r="137">
      <c r="A137" s="8" t="n">
        <v>50</v>
      </c>
      <c r="B137" s="8" t="inlineStr">
        <is>
          <t>Communication Services</t>
        </is>
      </c>
      <c r="C137" s="8" t="n">
        <v>5020</v>
      </c>
      <c r="D137" s="8" t="inlineStr">
        <is>
          <t>Media &amp; Entertainment</t>
        </is>
      </c>
      <c r="E137" s="8" t="n">
        <v>502010</v>
      </c>
      <c r="F137" s="8" t="inlineStr">
        <is>
          <t>Media</t>
        </is>
      </c>
      <c r="G137" s="8" t="n">
        <v>50201020</v>
      </c>
      <c r="H137" s="8" t="inlineStr">
        <is>
          <t>Broadcasting</t>
        </is>
      </c>
      <c r="I137" s="9" t="inlineStr">
        <is>
          <t>Broadcasting</t>
        </is>
      </c>
      <c r="J137" s="10" t="n">
        <v>1</v>
      </c>
    </row>
    <row r="138">
      <c r="A138" s="8" t="n">
        <v>50</v>
      </c>
      <c r="B138" s="8" t="inlineStr">
        <is>
          <t>Communication Services</t>
        </is>
      </c>
      <c r="C138" s="8" t="n">
        <v>5020</v>
      </c>
      <c r="D138" s="8" t="inlineStr">
        <is>
          <t>Media &amp; Entertainment</t>
        </is>
      </c>
      <c r="E138" s="8" t="n">
        <v>502010</v>
      </c>
      <c r="F138" s="8" t="inlineStr">
        <is>
          <t>Media</t>
        </is>
      </c>
      <c r="G138" s="8" t="n">
        <v>50201030</v>
      </c>
      <c r="H138" s="8" t="inlineStr">
        <is>
          <t>Cable &amp; Satellite</t>
        </is>
      </c>
      <c r="I138" s="9" t="inlineStr">
        <is>
          <t>Cable TV</t>
        </is>
      </c>
      <c r="J138" s="10" t="n">
        <v>1</v>
      </c>
    </row>
    <row r="139">
      <c r="A139" s="8" t="n">
        <v>50</v>
      </c>
      <c r="B139" s="8" t="inlineStr">
        <is>
          <t>Communication Services</t>
        </is>
      </c>
      <c r="C139" s="8" t="n">
        <v>5020</v>
      </c>
      <c r="D139" s="8" t="inlineStr">
        <is>
          <t>Media &amp; Entertainment</t>
        </is>
      </c>
      <c r="E139" s="8" t="n">
        <v>502010</v>
      </c>
      <c r="F139" s="8" t="inlineStr">
        <is>
          <t>Media</t>
        </is>
      </c>
      <c r="G139" s="8" t="n">
        <v>50201040</v>
      </c>
      <c r="H139" s="8" t="inlineStr">
        <is>
          <t>Publishing</t>
        </is>
      </c>
      <c r="I139" s="9" t="inlineStr">
        <is>
          <t>Publishing &amp; Newspapers</t>
        </is>
      </c>
      <c r="J139" s="10" t="n">
        <v>1</v>
      </c>
    </row>
    <row r="140">
      <c r="A140" s="8" t="n">
        <v>50</v>
      </c>
      <c r="B140" s="8" t="inlineStr">
        <is>
          <t>Communication Services</t>
        </is>
      </c>
      <c r="C140" s="8" t="n">
        <v>5020</v>
      </c>
      <c r="D140" s="8" t="inlineStr">
        <is>
          <t>Media &amp; Entertainment</t>
        </is>
      </c>
      <c r="E140" s="8" t="n">
        <v>502020</v>
      </c>
      <c r="F140" s="8" t="inlineStr">
        <is>
          <t>Entertainment</t>
        </is>
      </c>
      <c r="G140" s="8" t="n">
        <v>50202010</v>
      </c>
      <c r="H140" s="8" t="inlineStr">
        <is>
          <t>Movies &amp; Entertainment</t>
        </is>
      </c>
      <c r="I140" s="9" t="inlineStr">
        <is>
          <t>Entertainment</t>
        </is>
      </c>
      <c r="J140" s="10" t="n">
        <v>1</v>
      </c>
    </row>
    <row r="141">
      <c r="A141" s="8" t="n">
        <v>50</v>
      </c>
      <c r="B141" s="8" t="inlineStr">
        <is>
          <t>Communication Services</t>
        </is>
      </c>
      <c r="C141" s="8" t="n">
        <v>5020</v>
      </c>
      <c r="D141" s="8" t="inlineStr">
        <is>
          <t>Media &amp; Entertainment</t>
        </is>
      </c>
      <c r="E141" s="8" t="n">
        <v>502020</v>
      </c>
      <c r="F141" s="8" t="inlineStr">
        <is>
          <t>Entertainment</t>
        </is>
      </c>
      <c r="G141" s="8" t="n">
        <v>50202020</v>
      </c>
      <c r="H141" s="8" t="inlineStr">
        <is>
          <t>Interactive Home Entertainment</t>
        </is>
      </c>
      <c r="I141" s="9" t="inlineStr">
        <is>
          <t>Software (Entertainment)</t>
        </is>
      </c>
      <c r="J141" s="10" t="n">
        <v>1</v>
      </c>
    </row>
    <row r="142">
      <c r="A142" s="8" t="n">
        <v>50</v>
      </c>
      <c r="B142" s="8" t="inlineStr">
        <is>
          <t>Communication Services</t>
        </is>
      </c>
      <c r="C142" s="8" t="n">
        <v>5020</v>
      </c>
      <c r="D142" s="8" t="inlineStr">
        <is>
          <t>Media &amp; Entertainment</t>
        </is>
      </c>
      <c r="E142" s="8" t="n">
        <v>502030</v>
      </c>
      <c r="F142" s="8" t="inlineStr">
        <is>
          <t>Interactive Media &amp; Services</t>
        </is>
      </c>
      <c r="G142" s="8" t="n">
        <v>50203010</v>
      </c>
      <c r="H142" s="8" t="inlineStr">
        <is>
          <t>Interactive Media &amp; Services</t>
        </is>
      </c>
      <c r="I142" s="9" t="inlineStr">
        <is>
          <t>Software (Internet)</t>
        </is>
      </c>
      <c r="J142" s="10" t="n">
        <v>1</v>
      </c>
    </row>
    <row r="143">
      <c r="A143" s="8" t="n">
        <v>55</v>
      </c>
      <c r="B143" s="8" t="inlineStr">
        <is>
          <t>Utilities</t>
        </is>
      </c>
      <c r="C143" s="8" t="n">
        <v>5510</v>
      </c>
      <c r="D143" s="8" t="inlineStr">
        <is>
          <t>Utilities</t>
        </is>
      </c>
      <c r="E143" s="8" t="n">
        <v>551010</v>
      </c>
      <c r="F143" s="8" t="inlineStr">
        <is>
          <t>Electric Utilities</t>
        </is>
      </c>
      <c r="G143" s="8" t="n">
        <v>55101010</v>
      </c>
      <c r="H143" s="8" t="inlineStr">
        <is>
          <t>Electric Utilities</t>
        </is>
      </c>
      <c r="I143" s="9" t="inlineStr">
        <is>
          <t>Utility (General)</t>
        </is>
      </c>
      <c r="J143" s="10" t="n">
        <v>1</v>
      </c>
    </row>
    <row r="144">
      <c r="A144" s="8" t="n">
        <v>55</v>
      </c>
      <c r="B144" s="8" t="inlineStr">
        <is>
          <t>Utilities</t>
        </is>
      </c>
      <c r="C144" s="8" t="n">
        <v>5510</v>
      </c>
      <c r="D144" s="8" t="inlineStr">
        <is>
          <t>Utilities</t>
        </is>
      </c>
      <c r="E144" s="8" t="n">
        <v>551020</v>
      </c>
      <c r="F144" s="8" t="inlineStr">
        <is>
          <t>Gas Utilities</t>
        </is>
      </c>
      <c r="G144" s="8" t="n">
        <v>55102010</v>
      </c>
      <c r="H144" s="8" t="inlineStr">
        <is>
          <t>Gas Utilities</t>
        </is>
      </c>
      <c r="I144" s="9" t="inlineStr">
        <is>
          <t>Utility (General)</t>
        </is>
      </c>
      <c r="J144" s="10" t="n">
        <v>1</v>
      </c>
    </row>
    <row r="145">
      <c r="A145" s="8" t="n">
        <v>55</v>
      </c>
      <c r="B145" s="8" t="inlineStr">
        <is>
          <t>Utilities</t>
        </is>
      </c>
      <c r="C145" s="8" t="n">
        <v>5510</v>
      </c>
      <c r="D145" s="8" t="inlineStr">
        <is>
          <t>Utilities</t>
        </is>
      </c>
      <c r="E145" s="8" t="n">
        <v>551030</v>
      </c>
      <c r="F145" s="8" t="inlineStr">
        <is>
          <t>Multi-Utilities</t>
        </is>
      </c>
      <c r="G145" s="8" t="n">
        <v>55103010</v>
      </c>
      <c r="H145" s="8" t="inlineStr">
        <is>
          <t>Multi-Utilities</t>
        </is>
      </c>
      <c r="I145" s="9" t="inlineStr">
        <is>
          <t>Utility (General)</t>
        </is>
      </c>
      <c r="J145" s="10" t="n">
        <v>1</v>
      </c>
    </row>
    <row r="146">
      <c r="A146" s="8" t="n">
        <v>55</v>
      </c>
      <c r="B146" s="8" t="inlineStr">
        <is>
          <t>Utilities</t>
        </is>
      </c>
      <c r="C146" s="8" t="n">
        <v>5510</v>
      </c>
      <c r="D146" s="8" t="inlineStr">
        <is>
          <t>Utilities</t>
        </is>
      </c>
      <c r="E146" s="8" t="n">
        <v>551040</v>
      </c>
      <c r="F146" s="8" t="inlineStr">
        <is>
          <t>Water Utilities</t>
        </is>
      </c>
      <c r="G146" s="8" t="n">
        <v>55104010</v>
      </c>
      <c r="H146" s="8" t="inlineStr">
        <is>
          <t>Water Utilities</t>
        </is>
      </c>
      <c r="I146" s="9" t="inlineStr">
        <is>
          <t>Utility (Water)</t>
        </is>
      </c>
      <c r="J146" s="10" t="n">
        <v>1</v>
      </c>
    </row>
    <row r="147">
      <c r="A147" s="8" t="n">
        <v>55</v>
      </c>
      <c r="B147" s="8" t="inlineStr">
        <is>
          <t>Utilities</t>
        </is>
      </c>
      <c r="C147" s="8" t="n">
        <v>5510</v>
      </c>
      <c r="D147" s="8" t="inlineStr">
        <is>
          <t>Utilities</t>
        </is>
      </c>
      <c r="E147" s="8" t="n">
        <v>551050</v>
      </c>
      <c r="F147" s="8" t="inlineStr">
        <is>
          <t>Independent Power and Renewable Electricity Producers</t>
        </is>
      </c>
      <c r="G147" s="8" t="n">
        <v>55105010</v>
      </c>
      <c r="H147" s="8" t="inlineStr">
        <is>
          <t>Independent Power Producers &amp; Energy Traders</t>
        </is>
      </c>
      <c r="I147" s="9" t="inlineStr">
        <is>
          <t>Power</t>
        </is>
      </c>
      <c r="J147" s="10" t="n">
        <v>1</v>
      </c>
    </row>
    <row r="148">
      <c r="A148" s="8" t="n">
        <v>55</v>
      </c>
      <c r="B148" s="8" t="inlineStr">
        <is>
          <t>Utilities</t>
        </is>
      </c>
      <c r="C148" s="8" t="n">
        <v>5510</v>
      </c>
      <c r="D148" s="8" t="inlineStr">
        <is>
          <t>Utilities</t>
        </is>
      </c>
      <c r="E148" s="8" t="n">
        <v>551050</v>
      </c>
      <c r="F148" s="8" t="inlineStr">
        <is>
          <t>Independent Power and Renewable Electricity Producers</t>
        </is>
      </c>
      <c r="G148" s="8" t="n">
        <v>55105020</v>
      </c>
      <c r="H148" s="8" t="inlineStr">
        <is>
          <t>Renewable Electricity</t>
        </is>
      </c>
      <c r="I148" s="9" t="inlineStr">
        <is>
          <t>Green &amp; Renewable Energy</t>
        </is>
      </c>
      <c r="J148" s="10" t="n">
        <v>1</v>
      </c>
    </row>
    <row r="149">
      <c r="A149" s="8" t="n">
        <v>60</v>
      </c>
      <c r="B149" s="8" t="inlineStr">
        <is>
          <t>Real Estate</t>
        </is>
      </c>
      <c r="C149" s="8" t="n">
        <v>6010</v>
      </c>
      <c r="D149" s="8" t="inlineStr">
        <is>
          <t>Equity Real Estate Investment Trusts (REITs)</t>
        </is>
      </c>
      <c r="E149" s="8" t="n">
        <v>601010</v>
      </c>
      <c r="F149" s="8" t="inlineStr">
        <is>
          <t>Diversified REITs</t>
        </is>
      </c>
      <c r="G149" s="8" t="n">
        <v>60101010</v>
      </c>
      <c r="H149" s="8" t="inlineStr">
        <is>
          <t>Diversified REITs*</t>
        </is>
      </c>
      <c r="I149" s="9" t="inlineStr">
        <is>
          <t>Real Estate (General/Diversified)</t>
        </is>
      </c>
      <c r="J149" s="10" t="n">
        <v>1</v>
      </c>
    </row>
    <row r="150">
      <c r="A150" s="8" t="n">
        <v>60</v>
      </c>
      <c r="B150" s="8" t="inlineStr">
        <is>
          <t>Real Estate</t>
        </is>
      </c>
      <c r="C150" s="8" t="n">
        <v>6010</v>
      </c>
      <c r="D150" s="8" t="inlineStr">
        <is>
          <t>Equity Real Estate Investment Trusts (REITs)</t>
        </is>
      </c>
      <c r="E150" s="8" t="n">
        <v>601025</v>
      </c>
      <c r="F150" s="8" t="inlineStr">
        <is>
          <t>Industrial REITs</t>
        </is>
      </c>
      <c r="G150" s="8" t="n">
        <v>60102510</v>
      </c>
      <c r="H150" s="8" t="inlineStr">
        <is>
          <t>Industrial REITs*</t>
        </is>
      </c>
      <c r="I150" s="9" t="inlineStr">
        <is>
          <t>R.E.I.T.</t>
        </is>
      </c>
      <c r="J150" s="10" t="n">
        <v>1</v>
      </c>
    </row>
    <row r="151">
      <c r="A151" s="8" t="n">
        <v>60</v>
      </c>
      <c r="B151" s="8" t="inlineStr">
        <is>
          <t>Real Estate</t>
        </is>
      </c>
      <c r="C151" s="8" t="n">
        <v>6010</v>
      </c>
      <c r="D151" s="8" t="inlineStr">
        <is>
          <t>Equity Real Estate Investment Trusts (REITs)</t>
        </is>
      </c>
      <c r="E151" s="8" t="n">
        <v>601030</v>
      </c>
      <c r="F151" s="8" t="inlineStr">
        <is>
          <t>Hotel &amp; Resort REITs</t>
        </is>
      </c>
      <c r="G151" s="8" t="n">
        <v>60103010</v>
      </c>
      <c r="H151" s="8" t="inlineStr">
        <is>
          <t>Hotel &amp; Resort REITs*</t>
        </is>
      </c>
      <c r="I151" s="9" t="inlineStr">
        <is>
          <t>R.E.I.T.</t>
        </is>
      </c>
      <c r="J151" s="10" t="n">
        <v>1</v>
      </c>
    </row>
    <row r="152">
      <c r="A152" s="8" t="n">
        <v>60</v>
      </c>
      <c r="B152" s="8" t="inlineStr">
        <is>
          <t>Real Estate</t>
        </is>
      </c>
      <c r="C152" s="8" t="n">
        <v>6010</v>
      </c>
      <c r="D152" s="8" t="inlineStr">
        <is>
          <t>Equity Real Estate Investment Trusts (REITs)</t>
        </is>
      </c>
      <c r="E152" s="8" t="n">
        <v>601040</v>
      </c>
      <c r="F152" s="8" t="inlineStr">
        <is>
          <t>Office REITs</t>
        </is>
      </c>
      <c r="G152" s="8" t="n">
        <v>60104010</v>
      </c>
      <c r="H152" s="8" t="inlineStr">
        <is>
          <t>Office REITs*</t>
        </is>
      </c>
      <c r="I152" s="9" t="inlineStr">
        <is>
          <t>R.E.I.T.</t>
        </is>
      </c>
      <c r="J152" s="10" t="n">
        <v>1</v>
      </c>
    </row>
    <row r="153">
      <c r="A153" s="8" t="n">
        <v>60</v>
      </c>
      <c r="B153" s="8" t="inlineStr">
        <is>
          <t>Real Estate</t>
        </is>
      </c>
      <c r="C153" s="8" t="n">
        <v>6010</v>
      </c>
      <c r="D153" s="8" t="inlineStr">
        <is>
          <t>Equity Real Estate Investment Trusts (REITs)</t>
        </is>
      </c>
      <c r="E153" s="8" t="n">
        <v>601050</v>
      </c>
      <c r="F153" s="8" t="inlineStr">
        <is>
          <t>Health Care REITs</t>
        </is>
      </c>
      <c r="G153" s="8" t="n">
        <v>60105010</v>
      </c>
      <c r="H153" s="8" t="inlineStr">
        <is>
          <t>Health Care REITs*</t>
        </is>
      </c>
      <c r="I153" s="9" t="inlineStr">
        <is>
          <t>R.E.I.T.</t>
        </is>
      </c>
      <c r="J153" s="10" t="n">
        <v>1</v>
      </c>
    </row>
    <row r="154">
      <c r="A154" s="8" t="n">
        <v>60</v>
      </c>
      <c r="B154" s="8" t="inlineStr">
        <is>
          <t>Real Estate</t>
        </is>
      </c>
      <c r="C154" s="8" t="n">
        <v>6010</v>
      </c>
      <c r="D154" s="8" t="inlineStr">
        <is>
          <t>Equity Real Estate Investment Trusts (REITs)</t>
        </is>
      </c>
      <c r="E154" s="8" t="n">
        <v>601060</v>
      </c>
      <c r="F154" s="8" t="inlineStr">
        <is>
          <t>Residential REITs</t>
        </is>
      </c>
      <c r="G154" s="8" t="n">
        <v>60106010</v>
      </c>
      <c r="H154" s="8" t="inlineStr">
        <is>
          <t>Multi-Family Residential REITs*</t>
        </is>
      </c>
      <c r="I154" s="9" t="inlineStr">
        <is>
          <t>R.E.I.T.</t>
        </is>
      </c>
      <c r="J154" s="10" t="n">
        <v>1</v>
      </c>
    </row>
    <row r="155">
      <c r="A155" s="8" t="n">
        <v>60</v>
      </c>
      <c r="B155" s="8" t="inlineStr">
        <is>
          <t>Real Estate</t>
        </is>
      </c>
      <c r="C155" s="8" t="n">
        <v>6010</v>
      </c>
      <c r="D155" s="8" t="inlineStr">
        <is>
          <t>Equity Real Estate Investment Trusts (REITs)</t>
        </is>
      </c>
      <c r="E155" s="8" t="n">
        <v>601060</v>
      </c>
      <c r="F155" s="8" t="inlineStr">
        <is>
          <t>Residential REITs</t>
        </is>
      </c>
      <c r="G155" s="8" t="n">
        <v>60106020</v>
      </c>
      <c r="H155" s="8" t="inlineStr">
        <is>
          <t>Single-Family Residential REITs*</t>
        </is>
      </c>
      <c r="I155" s="9" t="inlineStr">
        <is>
          <t>R.E.I.T.</t>
        </is>
      </c>
      <c r="J155" s="10" t="n">
        <v>1</v>
      </c>
    </row>
    <row r="156">
      <c r="A156" s="8" t="n">
        <v>60</v>
      </c>
      <c r="B156" s="8" t="inlineStr">
        <is>
          <t>Real Estate</t>
        </is>
      </c>
      <c r="C156" s="8" t="n">
        <v>6010</v>
      </c>
      <c r="D156" s="8" t="inlineStr">
        <is>
          <t>Equity Real Estate Investment Trusts (REITs)</t>
        </is>
      </c>
      <c r="E156" s="8" t="n">
        <v>601070</v>
      </c>
      <c r="F156" s="8" t="inlineStr">
        <is>
          <t>Retail REITs</t>
        </is>
      </c>
      <c r="G156" s="8" t="n">
        <v>60107010</v>
      </c>
      <c r="H156" s="8" t="inlineStr">
        <is>
          <t>Retail REITs*</t>
        </is>
      </c>
      <c r="I156" s="9" t="inlineStr">
        <is>
          <t>Retail (REITs)</t>
        </is>
      </c>
      <c r="J156" s="10" t="n">
        <v>1</v>
      </c>
    </row>
    <row r="157">
      <c r="A157" s="8" t="n">
        <v>60</v>
      </c>
      <c r="B157" s="8" t="inlineStr">
        <is>
          <t>Real Estate</t>
        </is>
      </c>
      <c r="C157" s="8" t="n">
        <v>6010</v>
      </c>
      <c r="D157" s="8" t="inlineStr">
        <is>
          <t>Equity Real Estate Investment Trusts (REITs)</t>
        </is>
      </c>
      <c r="E157" s="8" t="n">
        <v>601080</v>
      </c>
      <c r="F157" s="8" t="inlineStr">
        <is>
          <t>Specialized REITs</t>
        </is>
      </c>
      <c r="G157" s="8" t="n">
        <v>60108010</v>
      </c>
      <c r="H157" s="8" t="inlineStr">
        <is>
          <t>Other Specialized REITs*</t>
        </is>
      </c>
      <c r="I157" s="9" t="inlineStr">
        <is>
          <t>R.E.I.T.</t>
        </is>
      </c>
      <c r="J157" s="10" t="n">
        <v>1</v>
      </c>
    </row>
    <row r="158">
      <c r="A158" s="8" t="n">
        <v>60</v>
      </c>
      <c r="B158" s="8" t="inlineStr">
        <is>
          <t>Real Estate</t>
        </is>
      </c>
      <c r="C158" s="8" t="n">
        <v>6010</v>
      </c>
      <c r="D158" s="8" t="inlineStr">
        <is>
          <t>Equity Real Estate Investment Trusts (REITs)</t>
        </is>
      </c>
      <c r="E158" s="8" t="n">
        <v>601080</v>
      </c>
      <c r="F158" s="8" t="inlineStr">
        <is>
          <t>Specialized REITs</t>
        </is>
      </c>
      <c r="G158" s="8" t="n">
        <v>60108020</v>
      </c>
      <c r="H158" s="8" t="inlineStr">
        <is>
          <t>Self-Storage REITs*</t>
        </is>
      </c>
      <c r="I158" s="9" t="inlineStr">
        <is>
          <t>R.E.I.T.</t>
        </is>
      </c>
      <c r="J158" s="10" t="n">
        <v>1</v>
      </c>
    </row>
    <row r="159">
      <c r="A159" s="8" t="n">
        <v>60</v>
      </c>
      <c r="B159" s="8" t="inlineStr">
        <is>
          <t>Real Estate</t>
        </is>
      </c>
      <c r="C159" s="8" t="n">
        <v>6010</v>
      </c>
      <c r="D159" s="8" t="inlineStr">
        <is>
          <t>Equity Real Estate Investment Trusts (REITs)</t>
        </is>
      </c>
      <c r="E159" s="8" t="n">
        <v>601080</v>
      </c>
      <c r="F159" s="8" t="inlineStr">
        <is>
          <t>Specialized REITs</t>
        </is>
      </c>
      <c r="G159" s="8" t="n">
        <v>60108030</v>
      </c>
      <c r="H159" s="8" t="inlineStr">
        <is>
          <t>Telecom Tower REITs*</t>
        </is>
      </c>
      <c r="I159" s="9" t="inlineStr">
        <is>
          <t>R.E.I.T.</t>
        </is>
      </c>
      <c r="J159" s="10" t="n">
        <v>1</v>
      </c>
    </row>
    <row r="160">
      <c r="A160" s="8" t="n">
        <v>60</v>
      </c>
      <c r="B160" s="8" t="inlineStr">
        <is>
          <t>Real Estate</t>
        </is>
      </c>
      <c r="C160" s="8" t="n">
        <v>6010</v>
      </c>
      <c r="D160" s="8" t="inlineStr">
        <is>
          <t>Equity Real Estate Investment Trusts (REITs)</t>
        </is>
      </c>
      <c r="E160" s="8" t="n">
        <v>601080</v>
      </c>
      <c r="F160" s="8" t="inlineStr">
        <is>
          <t>Specialized REITs</t>
        </is>
      </c>
      <c r="G160" s="8" t="n">
        <v>60108040</v>
      </c>
      <c r="H160" s="8" t="inlineStr">
        <is>
          <t>Timber REITs*</t>
        </is>
      </c>
      <c r="I160" s="9" t="inlineStr">
        <is>
          <t>R.E.I.T.</t>
        </is>
      </c>
      <c r="J160" s="10" t="n">
        <v>1</v>
      </c>
    </row>
    <row r="161">
      <c r="A161" s="8" t="n">
        <v>60</v>
      </c>
      <c r="B161" s="8" t="inlineStr">
        <is>
          <t>Real Estate</t>
        </is>
      </c>
      <c r="C161" s="8" t="n">
        <v>6010</v>
      </c>
      <c r="D161" s="8" t="inlineStr">
        <is>
          <t>Equity Real Estate Investment Trusts (REITs)</t>
        </is>
      </c>
      <c r="E161" s="8" t="n">
        <v>601080</v>
      </c>
      <c r="F161" s="8" t="inlineStr">
        <is>
          <t>Specialized REITs</t>
        </is>
      </c>
      <c r="G161" s="8" t="n">
        <v>60108050</v>
      </c>
      <c r="H161" s="8" t="inlineStr">
        <is>
          <t>Data Center REITs*</t>
        </is>
      </c>
      <c r="I161" s="9" t="inlineStr">
        <is>
          <t>R.E.I.T.</t>
        </is>
      </c>
      <c r="J161" s="10" t="n">
        <v>1</v>
      </c>
    </row>
    <row r="162">
      <c r="A162" s="8" t="n">
        <v>60</v>
      </c>
      <c r="B162" s="8" t="inlineStr">
        <is>
          <t>Real Estate</t>
        </is>
      </c>
      <c r="C162" s="8" t="n">
        <v>6020</v>
      </c>
      <c r="D162" s="8" t="inlineStr">
        <is>
          <t>Real Estate Management &amp; Development</t>
        </is>
      </c>
      <c r="E162" s="8" t="n">
        <v>602010</v>
      </c>
      <c r="F162" s="8" t="inlineStr">
        <is>
          <t>Real Estate Management &amp; Development</t>
        </is>
      </c>
      <c r="G162" s="8" t="n">
        <v>60201010</v>
      </c>
      <c r="H162" s="8" t="inlineStr">
        <is>
          <t>Diversified Real Estate Activities</t>
        </is>
      </c>
      <c r="I162" s="9" t="inlineStr">
        <is>
          <t>Real Estate (General/Diversified)</t>
        </is>
      </c>
      <c r="J162" s="10" t="n">
        <v>1</v>
      </c>
    </row>
    <row r="163">
      <c r="A163" s="8" t="n">
        <v>60</v>
      </c>
      <c r="B163" s="8" t="inlineStr">
        <is>
          <t>Real Estate</t>
        </is>
      </c>
      <c r="C163" s="8" t="n">
        <v>6020</v>
      </c>
      <c r="D163" s="8" t="inlineStr">
        <is>
          <t>Real Estate Management &amp; Development</t>
        </is>
      </c>
      <c r="E163" s="8" t="n">
        <v>602010</v>
      </c>
      <c r="F163" s="8" t="inlineStr">
        <is>
          <t>Real Estate Management &amp; Development</t>
        </is>
      </c>
      <c r="G163" s="8" t="n">
        <v>60201020</v>
      </c>
      <c r="H163" s="8" t="inlineStr">
        <is>
          <t>Real Estate Operating Companies</t>
        </is>
      </c>
      <c r="I163" s="9" t="inlineStr">
        <is>
          <t>Real Estate (Operations &amp; Services)</t>
        </is>
      </c>
      <c r="J163" s="10" t="n">
        <v>1</v>
      </c>
    </row>
    <row r="164">
      <c r="A164" s="8" t="n">
        <v>60</v>
      </c>
      <c r="B164" s="8" t="inlineStr">
        <is>
          <t>Real Estate</t>
        </is>
      </c>
      <c r="C164" s="8" t="n">
        <v>6020</v>
      </c>
      <c r="D164" s="8" t="inlineStr">
        <is>
          <t>Real Estate Management &amp; Development</t>
        </is>
      </c>
      <c r="E164" s="8" t="n">
        <v>602010</v>
      </c>
      <c r="F164" s="8" t="inlineStr">
        <is>
          <t>Real Estate Management &amp; Development</t>
        </is>
      </c>
      <c r="G164" s="8" t="n">
        <v>60201030</v>
      </c>
      <c r="H164" s="8" t="inlineStr">
        <is>
          <t>Real Estate Development</t>
        </is>
      </c>
      <c r="I164" s="9" t="inlineStr">
        <is>
          <t>Real Estate (Development)</t>
        </is>
      </c>
      <c r="J164" s="10" t="n">
        <v>1</v>
      </c>
    </row>
    <row r="165">
      <c r="A165" s="8" t="n">
        <v>60</v>
      </c>
      <c r="B165" s="8" t="inlineStr">
        <is>
          <t>Real Estate</t>
        </is>
      </c>
      <c r="C165" s="8" t="n">
        <v>6020</v>
      </c>
      <c r="D165" s="8" t="inlineStr">
        <is>
          <t>Real Estate Management &amp; Development</t>
        </is>
      </c>
      <c r="E165" s="8" t="n">
        <v>602010</v>
      </c>
      <c r="F165" s="8" t="inlineStr">
        <is>
          <t>Real Estate Management &amp; Development</t>
        </is>
      </c>
      <c r="G165" s="8" t="n">
        <v>60201040</v>
      </c>
      <c r="H165" s="8" t="inlineStr">
        <is>
          <t>Real Estate Services</t>
        </is>
      </c>
      <c r="I165" s="9" t="inlineStr">
        <is>
          <t>Real Estate (Operations &amp; Services)</t>
        </is>
      </c>
      <c r="J165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2" customWidth="1" min="2" max="2"/>
    <col width="10" customWidth="1" min="3" max="3"/>
    <col width="26" customWidth="1" min="4" max="4"/>
    <col width="12" customWidth="1" min="5" max="5"/>
    <col width="12" customWidth="1" min="6" max="6"/>
  </cols>
  <sheetData>
    <row r="1">
      <c r="A1" s="6" t="inlineStr">
        <is>
          <t>STEP 2 — Damodaran industry betas (NYU Stern, updated 5 Jan 2026, US companies). Credibility shrinkage toward the ex-financials market mean (E99) with k=10 dampens thin-sample industries (e.g. Reinsurance, n=1).</t>
        </is>
      </c>
    </row>
    <row r="2">
      <c r="A2" s="7" t="inlineStr">
        <is>
          <t>Industry Name</t>
        </is>
      </c>
      <c r="B2" s="7" t="inlineStr">
        <is>
          <t>Number of firms</t>
        </is>
      </c>
      <c r="C2" s="7" t="inlineStr">
        <is>
          <t>Raw Beta</t>
        </is>
      </c>
      <c r="D2" s="7" t="inlineStr">
        <is>
          <t>Unlevered Beta (corrected for cash)</t>
        </is>
      </c>
      <c r="E2" s="7" t="inlineStr">
        <is>
          <t>Credibility n/(n+10)</t>
        </is>
      </c>
      <c r="F2" s="7" t="inlineStr">
        <is>
          <t>Shrunk Beta (used in cascade)</t>
        </is>
      </c>
    </row>
    <row r="3">
      <c r="A3" s="8" t="inlineStr">
        <is>
          <t>Advertising</t>
        </is>
      </c>
      <c r="B3" s="8" t="n">
        <v>52</v>
      </c>
      <c r="C3" s="8" t="n">
        <v>1.2105</v>
      </c>
      <c r="D3" s="8" t="n">
        <v>1.008</v>
      </c>
      <c r="E3" s="11">
        <f>B3/(B3+10)</f>
        <v/>
      </c>
      <c r="F3" s="12">
        <f>E3*D3+(1-E3)*$F$100</f>
        <v/>
      </c>
    </row>
    <row r="4">
      <c r="A4" s="8" t="inlineStr">
        <is>
          <t>Aerospace/Defense</t>
        </is>
      </c>
      <c r="B4" s="8" t="n">
        <v>79</v>
      </c>
      <c r="C4" s="8" t="n">
        <v>0.9455</v>
      </c>
      <c r="D4" s="8" t="n">
        <v>0.8694</v>
      </c>
      <c r="E4" s="11">
        <f>B4/(B4+10)</f>
        <v/>
      </c>
      <c r="F4" s="12">
        <f>E4*D4+(1-E4)*$F$100</f>
        <v/>
      </c>
    </row>
    <row r="5">
      <c r="A5" s="8" t="inlineStr">
        <is>
          <t>Air Transport</t>
        </is>
      </c>
      <c r="B5" s="8" t="n">
        <v>23</v>
      </c>
      <c r="C5" s="8" t="n">
        <v>1.1855</v>
      </c>
      <c r="D5" s="8" t="n">
        <v>0.7579</v>
      </c>
      <c r="E5" s="11">
        <f>B5/(B5+10)</f>
        <v/>
      </c>
      <c r="F5" s="12">
        <f>E5*D5+(1-E5)*$F$100</f>
        <v/>
      </c>
    </row>
    <row r="6">
      <c r="A6" s="8" t="inlineStr">
        <is>
          <t>Apparel</t>
        </is>
      </c>
      <c r="B6" s="8" t="n">
        <v>35</v>
      </c>
      <c r="C6" s="8" t="n">
        <v>0.9359</v>
      </c>
      <c r="D6" s="8" t="n">
        <v>0.7946</v>
      </c>
      <c r="E6" s="11">
        <f>B6/(B6+10)</f>
        <v/>
      </c>
      <c r="F6" s="12">
        <f>E6*D6+(1-E6)*$F$100</f>
        <v/>
      </c>
    </row>
    <row r="7">
      <c r="A7" s="8" t="inlineStr">
        <is>
          <t>Auto &amp; Truck</t>
        </is>
      </c>
      <c r="B7" s="8" t="n">
        <v>33</v>
      </c>
      <c r="C7" s="8" t="n">
        <v>1.4565</v>
      </c>
      <c r="D7" s="8" t="n">
        <v>1.3082</v>
      </c>
      <c r="E7" s="11">
        <f>B7/(B7+10)</f>
        <v/>
      </c>
      <c r="F7" s="12">
        <f>E7*D7+(1-E7)*$F$100</f>
        <v/>
      </c>
    </row>
    <row r="8">
      <c r="A8" s="8" t="inlineStr">
        <is>
          <t>Auto Parts</t>
        </is>
      </c>
      <c r="B8" s="8" t="n">
        <v>35</v>
      </c>
      <c r="C8" s="8" t="n">
        <v>1.3394</v>
      </c>
      <c r="D8" s="8" t="n">
        <v>1.1283</v>
      </c>
      <c r="E8" s="11">
        <f>B8/(B8+10)</f>
        <v/>
      </c>
      <c r="F8" s="12">
        <f>E8*D8+(1-E8)*$F$100</f>
        <v/>
      </c>
    </row>
    <row r="9">
      <c r="A9" s="8" t="inlineStr">
        <is>
          <t>Bank (Money Center)</t>
        </is>
      </c>
      <c r="B9" s="8" t="n">
        <v>15</v>
      </c>
      <c r="C9" s="8" t="n">
        <v>0.761</v>
      </c>
      <c r="D9" s="8" t="n">
        <v>0.4439</v>
      </c>
      <c r="E9" s="11">
        <f>B9/(B9+10)</f>
        <v/>
      </c>
      <c r="F9" s="12">
        <f>E9*D9+(1-E9)*$F$100</f>
        <v/>
      </c>
    </row>
    <row r="10">
      <c r="A10" s="8" t="inlineStr">
        <is>
          <t>Banks (Regional)</t>
        </is>
      </c>
      <c r="B10" s="8" t="n">
        <v>568</v>
      </c>
      <c r="C10" s="8" t="n">
        <v>0.3985</v>
      </c>
      <c r="D10" s="8" t="n">
        <v>0.3744</v>
      </c>
      <c r="E10" s="11">
        <f>B10/(B10+10)</f>
        <v/>
      </c>
      <c r="F10" s="12">
        <f>E10*D10+(1-E10)*$F$100</f>
        <v/>
      </c>
    </row>
    <row r="11">
      <c r="A11" s="8" t="inlineStr">
        <is>
          <t>Beverage (Alcoholic)</t>
        </is>
      </c>
      <c r="B11" s="8" t="n">
        <v>14</v>
      </c>
      <c r="C11" s="8" t="n">
        <v>0.8125</v>
      </c>
      <c r="D11" s="8" t="n">
        <v>0.628</v>
      </c>
      <c r="E11" s="11">
        <f>B11/(B11+10)</f>
        <v/>
      </c>
      <c r="F11" s="12">
        <f>E11*D11+(1-E11)*$F$100</f>
        <v/>
      </c>
    </row>
    <row r="12">
      <c r="A12" s="8" t="inlineStr">
        <is>
          <t>Beverage (Soft)</t>
        </is>
      </c>
      <c r="B12" s="8" t="n">
        <v>27</v>
      </c>
      <c r="C12" s="8" t="n">
        <v>0.6415</v>
      </c>
      <c r="D12" s="8" t="n">
        <v>0.5755</v>
      </c>
      <c r="E12" s="11">
        <f>B12/(B12+10)</f>
        <v/>
      </c>
      <c r="F12" s="12">
        <f>E12*D12+(1-E12)*$F$100</f>
        <v/>
      </c>
    </row>
    <row r="13">
      <c r="A13" s="8" t="inlineStr">
        <is>
          <t>Broadcasting</t>
        </is>
      </c>
      <c r="B13" s="8" t="n">
        <v>24</v>
      </c>
      <c r="C13" s="8" t="n">
        <v>0.4708</v>
      </c>
      <c r="D13" s="8" t="n">
        <v>0.3153</v>
      </c>
      <c r="E13" s="11">
        <f>B13/(B13+10)</f>
        <v/>
      </c>
      <c r="F13" s="12">
        <f>E13*D13+(1-E13)*$F$100</f>
        <v/>
      </c>
    </row>
    <row r="14">
      <c r="A14" s="8" t="inlineStr">
        <is>
          <t>Brokerage &amp; Investment Banking</t>
        </is>
      </c>
      <c r="B14" s="8" t="n">
        <v>32</v>
      </c>
      <c r="C14" s="8" t="n">
        <v>1.1715</v>
      </c>
      <c r="D14" s="8" t="n">
        <v>0.6794</v>
      </c>
      <c r="E14" s="11">
        <f>B14/(B14+10)</f>
        <v/>
      </c>
      <c r="F14" s="12">
        <f>E14*D14+(1-E14)*$F$100</f>
        <v/>
      </c>
    </row>
    <row r="15">
      <c r="A15" s="8" t="inlineStr">
        <is>
          <t>Building Materials</t>
        </is>
      </c>
      <c r="B15" s="8" t="n">
        <v>41</v>
      </c>
      <c r="C15" s="8" t="n">
        <v>1.1115</v>
      </c>
      <c r="D15" s="8" t="n">
        <v>0.9605</v>
      </c>
      <c r="E15" s="11">
        <f>B15/(B15+10)</f>
        <v/>
      </c>
      <c r="F15" s="12">
        <f>E15*D15+(1-E15)*$F$100</f>
        <v/>
      </c>
    </row>
    <row r="16">
      <c r="A16" s="8" t="inlineStr">
        <is>
          <t>Business &amp; Consumer Services</t>
        </is>
      </c>
      <c r="B16" s="8" t="n">
        <v>155</v>
      </c>
      <c r="C16" s="8" t="n">
        <v>0.888</v>
      </c>
      <c r="D16" s="8" t="n">
        <v>0.806</v>
      </c>
      <c r="E16" s="11">
        <f>B16/(B16+10)</f>
        <v/>
      </c>
      <c r="F16" s="12">
        <f>E16*D16+(1-E16)*$F$100</f>
        <v/>
      </c>
    </row>
    <row r="17">
      <c r="A17" s="8" t="inlineStr">
        <is>
          <t>Cable TV</t>
        </is>
      </c>
      <c r="B17" s="8" t="n">
        <v>9</v>
      </c>
      <c r="C17" s="8" t="n">
        <v>0.7407</v>
      </c>
      <c r="D17" s="8" t="n">
        <v>0.3629</v>
      </c>
      <c r="E17" s="11">
        <f>B17/(B17+10)</f>
        <v/>
      </c>
      <c r="F17" s="12">
        <f>E17*D17+(1-E17)*$F$100</f>
        <v/>
      </c>
    </row>
    <row r="18">
      <c r="A18" s="8" t="inlineStr">
        <is>
          <t>Chemical (Basic)</t>
        </is>
      </c>
      <c r="B18" s="8" t="n">
        <v>29</v>
      </c>
      <c r="C18" s="8" t="n">
        <v>1.0122</v>
      </c>
      <c r="D18" s="8" t="n">
        <v>0.6368</v>
      </c>
      <c r="E18" s="11">
        <f>B18/(B18+10)</f>
        <v/>
      </c>
      <c r="F18" s="12">
        <f>E18*D18+(1-E18)*$F$100</f>
        <v/>
      </c>
    </row>
    <row r="19">
      <c r="A19" s="8" t="inlineStr">
        <is>
          <t>Chemical (Diversified)</t>
        </is>
      </c>
      <c r="B19" s="8" t="n">
        <v>4</v>
      </c>
      <c r="C19" s="8" t="n">
        <v>0.8507</v>
      </c>
      <c r="D19" s="8" t="n">
        <v>0.4061</v>
      </c>
      <c r="E19" s="11">
        <f>B19/(B19+10)</f>
        <v/>
      </c>
      <c r="F19" s="12">
        <f>E19*D19+(1-E19)*$F$100</f>
        <v/>
      </c>
    </row>
    <row r="20">
      <c r="A20" s="8" t="inlineStr">
        <is>
          <t>Chemical (Specialty)</t>
        </is>
      </c>
      <c r="B20" s="8" t="n">
        <v>59</v>
      </c>
      <c r="C20" s="8" t="n">
        <v>0.9698</v>
      </c>
      <c r="D20" s="8" t="n">
        <v>0.8245</v>
      </c>
      <c r="E20" s="11">
        <f>B20/(B20+10)</f>
        <v/>
      </c>
      <c r="F20" s="12">
        <f>E20*D20+(1-E20)*$F$100</f>
        <v/>
      </c>
    </row>
    <row r="21">
      <c r="A21" s="8" t="inlineStr">
        <is>
          <t>Coal &amp; Related Energy</t>
        </is>
      </c>
      <c r="B21" s="8" t="n">
        <v>16</v>
      </c>
      <c r="C21" s="8" t="n">
        <v>1.071</v>
      </c>
      <c r="D21" s="8" t="n">
        <v>1.1824</v>
      </c>
      <c r="E21" s="11">
        <f>B21/(B21+10)</f>
        <v/>
      </c>
      <c r="F21" s="12">
        <f>E21*D21+(1-E21)*$F$100</f>
        <v/>
      </c>
    </row>
    <row r="22">
      <c r="A22" s="8" t="inlineStr">
        <is>
          <t>Computer Services</t>
        </is>
      </c>
      <c r="B22" s="8" t="n">
        <v>64</v>
      </c>
      <c r="C22" s="8" t="n">
        <v>1.0879</v>
      </c>
      <c r="D22" s="8" t="n">
        <v>0.9617</v>
      </c>
      <c r="E22" s="11">
        <f>B22/(B22+10)</f>
        <v/>
      </c>
      <c r="F22" s="12">
        <f>E22*D22+(1-E22)*$F$100</f>
        <v/>
      </c>
    </row>
    <row r="23">
      <c r="A23" s="8" t="inlineStr">
        <is>
          <t>Computers/Peripherals</t>
        </is>
      </c>
      <c r="B23" s="8" t="n">
        <v>36</v>
      </c>
      <c r="C23" s="8" t="n">
        <v>1.3503</v>
      </c>
      <c r="D23" s="8" t="n">
        <v>1.3246</v>
      </c>
      <c r="E23" s="11">
        <f>B23/(B23+10)</f>
        <v/>
      </c>
      <c r="F23" s="12">
        <f>E23*D23+(1-E23)*$F$100</f>
        <v/>
      </c>
    </row>
    <row r="24">
      <c r="A24" s="8" t="inlineStr">
        <is>
          <t>Construction Supplies</t>
        </is>
      </c>
      <c r="B24" s="8" t="n">
        <v>40</v>
      </c>
      <c r="C24" s="8" t="n">
        <v>1.1504</v>
      </c>
      <c r="D24" s="8" t="n">
        <v>1.0468</v>
      </c>
      <c r="E24" s="11">
        <f>B24/(B24+10)</f>
        <v/>
      </c>
      <c r="F24" s="12">
        <f>E24*D24+(1-E24)*$F$100</f>
        <v/>
      </c>
    </row>
    <row r="25">
      <c r="A25" s="8" t="inlineStr">
        <is>
          <t>Diversified</t>
        </is>
      </c>
      <c r="B25" s="8" t="n">
        <v>20</v>
      </c>
      <c r="C25" s="8" t="n">
        <v>0.881</v>
      </c>
      <c r="D25" s="8" t="n">
        <v>0.8431</v>
      </c>
      <c r="E25" s="11">
        <f>B25/(B25+10)</f>
        <v/>
      </c>
      <c r="F25" s="12">
        <f>E25*D25+(1-E25)*$F$100</f>
        <v/>
      </c>
    </row>
    <row r="26">
      <c r="A26" s="8" t="inlineStr">
        <is>
          <t>Drugs (Biotechnology)</t>
        </is>
      </c>
      <c r="B26" s="8" t="n">
        <v>496</v>
      </c>
      <c r="C26" s="8" t="n">
        <v>1.1353</v>
      </c>
      <c r="D26" s="8" t="n">
        <v>1.0795</v>
      </c>
      <c r="E26" s="11">
        <f>B26/(B26+10)</f>
        <v/>
      </c>
      <c r="F26" s="12">
        <f>E26*D26+(1-E26)*$F$100</f>
        <v/>
      </c>
    </row>
    <row r="27">
      <c r="A27" s="8" t="inlineStr">
        <is>
          <t>Drugs (Pharmaceutical)</t>
        </is>
      </c>
      <c r="B27" s="8" t="n">
        <v>228</v>
      </c>
      <c r="C27" s="8" t="n">
        <v>0.9828</v>
      </c>
      <c r="D27" s="8" t="n">
        <v>0.9151</v>
      </c>
      <c r="E27" s="11">
        <f>B27/(B27+10)</f>
        <v/>
      </c>
      <c r="F27" s="12">
        <f>E27*D27+(1-E27)*$F$100</f>
        <v/>
      </c>
    </row>
    <row r="28">
      <c r="A28" s="8" t="inlineStr">
        <is>
          <t>Education</t>
        </is>
      </c>
      <c r="B28" s="8" t="n">
        <v>32</v>
      </c>
      <c r="C28" s="8" t="n">
        <v>0.7809</v>
      </c>
      <c r="D28" s="8" t="n">
        <v>0.7196</v>
      </c>
      <c r="E28" s="11">
        <f>B28/(B28+10)</f>
        <v/>
      </c>
      <c r="F28" s="12">
        <f>E28*D28+(1-E28)*$F$100</f>
        <v/>
      </c>
    </row>
    <row r="29">
      <c r="A29" s="8" t="inlineStr">
        <is>
          <t>Electrical Equipment</t>
        </is>
      </c>
      <c r="B29" s="8" t="n">
        <v>112</v>
      </c>
      <c r="C29" s="8" t="n">
        <v>1.2511</v>
      </c>
      <c r="D29" s="8" t="n">
        <v>1.1898</v>
      </c>
      <c r="E29" s="11">
        <f>B29/(B29+10)</f>
        <v/>
      </c>
      <c r="F29" s="12">
        <f>E29*D29+(1-E29)*$F$100</f>
        <v/>
      </c>
    </row>
    <row r="30">
      <c r="A30" s="8" t="inlineStr">
        <is>
          <t>Electronics (Consumer &amp; Office)</t>
        </is>
      </c>
      <c r="B30" s="8" t="n">
        <v>8</v>
      </c>
      <c r="C30" s="8" t="n">
        <v>0.866</v>
      </c>
      <c r="D30" s="8" t="n">
        <v>0.9274</v>
      </c>
      <c r="E30" s="11">
        <f>B30/(B30+10)</f>
        <v/>
      </c>
      <c r="F30" s="12">
        <f>E30*D30+(1-E30)*$F$100</f>
        <v/>
      </c>
    </row>
    <row r="31">
      <c r="A31" s="8" t="inlineStr">
        <is>
          <t>Electronics (General)</t>
        </is>
      </c>
      <c r="B31" s="8" t="n">
        <v>114</v>
      </c>
      <c r="C31" s="8" t="n">
        <v>0.9715</v>
      </c>
      <c r="D31" s="8" t="n">
        <v>0.9375</v>
      </c>
      <c r="E31" s="11">
        <f>B31/(B31+10)</f>
        <v/>
      </c>
      <c r="F31" s="12">
        <f>E31*D31+(1-E31)*$F$100</f>
        <v/>
      </c>
    </row>
    <row r="32">
      <c r="A32" s="8" t="inlineStr">
        <is>
          <t>Engineering/Construction</t>
        </is>
      </c>
      <c r="B32" s="8" t="n">
        <v>48</v>
      </c>
      <c r="C32" s="8" t="n">
        <v>1.21</v>
      </c>
      <c r="D32" s="8" t="n">
        <v>1.1374</v>
      </c>
      <c r="E32" s="11">
        <f>B32/(B32+10)</f>
        <v/>
      </c>
      <c r="F32" s="12">
        <f>E32*D32+(1-E32)*$F$100</f>
        <v/>
      </c>
    </row>
    <row r="33">
      <c r="A33" s="8" t="inlineStr">
        <is>
          <t>Entertainment</t>
        </is>
      </c>
      <c r="B33" s="8" t="n">
        <v>92</v>
      </c>
      <c r="C33" s="8" t="n">
        <v>0.8252</v>
      </c>
      <c r="D33" s="8" t="n">
        <v>0.7628</v>
      </c>
      <c r="E33" s="11">
        <f>B33/(B33+10)</f>
        <v/>
      </c>
      <c r="F33" s="12">
        <f>E33*D33+(1-E33)*$F$100</f>
        <v/>
      </c>
    </row>
    <row r="34">
      <c r="A34" s="8" t="inlineStr">
        <is>
          <t>Environmental &amp; Waste Services</t>
        </is>
      </c>
      <c r="B34" s="8" t="n">
        <v>53</v>
      </c>
      <c r="C34" s="8" t="n">
        <v>0.9455</v>
      </c>
      <c r="D34" s="8" t="n">
        <v>0.8248</v>
      </c>
      <c r="E34" s="11">
        <f>B34/(B34+10)</f>
        <v/>
      </c>
      <c r="F34" s="12">
        <f>E34*D34+(1-E34)*$F$100</f>
        <v/>
      </c>
    </row>
    <row r="35">
      <c r="A35" s="8" t="inlineStr">
        <is>
          <t>Farming/Agriculture</t>
        </is>
      </c>
      <c r="B35" s="8" t="n">
        <v>35</v>
      </c>
      <c r="C35" s="8" t="n">
        <v>1.1292</v>
      </c>
      <c r="D35" s="8" t="n">
        <v>0.8458</v>
      </c>
      <c r="E35" s="11">
        <f>B35/(B35+10)</f>
        <v/>
      </c>
      <c r="F35" s="12">
        <f>E35*D35+(1-E35)*$F$100</f>
        <v/>
      </c>
    </row>
    <row r="36">
      <c r="A36" s="8" t="inlineStr">
        <is>
          <t>Financial Svcs. (Non-bank &amp; Insurance)</t>
        </is>
      </c>
      <c r="B36" s="8" t="n">
        <v>176</v>
      </c>
      <c r="C36" s="8" t="n">
        <v>0.9697</v>
      </c>
      <c r="D36" s="8" t="n">
        <v>0.3277</v>
      </c>
      <c r="E36" s="11">
        <f>B36/(B36+10)</f>
        <v/>
      </c>
      <c r="F36" s="12">
        <f>E36*D36+(1-E36)*$F$100</f>
        <v/>
      </c>
    </row>
    <row r="37">
      <c r="A37" s="8" t="inlineStr">
        <is>
          <t>Food Processing</t>
        </is>
      </c>
      <c r="B37" s="8" t="n">
        <v>78</v>
      </c>
      <c r="C37" s="8" t="n">
        <v>0.6075</v>
      </c>
      <c r="D37" s="8" t="n">
        <v>0.4694</v>
      </c>
      <c r="E37" s="11">
        <f>B37/(B37+10)</f>
        <v/>
      </c>
      <c r="F37" s="12">
        <f>E37*D37+(1-E37)*$F$100</f>
        <v/>
      </c>
    </row>
    <row r="38">
      <c r="A38" s="8" t="inlineStr">
        <is>
          <t>Food Wholesalers</t>
        </is>
      </c>
      <c r="B38" s="8" t="n">
        <v>13</v>
      </c>
      <c r="C38" s="8" t="n">
        <v>0.8666</v>
      </c>
      <c r="D38" s="8" t="n">
        <v>0.6478</v>
      </c>
      <c r="E38" s="11">
        <f>B38/(B38+10)</f>
        <v/>
      </c>
      <c r="F38" s="12">
        <f>E38*D38+(1-E38)*$F$100</f>
        <v/>
      </c>
    </row>
    <row r="39">
      <c r="A39" s="8" t="inlineStr">
        <is>
          <t>Furn/Home Furnishings</t>
        </is>
      </c>
      <c r="B39" s="8" t="n">
        <v>27</v>
      </c>
      <c r="C39" s="8" t="n">
        <v>0.8232</v>
      </c>
      <c r="D39" s="8" t="n">
        <v>0.6521</v>
      </c>
      <c r="E39" s="11">
        <f>B39/(B39+10)</f>
        <v/>
      </c>
      <c r="F39" s="12">
        <f>E39*D39+(1-E39)*$F$100</f>
        <v/>
      </c>
    </row>
    <row r="40">
      <c r="A40" s="8" t="inlineStr">
        <is>
          <t>Green &amp; Renewable Energy</t>
        </is>
      </c>
      <c r="B40" s="8" t="n">
        <v>15</v>
      </c>
      <c r="C40" s="8" t="n">
        <v>0.8563</v>
      </c>
      <c r="D40" s="8" t="n">
        <v>0.4723</v>
      </c>
      <c r="E40" s="11">
        <f>B40/(B40+10)</f>
        <v/>
      </c>
      <c r="F40" s="12">
        <f>E40*D40+(1-E40)*$F$100</f>
        <v/>
      </c>
    </row>
    <row r="41">
      <c r="A41" s="8" t="inlineStr">
        <is>
          <t>Healthcare Products</t>
        </is>
      </c>
      <c r="B41" s="8" t="n">
        <v>204</v>
      </c>
      <c r="C41" s="8" t="n">
        <v>0.9086</v>
      </c>
      <c r="D41" s="8" t="n">
        <v>0.8569</v>
      </c>
      <c r="E41" s="11">
        <f>B41/(B41+10)</f>
        <v/>
      </c>
      <c r="F41" s="12">
        <f>E41*D41+(1-E41)*$F$100</f>
        <v/>
      </c>
    </row>
    <row r="42">
      <c r="A42" s="8" t="inlineStr">
        <is>
          <t>Healthcare Support Services</t>
        </is>
      </c>
      <c r="B42" s="8" t="n">
        <v>104</v>
      </c>
      <c r="C42" s="8" t="n">
        <v>0.872</v>
      </c>
      <c r="D42" s="8" t="n">
        <v>0.7449</v>
      </c>
      <c r="E42" s="11">
        <f>B42/(B42+10)</f>
        <v/>
      </c>
      <c r="F42" s="12">
        <f>E42*D42+(1-E42)*$F$100</f>
        <v/>
      </c>
    </row>
    <row r="43">
      <c r="A43" s="8" t="inlineStr">
        <is>
          <t>Heathcare Information and Technology</t>
        </is>
      </c>
      <c r="B43" s="8" t="n">
        <v>115</v>
      </c>
      <c r="C43" s="8" t="n">
        <v>1.1083</v>
      </c>
      <c r="D43" s="8" t="n">
        <v>1.0163</v>
      </c>
      <c r="E43" s="11">
        <f>B43/(B43+10)</f>
        <v/>
      </c>
      <c r="F43" s="12">
        <f>E43*D43+(1-E43)*$F$100</f>
        <v/>
      </c>
    </row>
    <row r="44">
      <c r="A44" s="8" t="inlineStr">
        <is>
          <t>Homebuilding</t>
        </is>
      </c>
      <c r="B44" s="8" t="n">
        <v>30</v>
      </c>
      <c r="C44" s="8" t="n">
        <v>0.9106</v>
      </c>
      <c r="D44" s="8" t="n">
        <v>0.8532</v>
      </c>
      <c r="E44" s="11">
        <f>B44/(B44+10)</f>
        <v/>
      </c>
      <c r="F44" s="12">
        <f>E44*D44+(1-E44)*$F$100</f>
        <v/>
      </c>
    </row>
    <row r="45">
      <c r="A45" s="8" t="inlineStr">
        <is>
          <t>Hospitals/Healthcare Facilities</t>
        </is>
      </c>
      <c r="B45" s="8" t="n">
        <v>31</v>
      </c>
      <c r="C45" s="8" t="n">
        <v>0.7997</v>
      </c>
      <c r="D45" s="8" t="n">
        <v>0.5649</v>
      </c>
      <c r="E45" s="11">
        <f>B45/(B45+10)</f>
        <v/>
      </c>
      <c r="F45" s="12">
        <f>E45*D45+(1-E45)*$F$100</f>
        <v/>
      </c>
    </row>
    <row r="46">
      <c r="A46" s="8" t="inlineStr">
        <is>
          <t>Hotel/Gaming</t>
        </is>
      </c>
      <c r="B46" s="8" t="n">
        <v>63</v>
      </c>
      <c r="C46" s="8" t="n">
        <v>1.0804</v>
      </c>
      <c r="D46" s="8" t="n">
        <v>0.8757</v>
      </c>
      <c r="E46" s="11">
        <f>B46/(B46+10)</f>
        <v/>
      </c>
      <c r="F46" s="12">
        <f>E46*D46+(1-E46)*$F$100</f>
        <v/>
      </c>
    </row>
    <row r="47">
      <c r="A47" s="8" t="inlineStr">
        <is>
          <t>Household Products</t>
        </is>
      </c>
      <c r="B47" s="8" t="n">
        <v>110</v>
      </c>
      <c r="C47" s="8" t="n">
        <v>0.8155</v>
      </c>
      <c r="D47" s="8" t="n">
        <v>0.7411</v>
      </c>
      <c r="E47" s="11">
        <f>B47/(B47+10)</f>
        <v/>
      </c>
      <c r="F47" s="12">
        <f>E47*D47+(1-E47)*$F$100</f>
        <v/>
      </c>
    </row>
    <row r="48">
      <c r="A48" s="8" t="inlineStr">
        <is>
          <t>Information Services</t>
        </is>
      </c>
      <c r="B48" s="8" t="n">
        <v>15</v>
      </c>
      <c r="C48" s="8" t="n">
        <v>0.9206</v>
      </c>
      <c r="D48" s="8" t="n">
        <v>0.7564</v>
      </c>
      <c r="E48" s="11">
        <f>B48/(B48+10)</f>
        <v/>
      </c>
      <c r="F48" s="12">
        <f>E48*D48+(1-E48)*$F$100</f>
        <v/>
      </c>
    </row>
    <row r="49">
      <c r="A49" s="8" t="inlineStr">
        <is>
          <t>Insurance (General)</t>
        </is>
      </c>
      <c r="B49" s="8" t="n">
        <v>21</v>
      </c>
      <c r="C49" s="8" t="n">
        <v>0.672</v>
      </c>
      <c r="D49" s="8" t="n">
        <v>0.5780999999999999</v>
      </c>
      <c r="E49" s="11">
        <f>B49/(B49+10)</f>
        <v/>
      </c>
      <c r="F49" s="12">
        <f>E49*D49+(1-E49)*$F$100</f>
        <v/>
      </c>
    </row>
    <row r="50">
      <c r="A50" s="8" t="inlineStr">
        <is>
          <t>Insurance (Life)</t>
        </is>
      </c>
      <c r="B50" s="8" t="n">
        <v>20</v>
      </c>
      <c r="C50" s="8" t="n">
        <v>0.6445</v>
      </c>
      <c r="D50" s="8" t="n">
        <v>0.5317</v>
      </c>
      <c r="E50" s="11">
        <f>B50/(B50+10)</f>
        <v/>
      </c>
      <c r="F50" s="12">
        <f>E50*D50+(1-E50)*$F$100</f>
        <v/>
      </c>
    </row>
    <row r="51">
      <c r="A51" s="8" t="inlineStr">
        <is>
          <t>Insurance (Prop/Cas.)</t>
        </is>
      </c>
      <c r="B51" s="8" t="n">
        <v>57</v>
      </c>
      <c r="C51" s="8" t="n">
        <v>0.4841</v>
      </c>
      <c r="D51" s="8" t="n">
        <v>0.457</v>
      </c>
      <c r="E51" s="11">
        <f>B51/(B51+10)</f>
        <v/>
      </c>
      <c r="F51" s="12">
        <f>E51*D51+(1-E51)*$F$100</f>
        <v/>
      </c>
    </row>
    <row r="52">
      <c r="A52" s="8" t="inlineStr">
        <is>
          <t>Investments &amp; Asset Management</t>
        </is>
      </c>
      <c r="B52" s="8" t="n">
        <v>283</v>
      </c>
      <c r="C52" s="8" t="n">
        <v>0.6596</v>
      </c>
      <c r="D52" s="8" t="n">
        <v>0.5881</v>
      </c>
      <c r="E52" s="11">
        <f>B52/(B52+10)</f>
        <v/>
      </c>
      <c r="F52" s="12">
        <f>E52*D52+(1-E52)*$F$100</f>
        <v/>
      </c>
    </row>
    <row r="53">
      <c r="A53" s="8" t="inlineStr">
        <is>
          <t>Machinery</t>
        </is>
      </c>
      <c r="B53" s="8" t="n">
        <v>105</v>
      </c>
      <c r="C53" s="8" t="n">
        <v>0.9636</v>
      </c>
      <c r="D53" s="8" t="n">
        <v>0.894</v>
      </c>
      <c r="E53" s="11">
        <f>B53/(B53+10)</f>
        <v/>
      </c>
      <c r="F53" s="12">
        <f>E53*D53+(1-E53)*$F$100</f>
        <v/>
      </c>
    </row>
    <row r="54">
      <c r="A54" s="8" t="inlineStr">
        <is>
          <t>Metals &amp; Mining</t>
        </is>
      </c>
      <c r="B54" s="8" t="n">
        <v>73</v>
      </c>
      <c r="C54" s="8" t="n">
        <v>1.043</v>
      </c>
      <c r="D54" s="8" t="n">
        <v>1.0104</v>
      </c>
      <c r="E54" s="11">
        <f>B54/(B54+10)</f>
        <v/>
      </c>
      <c r="F54" s="12">
        <f>E54*D54+(1-E54)*$F$100</f>
        <v/>
      </c>
    </row>
    <row r="55">
      <c r="A55" s="8" t="inlineStr">
        <is>
          <t>Office Equipment &amp; Services</t>
        </is>
      </c>
      <c r="B55" s="8" t="n">
        <v>14</v>
      </c>
      <c r="C55" s="8" t="n">
        <v>1.3344</v>
      </c>
      <c r="D55" s="8" t="n">
        <v>1.0382</v>
      </c>
      <c r="E55" s="11">
        <f>B55/(B55+10)</f>
        <v/>
      </c>
      <c r="F55" s="12">
        <f>E55*D55+(1-E55)*$F$100</f>
        <v/>
      </c>
    </row>
    <row r="56">
      <c r="A56" s="8" t="inlineStr">
        <is>
          <t>Oil/Gas (Integrated)</t>
        </is>
      </c>
      <c r="B56" s="8" t="n">
        <v>4</v>
      </c>
      <c r="C56" s="8" t="n">
        <v>0.2994</v>
      </c>
      <c r="D56" s="8" t="n">
        <v>0.278</v>
      </c>
      <c r="E56" s="11">
        <f>B56/(B56+10)</f>
        <v/>
      </c>
      <c r="F56" s="12">
        <f>E56*D56+(1-E56)*$F$100</f>
        <v/>
      </c>
    </row>
    <row r="57">
      <c r="A57" s="8" t="inlineStr">
        <is>
          <t>Oil/Gas (Production and Exploration)</t>
        </is>
      </c>
      <c r="B57" s="8" t="n">
        <v>142</v>
      </c>
      <c r="C57" s="8" t="n">
        <v>0.7214</v>
      </c>
      <c r="D57" s="8" t="n">
        <v>0.5785</v>
      </c>
      <c r="E57" s="11">
        <f>B57/(B57+10)</f>
        <v/>
      </c>
      <c r="F57" s="12">
        <f>E57*D57+(1-E57)*$F$100</f>
        <v/>
      </c>
    </row>
    <row r="58">
      <c r="A58" s="8" t="inlineStr">
        <is>
          <t>Oil/Gas Distribution</t>
        </is>
      </c>
      <c r="B58" s="8" t="n">
        <v>23</v>
      </c>
      <c r="C58" s="8" t="n">
        <v>0.6692</v>
      </c>
      <c r="D58" s="8" t="n">
        <v>0.4693</v>
      </c>
      <c r="E58" s="11">
        <f>B58/(B58+10)</f>
        <v/>
      </c>
      <c r="F58" s="12">
        <f>E58*D58+(1-E58)*$F$100</f>
        <v/>
      </c>
    </row>
    <row r="59">
      <c r="A59" s="8" t="inlineStr">
        <is>
          <t>Oilfield Svcs/Equip.</t>
        </is>
      </c>
      <c r="B59" s="8" t="n">
        <v>97</v>
      </c>
      <c r="C59" s="8" t="n">
        <v>0.9512</v>
      </c>
      <c r="D59" s="8" t="n">
        <v>0.7871</v>
      </c>
      <c r="E59" s="11">
        <f>B59/(B59+10)</f>
        <v/>
      </c>
      <c r="F59" s="12">
        <f>E59*D59+(1-E59)*$F$100</f>
        <v/>
      </c>
    </row>
    <row r="60">
      <c r="A60" s="8" t="inlineStr">
        <is>
          <t>Packaging &amp; Container</t>
        </is>
      </c>
      <c r="B60" s="8" t="n">
        <v>19</v>
      </c>
      <c r="C60" s="8" t="n">
        <v>1.0219</v>
      </c>
      <c r="D60" s="8" t="n">
        <v>0.749</v>
      </c>
      <c r="E60" s="11">
        <f>B60/(B60+10)</f>
        <v/>
      </c>
      <c r="F60" s="12">
        <f>E60*D60+(1-E60)*$F$100</f>
        <v/>
      </c>
    </row>
    <row r="61">
      <c r="A61" s="8" t="inlineStr">
        <is>
          <t>Paper/Forest Products</t>
        </is>
      </c>
      <c r="B61" s="8" t="n">
        <v>6</v>
      </c>
      <c r="C61" s="8" t="n">
        <v>0.958</v>
      </c>
      <c r="D61" s="8" t="n">
        <v>0.7697000000000001</v>
      </c>
      <c r="E61" s="11">
        <f>B61/(B61+10)</f>
        <v/>
      </c>
      <c r="F61" s="12">
        <f>E61*D61+(1-E61)*$F$100</f>
        <v/>
      </c>
    </row>
    <row r="62">
      <c r="A62" s="8" t="inlineStr">
        <is>
          <t>Power</t>
        </is>
      </c>
      <c r="B62" s="8" t="n">
        <v>46</v>
      </c>
      <c r="C62" s="8" t="n">
        <v>0.4824</v>
      </c>
      <c r="D62" s="8" t="n">
        <v>0.3146</v>
      </c>
      <c r="E62" s="11">
        <f>B62/(B62+10)</f>
        <v/>
      </c>
      <c r="F62" s="12">
        <f>E62*D62+(1-E62)*$F$100</f>
        <v/>
      </c>
    </row>
    <row r="63">
      <c r="A63" s="8" t="inlineStr">
        <is>
          <t>Precious Metals</t>
        </is>
      </c>
      <c r="B63" s="8" t="n">
        <v>56</v>
      </c>
      <c r="C63" s="8" t="n">
        <v>0.8366</v>
      </c>
      <c r="D63" s="8" t="n">
        <v>0.8309</v>
      </c>
      <c r="E63" s="11">
        <f>B63/(B63+10)</f>
        <v/>
      </c>
      <c r="F63" s="12">
        <f>E63*D63+(1-E63)*$F$100</f>
        <v/>
      </c>
    </row>
    <row r="64">
      <c r="A64" s="8" t="inlineStr">
        <is>
          <t>Publishing &amp; Newspapers</t>
        </is>
      </c>
      <c r="B64" s="8" t="n">
        <v>19</v>
      </c>
      <c r="C64" s="8" t="n">
        <v>0.5629999999999999</v>
      </c>
      <c r="D64" s="8" t="n">
        <v>0.5119</v>
      </c>
      <c r="E64" s="11">
        <f>B64/(B64+10)</f>
        <v/>
      </c>
      <c r="F64" s="12">
        <f>E64*D64+(1-E64)*$F$100</f>
        <v/>
      </c>
    </row>
    <row r="65">
      <c r="A65" s="8" t="inlineStr">
        <is>
          <t>R.E.I.T.</t>
        </is>
      </c>
      <c r="B65" s="8" t="n">
        <v>190</v>
      </c>
      <c r="C65" s="8" t="n">
        <v>0.6418</v>
      </c>
      <c r="D65" s="8" t="n">
        <v>0.4005</v>
      </c>
      <c r="E65" s="11">
        <f>B65/(B65+10)</f>
        <v/>
      </c>
      <c r="F65" s="12">
        <f>E65*D65+(1-E65)*$F$100</f>
        <v/>
      </c>
    </row>
    <row r="66">
      <c r="A66" s="8" t="inlineStr">
        <is>
          <t>Real Estate (Development)</t>
        </is>
      </c>
      <c r="B66" s="8" t="n">
        <v>14</v>
      </c>
      <c r="C66" s="8" t="n">
        <v>0.8436</v>
      </c>
      <c r="D66" s="8" t="n">
        <v>0.5641</v>
      </c>
      <c r="E66" s="11">
        <f>B66/(B66+10)</f>
        <v/>
      </c>
      <c r="F66" s="12">
        <f>E66*D66+(1-E66)*$F$100</f>
        <v/>
      </c>
    </row>
    <row r="67">
      <c r="A67" s="8" t="inlineStr">
        <is>
          <t>Real Estate (General/Diversified)</t>
        </is>
      </c>
      <c r="B67" s="8" t="n">
        <v>12</v>
      </c>
      <c r="C67" s="8" t="n">
        <v>0.8100000000000001</v>
      </c>
      <c r="D67" s="8" t="n">
        <v>0.627</v>
      </c>
      <c r="E67" s="11">
        <f>B67/(B67+10)</f>
        <v/>
      </c>
      <c r="F67" s="12">
        <f>E67*D67+(1-E67)*$F$100</f>
        <v/>
      </c>
    </row>
    <row r="68">
      <c r="A68" s="8" t="inlineStr">
        <is>
          <t>Real Estate (Operations &amp; Services)</t>
        </is>
      </c>
      <c r="B68" s="8" t="n">
        <v>54</v>
      </c>
      <c r="C68" s="8" t="n">
        <v>0.9655</v>
      </c>
      <c r="D68" s="8" t="n">
        <v>0.8576</v>
      </c>
      <c r="E68" s="11">
        <f>B68/(B68+10)</f>
        <v/>
      </c>
      <c r="F68" s="12">
        <f>E68*D68+(1-E68)*$F$100</f>
        <v/>
      </c>
    </row>
    <row r="69">
      <c r="A69" s="8" t="inlineStr">
        <is>
          <t>Recreation</t>
        </is>
      </c>
      <c r="B69" s="8" t="n">
        <v>49</v>
      </c>
      <c r="C69" s="8" t="n">
        <v>1.0235</v>
      </c>
      <c r="D69" s="8" t="n">
        <v>0.7365</v>
      </c>
      <c r="E69" s="11">
        <f>B69/(B69+10)</f>
        <v/>
      </c>
      <c r="F69" s="12">
        <f>E69*D69+(1-E69)*$F$100</f>
        <v/>
      </c>
    </row>
    <row r="70">
      <c r="A70" s="8" t="inlineStr">
        <is>
          <t>Reinsurance</t>
        </is>
      </c>
      <c r="B70" s="8" t="n">
        <v>1</v>
      </c>
      <c r="C70" s="8" t="n">
        <v>0.5813</v>
      </c>
      <c r="D70" s="8" t="n">
        <v>0.5777</v>
      </c>
      <c r="E70" s="11">
        <f>B70/(B70+10)</f>
        <v/>
      </c>
      <c r="F70" s="12">
        <f>E70*D70+(1-E70)*$F$100</f>
        <v/>
      </c>
    </row>
    <row r="71">
      <c r="A71" s="8" t="inlineStr">
        <is>
          <t>Restaurant/Dining</t>
        </is>
      </c>
      <c r="B71" s="8" t="n">
        <v>64</v>
      </c>
      <c r="C71" s="8" t="n">
        <v>0.9241</v>
      </c>
      <c r="D71" s="8" t="n">
        <v>0.783</v>
      </c>
      <c r="E71" s="11">
        <f>B71/(B71+10)</f>
        <v/>
      </c>
      <c r="F71" s="12">
        <f>E71*D71+(1-E71)*$F$100</f>
        <v/>
      </c>
    </row>
    <row r="72">
      <c r="A72" s="8" t="inlineStr">
        <is>
          <t>Retail (Automotive)</t>
        </is>
      </c>
      <c r="B72" s="8" t="n">
        <v>34</v>
      </c>
      <c r="C72" s="8" t="n">
        <v>0.9360000000000001</v>
      </c>
      <c r="D72" s="8" t="n">
        <v>0.7131999999999999</v>
      </c>
      <c r="E72" s="11">
        <f>B72/(B72+10)</f>
        <v/>
      </c>
      <c r="F72" s="12">
        <f>E72*D72+(1-E72)*$F$100</f>
        <v/>
      </c>
    </row>
    <row r="73">
      <c r="A73" s="8" t="inlineStr">
        <is>
          <t>Retail (Building Supply)</t>
        </is>
      </c>
      <c r="B73" s="8" t="n">
        <v>14</v>
      </c>
      <c r="C73" s="8" t="n">
        <v>1.5353</v>
      </c>
      <c r="D73" s="8" t="n">
        <v>1.3177</v>
      </c>
      <c r="E73" s="11">
        <f>B73/(B73+10)</f>
        <v/>
      </c>
      <c r="F73" s="12">
        <f>E73*D73+(1-E73)*$F$100</f>
        <v/>
      </c>
    </row>
    <row r="74">
      <c r="A74" s="8" t="inlineStr">
        <is>
          <t>Retail (Distributors)</t>
        </is>
      </c>
      <c r="B74" s="8" t="n">
        <v>62</v>
      </c>
      <c r="C74" s="8" t="n">
        <v>0.9484</v>
      </c>
      <c r="D74" s="8" t="n">
        <v>0.8016</v>
      </c>
      <c r="E74" s="11">
        <f>B74/(B74+10)</f>
        <v/>
      </c>
      <c r="F74" s="12">
        <f>E74*D74+(1-E74)*$F$100</f>
        <v/>
      </c>
    </row>
    <row r="75">
      <c r="A75" s="8" t="inlineStr">
        <is>
          <t>Retail (General)</t>
        </is>
      </c>
      <c r="B75" s="8" t="n">
        <v>23</v>
      </c>
      <c r="C75" s="8" t="n">
        <v>0.8052</v>
      </c>
      <c r="D75" s="8" t="n">
        <v>0.7809</v>
      </c>
      <c r="E75" s="11">
        <f>B75/(B75+10)</f>
        <v/>
      </c>
      <c r="F75" s="12">
        <f>E75*D75+(1-E75)*$F$100</f>
        <v/>
      </c>
    </row>
    <row r="76">
      <c r="A76" s="8" t="inlineStr">
        <is>
          <t>Retail (Grocery and Food)</t>
        </is>
      </c>
      <c r="B76" s="8" t="n">
        <v>15</v>
      </c>
      <c r="C76" s="8" t="n">
        <v>1.1183</v>
      </c>
      <c r="D76" s="8" t="n">
        <v>0.8484</v>
      </c>
      <c r="E76" s="11">
        <f>B76/(B76+10)</f>
        <v/>
      </c>
      <c r="F76" s="12">
        <f>E76*D76+(1-E76)*$F$100</f>
        <v/>
      </c>
    </row>
    <row r="77">
      <c r="A77" s="8" t="inlineStr">
        <is>
          <t>Retail (REITs)</t>
        </is>
      </c>
      <c r="B77" s="8" t="n">
        <v>26</v>
      </c>
      <c r="C77" s="8" t="n">
        <v>0.6207</v>
      </c>
      <c r="D77" s="8" t="n">
        <v>0.4427</v>
      </c>
      <c r="E77" s="11">
        <f>B77/(B77+10)</f>
        <v/>
      </c>
      <c r="F77" s="12">
        <f>E77*D77+(1-E77)*$F$100</f>
        <v/>
      </c>
    </row>
    <row r="78">
      <c r="A78" s="8" t="inlineStr">
        <is>
          <t>Retail (Special Lines)</t>
        </is>
      </c>
      <c r="B78" s="8" t="n">
        <v>94</v>
      </c>
      <c r="C78" s="8" t="n">
        <v>1.0894</v>
      </c>
      <c r="D78" s="8" t="n">
        <v>1.0019</v>
      </c>
      <c r="E78" s="11">
        <f>B78/(B78+10)</f>
        <v/>
      </c>
      <c r="F78" s="12">
        <f>E78*D78+(1-E78)*$F$100</f>
        <v/>
      </c>
    </row>
    <row r="79">
      <c r="A79" s="8" t="inlineStr">
        <is>
          <t>Rubber&amp; Tires</t>
        </is>
      </c>
      <c r="B79" s="8" t="n">
        <v>3</v>
      </c>
      <c r="C79" s="8" t="n">
        <v>0.5294</v>
      </c>
      <c r="D79" s="8" t="n">
        <v>0.1544</v>
      </c>
      <c r="E79" s="11">
        <f>B79/(B79+10)</f>
        <v/>
      </c>
      <c r="F79" s="12">
        <f>E79*D79+(1-E79)*$F$100</f>
        <v/>
      </c>
    </row>
    <row r="80">
      <c r="A80" s="8" t="inlineStr">
        <is>
          <t>Semiconductor</t>
        </is>
      </c>
      <c r="B80" s="8" t="n">
        <v>66</v>
      </c>
      <c r="C80" s="8" t="n">
        <v>1.5182</v>
      </c>
      <c r="D80" s="8" t="n">
        <v>1.5046</v>
      </c>
      <c r="E80" s="11">
        <f>B80/(B80+10)</f>
        <v/>
      </c>
      <c r="F80" s="12">
        <f>E80*D80+(1-E80)*$F$100</f>
        <v/>
      </c>
    </row>
    <row r="81">
      <c r="A81" s="8" t="inlineStr">
        <is>
          <t>Semiconductor Equip</t>
        </is>
      </c>
      <c r="B81" s="8" t="n">
        <v>31</v>
      </c>
      <c r="C81" s="8" t="n">
        <v>1.3972</v>
      </c>
      <c r="D81" s="8" t="n">
        <v>1.3917</v>
      </c>
      <c r="E81" s="11">
        <f>B81/(B81+10)</f>
        <v/>
      </c>
      <c r="F81" s="12">
        <f>E81*D81+(1-E81)*$F$100</f>
        <v/>
      </c>
    </row>
    <row r="82">
      <c r="A82" s="8" t="inlineStr">
        <is>
          <t>Shipbuilding &amp; Marine</t>
        </is>
      </c>
      <c r="B82" s="8" t="n">
        <v>8</v>
      </c>
      <c r="C82" s="8" t="n">
        <v>0.7529</v>
      </c>
      <c r="D82" s="8" t="n">
        <v>0.6608000000000001</v>
      </c>
      <c r="E82" s="11">
        <f>B82/(B82+10)</f>
        <v/>
      </c>
      <c r="F82" s="12">
        <f>E82*D82+(1-E82)*$F$100</f>
        <v/>
      </c>
    </row>
    <row r="83">
      <c r="A83" s="8" t="inlineStr">
        <is>
          <t>Shoe</t>
        </is>
      </c>
      <c r="B83" s="8" t="n">
        <v>11</v>
      </c>
      <c r="C83" s="8" t="n">
        <v>1.0173</v>
      </c>
      <c r="D83" s="8" t="n">
        <v>1.0002</v>
      </c>
      <c r="E83" s="11">
        <f>B83/(B83+10)</f>
        <v/>
      </c>
      <c r="F83" s="12">
        <f>E83*D83+(1-E83)*$F$100</f>
        <v/>
      </c>
    </row>
    <row r="84">
      <c r="A84" s="8" t="inlineStr">
        <is>
          <t>Software (Entertainment)</t>
        </is>
      </c>
      <c r="B84" s="8" t="n">
        <v>77</v>
      </c>
      <c r="C84" s="8" t="n">
        <v>1.0283</v>
      </c>
      <c r="D84" s="8" t="n">
        <v>1.0207</v>
      </c>
      <c r="E84" s="11">
        <f>B84/(B84+10)</f>
        <v/>
      </c>
      <c r="F84" s="12">
        <f>E84*D84+(1-E84)*$F$100</f>
        <v/>
      </c>
    </row>
    <row r="85">
      <c r="A85" s="8" t="inlineStr">
        <is>
          <t>Software (Internet)</t>
        </is>
      </c>
      <c r="B85" s="8" t="n">
        <v>29</v>
      </c>
      <c r="C85" s="8" t="n">
        <v>1.6887</v>
      </c>
      <c r="D85" s="8" t="n">
        <v>1.5905</v>
      </c>
      <c r="E85" s="11">
        <f>B85/(B85+10)</f>
        <v/>
      </c>
      <c r="F85" s="12">
        <f>E85*D85+(1-E85)*$F$100</f>
        <v/>
      </c>
    </row>
    <row r="86">
      <c r="A86" s="8" t="inlineStr">
        <is>
          <t>Software (System &amp; Application)</t>
        </is>
      </c>
      <c r="B86" s="8" t="n">
        <v>309</v>
      </c>
      <c r="C86" s="8" t="n">
        <v>1.2766</v>
      </c>
      <c r="D86" s="8" t="n">
        <v>1.2482</v>
      </c>
      <c r="E86" s="11">
        <f>B86/(B86+10)</f>
        <v/>
      </c>
      <c r="F86" s="12">
        <f>E86*D86+(1-E86)*$F$100</f>
        <v/>
      </c>
    </row>
    <row r="87">
      <c r="A87" s="8" t="inlineStr">
        <is>
          <t>Steel</t>
        </is>
      </c>
      <c r="B87" s="8" t="n">
        <v>19</v>
      </c>
      <c r="C87" s="8" t="n">
        <v>1.0628</v>
      </c>
      <c r="D87" s="8" t="n">
        <v>0.9449</v>
      </c>
      <c r="E87" s="11">
        <f>B87/(B87+10)</f>
        <v/>
      </c>
      <c r="F87" s="12">
        <f>E87*D87+(1-E87)*$F$100</f>
        <v/>
      </c>
    </row>
    <row r="88">
      <c r="A88" s="8" t="inlineStr">
        <is>
          <t>Telecom (Wireless)</t>
        </is>
      </c>
      <c r="B88" s="8" t="n">
        <v>12</v>
      </c>
      <c r="C88" s="8" t="n">
        <v>0.5381</v>
      </c>
      <c r="D88" s="8" t="n">
        <v>0.3924</v>
      </c>
      <c r="E88" s="11">
        <f>B88/(B88+10)</f>
        <v/>
      </c>
      <c r="F88" s="12">
        <f>E88*D88+(1-E88)*$F$100</f>
        <v/>
      </c>
    </row>
    <row r="89">
      <c r="A89" s="8" t="inlineStr">
        <is>
          <t>Telecom. Equipment</t>
        </is>
      </c>
      <c r="B89" s="8" t="n">
        <v>57</v>
      </c>
      <c r="C89" s="8" t="n">
        <v>0.9232</v>
      </c>
      <c r="D89" s="8" t="n">
        <v>0.8873</v>
      </c>
      <c r="E89" s="11">
        <f>B89/(B89+10)</f>
        <v/>
      </c>
      <c r="F89" s="12">
        <f>E89*D89+(1-E89)*$F$100</f>
        <v/>
      </c>
    </row>
    <row r="90">
      <c r="A90" s="8" t="inlineStr">
        <is>
          <t>Telecom. Services</t>
        </is>
      </c>
      <c r="B90" s="8" t="n">
        <v>39</v>
      </c>
      <c r="C90" s="8" t="n">
        <v>0.6287</v>
      </c>
      <c r="D90" s="8" t="n">
        <v>0.3815</v>
      </c>
      <c r="E90" s="11">
        <f>B90/(B90+10)</f>
        <v/>
      </c>
      <c r="F90" s="12">
        <f>E90*D90+(1-E90)*$F$100</f>
        <v/>
      </c>
    </row>
    <row r="91">
      <c r="A91" s="8" t="inlineStr">
        <is>
          <t>Tobacco</t>
        </is>
      </c>
      <c r="B91" s="8" t="n">
        <v>10</v>
      </c>
      <c r="C91" s="8" t="n">
        <v>0.7943</v>
      </c>
      <c r="D91" s="8" t="n">
        <v>0.6903</v>
      </c>
      <c r="E91" s="11">
        <f>B91/(B91+10)</f>
        <v/>
      </c>
      <c r="F91" s="12">
        <f>E91*D91+(1-E91)*$F$100</f>
        <v/>
      </c>
    </row>
    <row r="92">
      <c r="A92" s="8" t="inlineStr">
        <is>
          <t>Transportation</t>
        </is>
      </c>
      <c r="B92" s="8" t="n">
        <v>19</v>
      </c>
      <c r="C92" s="8" t="n">
        <v>0.8599</v>
      </c>
      <c r="D92" s="8" t="n">
        <v>0.7115</v>
      </c>
      <c r="E92" s="11">
        <f>B92/(B92+10)</f>
        <v/>
      </c>
      <c r="F92" s="12">
        <f>E92*D92+(1-E92)*$F$100</f>
        <v/>
      </c>
    </row>
    <row r="93">
      <c r="A93" s="8" t="inlineStr">
        <is>
          <t>Transportation (Railroads)</t>
        </is>
      </c>
      <c r="B93" s="8" t="n">
        <v>4</v>
      </c>
      <c r="C93" s="8" t="n">
        <v>0.9751</v>
      </c>
      <c r="D93" s="8" t="n">
        <v>0.8137</v>
      </c>
      <c r="E93" s="11">
        <f>B93/(B93+10)</f>
        <v/>
      </c>
      <c r="F93" s="12">
        <f>E93*D93+(1-E93)*$F$100</f>
        <v/>
      </c>
    </row>
    <row r="94">
      <c r="A94" s="8" t="inlineStr">
        <is>
          <t>Trucking</t>
        </is>
      </c>
      <c r="B94" s="8" t="n">
        <v>26</v>
      </c>
      <c r="C94" s="8" t="n">
        <v>1.0113</v>
      </c>
      <c r="D94" s="8" t="n">
        <v>0.8689</v>
      </c>
      <c r="E94" s="11">
        <f>B94/(B94+10)</f>
        <v/>
      </c>
      <c r="F94" s="12">
        <f>E94*D94+(1-E94)*$F$100</f>
        <v/>
      </c>
    </row>
    <row r="95">
      <c r="A95" s="8" t="inlineStr">
        <is>
          <t>Utility (General)</t>
        </is>
      </c>
      <c r="B95" s="8" t="n">
        <v>14</v>
      </c>
      <c r="C95" s="8" t="n">
        <v>0.2394</v>
      </c>
      <c r="D95" s="8" t="n">
        <v>0.1491</v>
      </c>
      <c r="E95" s="11">
        <f>B95/(B95+10)</f>
        <v/>
      </c>
      <c r="F95" s="12">
        <f>E95*D95+(1-E95)*$F$100</f>
        <v/>
      </c>
    </row>
    <row r="96">
      <c r="A96" s="8" t="inlineStr">
        <is>
          <t>Utility (Water)</t>
        </is>
      </c>
      <c r="B96" s="8" t="n">
        <v>14</v>
      </c>
      <c r="C96" s="8" t="n">
        <v>0.4127</v>
      </c>
      <c r="D96" s="8" t="n">
        <v>0.2825</v>
      </c>
      <c r="E96" s="11">
        <f>B96/(B96+10)</f>
        <v/>
      </c>
      <c r="F96" s="12">
        <f>E96*D96+(1-E96)*$F$100</f>
        <v/>
      </c>
    </row>
    <row r="97">
      <c r="A97" s="8" t="inlineStr">
        <is>
          <t>Total Market (without financials)</t>
        </is>
      </c>
      <c r="B97" s="8" t="n">
        <v>4822</v>
      </c>
      <c r="C97" s="8" t="n">
        <v>0.9913</v>
      </c>
      <c r="D97" s="8" t="n">
        <v>0.901</v>
      </c>
      <c r="E97" s="11">
        <f>B97/(B97+10)</f>
        <v/>
      </c>
      <c r="F97" s="12">
        <f>E97*D97+(1-E97)*$F$100</f>
        <v/>
      </c>
    </row>
    <row r="99">
      <c r="A99" s="6" t="inlineStr">
        <is>
          <t>Reference:</t>
        </is>
      </c>
    </row>
    <row r="100">
      <c r="A100" s="13" t="inlineStr">
        <is>
          <t>Total Market unlevered beta (ex-financials) — shrinkage target</t>
        </is>
      </c>
      <c r="F100" s="14" t="n">
        <v>0.901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26" customWidth="1" min="2" max="2"/>
    <col width="3" customWidth="1" min="3" max="3"/>
    <col width="16" customWidth="1" min="4" max="4"/>
    <col width="16" customWidth="1" min="5" max="5"/>
    <col width="3" customWidth="1" min="6" max="6"/>
    <col width="16" customWidth="1" min="7" max="7"/>
    <col width="16" customWidth="1" min="8" max="8"/>
  </cols>
  <sheetData>
    <row r="1" ht="28" customHeight="1">
      <c r="A1" s="15" t="inlineStr">
        <is>
          <t>STEP 3 — PRA SWES Level-1 (GICS Sector) shocks, YEAR 1, from the BoE annex (SWES_variable_paths_BoE_annex.xlsx, 'Variable Paths' rows 41-64 Sector revenues / 91-114 Equity multiples, both 'Annual change'). Year 1 = the peak initial-shock year, consistent with the Y1 convention used elsewhere in this project. Years 2-5 paths exist in the annex if a multi-year cascade is wanted later.</t>
        </is>
      </c>
    </row>
    <row r="3">
      <c r="A3" s="7" t="inlineStr">
        <is>
          <t>Sector Code</t>
        </is>
      </c>
      <c r="B3" s="7" t="inlineStr">
        <is>
          <t>GICS Sector</t>
        </is>
      </c>
      <c r="C3" s="7" t="inlineStr"/>
      <c r="D3" s="7" t="inlineStr">
        <is>
          <t>US Revenue
Shock %</t>
        </is>
      </c>
      <c r="E3" s="7" t="inlineStr">
        <is>
          <t>US EV/EBITDA
Multiple Shock %</t>
        </is>
      </c>
      <c r="F3" s="7" t="inlineStr"/>
      <c r="G3" s="7" t="inlineStr">
        <is>
          <t>UK/EU Revenue
Shock %</t>
        </is>
      </c>
      <c r="H3" s="7" t="inlineStr">
        <is>
          <t>UK/EU EV/EBITDA
Multiple Shock %</t>
        </is>
      </c>
    </row>
    <row r="4">
      <c r="A4" s="8" t="n">
        <v>10</v>
      </c>
      <c r="B4" s="8" t="inlineStr">
        <is>
          <t>Energy</t>
        </is>
      </c>
      <c r="D4" s="16" t="n">
        <v>0.15</v>
      </c>
      <c r="E4" s="16" t="n">
        <v>0.04</v>
      </c>
      <c r="G4" s="16" t="n">
        <v>0.08</v>
      </c>
      <c r="H4" s="16" t="n">
        <v>0</v>
      </c>
    </row>
    <row r="5">
      <c r="A5" s="8" t="n">
        <v>15</v>
      </c>
      <c r="B5" s="8" t="inlineStr">
        <is>
          <t>Materials</t>
        </is>
      </c>
      <c r="D5" s="16" t="n">
        <v>-0.05</v>
      </c>
      <c r="E5" s="16" t="n">
        <v>-0.25</v>
      </c>
      <c r="G5" s="16" t="n">
        <v>-0.05</v>
      </c>
      <c r="H5" s="16" t="n">
        <v>-0.28</v>
      </c>
    </row>
    <row r="6">
      <c r="A6" s="8" t="n">
        <v>20</v>
      </c>
      <c r="B6" s="8" t="inlineStr">
        <is>
          <t>Industrials</t>
        </is>
      </c>
      <c r="D6" s="16" t="n">
        <v>-0.1</v>
      </c>
      <c r="E6" s="16" t="n">
        <v>-0.26</v>
      </c>
      <c r="G6" s="16" t="n">
        <v>-0.1</v>
      </c>
      <c r="H6" s="16" t="n">
        <v>-0.32</v>
      </c>
    </row>
    <row r="7">
      <c r="A7" s="8" t="n">
        <v>25</v>
      </c>
      <c r="B7" s="8" t="inlineStr">
        <is>
          <t>Consumer Discretionary</t>
        </is>
      </c>
      <c r="D7" s="16" t="n">
        <v>-0.1</v>
      </c>
      <c r="E7" s="16" t="n">
        <v>-0.33</v>
      </c>
      <c r="G7" s="16" t="n">
        <v>-0.1</v>
      </c>
      <c r="H7" s="16" t="n">
        <v>-0.25</v>
      </c>
    </row>
    <row r="8">
      <c r="A8" s="8" t="n">
        <v>30</v>
      </c>
      <c r="B8" s="8" t="inlineStr">
        <is>
          <t>Consumer Staples</t>
        </is>
      </c>
      <c r="D8" s="16" t="n">
        <v>-0.05</v>
      </c>
      <c r="E8" s="16" t="n">
        <v>-0.23</v>
      </c>
      <c r="G8" s="16" t="n">
        <v>-0.05</v>
      </c>
      <c r="H8" s="16" t="n">
        <v>-0.25</v>
      </c>
    </row>
    <row r="9">
      <c r="A9" s="8" t="n">
        <v>35</v>
      </c>
      <c r="B9" s="8" t="inlineStr">
        <is>
          <t>Health Care</t>
        </is>
      </c>
      <c r="D9" s="16" t="n">
        <v>-0.05</v>
      </c>
      <c r="E9" s="16" t="n">
        <v>-0.23</v>
      </c>
      <c r="G9" s="16" t="n">
        <v>-0.05</v>
      </c>
      <c r="H9" s="16" t="n">
        <v>-0.25</v>
      </c>
    </row>
    <row r="10">
      <c r="A10" s="8" t="n">
        <v>40</v>
      </c>
      <c r="B10" s="8" t="inlineStr">
        <is>
          <t>Financials</t>
        </is>
      </c>
      <c r="D10" s="16" t="n">
        <v>-0.1</v>
      </c>
      <c r="E10" s="16" t="n">
        <v>-0.36</v>
      </c>
      <c r="G10" s="16" t="n">
        <v>-0.1</v>
      </c>
      <c r="H10" s="16" t="n">
        <v>-0.32</v>
      </c>
    </row>
    <row r="11">
      <c r="A11" s="8" t="n">
        <v>45</v>
      </c>
      <c r="B11" s="8" t="inlineStr">
        <is>
          <t>Information Technology</t>
        </is>
      </c>
      <c r="D11" s="16" t="n">
        <v>-0.1</v>
      </c>
      <c r="E11" s="16" t="n">
        <v>-0.34</v>
      </c>
      <c r="G11" s="16" t="n">
        <v>-0.1</v>
      </c>
      <c r="H11" s="16" t="n">
        <v>-0.36</v>
      </c>
    </row>
    <row r="12">
      <c r="A12" s="8" t="n">
        <v>50</v>
      </c>
      <c r="B12" s="8" t="inlineStr">
        <is>
          <t>Communication Services</t>
        </is>
      </c>
      <c r="D12" s="16" t="n">
        <v>-0.05</v>
      </c>
      <c r="E12" s="16" t="n">
        <v>-0.3</v>
      </c>
      <c r="G12" s="16" t="n">
        <v>-0.05</v>
      </c>
      <c r="H12" s="16" t="n">
        <v>-0.26</v>
      </c>
    </row>
    <row r="13">
      <c r="A13" s="8" t="n">
        <v>55</v>
      </c>
      <c r="B13" s="8" t="inlineStr">
        <is>
          <t>Utilities</t>
        </is>
      </c>
      <c r="D13" s="16" t="n">
        <v>0.05</v>
      </c>
      <c r="E13" s="16" t="n">
        <v>-0.07000000000000001</v>
      </c>
      <c r="G13" s="16" t="n">
        <v>0.02</v>
      </c>
      <c r="H13" s="16" t="n">
        <v>-0.01</v>
      </c>
    </row>
    <row r="14">
      <c r="A14" s="8" t="n">
        <v>60</v>
      </c>
      <c r="B14" s="8" t="inlineStr">
        <is>
          <t>Real Estate</t>
        </is>
      </c>
      <c r="D14" s="16" t="n">
        <v>-0.1</v>
      </c>
      <c r="E14" s="16" t="n">
        <v>-0.33</v>
      </c>
      <c r="G14" s="16" t="n">
        <v>-0.1</v>
      </c>
      <c r="H14" s="16" t="n">
        <v>-0.36</v>
      </c>
    </row>
    <row r="16">
      <c r="A16" s="6" t="inlineStr">
        <is>
          <t>Real annex data as of 6 Aug 2026. 'Telecom' (annex) maps to GICS 'Communication Services' (sector 50) — the annex's broader label; GICS Communication Services also includes Media &amp; Entertainment, which the annex folds into the same Telecom figure.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5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3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8" customHeight="1">
      <c r="A1" s="6" t="inlineStr">
        <is>
          <t>STEP 4 — For every GICS sub-industry: shrunk L4 beta -&gt; weighted-avg beta at L3/L2/L1 (grouped directly on the L4 betas, not nested averages) -&gt; relative beta at each level -&gt; cascaded shock. Shock_L4 = Shock_L1 x RelBeta_L2 x RelBeta_L3 x RelBeta_L4, which telescopes to Shock_L1 x (ShrunkBeta_L4 / AvgBeta_L1) — see 0_ReadMe.</t>
        </is>
      </c>
    </row>
    <row r="2" ht="32" customHeight="1">
      <c r="A2" s="7" t="inlineStr">
        <is>
          <t>Sub-Ind Code</t>
        </is>
      </c>
      <c r="B2" s="7" t="inlineStr">
        <is>
          <t>Sub-Industry</t>
        </is>
      </c>
      <c r="C2" s="7" t="inlineStr">
        <is>
          <t>Sector
Code</t>
        </is>
      </c>
      <c r="D2" s="7" t="inlineStr">
        <is>
          <t>IG Code</t>
        </is>
      </c>
      <c r="E2" s="7" t="inlineStr">
        <is>
          <t>Ind Code</t>
        </is>
      </c>
      <c r="F2" s="7" t="inlineStr">
        <is>
          <t>Weight</t>
        </is>
      </c>
      <c r="G2" s="7" t="inlineStr">
        <is>
          <t>Shrunk
Beta L4</t>
        </is>
      </c>
      <c r="H2" s="7" t="inlineStr">
        <is>
          <t>Avg Beta
L3</t>
        </is>
      </c>
      <c r="I2" s="7" t="inlineStr">
        <is>
          <t>Avg Beta
L2</t>
        </is>
      </c>
      <c r="J2" s="7" t="inlineStr">
        <is>
          <t>Avg Beta
L1</t>
        </is>
      </c>
      <c r="K2" s="7" t="inlineStr">
        <is>
          <t>RelBeta
L2</t>
        </is>
      </c>
      <c r="L2" s="7" t="inlineStr">
        <is>
          <t>RelBeta
L3</t>
        </is>
      </c>
      <c r="M2" s="7" t="inlineStr">
        <is>
          <t>RelBeta
L4</t>
        </is>
      </c>
      <c r="N2" s="7" t="inlineStr">
        <is>
          <t>US Rev
Shock L2</t>
        </is>
      </c>
      <c r="O2" s="7" t="inlineStr">
        <is>
          <t>US Rev
Shock L3</t>
        </is>
      </c>
      <c r="P2" s="7" t="inlineStr">
        <is>
          <t>US Rev
Shock L4</t>
        </is>
      </c>
      <c r="Q2" s="7" t="inlineStr">
        <is>
          <t>US EV/EBITDA
Shock L4</t>
        </is>
      </c>
      <c r="R2" s="7" t="inlineStr">
        <is>
          <t>UK Rev
Shock L2</t>
        </is>
      </c>
      <c r="S2" s="7" t="inlineStr">
        <is>
          <t>UK Rev
Shock L3</t>
        </is>
      </c>
      <c r="T2" s="7" t="inlineStr">
        <is>
          <t>UK Rev
Shock L4</t>
        </is>
      </c>
      <c r="U2" s="7" t="inlineStr">
        <is>
          <t>UK EV/EBITDA
Shock L4</t>
        </is>
      </c>
    </row>
    <row r="3">
      <c r="A3" s="8">
        <f>'1_GICS_Structure'!G3</f>
        <v/>
      </c>
      <c r="B3" s="8">
        <f>'1_GICS_Structure'!H3</f>
        <v/>
      </c>
      <c r="C3" s="8">
        <f>'1_GICS_Structure'!A3</f>
        <v/>
      </c>
      <c r="D3" s="8">
        <f>'1_GICS_Structure'!C3</f>
        <v/>
      </c>
      <c r="E3" s="8">
        <f>'1_GICS_Structure'!E3</f>
        <v/>
      </c>
      <c r="F3" s="8">
        <f>'1_GICS_Structure'!J3</f>
        <v/>
      </c>
      <c r="G3" s="12">
        <f>INDEX('2_Damodaran_Betas'!$F$3:$F$97,MATCH('1_GICS_Structure'!I3,'2_Damodaran_Betas'!$A$3:$A$97,0))</f>
        <v/>
      </c>
      <c r="H3" s="12">
        <f>SUMPRODUCT(($E$3:$E$165=E3)*$F$3:$F$165*$G$3:$G$165)/SUMPRODUCT(($E$3:$E$165=E3)*$F$3:$F$165)</f>
        <v/>
      </c>
      <c r="I3" s="12">
        <f>SUMPRODUCT(($D$3:$D$165=D3)*$F$3:$F$165*$G$3:$G$165)/SUMPRODUCT(($D$3:$D$165=D3)*$F$3:$F$165)</f>
        <v/>
      </c>
      <c r="J3" s="12">
        <f>SUMPRODUCT(($C$3:$C$165=C3)*$F$3:$F$165*$G$3:$G$165)/SUMPRODUCT(($C$3:$C$165=C3)*$F$3:$F$165)</f>
        <v/>
      </c>
      <c r="K3" s="17">
        <f>I3/J3</f>
        <v/>
      </c>
      <c r="L3" s="17">
        <f>H3/I3</f>
        <v/>
      </c>
      <c r="M3" s="17">
        <f>G3/H3</f>
        <v/>
      </c>
      <c r="N3" s="18">
        <f>INDEX('3_PRA_SWES_L1_Input'!$D$4:$D$14,MATCH($C3,'3_PRA_SWES_L1_Input'!$A$4:$A$14,0))*K3</f>
        <v/>
      </c>
      <c r="O3" s="18">
        <f>N3*L3</f>
        <v/>
      </c>
      <c r="P3" s="18">
        <f>O3*M3</f>
        <v/>
      </c>
      <c r="Q3" s="18">
        <f>INDEX('3_PRA_SWES_L1_Input'!$E$4:$E$14,MATCH($C3,'3_PRA_SWES_L1_Input'!$A$4:$A$14,0))*K3*L3*M3</f>
        <v/>
      </c>
      <c r="R3" s="18">
        <f>INDEX('3_PRA_SWES_L1_Input'!$G$4:$G$14,MATCH($C3,'3_PRA_SWES_L1_Input'!$A$4:$A$14,0))*K3</f>
        <v/>
      </c>
      <c r="S3" s="18">
        <f>R3*L3</f>
        <v/>
      </c>
      <c r="T3" s="18">
        <f>S3*M3</f>
        <v/>
      </c>
      <c r="U3" s="18">
        <f>INDEX('3_PRA_SWES_L1_Input'!$H$4:$H$14,MATCH($C3,'3_PRA_SWES_L1_Input'!$A$4:$A$14,0))*K3*L3*M3</f>
        <v/>
      </c>
    </row>
    <row r="4">
      <c r="A4" s="8">
        <f>'1_GICS_Structure'!G4</f>
        <v/>
      </c>
      <c r="B4" s="8">
        <f>'1_GICS_Structure'!H4</f>
        <v/>
      </c>
      <c r="C4" s="8">
        <f>'1_GICS_Structure'!A4</f>
        <v/>
      </c>
      <c r="D4" s="8">
        <f>'1_GICS_Structure'!C4</f>
        <v/>
      </c>
      <c r="E4" s="8">
        <f>'1_GICS_Structure'!E4</f>
        <v/>
      </c>
      <c r="F4" s="8">
        <f>'1_GICS_Structure'!J4</f>
        <v/>
      </c>
      <c r="G4" s="12">
        <f>INDEX('2_Damodaran_Betas'!$F$3:$F$97,MATCH('1_GICS_Structure'!I4,'2_Damodaran_Betas'!$A$3:$A$97,0))</f>
        <v/>
      </c>
      <c r="H4" s="12">
        <f>SUMPRODUCT(($E$3:$E$165=E4)*$F$3:$F$165*$G$3:$G$165)/SUMPRODUCT(($E$3:$E$165=E4)*$F$3:$F$165)</f>
        <v/>
      </c>
      <c r="I4" s="12">
        <f>SUMPRODUCT(($D$3:$D$165=D4)*$F$3:$F$165*$G$3:$G$165)/SUMPRODUCT(($D$3:$D$165=D4)*$F$3:$F$165)</f>
        <v/>
      </c>
      <c r="J4" s="12">
        <f>SUMPRODUCT(($C$3:$C$165=C4)*$F$3:$F$165*$G$3:$G$165)/SUMPRODUCT(($C$3:$C$165=C4)*$F$3:$F$165)</f>
        <v/>
      </c>
      <c r="K4" s="17">
        <f>I4/J4</f>
        <v/>
      </c>
      <c r="L4" s="17">
        <f>H4/I4</f>
        <v/>
      </c>
      <c r="M4" s="17">
        <f>G4/H4</f>
        <v/>
      </c>
      <c r="N4" s="18">
        <f>INDEX('3_PRA_SWES_L1_Input'!$D$4:$D$14,MATCH($C4,'3_PRA_SWES_L1_Input'!$A$4:$A$14,0))*K4</f>
        <v/>
      </c>
      <c r="O4" s="18">
        <f>N4*L4</f>
        <v/>
      </c>
      <c r="P4" s="18">
        <f>O4*M4</f>
        <v/>
      </c>
      <c r="Q4" s="18">
        <f>INDEX('3_PRA_SWES_L1_Input'!$E$4:$E$14,MATCH($C4,'3_PRA_SWES_L1_Input'!$A$4:$A$14,0))*K4*L4*M4</f>
        <v/>
      </c>
      <c r="R4" s="18">
        <f>INDEX('3_PRA_SWES_L1_Input'!$G$4:$G$14,MATCH($C4,'3_PRA_SWES_L1_Input'!$A$4:$A$14,0))*K4</f>
        <v/>
      </c>
      <c r="S4" s="18">
        <f>R4*L4</f>
        <v/>
      </c>
      <c r="T4" s="18">
        <f>S4*M4</f>
        <v/>
      </c>
      <c r="U4" s="18">
        <f>INDEX('3_PRA_SWES_L1_Input'!$H$4:$H$14,MATCH($C4,'3_PRA_SWES_L1_Input'!$A$4:$A$14,0))*K4*L4*M4</f>
        <v/>
      </c>
    </row>
    <row r="5">
      <c r="A5" s="8">
        <f>'1_GICS_Structure'!G5</f>
        <v/>
      </c>
      <c r="B5" s="8">
        <f>'1_GICS_Structure'!H5</f>
        <v/>
      </c>
      <c r="C5" s="8">
        <f>'1_GICS_Structure'!A5</f>
        <v/>
      </c>
      <c r="D5" s="8">
        <f>'1_GICS_Structure'!C5</f>
        <v/>
      </c>
      <c r="E5" s="8">
        <f>'1_GICS_Structure'!E5</f>
        <v/>
      </c>
      <c r="F5" s="8">
        <f>'1_GICS_Structure'!J5</f>
        <v/>
      </c>
      <c r="G5" s="12">
        <f>INDEX('2_Damodaran_Betas'!$F$3:$F$97,MATCH('1_GICS_Structure'!I5,'2_Damodaran_Betas'!$A$3:$A$97,0))</f>
        <v/>
      </c>
      <c r="H5" s="12">
        <f>SUMPRODUCT(($E$3:$E$165=E5)*$F$3:$F$165*$G$3:$G$165)/SUMPRODUCT(($E$3:$E$165=E5)*$F$3:$F$165)</f>
        <v/>
      </c>
      <c r="I5" s="12">
        <f>SUMPRODUCT(($D$3:$D$165=D5)*$F$3:$F$165*$G$3:$G$165)/SUMPRODUCT(($D$3:$D$165=D5)*$F$3:$F$165)</f>
        <v/>
      </c>
      <c r="J5" s="12">
        <f>SUMPRODUCT(($C$3:$C$165=C5)*$F$3:$F$165*$G$3:$G$165)/SUMPRODUCT(($C$3:$C$165=C5)*$F$3:$F$165)</f>
        <v/>
      </c>
      <c r="K5" s="17">
        <f>I5/J5</f>
        <v/>
      </c>
      <c r="L5" s="17">
        <f>H5/I5</f>
        <v/>
      </c>
      <c r="M5" s="17">
        <f>G5/H5</f>
        <v/>
      </c>
      <c r="N5" s="18">
        <f>INDEX('3_PRA_SWES_L1_Input'!$D$4:$D$14,MATCH($C5,'3_PRA_SWES_L1_Input'!$A$4:$A$14,0))*K5</f>
        <v/>
      </c>
      <c r="O5" s="18">
        <f>N5*L5</f>
        <v/>
      </c>
      <c r="P5" s="18">
        <f>O5*M5</f>
        <v/>
      </c>
      <c r="Q5" s="18">
        <f>INDEX('3_PRA_SWES_L1_Input'!$E$4:$E$14,MATCH($C5,'3_PRA_SWES_L1_Input'!$A$4:$A$14,0))*K5*L5*M5</f>
        <v/>
      </c>
      <c r="R5" s="18">
        <f>INDEX('3_PRA_SWES_L1_Input'!$G$4:$G$14,MATCH($C5,'3_PRA_SWES_L1_Input'!$A$4:$A$14,0))*K5</f>
        <v/>
      </c>
      <c r="S5" s="18">
        <f>R5*L5</f>
        <v/>
      </c>
      <c r="T5" s="18">
        <f>S5*M5</f>
        <v/>
      </c>
      <c r="U5" s="18">
        <f>INDEX('3_PRA_SWES_L1_Input'!$H$4:$H$14,MATCH($C5,'3_PRA_SWES_L1_Input'!$A$4:$A$14,0))*K5*L5*M5</f>
        <v/>
      </c>
    </row>
    <row r="6">
      <c r="A6" s="8">
        <f>'1_GICS_Structure'!G6</f>
        <v/>
      </c>
      <c r="B6" s="8">
        <f>'1_GICS_Structure'!H6</f>
        <v/>
      </c>
      <c r="C6" s="8">
        <f>'1_GICS_Structure'!A6</f>
        <v/>
      </c>
      <c r="D6" s="8">
        <f>'1_GICS_Structure'!C6</f>
        <v/>
      </c>
      <c r="E6" s="8">
        <f>'1_GICS_Structure'!E6</f>
        <v/>
      </c>
      <c r="F6" s="8">
        <f>'1_GICS_Structure'!J6</f>
        <v/>
      </c>
      <c r="G6" s="12">
        <f>INDEX('2_Damodaran_Betas'!$F$3:$F$97,MATCH('1_GICS_Structure'!I6,'2_Damodaran_Betas'!$A$3:$A$97,0))</f>
        <v/>
      </c>
      <c r="H6" s="12">
        <f>SUMPRODUCT(($E$3:$E$165=E6)*$F$3:$F$165*$G$3:$G$165)/SUMPRODUCT(($E$3:$E$165=E6)*$F$3:$F$165)</f>
        <v/>
      </c>
      <c r="I6" s="12">
        <f>SUMPRODUCT(($D$3:$D$165=D6)*$F$3:$F$165*$G$3:$G$165)/SUMPRODUCT(($D$3:$D$165=D6)*$F$3:$F$165)</f>
        <v/>
      </c>
      <c r="J6" s="12">
        <f>SUMPRODUCT(($C$3:$C$165=C6)*$F$3:$F$165*$G$3:$G$165)/SUMPRODUCT(($C$3:$C$165=C6)*$F$3:$F$165)</f>
        <v/>
      </c>
      <c r="K6" s="17">
        <f>I6/J6</f>
        <v/>
      </c>
      <c r="L6" s="17">
        <f>H6/I6</f>
        <v/>
      </c>
      <c r="M6" s="17">
        <f>G6/H6</f>
        <v/>
      </c>
      <c r="N6" s="18">
        <f>INDEX('3_PRA_SWES_L1_Input'!$D$4:$D$14,MATCH($C6,'3_PRA_SWES_L1_Input'!$A$4:$A$14,0))*K6</f>
        <v/>
      </c>
      <c r="O6" s="18">
        <f>N6*L6</f>
        <v/>
      </c>
      <c r="P6" s="18">
        <f>O6*M6</f>
        <v/>
      </c>
      <c r="Q6" s="18">
        <f>INDEX('3_PRA_SWES_L1_Input'!$E$4:$E$14,MATCH($C6,'3_PRA_SWES_L1_Input'!$A$4:$A$14,0))*K6*L6*M6</f>
        <v/>
      </c>
      <c r="R6" s="18">
        <f>INDEX('3_PRA_SWES_L1_Input'!$G$4:$G$14,MATCH($C6,'3_PRA_SWES_L1_Input'!$A$4:$A$14,0))*K6</f>
        <v/>
      </c>
      <c r="S6" s="18">
        <f>R6*L6</f>
        <v/>
      </c>
      <c r="T6" s="18">
        <f>S6*M6</f>
        <v/>
      </c>
      <c r="U6" s="18">
        <f>INDEX('3_PRA_SWES_L1_Input'!$H$4:$H$14,MATCH($C6,'3_PRA_SWES_L1_Input'!$A$4:$A$14,0))*K6*L6*M6</f>
        <v/>
      </c>
    </row>
    <row r="7">
      <c r="A7" s="8">
        <f>'1_GICS_Structure'!G7</f>
        <v/>
      </c>
      <c r="B7" s="8">
        <f>'1_GICS_Structure'!H7</f>
        <v/>
      </c>
      <c r="C7" s="8">
        <f>'1_GICS_Structure'!A7</f>
        <v/>
      </c>
      <c r="D7" s="8">
        <f>'1_GICS_Structure'!C7</f>
        <v/>
      </c>
      <c r="E7" s="8">
        <f>'1_GICS_Structure'!E7</f>
        <v/>
      </c>
      <c r="F7" s="8">
        <f>'1_GICS_Structure'!J7</f>
        <v/>
      </c>
      <c r="G7" s="12">
        <f>INDEX('2_Damodaran_Betas'!$F$3:$F$97,MATCH('1_GICS_Structure'!I7,'2_Damodaran_Betas'!$A$3:$A$97,0))</f>
        <v/>
      </c>
      <c r="H7" s="12">
        <f>SUMPRODUCT(($E$3:$E$165=E7)*$F$3:$F$165*$G$3:$G$165)/SUMPRODUCT(($E$3:$E$165=E7)*$F$3:$F$165)</f>
        <v/>
      </c>
      <c r="I7" s="12">
        <f>SUMPRODUCT(($D$3:$D$165=D7)*$F$3:$F$165*$G$3:$G$165)/SUMPRODUCT(($D$3:$D$165=D7)*$F$3:$F$165)</f>
        <v/>
      </c>
      <c r="J7" s="12">
        <f>SUMPRODUCT(($C$3:$C$165=C7)*$F$3:$F$165*$G$3:$G$165)/SUMPRODUCT(($C$3:$C$165=C7)*$F$3:$F$165)</f>
        <v/>
      </c>
      <c r="K7" s="17">
        <f>I7/J7</f>
        <v/>
      </c>
      <c r="L7" s="17">
        <f>H7/I7</f>
        <v/>
      </c>
      <c r="M7" s="17">
        <f>G7/H7</f>
        <v/>
      </c>
      <c r="N7" s="18">
        <f>INDEX('3_PRA_SWES_L1_Input'!$D$4:$D$14,MATCH($C7,'3_PRA_SWES_L1_Input'!$A$4:$A$14,0))*K7</f>
        <v/>
      </c>
      <c r="O7" s="18">
        <f>N7*L7</f>
        <v/>
      </c>
      <c r="P7" s="18">
        <f>O7*M7</f>
        <v/>
      </c>
      <c r="Q7" s="18">
        <f>INDEX('3_PRA_SWES_L1_Input'!$E$4:$E$14,MATCH($C7,'3_PRA_SWES_L1_Input'!$A$4:$A$14,0))*K7*L7*M7</f>
        <v/>
      </c>
      <c r="R7" s="18">
        <f>INDEX('3_PRA_SWES_L1_Input'!$G$4:$G$14,MATCH($C7,'3_PRA_SWES_L1_Input'!$A$4:$A$14,0))*K7</f>
        <v/>
      </c>
      <c r="S7" s="18">
        <f>R7*L7</f>
        <v/>
      </c>
      <c r="T7" s="18">
        <f>S7*M7</f>
        <v/>
      </c>
      <c r="U7" s="18">
        <f>INDEX('3_PRA_SWES_L1_Input'!$H$4:$H$14,MATCH($C7,'3_PRA_SWES_L1_Input'!$A$4:$A$14,0))*K7*L7*M7</f>
        <v/>
      </c>
    </row>
    <row r="8">
      <c r="A8" s="8">
        <f>'1_GICS_Structure'!G8</f>
        <v/>
      </c>
      <c r="B8" s="8">
        <f>'1_GICS_Structure'!H8</f>
        <v/>
      </c>
      <c r="C8" s="8">
        <f>'1_GICS_Structure'!A8</f>
        <v/>
      </c>
      <c r="D8" s="8">
        <f>'1_GICS_Structure'!C8</f>
        <v/>
      </c>
      <c r="E8" s="8">
        <f>'1_GICS_Structure'!E8</f>
        <v/>
      </c>
      <c r="F8" s="8">
        <f>'1_GICS_Structure'!J8</f>
        <v/>
      </c>
      <c r="G8" s="12">
        <f>INDEX('2_Damodaran_Betas'!$F$3:$F$97,MATCH('1_GICS_Structure'!I8,'2_Damodaran_Betas'!$A$3:$A$97,0))</f>
        <v/>
      </c>
      <c r="H8" s="12">
        <f>SUMPRODUCT(($E$3:$E$165=E8)*$F$3:$F$165*$G$3:$G$165)/SUMPRODUCT(($E$3:$E$165=E8)*$F$3:$F$165)</f>
        <v/>
      </c>
      <c r="I8" s="12">
        <f>SUMPRODUCT(($D$3:$D$165=D8)*$F$3:$F$165*$G$3:$G$165)/SUMPRODUCT(($D$3:$D$165=D8)*$F$3:$F$165)</f>
        <v/>
      </c>
      <c r="J8" s="12">
        <f>SUMPRODUCT(($C$3:$C$165=C8)*$F$3:$F$165*$G$3:$G$165)/SUMPRODUCT(($C$3:$C$165=C8)*$F$3:$F$165)</f>
        <v/>
      </c>
      <c r="K8" s="17">
        <f>I8/J8</f>
        <v/>
      </c>
      <c r="L8" s="17">
        <f>H8/I8</f>
        <v/>
      </c>
      <c r="M8" s="17">
        <f>G8/H8</f>
        <v/>
      </c>
      <c r="N8" s="18">
        <f>INDEX('3_PRA_SWES_L1_Input'!$D$4:$D$14,MATCH($C8,'3_PRA_SWES_L1_Input'!$A$4:$A$14,0))*K8</f>
        <v/>
      </c>
      <c r="O8" s="18">
        <f>N8*L8</f>
        <v/>
      </c>
      <c r="P8" s="18">
        <f>O8*M8</f>
        <v/>
      </c>
      <c r="Q8" s="18">
        <f>INDEX('3_PRA_SWES_L1_Input'!$E$4:$E$14,MATCH($C8,'3_PRA_SWES_L1_Input'!$A$4:$A$14,0))*K8*L8*M8</f>
        <v/>
      </c>
      <c r="R8" s="18">
        <f>INDEX('3_PRA_SWES_L1_Input'!$G$4:$G$14,MATCH($C8,'3_PRA_SWES_L1_Input'!$A$4:$A$14,0))*K8</f>
        <v/>
      </c>
      <c r="S8" s="18">
        <f>R8*L8</f>
        <v/>
      </c>
      <c r="T8" s="18">
        <f>S8*M8</f>
        <v/>
      </c>
      <c r="U8" s="18">
        <f>INDEX('3_PRA_SWES_L1_Input'!$H$4:$H$14,MATCH($C8,'3_PRA_SWES_L1_Input'!$A$4:$A$14,0))*K8*L8*M8</f>
        <v/>
      </c>
    </row>
    <row r="9">
      <c r="A9" s="8">
        <f>'1_GICS_Structure'!G9</f>
        <v/>
      </c>
      <c r="B9" s="8">
        <f>'1_GICS_Structure'!H9</f>
        <v/>
      </c>
      <c r="C9" s="8">
        <f>'1_GICS_Structure'!A9</f>
        <v/>
      </c>
      <c r="D9" s="8">
        <f>'1_GICS_Structure'!C9</f>
        <v/>
      </c>
      <c r="E9" s="8">
        <f>'1_GICS_Structure'!E9</f>
        <v/>
      </c>
      <c r="F9" s="8">
        <f>'1_GICS_Structure'!J9</f>
        <v/>
      </c>
      <c r="G9" s="12">
        <f>INDEX('2_Damodaran_Betas'!$F$3:$F$97,MATCH('1_GICS_Structure'!I9,'2_Damodaran_Betas'!$A$3:$A$97,0))</f>
        <v/>
      </c>
      <c r="H9" s="12">
        <f>SUMPRODUCT(($E$3:$E$165=E9)*$F$3:$F$165*$G$3:$G$165)/SUMPRODUCT(($E$3:$E$165=E9)*$F$3:$F$165)</f>
        <v/>
      </c>
      <c r="I9" s="12">
        <f>SUMPRODUCT(($D$3:$D$165=D9)*$F$3:$F$165*$G$3:$G$165)/SUMPRODUCT(($D$3:$D$165=D9)*$F$3:$F$165)</f>
        <v/>
      </c>
      <c r="J9" s="12">
        <f>SUMPRODUCT(($C$3:$C$165=C9)*$F$3:$F$165*$G$3:$G$165)/SUMPRODUCT(($C$3:$C$165=C9)*$F$3:$F$165)</f>
        <v/>
      </c>
      <c r="K9" s="17">
        <f>I9/J9</f>
        <v/>
      </c>
      <c r="L9" s="17">
        <f>H9/I9</f>
        <v/>
      </c>
      <c r="M9" s="17">
        <f>G9/H9</f>
        <v/>
      </c>
      <c r="N9" s="18">
        <f>INDEX('3_PRA_SWES_L1_Input'!$D$4:$D$14,MATCH($C9,'3_PRA_SWES_L1_Input'!$A$4:$A$14,0))*K9</f>
        <v/>
      </c>
      <c r="O9" s="18">
        <f>N9*L9</f>
        <v/>
      </c>
      <c r="P9" s="18">
        <f>O9*M9</f>
        <v/>
      </c>
      <c r="Q9" s="18">
        <f>INDEX('3_PRA_SWES_L1_Input'!$E$4:$E$14,MATCH($C9,'3_PRA_SWES_L1_Input'!$A$4:$A$14,0))*K9*L9*M9</f>
        <v/>
      </c>
      <c r="R9" s="18">
        <f>INDEX('3_PRA_SWES_L1_Input'!$G$4:$G$14,MATCH($C9,'3_PRA_SWES_L1_Input'!$A$4:$A$14,0))*K9</f>
        <v/>
      </c>
      <c r="S9" s="18">
        <f>R9*L9</f>
        <v/>
      </c>
      <c r="T9" s="18">
        <f>S9*M9</f>
        <v/>
      </c>
      <c r="U9" s="18">
        <f>INDEX('3_PRA_SWES_L1_Input'!$H$4:$H$14,MATCH($C9,'3_PRA_SWES_L1_Input'!$A$4:$A$14,0))*K9*L9*M9</f>
        <v/>
      </c>
    </row>
    <row r="10">
      <c r="A10" s="8">
        <f>'1_GICS_Structure'!G10</f>
        <v/>
      </c>
      <c r="B10" s="8">
        <f>'1_GICS_Structure'!H10</f>
        <v/>
      </c>
      <c r="C10" s="8">
        <f>'1_GICS_Structure'!A10</f>
        <v/>
      </c>
      <c r="D10" s="8">
        <f>'1_GICS_Structure'!C10</f>
        <v/>
      </c>
      <c r="E10" s="8">
        <f>'1_GICS_Structure'!E10</f>
        <v/>
      </c>
      <c r="F10" s="8">
        <f>'1_GICS_Structure'!J10</f>
        <v/>
      </c>
      <c r="G10" s="12">
        <f>INDEX('2_Damodaran_Betas'!$F$3:$F$97,MATCH('1_GICS_Structure'!I10,'2_Damodaran_Betas'!$A$3:$A$97,0))</f>
        <v/>
      </c>
      <c r="H10" s="12">
        <f>SUMPRODUCT(($E$3:$E$165=E10)*$F$3:$F$165*$G$3:$G$165)/SUMPRODUCT(($E$3:$E$165=E10)*$F$3:$F$165)</f>
        <v/>
      </c>
      <c r="I10" s="12">
        <f>SUMPRODUCT(($D$3:$D$165=D10)*$F$3:$F$165*$G$3:$G$165)/SUMPRODUCT(($D$3:$D$165=D10)*$F$3:$F$165)</f>
        <v/>
      </c>
      <c r="J10" s="12">
        <f>SUMPRODUCT(($C$3:$C$165=C10)*$F$3:$F$165*$G$3:$G$165)/SUMPRODUCT(($C$3:$C$165=C10)*$F$3:$F$165)</f>
        <v/>
      </c>
      <c r="K10" s="17">
        <f>I10/J10</f>
        <v/>
      </c>
      <c r="L10" s="17">
        <f>H10/I10</f>
        <v/>
      </c>
      <c r="M10" s="17">
        <f>G10/H10</f>
        <v/>
      </c>
      <c r="N10" s="18">
        <f>INDEX('3_PRA_SWES_L1_Input'!$D$4:$D$14,MATCH($C10,'3_PRA_SWES_L1_Input'!$A$4:$A$14,0))*K10</f>
        <v/>
      </c>
      <c r="O10" s="18">
        <f>N10*L10</f>
        <v/>
      </c>
      <c r="P10" s="18">
        <f>O10*M10</f>
        <v/>
      </c>
      <c r="Q10" s="18">
        <f>INDEX('3_PRA_SWES_L1_Input'!$E$4:$E$14,MATCH($C10,'3_PRA_SWES_L1_Input'!$A$4:$A$14,0))*K10*L10*M10</f>
        <v/>
      </c>
      <c r="R10" s="18">
        <f>INDEX('3_PRA_SWES_L1_Input'!$G$4:$G$14,MATCH($C10,'3_PRA_SWES_L1_Input'!$A$4:$A$14,0))*K10</f>
        <v/>
      </c>
      <c r="S10" s="18">
        <f>R10*L10</f>
        <v/>
      </c>
      <c r="T10" s="18">
        <f>S10*M10</f>
        <v/>
      </c>
      <c r="U10" s="18">
        <f>INDEX('3_PRA_SWES_L1_Input'!$H$4:$H$14,MATCH($C10,'3_PRA_SWES_L1_Input'!$A$4:$A$14,0))*K10*L10*M10</f>
        <v/>
      </c>
    </row>
    <row r="11">
      <c r="A11" s="8">
        <f>'1_GICS_Structure'!G11</f>
        <v/>
      </c>
      <c r="B11" s="8">
        <f>'1_GICS_Structure'!H11</f>
        <v/>
      </c>
      <c r="C11" s="8">
        <f>'1_GICS_Structure'!A11</f>
        <v/>
      </c>
      <c r="D11" s="8">
        <f>'1_GICS_Structure'!C11</f>
        <v/>
      </c>
      <c r="E11" s="8">
        <f>'1_GICS_Structure'!E11</f>
        <v/>
      </c>
      <c r="F11" s="8">
        <f>'1_GICS_Structure'!J11</f>
        <v/>
      </c>
      <c r="G11" s="12">
        <f>INDEX('2_Damodaran_Betas'!$F$3:$F$97,MATCH('1_GICS_Structure'!I11,'2_Damodaran_Betas'!$A$3:$A$97,0))</f>
        <v/>
      </c>
      <c r="H11" s="12">
        <f>SUMPRODUCT(($E$3:$E$165=E11)*$F$3:$F$165*$G$3:$G$165)/SUMPRODUCT(($E$3:$E$165=E11)*$F$3:$F$165)</f>
        <v/>
      </c>
      <c r="I11" s="12">
        <f>SUMPRODUCT(($D$3:$D$165=D11)*$F$3:$F$165*$G$3:$G$165)/SUMPRODUCT(($D$3:$D$165=D11)*$F$3:$F$165)</f>
        <v/>
      </c>
      <c r="J11" s="12">
        <f>SUMPRODUCT(($C$3:$C$165=C11)*$F$3:$F$165*$G$3:$G$165)/SUMPRODUCT(($C$3:$C$165=C11)*$F$3:$F$165)</f>
        <v/>
      </c>
      <c r="K11" s="17">
        <f>I11/J11</f>
        <v/>
      </c>
      <c r="L11" s="17">
        <f>H11/I11</f>
        <v/>
      </c>
      <c r="M11" s="17">
        <f>G11/H11</f>
        <v/>
      </c>
      <c r="N11" s="18">
        <f>INDEX('3_PRA_SWES_L1_Input'!$D$4:$D$14,MATCH($C11,'3_PRA_SWES_L1_Input'!$A$4:$A$14,0))*K11</f>
        <v/>
      </c>
      <c r="O11" s="18">
        <f>N11*L11</f>
        <v/>
      </c>
      <c r="P11" s="18">
        <f>O11*M11</f>
        <v/>
      </c>
      <c r="Q11" s="18">
        <f>INDEX('3_PRA_SWES_L1_Input'!$E$4:$E$14,MATCH($C11,'3_PRA_SWES_L1_Input'!$A$4:$A$14,0))*K11*L11*M11</f>
        <v/>
      </c>
      <c r="R11" s="18">
        <f>INDEX('3_PRA_SWES_L1_Input'!$G$4:$G$14,MATCH($C11,'3_PRA_SWES_L1_Input'!$A$4:$A$14,0))*K11</f>
        <v/>
      </c>
      <c r="S11" s="18">
        <f>R11*L11</f>
        <v/>
      </c>
      <c r="T11" s="18">
        <f>S11*M11</f>
        <v/>
      </c>
      <c r="U11" s="18">
        <f>INDEX('3_PRA_SWES_L1_Input'!$H$4:$H$14,MATCH($C11,'3_PRA_SWES_L1_Input'!$A$4:$A$14,0))*K11*L11*M11</f>
        <v/>
      </c>
    </row>
    <row r="12">
      <c r="A12" s="8">
        <f>'1_GICS_Structure'!G12</f>
        <v/>
      </c>
      <c r="B12" s="8">
        <f>'1_GICS_Structure'!H12</f>
        <v/>
      </c>
      <c r="C12" s="8">
        <f>'1_GICS_Structure'!A12</f>
        <v/>
      </c>
      <c r="D12" s="8">
        <f>'1_GICS_Structure'!C12</f>
        <v/>
      </c>
      <c r="E12" s="8">
        <f>'1_GICS_Structure'!E12</f>
        <v/>
      </c>
      <c r="F12" s="8">
        <f>'1_GICS_Structure'!J12</f>
        <v/>
      </c>
      <c r="G12" s="12">
        <f>INDEX('2_Damodaran_Betas'!$F$3:$F$97,MATCH('1_GICS_Structure'!I12,'2_Damodaran_Betas'!$A$3:$A$97,0))</f>
        <v/>
      </c>
      <c r="H12" s="12">
        <f>SUMPRODUCT(($E$3:$E$165=E12)*$F$3:$F$165*$G$3:$G$165)/SUMPRODUCT(($E$3:$E$165=E12)*$F$3:$F$165)</f>
        <v/>
      </c>
      <c r="I12" s="12">
        <f>SUMPRODUCT(($D$3:$D$165=D12)*$F$3:$F$165*$G$3:$G$165)/SUMPRODUCT(($D$3:$D$165=D12)*$F$3:$F$165)</f>
        <v/>
      </c>
      <c r="J12" s="12">
        <f>SUMPRODUCT(($C$3:$C$165=C12)*$F$3:$F$165*$G$3:$G$165)/SUMPRODUCT(($C$3:$C$165=C12)*$F$3:$F$165)</f>
        <v/>
      </c>
      <c r="K12" s="17">
        <f>I12/J12</f>
        <v/>
      </c>
      <c r="L12" s="17">
        <f>H12/I12</f>
        <v/>
      </c>
      <c r="M12" s="17">
        <f>G12/H12</f>
        <v/>
      </c>
      <c r="N12" s="18">
        <f>INDEX('3_PRA_SWES_L1_Input'!$D$4:$D$14,MATCH($C12,'3_PRA_SWES_L1_Input'!$A$4:$A$14,0))*K12</f>
        <v/>
      </c>
      <c r="O12" s="18">
        <f>N12*L12</f>
        <v/>
      </c>
      <c r="P12" s="18">
        <f>O12*M12</f>
        <v/>
      </c>
      <c r="Q12" s="18">
        <f>INDEX('3_PRA_SWES_L1_Input'!$E$4:$E$14,MATCH($C12,'3_PRA_SWES_L1_Input'!$A$4:$A$14,0))*K12*L12*M12</f>
        <v/>
      </c>
      <c r="R12" s="18">
        <f>INDEX('3_PRA_SWES_L1_Input'!$G$4:$G$14,MATCH($C12,'3_PRA_SWES_L1_Input'!$A$4:$A$14,0))*K12</f>
        <v/>
      </c>
      <c r="S12" s="18">
        <f>R12*L12</f>
        <v/>
      </c>
      <c r="T12" s="18">
        <f>S12*M12</f>
        <v/>
      </c>
      <c r="U12" s="18">
        <f>INDEX('3_PRA_SWES_L1_Input'!$H$4:$H$14,MATCH($C12,'3_PRA_SWES_L1_Input'!$A$4:$A$14,0))*K12*L12*M12</f>
        <v/>
      </c>
    </row>
    <row r="13">
      <c r="A13" s="8">
        <f>'1_GICS_Structure'!G13</f>
        <v/>
      </c>
      <c r="B13" s="8">
        <f>'1_GICS_Structure'!H13</f>
        <v/>
      </c>
      <c r="C13" s="8">
        <f>'1_GICS_Structure'!A13</f>
        <v/>
      </c>
      <c r="D13" s="8">
        <f>'1_GICS_Structure'!C13</f>
        <v/>
      </c>
      <c r="E13" s="8">
        <f>'1_GICS_Structure'!E13</f>
        <v/>
      </c>
      <c r="F13" s="8">
        <f>'1_GICS_Structure'!J13</f>
        <v/>
      </c>
      <c r="G13" s="12">
        <f>INDEX('2_Damodaran_Betas'!$F$3:$F$97,MATCH('1_GICS_Structure'!I13,'2_Damodaran_Betas'!$A$3:$A$97,0))</f>
        <v/>
      </c>
      <c r="H13" s="12">
        <f>SUMPRODUCT(($E$3:$E$165=E13)*$F$3:$F$165*$G$3:$G$165)/SUMPRODUCT(($E$3:$E$165=E13)*$F$3:$F$165)</f>
        <v/>
      </c>
      <c r="I13" s="12">
        <f>SUMPRODUCT(($D$3:$D$165=D13)*$F$3:$F$165*$G$3:$G$165)/SUMPRODUCT(($D$3:$D$165=D13)*$F$3:$F$165)</f>
        <v/>
      </c>
      <c r="J13" s="12">
        <f>SUMPRODUCT(($C$3:$C$165=C13)*$F$3:$F$165*$G$3:$G$165)/SUMPRODUCT(($C$3:$C$165=C13)*$F$3:$F$165)</f>
        <v/>
      </c>
      <c r="K13" s="17">
        <f>I13/J13</f>
        <v/>
      </c>
      <c r="L13" s="17">
        <f>H13/I13</f>
        <v/>
      </c>
      <c r="M13" s="17">
        <f>G13/H13</f>
        <v/>
      </c>
      <c r="N13" s="18">
        <f>INDEX('3_PRA_SWES_L1_Input'!$D$4:$D$14,MATCH($C13,'3_PRA_SWES_L1_Input'!$A$4:$A$14,0))*K13</f>
        <v/>
      </c>
      <c r="O13" s="18">
        <f>N13*L13</f>
        <v/>
      </c>
      <c r="P13" s="18">
        <f>O13*M13</f>
        <v/>
      </c>
      <c r="Q13" s="18">
        <f>INDEX('3_PRA_SWES_L1_Input'!$E$4:$E$14,MATCH($C13,'3_PRA_SWES_L1_Input'!$A$4:$A$14,0))*K13*L13*M13</f>
        <v/>
      </c>
      <c r="R13" s="18">
        <f>INDEX('3_PRA_SWES_L1_Input'!$G$4:$G$14,MATCH($C13,'3_PRA_SWES_L1_Input'!$A$4:$A$14,0))*K13</f>
        <v/>
      </c>
      <c r="S13" s="18">
        <f>R13*L13</f>
        <v/>
      </c>
      <c r="T13" s="18">
        <f>S13*M13</f>
        <v/>
      </c>
      <c r="U13" s="18">
        <f>INDEX('3_PRA_SWES_L1_Input'!$H$4:$H$14,MATCH($C13,'3_PRA_SWES_L1_Input'!$A$4:$A$14,0))*K13*L13*M13</f>
        <v/>
      </c>
    </row>
    <row r="14">
      <c r="A14" s="8">
        <f>'1_GICS_Structure'!G14</f>
        <v/>
      </c>
      <c r="B14" s="8">
        <f>'1_GICS_Structure'!H14</f>
        <v/>
      </c>
      <c r="C14" s="8">
        <f>'1_GICS_Structure'!A14</f>
        <v/>
      </c>
      <c r="D14" s="8">
        <f>'1_GICS_Structure'!C14</f>
        <v/>
      </c>
      <c r="E14" s="8">
        <f>'1_GICS_Structure'!E14</f>
        <v/>
      </c>
      <c r="F14" s="8">
        <f>'1_GICS_Structure'!J14</f>
        <v/>
      </c>
      <c r="G14" s="12">
        <f>INDEX('2_Damodaran_Betas'!$F$3:$F$97,MATCH('1_GICS_Structure'!I14,'2_Damodaran_Betas'!$A$3:$A$97,0))</f>
        <v/>
      </c>
      <c r="H14" s="12">
        <f>SUMPRODUCT(($E$3:$E$165=E14)*$F$3:$F$165*$G$3:$G$165)/SUMPRODUCT(($E$3:$E$165=E14)*$F$3:$F$165)</f>
        <v/>
      </c>
      <c r="I14" s="12">
        <f>SUMPRODUCT(($D$3:$D$165=D14)*$F$3:$F$165*$G$3:$G$165)/SUMPRODUCT(($D$3:$D$165=D14)*$F$3:$F$165)</f>
        <v/>
      </c>
      <c r="J14" s="12">
        <f>SUMPRODUCT(($C$3:$C$165=C14)*$F$3:$F$165*$G$3:$G$165)/SUMPRODUCT(($C$3:$C$165=C14)*$F$3:$F$165)</f>
        <v/>
      </c>
      <c r="K14" s="17">
        <f>I14/J14</f>
        <v/>
      </c>
      <c r="L14" s="17">
        <f>H14/I14</f>
        <v/>
      </c>
      <c r="M14" s="17">
        <f>G14/H14</f>
        <v/>
      </c>
      <c r="N14" s="18">
        <f>INDEX('3_PRA_SWES_L1_Input'!$D$4:$D$14,MATCH($C14,'3_PRA_SWES_L1_Input'!$A$4:$A$14,0))*K14</f>
        <v/>
      </c>
      <c r="O14" s="18">
        <f>N14*L14</f>
        <v/>
      </c>
      <c r="P14" s="18">
        <f>O14*M14</f>
        <v/>
      </c>
      <c r="Q14" s="18">
        <f>INDEX('3_PRA_SWES_L1_Input'!$E$4:$E$14,MATCH($C14,'3_PRA_SWES_L1_Input'!$A$4:$A$14,0))*K14*L14*M14</f>
        <v/>
      </c>
      <c r="R14" s="18">
        <f>INDEX('3_PRA_SWES_L1_Input'!$G$4:$G$14,MATCH($C14,'3_PRA_SWES_L1_Input'!$A$4:$A$14,0))*K14</f>
        <v/>
      </c>
      <c r="S14" s="18">
        <f>R14*L14</f>
        <v/>
      </c>
      <c r="T14" s="18">
        <f>S14*M14</f>
        <v/>
      </c>
      <c r="U14" s="18">
        <f>INDEX('3_PRA_SWES_L1_Input'!$H$4:$H$14,MATCH($C14,'3_PRA_SWES_L1_Input'!$A$4:$A$14,0))*K14*L14*M14</f>
        <v/>
      </c>
    </row>
    <row r="15">
      <c r="A15" s="8">
        <f>'1_GICS_Structure'!G15</f>
        <v/>
      </c>
      <c r="B15" s="8">
        <f>'1_GICS_Structure'!H15</f>
        <v/>
      </c>
      <c r="C15" s="8">
        <f>'1_GICS_Structure'!A15</f>
        <v/>
      </c>
      <c r="D15" s="8">
        <f>'1_GICS_Structure'!C15</f>
        <v/>
      </c>
      <c r="E15" s="8">
        <f>'1_GICS_Structure'!E15</f>
        <v/>
      </c>
      <c r="F15" s="8">
        <f>'1_GICS_Structure'!J15</f>
        <v/>
      </c>
      <c r="G15" s="12">
        <f>INDEX('2_Damodaran_Betas'!$F$3:$F$97,MATCH('1_GICS_Structure'!I15,'2_Damodaran_Betas'!$A$3:$A$97,0))</f>
        <v/>
      </c>
      <c r="H15" s="12">
        <f>SUMPRODUCT(($E$3:$E$165=E15)*$F$3:$F$165*$G$3:$G$165)/SUMPRODUCT(($E$3:$E$165=E15)*$F$3:$F$165)</f>
        <v/>
      </c>
      <c r="I15" s="12">
        <f>SUMPRODUCT(($D$3:$D$165=D15)*$F$3:$F$165*$G$3:$G$165)/SUMPRODUCT(($D$3:$D$165=D15)*$F$3:$F$165)</f>
        <v/>
      </c>
      <c r="J15" s="12">
        <f>SUMPRODUCT(($C$3:$C$165=C15)*$F$3:$F$165*$G$3:$G$165)/SUMPRODUCT(($C$3:$C$165=C15)*$F$3:$F$165)</f>
        <v/>
      </c>
      <c r="K15" s="17">
        <f>I15/J15</f>
        <v/>
      </c>
      <c r="L15" s="17">
        <f>H15/I15</f>
        <v/>
      </c>
      <c r="M15" s="17">
        <f>G15/H15</f>
        <v/>
      </c>
      <c r="N15" s="18">
        <f>INDEX('3_PRA_SWES_L1_Input'!$D$4:$D$14,MATCH($C15,'3_PRA_SWES_L1_Input'!$A$4:$A$14,0))*K15</f>
        <v/>
      </c>
      <c r="O15" s="18">
        <f>N15*L15</f>
        <v/>
      </c>
      <c r="P15" s="18">
        <f>O15*M15</f>
        <v/>
      </c>
      <c r="Q15" s="18">
        <f>INDEX('3_PRA_SWES_L1_Input'!$E$4:$E$14,MATCH($C15,'3_PRA_SWES_L1_Input'!$A$4:$A$14,0))*K15*L15*M15</f>
        <v/>
      </c>
      <c r="R15" s="18">
        <f>INDEX('3_PRA_SWES_L1_Input'!$G$4:$G$14,MATCH($C15,'3_PRA_SWES_L1_Input'!$A$4:$A$14,0))*K15</f>
        <v/>
      </c>
      <c r="S15" s="18">
        <f>R15*L15</f>
        <v/>
      </c>
      <c r="T15" s="18">
        <f>S15*M15</f>
        <v/>
      </c>
      <c r="U15" s="18">
        <f>INDEX('3_PRA_SWES_L1_Input'!$H$4:$H$14,MATCH($C15,'3_PRA_SWES_L1_Input'!$A$4:$A$14,0))*K15*L15*M15</f>
        <v/>
      </c>
    </row>
    <row r="16">
      <c r="A16" s="8">
        <f>'1_GICS_Structure'!G16</f>
        <v/>
      </c>
      <c r="B16" s="8">
        <f>'1_GICS_Structure'!H16</f>
        <v/>
      </c>
      <c r="C16" s="8">
        <f>'1_GICS_Structure'!A16</f>
        <v/>
      </c>
      <c r="D16" s="8">
        <f>'1_GICS_Structure'!C16</f>
        <v/>
      </c>
      <c r="E16" s="8">
        <f>'1_GICS_Structure'!E16</f>
        <v/>
      </c>
      <c r="F16" s="8">
        <f>'1_GICS_Structure'!J16</f>
        <v/>
      </c>
      <c r="G16" s="12">
        <f>INDEX('2_Damodaran_Betas'!$F$3:$F$97,MATCH('1_GICS_Structure'!I16,'2_Damodaran_Betas'!$A$3:$A$97,0))</f>
        <v/>
      </c>
      <c r="H16" s="12">
        <f>SUMPRODUCT(($E$3:$E$165=E16)*$F$3:$F$165*$G$3:$G$165)/SUMPRODUCT(($E$3:$E$165=E16)*$F$3:$F$165)</f>
        <v/>
      </c>
      <c r="I16" s="12">
        <f>SUMPRODUCT(($D$3:$D$165=D16)*$F$3:$F$165*$G$3:$G$165)/SUMPRODUCT(($D$3:$D$165=D16)*$F$3:$F$165)</f>
        <v/>
      </c>
      <c r="J16" s="12">
        <f>SUMPRODUCT(($C$3:$C$165=C16)*$F$3:$F$165*$G$3:$G$165)/SUMPRODUCT(($C$3:$C$165=C16)*$F$3:$F$165)</f>
        <v/>
      </c>
      <c r="K16" s="17">
        <f>I16/J16</f>
        <v/>
      </c>
      <c r="L16" s="17">
        <f>H16/I16</f>
        <v/>
      </c>
      <c r="M16" s="17">
        <f>G16/H16</f>
        <v/>
      </c>
      <c r="N16" s="18">
        <f>INDEX('3_PRA_SWES_L1_Input'!$D$4:$D$14,MATCH($C16,'3_PRA_SWES_L1_Input'!$A$4:$A$14,0))*K16</f>
        <v/>
      </c>
      <c r="O16" s="18">
        <f>N16*L16</f>
        <v/>
      </c>
      <c r="P16" s="18">
        <f>O16*M16</f>
        <v/>
      </c>
      <c r="Q16" s="18">
        <f>INDEX('3_PRA_SWES_L1_Input'!$E$4:$E$14,MATCH($C16,'3_PRA_SWES_L1_Input'!$A$4:$A$14,0))*K16*L16*M16</f>
        <v/>
      </c>
      <c r="R16" s="18">
        <f>INDEX('3_PRA_SWES_L1_Input'!$G$4:$G$14,MATCH($C16,'3_PRA_SWES_L1_Input'!$A$4:$A$14,0))*K16</f>
        <v/>
      </c>
      <c r="S16" s="18">
        <f>R16*L16</f>
        <v/>
      </c>
      <c r="T16" s="18">
        <f>S16*M16</f>
        <v/>
      </c>
      <c r="U16" s="18">
        <f>INDEX('3_PRA_SWES_L1_Input'!$H$4:$H$14,MATCH($C16,'3_PRA_SWES_L1_Input'!$A$4:$A$14,0))*K16*L16*M16</f>
        <v/>
      </c>
    </row>
    <row r="17">
      <c r="A17" s="8">
        <f>'1_GICS_Structure'!G17</f>
        <v/>
      </c>
      <c r="B17" s="8">
        <f>'1_GICS_Structure'!H17</f>
        <v/>
      </c>
      <c r="C17" s="8">
        <f>'1_GICS_Structure'!A17</f>
        <v/>
      </c>
      <c r="D17" s="8">
        <f>'1_GICS_Structure'!C17</f>
        <v/>
      </c>
      <c r="E17" s="8">
        <f>'1_GICS_Structure'!E17</f>
        <v/>
      </c>
      <c r="F17" s="8">
        <f>'1_GICS_Structure'!J17</f>
        <v/>
      </c>
      <c r="G17" s="12">
        <f>INDEX('2_Damodaran_Betas'!$F$3:$F$97,MATCH('1_GICS_Structure'!I17,'2_Damodaran_Betas'!$A$3:$A$97,0))</f>
        <v/>
      </c>
      <c r="H17" s="12">
        <f>SUMPRODUCT(($E$3:$E$165=E17)*$F$3:$F$165*$G$3:$G$165)/SUMPRODUCT(($E$3:$E$165=E17)*$F$3:$F$165)</f>
        <v/>
      </c>
      <c r="I17" s="12">
        <f>SUMPRODUCT(($D$3:$D$165=D17)*$F$3:$F$165*$G$3:$G$165)/SUMPRODUCT(($D$3:$D$165=D17)*$F$3:$F$165)</f>
        <v/>
      </c>
      <c r="J17" s="12">
        <f>SUMPRODUCT(($C$3:$C$165=C17)*$F$3:$F$165*$G$3:$G$165)/SUMPRODUCT(($C$3:$C$165=C17)*$F$3:$F$165)</f>
        <v/>
      </c>
      <c r="K17" s="17">
        <f>I17/J17</f>
        <v/>
      </c>
      <c r="L17" s="17">
        <f>H17/I17</f>
        <v/>
      </c>
      <c r="M17" s="17">
        <f>G17/H17</f>
        <v/>
      </c>
      <c r="N17" s="18">
        <f>INDEX('3_PRA_SWES_L1_Input'!$D$4:$D$14,MATCH($C17,'3_PRA_SWES_L1_Input'!$A$4:$A$14,0))*K17</f>
        <v/>
      </c>
      <c r="O17" s="18">
        <f>N17*L17</f>
        <v/>
      </c>
      <c r="P17" s="18">
        <f>O17*M17</f>
        <v/>
      </c>
      <c r="Q17" s="18">
        <f>INDEX('3_PRA_SWES_L1_Input'!$E$4:$E$14,MATCH($C17,'3_PRA_SWES_L1_Input'!$A$4:$A$14,0))*K17*L17*M17</f>
        <v/>
      </c>
      <c r="R17" s="18">
        <f>INDEX('3_PRA_SWES_L1_Input'!$G$4:$G$14,MATCH($C17,'3_PRA_SWES_L1_Input'!$A$4:$A$14,0))*K17</f>
        <v/>
      </c>
      <c r="S17" s="18">
        <f>R17*L17</f>
        <v/>
      </c>
      <c r="T17" s="18">
        <f>S17*M17</f>
        <v/>
      </c>
      <c r="U17" s="18">
        <f>INDEX('3_PRA_SWES_L1_Input'!$H$4:$H$14,MATCH($C17,'3_PRA_SWES_L1_Input'!$A$4:$A$14,0))*K17*L17*M17</f>
        <v/>
      </c>
    </row>
    <row r="18">
      <c r="A18" s="8">
        <f>'1_GICS_Structure'!G18</f>
        <v/>
      </c>
      <c r="B18" s="8">
        <f>'1_GICS_Structure'!H18</f>
        <v/>
      </c>
      <c r="C18" s="8">
        <f>'1_GICS_Structure'!A18</f>
        <v/>
      </c>
      <c r="D18" s="8">
        <f>'1_GICS_Structure'!C18</f>
        <v/>
      </c>
      <c r="E18" s="8">
        <f>'1_GICS_Structure'!E18</f>
        <v/>
      </c>
      <c r="F18" s="8">
        <f>'1_GICS_Structure'!J18</f>
        <v/>
      </c>
      <c r="G18" s="12">
        <f>INDEX('2_Damodaran_Betas'!$F$3:$F$97,MATCH('1_GICS_Structure'!I18,'2_Damodaran_Betas'!$A$3:$A$97,0))</f>
        <v/>
      </c>
      <c r="H18" s="12">
        <f>SUMPRODUCT(($E$3:$E$165=E18)*$F$3:$F$165*$G$3:$G$165)/SUMPRODUCT(($E$3:$E$165=E18)*$F$3:$F$165)</f>
        <v/>
      </c>
      <c r="I18" s="12">
        <f>SUMPRODUCT(($D$3:$D$165=D18)*$F$3:$F$165*$G$3:$G$165)/SUMPRODUCT(($D$3:$D$165=D18)*$F$3:$F$165)</f>
        <v/>
      </c>
      <c r="J18" s="12">
        <f>SUMPRODUCT(($C$3:$C$165=C18)*$F$3:$F$165*$G$3:$G$165)/SUMPRODUCT(($C$3:$C$165=C18)*$F$3:$F$165)</f>
        <v/>
      </c>
      <c r="K18" s="17">
        <f>I18/J18</f>
        <v/>
      </c>
      <c r="L18" s="17">
        <f>H18/I18</f>
        <v/>
      </c>
      <c r="M18" s="17">
        <f>G18/H18</f>
        <v/>
      </c>
      <c r="N18" s="18">
        <f>INDEX('3_PRA_SWES_L1_Input'!$D$4:$D$14,MATCH($C18,'3_PRA_SWES_L1_Input'!$A$4:$A$14,0))*K18</f>
        <v/>
      </c>
      <c r="O18" s="18">
        <f>N18*L18</f>
        <v/>
      </c>
      <c r="P18" s="18">
        <f>O18*M18</f>
        <v/>
      </c>
      <c r="Q18" s="18">
        <f>INDEX('3_PRA_SWES_L1_Input'!$E$4:$E$14,MATCH($C18,'3_PRA_SWES_L1_Input'!$A$4:$A$14,0))*K18*L18*M18</f>
        <v/>
      </c>
      <c r="R18" s="18">
        <f>INDEX('3_PRA_SWES_L1_Input'!$G$4:$G$14,MATCH($C18,'3_PRA_SWES_L1_Input'!$A$4:$A$14,0))*K18</f>
        <v/>
      </c>
      <c r="S18" s="18">
        <f>R18*L18</f>
        <v/>
      </c>
      <c r="T18" s="18">
        <f>S18*M18</f>
        <v/>
      </c>
      <c r="U18" s="18">
        <f>INDEX('3_PRA_SWES_L1_Input'!$H$4:$H$14,MATCH($C18,'3_PRA_SWES_L1_Input'!$A$4:$A$14,0))*K18*L18*M18</f>
        <v/>
      </c>
    </row>
    <row r="19">
      <c r="A19" s="8">
        <f>'1_GICS_Structure'!G19</f>
        <v/>
      </c>
      <c r="B19" s="8">
        <f>'1_GICS_Structure'!H19</f>
        <v/>
      </c>
      <c r="C19" s="8">
        <f>'1_GICS_Structure'!A19</f>
        <v/>
      </c>
      <c r="D19" s="8">
        <f>'1_GICS_Structure'!C19</f>
        <v/>
      </c>
      <c r="E19" s="8">
        <f>'1_GICS_Structure'!E19</f>
        <v/>
      </c>
      <c r="F19" s="8">
        <f>'1_GICS_Structure'!J19</f>
        <v/>
      </c>
      <c r="G19" s="12">
        <f>INDEX('2_Damodaran_Betas'!$F$3:$F$97,MATCH('1_GICS_Structure'!I19,'2_Damodaran_Betas'!$A$3:$A$97,0))</f>
        <v/>
      </c>
      <c r="H19" s="12">
        <f>SUMPRODUCT(($E$3:$E$165=E19)*$F$3:$F$165*$G$3:$G$165)/SUMPRODUCT(($E$3:$E$165=E19)*$F$3:$F$165)</f>
        <v/>
      </c>
      <c r="I19" s="12">
        <f>SUMPRODUCT(($D$3:$D$165=D19)*$F$3:$F$165*$G$3:$G$165)/SUMPRODUCT(($D$3:$D$165=D19)*$F$3:$F$165)</f>
        <v/>
      </c>
      <c r="J19" s="12">
        <f>SUMPRODUCT(($C$3:$C$165=C19)*$F$3:$F$165*$G$3:$G$165)/SUMPRODUCT(($C$3:$C$165=C19)*$F$3:$F$165)</f>
        <v/>
      </c>
      <c r="K19" s="17">
        <f>I19/J19</f>
        <v/>
      </c>
      <c r="L19" s="17">
        <f>H19/I19</f>
        <v/>
      </c>
      <c r="M19" s="17">
        <f>G19/H19</f>
        <v/>
      </c>
      <c r="N19" s="18">
        <f>INDEX('3_PRA_SWES_L1_Input'!$D$4:$D$14,MATCH($C19,'3_PRA_SWES_L1_Input'!$A$4:$A$14,0))*K19</f>
        <v/>
      </c>
      <c r="O19" s="18">
        <f>N19*L19</f>
        <v/>
      </c>
      <c r="P19" s="18">
        <f>O19*M19</f>
        <v/>
      </c>
      <c r="Q19" s="18">
        <f>INDEX('3_PRA_SWES_L1_Input'!$E$4:$E$14,MATCH($C19,'3_PRA_SWES_L1_Input'!$A$4:$A$14,0))*K19*L19*M19</f>
        <v/>
      </c>
      <c r="R19" s="18">
        <f>INDEX('3_PRA_SWES_L1_Input'!$G$4:$G$14,MATCH($C19,'3_PRA_SWES_L1_Input'!$A$4:$A$14,0))*K19</f>
        <v/>
      </c>
      <c r="S19" s="18">
        <f>R19*L19</f>
        <v/>
      </c>
      <c r="T19" s="18">
        <f>S19*M19</f>
        <v/>
      </c>
      <c r="U19" s="18">
        <f>INDEX('3_PRA_SWES_L1_Input'!$H$4:$H$14,MATCH($C19,'3_PRA_SWES_L1_Input'!$A$4:$A$14,0))*K19*L19*M19</f>
        <v/>
      </c>
    </row>
    <row r="20">
      <c r="A20" s="8">
        <f>'1_GICS_Structure'!G20</f>
        <v/>
      </c>
      <c r="B20" s="8">
        <f>'1_GICS_Structure'!H20</f>
        <v/>
      </c>
      <c r="C20" s="8">
        <f>'1_GICS_Structure'!A20</f>
        <v/>
      </c>
      <c r="D20" s="8">
        <f>'1_GICS_Structure'!C20</f>
        <v/>
      </c>
      <c r="E20" s="8">
        <f>'1_GICS_Structure'!E20</f>
        <v/>
      </c>
      <c r="F20" s="8">
        <f>'1_GICS_Structure'!J20</f>
        <v/>
      </c>
      <c r="G20" s="12">
        <f>INDEX('2_Damodaran_Betas'!$F$3:$F$97,MATCH('1_GICS_Structure'!I20,'2_Damodaran_Betas'!$A$3:$A$97,0))</f>
        <v/>
      </c>
      <c r="H20" s="12">
        <f>SUMPRODUCT(($E$3:$E$165=E20)*$F$3:$F$165*$G$3:$G$165)/SUMPRODUCT(($E$3:$E$165=E20)*$F$3:$F$165)</f>
        <v/>
      </c>
      <c r="I20" s="12">
        <f>SUMPRODUCT(($D$3:$D$165=D20)*$F$3:$F$165*$G$3:$G$165)/SUMPRODUCT(($D$3:$D$165=D20)*$F$3:$F$165)</f>
        <v/>
      </c>
      <c r="J20" s="12">
        <f>SUMPRODUCT(($C$3:$C$165=C20)*$F$3:$F$165*$G$3:$G$165)/SUMPRODUCT(($C$3:$C$165=C20)*$F$3:$F$165)</f>
        <v/>
      </c>
      <c r="K20" s="17">
        <f>I20/J20</f>
        <v/>
      </c>
      <c r="L20" s="17">
        <f>H20/I20</f>
        <v/>
      </c>
      <c r="M20" s="17">
        <f>G20/H20</f>
        <v/>
      </c>
      <c r="N20" s="18">
        <f>INDEX('3_PRA_SWES_L1_Input'!$D$4:$D$14,MATCH($C20,'3_PRA_SWES_L1_Input'!$A$4:$A$14,0))*K20</f>
        <v/>
      </c>
      <c r="O20" s="18">
        <f>N20*L20</f>
        <v/>
      </c>
      <c r="P20" s="18">
        <f>O20*M20</f>
        <v/>
      </c>
      <c r="Q20" s="18">
        <f>INDEX('3_PRA_SWES_L1_Input'!$E$4:$E$14,MATCH($C20,'3_PRA_SWES_L1_Input'!$A$4:$A$14,0))*K20*L20*M20</f>
        <v/>
      </c>
      <c r="R20" s="18">
        <f>INDEX('3_PRA_SWES_L1_Input'!$G$4:$G$14,MATCH($C20,'3_PRA_SWES_L1_Input'!$A$4:$A$14,0))*K20</f>
        <v/>
      </c>
      <c r="S20" s="18">
        <f>R20*L20</f>
        <v/>
      </c>
      <c r="T20" s="18">
        <f>S20*M20</f>
        <v/>
      </c>
      <c r="U20" s="18">
        <f>INDEX('3_PRA_SWES_L1_Input'!$H$4:$H$14,MATCH($C20,'3_PRA_SWES_L1_Input'!$A$4:$A$14,0))*K20*L20*M20</f>
        <v/>
      </c>
    </row>
    <row r="21">
      <c r="A21" s="8">
        <f>'1_GICS_Structure'!G21</f>
        <v/>
      </c>
      <c r="B21" s="8">
        <f>'1_GICS_Structure'!H21</f>
        <v/>
      </c>
      <c r="C21" s="8">
        <f>'1_GICS_Structure'!A21</f>
        <v/>
      </c>
      <c r="D21" s="8">
        <f>'1_GICS_Structure'!C21</f>
        <v/>
      </c>
      <c r="E21" s="8">
        <f>'1_GICS_Structure'!E21</f>
        <v/>
      </c>
      <c r="F21" s="8">
        <f>'1_GICS_Structure'!J21</f>
        <v/>
      </c>
      <c r="G21" s="12">
        <f>INDEX('2_Damodaran_Betas'!$F$3:$F$97,MATCH('1_GICS_Structure'!I21,'2_Damodaran_Betas'!$A$3:$A$97,0))</f>
        <v/>
      </c>
      <c r="H21" s="12">
        <f>SUMPRODUCT(($E$3:$E$165=E21)*$F$3:$F$165*$G$3:$G$165)/SUMPRODUCT(($E$3:$E$165=E21)*$F$3:$F$165)</f>
        <v/>
      </c>
      <c r="I21" s="12">
        <f>SUMPRODUCT(($D$3:$D$165=D21)*$F$3:$F$165*$G$3:$G$165)/SUMPRODUCT(($D$3:$D$165=D21)*$F$3:$F$165)</f>
        <v/>
      </c>
      <c r="J21" s="12">
        <f>SUMPRODUCT(($C$3:$C$165=C21)*$F$3:$F$165*$G$3:$G$165)/SUMPRODUCT(($C$3:$C$165=C21)*$F$3:$F$165)</f>
        <v/>
      </c>
      <c r="K21" s="17">
        <f>I21/J21</f>
        <v/>
      </c>
      <c r="L21" s="17">
        <f>H21/I21</f>
        <v/>
      </c>
      <c r="M21" s="17">
        <f>G21/H21</f>
        <v/>
      </c>
      <c r="N21" s="18">
        <f>INDEX('3_PRA_SWES_L1_Input'!$D$4:$D$14,MATCH($C21,'3_PRA_SWES_L1_Input'!$A$4:$A$14,0))*K21</f>
        <v/>
      </c>
      <c r="O21" s="18">
        <f>N21*L21</f>
        <v/>
      </c>
      <c r="P21" s="18">
        <f>O21*M21</f>
        <v/>
      </c>
      <c r="Q21" s="18">
        <f>INDEX('3_PRA_SWES_L1_Input'!$E$4:$E$14,MATCH($C21,'3_PRA_SWES_L1_Input'!$A$4:$A$14,0))*K21*L21*M21</f>
        <v/>
      </c>
      <c r="R21" s="18">
        <f>INDEX('3_PRA_SWES_L1_Input'!$G$4:$G$14,MATCH($C21,'3_PRA_SWES_L1_Input'!$A$4:$A$14,0))*K21</f>
        <v/>
      </c>
      <c r="S21" s="18">
        <f>R21*L21</f>
        <v/>
      </c>
      <c r="T21" s="18">
        <f>S21*M21</f>
        <v/>
      </c>
      <c r="U21" s="18">
        <f>INDEX('3_PRA_SWES_L1_Input'!$H$4:$H$14,MATCH($C21,'3_PRA_SWES_L1_Input'!$A$4:$A$14,0))*K21*L21*M21</f>
        <v/>
      </c>
    </row>
    <row r="22">
      <c r="A22" s="8">
        <f>'1_GICS_Structure'!G22</f>
        <v/>
      </c>
      <c r="B22" s="8">
        <f>'1_GICS_Structure'!H22</f>
        <v/>
      </c>
      <c r="C22" s="8">
        <f>'1_GICS_Structure'!A22</f>
        <v/>
      </c>
      <c r="D22" s="8">
        <f>'1_GICS_Structure'!C22</f>
        <v/>
      </c>
      <c r="E22" s="8">
        <f>'1_GICS_Structure'!E22</f>
        <v/>
      </c>
      <c r="F22" s="8">
        <f>'1_GICS_Structure'!J22</f>
        <v/>
      </c>
      <c r="G22" s="12">
        <f>INDEX('2_Damodaran_Betas'!$F$3:$F$97,MATCH('1_GICS_Structure'!I22,'2_Damodaran_Betas'!$A$3:$A$97,0))</f>
        <v/>
      </c>
      <c r="H22" s="12">
        <f>SUMPRODUCT(($E$3:$E$165=E22)*$F$3:$F$165*$G$3:$G$165)/SUMPRODUCT(($E$3:$E$165=E22)*$F$3:$F$165)</f>
        <v/>
      </c>
      <c r="I22" s="12">
        <f>SUMPRODUCT(($D$3:$D$165=D22)*$F$3:$F$165*$G$3:$G$165)/SUMPRODUCT(($D$3:$D$165=D22)*$F$3:$F$165)</f>
        <v/>
      </c>
      <c r="J22" s="12">
        <f>SUMPRODUCT(($C$3:$C$165=C22)*$F$3:$F$165*$G$3:$G$165)/SUMPRODUCT(($C$3:$C$165=C22)*$F$3:$F$165)</f>
        <v/>
      </c>
      <c r="K22" s="17">
        <f>I22/J22</f>
        <v/>
      </c>
      <c r="L22" s="17">
        <f>H22/I22</f>
        <v/>
      </c>
      <c r="M22" s="17">
        <f>G22/H22</f>
        <v/>
      </c>
      <c r="N22" s="18">
        <f>INDEX('3_PRA_SWES_L1_Input'!$D$4:$D$14,MATCH($C22,'3_PRA_SWES_L1_Input'!$A$4:$A$14,0))*K22</f>
        <v/>
      </c>
      <c r="O22" s="18">
        <f>N22*L22</f>
        <v/>
      </c>
      <c r="P22" s="18">
        <f>O22*M22</f>
        <v/>
      </c>
      <c r="Q22" s="18">
        <f>INDEX('3_PRA_SWES_L1_Input'!$E$4:$E$14,MATCH($C22,'3_PRA_SWES_L1_Input'!$A$4:$A$14,0))*K22*L22*M22</f>
        <v/>
      </c>
      <c r="R22" s="18">
        <f>INDEX('3_PRA_SWES_L1_Input'!$G$4:$G$14,MATCH($C22,'3_PRA_SWES_L1_Input'!$A$4:$A$14,0))*K22</f>
        <v/>
      </c>
      <c r="S22" s="18">
        <f>R22*L22</f>
        <v/>
      </c>
      <c r="T22" s="18">
        <f>S22*M22</f>
        <v/>
      </c>
      <c r="U22" s="18">
        <f>INDEX('3_PRA_SWES_L1_Input'!$H$4:$H$14,MATCH($C22,'3_PRA_SWES_L1_Input'!$A$4:$A$14,0))*K22*L22*M22</f>
        <v/>
      </c>
    </row>
    <row r="23">
      <c r="A23" s="8">
        <f>'1_GICS_Structure'!G23</f>
        <v/>
      </c>
      <c r="B23" s="8">
        <f>'1_GICS_Structure'!H23</f>
        <v/>
      </c>
      <c r="C23" s="8">
        <f>'1_GICS_Structure'!A23</f>
        <v/>
      </c>
      <c r="D23" s="8">
        <f>'1_GICS_Structure'!C23</f>
        <v/>
      </c>
      <c r="E23" s="8">
        <f>'1_GICS_Structure'!E23</f>
        <v/>
      </c>
      <c r="F23" s="8">
        <f>'1_GICS_Structure'!J23</f>
        <v/>
      </c>
      <c r="G23" s="12">
        <f>INDEX('2_Damodaran_Betas'!$F$3:$F$97,MATCH('1_GICS_Structure'!I23,'2_Damodaran_Betas'!$A$3:$A$97,0))</f>
        <v/>
      </c>
      <c r="H23" s="12">
        <f>SUMPRODUCT(($E$3:$E$165=E23)*$F$3:$F$165*$G$3:$G$165)/SUMPRODUCT(($E$3:$E$165=E23)*$F$3:$F$165)</f>
        <v/>
      </c>
      <c r="I23" s="12">
        <f>SUMPRODUCT(($D$3:$D$165=D23)*$F$3:$F$165*$G$3:$G$165)/SUMPRODUCT(($D$3:$D$165=D23)*$F$3:$F$165)</f>
        <v/>
      </c>
      <c r="J23" s="12">
        <f>SUMPRODUCT(($C$3:$C$165=C23)*$F$3:$F$165*$G$3:$G$165)/SUMPRODUCT(($C$3:$C$165=C23)*$F$3:$F$165)</f>
        <v/>
      </c>
      <c r="K23" s="17">
        <f>I23/J23</f>
        <v/>
      </c>
      <c r="L23" s="17">
        <f>H23/I23</f>
        <v/>
      </c>
      <c r="M23" s="17">
        <f>G23/H23</f>
        <v/>
      </c>
      <c r="N23" s="18">
        <f>INDEX('3_PRA_SWES_L1_Input'!$D$4:$D$14,MATCH($C23,'3_PRA_SWES_L1_Input'!$A$4:$A$14,0))*K23</f>
        <v/>
      </c>
      <c r="O23" s="18">
        <f>N23*L23</f>
        <v/>
      </c>
      <c r="P23" s="18">
        <f>O23*M23</f>
        <v/>
      </c>
      <c r="Q23" s="18">
        <f>INDEX('3_PRA_SWES_L1_Input'!$E$4:$E$14,MATCH($C23,'3_PRA_SWES_L1_Input'!$A$4:$A$14,0))*K23*L23*M23</f>
        <v/>
      </c>
      <c r="R23" s="18">
        <f>INDEX('3_PRA_SWES_L1_Input'!$G$4:$G$14,MATCH($C23,'3_PRA_SWES_L1_Input'!$A$4:$A$14,0))*K23</f>
        <v/>
      </c>
      <c r="S23" s="18">
        <f>R23*L23</f>
        <v/>
      </c>
      <c r="T23" s="18">
        <f>S23*M23</f>
        <v/>
      </c>
      <c r="U23" s="18">
        <f>INDEX('3_PRA_SWES_L1_Input'!$H$4:$H$14,MATCH($C23,'3_PRA_SWES_L1_Input'!$A$4:$A$14,0))*K23*L23*M23</f>
        <v/>
      </c>
    </row>
    <row r="24">
      <c r="A24" s="8">
        <f>'1_GICS_Structure'!G24</f>
        <v/>
      </c>
      <c r="B24" s="8">
        <f>'1_GICS_Structure'!H24</f>
        <v/>
      </c>
      <c r="C24" s="8">
        <f>'1_GICS_Structure'!A24</f>
        <v/>
      </c>
      <c r="D24" s="8">
        <f>'1_GICS_Structure'!C24</f>
        <v/>
      </c>
      <c r="E24" s="8">
        <f>'1_GICS_Structure'!E24</f>
        <v/>
      </c>
      <c r="F24" s="8">
        <f>'1_GICS_Structure'!J24</f>
        <v/>
      </c>
      <c r="G24" s="12">
        <f>INDEX('2_Damodaran_Betas'!$F$3:$F$97,MATCH('1_GICS_Structure'!I24,'2_Damodaran_Betas'!$A$3:$A$97,0))</f>
        <v/>
      </c>
      <c r="H24" s="12">
        <f>SUMPRODUCT(($E$3:$E$165=E24)*$F$3:$F$165*$G$3:$G$165)/SUMPRODUCT(($E$3:$E$165=E24)*$F$3:$F$165)</f>
        <v/>
      </c>
      <c r="I24" s="12">
        <f>SUMPRODUCT(($D$3:$D$165=D24)*$F$3:$F$165*$G$3:$G$165)/SUMPRODUCT(($D$3:$D$165=D24)*$F$3:$F$165)</f>
        <v/>
      </c>
      <c r="J24" s="12">
        <f>SUMPRODUCT(($C$3:$C$165=C24)*$F$3:$F$165*$G$3:$G$165)/SUMPRODUCT(($C$3:$C$165=C24)*$F$3:$F$165)</f>
        <v/>
      </c>
      <c r="K24" s="17">
        <f>I24/J24</f>
        <v/>
      </c>
      <c r="L24" s="17">
        <f>H24/I24</f>
        <v/>
      </c>
      <c r="M24" s="17">
        <f>G24/H24</f>
        <v/>
      </c>
      <c r="N24" s="18">
        <f>INDEX('3_PRA_SWES_L1_Input'!$D$4:$D$14,MATCH($C24,'3_PRA_SWES_L1_Input'!$A$4:$A$14,0))*K24</f>
        <v/>
      </c>
      <c r="O24" s="18">
        <f>N24*L24</f>
        <v/>
      </c>
      <c r="P24" s="18">
        <f>O24*M24</f>
        <v/>
      </c>
      <c r="Q24" s="18">
        <f>INDEX('3_PRA_SWES_L1_Input'!$E$4:$E$14,MATCH($C24,'3_PRA_SWES_L1_Input'!$A$4:$A$14,0))*K24*L24*M24</f>
        <v/>
      </c>
      <c r="R24" s="18">
        <f>INDEX('3_PRA_SWES_L1_Input'!$G$4:$G$14,MATCH($C24,'3_PRA_SWES_L1_Input'!$A$4:$A$14,0))*K24</f>
        <v/>
      </c>
      <c r="S24" s="18">
        <f>R24*L24</f>
        <v/>
      </c>
      <c r="T24" s="18">
        <f>S24*M24</f>
        <v/>
      </c>
      <c r="U24" s="18">
        <f>INDEX('3_PRA_SWES_L1_Input'!$H$4:$H$14,MATCH($C24,'3_PRA_SWES_L1_Input'!$A$4:$A$14,0))*K24*L24*M24</f>
        <v/>
      </c>
    </row>
    <row r="25">
      <c r="A25" s="8">
        <f>'1_GICS_Structure'!G25</f>
        <v/>
      </c>
      <c r="B25" s="8">
        <f>'1_GICS_Structure'!H25</f>
        <v/>
      </c>
      <c r="C25" s="8">
        <f>'1_GICS_Structure'!A25</f>
        <v/>
      </c>
      <c r="D25" s="8">
        <f>'1_GICS_Structure'!C25</f>
        <v/>
      </c>
      <c r="E25" s="8">
        <f>'1_GICS_Structure'!E25</f>
        <v/>
      </c>
      <c r="F25" s="8">
        <f>'1_GICS_Structure'!J25</f>
        <v/>
      </c>
      <c r="G25" s="12">
        <f>INDEX('2_Damodaran_Betas'!$F$3:$F$97,MATCH('1_GICS_Structure'!I25,'2_Damodaran_Betas'!$A$3:$A$97,0))</f>
        <v/>
      </c>
      <c r="H25" s="12">
        <f>SUMPRODUCT(($E$3:$E$165=E25)*$F$3:$F$165*$G$3:$G$165)/SUMPRODUCT(($E$3:$E$165=E25)*$F$3:$F$165)</f>
        <v/>
      </c>
      <c r="I25" s="12">
        <f>SUMPRODUCT(($D$3:$D$165=D25)*$F$3:$F$165*$G$3:$G$165)/SUMPRODUCT(($D$3:$D$165=D25)*$F$3:$F$165)</f>
        <v/>
      </c>
      <c r="J25" s="12">
        <f>SUMPRODUCT(($C$3:$C$165=C25)*$F$3:$F$165*$G$3:$G$165)/SUMPRODUCT(($C$3:$C$165=C25)*$F$3:$F$165)</f>
        <v/>
      </c>
      <c r="K25" s="17">
        <f>I25/J25</f>
        <v/>
      </c>
      <c r="L25" s="17">
        <f>H25/I25</f>
        <v/>
      </c>
      <c r="M25" s="17">
        <f>G25/H25</f>
        <v/>
      </c>
      <c r="N25" s="18">
        <f>INDEX('3_PRA_SWES_L1_Input'!$D$4:$D$14,MATCH($C25,'3_PRA_SWES_L1_Input'!$A$4:$A$14,0))*K25</f>
        <v/>
      </c>
      <c r="O25" s="18">
        <f>N25*L25</f>
        <v/>
      </c>
      <c r="P25" s="18">
        <f>O25*M25</f>
        <v/>
      </c>
      <c r="Q25" s="18">
        <f>INDEX('3_PRA_SWES_L1_Input'!$E$4:$E$14,MATCH($C25,'3_PRA_SWES_L1_Input'!$A$4:$A$14,0))*K25*L25*M25</f>
        <v/>
      </c>
      <c r="R25" s="18">
        <f>INDEX('3_PRA_SWES_L1_Input'!$G$4:$G$14,MATCH($C25,'3_PRA_SWES_L1_Input'!$A$4:$A$14,0))*K25</f>
        <v/>
      </c>
      <c r="S25" s="18">
        <f>R25*L25</f>
        <v/>
      </c>
      <c r="T25" s="18">
        <f>S25*M25</f>
        <v/>
      </c>
      <c r="U25" s="18">
        <f>INDEX('3_PRA_SWES_L1_Input'!$H$4:$H$14,MATCH($C25,'3_PRA_SWES_L1_Input'!$A$4:$A$14,0))*K25*L25*M25</f>
        <v/>
      </c>
    </row>
    <row r="26">
      <c r="A26" s="8">
        <f>'1_GICS_Structure'!G26</f>
        <v/>
      </c>
      <c r="B26" s="8">
        <f>'1_GICS_Structure'!H26</f>
        <v/>
      </c>
      <c r="C26" s="8">
        <f>'1_GICS_Structure'!A26</f>
        <v/>
      </c>
      <c r="D26" s="8">
        <f>'1_GICS_Structure'!C26</f>
        <v/>
      </c>
      <c r="E26" s="8">
        <f>'1_GICS_Structure'!E26</f>
        <v/>
      </c>
      <c r="F26" s="8">
        <f>'1_GICS_Structure'!J26</f>
        <v/>
      </c>
      <c r="G26" s="12">
        <f>INDEX('2_Damodaran_Betas'!$F$3:$F$97,MATCH('1_GICS_Structure'!I26,'2_Damodaran_Betas'!$A$3:$A$97,0))</f>
        <v/>
      </c>
      <c r="H26" s="12">
        <f>SUMPRODUCT(($E$3:$E$165=E26)*$F$3:$F$165*$G$3:$G$165)/SUMPRODUCT(($E$3:$E$165=E26)*$F$3:$F$165)</f>
        <v/>
      </c>
      <c r="I26" s="12">
        <f>SUMPRODUCT(($D$3:$D$165=D26)*$F$3:$F$165*$G$3:$G$165)/SUMPRODUCT(($D$3:$D$165=D26)*$F$3:$F$165)</f>
        <v/>
      </c>
      <c r="J26" s="12">
        <f>SUMPRODUCT(($C$3:$C$165=C26)*$F$3:$F$165*$G$3:$G$165)/SUMPRODUCT(($C$3:$C$165=C26)*$F$3:$F$165)</f>
        <v/>
      </c>
      <c r="K26" s="17">
        <f>I26/J26</f>
        <v/>
      </c>
      <c r="L26" s="17">
        <f>H26/I26</f>
        <v/>
      </c>
      <c r="M26" s="17">
        <f>G26/H26</f>
        <v/>
      </c>
      <c r="N26" s="18">
        <f>INDEX('3_PRA_SWES_L1_Input'!$D$4:$D$14,MATCH($C26,'3_PRA_SWES_L1_Input'!$A$4:$A$14,0))*K26</f>
        <v/>
      </c>
      <c r="O26" s="18">
        <f>N26*L26</f>
        <v/>
      </c>
      <c r="P26" s="18">
        <f>O26*M26</f>
        <v/>
      </c>
      <c r="Q26" s="18">
        <f>INDEX('3_PRA_SWES_L1_Input'!$E$4:$E$14,MATCH($C26,'3_PRA_SWES_L1_Input'!$A$4:$A$14,0))*K26*L26*M26</f>
        <v/>
      </c>
      <c r="R26" s="18">
        <f>INDEX('3_PRA_SWES_L1_Input'!$G$4:$G$14,MATCH($C26,'3_PRA_SWES_L1_Input'!$A$4:$A$14,0))*K26</f>
        <v/>
      </c>
      <c r="S26" s="18">
        <f>R26*L26</f>
        <v/>
      </c>
      <c r="T26" s="18">
        <f>S26*M26</f>
        <v/>
      </c>
      <c r="U26" s="18">
        <f>INDEX('3_PRA_SWES_L1_Input'!$H$4:$H$14,MATCH($C26,'3_PRA_SWES_L1_Input'!$A$4:$A$14,0))*K26*L26*M26</f>
        <v/>
      </c>
    </row>
    <row r="27">
      <c r="A27" s="8">
        <f>'1_GICS_Structure'!G27</f>
        <v/>
      </c>
      <c r="B27" s="8">
        <f>'1_GICS_Structure'!H27</f>
        <v/>
      </c>
      <c r="C27" s="8">
        <f>'1_GICS_Structure'!A27</f>
        <v/>
      </c>
      <c r="D27" s="8">
        <f>'1_GICS_Structure'!C27</f>
        <v/>
      </c>
      <c r="E27" s="8">
        <f>'1_GICS_Structure'!E27</f>
        <v/>
      </c>
      <c r="F27" s="8">
        <f>'1_GICS_Structure'!J27</f>
        <v/>
      </c>
      <c r="G27" s="12">
        <f>INDEX('2_Damodaran_Betas'!$F$3:$F$97,MATCH('1_GICS_Structure'!I27,'2_Damodaran_Betas'!$A$3:$A$97,0))</f>
        <v/>
      </c>
      <c r="H27" s="12">
        <f>SUMPRODUCT(($E$3:$E$165=E27)*$F$3:$F$165*$G$3:$G$165)/SUMPRODUCT(($E$3:$E$165=E27)*$F$3:$F$165)</f>
        <v/>
      </c>
      <c r="I27" s="12">
        <f>SUMPRODUCT(($D$3:$D$165=D27)*$F$3:$F$165*$G$3:$G$165)/SUMPRODUCT(($D$3:$D$165=D27)*$F$3:$F$165)</f>
        <v/>
      </c>
      <c r="J27" s="12">
        <f>SUMPRODUCT(($C$3:$C$165=C27)*$F$3:$F$165*$G$3:$G$165)/SUMPRODUCT(($C$3:$C$165=C27)*$F$3:$F$165)</f>
        <v/>
      </c>
      <c r="K27" s="17">
        <f>I27/J27</f>
        <v/>
      </c>
      <c r="L27" s="17">
        <f>H27/I27</f>
        <v/>
      </c>
      <c r="M27" s="17">
        <f>G27/H27</f>
        <v/>
      </c>
      <c r="N27" s="18">
        <f>INDEX('3_PRA_SWES_L1_Input'!$D$4:$D$14,MATCH($C27,'3_PRA_SWES_L1_Input'!$A$4:$A$14,0))*K27</f>
        <v/>
      </c>
      <c r="O27" s="18">
        <f>N27*L27</f>
        <v/>
      </c>
      <c r="P27" s="18">
        <f>O27*M27</f>
        <v/>
      </c>
      <c r="Q27" s="18">
        <f>INDEX('3_PRA_SWES_L1_Input'!$E$4:$E$14,MATCH($C27,'3_PRA_SWES_L1_Input'!$A$4:$A$14,0))*K27*L27*M27</f>
        <v/>
      </c>
      <c r="R27" s="18">
        <f>INDEX('3_PRA_SWES_L1_Input'!$G$4:$G$14,MATCH($C27,'3_PRA_SWES_L1_Input'!$A$4:$A$14,0))*K27</f>
        <v/>
      </c>
      <c r="S27" s="18">
        <f>R27*L27</f>
        <v/>
      </c>
      <c r="T27" s="18">
        <f>S27*M27</f>
        <v/>
      </c>
      <c r="U27" s="18">
        <f>INDEX('3_PRA_SWES_L1_Input'!$H$4:$H$14,MATCH($C27,'3_PRA_SWES_L1_Input'!$A$4:$A$14,0))*K27*L27*M27</f>
        <v/>
      </c>
    </row>
    <row r="28">
      <c r="A28" s="8">
        <f>'1_GICS_Structure'!G28</f>
        <v/>
      </c>
      <c r="B28" s="8">
        <f>'1_GICS_Structure'!H28</f>
        <v/>
      </c>
      <c r="C28" s="8">
        <f>'1_GICS_Structure'!A28</f>
        <v/>
      </c>
      <c r="D28" s="8">
        <f>'1_GICS_Structure'!C28</f>
        <v/>
      </c>
      <c r="E28" s="8">
        <f>'1_GICS_Structure'!E28</f>
        <v/>
      </c>
      <c r="F28" s="8">
        <f>'1_GICS_Structure'!J28</f>
        <v/>
      </c>
      <c r="G28" s="12">
        <f>INDEX('2_Damodaran_Betas'!$F$3:$F$97,MATCH('1_GICS_Structure'!I28,'2_Damodaran_Betas'!$A$3:$A$97,0))</f>
        <v/>
      </c>
      <c r="H28" s="12">
        <f>SUMPRODUCT(($E$3:$E$165=E28)*$F$3:$F$165*$G$3:$G$165)/SUMPRODUCT(($E$3:$E$165=E28)*$F$3:$F$165)</f>
        <v/>
      </c>
      <c r="I28" s="12">
        <f>SUMPRODUCT(($D$3:$D$165=D28)*$F$3:$F$165*$G$3:$G$165)/SUMPRODUCT(($D$3:$D$165=D28)*$F$3:$F$165)</f>
        <v/>
      </c>
      <c r="J28" s="12">
        <f>SUMPRODUCT(($C$3:$C$165=C28)*$F$3:$F$165*$G$3:$G$165)/SUMPRODUCT(($C$3:$C$165=C28)*$F$3:$F$165)</f>
        <v/>
      </c>
      <c r="K28" s="17">
        <f>I28/J28</f>
        <v/>
      </c>
      <c r="L28" s="17">
        <f>H28/I28</f>
        <v/>
      </c>
      <c r="M28" s="17">
        <f>G28/H28</f>
        <v/>
      </c>
      <c r="N28" s="18">
        <f>INDEX('3_PRA_SWES_L1_Input'!$D$4:$D$14,MATCH($C28,'3_PRA_SWES_L1_Input'!$A$4:$A$14,0))*K28</f>
        <v/>
      </c>
      <c r="O28" s="18">
        <f>N28*L28</f>
        <v/>
      </c>
      <c r="P28" s="18">
        <f>O28*M28</f>
        <v/>
      </c>
      <c r="Q28" s="18">
        <f>INDEX('3_PRA_SWES_L1_Input'!$E$4:$E$14,MATCH($C28,'3_PRA_SWES_L1_Input'!$A$4:$A$14,0))*K28*L28*M28</f>
        <v/>
      </c>
      <c r="R28" s="18">
        <f>INDEX('3_PRA_SWES_L1_Input'!$G$4:$G$14,MATCH($C28,'3_PRA_SWES_L1_Input'!$A$4:$A$14,0))*K28</f>
        <v/>
      </c>
      <c r="S28" s="18">
        <f>R28*L28</f>
        <v/>
      </c>
      <c r="T28" s="18">
        <f>S28*M28</f>
        <v/>
      </c>
      <c r="U28" s="18">
        <f>INDEX('3_PRA_SWES_L1_Input'!$H$4:$H$14,MATCH($C28,'3_PRA_SWES_L1_Input'!$A$4:$A$14,0))*K28*L28*M28</f>
        <v/>
      </c>
    </row>
    <row r="29">
      <c r="A29" s="8">
        <f>'1_GICS_Structure'!G29</f>
        <v/>
      </c>
      <c r="B29" s="8">
        <f>'1_GICS_Structure'!H29</f>
        <v/>
      </c>
      <c r="C29" s="8">
        <f>'1_GICS_Structure'!A29</f>
        <v/>
      </c>
      <c r="D29" s="8">
        <f>'1_GICS_Structure'!C29</f>
        <v/>
      </c>
      <c r="E29" s="8">
        <f>'1_GICS_Structure'!E29</f>
        <v/>
      </c>
      <c r="F29" s="8">
        <f>'1_GICS_Structure'!J29</f>
        <v/>
      </c>
      <c r="G29" s="12">
        <f>INDEX('2_Damodaran_Betas'!$F$3:$F$97,MATCH('1_GICS_Structure'!I29,'2_Damodaran_Betas'!$A$3:$A$97,0))</f>
        <v/>
      </c>
      <c r="H29" s="12">
        <f>SUMPRODUCT(($E$3:$E$165=E29)*$F$3:$F$165*$G$3:$G$165)/SUMPRODUCT(($E$3:$E$165=E29)*$F$3:$F$165)</f>
        <v/>
      </c>
      <c r="I29" s="12">
        <f>SUMPRODUCT(($D$3:$D$165=D29)*$F$3:$F$165*$G$3:$G$165)/SUMPRODUCT(($D$3:$D$165=D29)*$F$3:$F$165)</f>
        <v/>
      </c>
      <c r="J29" s="12">
        <f>SUMPRODUCT(($C$3:$C$165=C29)*$F$3:$F$165*$G$3:$G$165)/SUMPRODUCT(($C$3:$C$165=C29)*$F$3:$F$165)</f>
        <v/>
      </c>
      <c r="K29" s="17">
        <f>I29/J29</f>
        <v/>
      </c>
      <c r="L29" s="17">
        <f>H29/I29</f>
        <v/>
      </c>
      <c r="M29" s="17">
        <f>G29/H29</f>
        <v/>
      </c>
      <c r="N29" s="18">
        <f>INDEX('3_PRA_SWES_L1_Input'!$D$4:$D$14,MATCH($C29,'3_PRA_SWES_L1_Input'!$A$4:$A$14,0))*K29</f>
        <v/>
      </c>
      <c r="O29" s="18">
        <f>N29*L29</f>
        <v/>
      </c>
      <c r="P29" s="18">
        <f>O29*M29</f>
        <v/>
      </c>
      <c r="Q29" s="18">
        <f>INDEX('3_PRA_SWES_L1_Input'!$E$4:$E$14,MATCH($C29,'3_PRA_SWES_L1_Input'!$A$4:$A$14,0))*K29*L29*M29</f>
        <v/>
      </c>
      <c r="R29" s="18">
        <f>INDEX('3_PRA_SWES_L1_Input'!$G$4:$G$14,MATCH($C29,'3_PRA_SWES_L1_Input'!$A$4:$A$14,0))*K29</f>
        <v/>
      </c>
      <c r="S29" s="18">
        <f>R29*L29</f>
        <v/>
      </c>
      <c r="T29" s="18">
        <f>S29*M29</f>
        <v/>
      </c>
      <c r="U29" s="18">
        <f>INDEX('3_PRA_SWES_L1_Input'!$H$4:$H$14,MATCH($C29,'3_PRA_SWES_L1_Input'!$A$4:$A$14,0))*K29*L29*M29</f>
        <v/>
      </c>
    </row>
    <row r="30">
      <c r="A30" s="8">
        <f>'1_GICS_Structure'!G30</f>
        <v/>
      </c>
      <c r="B30" s="8">
        <f>'1_GICS_Structure'!H30</f>
        <v/>
      </c>
      <c r="C30" s="8">
        <f>'1_GICS_Structure'!A30</f>
        <v/>
      </c>
      <c r="D30" s="8">
        <f>'1_GICS_Structure'!C30</f>
        <v/>
      </c>
      <c r="E30" s="8">
        <f>'1_GICS_Structure'!E30</f>
        <v/>
      </c>
      <c r="F30" s="8">
        <f>'1_GICS_Structure'!J30</f>
        <v/>
      </c>
      <c r="G30" s="12">
        <f>INDEX('2_Damodaran_Betas'!$F$3:$F$97,MATCH('1_GICS_Structure'!I30,'2_Damodaran_Betas'!$A$3:$A$97,0))</f>
        <v/>
      </c>
      <c r="H30" s="12">
        <f>SUMPRODUCT(($E$3:$E$165=E30)*$F$3:$F$165*$G$3:$G$165)/SUMPRODUCT(($E$3:$E$165=E30)*$F$3:$F$165)</f>
        <v/>
      </c>
      <c r="I30" s="12">
        <f>SUMPRODUCT(($D$3:$D$165=D30)*$F$3:$F$165*$G$3:$G$165)/SUMPRODUCT(($D$3:$D$165=D30)*$F$3:$F$165)</f>
        <v/>
      </c>
      <c r="J30" s="12">
        <f>SUMPRODUCT(($C$3:$C$165=C30)*$F$3:$F$165*$G$3:$G$165)/SUMPRODUCT(($C$3:$C$165=C30)*$F$3:$F$165)</f>
        <v/>
      </c>
      <c r="K30" s="17">
        <f>I30/J30</f>
        <v/>
      </c>
      <c r="L30" s="17">
        <f>H30/I30</f>
        <v/>
      </c>
      <c r="M30" s="17">
        <f>G30/H30</f>
        <v/>
      </c>
      <c r="N30" s="18">
        <f>INDEX('3_PRA_SWES_L1_Input'!$D$4:$D$14,MATCH($C30,'3_PRA_SWES_L1_Input'!$A$4:$A$14,0))*K30</f>
        <v/>
      </c>
      <c r="O30" s="18">
        <f>N30*L30</f>
        <v/>
      </c>
      <c r="P30" s="18">
        <f>O30*M30</f>
        <v/>
      </c>
      <c r="Q30" s="18">
        <f>INDEX('3_PRA_SWES_L1_Input'!$E$4:$E$14,MATCH($C30,'3_PRA_SWES_L1_Input'!$A$4:$A$14,0))*K30*L30*M30</f>
        <v/>
      </c>
      <c r="R30" s="18">
        <f>INDEX('3_PRA_SWES_L1_Input'!$G$4:$G$14,MATCH($C30,'3_PRA_SWES_L1_Input'!$A$4:$A$14,0))*K30</f>
        <v/>
      </c>
      <c r="S30" s="18">
        <f>R30*L30</f>
        <v/>
      </c>
      <c r="T30" s="18">
        <f>S30*M30</f>
        <v/>
      </c>
      <c r="U30" s="18">
        <f>INDEX('3_PRA_SWES_L1_Input'!$H$4:$H$14,MATCH($C30,'3_PRA_SWES_L1_Input'!$A$4:$A$14,0))*K30*L30*M30</f>
        <v/>
      </c>
    </row>
    <row r="31">
      <c r="A31" s="8">
        <f>'1_GICS_Structure'!G31</f>
        <v/>
      </c>
      <c r="B31" s="8">
        <f>'1_GICS_Structure'!H31</f>
        <v/>
      </c>
      <c r="C31" s="8">
        <f>'1_GICS_Structure'!A31</f>
        <v/>
      </c>
      <c r="D31" s="8">
        <f>'1_GICS_Structure'!C31</f>
        <v/>
      </c>
      <c r="E31" s="8">
        <f>'1_GICS_Structure'!E31</f>
        <v/>
      </c>
      <c r="F31" s="8">
        <f>'1_GICS_Structure'!J31</f>
        <v/>
      </c>
      <c r="G31" s="12">
        <f>INDEX('2_Damodaran_Betas'!$F$3:$F$97,MATCH('1_GICS_Structure'!I31,'2_Damodaran_Betas'!$A$3:$A$97,0))</f>
        <v/>
      </c>
      <c r="H31" s="12">
        <f>SUMPRODUCT(($E$3:$E$165=E31)*$F$3:$F$165*$G$3:$G$165)/SUMPRODUCT(($E$3:$E$165=E31)*$F$3:$F$165)</f>
        <v/>
      </c>
      <c r="I31" s="12">
        <f>SUMPRODUCT(($D$3:$D$165=D31)*$F$3:$F$165*$G$3:$G$165)/SUMPRODUCT(($D$3:$D$165=D31)*$F$3:$F$165)</f>
        <v/>
      </c>
      <c r="J31" s="12">
        <f>SUMPRODUCT(($C$3:$C$165=C31)*$F$3:$F$165*$G$3:$G$165)/SUMPRODUCT(($C$3:$C$165=C31)*$F$3:$F$165)</f>
        <v/>
      </c>
      <c r="K31" s="17">
        <f>I31/J31</f>
        <v/>
      </c>
      <c r="L31" s="17">
        <f>H31/I31</f>
        <v/>
      </c>
      <c r="M31" s="17">
        <f>G31/H31</f>
        <v/>
      </c>
      <c r="N31" s="18">
        <f>INDEX('3_PRA_SWES_L1_Input'!$D$4:$D$14,MATCH($C31,'3_PRA_SWES_L1_Input'!$A$4:$A$14,0))*K31</f>
        <v/>
      </c>
      <c r="O31" s="18">
        <f>N31*L31</f>
        <v/>
      </c>
      <c r="P31" s="18">
        <f>O31*M31</f>
        <v/>
      </c>
      <c r="Q31" s="18">
        <f>INDEX('3_PRA_SWES_L1_Input'!$E$4:$E$14,MATCH($C31,'3_PRA_SWES_L1_Input'!$A$4:$A$14,0))*K31*L31*M31</f>
        <v/>
      </c>
      <c r="R31" s="18">
        <f>INDEX('3_PRA_SWES_L1_Input'!$G$4:$G$14,MATCH($C31,'3_PRA_SWES_L1_Input'!$A$4:$A$14,0))*K31</f>
        <v/>
      </c>
      <c r="S31" s="18">
        <f>R31*L31</f>
        <v/>
      </c>
      <c r="T31" s="18">
        <f>S31*M31</f>
        <v/>
      </c>
      <c r="U31" s="18">
        <f>INDEX('3_PRA_SWES_L1_Input'!$H$4:$H$14,MATCH($C31,'3_PRA_SWES_L1_Input'!$A$4:$A$14,0))*K31*L31*M31</f>
        <v/>
      </c>
    </row>
    <row r="32">
      <c r="A32" s="8">
        <f>'1_GICS_Structure'!G32</f>
        <v/>
      </c>
      <c r="B32" s="8">
        <f>'1_GICS_Structure'!H32</f>
        <v/>
      </c>
      <c r="C32" s="8">
        <f>'1_GICS_Structure'!A32</f>
        <v/>
      </c>
      <c r="D32" s="8">
        <f>'1_GICS_Structure'!C32</f>
        <v/>
      </c>
      <c r="E32" s="8">
        <f>'1_GICS_Structure'!E32</f>
        <v/>
      </c>
      <c r="F32" s="8">
        <f>'1_GICS_Structure'!J32</f>
        <v/>
      </c>
      <c r="G32" s="12">
        <f>INDEX('2_Damodaran_Betas'!$F$3:$F$97,MATCH('1_GICS_Structure'!I32,'2_Damodaran_Betas'!$A$3:$A$97,0))</f>
        <v/>
      </c>
      <c r="H32" s="12">
        <f>SUMPRODUCT(($E$3:$E$165=E32)*$F$3:$F$165*$G$3:$G$165)/SUMPRODUCT(($E$3:$E$165=E32)*$F$3:$F$165)</f>
        <v/>
      </c>
      <c r="I32" s="12">
        <f>SUMPRODUCT(($D$3:$D$165=D32)*$F$3:$F$165*$G$3:$G$165)/SUMPRODUCT(($D$3:$D$165=D32)*$F$3:$F$165)</f>
        <v/>
      </c>
      <c r="J32" s="12">
        <f>SUMPRODUCT(($C$3:$C$165=C32)*$F$3:$F$165*$G$3:$G$165)/SUMPRODUCT(($C$3:$C$165=C32)*$F$3:$F$165)</f>
        <v/>
      </c>
      <c r="K32" s="17">
        <f>I32/J32</f>
        <v/>
      </c>
      <c r="L32" s="17">
        <f>H32/I32</f>
        <v/>
      </c>
      <c r="M32" s="17">
        <f>G32/H32</f>
        <v/>
      </c>
      <c r="N32" s="18">
        <f>INDEX('3_PRA_SWES_L1_Input'!$D$4:$D$14,MATCH($C32,'3_PRA_SWES_L1_Input'!$A$4:$A$14,0))*K32</f>
        <v/>
      </c>
      <c r="O32" s="18">
        <f>N32*L32</f>
        <v/>
      </c>
      <c r="P32" s="18">
        <f>O32*M32</f>
        <v/>
      </c>
      <c r="Q32" s="18">
        <f>INDEX('3_PRA_SWES_L1_Input'!$E$4:$E$14,MATCH($C32,'3_PRA_SWES_L1_Input'!$A$4:$A$14,0))*K32*L32*M32</f>
        <v/>
      </c>
      <c r="R32" s="18">
        <f>INDEX('3_PRA_SWES_L1_Input'!$G$4:$G$14,MATCH($C32,'3_PRA_SWES_L1_Input'!$A$4:$A$14,0))*K32</f>
        <v/>
      </c>
      <c r="S32" s="18">
        <f>R32*L32</f>
        <v/>
      </c>
      <c r="T32" s="18">
        <f>S32*M32</f>
        <v/>
      </c>
      <c r="U32" s="18">
        <f>INDEX('3_PRA_SWES_L1_Input'!$H$4:$H$14,MATCH($C32,'3_PRA_SWES_L1_Input'!$A$4:$A$14,0))*K32*L32*M32</f>
        <v/>
      </c>
    </row>
    <row r="33">
      <c r="A33" s="8">
        <f>'1_GICS_Structure'!G33</f>
        <v/>
      </c>
      <c r="B33" s="8">
        <f>'1_GICS_Structure'!H33</f>
        <v/>
      </c>
      <c r="C33" s="8">
        <f>'1_GICS_Structure'!A33</f>
        <v/>
      </c>
      <c r="D33" s="8">
        <f>'1_GICS_Structure'!C33</f>
        <v/>
      </c>
      <c r="E33" s="8">
        <f>'1_GICS_Structure'!E33</f>
        <v/>
      </c>
      <c r="F33" s="8">
        <f>'1_GICS_Structure'!J33</f>
        <v/>
      </c>
      <c r="G33" s="12">
        <f>INDEX('2_Damodaran_Betas'!$F$3:$F$97,MATCH('1_GICS_Structure'!I33,'2_Damodaran_Betas'!$A$3:$A$97,0))</f>
        <v/>
      </c>
      <c r="H33" s="12">
        <f>SUMPRODUCT(($E$3:$E$165=E33)*$F$3:$F$165*$G$3:$G$165)/SUMPRODUCT(($E$3:$E$165=E33)*$F$3:$F$165)</f>
        <v/>
      </c>
      <c r="I33" s="12">
        <f>SUMPRODUCT(($D$3:$D$165=D33)*$F$3:$F$165*$G$3:$G$165)/SUMPRODUCT(($D$3:$D$165=D33)*$F$3:$F$165)</f>
        <v/>
      </c>
      <c r="J33" s="12">
        <f>SUMPRODUCT(($C$3:$C$165=C33)*$F$3:$F$165*$G$3:$G$165)/SUMPRODUCT(($C$3:$C$165=C33)*$F$3:$F$165)</f>
        <v/>
      </c>
      <c r="K33" s="17">
        <f>I33/J33</f>
        <v/>
      </c>
      <c r="L33" s="17">
        <f>H33/I33</f>
        <v/>
      </c>
      <c r="M33" s="17">
        <f>G33/H33</f>
        <v/>
      </c>
      <c r="N33" s="18">
        <f>INDEX('3_PRA_SWES_L1_Input'!$D$4:$D$14,MATCH($C33,'3_PRA_SWES_L1_Input'!$A$4:$A$14,0))*K33</f>
        <v/>
      </c>
      <c r="O33" s="18">
        <f>N33*L33</f>
        <v/>
      </c>
      <c r="P33" s="18">
        <f>O33*M33</f>
        <v/>
      </c>
      <c r="Q33" s="18">
        <f>INDEX('3_PRA_SWES_L1_Input'!$E$4:$E$14,MATCH($C33,'3_PRA_SWES_L1_Input'!$A$4:$A$14,0))*K33*L33*M33</f>
        <v/>
      </c>
      <c r="R33" s="18">
        <f>INDEX('3_PRA_SWES_L1_Input'!$G$4:$G$14,MATCH($C33,'3_PRA_SWES_L1_Input'!$A$4:$A$14,0))*K33</f>
        <v/>
      </c>
      <c r="S33" s="18">
        <f>R33*L33</f>
        <v/>
      </c>
      <c r="T33" s="18">
        <f>S33*M33</f>
        <v/>
      </c>
      <c r="U33" s="18">
        <f>INDEX('3_PRA_SWES_L1_Input'!$H$4:$H$14,MATCH($C33,'3_PRA_SWES_L1_Input'!$A$4:$A$14,0))*K33*L33*M33</f>
        <v/>
      </c>
    </row>
    <row r="34">
      <c r="A34" s="8">
        <f>'1_GICS_Structure'!G34</f>
        <v/>
      </c>
      <c r="B34" s="8">
        <f>'1_GICS_Structure'!H34</f>
        <v/>
      </c>
      <c r="C34" s="8">
        <f>'1_GICS_Structure'!A34</f>
        <v/>
      </c>
      <c r="D34" s="8">
        <f>'1_GICS_Structure'!C34</f>
        <v/>
      </c>
      <c r="E34" s="8">
        <f>'1_GICS_Structure'!E34</f>
        <v/>
      </c>
      <c r="F34" s="8">
        <f>'1_GICS_Structure'!J34</f>
        <v/>
      </c>
      <c r="G34" s="12">
        <f>INDEX('2_Damodaran_Betas'!$F$3:$F$97,MATCH('1_GICS_Structure'!I34,'2_Damodaran_Betas'!$A$3:$A$97,0))</f>
        <v/>
      </c>
      <c r="H34" s="12">
        <f>SUMPRODUCT(($E$3:$E$165=E34)*$F$3:$F$165*$G$3:$G$165)/SUMPRODUCT(($E$3:$E$165=E34)*$F$3:$F$165)</f>
        <v/>
      </c>
      <c r="I34" s="12">
        <f>SUMPRODUCT(($D$3:$D$165=D34)*$F$3:$F$165*$G$3:$G$165)/SUMPRODUCT(($D$3:$D$165=D34)*$F$3:$F$165)</f>
        <v/>
      </c>
      <c r="J34" s="12">
        <f>SUMPRODUCT(($C$3:$C$165=C34)*$F$3:$F$165*$G$3:$G$165)/SUMPRODUCT(($C$3:$C$165=C34)*$F$3:$F$165)</f>
        <v/>
      </c>
      <c r="K34" s="17">
        <f>I34/J34</f>
        <v/>
      </c>
      <c r="L34" s="17">
        <f>H34/I34</f>
        <v/>
      </c>
      <c r="M34" s="17">
        <f>G34/H34</f>
        <v/>
      </c>
      <c r="N34" s="18">
        <f>INDEX('3_PRA_SWES_L1_Input'!$D$4:$D$14,MATCH($C34,'3_PRA_SWES_L1_Input'!$A$4:$A$14,0))*K34</f>
        <v/>
      </c>
      <c r="O34" s="18">
        <f>N34*L34</f>
        <v/>
      </c>
      <c r="P34" s="18">
        <f>O34*M34</f>
        <v/>
      </c>
      <c r="Q34" s="18">
        <f>INDEX('3_PRA_SWES_L1_Input'!$E$4:$E$14,MATCH($C34,'3_PRA_SWES_L1_Input'!$A$4:$A$14,0))*K34*L34*M34</f>
        <v/>
      </c>
      <c r="R34" s="18">
        <f>INDEX('3_PRA_SWES_L1_Input'!$G$4:$G$14,MATCH($C34,'3_PRA_SWES_L1_Input'!$A$4:$A$14,0))*K34</f>
        <v/>
      </c>
      <c r="S34" s="18">
        <f>R34*L34</f>
        <v/>
      </c>
      <c r="T34" s="18">
        <f>S34*M34</f>
        <v/>
      </c>
      <c r="U34" s="18">
        <f>INDEX('3_PRA_SWES_L1_Input'!$H$4:$H$14,MATCH($C34,'3_PRA_SWES_L1_Input'!$A$4:$A$14,0))*K34*L34*M34</f>
        <v/>
      </c>
    </row>
    <row r="35">
      <c r="A35" s="8">
        <f>'1_GICS_Structure'!G35</f>
        <v/>
      </c>
      <c r="B35" s="8">
        <f>'1_GICS_Structure'!H35</f>
        <v/>
      </c>
      <c r="C35" s="8">
        <f>'1_GICS_Structure'!A35</f>
        <v/>
      </c>
      <c r="D35" s="8">
        <f>'1_GICS_Structure'!C35</f>
        <v/>
      </c>
      <c r="E35" s="8">
        <f>'1_GICS_Structure'!E35</f>
        <v/>
      </c>
      <c r="F35" s="8">
        <f>'1_GICS_Structure'!J35</f>
        <v/>
      </c>
      <c r="G35" s="12">
        <f>INDEX('2_Damodaran_Betas'!$F$3:$F$97,MATCH('1_GICS_Structure'!I35,'2_Damodaran_Betas'!$A$3:$A$97,0))</f>
        <v/>
      </c>
      <c r="H35" s="12">
        <f>SUMPRODUCT(($E$3:$E$165=E35)*$F$3:$F$165*$G$3:$G$165)/SUMPRODUCT(($E$3:$E$165=E35)*$F$3:$F$165)</f>
        <v/>
      </c>
      <c r="I35" s="12">
        <f>SUMPRODUCT(($D$3:$D$165=D35)*$F$3:$F$165*$G$3:$G$165)/SUMPRODUCT(($D$3:$D$165=D35)*$F$3:$F$165)</f>
        <v/>
      </c>
      <c r="J35" s="12">
        <f>SUMPRODUCT(($C$3:$C$165=C35)*$F$3:$F$165*$G$3:$G$165)/SUMPRODUCT(($C$3:$C$165=C35)*$F$3:$F$165)</f>
        <v/>
      </c>
      <c r="K35" s="17">
        <f>I35/J35</f>
        <v/>
      </c>
      <c r="L35" s="17">
        <f>H35/I35</f>
        <v/>
      </c>
      <c r="M35" s="17">
        <f>G35/H35</f>
        <v/>
      </c>
      <c r="N35" s="18">
        <f>INDEX('3_PRA_SWES_L1_Input'!$D$4:$D$14,MATCH($C35,'3_PRA_SWES_L1_Input'!$A$4:$A$14,0))*K35</f>
        <v/>
      </c>
      <c r="O35" s="18">
        <f>N35*L35</f>
        <v/>
      </c>
      <c r="P35" s="18">
        <f>O35*M35</f>
        <v/>
      </c>
      <c r="Q35" s="18">
        <f>INDEX('3_PRA_SWES_L1_Input'!$E$4:$E$14,MATCH($C35,'3_PRA_SWES_L1_Input'!$A$4:$A$14,0))*K35*L35*M35</f>
        <v/>
      </c>
      <c r="R35" s="18">
        <f>INDEX('3_PRA_SWES_L1_Input'!$G$4:$G$14,MATCH($C35,'3_PRA_SWES_L1_Input'!$A$4:$A$14,0))*K35</f>
        <v/>
      </c>
      <c r="S35" s="18">
        <f>R35*L35</f>
        <v/>
      </c>
      <c r="T35" s="18">
        <f>S35*M35</f>
        <v/>
      </c>
      <c r="U35" s="18">
        <f>INDEX('3_PRA_SWES_L1_Input'!$H$4:$H$14,MATCH($C35,'3_PRA_SWES_L1_Input'!$A$4:$A$14,0))*K35*L35*M35</f>
        <v/>
      </c>
    </row>
    <row r="36">
      <c r="A36" s="8">
        <f>'1_GICS_Structure'!G36</f>
        <v/>
      </c>
      <c r="B36" s="8">
        <f>'1_GICS_Structure'!H36</f>
        <v/>
      </c>
      <c r="C36" s="8">
        <f>'1_GICS_Structure'!A36</f>
        <v/>
      </c>
      <c r="D36" s="8">
        <f>'1_GICS_Structure'!C36</f>
        <v/>
      </c>
      <c r="E36" s="8">
        <f>'1_GICS_Structure'!E36</f>
        <v/>
      </c>
      <c r="F36" s="8">
        <f>'1_GICS_Structure'!J36</f>
        <v/>
      </c>
      <c r="G36" s="12">
        <f>INDEX('2_Damodaran_Betas'!$F$3:$F$97,MATCH('1_GICS_Structure'!I36,'2_Damodaran_Betas'!$A$3:$A$97,0))</f>
        <v/>
      </c>
      <c r="H36" s="12">
        <f>SUMPRODUCT(($E$3:$E$165=E36)*$F$3:$F$165*$G$3:$G$165)/SUMPRODUCT(($E$3:$E$165=E36)*$F$3:$F$165)</f>
        <v/>
      </c>
      <c r="I36" s="12">
        <f>SUMPRODUCT(($D$3:$D$165=D36)*$F$3:$F$165*$G$3:$G$165)/SUMPRODUCT(($D$3:$D$165=D36)*$F$3:$F$165)</f>
        <v/>
      </c>
      <c r="J36" s="12">
        <f>SUMPRODUCT(($C$3:$C$165=C36)*$F$3:$F$165*$G$3:$G$165)/SUMPRODUCT(($C$3:$C$165=C36)*$F$3:$F$165)</f>
        <v/>
      </c>
      <c r="K36" s="17">
        <f>I36/J36</f>
        <v/>
      </c>
      <c r="L36" s="17">
        <f>H36/I36</f>
        <v/>
      </c>
      <c r="M36" s="17">
        <f>G36/H36</f>
        <v/>
      </c>
      <c r="N36" s="18">
        <f>INDEX('3_PRA_SWES_L1_Input'!$D$4:$D$14,MATCH($C36,'3_PRA_SWES_L1_Input'!$A$4:$A$14,0))*K36</f>
        <v/>
      </c>
      <c r="O36" s="18">
        <f>N36*L36</f>
        <v/>
      </c>
      <c r="P36" s="18">
        <f>O36*M36</f>
        <v/>
      </c>
      <c r="Q36" s="18">
        <f>INDEX('3_PRA_SWES_L1_Input'!$E$4:$E$14,MATCH($C36,'3_PRA_SWES_L1_Input'!$A$4:$A$14,0))*K36*L36*M36</f>
        <v/>
      </c>
      <c r="R36" s="18">
        <f>INDEX('3_PRA_SWES_L1_Input'!$G$4:$G$14,MATCH($C36,'3_PRA_SWES_L1_Input'!$A$4:$A$14,0))*K36</f>
        <v/>
      </c>
      <c r="S36" s="18">
        <f>R36*L36</f>
        <v/>
      </c>
      <c r="T36" s="18">
        <f>S36*M36</f>
        <v/>
      </c>
      <c r="U36" s="18">
        <f>INDEX('3_PRA_SWES_L1_Input'!$H$4:$H$14,MATCH($C36,'3_PRA_SWES_L1_Input'!$A$4:$A$14,0))*K36*L36*M36</f>
        <v/>
      </c>
    </row>
    <row r="37">
      <c r="A37" s="8">
        <f>'1_GICS_Structure'!G37</f>
        <v/>
      </c>
      <c r="B37" s="8">
        <f>'1_GICS_Structure'!H37</f>
        <v/>
      </c>
      <c r="C37" s="8">
        <f>'1_GICS_Structure'!A37</f>
        <v/>
      </c>
      <c r="D37" s="8">
        <f>'1_GICS_Structure'!C37</f>
        <v/>
      </c>
      <c r="E37" s="8">
        <f>'1_GICS_Structure'!E37</f>
        <v/>
      </c>
      <c r="F37" s="8">
        <f>'1_GICS_Structure'!J37</f>
        <v/>
      </c>
      <c r="G37" s="12">
        <f>INDEX('2_Damodaran_Betas'!$F$3:$F$97,MATCH('1_GICS_Structure'!I37,'2_Damodaran_Betas'!$A$3:$A$97,0))</f>
        <v/>
      </c>
      <c r="H37" s="12">
        <f>SUMPRODUCT(($E$3:$E$165=E37)*$F$3:$F$165*$G$3:$G$165)/SUMPRODUCT(($E$3:$E$165=E37)*$F$3:$F$165)</f>
        <v/>
      </c>
      <c r="I37" s="12">
        <f>SUMPRODUCT(($D$3:$D$165=D37)*$F$3:$F$165*$G$3:$G$165)/SUMPRODUCT(($D$3:$D$165=D37)*$F$3:$F$165)</f>
        <v/>
      </c>
      <c r="J37" s="12">
        <f>SUMPRODUCT(($C$3:$C$165=C37)*$F$3:$F$165*$G$3:$G$165)/SUMPRODUCT(($C$3:$C$165=C37)*$F$3:$F$165)</f>
        <v/>
      </c>
      <c r="K37" s="17">
        <f>I37/J37</f>
        <v/>
      </c>
      <c r="L37" s="17">
        <f>H37/I37</f>
        <v/>
      </c>
      <c r="M37" s="17">
        <f>G37/H37</f>
        <v/>
      </c>
      <c r="N37" s="18">
        <f>INDEX('3_PRA_SWES_L1_Input'!$D$4:$D$14,MATCH($C37,'3_PRA_SWES_L1_Input'!$A$4:$A$14,0))*K37</f>
        <v/>
      </c>
      <c r="O37" s="18">
        <f>N37*L37</f>
        <v/>
      </c>
      <c r="P37" s="18">
        <f>O37*M37</f>
        <v/>
      </c>
      <c r="Q37" s="18">
        <f>INDEX('3_PRA_SWES_L1_Input'!$E$4:$E$14,MATCH($C37,'3_PRA_SWES_L1_Input'!$A$4:$A$14,0))*K37*L37*M37</f>
        <v/>
      </c>
      <c r="R37" s="18">
        <f>INDEX('3_PRA_SWES_L1_Input'!$G$4:$G$14,MATCH($C37,'3_PRA_SWES_L1_Input'!$A$4:$A$14,0))*K37</f>
        <v/>
      </c>
      <c r="S37" s="18">
        <f>R37*L37</f>
        <v/>
      </c>
      <c r="T37" s="18">
        <f>S37*M37</f>
        <v/>
      </c>
      <c r="U37" s="18">
        <f>INDEX('3_PRA_SWES_L1_Input'!$H$4:$H$14,MATCH($C37,'3_PRA_SWES_L1_Input'!$A$4:$A$14,0))*K37*L37*M37</f>
        <v/>
      </c>
    </row>
    <row r="38">
      <c r="A38" s="8">
        <f>'1_GICS_Structure'!G38</f>
        <v/>
      </c>
      <c r="B38" s="8">
        <f>'1_GICS_Structure'!H38</f>
        <v/>
      </c>
      <c r="C38" s="8">
        <f>'1_GICS_Structure'!A38</f>
        <v/>
      </c>
      <c r="D38" s="8">
        <f>'1_GICS_Structure'!C38</f>
        <v/>
      </c>
      <c r="E38" s="8">
        <f>'1_GICS_Structure'!E38</f>
        <v/>
      </c>
      <c r="F38" s="8">
        <f>'1_GICS_Structure'!J38</f>
        <v/>
      </c>
      <c r="G38" s="12">
        <f>INDEX('2_Damodaran_Betas'!$F$3:$F$97,MATCH('1_GICS_Structure'!I38,'2_Damodaran_Betas'!$A$3:$A$97,0))</f>
        <v/>
      </c>
      <c r="H38" s="12">
        <f>SUMPRODUCT(($E$3:$E$165=E38)*$F$3:$F$165*$G$3:$G$165)/SUMPRODUCT(($E$3:$E$165=E38)*$F$3:$F$165)</f>
        <v/>
      </c>
      <c r="I38" s="12">
        <f>SUMPRODUCT(($D$3:$D$165=D38)*$F$3:$F$165*$G$3:$G$165)/SUMPRODUCT(($D$3:$D$165=D38)*$F$3:$F$165)</f>
        <v/>
      </c>
      <c r="J38" s="12">
        <f>SUMPRODUCT(($C$3:$C$165=C38)*$F$3:$F$165*$G$3:$G$165)/SUMPRODUCT(($C$3:$C$165=C38)*$F$3:$F$165)</f>
        <v/>
      </c>
      <c r="K38" s="17">
        <f>I38/J38</f>
        <v/>
      </c>
      <c r="L38" s="17">
        <f>H38/I38</f>
        <v/>
      </c>
      <c r="M38" s="17">
        <f>G38/H38</f>
        <v/>
      </c>
      <c r="N38" s="18">
        <f>INDEX('3_PRA_SWES_L1_Input'!$D$4:$D$14,MATCH($C38,'3_PRA_SWES_L1_Input'!$A$4:$A$14,0))*K38</f>
        <v/>
      </c>
      <c r="O38" s="18">
        <f>N38*L38</f>
        <v/>
      </c>
      <c r="P38" s="18">
        <f>O38*M38</f>
        <v/>
      </c>
      <c r="Q38" s="18">
        <f>INDEX('3_PRA_SWES_L1_Input'!$E$4:$E$14,MATCH($C38,'3_PRA_SWES_L1_Input'!$A$4:$A$14,0))*K38*L38*M38</f>
        <v/>
      </c>
      <c r="R38" s="18">
        <f>INDEX('3_PRA_SWES_L1_Input'!$G$4:$G$14,MATCH($C38,'3_PRA_SWES_L1_Input'!$A$4:$A$14,0))*K38</f>
        <v/>
      </c>
      <c r="S38" s="18">
        <f>R38*L38</f>
        <v/>
      </c>
      <c r="T38" s="18">
        <f>S38*M38</f>
        <v/>
      </c>
      <c r="U38" s="18">
        <f>INDEX('3_PRA_SWES_L1_Input'!$H$4:$H$14,MATCH($C38,'3_PRA_SWES_L1_Input'!$A$4:$A$14,0))*K38*L38*M38</f>
        <v/>
      </c>
    </row>
    <row r="39">
      <c r="A39" s="8">
        <f>'1_GICS_Structure'!G39</f>
        <v/>
      </c>
      <c r="B39" s="8">
        <f>'1_GICS_Structure'!H39</f>
        <v/>
      </c>
      <c r="C39" s="8">
        <f>'1_GICS_Structure'!A39</f>
        <v/>
      </c>
      <c r="D39" s="8">
        <f>'1_GICS_Structure'!C39</f>
        <v/>
      </c>
      <c r="E39" s="8">
        <f>'1_GICS_Structure'!E39</f>
        <v/>
      </c>
      <c r="F39" s="8">
        <f>'1_GICS_Structure'!J39</f>
        <v/>
      </c>
      <c r="G39" s="12">
        <f>INDEX('2_Damodaran_Betas'!$F$3:$F$97,MATCH('1_GICS_Structure'!I39,'2_Damodaran_Betas'!$A$3:$A$97,0))</f>
        <v/>
      </c>
      <c r="H39" s="12">
        <f>SUMPRODUCT(($E$3:$E$165=E39)*$F$3:$F$165*$G$3:$G$165)/SUMPRODUCT(($E$3:$E$165=E39)*$F$3:$F$165)</f>
        <v/>
      </c>
      <c r="I39" s="12">
        <f>SUMPRODUCT(($D$3:$D$165=D39)*$F$3:$F$165*$G$3:$G$165)/SUMPRODUCT(($D$3:$D$165=D39)*$F$3:$F$165)</f>
        <v/>
      </c>
      <c r="J39" s="12">
        <f>SUMPRODUCT(($C$3:$C$165=C39)*$F$3:$F$165*$G$3:$G$165)/SUMPRODUCT(($C$3:$C$165=C39)*$F$3:$F$165)</f>
        <v/>
      </c>
      <c r="K39" s="17">
        <f>I39/J39</f>
        <v/>
      </c>
      <c r="L39" s="17">
        <f>H39/I39</f>
        <v/>
      </c>
      <c r="M39" s="17">
        <f>G39/H39</f>
        <v/>
      </c>
      <c r="N39" s="18">
        <f>INDEX('3_PRA_SWES_L1_Input'!$D$4:$D$14,MATCH($C39,'3_PRA_SWES_L1_Input'!$A$4:$A$14,0))*K39</f>
        <v/>
      </c>
      <c r="O39" s="18">
        <f>N39*L39</f>
        <v/>
      </c>
      <c r="P39" s="18">
        <f>O39*M39</f>
        <v/>
      </c>
      <c r="Q39" s="18">
        <f>INDEX('3_PRA_SWES_L1_Input'!$E$4:$E$14,MATCH($C39,'3_PRA_SWES_L1_Input'!$A$4:$A$14,0))*K39*L39*M39</f>
        <v/>
      </c>
      <c r="R39" s="18">
        <f>INDEX('3_PRA_SWES_L1_Input'!$G$4:$G$14,MATCH($C39,'3_PRA_SWES_L1_Input'!$A$4:$A$14,0))*K39</f>
        <v/>
      </c>
      <c r="S39" s="18">
        <f>R39*L39</f>
        <v/>
      </c>
      <c r="T39" s="18">
        <f>S39*M39</f>
        <v/>
      </c>
      <c r="U39" s="18">
        <f>INDEX('3_PRA_SWES_L1_Input'!$H$4:$H$14,MATCH($C39,'3_PRA_SWES_L1_Input'!$A$4:$A$14,0))*K39*L39*M39</f>
        <v/>
      </c>
    </row>
    <row r="40">
      <c r="A40" s="8">
        <f>'1_GICS_Structure'!G40</f>
        <v/>
      </c>
      <c r="B40" s="8">
        <f>'1_GICS_Structure'!H40</f>
        <v/>
      </c>
      <c r="C40" s="8">
        <f>'1_GICS_Structure'!A40</f>
        <v/>
      </c>
      <c r="D40" s="8">
        <f>'1_GICS_Structure'!C40</f>
        <v/>
      </c>
      <c r="E40" s="8">
        <f>'1_GICS_Structure'!E40</f>
        <v/>
      </c>
      <c r="F40" s="8">
        <f>'1_GICS_Structure'!J40</f>
        <v/>
      </c>
      <c r="G40" s="12">
        <f>INDEX('2_Damodaran_Betas'!$F$3:$F$97,MATCH('1_GICS_Structure'!I40,'2_Damodaran_Betas'!$A$3:$A$97,0))</f>
        <v/>
      </c>
      <c r="H40" s="12">
        <f>SUMPRODUCT(($E$3:$E$165=E40)*$F$3:$F$165*$G$3:$G$165)/SUMPRODUCT(($E$3:$E$165=E40)*$F$3:$F$165)</f>
        <v/>
      </c>
      <c r="I40" s="12">
        <f>SUMPRODUCT(($D$3:$D$165=D40)*$F$3:$F$165*$G$3:$G$165)/SUMPRODUCT(($D$3:$D$165=D40)*$F$3:$F$165)</f>
        <v/>
      </c>
      <c r="J40" s="12">
        <f>SUMPRODUCT(($C$3:$C$165=C40)*$F$3:$F$165*$G$3:$G$165)/SUMPRODUCT(($C$3:$C$165=C40)*$F$3:$F$165)</f>
        <v/>
      </c>
      <c r="K40" s="17">
        <f>I40/J40</f>
        <v/>
      </c>
      <c r="L40" s="17">
        <f>H40/I40</f>
        <v/>
      </c>
      <c r="M40" s="17">
        <f>G40/H40</f>
        <v/>
      </c>
      <c r="N40" s="18">
        <f>INDEX('3_PRA_SWES_L1_Input'!$D$4:$D$14,MATCH($C40,'3_PRA_SWES_L1_Input'!$A$4:$A$14,0))*K40</f>
        <v/>
      </c>
      <c r="O40" s="18">
        <f>N40*L40</f>
        <v/>
      </c>
      <c r="P40" s="18">
        <f>O40*M40</f>
        <v/>
      </c>
      <c r="Q40" s="18">
        <f>INDEX('3_PRA_SWES_L1_Input'!$E$4:$E$14,MATCH($C40,'3_PRA_SWES_L1_Input'!$A$4:$A$14,0))*K40*L40*M40</f>
        <v/>
      </c>
      <c r="R40" s="18">
        <f>INDEX('3_PRA_SWES_L1_Input'!$G$4:$G$14,MATCH($C40,'3_PRA_SWES_L1_Input'!$A$4:$A$14,0))*K40</f>
        <v/>
      </c>
      <c r="S40" s="18">
        <f>R40*L40</f>
        <v/>
      </c>
      <c r="T40" s="18">
        <f>S40*M40</f>
        <v/>
      </c>
      <c r="U40" s="18">
        <f>INDEX('3_PRA_SWES_L1_Input'!$H$4:$H$14,MATCH($C40,'3_PRA_SWES_L1_Input'!$A$4:$A$14,0))*K40*L40*M40</f>
        <v/>
      </c>
    </row>
    <row r="41">
      <c r="A41" s="8">
        <f>'1_GICS_Structure'!G41</f>
        <v/>
      </c>
      <c r="B41" s="8">
        <f>'1_GICS_Structure'!H41</f>
        <v/>
      </c>
      <c r="C41" s="8">
        <f>'1_GICS_Structure'!A41</f>
        <v/>
      </c>
      <c r="D41" s="8">
        <f>'1_GICS_Structure'!C41</f>
        <v/>
      </c>
      <c r="E41" s="8">
        <f>'1_GICS_Structure'!E41</f>
        <v/>
      </c>
      <c r="F41" s="8">
        <f>'1_GICS_Structure'!J41</f>
        <v/>
      </c>
      <c r="G41" s="12">
        <f>INDEX('2_Damodaran_Betas'!$F$3:$F$97,MATCH('1_GICS_Structure'!I41,'2_Damodaran_Betas'!$A$3:$A$97,0))</f>
        <v/>
      </c>
      <c r="H41" s="12">
        <f>SUMPRODUCT(($E$3:$E$165=E41)*$F$3:$F$165*$G$3:$G$165)/SUMPRODUCT(($E$3:$E$165=E41)*$F$3:$F$165)</f>
        <v/>
      </c>
      <c r="I41" s="12">
        <f>SUMPRODUCT(($D$3:$D$165=D41)*$F$3:$F$165*$G$3:$G$165)/SUMPRODUCT(($D$3:$D$165=D41)*$F$3:$F$165)</f>
        <v/>
      </c>
      <c r="J41" s="12">
        <f>SUMPRODUCT(($C$3:$C$165=C41)*$F$3:$F$165*$G$3:$G$165)/SUMPRODUCT(($C$3:$C$165=C41)*$F$3:$F$165)</f>
        <v/>
      </c>
      <c r="K41" s="17">
        <f>I41/J41</f>
        <v/>
      </c>
      <c r="L41" s="17">
        <f>H41/I41</f>
        <v/>
      </c>
      <c r="M41" s="17">
        <f>G41/H41</f>
        <v/>
      </c>
      <c r="N41" s="18">
        <f>INDEX('3_PRA_SWES_L1_Input'!$D$4:$D$14,MATCH($C41,'3_PRA_SWES_L1_Input'!$A$4:$A$14,0))*K41</f>
        <v/>
      </c>
      <c r="O41" s="18">
        <f>N41*L41</f>
        <v/>
      </c>
      <c r="P41" s="18">
        <f>O41*M41</f>
        <v/>
      </c>
      <c r="Q41" s="18">
        <f>INDEX('3_PRA_SWES_L1_Input'!$E$4:$E$14,MATCH($C41,'3_PRA_SWES_L1_Input'!$A$4:$A$14,0))*K41*L41*M41</f>
        <v/>
      </c>
      <c r="R41" s="18">
        <f>INDEX('3_PRA_SWES_L1_Input'!$G$4:$G$14,MATCH($C41,'3_PRA_SWES_L1_Input'!$A$4:$A$14,0))*K41</f>
        <v/>
      </c>
      <c r="S41" s="18">
        <f>R41*L41</f>
        <v/>
      </c>
      <c r="T41" s="18">
        <f>S41*M41</f>
        <v/>
      </c>
      <c r="U41" s="18">
        <f>INDEX('3_PRA_SWES_L1_Input'!$H$4:$H$14,MATCH($C41,'3_PRA_SWES_L1_Input'!$A$4:$A$14,0))*K41*L41*M41</f>
        <v/>
      </c>
    </row>
    <row r="42">
      <c r="A42" s="8">
        <f>'1_GICS_Structure'!G42</f>
        <v/>
      </c>
      <c r="B42" s="8">
        <f>'1_GICS_Structure'!H42</f>
        <v/>
      </c>
      <c r="C42" s="8">
        <f>'1_GICS_Structure'!A42</f>
        <v/>
      </c>
      <c r="D42" s="8">
        <f>'1_GICS_Structure'!C42</f>
        <v/>
      </c>
      <c r="E42" s="8">
        <f>'1_GICS_Structure'!E42</f>
        <v/>
      </c>
      <c r="F42" s="8">
        <f>'1_GICS_Structure'!J42</f>
        <v/>
      </c>
      <c r="G42" s="12">
        <f>INDEX('2_Damodaran_Betas'!$F$3:$F$97,MATCH('1_GICS_Structure'!I42,'2_Damodaran_Betas'!$A$3:$A$97,0))</f>
        <v/>
      </c>
      <c r="H42" s="12">
        <f>SUMPRODUCT(($E$3:$E$165=E42)*$F$3:$F$165*$G$3:$G$165)/SUMPRODUCT(($E$3:$E$165=E42)*$F$3:$F$165)</f>
        <v/>
      </c>
      <c r="I42" s="12">
        <f>SUMPRODUCT(($D$3:$D$165=D42)*$F$3:$F$165*$G$3:$G$165)/SUMPRODUCT(($D$3:$D$165=D42)*$F$3:$F$165)</f>
        <v/>
      </c>
      <c r="J42" s="12">
        <f>SUMPRODUCT(($C$3:$C$165=C42)*$F$3:$F$165*$G$3:$G$165)/SUMPRODUCT(($C$3:$C$165=C42)*$F$3:$F$165)</f>
        <v/>
      </c>
      <c r="K42" s="17">
        <f>I42/J42</f>
        <v/>
      </c>
      <c r="L42" s="17">
        <f>H42/I42</f>
        <v/>
      </c>
      <c r="M42" s="17">
        <f>G42/H42</f>
        <v/>
      </c>
      <c r="N42" s="18">
        <f>INDEX('3_PRA_SWES_L1_Input'!$D$4:$D$14,MATCH($C42,'3_PRA_SWES_L1_Input'!$A$4:$A$14,0))*K42</f>
        <v/>
      </c>
      <c r="O42" s="18">
        <f>N42*L42</f>
        <v/>
      </c>
      <c r="P42" s="18">
        <f>O42*M42</f>
        <v/>
      </c>
      <c r="Q42" s="18">
        <f>INDEX('3_PRA_SWES_L1_Input'!$E$4:$E$14,MATCH($C42,'3_PRA_SWES_L1_Input'!$A$4:$A$14,0))*K42*L42*M42</f>
        <v/>
      </c>
      <c r="R42" s="18">
        <f>INDEX('3_PRA_SWES_L1_Input'!$G$4:$G$14,MATCH($C42,'3_PRA_SWES_L1_Input'!$A$4:$A$14,0))*K42</f>
        <v/>
      </c>
      <c r="S42" s="18">
        <f>R42*L42</f>
        <v/>
      </c>
      <c r="T42" s="18">
        <f>S42*M42</f>
        <v/>
      </c>
      <c r="U42" s="18">
        <f>INDEX('3_PRA_SWES_L1_Input'!$H$4:$H$14,MATCH($C42,'3_PRA_SWES_L1_Input'!$A$4:$A$14,0))*K42*L42*M42</f>
        <v/>
      </c>
    </row>
    <row r="43">
      <c r="A43" s="8">
        <f>'1_GICS_Structure'!G43</f>
        <v/>
      </c>
      <c r="B43" s="8">
        <f>'1_GICS_Structure'!H43</f>
        <v/>
      </c>
      <c r="C43" s="8">
        <f>'1_GICS_Structure'!A43</f>
        <v/>
      </c>
      <c r="D43" s="8">
        <f>'1_GICS_Structure'!C43</f>
        <v/>
      </c>
      <c r="E43" s="8">
        <f>'1_GICS_Structure'!E43</f>
        <v/>
      </c>
      <c r="F43" s="8">
        <f>'1_GICS_Structure'!J43</f>
        <v/>
      </c>
      <c r="G43" s="12">
        <f>INDEX('2_Damodaran_Betas'!$F$3:$F$97,MATCH('1_GICS_Structure'!I43,'2_Damodaran_Betas'!$A$3:$A$97,0))</f>
        <v/>
      </c>
      <c r="H43" s="12">
        <f>SUMPRODUCT(($E$3:$E$165=E43)*$F$3:$F$165*$G$3:$G$165)/SUMPRODUCT(($E$3:$E$165=E43)*$F$3:$F$165)</f>
        <v/>
      </c>
      <c r="I43" s="12">
        <f>SUMPRODUCT(($D$3:$D$165=D43)*$F$3:$F$165*$G$3:$G$165)/SUMPRODUCT(($D$3:$D$165=D43)*$F$3:$F$165)</f>
        <v/>
      </c>
      <c r="J43" s="12">
        <f>SUMPRODUCT(($C$3:$C$165=C43)*$F$3:$F$165*$G$3:$G$165)/SUMPRODUCT(($C$3:$C$165=C43)*$F$3:$F$165)</f>
        <v/>
      </c>
      <c r="K43" s="17">
        <f>I43/J43</f>
        <v/>
      </c>
      <c r="L43" s="17">
        <f>H43/I43</f>
        <v/>
      </c>
      <c r="M43" s="17">
        <f>G43/H43</f>
        <v/>
      </c>
      <c r="N43" s="18">
        <f>INDEX('3_PRA_SWES_L1_Input'!$D$4:$D$14,MATCH($C43,'3_PRA_SWES_L1_Input'!$A$4:$A$14,0))*K43</f>
        <v/>
      </c>
      <c r="O43" s="18">
        <f>N43*L43</f>
        <v/>
      </c>
      <c r="P43" s="18">
        <f>O43*M43</f>
        <v/>
      </c>
      <c r="Q43" s="18">
        <f>INDEX('3_PRA_SWES_L1_Input'!$E$4:$E$14,MATCH($C43,'3_PRA_SWES_L1_Input'!$A$4:$A$14,0))*K43*L43*M43</f>
        <v/>
      </c>
      <c r="R43" s="18">
        <f>INDEX('3_PRA_SWES_L1_Input'!$G$4:$G$14,MATCH($C43,'3_PRA_SWES_L1_Input'!$A$4:$A$14,0))*K43</f>
        <v/>
      </c>
      <c r="S43" s="18">
        <f>R43*L43</f>
        <v/>
      </c>
      <c r="T43" s="18">
        <f>S43*M43</f>
        <v/>
      </c>
      <c r="U43" s="18">
        <f>INDEX('3_PRA_SWES_L1_Input'!$H$4:$H$14,MATCH($C43,'3_PRA_SWES_L1_Input'!$A$4:$A$14,0))*K43*L43*M43</f>
        <v/>
      </c>
    </row>
    <row r="44">
      <c r="A44" s="8">
        <f>'1_GICS_Structure'!G44</f>
        <v/>
      </c>
      <c r="B44" s="8">
        <f>'1_GICS_Structure'!H44</f>
        <v/>
      </c>
      <c r="C44" s="8">
        <f>'1_GICS_Structure'!A44</f>
        <v/>
      </c>
      <c r="D44" s="8">
        <f>'1_GICS_Structure'!C44</f>
        <v/>
      </c>
      <c r="E44" s="8">
        <f>'1_GICS_Structure'!E44</f>
        <v/>
      </c>
      <c r="F44" s="8">
        <f>'1_GICS_Structure'!J44</f>
        <v/>
      </c>
      <c r="G44" s="12">
        <f>INDEX('2_Damodaran_Betas'!$F$3:$F$97,MATCH('1_GICS_Structure'!I44,'2_Damodaran_Betas'!$A$3:$A$97,0))</f>
        <v/>
      </c>
      <c r="H44" s="12">
        <f>SUMPRODUCT(($E$3:$E$165=E44)*$F$3:$F$165*$G$3:$G$165)/SUMPRODUCT(($E$3:$E$165=E44)*$F$3:$F$165)</f>
        <v/>
      </c>
      <c r="I44" s="12">
        <f>SUMPRODUCT(($D$3:$D$165=D44)*$F$3:$F$165*$G$3:$G$165)/SUMPRODUCT(($D$3:$D$165=D44)*$F$3:$F$165)</f>
        <v/>
      </c>
      <c r="J44" s="12">
        <f>SUMPRODUCT(($C$3:$C$165=C44)*$F$3:$F$165*$G$3:$G$165)/SUMPRODUCT(($C$3:$C$165=C44)*$F$3:$F$165)</f>
        <v/>
      </c>
      <c r="K44" s="17">
        <f>I44/J44</f>
        <v/>
      </c>
      <c r="L44" s="17">
        <f>H44/I44</f>
        <v/>
      </c>
      <c r="M44" s="17">
        <f>G44/H44</f>
        <v/>
      </c>
      <c r="N44" s="18">
        <f>INDEX('3_PRA_SWES_L1_Input'!$D$4:$D$14,MATCH($C44,'3_PRA_SWES_L1_Input'!$A$4:$A$14,0))*K44</f>
        <v/>
      </c>
      <c r="O44" s="18">
        <f>N44*L44</f>
        <v/>
      </c>
      <c r="P44" s="18">
        <f>O44*M44</f>
        <v/>
      </c>
      <c r="Q44" s="18">
        <f>INDEX('3_PRA_SWES_L1_Input'!$E$4:$E$14,MATCH($C44,'3_PRA_SWES_L1_Input'!$A$4:$A$14,0))*K44*L44*M44</f>
        <v/>
      </c>
      <c r="R44" s="18">
        <f>INDEX('3_PRA_SWES_L1_Input'!$G$4:$G$14,MATCH($C44,'3_PRA_SWES_L1_Input'!$A$4:$A$14,0))*K44</f>
        <v/>
      </c>
      <c r="S44" s="18">
        <f>R44*L44</f>
        <v/>
      </c>
      <c r="T44" s="18">
        <f>S44*M44</f>
        <v/>
      </c>
      <c r="U44" s="18">
        <f>INDEX('3_PRA_SWES_L1_Input'!$H$4:$H$14,MATCH($C44,'3_PRA_SWES_L1_Input'!$A$4:$A$14,0))*K44*L44*M44</f>
        <v/>
      </c>
    </row>
    <row r="45">
      <c r="A45" s="8">
        <f>'1_GICS_Structure'!G45</f>
        <v/>
      </c>
      <c r="B45" s="8">
        <f>'1_GICS_Structure'!H45</f>
        <v/>
      </c>
      <c r="C45" s="8">
        <f>'1_GICS_Structure'!A45</f>
        <v/>
      </c>
      <c r="D45" s="8">
        <f>'1_GICS_Structure'!C45</f>
        <v/>
      </c>
      <c r="E45" s="8">
        <f>'1_GICS_Structure'!E45</f>
        <v/>
      </c>
      <c r="F45" s="8">
        <f>'1_GICS_Structure'!J45</f>
        <v/>
      </c>
      <c r="G45" s="12">
        <f>INDEX('2_Damodaran_Betas'!$F$3:$F$97,MATCH('1_GICS_Structure'!I45,'2_Damodaran_Betas'!$A$3:$A$97,0))</f>
        <v/>
      </c>
      <c r="H45" s="12">
        <f>SUMPRODUCT(($E$3:$E$165=E45)*$F$3:$F$165*$G$3:$G$165)/SUMPRODUCT(($E$3:$E$165=E45)*$F$3:$F$165)</f>
        <v/>
      </c>
      <c r="I45" s="12">
        <f>SUMPRODUCT(($D$3:$D$165=D45)*$F$3:$F$165*$G$3:$G$165)/SUMPRODUCT(($D$3:$D$165=D45)*$F$3:$F$165)</f>
        <v/>
      </c>
      <c r="J45" s="12">
        <f>SUMPRODUCT(($C$3:$C$165=C45)*$F$3:$F$165*$G$3:$G$165)/SUMPRODUCT(($C$3:$C$165=C45)*$F$3:$F$165)</f>
        <v/>
      </c>
      <c r="K45" s="17">
        <f>I45/J45</f>
        <v/>
      </c>
      <c r="L45" s="17">
        <f>H45/I45</f>
        <v/>
      </c>
      <c r="M45" s="17">
        <f>G45/H45</f>
        <v/>
      </c>
      <c r="N45" s="18">
        <f>INDEX('3_PRA_SWES_L1_Input'!$D$4:$D$14,MATCH($C45,'3_PRA_SWES_L1_Input'!$A$4:$A$14,0))*K45</f>
        <v/>
      </c>
      <c r="O45" s="18">
        <f>N45*L45</f>
        <v/>
      </c>
      <c r="P45" s="18">
        <f>O45*M45</f>
        <v/>
      </c>
      <c r="Q45" s="18">
        <f>INDEX('3_PRA_SWES_L1_Input'!$E$4:$E$14,MATCH($C45,'3_PRA_SWES_L1_Input'!$A$4:$A$14,0))*K45*L45*M45</f>
        <v/>
      </c>
      <c r="R45" s="18">
        <f>INDEX('3_PRA_SWES_L1_Input'!$G$4:$G$14,MATCH($C45,'3_PRA_SWES_L1_Input'!$A$4:$A$14,0))*K45</f>
        <v/>
      </c>
      <c r="S45" s="18">
        <f>R45*L45</f>
        <v/>
      </c>
      <c r="T45" s="18">
        <f>S45*M45</f>
        <v/>
      </c>
      <c r="U45" s="18">
        <f>INDEX('3_PRA_SWES_L1_Input'!$H$4:$H$14,MATCH($C45,'3_PRA_SWES_L1_Input'!$A$4:$A$14,0))*K45*L45*M45</f>
        <v/>
      </c>
    </row>
    <row r="46">
      <c r="A46" s="8">
        <f>'1_GICS_Structure'!G46</f>
        <v/>
      </c>
      <c r="B46" s="8">
        <f>'1_GICS_Structure'!H46</f>
        <v/>
      </c>
      <c r="C46" s="8">
        <f>'1_GICS_Structure'!A46</f>
        <v/>
      </c>
      <c r="D46" s="8">
        <f>'1_GICS_Structure'!C46</f>
        <v/>
      </c>
      <c r="E46" s="8">
        <f>'1_GICS_Structure'!E46</f>
        <v/>
      </c>
      <c r="F46" s="8">
        <f>'1_GICS_Structure'!J46</f>
        <v/>
      </c>
      <c r="G46" s="12">
        <f>INDEX('2_Damodaran_Betas'!$F$3:$F$97,MATCH('1_GICS_Structure'!I46,'2_Damodaran_Betas'!$A$3:$A$97,0))</f>
        <v/>
      </c>
      <c r="H46" s="12">
        <f>SUMPRODUCT(($E$3:$E$165=E46)*$F$3:$F$165*$G$3:$G$165)/SUMPRODUCT(($E$3:$E$165=E46)*$F$3:$F$165)</f>
        <v/>
      </c>
      <c r="I46" s="12">
        <f>SUMPRODUCT(($D$3:$D$165=D46)*$F$3:$F$165*$G$3:$G$165)/SUMPRODUCT(($D$3:$D$165=D46)*$F$3:$F$165)</f>
        <v/>
      </c>
      <c r="J46" s="12">
        <f>SUMPRODUCT(($C$3:$C$165=C46)*$F$3:$F$165*$G$3:$G$165)/SUMPRODUCT(($C$3:$C$165=C46)*$F$3:$F$165)</f>
        <v/>
      </c>
      <c r="K46" s="17">
        <f>I46/J46</f>
        <v/>
      </c>
      <c r="L46" s="17">
        <f>H46/I46</f>
        <v/>
      </c>
      <c r="M46" s="17">
        <f>G46/H46</f>
        <v/>
      </c>
      <c r="N46" s="18">
        <f>INDEX('3_PRA_SWES_L1_Input'!$D$4:$D$14,MATCH($C46,'3_PRA_SWES_L1_Input'!$A$4:$A$14,0))*K46</f>
        <v/>
      </c>
      <c r="O46" s="18">
        <f>N46*L46</f>
        <v/>
      </c>
      <c r="P46" s="18">
        <f>O46*M46</f>
        <v/>
      </c>
      <c r="Q46" s="18">
        <f>INDEX('3_PRA_SWES_L1_Input'!$E$4:$E$14,MATCH($C46,'3_PRA_SWES_L1_Input'!$A$4:$A$14,0))*K46*L46*M46</f>
        <v/>
      </c>
      <c r="R46" s="18">
        <f>INDEX('3_PRA_SWES_L1_Input'!$G$4:$G$14,MATCH($C46,'3_PRA_SWES_L1_Input'!$A$4:$A$14,0))*K46</f>
        <v/>
      </c>
      <c r="S46" s="18">
        <f>R46*L46</f>
        <v/>
      </c>
      <c r="T46" s="18">
        <f>S46*M46</f>
        <v/>
      </c>
      <c r="U46" s="18">
        <f>INDEX('3_PRA_SWES_L1_Input'!$H$4:$H$14,MATCH($C46,'3_PRA_SWES_L1_Input'!$A$4:$A$14,0))*K46*L46*M46</f>
        <v/>
      </c>
    </row>
    <row r="47">
      <c r="A47" s="8">
        <f>'1_GICS_Structure'!G47</f>
        <v/>
      </c>
      <c r="B47" s="8">
        <f>'1_GICS_Structure'!H47</f>
        <v/>
      </c>
      <c r="C47" s="8">
        <f>'1_GICS_Structure'!A47</f>
        <v/>
      </c>
      <c r="D47" s="8">
        <f>'1_GICS_Structure'!C47</f>
        <v/>
      </c>
      <c r="E47" s="8">
        <f>'1_GICS_Structure'!E47</f>
        <v/>
      </c>
      <c r="F47" s="8">
        <f>'1_GICS_Structure'!J47</f>
        <v/>
      </c>
      <c r="G47" s="12">
        <f>INDEX('2_Damodaran_Betas'!$F$3:$F$97,MATCH('1_GICS_Structure'!I47,'2_Damodaran_Betas'!$A$3:$A$97,0))</f>
        <v/>
      </c>
      <c r="H47" s="12">
        <f>SUMPRODUCT(($E$3:$E$165=E47)*$F$3:$F$165*$G$3:$G$165)/SUMPRODUCT(($E$3:$E$165=E47)*$F$3:$F$165)</f>
        <v/>
      </c>
      <c r="I47" s="12">
        <f>SUMPRODUCT(($D$3:$D$165=D47)*$F$3:$F$165*$G$3:$G$165)/SUMPRODUCT(($D$3:$D$165=D47)*$F$3:$F$165)</f>
        <v/>
      </c>
      <c r="J47" s="12">
        <f>SUMPRODUCT(($C$3:$C$165=C47)*$F$3:$F$165*$G$3:$G$165)/SUMPRODUCT(($C$3:$C$165=C47)*$F$3:$F$165)</f>
        <v/>
      </c>
      <c r="K47" s="17">
        <f>I47/J47</f>
        <v/>
      </c>
      <c r="L47" s="17">
        <f>H47/I47</f>
        <v/>
      </c>
      <c r="M47" s="17">
        <f>G47/H47</f>
        <v/>
      </c>
      <c r="N47" s="18">
        <f>INDEX('3_PRA_SWES_L1_Input'!$D$4:$D$14,MATCH($C47,'3_PRA_SWES_L1_Input'!$A$4:$A$14,0))*K47</f>
        <v/>
      </c>
      <c r="O47" s="18">
        <f>N47*L47</f>
        <v/>
      </c>
      <c r="P47" s="18">
        <f>O47*M47</f>
        <v/>
      </c>
      <c r="Q47" s="18">
        <f>INDEX('3_PRA_SWES_L1_Input'!$E$4:$E$14,MATCH($C47,'3_PRA_SWES_L1_Input'!$A$4:$A$14,0))*K47*L47*M47</f>
        <v/>
      </c>
      <c r="R47" s="18">
        <f>INDEX('3_PRA_SWES_L1_Input'!$G$4:$G$14,MATCH($C47,'3_PRA_SWES_L1_Input'!$A$4:$A$14,0))*K47</f>
        <v/>
      </c>
      <c r="S47" s="18">
        <f>R47*L47</f>
        <v/>
      </c>
      <c r="T47" s="18">
        <f>S47*M47</f>
        <v/>
      </c>
      <c r="U47" s="18">
        <f>INDEX('3_PRA_SWES_L1_Input'!$H$4:$H$14,MATCH($C47,'3_PRA_SWES_L1_Input'!$A$4:$A$14,0))*K47*L47*M47</f>
        <v/>
      </c>
    </row>
    <row r="48">
      <c r="A48" s="8">
        <f>'1_GICS_Structure'!G48</f>
        <v/>
      </c>
      <c r="B48" s="8">
        <f>'1_GICS_Structure'!H48</f>
        <v/>
      </c>
      <c r="C48" s="8">
        <f>'1_GICS_Structure'!A48</f>
        <v/>
      </c>
      <c r="D48" s="8">
        <f>'1_GICS_Structure'!C48</f>
        <v/>
      </c>
      <c r="E48" s="8">
        <f>'1_GICS_Structure'!E48</f>
        <v/>
      </c>
      <c r="F48" s="8">
        <f>'1_GICS_Structure'!J48</f>
        <v/>
      </c>
      <c r="G48" s="12">
        <f>INDEX('2_Damodaran_Betas'!$F$3:$F$97,MATCH('1_GICS_Structure'!I48,'2_Damodaran_Betas'!$A$3:$A$97,0))</f>
        <v/>
      </c>
      <c r="H48" s="12">
        <f>SUMPRODUCT(($E$3:$E$165=E48)*$F$3:$F$165*$G$3:$G$165)/SUMPRODUCT(($E$3:$E$165=E48)*$F$3:$F$165)</f>
        <v/>
      </c>
      <c r="I48" s="12">
        <f>SUMPRODUCT(($D$3:$D$165=D48)*$F$3:$F$165*$G$3:$G$165)/SUMPRODUCT(($D$3:$D$165=D48)*$F$3:$F$165)</f>
        <v/>
      </c>
      <c r="J48" s="12">
        <f>SUMPRODUCT(($C$3:$C$165=C48)*$F$3:$F$165*$G$3:$G$165)/SUMPRODUCT(($C$3:$C$165=C48)*$F$3:$F$165)</f>
        <v/>
      </c>
      <c r="K48" s="17">
        <f>I48/J48</f>
        <v/>
      </c>
      <c r="L48" s="17">
        <f>H48/I48</f>
        <v/>
      </c>
      <c r="M48" s="17">
        <f>G48/H48</f>
        <v/>
      </c>
      <c r="N48" s="18">
        <f>INDEX('3_PRA_SWES_L1_Input'!$D$4:$D$14,MATCH($C48,'3_PRA_SWES_L1_Input'!$A$4:$A$14,0))*K48</f>
        <v/>
      </c>
      <c r="O48" s="18">
        <f>N48*L48</f>
        <v/>
      </c>
      <c r="P48" s="18">
        <f>O48*M48</f>
        <v/>
      </c>
      <c r="Q48" s="18">
        <f>INDEX('3_PRA_SWES_L1_Input'!$E$4:$E$14,MATCH($C48,'3_PRA_SWES_L1_Input'!$A$4:$A$14,0))*K48*L48*M48</f>
        <v/>
      </c>
      <c r="R48" s="18">
        <f>INDEX('3_PRA_SWES_L1_Input'!$G$4:$G$14,MATCH($C48,'3_PRA_SWES_L1_Input'!$A$4:$A$14,0))*K48</f>
        <v/>
      </c>
      <c r="S48" s="18">
        <f>R48*L48</f>
        <v/>
      </c>
      <c r="T48" s="18">
        <f>S48*M48</f>
        <v/>
      </c>
      <c r="U48" s="18">
        <f>INDEX('3_PRA_SWES_L1_Input'!$H$4:$H$14,MATCH($C48,'3_PRA_SWES_L1_Input'!$A$4:$A$14,0))*K48*L48*M48</f>
        <v/>
      </c>
    </row>
    <row r="49">
      <c r="A49" s="8">
        <f>'1_GICS_Structure'!G49</f>
        <v/>
      </c>
      <c r="B49" s="8">
        <f>'1_GICS_Structure'!H49</f>
        <v/>
      </c>
      <c r="C49" s="8">
        <f>'1_GICS_Structure'!A49</f>
        <v/>
      </c>
      <c r="D49" s="8">
        <f>'1_GICS_Structure'!C49</f>
        <v/>
      </c>
      <c r="E49" s="8">
        <f>'1_GICS_Structure'!E49</f>
        <v/>
      </c>
      <c r="F49" s="8">
        <f>'1_GICS_Structure'!J49</f>
        <v/>
      </c>
      <c r="G49" s="12">
        <f>INDEX('2_Damodaran_Betas'!$F$3:$F$97,MATCH('1_GICS_Structure'!I49,'2_Damodaran_Betas'!$A$3:$A$97,0))</f>
        <v/>
      </c>
      <c r="H49" s="12">
        <f>SUMPRODUCT(($E$3:$E$165=E49)*$F$3:$F$165*$G$3:$G$165)/SUMPRODUCT(($E$3:$E$165=E49)*$F$3:$F$165)</f>
        <v/>
      </c>
      <c r="I49" s="12">
        <f>SUMPRODUCT(($D$3:$D$165=D49)*$F$3:$F$165*$G$3:$G$165)/SUMPRODUCT(($D$3:$D$165=D49)*$F$3:$F$165)</f>
        <v/>
      </c>
      <c r="J49" s="12">
        <f>SUMPRODUCT(($C$3:$C$165=C49)*$F$3:$F$165*$G$3:$G$165)/SUMPRODUCT(($C$3:$C$165=C49)*$F$3:$F$165)</f>
        <v/>
      </c>
      <c r="K49" s="17">
        <f>I49/J49</f>
        <v/>
      </c>
      <c r="L49" s="17">
        <f>H49/I49</f>
        <v/>
      </c>
      <c r="M49" s="17">
        <f>G49/H49</f>
        <v/>
      </c>
      <c r="N49" s="18">
        <f>INDEX('3_PRA_SWES_L1_Input'!$D$4:$D$14,MATCH($C49,'3_PRA_SWES_L1_Input'!$A$4:$A$14,0))*K49</f>
        <v/>
      </c>
      <c r="O49" s="18">
        <f>N49*L49</f>
        <v/>
      </c>
      <c r="P49" s="18">
        <f>O49*M49</f>
        <v/>
      </c>
      <c r="Q49" s="18">
        <f>INDEX('3_PRA_SWES_L1_Input'!$E$4:$E$14,MATCH($C49,'3_PRA_SWES_L1_Input'!$A$4:$A$14,0))*K49*L49*M49</f>
        <v/>
      </c>
      <c r="R49" s="18">
        <f>INDEX('3_PRA_SWES_L1_Input'!$G$4:$G$14,MATCH($C49,'3_PRA_SWES_L1_Input'!$A$4:$A$14,0))*K49</f>
        <v/>
      </c>
      <c r="S49" s="18">
        <f>R49*L49</f>
        <v/>
      </c>
      <c r="T49" s="18">
        <f>S49*M49</f>
        <v/>
      </c>
      <c r="U49" s="18">
        <f>INDEX('3_PRA_SWES_L1_Input'!$H$4:$H$14,MATCH($C49,'3_PRA_SWES_L1_Input'!$A$4:$A$14,0))*K49*L49*M49</f>
        <v/>
      </c>
    </row>
    <row r="50">
      <c r="A50" s="8">
        <f>'1_GICS_Structure'!G50</f>
        <v/>
      </c>
      <c r="B50" s="8">
        <f>'1_GICS_Structure'!H50</f>
        <v/>
      </c>
      <c r="C50" s="8">
        <f>'1_GICS_Structure'!A50</f>
        <v/>
      </c>
      <c r="D50" s="8">
        <f>'1_GICS_Structure'!C50</f>
        <v/>
      </c>
      <c r="E50" s="8">
        <f>'1_GICS_Structure'!E50</f>
        <v/>
      </c>
      <c r="F50" s="8">
        <f>'1_GICS_Structure'!J50</f>
        <v/>
      </c>
      <c r="G50" s="12">
        <f>INDEX('2_Damodaran_Betas'!$F$3:$F$97,MATCH('1_GICS_Structure'!I50,'2_Damodaran_Betas'!$A$3:$A$97,0))</f>
        <v/>
      </c>
      <c r="H50" s="12">
        <f>SUMPRODUCT(($E$3:$E$165=E50)*$F$3:$F$165*$G$3:$G$165)/SUMPRODUCT(($E$3:$E$165=E50)*$F$3:$F$165)</f>
        <v/>
      </c>
      <c r="I50" s="12">
        <f>SUMPRODUCT(($D$3:$D$165=D50)*$F$3:$F$165*$G$3:$G$165)/SUMPRODUCT(($D$3:$D$165=D50)*$F$3:$F$165)</f>
        <v/>
      </c>
      <c r="J50" s="12">
        <f>SUMPRODUCT(($C$3:$C$165=C50)*$F$3:$F$165*$G$3:$G$165)/SUMPRODUCT(($C$3:$C$165=C50)*$F$3:$F$165)</f>
        <v/>
      </c>
      <c r="K50" s="17">
        <f>I50/J50</f>
        <v/>
      </c>
      <c r="L50" s="17">
        <f>H50/I50</f>
        <v/>
      </c>
      <c r="M50" s="17">
        <f>G50/H50</f>
        <v/>
      </c>
      <c r="N50" s="18">
        <f>INDEX('3_PRA_SWES_L1_Input'!$D$4:$D$14,MATCH($C50,'3_PRA_SWES_L1_Input'!$A$4:$A$14,0))*K50</f>
        <v/>
      </c>
      <c r="O50" s="18">
        <f>N50*L50</f>
        <v/>
      </c>
      <c r="P50" s="18">
        <f>O50*M50</f>
        <v/>
      </c>
      <c r="Q50" s="18">
        <f>INDEX('3_PRA_SWES_L1_Input'!$E$4:$E$14,MATCH($C50,'3_PRA_SWES_L1_Input'!$A$4:$A$14,0))*K50*L50*M50</f>
        <v/>
      </c>
      <c r="R50" s="18">
        <f>INDEX('3_PRA_SWES_L1_Input'!$G$4:$G$14,MATCH($C50,'3_PRA_SWES_L1_Input'!$A$4:$A$14,0))*K50</f>
        <v/>
      </c>
      <c r="S50" s="18">
        <f>R50*L50</f>
        <v/>
      </c>
      <c r="T50" s="18">
        <f>S50*M50</f>
        <v/>
      </c>
      <c r="U50" s="18">
        <f>INDEX('3_PRA_SWES_L1_Input'!$H$4:$H$14,MATCH($C50,'3_PRA_SWES_L1_Input'!$A$4:$A$14,0))*K50*L50*M50</f>
        <v/>
      </c>
    </row>
    <row r="51">
      <c r="A51" s="8">
        <f>'1_GICS_Structure'!G51</f>
        <v/>
      </c>
      <c r="B51" s="8">
        <f>'1_GICS_Structure'!H51</f>
        <v/>
      </c>
      <c r="C51" s="8">
        <f>'1_GICS_Structure'!A51</f>
        <v/>
      </c>
      <c r="D51" s="8">
        <f>'1_GICS_Structure'!C51</f>
        <v/>
      </c>
      <c r="E51" s="8">
        <f>'1_GICS_Structure'!E51</f>
        <v/>
      </c>
      <c r="F51" s="8">
        <f>'1_GICS_Structure'!J51</f>
        <v/>
      </c>
      <c r="G51" s="12">
        <f>INDEX('2_Damodaran_Betas'!$F$3:$F$97,MATCH('1_GICS_Structure'!I51,'2_Damodaran_Betas'!$A$3:$A$97,0))</f>
        <v/>
      </c>
      <c r="H51" s="12">
        <f>SUMPRODUCT(($E$3:$E$165=E51)*$F$3:$F$165*$G$3:$G$165)/SUMPRODUCT(($E$3:$E$165=E51)*$F$3:$F$165)</f>
        <v/>
      </c>
      <c r="I51" s="12">
        <f>SUMPRODUCT(($D$3:$D$165=D51)*$F$3:$F$165*$G$3:$G$165)/SUMPRODUCT(($D$3:$D$165=D51)*$F$3:$F$165)</f>
        <v/>
      </c>
      <c r="J51" s="12">
        <f>SUMPRODUCT(($C$3:$C$165=C51)*$F$3:$F$165*$G$3:$G$165)/SUMPRODUCT(($C$3:$C$165=C51)*$F$3:$F$165)</f>
        <v/>
      </c>
      <c r="K51" s="17">
        <f>I51/J51</f>
        <v/>
      </c>
      <c r="L51" s="17">
        <f>H51/I51</f>
        <v/>
      </c>
      <c r="M51" s="17">
        <f>G51/H51</f>
        <v/>
      </c>
      <c r="N51" s="18">
        <f>INDEX('3_PRA_SWES_L1_Input'!$D$4:$D$14,MATCH($C51,'3_PRA_SWES_L1_Input'!$A$4:$A$14,0))*K51</f>
        <v/>
      </c>
      <c r="O51" s="18">
        <f>N51*L51</f>
        <v/>
      </c>
      <c r="P51" s="18">
        <f>O51*M51</f>
        <v/>
      </c>
      <c r="Q51" s="18">
        <f>INDEX('3_PRA_SWES_L1_Input'!$E$4:$E$14,MATCH($C51,'3_PRA_SWES_L1_Input'!$A$4:$A$14,0))*K51*L51*M51</f>
        <v/>
      </c>
      <c r="R51" s="18">
        <f>INDEX('3_PRA_SWES_L1_Input'!$G$4:$G$14,MATCH($C51,'3_PRA_SWES_L1_Input'!$A$4:$A$14,0))*K51</f>
        <v/>
      </c>
      <c r="S51" s="18">
        <f>R51*L51</f>
        <v/>
      </c>
      <c r="T51" s="18">
        <f>S51*M51</f>
        <v/>
      </c>
      <c r="U51" s="18">
        <f>INDEX('3_PRA_SWES_L1_Input'!$H$4:$H$14,MATCH($C51,'3_PRA_SWES_L1_Input'!$A$4:$A$14,0))*K51*L51*M51</f>
        <v/>
      </c>
    </row>
    <row r="52">
      <c r="A52" s="8">
        <f>'1_GICS_Structure'!G52</f>
        <v/>
      </c>
      <c r="B52" s="8">
        <f>'1_GICS_Structure'!H52</f>
        <v/>
      </c>
      <c r="C52" s="8">
        <f>'1_GICS_Structure'!A52</f>
        <v/>
      </c>
      <c r="D52" s="8">
        <f>'1_GICS_Structure'!C52</f>
        <v/>
      </c>
      <c r="E52" s="8">
        <f>'1_GICS_Structure'!E52</f>
        <v/>
      </c>
      <c r="F52" s="8">
        <f>'1_GICS_Structure'!J52</f>
        <v/>
      </c>
      <c r="G52" s="12">
        <f>INDEX('2_Damodaran_Betas'!$F$3:$F$97,MATCH('1_GICS_Structure'!I52,'2_Damodaran_Betas'!$A$3:$A$97,0))</f>
        <v/>
      </c>
      <c r="H52" s="12">
        <f>SUMPRODUCT(($E$3:$E$165=E52)*$F$3:$F$165*$G$3:$G$165)/SUMPRODUCT(($E$3:$E$165=E52)*$F$3:$F$165)</f>
        <v/>
      </c>
      <c r="I52" s="12">
        <f>SUMPRODUCT(($D$3:$D$165=D52)*$F$3:$F$165*$G$3:$G$165)/SUMPRODUCT(($D$3:$D$165=D52)*$F$3:$F$165)</f>
        <v/>
      </c>
      <c r="J52" s="12">
        <f>SUMPRODUCT(($C$3:$C$165=C52)*$F$3:$F$165*$G$3:$G$165)/SUMPRODUCT(($C$3:$C$165=C52)*$F$3:$F$165)</f>
        <v/>
      </c>
      <c r="K52" s="17">
        <f>I52/J52</f>
        <v/>
      </c>
      <c r="L52" s="17">
        <f>H52/I52</f>
        <v/>
      </c>
      <c r="M52" s="17">
        <f>G52/H52</f>
        <v/>
      </c>
      <c r="N52" s="18">
        <f>INDEX('3_PRA_SWES_L1_Input'!$D$4:$D$14,MATCH($C52,'3_PRA_SWES_L1_Input'!$A$4:$A$14,0))*K52</f>
        <v/>
      </c>
      <c r="O52" s="18">
        <f>N52*L52</f>
        <v/>
      </c>
      <c r="P52" s="18">
        <f>O52*M52</f>
        <v/>
      </c>
      <c r="Q52" s="18">
        <f>INDEX('3_PRA_SWES_L1_Input'!$E$4:$E$14,MATCH($C52,'3_PRA_SWES_L1_Input'!$A$4:$A$14,0))*K52*L52*M52</f>
        <v/>
      </c>
      <c r="R52" s="18">
        <f>INDEX('3_PRA_SWES_L1_Input'!$G$4:$G$14,MATCH($C52,'3_PRA_SWES_L1_Input'!$A$4:$A$14,0))*K52</f>
        <v/>
      </c>
      <c r="S52" s="18">
        <f>R52*L52</f>
        <v/>
      </c>
      <c r="T52" s="18">
        <f>S52*M52</f>
        <v/>
      </c>
      <c r="U52" s="18">
        <f>INDEX('3_PRA_SWES_L1_Input'!$H$4:$H$14,MATCH($C52,'3_PRA_SWES_L1_Input'!$A$4:$A$14,0))*K52*L52*M52</f>
        <v/>
      </c>
    </row>
    <row r="53">
      <c r="A53" s="8">
        <f>'1_GICS_Structure'!G53</f>
        <v/>
      </c>
      <c r="B53" s="8">
        <f>'1_GICS_Structure'!H53</f>
        <v/>
      </c>
      <c r="C53" s="8">
        <f>'1_GICS_Structure'!A53</f>
        <v/>
      </c>
      <c r="D53" s="8">
        <f>'1_GICS_Structure'!C53</f>
        <v/>
      </c>
      <c r="E53" s="8">
        <f>'1_GICS_Structure'!E53</f>
        <v/>
      </c>
      <c r="F53" s="8">
        <f>'1_GICS_Structure'!J53</f>
        <v/>
      </c>
      <c r="G53" s="12">
        <f>INDEX('2_Damodaran_Betas'!$F$3:$F$97,MATCH('1_GICS_Structure'!I53,'2_Damodaran_Betas'!$A$3:$A$97,0))</f>
        <v/>
      </c>
      <c r="H53" s="12">
        <f>SUMPRODUCT(($E$3:$E$165=E53)*$F$3:$F$165*$G$3:$G$165)/SUMPRODUCT(($E$3:$E$165=E53)*$F$3:$F$165)</f>
        <v/>
      </c>
      <c r="I53" s="12">
        <f>SUMPRODUCT(($D$3:$D$165=D53)*$F$3:$F$165*$G$3:$G$165)/SUMPRODUCT(($D$3:$D$165=D53)*$F$3:$F$165)</f>
        <v/>
      </c>
      <c r="J53" s="12">
        <f>SUMPRODUCT(($C$3:$C$165=C53)*$F$3:$F$165*$G$3:$G$165)/SUMPRODUCT(($C$3:$C$165=C53)*$F$3:$F$165)</f>
        <v/>
      </c>
      <c r="K53" s="17">
        <f>I53/J53</f>
        <v/>
      </c>
      <c r="L53" s="17">
        <f>H53/I53</f>
        <v/>
      </c>
      <c r="M53" s="17">
        <f>G53/H53</f>
        <v/>
      </c>
      <c r="N53" s="18">
        <f>INDEX('3_PRA_SWES_L1_Input'!$D$4:$D$14,MATCH($C53,'3_PRA_SWES_L1_Input'!$A$4:$A$14,0))*K53</f>
        <v/>
      </c>
      <c r="O53" s="18">
        <f>N53*L53</f>
        <v/>
      </c>
      <c r="P53" s="18">
        <f>O53*M53</f>
        <v/>
      </c>
      <c r="Q53" s="18">
        <f>INDEX('3_PRA_SWES_L1_Input'!$E$4:$E$14,MATCH($C53,'3_PRA_SWES_L1_Input'!$A$4:$A$14,0))*K53*L53*M53</f>
        <v/>
      </c>
      <c r="R53" s="18">
        <f>INDEX('3_PRA_SWES_L1_Input'!$G$4:$G$14,MATCH($C53,'3_PRA_SWES_L1_Input'!$A$4:$A$14,0))*K53</f>
        <v/>
      </c>
      <c r="S53" s="18">
        <f>R53*L53</f>
        <v/>
      </c>
      <c r="T53" s="18">
        <f>S53*M53</f>
        <v/>
      </c>
      <c r="U53" s="18">
        <f>INDEX('3_PRA_SWES_L1_Input'!$H$4:$H$14,MATCH($C53,'3_PRA_SWES_L1_Input'!$A$4:$A$14,0))*K53*L53*M53</f>
        <v/>
      </c>
    </row>
    <row r="54">
      <c r="A54" s="8">
        <f>'1_GICS_Structure'!G54</f>
        <v/>
      </c>
      <c r="B54" s="8">
        <f>'1_GICS_Structure'!H54</f>
        <v/>
      </c>
      <c r="C54" s="8">
        <f>'1_GICS_Structure'!A54</f>
        <v/>
      </c>
      <c r="D54" s="8">
        <f>'1_GICS_Structure'!C54</f>
        <v/>
      </c>
      <c r="E54" s="8">
        <f>'1_GICS_Structure'!E54</f>
        <v/>
      </c>
      <c r="F54" s="8">
        <f>'1_GICS_Structure'!J54</f>
        <v/>
      </c>
      <c r="G54" s="12">
        <f>INDEX('2_Damodaran_Betas'!$F$3:$F$97,MATCH('1_GICS_Structure'!I54,'2_Damodaran_Betas'!$A$3:$A$97,0))</f>
        <v/>
      </c>
      <c r="H54" s="12">
        <f>SUMPRODUCT(($E$3:$E$165=E54)*$F$3:$F$165*$G$3:$G$165)/SUMPRODUCT(($E$3:$E$165=E54)*$F$3:$F$165)</f>
        <v/>
      </c>
      <c r="I54" s="12">
        <f>SUMPRODUCT(($D$3:$D$165=D54)*$F$3:$F$165*$G$3:$G$165)/SUMPRODUCT(($D$3:$D$165=D54)*$F$3:$F$165)</f>
        <v/>
      </c>
      <c r="J54" s="12">
        <f>SUMPRODUCT(($C$3:$C$165=C54)*$F$3:$F$165*$G$3:$G$165)/SUMPRODUCT(($C$3:$C$165=C54)*$F$3:$F$165)</f>
        <v/>
      </c>
      <c r="K54" s="17">
        <f>I54/J54</f>
        <v/>
      </c>
      <c r="L54" s="17">
        <f>H54/I54</f>
        <v/>
      </c>
      <c r="M54" s="17">
        <f>G54/H54</f>
        <v/>
      </c>
      <c r="N54" s="18">
        <f>INDEX('3_PRA_SWES_L1_Input'!$D$4:$D$14,MATCH($C54,'3_PRA_SWES_L1_Input'!$A$4:$A$14,0))*K54</f>
        <v/>
      </c>
      <c r="O54" s="18">
        <f>N54*L54</f>
        <v/>
      </c>
      <c r="P54" s="18">
        <f>O54*M54</f>
        <v/>
      </c>
      <c r="Q54" s="18">
        <f>INDEX('3_PRA_SWES_L1_Input'!$E$4:$E$14,MATCH($C54,'3_PRA_SWES_L1_Input'!$A$4:$A$14,0))*K54*L54*M54</f>
        <v/>
      </c>
      <c r="R54" s="18">
        <f>INDEX('3_PRA_SWES_L1_Input'!$G$4:$G$14,MATCH($C54,'3_PRA_SWES_L1_Input'!$A$4:$A$14,0))*K54</f>
        <v/>
      </c>
      <c r="S54" s="18">
        <f>R54*L54</f>
        <v/>
      </c>
      <c r="T54" s="18">
        <f>S54*M54</f>
        <v/>
      </c>
      <c r="U54" s="18">
        <f>INDEX('3_PRA_SWES_L1_Input'!$H$4:$H$14,MATCH($C54,'3_PRA_SWES_L1_Input'!$A$4:$A$14,0))*K54*L54*M54</f>
        <v/>
      </c>
    </row>
    <row r="55">
      <c r="A55" s="8">
        <f>'1_GICS_Structure'!G55</f>
        <v/>
      </c>
      <c r="B55" s="8">
        <f>'1_GICS_Structure'!H55</f>
        <v/>
      </c>
      <c r="C55" s="8">
        <f>'1_GICS_Structure'!A55</f>
        <v/>
      </c>
      <c r="D55" s="8">
        <f>'1_GICS_Structure'!C55</f>
        <v/>
      </c>
      <c r="E55" s="8">
        <f>'1_GICS_Structure'!E55</f>
        <v/>
      </c>
      <c r="F55" s="8">
        <f>'1_GICS_Structure'!J55</f>
        <v/>
      </c>
      <c r="G55" s="12">
        <f>INDEX('2_Damodaran_Betas'!$F$3:$F$97,MATCH('1_GICS_Structure'!I55,'2_Damodaran_Betas'!$A$3:$A$97,0))</f>
        <v/>
      </c>
      <c r="H55" s="12">
        <f>SUMPRODUCT(($E$3:$E$165=E55)*$F$3:$F$165*$G$3:$G$165)/SUMPRODUCT(($E$3:$E$165=E55)*$F$3:$F$165)</f>
        <v/>
      </c>
      <c r="I55" s="12">
        <f>SUMPRODUCT(($D$3:$D$165=D55)*$F$3:$F$165*$G$3:$G$165)/SUMPRODUCT(($D$3:$D$165=D55)*$F$3:$F$165)</f>
        <v/>
      </c>
      <c r="J55" s="12">
        <f>SUMPRODUCT(($C$3:$C$165=C55)*$F$3:$F$165*$G$3:$G$165)/SUMPRODUCT(($C$3:$C$165=C55)*$F$3:$F$165)</f>
        <v/>
      </c>
      <c r="K55" s="17">
        <f>I55/J55</f>
        <v/>
      </c>
      <c r="L55" s="17">
        <f>H55/I55</f>
        <v/>
      </c>
      <c r="M55" s="17">
        <f>G55/H55</f>
        <v/>
      </c>
      <c r="N55" s="18">
        <f>INDEX('3_PRA_SWES_L1_Input'!$D$4:$D$14,MATCH($C55,'3_PRA_SWES_L1_Input'!$A$4:$A$14,0))*K55</f>
        <v/>
      </c>
      <c r="O55" s="18">
        <f>N55*L55</f>
        <v/>
      </c>
      <c r="P55" s="18">
        <f>O55*M55</f>
        <v/>
      </c>
      <c r="Q55" s="18">
        <f>INDEX('3_PRA_SWES_L1_Input'!$E$4:$E$14,MATCH($C55,'3_PRA_SWES_L1_Input'!$A$4:$A$14,0))*K55*L55*M55</f>
        <v/>
      </c>
      <c r="R55" s="18">
        <f>INDEX('3_PRA_SWES_L1_Input'!$G$4:$G$14,MATCH($C55,'3_PRA_SWES_L1_Input'!$A$4:$A$14,0))*K55</f>
        <v/>
      </c>
      <c r="S55" s="18">
        <f>R55*L55</f>
        <v/>
      </c>
      <c r="T55" s="18">
        <f>S55*M55</f>
        <v/>
      </c>
      <c r="U55" s="18">
        <f>INDEX('3_PRA_SWES_L1_Input'!$H$4:$H$14,MATCH($C55,'3_PRA_SWES_L1_Input'!$A$4:$A$14,0))*K55*L55*M55</f>
        <v/>
      </c>
    </row>
    <row r="56">
      <c r="A56" s="8">
        <f>'1_GICS_Structure'!G56</f>
        <v/>
      </c>
      <c r="B56" s="8">
        <f>'1_GICS_Structure'!H56</f>
        <v/>
      </c>
      <c r="C56" s="8">
        <f>'1_GICS_Structure'!A56</f>
        <v/>
      </c>
      <c r="D56" s="8">
        <f>'1_GICS_Structure'!C56</f>
        <v/>
      </c>
      <c r="E56" s="8">
        <f>'1_GICS_Structure'!E56</f>
        <v/>
      </c>
      <c r="F56" s="8">
        <f>'1_GICS_Structure'!J56</f>
        <v/>
      </c>
      <c r="G56" s="12">
        <f>INDEX('2_Damodaran_Betas'!$F$3:$F$97,MATCH('1_GICS_Structure'!I56,'2_Damodaran_Betas'!$A$3:$A$97,0))</f>
        <v/>
      </c>
      <c r="H56" s="12">
        <f>SUMPRODUCT(($E$3:$E$165=E56)*$F$3:$F$165*$G$3:$G$165)/SUMPRODUCT(($E$3:$E$165=E56)*$F$3:$F$165)</f>
        <v/>
      </c>
      <c r="I56" s="12">
        <f>SUMPRODUCT(($D$3:$D$165=D56)*$F$3:$F$165*$G$3:$G$165)/SUMPRODUCT(($D$3:$D$165=D56)*$F$3:$F$165)</f>
        <v/>
      </c>
      <c r="J56" s="12">
        <f>SUMPRODUCT(($C$3:$C$165=C56)*$F$3:$F$165*$G$3:$G$165)/SUMPRODUCT(($C$3:$C$165=C56)*$F$3:$F$165)</f>
        <v/>
      </c>
      <c r="K56" s="17">
        <f>I56/J56</f>
        <v/>
      </c>
      <c r="L56" s="17">
        <f>H56/I56</f>
        <v/>
      </c>
      <c r="M56" s="17">
        <f>G56/H56</f>
        <v/>
      </c>
      <c r="N56" s="18">
        <f>INDEX('3_PRA_SWES_L1_Input'!$D$4:$D$14,MATCH($C56,'3_PRA_SWES_L1_Input'!$A$4:$A$14,0))*K56</f>
        <v/>
      </c>
      <c r="O56" s="18">
        <f>N56*L56</f>
        <v/>
      </c>
      <c r="P56" s="18">
        <f>O56*M56</f>
        <v/>
      </c>
      <c r="Q56" s="18">
        <f>INDEX('3_PRA_SWES_L1_Input'!$E$4:$E$14,MATCH($C56,'3_PRA_SWES_L1_Input'!$A$4:$A$14,0))*K56*L56*M56</f>
        <v/>
      </c>
      <c r="R56" s="18">
        <f>INDEX('3_PRA_SWES_L1_Input'!$G$4:$G$14,MATCH($C56,'3_PRA_SWES_L1_Input'!$A$4:$A$14,0))*K56</f>
        <v/>
      </c>
      <c r="S56" s="18">
        <f>R56*L56</f>
        <v/>
      </c>
      <c r="T56" s="18">
        <f>S56*M56</f>
        <v/>
      </c>
      <c r="U56" s="18">
        <f>INDEX('3_PRA_SWES_L1_Input'!$H$4:$H$14,MATCH($C56,'3_PRA_SWES_L1_Input'!$A$4:$A$14,0))*K56*L56*M56</f>
        <v/>
      </c>
    </row>
    <row r="57">
      <c r="A57" s="8">
        <f>'1_GICS_Structure'!G57</f>
        <v/>
      </c>
      <c r="B57" s="8">
        <f>'1_GICS_Structure'!H57</f>
        <v/>
      </c>
      <c r="C57" s="8">
        <f>'1_GICS_Structure'!A57</f>
        <v/>
      </c>
      <c r="D57" s="8">
        <f>'1_GICS_Structure'!C57</f>
        <v/>
      </c>
      <c r="E57" s="8">
        <f>'1_GICS_Structure'!E57</f>
        <v/>
      </c>
      <c r="F57" s="8">
        <f>'1_GICS_Structure'!J57</f>
        <v/>
      </c>
      <c r="G57" s="12">
        <f>INDEX('2_Damodaran_Betas'!$F$3:$F$97,MATCH('1_GICS_Structure'!I57,'2_Damodaran_Betas'!$A$3:$A$97,0))</f>
        <v/>
      </c>
      <c r="H57" s="12">
        <f>SUMPRODUCT(($E$3:$E$165=E57)*$F$3:$F$165*$G$3:$G$165)/SUMPRODUCT(($E$3:$E$165=E57)*$F$3:$F$165)</f>
        <v/>
      </c>
      <c r="I57" s="12">
        <f>SUMPRODUCT(($D$3:$D$165=D57)*$F$3:$F$165*$G$3:$G$165)/SUMPRODUCT(($D$3:$D$165=D57)*$F$3:$F$165)</f>
        <v/>
      </c>
      <c r="J57" s="12">
        <f>SUMPRODUCT(($C$3:$C$165=C57)*$F$3:$F$165*$G$3:$G$165)/SUMPRODUCT(($C$3:$C$165=C57)*$F$3:$F$165)</f>
        <v/>
      </c>
      <c r="K57" s="17">
        <f>I57/J57</f>
        <v/>
      </c>
      <c r="L57" s="17">
        <f>H57/I57</f>
        <v/>
      </c>
      <c r="M57" s="17">
        <f>G57/H57</f>
        <v/>
      </c>
      <c r="N57" s="18">
        <f>INDEX('3_PRA_SWES_L1_Input'!$D$4:$D$14,MATCH($C57,'3_PRA_SWES_L1_Input'!$A$4:$A$14,0))*K57</f>
        <v/>
      </c>
      <c r="O57" s="18">
        <f>N57*L57</f>
        <v/>
      </c>
      <c r="P57" s="18">
        <f>O57*M57</f>
        <v/>
      </c>
      <c r="Q57" s="18">
        <f>INDEX('3_PRA_SWES_L1_Input'!$E$4:$E$14,MATCH($C57,'3_PRA_SWES_L1_Input'!$A$4:$A$14,0))*K57*L57*M57</f>
        <v/>
      </c>
      <c r="R57" s="18">
        <f>INDEX('3_PRA_SWES_L1_Input'!$G$4:$G$14,MATCH($C57,'3_PRA_SWES_L1_Input'!$A$4:$A$14,0))*K57</f>
        <v/>
      </c>
      <c r="S57" s="18">
        <f>R57*L57</f>
        <v/>
      </c>
      <c r="T57" s="18">
        <f>S57*M57</f>
        <v/>
      </c>
      <c r="U57" s="18">
        <f>INDEX('3_PRA_SWES_L1_Input'!$H$4:$H$14,MATCH($C57,'3_PRA_SWES_L1_Input'!$A$4:$A$14,0))*K57*L57*M57</f>
        <v/>
      </c>
    </row>
    <row r="58">
      <c r="A58" s="8">
        <f>'1_GICS_Structure'!G58</f>
        <v/>
      </c>
      <c r="B58" s="8">
        <f>'1_GICS_Structure'!H58</f>
        <v/>
      </c>
      <c r="C58" s="8">
        <f>'1_GICS_Structure'!A58</f>
        <v/>
      </c>
      <c r="D58" s="8">
        <f>'1_GICS_Structure'!C58</f>
        <v/>
      </c>
      <c r="E58" s="8">
        <f>'1_GICS_Structure'!E58</f>
        <v/>
      </c>
      <c r="F58" s="8">
        <f>'1_GICS_Structure'!J58</f>
        <v/>
      </c>
      <c r="G58" s="12">
        <f>INDEX('2_Damodaran_Betas'!$F$3:$F$97,MATCH('1_GICS_Structure'!I58,'2_Damodaran_Betas'!$A$3:$A$97,0))</f>
        <v/>
      </c>
      <c r="H58" s="12">
        <f>SUMPRODUCT(($E$3:$E$165=E58)*$F$3:$F$165*$G$3:$G$165)/SUMPRODUCT(($E$3:$E$165=E58)*$F$3:$F$165)</f>
        <v/>
      </c>
      <c r="I58" s="12">
        <f>SUMPRODUCT(($D$3:$D$165=D58)*$F$3:$F$165*$G$3:$G$165)/SUMPRODUCT(($D$3:$D$165=D58)*$F$3:$F$165)</f>
        <v/>
      </c>
      <c r="J58" s="12">
        <f>SUMPRODUCT(($C$3:$C$165=C58)*$F$3:$F$165*$G$3:$G$165)/SUMPRODUCT(($C$3:$C$165=C58)*$F$3:$F$165)</f>
        <v/>
      </c>
      <c r="K58" s="17">
        <f>I58/J58</f>
        <v/>
      </c>
      <c r="L58" s="17">
        <f>H58/I58</f>
        <v/>
      </c>
      <c r="M58" s="17">
        <f>G58/H58</f>
        <v/>
      </c>
      <c r="N58" s="18">
        <f>INDEX('3_PRA_SWES_L1_Input'!$D$4:$D$14,MATCH($C58,'3_PRA_SWES_L1_Input'!$A$4:$A$14,0))*K58</f>
        <v/>
      </c>
      <c r="O58" s="18">
        <f>N58*L58</f>
        <v/>
      </c>
      <c r="P58" s="18">
        <f>O58*M58</f>
        <v/>
      </c>
      <c r="Q58" s="18">
        <f>INDEX('3_PRA_SWES_L1_Input'!$E$4:$E$14,MATCH($C58,'3_PRA_SWES_L1_Input'!$A$4:$A$14,0))*K58*L58*M58</f>
        <v/>
      </c>
      <c r="R58" s="18">
        <f>INDEX('3_PRA_SWES_L1_Input'!$G$4:$G$14,MATCH($C58,'3_PRA_SWES_L1_Input'!$A$4:$A$14,0))*K58</f>
        <v/>
      </c>
      <c r="S58" s="18">
        <f>R58*L58</f>
        <v/>
      </c>
      <c r="T58" s="18">
        <f>S58*M58</f>
        <v/>
      </c>
      <c r="U58" s="18">
        <f>INDEX('3_PRA_SWES_L1_Input'!$H$4:$H$14,MATCH($C58,'3_PRA_SWES_L1_Input'!$A$4:$A$14,0))*K58*L58*M58</f>
        <v/>
      </c>
    </row>
    <row r="59">
      <c r="A59" s="8">
        <f>'1_GICS_Structure'!G59</f>
        <v/>
      </c>
      <c r="B59" s="8">
        <f>'1_GICS_Structure'!H59</f>
        <v/>
      </c>
      <c r="C59" s="8">
        <f>'1_GICS_Structure'!A59</f>
        <v/>
      </c>
      <c r="D59" s="8">
        <f>'1_GICS_Structure'!C59</f>
        <v/>
      </c>
      <c r="E59" s="8">
        <f>'1_GICS_Structure'!E59</f>
        <v/>
      </c>
      <c r="F59" s="8">
        <f>'1_GICS_Structure'!J59</f>
        <v/>
      </c>
      <c r="G59" s="12">
        <f>INDEX('2_Damodaran_Betas'!$F$3:$F$97,MATCH('1_GICS_Structure'!I59,'2_Damodaran_Betas'!$A$3:$A$97,0))</f>
        <v/>
      </c>
      <c r="H59" s="12">
        <f>SUMPRODUCT(($E$3:$E$165=E59)*$F$3:$F$165*$G$3:$G$165)/SUMPRODUCT(($E$3:$E$165=E59)*$F$3:$F$165)</f>
        <v/>
      </c>
      <c r="I59" s="12">
        <f>SUMPRODUCT(($D$3:$D$165=D59)*$F$3:$F$165*$G$3:$G$165)/SUMPRODUCT(($D$3:$D$165=D59)*$F$3:$F$165)</f>
        <v/>
      </c>
      <c r="J59" s="12">
        <f>SUMPRODUCT(($C$3:$C$165=C59)*$F$3:$F$165*$G$3:$G$165)/SUMPRODUCT(($C$3:$C$165=C59)*$F$3:$F$165)</f>
        <v/>
      </c>
      <c r="K59" s="17">
        <f>I59/J59</f>
        <v/>
      </c>
      <c r="L59" s="17">
        <f>H59/I59</f>
        <v/>
      </c>
      <c r="M59" s="17">
        <f>G59/H59</f>
        <v/>
      </c>
      <c r="N59" s="18">
        <f>INDEX('3_PRA_SWES_L1_Input'!$D$4:$D$14,MATCH($C59,'3_PRA_SWES_L1_Input'!$A$4:$A$14,0))*K59</f>
        <v/>
      </c>
      <c r="O59" s="18">
        <f>N59*L59</f>
        <v/>
      </c>
      <c r="P59" s="18">
        <f>O59*M59</f>
        <v/>
      </c>
      <c r="Q59" s="18">
        <f>INDEX('3_PRA_SWES_L1_Input'!$E$4:$E$14,MATCH($C59,'3_PRA_SWES_L1_Input'!$A$4:$A$14,0))*K59*L59*M59</f>
        <v/>
      </c>
      <c r="R59" s="18">
        <f>INDEX('3_PRA_SWES_L1_Input'!$G$4:$G$14,MATCH($C59,'3_PRA_SWES_L1_Input'!$A$4:$A$14,0))*K59</f>
        <v/>
      </c>
      <c r="S59" s="18">
        <f>R59*L59</f>
        <v/>
      </c>
      <c r="T59" s="18">
        <f>S59*M59</f>
        <v/>
      </c>
      <c r="U59" s="18">
        <f>INDEX('3_PRA_SWES_L1_Input'!$H$4:$H$14,MATCH($C59,'3_PRA_SWES_L1_Input'!$A$4:$A$14,0))*K59*L59*M59</f>
        <v/>
      </c>
    </row>
    <row r="60">
      <c r="A60" s="8">
        <f>'1_GICS_Structure'!G60</f>
        <v/>
      </c>
      <c r="B60" s="8">
        <f>'1_GICS_Structure'!H60</f>
        <v/>
      </c>
      <c r="C60" s="8">
        <f>'1_GICS_Structure'!A60</f>
        <v/>
      </c>
      <c r="D60" s="8">
        <f>'1_GICS_Structure'!C60</f>
        <v/>
      </c>
      <c r="E60" s="8">
        <f>'1_GICS_Structure'!E60</f>
        <v/>
      </c>
      <c r="F60" s="8">
        <f>'1_GICS_Structure'!J60</f>
        <v/>
      </c>
      <c r="G60" s="12">
        <f>INDEX('2_Damodaran_Betas'!$F$3:$F$97,MATCH('1_GICS_Structure'!I60,'2_Damodaran_Betas'!$A$3:$A$97,0))</f>
        <v/>
      </c>
      <c r="H60" s="12">
        <f>SUMPRODUCT(($E$3:$E$165=E60)*$F$3:$F$165*$G$3:$G$165)/SUMPRODUCT(($E$3:$E$165=E60)*$F$3:$F$165)</f>
        <v/>
      </c>
      <c r="I60" s="12">
        <f>SUMPRODUCT(($D$3:$D$165=D60)*$F$3:$F$165*$G$3:$G$165)/SUMPRODUCT(($D$3:$D$165=D60)*$F$3:$F$165)</f>
        <v/>
      </c>
      <c r="J60" s="12">
        <f>SUMPRODUCT(($C$3:$C$165=C60)*$F$3:$F$165*$G$3:$G$165)/SUMPRODUCT(($C$3:$C$165=C60)*$F$3:$F$165)</f>
        <v/>
      </c>
      <c r="K60" s="17">
        <f>I60/J60</f>
        <v/>
      </c>
      <c r="L60" s="17">
        <f>H60/I60</f>
        <v/>
      </c>
      <c r="M60" s="17">
        <f>G60/H60</f>
        <v/>
      </c>
      <c r="N60" s="18">
        <f>INDEX('3_PRA_SWES_L1_Input'!$D$4:$D$14,MATCH($C60,'3_PRA_SWES_L1_Input'!$A$4:$A$14,0))*K60</f>
        <v/>
      </c>
      <c r="O60" s="18">
        <f>N60*L60</f>
        <v/>
      </c>
      <c r="P60" s="18">
        <f>O60*M60</f>
        <v/>
      </c>
      <c r="Q60" s="18">
        <f>INDEX('3_PRA_SWES_L1_Input'!$E$4:$E$14,MATCH($C60,'3_PRA_SWES_L1_Input'!$A$4:$A$14,0))*K60*L60*M60</f>
        <v/>
      </c>
      <c r="R60" s="18">
        <f>INDEX('3_PRA_SWES_L1_Input'!$G$4:$G$14,MATCH($C60,'3_PRA_SWES_L1_Input'!$A$4:$A$14,0))*K60</f>
        <v/>
      </c>
      <c r="S60" s="18">
        <f>R60*L60</f>
        <v/>
      </c>
      <c r="T60" s="18">
        <f>S60*M60</f>
        <v/>
      </c>
      <c r="U60" s="18">
        <f>INDEX('3_PRA_SWES_L1_Input'!$H$4:$H$14,MATCH($C60,'3_PRA_SWES_L1_Input'!$A$4:$A$14,0))*K60*L60*M60</f>
        <v/>
      </c>
    </row>
    <row r="61">
      <c r="A61" s="8">
        <f>'1_GICS_Structure'!G61</f>
        <v/>
      </c>
      <c r="B61" s="8">
        <f>'1_GICS_Structure'!H61</f>
        <v/>
      </c>
      <c r="C61" s="8">
        <f>'1_GICS_Structure'!A61</f>
        <v/>
      </c>
      <c r="D61" s="8">
        <f>'1_GICS_Structure'!C61</f>
        <v/>
      </c>
      <c r="E61" s="8">
        <f>'1_GICS_Structure'!E61</f>
        <v/>
      </c>
      <c r="F61" s="8">
        <f>'1_GICS_Structure'!J61</f>
        <v/>
      </c>
      <c r="G61" s="12">
        <f>INDEX('2_Damodaran_Betas'!$F$3:$F$97,MATCH('1_GICS_Structure'!I61,'2_Damodaran_Betas'!$A$3:$A$97,0))</f>
        <v/>
      </c>
      <c r="H61" s="12">
        <f>SUMPRODUCT(($E$3:$E$165=E61)*$F$3:$F$165*$G$3:$G$165)/SUMPRODUCT(($E$3:$E$165=E61)*$F$3:$F$165)</f>
        <v/>
      </c>
      <c r="I61" s="12">
        <f>SUMPRODUCT(($D$3:$D$165=D61)*$F$3:$F$165*$G$3:$G$165)/SUMPRODUCT(($D$3:$D$165=D61)*$F$3:$F$165)</f>
        <v/>
      </c>
      <c r="J61" s="12">
        <f>SUMPRODUCT(($C$3:$C$165=C61)*$F$3:$F$165*$G$3:$G$165)/SUMPRODUCT(($C$3:$C$165=C61)*$F$3:$F$165)</f>
        <v/>
      </c>
      <c r="K61" s="17">
        <f>I61/J61</f>
        <v/>
      </c>
      <c r="L61" s="17">
        <f>H61/I61</f>
        <v/>
      </c>
      <c r="M61" s="17">
        <f>G61/H61</f>
        <v/>
      </c>
      <c r="N61" s="18">
        <f>INDEX('3_PRA_SWES_L1_Input'!$D$4:$D$14,MATCH($C61,'3_PRA_SWES_L1_Input'!$A$4:$A$14,0))*K61</f>
        <v/>
      </c>
      <c r="O61" s="18">
        <f>N61*L61</f>
        <v/>
      </c>
      <c r="P61" s="18">
        <f>O61*M61</f>
        <v/>
      </c>
      <c r="Q61" s="18">
        <f>INDEX('3_PRA_SWES_L1_Input'!$E$4:$E$14,MATCH($C61,'3_PRA_SWES_L1_Input'!$A$4:$A$14,0))*K61*L61*M61</f>
        <v/>
      </c>
      <c r="R61" s="18">
        <f>INDEX('3_PRA_SWES_L1_Input'!$G$4:$G$14,MATCH($C61,'3_PRA_SWES_L1_Input'!$A$4:$A$14,0))*K61</f>
        <v/>
      </c>
      <c r="S61" s="18">
        <f>R61*L61</f>
        <v/>
      </c>
      <c r="T61" s="18">
        <f>S61*M61</f>
        <v/>
      </c>
      <c r="U61" s="18">
        <f>INDEX('3_PRA_SWES_L1_Input'!$H$4:$H$14,MATCH($C61,'3_PRA_SWES_L1_Input'!$A$4:$A$14,0))*K61*L61*M61</f>
        <v/>
      </c>
    </row>
    <row r="62">
      <c r="A62" s="8">
        <f>'1_GICS_Structure'!G62</f>
        <v/>
      </c>
      <c r="B62" s="8">
        <f>'1_GICS_Structure'!H62</f>
        <v/>
      </c>
      <c r="C62" s="8">
        <f>'1_GICS_Structure'!A62</f>
        <v/>
      </c>
      <c r="D62" s="8">
        <f>'1_GICS_Structure'!C62</f>
        <v/>
      </c>
      <c r="E62" s="8">
        <f>'1_GICS_Structure'!E62</f>
        <v/>
      </c>
      <c r="F62" s="8">
        <f>'1_GICS_Structure'!J62</f>
        <v/>
      </c>
      <c r="G62" s="12">
        <f>INDEX('2_Damodaran_Betas'!$F$3:$F$97,MATCH('1_GICS_Structure'!I62,'2_Damodaran_Betas'!$A$3:$A$97,0))</f>
        <v/>
      </c>
      <c r="H62" s="12">
        <f>SUMPRODUCT(($E$3:$E$165=E62)*$F$3:$F$165*$G$3:$G$165)/SUMPRODUCT(($E$3:$E$165=E62)*$F$3:$F$165)</f>
        <v/>
      </c>
      <c r="I62" s="12">
        <f>SUMPRODUCT(($D$3:$D$165=D62)*$F$3:$F$165*$G$3:$G$165)/SUMPRODUCT(($D$3:$D$165=D62)*$F$3:$F$165)</f>
        <v/>
      </c>
      <c r="J62" s="12">
        <f>SUMPRODUCT(($C$3:$C$165=C62)*$F$3:$F$165*$G$3:$G$165)/SUMPRODUCT(($C$3:$C$165=C62)*$F$3:$F$165)</f>
        <v/>
      </c>
      <c r="K62" s="17">
        <f>I62/J62</f>
        <v/>
      </c>
      <c r="L62" s="17">
        <f>H62/I62</f>
        <v/>
      </c>
      <c r="M62" s="17">
        <f>G62/H62</f>
        <v/>
      </c>
      <c r="N62" s="18">
        <f>INDEX('3_PRA_SWES_L1_Input'!$D$4:$D$14,MATCH($C62,'3_PRA_SWES_L1_Input'!$A$4:$A$14,0))*K62</f>
        <v/>
      </c>
      <c r="O62" s="18">
        <f>N62*L62</f>
        <v/>
      </c>
      <c r="P62" s="18">
        <f>O62*M62</f>
        <v/>
      </c>
      <c r="Q62" s="18">
        <f>INDEX('3_PRA_SWES_L1_Input'!$E$4:$E$14,MATCH($C62,'3_PRA_SWES_L1_Input'!$A$4:$A$14,0))*K62*L62*M62</f>
        <v/>
      </c>
      <c r="R62" s="18">
        <f>INDEX('3_PRA_SWES_L1_Input'!$G$4:$G$14,MATCH($C62,'3_PRA_SWES_L1_Input'!$A$4:$A$14,0))*K62</f>
        <v/>
      </c>
      <c r="S62" s="18">
        <f>R62*L62</f>
        <v/>
      </c>
      <c r="T62" s="18">
        <f>S62*M62</f>
        <v/>
      </c>
      <c r="U62" s="18">
        <f>INDEX('3_PRA_SWES_L1_Input'!$H$4:$H$14,MATCH($C62,'3_PRA_SWES_L1_Input'!$A$4:$A$14,0))*K62*L62*M62</f>
        <v/>
      </c>
    </row>
    <row r="63">
      <c r="A63" s="8">
        <f>'1_GICS_Structure'!G63</f>
        <v/>
      </c>
      <c r="B63" s="8">
        <f>'1_GICS_Structure'!H63</f>
        <v/>
      </c>
      <c r="C63" s="8">
        <f>'1_GICS_Structure'!A63</f>
        <v/>
      </c>
      <c r="D63" s="8">
        <f>'1_GICS_Structure'!C63</f>
        <v/>
      </c>
      <c r="E63" s="8">
        <f>'1_GICS_Structure'!E63</f>
        <v/>
      </c>
      <c r="F63" s="8">
        <f>'1_GICS_Structure'!J63</f>
        <v/>
      </c>
      <c r="G63" s="12">
        <f>INDEX('2_Damodaran_Betas'!$F$3:$F$97,MATCH('1_GICS_Structure'!I63,'2_Damodaran_Betas'!$A$3:$A$97,0))</f>
        <v/>
      </c>
      <c r="H63" s="12">
        <f>SUMPRODUCT(($E$3:$E$165=E63)*$F$3:$F$165*$G$3:$G$165)/SUMPRODUCT(($E$3:$E$165=E63)*$F$3:$F$165)</f>
        <v/>
      </c>
      <c r="I63" s="12">
        <f>SUMPRODUCT(($D$3:$D$165=D63)*$F$3:$F$165*$G$3:$G$165)/SUMPRODUCT(($D$3:$D$165=D63)*$F$3:$F$165)</f>
        <v/>
      </c>
      <c r="J63" s="12">
        <f>SUMPRODUCT(($C$3:$C$165=C63)*$F$3:$F$165*$G$3:$G$165)/SUMPRODUCT(($C$3:$C$165=C63)*$F$3:$F$165)</f>
        <v/>
      </c>
      <c r="K63" s="17">
        <f>I63/J63</f>
        <v/>
      </c>
      <c r="L63" s="17">
        <f>H63/I63</f>
        <v/>
      </c>
      <c r="M63" s="17">
        <f>G63/H63</f>
        <v/>
      </c>
      <c r="N63" s="18">
        <f>INDEX('3_PRA_SWES_L1_Input'!$D$4:$D$14,MATCH($C63,'3_PRA_SWES_L1_Input'!$A$4:$A$14,0))*K63</f>
        <v/>
      </c>
      <c r="O63" s="18">
        <f>N63*L63</f>
        <v/>
      </c>
      <c r="P63" s="18">
        <f>O63*M63</f>
        <v/>
      </c>
      <c r="Q63" s="18">
        <f>INDEX('3_PRA_SWES_L1_Input'!$E$4:$E$14,MATCH($C63,'3_PRA_SWES_L1_Input'!$A$4:$A$14,0))*K63*L63*M63</f>
        <v/>
      </c>
      <c r="R63" s="18">
        <f>INDEX('3_PRA_SWES_L1_Input'!$G$4:$G$14,MATCH($C63,'3_PRA_SWES_L1_Input'!$A$4:$A$14,0))*K63</f>
        <v/>
      </c>
      <c r="S63" s="18">
        <f>R63*L63</f>
        <v/>
      </c>
      <c r="T63" s="18">
        <f>S63*M63</f>
        <v/>
      </c>
      <c r="U63" s="18">
        <f>INDEX('3_PRA_SWES_L1_Input'!$H$4:$H$14,MATCH($C63,'3_PRA_SWES_L1_Input'!$A$4:$A$14,0))*K63*L63*M63</f>
        <v/>
      </c>
    </row>
    <row r="64">
      <c r="A64" s="8">
        <f>'1_GICS_Structure'!G64</f>
        <v/>
      </c>
      <c r="B64" s="8">
        <f>'1_GICS_Structure'!H64</f>
        <v/>
      </c>
      <c r="C64" s="8">
        <f>'1_GICS_Structure'!A64</f>
        <v/>
      </c>
      <c r="D64" s="8">
        <f>'1_GICS_Structure'!C64</f>
        <v/>
      </c>
      <c r="E64" s="8">
        <f>'1_GICS_Structure'!E64</f>
        <v/>
      </c>
      <c r="F64" s="8">
        <f>'1_GICS_Structure'!J64</f>
        <v/>
      </c>
      <c r="G64" s="12">
        <f>INDEX('2_Damodaran_Betas'!$F$3:$F$97,MATCH('1_GICS_Structure'!I64,'2_Damodaran_Betas'!$A$3:$A$97,0))</f>
        <v/>
      </c>
      <c r="H64" s="12">
        <f>SUMPRODUCT(($E$3:$E$165=E64)*$F$3:$F$165*$G$3:$G$165)/SUMPRODUCT(($E$3:$E$165=E64)*$F$3:$F$165)</f>
        <v/>
      </c>
      <c r="I64" s="12">
        <f>SUMPRODUCT(($D$3:$D$165=D64)*$F$3:$F$165*$G$3:$G$165)/SUMPRODUCT(($D$3:$D$165=D64)*$F$3:$F$165)</f>
        <v/>
      </c>
      <c r="J64" s="12">
        <f>SUMPRODUCT(($C$3:$C$165=C64)*$F$3:$F$165*$G$3:$G$165)/SUMPRODUCT(($C$3:$C$165=C64)*$F$3:$F$165)</f>
        <v/>
      </c>
      <c r="K64" s="17">
        <f>I64/J64</f>
        <v/>
      </c>
      <c r="L64" s="17">
        <f>H64/I64</f>
        <v/>
      </c>
      <c r="M64" s="17">
        <f>G64/H64</f>
        <v/>
      </c>
      <c r="N64" s="18">
        <f>INDEX('3_PRA_SWES_L1_Input'!$D$4:$D$14,MATCH($C64,'3_PRA_SWES_L1_Input'!$A$4:$A$14,0))*K64</f>
        <v/>
      </c>
      <c r="O64" s="18">
        <f>N64*L64</f>
        <v/>
      </c>
      <c r="P64" s="18">
        <f>O64*M64</f>
        <v/>
      </c>
      <c r="Q64" s="18">
        <f>INDEX('3_PRA_SWES_L1_Input'!$E$4:$E$14,MATCH($C64,'3_PRA_SWES_L1_Input'!$A$4:$A$14,0))*K64*L64*M64</f>
        <v/>
      </c>
      <c r="R64" s="18">
        <f>INDEX('3_PRA_SWES_L1_Input'!$G$4:$G$14,MATCH($C64,'3_PRA_SWES_L1_Input'!$A$4:$A$14,0))*K64</f>
        <v/>
      </c>
      <c r="S64" s="18">
        <f>R64*L64</f>
        <v/>
      </c>
      <c r="T64" s="18">
        <f>S64*M64</f>
        <v/>
      </c>
      <c r="U64" s="18">
        <f>INDEX('3_PRA_SWES_L1_Input'!$H$4:$H$14,MATCH($C64,'3_PRA_SWES_L1_Input'!$A$4:$A$14,0))*K64*L64*M64</f>
        <v/>
      </c>
    </row>
    <row r="65">
      <c r="A65" s="8">
        <f>'1_GICS_Structure'!G65</f>
        <v/>
      </c>
      <c r="B65" s="8">
        <f>'1_GICS_Structure'!H65</f>
        <v/>
      </c>
      <c r="C65" s="8">
        <f>'1_GICS_Structure'!A65</f>
        <v/>
      </c>
      <c r="D65" s="8">
        <f>'1_GICS_Structure'!C65</f>
        <v/>
      </c>
      <c r="E65" s="8">
        <f>'1_GICS_Structure'!E65</f>
        <v/>
      </c>
      <c r="F65" s="8">
        <f>'1_GICS_Structure'!J65</f>
        <v/>
      </c>
      <c r="G65" s="12">
        <f>INDEX('2_Damodaran_Betas'!$F$3:$F$97,MATCH('1_GICS_Structure'!I65,'2_Damodaran_Betas'!$A$3:$A$97,0))</f>
        <v/>
      </c>
      <c r="H65" s="12">
        <f>SUMPRODUCT(($E$3:$E$165=E65)*$F$3:$F$165*$G$3:$G$165)/SUMPRODUCT(($E$3:$E$165=E65)*$F$3:$F$165)</f>
        <v/>
      </c>
      <c r="I65" s="12">
        <f>SUMPRODUCT(($D$3:$D$165=D65)*$F$3:$F$165*$G$3:$G$165)/SUMPRODUCT(($D$3:$D$165=D65)*$F$3:$F$165)</f>
        <v/>
      </c>
      <c r="J65" s="12">
        <f>SUMPRODUCT(($C$3:$C$165=C65)*$F$3:$F$165*$G$3:$G$165)/SUMPRODUCT(($C$3:$C$165=C65)*$F$3:$F$165)</f>
        <v/>
      </c>
      <c r="K65" s="17">
        <f>I65/J65</f>
        <v/>
      </c>
      <c r="L65" s="17">
        <f>H65/I65</f>
        <v/>
      </c>
      <c r="M65" s="17">
        <f>G65/H65</f>
        <v/>
      </c>
      <c r="N65" s="18">
        <f>INDEX('3_PRA_SWES_L1_Input'!$D$4:$D$14,MATCH($C65,'3_PRA_SWES_L1_Input'!$A$4:$A$14,0))*K65</f>
        <v/>
      </c>
      <c r="O65" s="18">
        <f>N65*L65</f>
        <v/>
      </c>
      <c r="P65" s="18">
        <f>O65*M65</f>
        <v/>
      </c>
      <c r="Q65" s="18">
        <f>INDEX('3_PRA_SWES_L1_Input'!$E$4:$E$14,MATCH($C65,'3_PRA_SWES_L1_Input'!$A$4:$A$14,0))*K65*L65*M65</f>
        <v/>
      </c>
      <c r="R65" s="18">
        <f>INDEX('3_PRA_SWES_L1_Input'!$G$4:$G$14,MATCH($C65,'3_PRA_SWES_L1_Input'!$A$4:$A$14,0))*K65</f>
        <v/>
      </c>
      <c r="S65" s="18">
        <f>R65*L65</f>
        <v/>
      </c>
      <c r="T65" s="18">
        <f>S65*M65</f>
        <v/>
      </c>
      <c r="U65" s="18">
        <f>INDEX('3_PRA_SWES_L1_Input'!$H$4:$H$14,MATCH($C65,'3_PRA_SWES_L1_Input'!$A$4:$A$14,0))*K65*L65*M65</f>
        <v/>
      </c>
    </row>
    <row r="66">
      <c r="A66" s="8">
        <f>'1_GICS_Structure'!G66</f>
        <v/>
      </c>
      <c r="B66" s="8">
        <f>'1_GICS_Structure'!H66</f>
        <v/>
      </c>
      <c r="C66" s="8">
        <f>'1_GICS_Structure'!A66</f>
        <v/>
      </c>
      <c r="D66" s="8">
        <f>'1_GICS_Structure'!C66</f>
        <v/>
      </c>
      <c r="E66" s="8">
        <f>'1_GICS_Structure'!E66</f>
        <v/>
      </c>
      <c r="F66" s="8">
        <f>'1_GICS_Structure'!J66</f>
        <v/>
      </c>
      <c r="G66" s="12">
        <f>INDEX('2_Damodaran_Betas'!$F$3:$F$97,MATCH('1_GICS_Structure'!I66,'2_Damodaran_Betas'!$A$3:$A$97,0))</f>
        <v/>
      </c>
      <c r="H66" s="12">
        <f>SUMPRODUCT(($E$3:$E$165=E66)*$F$3:$F$165*$G$3:$G$165)/SUMPRODUCT(($E$3:$E$165=E66)*$F$3:$F$165)</f>
        <v/>
      </c>
      <c r="I66" s="12">
        <f>SUMPRODUCT(($D$3:$D$165=D66)*$F$3:$F$165*$G$3:$G$165)/SUMPRODUCT(($D$3:$D$165=D66)*$F$3:$F$165)</f>
        <v/>
      </c>
      <c r="J66" s="12">
        <f>SUMPRODUCT(($C$3:$C$165=C66)*$F$3:$F$165*$G$3:$G$165)/SUMPRODUCT(($C$3:$C$165=C66)*$F$3:$F$165)</f>
        <v/>
      </c>
      <c r="K66" s="17">
        <f>I66/J66</f>
        <v/>
      </c>
      <c r="L66" s="17">
        <f>H66/I66</f>
        <v/>
      </c>
      <c r="M66" s="17">
        <f>G66/H66</f>
        <v/>
      </c>
      <c r="N66" s="18">
        <f>INDEX('3_PRA_SWES_L1_Input'!$D$4:$D$14,MATCH($C66,'3_PRA_SWES_L1_Input'!$A$4:$A$14,0))*K66</f>
        <v/>
      </c>
      <c r="O66" s="18">
        <f>N66*L66</f>
        <v/>
      </c>
      <c r="P66" s="18">
        <f>O66*M66</f>
        <v/>
      </c>
      <c r="Q66" s="18">
        <f>INDEX('3_PRA_SWES_L1_Input'!$E$4:$E$14,MATCH($C66,'3_PRA_SWES_L1_Input'!$A$4:$A$14,0))*K66*L66*M66</f>
        <v/>
      </c>
      <c r="R66" s="18">
        <f>INDEX('3_PRA_SWES_L1_Input'!$G$4:$G$14,MATCH($C66,'3_PRA_SWES_L1_Input'!$A$4:$A$14,0))*K66</f>
        <v/>
      </c>
      <c r="S66" s="18">
        <f>R66*L66</f>
        <v/>
      </c>
      <c r="T66" s="18">
        <f>S66*M66</f>
        <v/>
      </c>
      <c r="U66" s="18">
        <f>INDEX('3_PRA_SWES_L1_Input'!$H$4:$H$14,MATCH($C66,'3_PRA_SWES_L1_Input'!$A$4:$A$14,0))*K66*L66*M66</f>
        <v/>
      </c>
    </row>
    <row r="67">
      <c r="A67" s="8">
        <f>'1_GICS_Structure'!G67</f>
        <v/>
      </c>
      <c r="B67" s="8">
        <f>'1_GICS_Structure'!H67</f>
        <v/>
      </c>
      <c r="C67" s="8">
        <f>'1_GICS_Structure'!A67</f>
        <v/>
      </c>
      <c r="D67" s="8">
        <f>'1_GICS_Structure'!C67</f>
        <v/>
      </c>
      <c r="E67" s="8">
        <f>'1_GICS_Structure'!E67</f>
        <v/>
      </c>
      <c r="F67" s="8">
        <f>'1_GICS_Structure'!J67</f>
        <v/>
      </c>
      <c r="G67" s="12">
        <f>INDEX('2_Damodaran_Betas'!$F$3:$F$97,MATCH('1_GICS_Structure'!I67,'2_Damodaran_Betas'!$A$3:$A$97,0))</f>
        <v/>
      </c>
      <c r="H67" s="12">
        <f>SUMPRODUCT(($E$3:$E$165=E67)*$F$3:$F$165*$G$3:$G$165)/SUMPRODUCT(($E$3:$E$165=E67)*$F$3:$F$165)</f>
        <v/>
      </c>
      <c r="I67" s="12">
        <f>SUMPRODUCT(($D$3:$D$165=D67)*$F$3:$F$165*$G$3:$G$165)/SUMPRODUCT(($D$3:$D$165=D67)*$F$3:$F$165)</f>
        <v/>
      </c>
      <c r="J67" s="12">
        <f>SUMPRODUCT(($C$3:$C$165=C67)*$F$3:$F$165*$G$3:$G$165)/SUMPRODUCT(($C$3:$C$165=C67)*$F$3:$F$165)</f>
        <v/>
      </c>
      <c r="K67" s="17">
        <f>I67/J67</f>
        <v/>
      </c>
      <c r="L67" s="17">
        <f>H67/I67</f>
        <v/>
      </c>
      <c r="M67" s="17">
        <f>G67/H67</f>
        <v/>
      </c>
      <c r="N67" s="18">
        <f>INDEX('3_PRA_SWES_L1_Input'!$D$4:$D$14,MATCH($C67,'3_PRA_SWES_L1_Input'!$A$4:$A$14,0))*K67</f>
        <v/>
      </c>
      <c r="O67" s="18">
        <f>N67*L67</f>
        <v/>
      </c>
      <c r="P67" s="18">
        <f>O67*M67</f>
        <v/>
      </c>
      <c r="Q67" s="18">
        <f>INDEX('3_PRA_SWES_L1_Input'!$E$4:$E$14,MATCH($C67,'3_PRA_SWES_L1_Input'!$A$4:$A$14,0))*K67*L67*M67</f>
        <v/>
      </c>
      <c r="R67" s="18">
        <f>INDEX('3_PRA_SWES_L1_Input'!$G$4:$G$14,MATCH($C67,'3_PRA_SWES_L1_Input'!$A$4:$A$14,0))*K67</f>
        <v/>
      </c>
      <c r="S67" s="18">
        <f>R67*L67</f>
        <v/>
      </c>
      <c r="T67" s="18">
        <f>S67*M67</f>
        <v/>
      </c>
      <c r="U67" s="18">
        <f>INDEX('3_PRA_SWES_L1_Input'!$H$4:$H$14,MATCH($C67,'3_PRA_SWES_L1_Input'!$A$4:$A$14,0))*K67*L67*M67</f>
        <v/>
      </c>
    </row>
    <row r="68">
      <c r="A68" s="8">
        <f>'1_GICS_Structure'!G68</f>
        <v/>
      </c>
      <c r="B68" s="8">
        <f>'1_GICS_Structure'!H68</f>
        <v/>
      </c>
      <c r="C68" s="8">
        <f>'1_GICS_Structure'!A68</f>
        <v/>
      </c>
      <c r="D68" s="8">
        <f>'1_GICS_Structure'!C68</f>
        <v/>
      </c>
      <c r="E68" s="8">
        <f>'1_GICS_Structure'!E68</f>
        <v/>
      </c>
      <c r="F68" s="8">
        <f>'1_GICS_Structure'!J68</f>
        <v/>
      </c>
      <c r="G68" s="12">
        <f>INDEX('2_Damodaran_Betas'!$F$3:$F$97,MATCH('1_GICS_Structure'!I68,'2_Damodaran_Betas'!$A$3:$A$97,0))</f>
        <v/>
      </c>
      <c r="H68" s="12">
        <f>SUMPRODUCT(($E$3:$E$165=E68)*$F$3:$F$165*$G$3:$G$165)/SUMPRODUCT(($E$3:$E$165=E68)*$F$3:$F$165)</f>
        <v/>
      </c>
      <c r="I68" s="12">
        <f>SUMPRODUCT(($D$3:$D$165=D68)*$F$3:$F$165*$G$3:$G$165)/SUMPRODUCT(($D$3:$D$165=D68)*$F$3:$F$165)</f>
        <v/>
      </c>
      <c r="J68" s="12">
        <f>SUMPRODUCT(($C$3:$C$165=C68)*$F$3:$F$165*$G$3:$G$165)/SUMPRODUCT(($C$3:$C$165=C68)*$F$3:$F$165)</f>
        <v/>
      </c>
      <c r="K68" s="17">
        <f>I68/J68</f>
        <v/>
      </c>
      <c r="L68" s="17">
        <f>H68/I68</f>
        <v/>
      </c>
      <c r="M68" s="17">
        <f>G68/H68</f>
        <v/>
      </c>
      <c r="N68" s="18">
        <f>INDEX('3_PRA_SWES_L1_Input'!$D$4:$D$14,MATCH($C68,'3_PRA_SWES_L1_Input'!$A$4:$A$14,0))*K68</f>
        <v/>
      </c>
      <c r="O68" s="18">
        <f>N68*L68</f>
        <v/>
      </c>
      <c r="P68" s="18">
        <f>O68*M68</f>
        <v/>
      </c>
      <c r="Q68" s="18">
        <f>INDEX('3_PRA_SWES_L1_Input'!$E$4:$E$14,MATCH($C68,'3_PRA_SWES_L1_Input'!$A$4:$A$14,0))*K68*L68*M68</f>
        <v/>
      </c>
      <c r="R68" s="18">
        <f>INDEX('3_PRA_SWES_L1_Input'!$G$4:$G$14,MATCH($C68,'3_PRA_SWES_L1_Input'!$A$4:$A$14,0))*K68</f>
        <v/>
      </c>
      <c r="S68" s="18">
        <f>R68*L68</f>
        <v/>
      </c>
      <c r="T68" s="18">
        <f>S68*M68</f>
        <v/>
      </c>
      <c r="U68" s="18">
        <f>INDEX('3_PRA_SWES_L1_Input'!$H$4:$H$14,MATCH($C68,'3_PRA_SWES_L1_Input'!$A$4:$A$14,0))*K68*L68*M68</f>
        <v/>
      </c>
    </row>
    <row r="69">
      <c r="A69" s="8">
        <f>'1_GICS_Structure'!G69</f>
        <v/>
      </c>
      <c r="B69" s="8">
        <f>'1_GICS_Structure'!H69</f>
        <v/>
      </c>
      <c r="C69" s="8">
        <f>'1_GICS_Structure'!A69</f>
        <v/>
      </c>
      <c r="D69" s="8">
        <f>'1_GICS_Structure'!C69</f>
        <v/>
      </c>
      <c r="E69" s="8">
        <f>'1_GICS_Structure'!E69</f>
        <v/>
      </c>
      <c r="F69" s="8">
        <f>'1_GICS_Structure'!J69</f>
        <v/>
      </c>
      <c r="G69" s="12">
        <f>INDEX('2_Damodaran_Betas'!$F$3:$F$97,MATCH('1_GICS_Structure'!I69,'2_Damodaran_Betas'!$A$3:$A$97,0))</f>
        <v/>
      </c>
      <c r="H69" s="12">
        <f>SUMPRODUCT(($E$3:$E$165=E69)*$F$3:$F$165*$G$3:$G$165)/SUMPRODUCT(($E$3:$E$165=E69)*$F$3:$F$165)</f>
        <v/>
      </c>
      <c r="I69" s="12">
        <f>SUMPRODUCT(($D$3:$D$165=D69)*$F$3:$F$165*$G$3:$G$165)/SUMPRODUCT(($D$3:$D$165=D69)*$F$3:$F$165)</f>
        <v/>
      </c>
      <c r="J69" s="12">
        <f>SUMPRODUCT(($C$3:$C$165=C69)*$F$3:$F$165*$G$3:$G$165)/SUMPRODUCT(($C$3:$C$165=C69)*$F$3:$F$165)</f>
        <v/>
      </c>
      <c r="K69" s="17">
        <f>I69/J69</f>
        <v/>
      </c>
      <c r="L69" s="17">
        <f>H69/I69</f>
        <v/>
      </c>
      <c r="M69" s="17">
        <f>G69/H69</f>
        <v/>
      </c>
      <c r="N69" s="18">
        <f>INDEX('3_PRA_SWES_L1_Input'!$D$4:$D$14,MATCH($C69,'3_PRA_SWES_L1_Input'!$A$4:$A$14,0))*K69</f>
        <v/>
      </c>
      <c r="O69" s="18">
        <f>N69*L69</f>
        <v/>
      </c>
      <c r="P69" s="18">
        <f>O69*M69</f>
        <v/>
      </c>
      <c r="Q69" s="18">
        <f>INDEX('3_PRA_SWES_L1_Input'!$E$4:$E$14,MATCH($C69,'3_PRA_SWES_L1_Input'!$A$4:$A$14,0))*K69*L69*M69</f>
        <v/>
      </c>
      <c r="R69" s="18">
        <f>INDEX('3_PRA_SWES_L1_Input'!$G$4:$G$14,MATCH($C69,'3_PRA_SWES_L1_Input'!$A$4:$A$14,0))*K69</f>
        <v/>
      </c>
      <c r="S69" s="18">
        <f>R69*L69</f>
        <v/>
      </c>
      <c r="T69" s="18">
        <f>S69*M69</f>
        <v/>
      </c>
      <c r="U69" s="18">
        <f>INDEX('3_PRA_SWES_L1_Input'!$H$4:$H$14,MATCH($C69,'3_PRA_SWES_L1_Input'!$A$4:$A$14,0))*K69*L69*M69</f>
        <v/>
      </c>
    </row>
    <row r="70">
      <c r="A70" s="8">
        <f>'1_GICS_Structure'!G70</f>
        <v/>
      </c>
      <c r="B70" s="8">
        <f>'1_GICS_Structure'!H70</f>
        <v/>
      </c>
      <c r="C70" s="8">
        <f>'1_GICS_Structure'!A70</f>
        <v/>
      </c>
      <c r="D70" s="8">
        <f>'1_GICS_Structure'!C70</f>
        <v/>
      </c>
      <c r="E70" s="8">
        <f>'1_GICS_Structure'!E70</f>
        <v/>
      </c>
      <c r="F70" s="8">
        <f>'1_GICS_Structure'!J70</f>
        <v/>
      </c>
      <c r="G70" s="12">
        <f>INDEX('2_Damodaran_Betas'!$F$3:$F$97,MATCH('1_GICS_Structure'!I70,'2_Damodaran_Betas'!$A$3:$A$97,0))</f>
        <v/>
      </c>
      <c r="H70" s="12">
        <f>SUMPRODUCT(($E$3:$E$165=E70)*$F$3:$F$165*$G$3:$G$165)/SUMPRODUCT(($E$3:$E$165=E70)*$F$3:$F$165)</f>
        <v/>
      </c>
      <c r="I70" s="12">
        <f>SUMPRODUCT(($D$3:$D$165=D70)*$F$3:$F$165*$G$3:$G$165)/SUMPRODUCT(($D$3:$D$165=D70)*$F$3:$F$165)</f>
        <v/>
      </c>
      <c r="J70" s="12">
        <f>SUMPRODUCT(($C$3:$C$165=C70)*$F$3:$F$165*$G$3:$G$165)/SUMPRODUCT(($C$3:$C$165=C70)*$F$3:$F$165)</f>
        <v/>
      </c>
      <c r="K70" s="17">
        <f>I70/J70</f>
        <v/>
      </c>
      <c r="L70" s="17">
        <f>H70/I70</f>
        <v/>
      </c>
      <c r="M70" s="17">
        <f>G70/H70</f>
        <v/>
      </c>
      <c r="N70" s="18">
        <f>INDEX('3_PRA_SWES_L1_Input'!$D$4:$D$14,MATCH($C70,'3_PRA_SWES_L1_Input'!$A$4:$A$14,0))*K70</f>
        <v/>
      </c>
      <c r="O70" s="18">
        <f>N70*L70</f>
        <v/>
      </c>
      <c r="P70" s="18">
        <f>O70*M70</f>
        <v/>
      </c>
      <c r="Q70" s="18">
        <f>INDEX('3_PRA_SWES_L1_Input'!$E$4:$E$14,MATCH($C70,'3_PRA_SWES_L1_Input'!$A$4:$A$14,0))*K70*L70*M70</f>
        <v/>
      </c>
      <c r="R70" s="18">
        <f>INDEX('3_PRA_SWES_L1_Input'!$G$4:$G$14,MATCH($C70,'3_PRA_SWES_L1_Input'!$A$4:$A$14,0))*K70</f>
        <v/>
      </c>
      <c r="S70" s="18">
        <f>R70*L70</f>
        <v/>
      </c>
      <c r="T70" s="18">
        <f>S70*M70</f>
        <v/>
      </c>
      <c r="U70" s="18">
        <f>INDEX('3_PRA_SWES_L1_Input'!$H$4:$H$14,MATCH($C70,'3_PRA_SWES_L1_Input'!$A$4:$A$14,0))*K70*L70*M70</f>
        <v/>
      </c>
    </row>
    <row r="71">
      <c r="A71" s="8">
        <f>'1_GICS_Structure'!G71</f>
        <v/>
      </c>
      <c r="B71" s="8">
        <f>'1_GICS_Structure'!H71</f>
        <v/>
      </c>
      <c r="C71" s="8">
        <f>'1_GICS_Structure'!A71</f>
        <v/>
      </c>
      <c r="D71" s="8">
        <f>'1_GICS_Structure'!C71</f>
        <v/>
      </c>
      <c r="E71" s="8">
        <f>'1_GICS_Structure'!E71</f>
        <v/>
      </c>
      <c r="F71" s="8">
        <f>'1_GICS_Structure'!J71</f>
        <v/>
      </c>
      <c r="G71" s="12">
        <f>INDEX('2_Damodaran_Betas'!$F$3:$F$97,MATCH('1_GICS_Structure'!I71,'2_Damodaran_Betas'!$A$3:$A$97,0))</f>
        <v/>
      </c>
      <c r="H71" s="12">
        <f>SUMPRODUCT(($E$3:$E$165=E71)*$F$3:$F$165*$G$3:$G$165)/SUMPRODUCT(($E$3:$E$165=E71)*$F$3:$F$165)</f>
        <v/>
      </c>
      <c r="I71" s="12">
        <f>SUMPRODUCT(($D$3:$D$165=D71)*$F$3:$F$165*$G$3:$G$165)/SUMPRODUCT(($D$3:$D$165=D71)*$F$3:$F$165)</f>
        <v/>
      </c>
      <c r="J71" s="12">
        <f>SUMPRODUCT(($C$3:$C$165=C71)*$F$3:$F$165*$G$3:$G$165)/SUMPRODUCT(($C$3:$C$165=C71)*$F$3:$F$165)</f>
        <v/>
      </c>
      <c r="K71" s="17">
        <f>I71/J71</f>
        <v/>
      </c>
      <c r="L71" s="17">
        <f>H71/I71</f>
        <v/>
      </c>
      <c r="M71" s="17">
        <f>G71/H71</f>
        <v/>
      </c>
      <c r="N71" s="18">
        <f>INDEX('3_PRA_SWES_L1_Input'!$D$4:$D$14,MATCH($C71,'3_PRA_SWES_L1_Input'!$A$4:$A$14,0))*K71</f>
        <v/>
      </c>
      <c r="O71" s="18">
        <f>N71*L71</f>
        <v/>
      </c>
      <c r="P71" s="18">
        <f>O71*M71</f>
        <v/>
      </c>
      <c r="Q71" s="18">
        <f>INDEX('3_PRA_SWES_L1_Input'!$E$4:$E$14,MATCH($C71,'3_PRA_SWES_L1_Input'!$A$4:$A$14,0))*K71*L71*M71</f>
        <v/>
      </c>
      <c r="R71" s="18">
        <f>INDEX('3_PRA_SWES_L1_Input'!$G$4:$G$14,MATCH($C71,'3_PRA_SWES_L1_Input'!$A$4:$A$14,0))*K71</f>
        <v/>
      </c>
      <c r="S71" s="18">
        <f>R71*L71</f>
        <v/>
      </c>
      <c r="T71" s="18">
        <f>S71*M71</f>
        <v/>
      </c>
      <c r="U71" s="18">
        <f>INDEX('3_PRA_SWES_L1_Input'!$H$4:$H$14,MATCH($C71,'3_PRA_SWES_L1_Input'!$A$4:$A$14,0))*K71*L71*M71</f>
        <v/>
      </c>
    </row>
    <row r="72">
      <c r="A72" s="8">
        <f>'1_GICS_Structure'!G72</f>
        <v/>
      </c>
      <c r="B72" s="8">
        <f>'1_GICS_Structure'!H72</f>
        <v/>
      </c>
      <c r="C72" s="8">
        <f>'1_GICS_Structure'!A72</f>
        <v/>
      </c>
      <c r="D72" s="8">
        <f>'1_GICS_Structure'!C72</f>
        <v/>
      </c>
      <c r="E72" s="8">
        <f>'1_GICS_Structure'!E72</f>
        <v/>
      </c>
      <c r="F72" s="8">
        <f>'1_GICS_Structure'!J72</f>
        <v/>
      </c>
      <c r="G72" s="12">
        <f>INDEX('2_Damodaran_Betas'!$F$3:$F$97,MATCH('1_GICS_Structure'!I72,'2_Damodaran_Betas'!$A$3:$A$97,0))</f>
        <v/>
      </c>
      <c r="H72" s="12">
        <f>SUMPRODUCT(($E$3:$E$165=E72)*$F$3:$F$165*$G$3:$G$165)/SUMPRODUCT(($E$3:$E$165=E72)*$F$3:$F$165)</f>
        <v/>
      </c>
      <c r="I72" s="12">
        <f>SUMPRODUCT(($D$3:$D$165=D72)*$F$3:$F$165*$G$3:$G$165)/SUMPRODUCT(($D$3:$D$165=D72)*$F$3:$F$165)</f>
        <v/>
      </c>
      <c r="J72" s="12">
        <f>SUMPRODUCT(($C$3:$C$165=C72)*$F$3:$F$165*$G$3:$G$165)/SUMPRODUCT(($C$3:$C$165=C72)*$F$3:$F$165)</f>
        <v/>
      </c>
      <c r="K72" s="17">
        <f>I72/J72</f>
        <v/>
      </c>
      <c r="L72" s="17">
        <f>H72/I72</f>
        <v/>
      </c>
      <c r="M72" s="17">
        <f>G72/H72</f>
        <v/>
      </c>
      <c r="N72" s="18">
        <f>INDEX('3_PRA_SWES_L1_Input'!$D$4:$D$14,MATCH($C72,'3_PRA_SWES_L1_Input'!$A$4:$A$14,0))*K72</f>
        <v/>
      </c>
      <c r="O72" s="18">
        <f>N72*L72</f>
        <v/>
      </c>
      <c r="P72" s="18">
        <f>O72*M72</f>
        <v/>
      </c>
      <c r="Q72" s="18">
        <f>INDEX('3_PRA_SWES_L1_Input'!$E$4:$E$14,MATCH($C72,'3_PRA_SWES_L1_Input'!$A$4:$A$14,0))*K72*L72*M72</f>
        <v/>
      </c>
      <c r="R72" s="18">
        <f>INDEX('3_PRA_SWES_L1_Input'!$G$4:$G$14,MATCH($C72,'3_PRA_SWES_L1_Input'!$A$4:$A$14,0))*K72</f>
        <v/>
      </c>
      <c r="S72" s="18">
        <f>R72*L72</f>
        <v/>
      </c>
      <c r="T72" s="18">
        <f>S72*M72</f>
        <v/>
      </c>
      <c r="U72" s="18">
        <f>INDEX('3_PRA_SWES_L1_Input'!$H$4:$H$14,MATCH($C72,'3_PRA_SWES_L1_Input'!$A$4:$A$14,0))*K72*L72*M72</f>
        <v/>
      </c>
    </row>
    <row r="73">
      <c r="A73" s="8">
        <f>'1_GICS_Structure'!G73</f>
        <v/>
      </c>
      <c r="B73" s="8">
        <f>'1_GICS_Structure'!H73</f>
        <v/>
      </c>
      <c r="C73" s="8">
        <f>'1_GICS_Structure'!A73</f>
        <v/>
      </c>
      <c r="D73" s="8">
        <f>'1_GICS_Structure'!C73</f>
        <v/>
      </c>
      <c r="E73" s="8">
        <f>'1_GICS_Structure'!E73</f>
        <v/>
      </c>
      <c r="F73" s="8">
        <f>'1_GICS_Structure'!J73</f>
        <v/>
      </c>
      <c r="G73" s="12">
        <f>INDEX('2_Damodaran_Betas'!$F$3:$F$97,MATCH('1_GICS_Structure'!I73,'2_Damodaran_Betas'!$A$3:$A$97,0))</f>
        <v/>
      </c>
      <c r="H73" s="12">
        <f>SUMPRODUCT(($E$3:$E$165=E73)*$F$3:$F$165*$G$3:$G$165)/SUMPRODUCT(($E$3:$E$165=E73)*$F$3:$F$165)</f>
        <v/>
      </c>
      <c r="I73" s="12">
        <f>SUMPRODUCT(($D$3:$D$165=D73)*$F$3:$F$165*$G$3:$G$165)/SUMPRODUCT(($D$3:$D$165=D73)*$F$3:$F$165)</f>
        <v/>
      </c>
      <c r="J73" s="12">
        <f>SUMPRODUCT(($C$3:$C$165=C73)*$F$3:$F$165*$G$3:$G$165)/SUMPRODUCT(($C$3:$C$165=C73)*$F$3:$F$165)</f>
        <v/>
      </c>
      <c r="K73" s="17">
        <f>I73/J73</f>
        <v/>
      </c>
      <c r="L73" s="17">
        <f>H73/I73</f>
        <v/>
      </c>
      <c r="M73" s="17">
        <f>G73/H73</f>
        <v/>
      </c>
      <c r="N73" s="18">
        <f>INDEX('3_PRA_SWES_L1_Input'!$D$4:$D$14,MATCH($C73,'3_PRA_SWES_L1_Input'!$A$4:$A$14,0))*K73</f>
        <v/>
      </c>
      <c r="O73" s="18">
        <f>N73*L73</f>
        <v/>
      </c>
      <c r="P73" s="18">
        <f>O73*M73</f>
        <v/>
      </c>
      <c r="Q73" s="18">
        <f>INDEX('3_PRA_SWES_L1_Input'!$E$4:$E$14,MATCH($C73,'3_PRA_SWES_L1_Input'!$A$4:$A$14,0))*K73*L73*M73</f>
        <v/>
      </c>
      <c r="R73" s="18">
        <f>INDEX('3_PRA_SWES_L1_Input'!$G$4:$G$14,MATCH($C73,'3_PRA_SWES_L1_Input'!$A$4:$A$14,0))*K73</f>
        <v/>
      </c>
      <c r="S73" s="18">
        <f>R73*L73</f>
        <v/>
      </c>
      <c r="T73" s="18">
        <f>S73*M73</f>
        <v/>
      </c>
      <c r="U73" s="18">
        <f>INDEX('3_PRA_SWES_L1_Input'!$H$4:$H$14,MATCH($C73,'3_PRA_SWES_L1_Input'!$A$4:$A$14,0))*K73*L73*M73</f>
        <v/>
      </c>
    </row>
    <row r="74">
      <c r="A74" s="8">
        <f>'1_GICS_Structure'!G74</f>
        <v/>
      </c>
      <c r="B74" s="8">
        <f>'1_GICS_Structure'!H74</f>
        <v/>
      </c>
      <c r="C74" s="8">
        <f>'1_GICS_Structure'!A74</f>
        <v/>
      </c>
      <c r="D74" s="8">
        <f>'1_GICS_Structure'!C74</f>
        <v/>
      </c>
      <c r="E74" s="8">
        <f>'1_GICS_Structure'!E74</f>
        <v/>
      </c>
      <c r="F74" s="8">
        <f>'1_GICS_Structure'!J74</f>
        <v/>
      </c>
      <c r="G74" s="12">
        <f>INDEX('2_Damodaran_Betas'!$F$3:$F$97,MATCH('1_GICS_Structure'!I74,'2_Damodaran_Betas'!$A$3:$A$97,0))</f>
        <v/>
      </c>
      <c r="H74" s="12">
        <f>SUMPRODUCT(($E$3:$E$165=E74)*$F$3:$F$165*$G$3:$G$165)/SUMPRODUCT(($E$3:$E$165=E74)*$F$3:$F$165)</f>
        <v/>
      </c>
      <c r="I74" s="12">
        <f>SUMPRODUCT(($D$3:$D$165=D74)*$F$3:$F$165*$G$3:$G$165)/SUMPRODUCT(($D$3:$D$165=D74)*$F$3:$F$165)</f>
        <v/>
      </c>
      <c r="J74" s="12">
        <f>SUMPRODUCT(($C$3:$C$165=C74)*$F$3:$F$165*$G$3:$G$165)/SUMPRODUCT(($C$3:$C$165=C74)*$F$3:$F$165)</f>
        <v/>
      </c>
      <c r="K74" s="17">
        <f>I74/J74</f>
        <v/>
      </c>
      <c r="L74" s="17">
        <f>H74/I74</f>
        <v/>
      </c>
      <c r="M74" s="17">
        <f>G74/H74</f>
        <v/>
      </c>
      <c r="N74" s="18">
        <f>INDEX('3_PRA_SWES_L1_Input'!$D$4:$D$14,MATCH($C74,'3_PRA_SWES_L1_Input'!$A$4:$A$14,0))*K74</f>
        <v/>
      </c>
      <c r="O74" s="18">
        <f>N74*L74</f>
        <v/>
      </c>
      <c r="P74" s="18">
        <f>O74*M74</f>
        <v/>
      </c>
      <c r="Q74" s="18">
        <f>INDEX('3_PRA_SWES_L1_Input'!$E$4:$E$14,MATCH($C74,'3_PRA_SWES_L1_Input'!$A$4:$A$14,0))*K74*L74*M74</f>
        <v/>
      </c>
      <c r="R74" s="18">
        <f>INDEX('3_PRA_SWES_L1_Input'!$G$4:$G$14,MATCH($C74,'3_PRA_SWES_L1_Input'!$A$4:$A$14,0))*K74</f>
        <v/>
      </c>
      <c r="S74" s="18">
        <f>R74*L74</f>
        <v/>
      </c>
      <c r="T74" s="18">
        <f>S74*M74</f>
        <v/>
      </c>
      <c r="U74" s="18">
        <f>INDEX('3_PRA_SWES_L1_Input'!$H$4:$H$14,MATCH($C74,'3_PRA_SWES_L1_Input'!$A$4:$A$14,0))*K74*L74*M74</f>
        <v/>
      </c>
    </row>
    <row r="75">
      <c r="A75" s="8">
        <f>'1_GICS_Structure'!G75</f>
        <v/>
      </c>
      <c r="B75" s="8">
        <f>'1_GICS_Structure'!H75</f>
        <v/>
      </c>
      <c r="C75" s="8">
        <f>'1_GICS_Structure'!A75</f>
        <v/>
      </c>
      <c r="D75" s="8">
        <f>'1_GICS_Structure'!C75</f>
        <v/>
      </c>
      <c r="E75" s="8">
        <f>'1_GICS_Structure'!E75</f>
        <v/>
      </c>
      <c r="F75" s="8">
        <f>'1_GICS_Structure'!J75</f>
        <v/>
      </c>
      <c r="G75" s="12">
        <f>INDEX('2_Damodaran_Betas'!$F$3:$F$97,MATCH('1_GICS_Structure'!I75,'2_Damodaran_Betas'!$A$3:$A$97,0))</f>
        <v/>
      </c>
      <c r="H75" s="12">
        <f>SUMPRODUCT(($E$3:$E$165=E75)*$F$3:$F$165*$G$3:$G$165)/SUMPRODUCT(($E$3:$E$165=E75)*$F$3:$F$165)</f>
        <v/>
      </c>
      <c r="I75" s="12">
        <f>SUMPRODUCT(($D$3:$D$165=D75)*$F$3:$F$165*$G$3:$G$165)/SUMPRODUCT(($D$3:$D$165=D75)*$F$3:$F$165)</f>
        <v/>
      </c>
      <c r="J75" s="12">
        <f>SUMPRODUCT(($C$3:$C$165=C75)*$F$3:$F$165*$G$3:$G$165)/SUMPRODUCT(($C$3:$C$165=C75)*$F$3:$F$165)</f>
        <v/>
      </c>
      <c r="K75" s="17">
        <f>I75/J75</f>
        <v/>
      </c>
      <c r="L75" s="17">
        <f>H75/I75</f>
        <v/>
      </c>
      <c r="M75" s="17">
        <f>G75/H75</f>
        <v/>
      </c>
      <c r="N75" s="18">
        <f>INDEX('3_PRA_SWES_L1_Input'!$D$4:$D$14,MATCH($C75,'3_PRA_SWES_L1_Input'!$A$4:$A$14,0))*K75</f>
        <v/>
      </c>
      <c r="O75" s="18">
        <f>N75*L75</f>
        <v/>
      </c>
      <c r="P75" s="18">
        <f>O75*M75</f>
        <v/>
      </c>
      <c r="Q75" s="18">
        <f>INDEX('3_PRA_SWES_L1_Input'!$E$4:$E$14,MATCH($C75,'3_PRA_SWES_L1_Input'!$A$4:$A$14,0))*K75*L75*M75</f>
        <v/>
      </c>
      <c r="R75" s="18">
        <f>INDEX('3_PRA_SWES_L1_Input'!$G$4:$G$14,MATCH($C75,'3_PRA_SWES_L1_Input'!$A$4:$A$14,0))*K75</f>
        <v/>
      </c>
      <c r="S75" s="18">
        <f>R75*L75</f>
        <v/>
      </c>
      <c r="T75" s="18">
        <f>S75*M75</f>
        <v/>
      </c>
      <c r="U75" s="18">
        <f>INDEX('3_PRA_SWES_L1_Input'!$H$4:$H$14,MATCH($C75,'3_PRA_SWES_L1_Input'!$A$4:$A$14,0))*K75*L75*M75</f>
        <v/>
      </c>
    </row>
    <row r="76">
      <c r="A76" s="8">
        <f>'1_GICS_Structure'!G76</f>
        <v/>
      </c>
      <c r="B76" s="8">
        <f>'1_GICS_Structure'!H76</f>
        <v/>
      </c>
      <c r="C76" s="8">
        <f>'1_GICS_Structure'!A76</f>
        <v/>
      </c>
      <c r="D76" s="8">
        <f>'1_GICS_Structure'!C76</f>
        <v/>
      </c>
      <c r="E76" s="8">
        <f>'1_GICS_Structure'!E76</f>
        <v/>
      </c>
      <c r="F76" s="8">
        <f>'1_GICS_Structure'!J76</f>
        <v/>
      </c>
      <c r="G76" s="12">
        <f>INDEX('2_Damodaran_Betas'!$F$3:$F$97,MATCH('1_GICS_Structure'!I76,'2_Damodaran_Betas'!$A$3:$A$97,0))</f>
        <v/>
      </c>
      <c r="H76" s="12">
        <f>SUMPRODUCT(($E$3:$E$165=E76)*$F$3:$F$165*$G$3:$G$165)/SUMPRODUCT(($E$3:$E$165=E76)*$F$3:$F$165)</f>
        <v/>
      </c>
      <c r="I76" s="12">
        <f>SUMPRODUCT(($D$3:$D$165=D76)*$F$3:$F$165*$G$3:$G$165)/SUMPRODUCT(($D$3:$D$165=D76)*$F$3:$F$165)</f>
        <v/>
      </c>
      <c r="J76" s="12">
        <f>SUMPRODUCT(($C$3:$C$165=C76)*$F$3:$F$165*$G$3:$G$165)/SUMPRODUCT(($C$3:$C$165=C76)*$F$3:$F$165)</f>
        <v/>
      </c>
      <c r="K76" s="17">
        <f>I76/J76</f>
        <v/>
      </c>
      <c r="L76" s="17">
        <f>H76/I76</f>
        <v/>
      </c>
      <c r="M76" s="17">
        <f>G76/H76</f>
        <v/>
      </c>
      <c r="N76" s="18">
        <f>INDEX('3_PRA_SWES_L1_Input'!$D$4:$D$14,MATCH($C76,'3_PRA_SWES_L1_Input'!$A$4:$A$14,0))*K76</f>
        <v/>
      </c>
      <c r="O76" s="18">
        <f>N76*L76</f>
        <v/>
      </c>
      <c r="P76" s="18">
        <f>O76*M76</f>
        <v/>
      </c>
      <c r="Q76" s="18">
        <f>INDEX('3_PRA_SWES_L1_Input'!$E$4:$E$14,MATCH($C76,'3_PRA_SWES_L1_Input'!$A$4:$A$14,0))*K76*L76*M76</f>
        <v/>
      </c>
      <c r="R76" s="18">
        <f>INDEX('3_PRA_SWES_L1_Input'!$G$4:$G$14,MATCH($C76,'3_PRA_SWES_L1_Input'!$A$4:$A$14,0))*K76</f>
        <v/>
      </c>
      <c r="S76" s="18">
        <f>R76*L76</f>
        <v/>
      </c>
      <c r="T76" s="18">
        <f>S76*M76</f>
        <v/>
      </c>
      <c r="U76" s="18">
        <f>INDEX('3_PRA_SWES_L1_Input'!$H$4:$H$14,MATCH($C76,'3_PRA_SWES_L1_Input'!$A$4:$A$14,0))*K76*L76*M76</f>
        <v/>
      </c>
    </row>
    <row r="77">
      <c r="A77" s="8">
        <f>'1_GICS_Structure'!G77</f>
        <v/>
      </c>
      <c r="B77" s="8">
        <f>'1_GICS_Structure'!H77</f>
        <v/>
      </c>
      <c r="C77" s="8">
        <f>'1_GICS_Structure'!A77</f>
        <v/>
      </c>
      <c r="D77" s="8">
        <f>'1_GICS_Structure'!C77</f>
        <v/>
      </c>
      <c r="E77" s="8">
        <f>'1_GICS_Structure'!E77</f>
        <v/>
      </c>
      <c r="F77" s="8">
        <f>'1_GICS_Structure'!J77</f>
        <v/>
      </c>
      <c r="G77" s="12">
        <f>INDEX('2_Damodaran_Betas'!$F$3:$F$97,MATCH('1_GICS_Structure'!I77,'2_Damodaran_Betas'!$A$3:$A$97,0))</f>
        <v/>
      </c>
      <c r="H77" s="12">
        <f>SUMPRODUCT(($E$3:$E$165=E77)*$F$3:$F$165*$G$3:$G$165)/SUMPRODUCT(($E$3:$E$165=E77)*$F$3:$F$165)</f>
        <v/>
      </c>
      <c r="I77" s="12">
        <f>SUMPRODUCT(($D$3:$D$165=D77)*$F$3:$F$165*$G$3:$G$165)/SUMPRODUCT(($D$3:$D$165=D77)*$F$3:$F$165)</f>
        <v/>
      </c>
      <c r="J77" s="12">
        <f>SUMPRODUCT(($C$3:$C$165=C77)*$F$3:$F$165*$G$3:$G$165)/SUMPRODUCT(($C$3:$C$165=C77)*$F$3:$F$165)</f>
        <v/>
      </c>
      <c r="K77" s="17">
        <f>I77/J77</f>
        <v/>
      </c>
      <c r="L77" s="17">
        <f>H77/I77</f>
        <v/>
      </c>
      <c r="M77" s="17">
        <f>G77/H77</f>
        <v/>
      </c>
      <c r="N77" s="18">
        <f>INDEX('3_PRA_SWES_L1_Input'!$D$4:$D$14,MATCH($C77,'3_PRA_SWES_L1_Input'!$A$4:$A$14,0))*K77</f>
        <v/>
      </c>
      <c r="O77" s="18">
        <f>N77*L77</f>
        <v/>
      </c>
      <c r="P77" s="18">
        <f>O77*M77</f>
        <v/>
      </c>
      <c r="Q77" s="18">
        <f>INDEX('3_PRA_SWES_L1_Input'!$E$4:$E$14,MATCH($C77,'3_PRA_SWES_L1_Input'!$A$4:$A$14,0))*K77*L77*M77</f>
        <v/>
      </c>
      <c r="R77" s="18">
        <f>INDEX('3_PRA_SWES_L1_Input'!$G$4:$G$14,MATCH($C77,'3_PRA_SWES_L1_Input'!$A$4:$A$14,0))*K77</f>
        <v/>
      </c>
      <c r="S77" s="18">
        <f>R77*L77</f>
        <v/>
      </c>
      <c r="T77" s="18">
        <f>S77*M77</f>
        <v/>
      </c>
      <c r="U77" s="18">
        <f>INDEX('3_PRA_SWES_L1_Input'!$H$4:$H$14,MATCH($C77,'3_PRA_SWES_L1_Input'!$A$4:$A$14,0))*K77*L77*M77</f>
        <v/>
      </c>
    </row>
    <row r="78">
      <c r="A78" s="8">
        <f>'1_GICS_Structure'!G78</f>
        <v/>
      </c>
      <c r="B78" s="8">
        <f>'1_GICS_Structure'!H78</f>
        <v/>
      </c>
      <c r="C78" s="8">
        <f>'1_GICS_Structure'!A78</f>
        <v/>
      </c>
      <c r="D78" s="8">
        <f>'1_GICS_Structure'!C78</f>
        <v/>
      </c>
      <c r="E78" s="8">
        <f>'1_GICS_Structure'!E78</f>
        <v/>
      </c>
      <c r="F78" s="8">
        <f>'1_GICS_Structure'!J78</f>
        <v/>
      </c>
      <c r="G78" s="12">
        <f>INDEX('2_Damodaran_Betas'!$F$3:$F$97,MATCH('1_GICS_Structure'!I78,'2_Damodaran_Betas'!$A$3:$A$97,0))</f>
        <v/>
      </c>
      <c r="H78" s="12">
        <f>SUMPRODUCT(($E$3:$E$165=E78)*$F$3:$F$165*$G$3:$G$165)/SUMPRODUCT(($E$3:$E$165=E78)*$F$3:$F$165)</f>
        <v/>
      </c>
      <c r="I78" s="12">
        <f>SUMPRODUCT(($D$3:$D$165=D78)*$F$3:$F$165*$G$3:$G$165)/SUMPRODUCT(($D$3:$D$165=D78)*$F$3:$F$165)</f>
        <v/>
      </c>
      <c r="J78" s="12">
        <f>SUMPRODUCT(($C$3:$C$165=C78)*$F$3:$F$165*$G$3:$G$165)/SUMPRODUCT(($C$3:$C$165=C78)*$F$3:$F$165)</f>
        <v/>
      </c>
      <c r="K78" s="17">
        <f>I78/J78</f>
        <v/>
      </c>
      <c r="L78" s="17">
        <f>H78/I78</f>
        <v/>
      </c>
      <c r="M78" s="17">
        <f>G78/H78</f>
        <v/>
      </c>
      <c r="N78" s="18">
        <f>INDEX('3_PRA_SWES_L1_Input'!$D$4:$D$14,MATCH($C78,'3_PRA_SWES_L1_Input'!$A$4:$A$14,0))*K78</f>
        <v/>
      </c>
      <c r="O78" s="18">
        <f>N78*L78</f>
        <v/>
      </c>
      <c r="P78" s="18">
        <f>O78*M78</f>
        <v/>
      </c>
      <c r="Q78" s="18">
        <f>INDEX('3_PRA_SWES_L1_Input'!$E$4:$E$14,MATCH($C78,'3_PRA_SWES_L1_Input'!$A$4:$A$14,0))*K78*L78*M78</f>
        <v/>
      </c>
      <c r="R78" s="18">
        <f>INDEX('3_PRA_SWES_L1_Input'!$G$4:$G$14,MATCH($C78,'3_PRA_SWES_L1_Input'!$A$4:$A$14,0))*K78</f>
        <v/>
      </c>
      <c r="S78" s="18">
        <f>R78*L78</f>
        <v/>
      </c>
      <c r="T78" s="18">
        <f>S78*M78</f>
        <v/>
      </c>
      <c r="U78" s="18">
        <f>INDEX('3_PRA_SWES_L1_Input'!$H$4:$H$14,MATCH($C78,'3_PRA_SWES_L1_Input'!$A$4:$A$14,0))*K78*L78*M78</f>
        <v/>
      </c>
    </row>
    <row r="79">
      <c r="A79" s="8">
        <f>'1_GICS_Structure'!G79</f>
        <v/>
      </c>
      <c r="B79" s="8">
        <f>'1_GICS_Structure'!H79</f>
        <v/>
      </c>
      <c r="C79" s="8">
        <f>'1_GICS_Structure'!A79</f>
        <v/>
      </c>
      <c r="D79" s="8">
        <f>'1_GICS_Structure'!C79</f>
        <v/>
      </c>
      <c r="E79" s="8">
        <f>'1_GICS_Structure'!E79</f>
        <v/>
      </c>
      <c r="F79" s="8">
        <f>'1_GICS_Structure'!J79</f>
        <v/>
      </c>
      <c r="G79" s="12">
        <f>INDEX('2_Damodaran_Betas'!$F$3:$F$97,MATCH('1_GICS_Structure'!I79,'2_Damodaran_Betas'!$A$3:$A$97,0))</f>
        <v/>
      </c>
      <c r="H79" s="12">
        <f>SUMPRODUCT(($E$3:$E$165=E79)*$F$3:$F$165*$G$3:$G$165)/SUMPRODUCT(($E$3:$E$165=E79)*$F$3:$F$165)</f>
        <v/>
      </c>
      <c r="I79" s="12">
        <f>SUMPRODUCT(($D$3:$D$165=D79)*$F$3:$F$165*$G$3:$G$165)/SUMPRODUCT(($D$3:$D$165=D79)*$F$3:$F$165)</f>
        <v/>
      </c>
      <c r="J79" s="12">
        <f>SUMPRODUCT(($C$3:$C$165=C79)*$F$3:$F$165*$G$3:$G$165)/SUMPRODUCT(($C$3:$C$165=C79)*$F$3:$F$165)</f>
        <v/>
      </c>
      <c r="K79" s="17">
        <f>I79/J79</f>
        <v/>
      </c>
      <c r="L79" s="17">
        <f>H79/I79</f>
        <v/>
      </c>
      <c r="M79" s="17">
        <f>G79/H79</f>
        <v/>
      </c>
      <c r="N79" s="18">
        <f>INDEX('3_PRA_SWES_L1_Input'!$D$4:$D$14,MATCH($C79,'3_PRA_SWES_L1_Input'!$A$4:$A$14,0))*K79</f>
        <v/>
      </c>
      <c r="O79" s="18">
        <f>N79*L79</f>
        <v/>
      </c>
      <c r="P79" s="18">
        <f>O79*M79</f>
        <v/>
      </c>
      <c r="Q79" s="18">
        <f>INDEX('3_PRA_SWES_L1_Input'!$E$4:$E$14,MATCH($C79,'3_PRA_SWES_L1_Input'!$A$4:$A$14,0))*K79*L79*M79</f>
        <v/>
      </c>
      <c r="R79" s="18">
        <f>INDEX('3_PRA_SWES_L1_Input'!$G$4:$G$14,MATCH($C79,'3_PRA_SWES_L1_Input'!$A$4:$A$14,0))*K79</f>
        <v/>
      </c>
      <c r="S79" s="18">
        <f>R79*L79</f>
        <v/>
      </c>
      <c r="T79" s="18">
        <f>S79*M79</f>
        <v/>
      </c>
      <c r="U79" s="18">
        <f>INDEX('3_PRA_SWES_L1_Input'!$H$4:$H$14,MATCH($C79,'3_PRA_SWES_L1_Input'!$A$4:$A$14,0))*K79*L79*M79</f>
        <v/>
      </c>
    </row>
    <row r="80">
      <c r="A80" s="8">
        <f>'1_GICS_Structure'!G80</f>
        <v/>
      </c>
      <c r="B80" s="8">
        <f>'1_GICS_Structure'!H80</f>
        <v/>
      </c>
      <c r="C80" s="8">
        <f>'1_GICS_Structure'!A80</f>
        <v/>
      </c>
      <c r="D80" s="8">
        <f>'1_GICS_Structure'!C80</f>
        <v/>
      </c>
      <c r="E80" s="8">
        <f>'1_GICS_Structure'!E80</f>
        <v/>
      </c>
      <c r="F80" s="8">
        <f>'1_GICS_Structure'!J80</f>
        <v/>
      </c>
      <c r="G80" s="12">
        <f>INDEX('2_Damodaran_Betas'!$F$3:$F$97,MATCH('1_GICS_Structure'!I80,'2_Damodaran_Betas'!$A$3:$A$97,0))</f>
        <v/>
      </c>
      <c r="H80" s="12">
        <f>SUMPRODUCT(($E$3:$E$165=E80)*$F$3:$F$165*$G$3:$G$165)/SUMPRODUCT(($E$3:$E$165=E80)*$F$3:$F$165)</f>
        <v/>
      </c>
      <c r="I80" s="12">
        <f>SUMPRODUCT(($D$3:$D$165=D80)*$F$3:$F$165*$G$3:$G$165)/SUMPRODUCT(($D$3:$D$165=D80)*$F$3:$F$165)</f>
        <v/>
      </c>
      <c r="J80" s="12">
        <f>SUMPRODUCT(($C$3:$C$165=C80)*$F$3:$F$165*$G$3:$G$165)/SUMPRODUCT(($C$3:$C$165=C80)*$F$3:$F$165)</f>
        <v/>
      </c>
      <c r="K80" s="17">
        <f>I80/J80</f>
        <v/>
      </c>
      <c r="L80" s="17">
        <f>H80/I80</f>
        <v/>
      </c>
      <c r="M80" s="17">
        <f>G80/H80</f>
        <v/>
      </c>
      <c r="N80" s="18">
        <f>INDEX('3_PRA_SWES_L1_Input'!$D$4:$D$14,MATCH($C80,'3_PRA_SWES_L1_Input'!$A$4:$A$14,0))*K80</f>
        <v/>
      </c>
      <c r="O80" s="18">
        <f>N80*L80</f>
        <v/>
      </c>
      <c r="P80" s="18">
        <f>O80*M80</f>
        <v/>
      </c>
      <c r="Q80" s="18">
        <f>INDEX('3_PRA_SWES_L1_Input'!$E$4:$E$14,MATCH($C80,'3_PRA_SWES_L1_Input'!$A$4:$A$14,0))*K80*L80*M80</f>
        <v/>
      </c>
      <c r="R80" s="18">
        <f>INDEX('3_PRA_SWES_L1_Input'!$G$4:$G$14,MATCH($C80,'3_PRA_SWES_L1_Input'!$A$4:$A$14,0))*K80</f>
        <v/>
      </c>
      <c r="S80" s="18">
        <f>R80*L80</f>
        <v/>
      </c>
      <c r="T80" s="18">
        <f>S80*M80</f>
        <v/>
      </c>
      <c r="U80" s="18">
        <f>INDEX('3_PRA_SWES_L1_Input'!$H$4:$H$14,MATCH($C80,'3_PRA_SWES_L1_Input'!$A$4:$A$14,0))*K80*L80*M80</f>
        <v/>
      </c>
    </row>
    <row r="81">
      <c r="A81" s="8">
        <f>'1_GICS_Structure'!G81</f>
        <v/>
      </c>
      <c r="B81" s="8">
        <f>'1_GICS_Structure'!H81</f>
        <v/>
      </c>
      <c r="C81" s="8">
        <f>'1_GICS_Structure'!A81</f>
        <v/>
      </c>
      <c r="D81" s="8">
        <f>'1_GICS_Structure'!C81</f>
        <v/>
      </c>
      <c r="E81" s="8">
        <f>'1_GICS_Structure'!E81</f>
        <v/>
      </c>
      <c r="F81" s="8">
        <f>'1_GICS_Structure'!J81</f>
        <v/>
      </c>
      <c r="G81" s="12">
        <f>INDEX('2_Damodaran_Betas'!$F$3:$F$97,MATCH('1_GICS_Structure'!I81,'2_Damodaran_Betas'!$A$3:$A$97,0))</f>
        <v/>
      </c>
      <c r="H81" s="12">
        <f>SUMPRODUCT(($E$3:$E$165=E81)*$F$3:$F$165*$G$3:$G$165)/SUMPRODUCT(($E$3:$E$165=E81)*$F$3:$F$165)</f>
        <v/>
      </c>
      <c r="I81" s="12">
        <f>SUMPRODUCT(($D$3:$D$165=D81)*$F$3:$F$165*$G$3:$G$165)/SUMPRODUCT(($D$3:$D$165=D81)*$F$3:$F$165)</f>
        <v/>
      </c>
      <c r="J81" s="12">
        <f>SUMPRODUCT(($C$3:$C$165=C81)*$F$3:$F$165*$G$3:$G$165)/SUMPRODUCT(($C$3:$C$165=C81)*$F$3:$F$165)</f>
        <v/>
      </c>
      <c r="K81" s="17">
        <f>I81/J81</f>
        <v/>
      </c>
      <c r="L81" s="17">
        <f>H81/I81</f>
        <v/>
      </c>
      <c r="M81" s="17">
        <f>G81/H81</f>
        <v/>
      </c>
      <c r="N81" s="18">
        <f>INDEX('3_PRA_SWES_L1_Input'!$D$4:$D$14,MATCH($C81,'3_PRA_SWES_L1_Input'!$A$4:$A$14,0))*K81</f>
        <v/>
      </c>
      <c r="O81" s="18">
        <f>N81*L81</f>
        <v/>
      </c>
      <c r="P81" s="18">
        <f>O81*M81</f>
        <v/>
      </c>
      <c r="Q81" s="18">
        <f>INDEX('3_PRA_SWES_L1_Input'!$E$4:$E$14,MATCH($C81,'3_PRA_SWES_L1_Input'!$A$4:$A$14,0))*K81*L81*M81</f>
        <v/>
      </c>
      <c r="R81" s="18">
        <f>INDEX('3_PRA_SWES_L1_Input'!$G$4:$G$14,MATCH($C81,'3_PRA_SWES_L1_Input'!$A$4:$A$14,0))*K81</f>
        <v/>
      </c>
      <c r="S81" s="18">
        <f>R81*L81</f>
        <v/>
      </c>
      <c r="T81" s="18">
        <f>S81*M81</f>
        <v/>
      </c>
      <c r="U81" s="18">
        <f>INDEX('3_PRA_SWES_L1_Input'!$H$4:$H$14,MATCH($C81,'3_PRA_SWES_L1_Input'!$A$4:$A$14,0))*K81*L81*M81</f>
        <v/>
      </c>
    </row>
    <row r="82">
      <c r="A82" s="8">
        <f>'1_GICS_Structure'!G82</f>
        <v/>
      </c>
      <c r="B82" s="8">
        <f>'1_GICS_Structure'!H82</f>
        <v/>
      </c>
      <c r="C82" s="8">
        <f>'1_GICS_Structure'!A82</f>
        <v/>
      </c>
      <c r="D82" s="8">
        <f>'1_GICS_Structure'!C82</f>
        <v/>
      </c>
      <c r="E82" s="8">
        <f>'1_GICS_Structure'!E82</f>
        <v/>
      </c>
      <c r="F82" s="8">
        <f>'1_GICS_Structure'!J82</f>
        <v/>
      </c>
      <c r="G82" s="12">
        <f>INDEX('2_Damodaran_Betas'!$F$3:$F$97,MATCH('1_GICS_Structure'!I82,'2_Damodaran_Betas'!$A$3:$A$97,0))</f>
        <v/>
      </c>
      <c r="H82" s="12">
        <f>SUMPRODUCT(($E$3:$E$165=E82)*$F$3:$F$165*$G$3:$G$165)/SUMPRODUCT(($E$3:$E$165=E82)*$F$3:$F$165)</f>
        <v/>
      </c>
      <c r="I82" s="12">
        <f>SUMPRODUCT(($D$3:$D$165=D82)*$F$3:$F$165*$G$3:$G$165)/SUMPRODUCT(($D$3:$D$165=D82)*$F$3:$F$165)</f>
        <v/>
      </c>
      <c r="J82" s="12">
        <f>SUMPRODUCT(($C$3:$C$165=C82)*$F$3:$F$165*$G$3:$G$165)/SUMPRODUCT(($C$3:$C$165=C82)*$F$3:$F$165)</f>
        <v/>
      </c>
      <c r="K82" s="17">
        <f>I82/J82</f>
        <v/>
      </c>
      <c r="L82" s="17">
        <f>H82/I82</f>
        <v/>
      </c>
      <c r="M82" s="17">
        <f>G82/H82</f>
        <v/>
      </c>
      <c r="N82" s="18">
        <f>INDEX('3_PRA_SWES_L1_Input'!$D$4:$D$14,MATCH($C82,'3_PRA_SWES_L1_Input'!$A$4:$A$14,0))*K82</f>
        <v/>
      </c>
      <c r="O82" s="18">
        <f>N82*L82</f>
        <v/>
      </c>
      <c r="P82" s="18">
        <f>O82*M82</f>
        <v/>
      </c>
      <c r="Q82" s="18">
        <f>INDEX('3_PRA_SWES_L1_Input'!$E$4:$E$14,MATCH($C82,'3_PRA_SWES_L1_Input'!$A$4:$A$14,0))*K82*L82*M82</f>
        <v/>
      </c>
      <c r="R82" s="18">
        <f>INDEX('3_PRA_SWES_L1_Input'!$G$4:$G$14,MATCH($C82,'3_PRA_SWES_L1_Input'!$A$4:$A$14,0))*K82</f>
        <v/>
      </c>
      <c r="S82" s="18">
        <f>R82*L82</f>
        <v/>
      </c>
      <c r="T82" s="18">
        <f>S82*M82</f>
        <v/>
      </c>
      <c r="U82" s="18">
        <f>INDEX('3_PRA_SWES_L1_Input'!$H$4:$H$14,MATCH($C82,'3_PRA_SWES_L1_Input'!$A$4:$A$14,0))*K82*L82*M82</f>
        <v/>
      </c>
    </row>
    <row r="83">
      <c r="A83" s="8">
        <f>'1_GICS_Structure'!G83</f>
        <v/>
      </c>
      <c r="B83" s="8">
        <f>'1_GICS_Structure'!H83</f>
        <v/>
      </c>
      <c r="C83" s="8">
        <f>'1_GICS_Structure'!A83</f>
        <v/>
      </c>
      <c r="D83" s="8">
        <f>'1_GICS_Structure'!C83</f>
        <v/>
      </c>
      <c r="E83" s="8">
        <f>'1_GICS_Structure'!E83</f>
        <v/>
      </c>
      <c r="F83" s="8">
        <f>'1_GICS_Structure'!J83</f>
        <v/>
      </c>
      <c r="G83" s="12">
        <f>INDEX('2_Damodaran_Betas'!$F$3:$F$97,MATCH('1_GICS_Structure'!I83,'2_Damodaran_Betas'!$A$3:$A$97,0))</f>
        <v/>
      </c>
      <c r="H83" s="12">
        <f>SUMPRODUCT(($E$3:$E$165=E83)*$F$3:$F$165*$G$3:$G$165)/SUMPRODUCT(($E$3:$E$165=E83)*$F$3:$F$165)</f>
        <v/>
      </c>
      <c r="I83" s="12">
        <f>SUMPRODUCT(($D$3:$D$165=D83)*$F$3:$F$165*$G$3:$G$165)/SUMPRODUCT(($D$3:$D$165=D83)*$F$3:$F$165)</f>
        <v/>
      </c>
      <c r="J83" s="12">
        <f>SUMPRODUCT(($C$3:$C$165=C83)*$F$3:$F$165*$G$3:$G$165)/SUMPRODUCT(($C$3:$C$165=C83)*$F$3:$F$165)</f>
        <v/>
      </c>
      <c r="K83" s="17">
        <f>I83/J83</f>
        <v/>
      </c>
      <c r="L83" s="17">
        <f>H83/I83</f>
        <v/>
      </c>
      <c r="M83" s="17">
        <f>G83/H83</f>
        <v/>
      </c>
      <c r="N83" s="18">
        <f>INDEX('3_PRA_SWES_L1_Input'!$D$4:$D$14,MATCH($C83,'3_PRA_SWES_L1_Input'!$A$4:$A$14,0))*K83</f>
        <v/>
      </c>
      <c r="O83" s="18">
        <f>N83*L83</f>
        <v/>
      </c>
      <c r="P83" s="18">
        <f>O83*M83</f>
        <v/>
      </c>
      <c r="Q83" s="18">
        <f>INDEX('3_PRA_SWES_L1_Input'!$E$4:$E$14,MATCH($C83,'3_PRA_SWES_L1_Input'!$A$4:$A$14,0))*K83*L83*M83</f>
        <v/>
      </c>
      <c r="R83" s="18">
        <f>INDEX('3_PRA_SWES_L1_Input'!$G$4:$G$14,MATCH($C83,'3_PRA_SWES_L1_Input'!$A$4:$A$14,0))*K83</f>
        <v/>
      </c>
      <c r="S83" s="18">
        <f>R83*L83</f>
        <v/>
      </c>
      <c r="T83" s="18">
        <f>S83*M83</f>
        <v/>
      </c>
      <c r="U83" s="18">
        <f>INDEX('3_PRA_SWES_L1_Input'!$H$4:$H$14,MATCH($C83,'3_PRA_SWES_L1_Input'!$A$4:$A$14,0))*K83*L83*M83</f>
        <v/>
      </c>
    </row>
    <row r="84">
      <c r="A84" s="8">
        <f>'1_GICS_Structure'!G84</f>
        <v/>
      </c>
      <c r="B84" s="8">
        <f>'1_GICS_Structure'!H84</f>
        <v/>
      </c>
      <c r="C84" s="8">
        <f>'1_GICS_Structure'!A84</f>
        <v/>
      </c>
      <c r="D84" s="8">
        <f>'1_GICS_Structure'!C84</f>
        <v/>
      </c>
      <c r="E84" s="8">
        <f>'1_GICS_Structure'!E84</f>
        <v/>
      </c>
      <c r="F84" s="8">
        <f>'1_GICS_Structure'!J84</f>
        <v/>
      </c>
      <c r="G84" s="12">
        <f>INDEX('2_Damodaran_Betas'!$F$3:$F$97,MATCH('1_GICS_Structure'!I84,'2_Damodaran_Betas'!$A$3:$A$97,0))</f>
        <v/>
      </c>
      <c r="H84" s="12">
        <f>SUMPRODUCT(($E$3:$E$165=E84)*$F$3:$F$165*$G$3:$G$165)/SUMPRODUCT(($E$3:$E$165=E84)*$F$3:$F$165)</f>
        <v/>
      </c>
      <c r="I84" s="12">
        <f>SUMPRODUCT(($D$3:$D$165=D84)*$F$3:$F$165*$G$3:$G$165)/SUMPRODUCT(($D$3:$D$165=D84)*$F$3:$F$165)</f>
        <v/>
      </c>
      <c r="J84" s="12">
        <f>SUMPRODUCT(($C$3:$C$165=C84)*$F$3:$F$165*$G$3:$G$165)/SUMPRODUCT(($C$3:$C$165=C84)*$F$3:$F$165)</f>
        <v/>
      </c>
      <c r="K84" s="17">
        <f>I84/J84</f>
        <v/>
      </c>
      <c r="L84" s="17">
        <f>H84/I84</f>
        <v/>
      </c>
      <c r="M84" s="17">
        <f>G84/H84</f>
        <v/>
      </c>
      <c r="N84" s="18">
        <f>INDEX('3_PRA_SWES_L1_Input'!$D$4:$D$14,MATCH($C84,'3_PRA_SWES_L1_Input'!$A$4:$A$14,0))*K84</f>
        <v/>
      </c>
      <c r="O84" s="18">
        <f>N84*L84</f>
        <v/>
      </c>
      <c r="P84" s="18">
        <f>O84*M84</f>
        <v/>
      </c>
      <c r="Q84" s="18">
        <f>INDEX('3_PRA_SWES_L1_Input'!$E$4:$E$14,MATCH($C84,'3_PRA_SWES_L1_Input'!$A$4:$A$14,0))*K84*L84*M84</f>
        <v/>
      </c>
      <c r="R84" s="18">
        <f>INDEX('3_PRA_SWES_L1_Input'!$G$4:$G$14,MATCH($C84,'3_PRA_SWES_L1_Input'!$A$4:$A$14,0))*K84</f>
        <v/>
      </c>
      <c r="S84" s="18">
        <f>R84*L84</f>
        <v/>
      </c>
      <c r="T84" s="18">
        <f>S84*M84</f>
        <v/>
      </c>
      <c r="U84" s="18">
        <f>INDEX('3_PRA_SWES_L1_Input'!$H$4:$H$14,MATCH($C84,'3_PRA_SWES_L1_Input'!$A$4:$A$14,0))*K84*L84*M84</f>
        <v/>
      </c>
    </row>
    <row r="85">
      <c r="A85" s="8">
        <f>'1_GICS_Structure'!G85</f>
        <v/>
      </c>
      <c r="B85" s="8">
        <f>'1_GICS_Structure'!H85</f>
        <v/>
      </c>
      <c r="C85" s="8">
        <f>'1_GICS_Structure'!A85</f>
        <v/>
      </c>
      <c r="D85" s="8">
        <f>'1_GICS_Structure'!C85</f>
        <v/>
      </c>
      <c r="E85" s="8">
        <f>'1_GICS_Structure'!E85</f>
        <v/>
      </c>
      <c r="F85" s="8">
        <f>'1_GICS_Structure'!J85</f>
        <v/>
      </c>
      <c r="G85" s="12">
        <f>INDEX('2_Damodaran_Betas'!$F$3:$F$97,MATCH('1_GICS_Structure'!I85,'2_Damodaran_Betas'!$A$3:$A$97,0))</f>
        <v/>
      </c>
      <c r="H85" s="12">
        <f>SUMPRODUCT(($E$3:$E$165=E85)*$F$3:$F$165*$G$3:$G$165)/SUMPRODUCT(($E$3:$E$165=E85)*$F$3:$F$165)</f>
        <v/>
      </c>
      <c r="I85" s="12">
        <f>SUMPRODUCT(($D$3:$D$165=D85)*$F$3:$F$165*$G$3:$G$165)/SUMPRODUCT(($D$3:$D$165=D85)*$F$3:$F$165)</f>
        <v/>
      </c>
      <c r="J85" s="12">
        <f>SUMPRODUCT(($C$3:$C$165=C85)*$F$3:$F$165*$G$3:$G$165)/SUMPRODUCT(($C$3:$C$165=C85)*$F$3:$F$165)</f>
        <v/>
      </c>
      <c r="K85" s="17">
        <f>I85/J85</f>
        <v/>
      </c>
      <c r="L85" s="17">
        <f>H85/I85</f>
        <v/>
      </c>
      <c r="M85" s="17">
        <f>G85/H85</f>
        <v/>
      </c>
      <c r="N85" s="18">
        <f>INDEX('3_PRA_SWES_L1_Input'!$D$4:$D$14,MATCH($C85,'3_PRA_SWES_L1_Input'!$A$4:$A$14,0))*K85</f>
        <v/>
      </c>
      <c r="O85" s="18">
        <f>N85*L85</f>
        <v/>
      </c>
      <c r="P85" s="18">
        <f>O85*M85</f>
        <v/>
      </c>
      <c r="Q85" s="18">
        <f>INDEX('3_PRA_SWES_L1_Input'!$E$4:$E$14,MATCH($C85,'3_PRA_SWES_L1_Input'!$A$4:$A$14,0))*K85*L85*M85</f>
        <v/>
      </c>
      <c r="R85" s="18">
        <f>INDEX('3_PRA_SWES_L1_Input'!$G$4:$G$14,MATCH($C85,'3_PRA_SWES_L1_Input'!$A$4:$A$14,0))*K85</f>
        <v/>
      </c>
      <c r="S85" s="18">
        <f>R85*L85</f>
        <v/>
      </c>
      <c r="T85" s="18">
        <f>S85*M85</f>
        <v/>
      </c>
      <c r="U85" s="18">
        <f>INDEX('3_PRA_SWES_L1_Input'!$H$4:$H$14,MATCH($C85,'3_PRA_SWES_L1_Input'!$A$4:$A$14,0))*K85*L85*M85</f>
        <v/>
      </c>
    </row>
    <row r="86">
      <c r="A86" s="8">
        <f>'1_GICS_Structure'!G86</f>
        <v/>
      </c>
      <c r="B86" s="8">
        <f>'1_GICS_Structure'!H86</f>
        <v/>
      </c>
      <c r="C86" s="8">
        <f>'1_GICS_Structure'!A86</f>
        <v/>
      </c>
      <c r="D86" s="8">
        <f>'1_GICS_Structure'!C86</f>
        <v/>
      </c>
      <c r="E86" s="8">
        <f>'1_GICS_Structure'!E86</f>
        <v/>
      </c>
      <c r="F86" s="8">
        <f>'1_GICS_Structure'!J86</f>
        <v/>
      </c>
      <c r="G86" s="12">
        <f>INDEX('2_Damodaran_Betas'!$F$3:$F$97,MATCH('1_GICS_Structure'!I86,'2_Damodaran_Betas'!$A$3:$A$97,0))</f>
        <v/>
      </c>
      <c r="H86" s="12">
        <f>SUMPRODUCT(($E$3:$E$165=E86)*$F$3:$F$165*$G$3:$G$165)/SUMPRODUCT(($E$3:$E$165=E86)*$F$3:$F$165)</f>
        <v/>
      </c>
      <c r="I86" s="12">
        <f>SUMPRODUCT(($D$3:$D$165=D86)*$F$3:$F$165*$G$3:$G$165)/SUMPRODUCT(($D$3:$D$165=D86)*$F$3:$F$165)</f>
        <v/>
      </c>
      <c r="J86" s="12">
        <f>SUMPRODUCT(($C$3:$C$165=C86)*$F$3:$F$165*$G$3:$G$165)/SUMPRODUCT(($C$3:$C$165=C86)*$F$3:$F$165)</f>
        <v/>
      </c>
      <c r="K86" s="17">
        <f>I86/J86</f>
        <v/>
      </c>
      <c r="L86" s="17">
        <f>H86/I86</f>
        <v/>
      </c>
      <c r="M86" s="17">
        <f>G86/H86</f>
        <v/>
      </c>
      <c r="N86" s="18">
        <f>INDEX('3_PRA_SWES_L1_Input'!$D$4:$D$14,MATCH($C86,'3_PRA_SWES_L1_Input'!$A$4:$A$14,0))*K86</f>
        <v/>
      </c>
      <c r="O86" s="18">
        <f>N86*L86</f>
        <v/>
      </c>
      <c r="P86" s="18">
        <f>O86*M86</f>
        <v/>
      </c>
      <c r="Q86" s="18">
        <f>INDEX('3_PRA_SWES_L1_Input'!$E$4:$E$14,MATCH($C86,'3_PRA_SWES_L1_Input'!$A$4:$A$14,0))*K86*L86*M86</f>
        <v/>
      </c>
      <c r="R86" s="18">
        <f>INDEX('3_PRA_SWES_L1_Input'!$G$4:$G$14,MATCH($C86,'3_PRA_SWES_L1_Input'!$A$4:$A$14,0))*K86</f>
        <v/>
      </c>
      <c r="S86" s="18">
        <f>R86*L86</f>
        <v/>
      </c>
      <c r="T86" s="18">
        <f>S86*M86</f>
        <v/>
      </c>
      <c r="U86" s="18">
        <f>INDEX('3_PRA_SWES_L1_Input'!$H$4:$H$14,MATCH($C86,'3_PRA_SWES_L1_Input'!$A$4:$A$14,0))*K86*L86*M86</f>
        <v/>
      </c>
    </row>
    <row r="87">
      <c r="A87" s="8">
        <f>'1_GICS_Structure'!G87</f>
        <v/>
      </c>
      <c r="B87" s="8">
        <f>'1_GICS_Structure'!H87</f>
        <v/>
      </c>
      <c r="C87" s="8">
        <f>'1_GICS_Structure'!A87</f>
        <v/>
      </c>
      <c r="D87" s="8">
        <f>'1_GICS_Structure'!C87</f>
        <v/>
      </c>
      <c r="E87" s="8">
        <f>'1_GICS_Structure'!E87</f>
        <v/>
      </c>
      <c r="F87" s="8">
        <f>'1_GICS_Structure'!J87</f>
        <v/>
      </c>
      <c r="G87" s="12">
        <f>INDEX('2_Damodaran_Betas'!$F$3:$F$97,MATCH('1_GICS_Structure'!I87,'2_Damodaran_Betas'!$A$3:$A$97,0))</f>
        <v/>
      </c>
      <c r="H87" s="12">
        <f>SUMPRODUCT(($E$3:$E$165=E87)*$F$3:$F$165*$G$3:$G$165)/SUMPRODUCT(($E$3:$E$165=E87)*$F$3:$F$165)</f>
        <v/>
      </c>
      <c r="I87" s="12">
        <f>SUMPRODUCT(($D$3:$D$165=D87)*$F$3:$F$165*$G$3:$G$165)/SUMPRODUCT(($D$3:$D$165=D87)*$F$3:$F$165)</f>
        <v/>
      </c>
      <c r="J87" s="12">
        <f>SUMPRODUCT(($C$3:$C$165=C87)*$F$3:$F$165*$G$3:$G$165)/SUMPRODUCT(($C$3:$C$165=C87)*$F$3:$F$165)</f>
        <v/>
      </c>
      <c r="K87" s="17">
        <f>I87/J87</f>
        <v/>
      </c>
      <c r="L87" s="17">
        <f>H87/I87</f>
        <v/>
      </c>
      <c r="M87" s="17">
        <f>G87/H87</f>
        <v/>
      </c>
      <c r="N87" s="18">
        <f>INDEX('3_PRA_SWES_L1_Input'!$D$4:$D$14,MATCH($C87,'3_PRA_SWES_L1_Input'!$A$4:$A$14,0))*K87</f>
        <v/>
      </c>
      <c r="O87" s="18">
        <f>N87*L87</f>
        <v/>
      </c>
      <c r="P87" s="18">
        <f>O87*M87</f>
        <v/>
      </c>
      <c r="Q87" s="18">
        <f>INDEX('3_PRA_SWES_L1_Input'!$E$4:$E$14,MATCH($C87,'3_PRA_SWES_L1_Input'!$A$4:$A$14,0))*K87*L87*M87</f>
        <v/>
      </c>
      <c r="R87" s="18">
        <f>INDEX('3_PRA_SWES_L1_Input'!$G$4:$G$14,MATCH($C87,'3_PRA_SWES_L1_Input'!$A$4:$A$14,0))*K87</f>
        <v/>
      </c>
      <c r="S87" s="18">
        <f>R87*L87</f>
        <v/>
      </c>
      <c r="T87" s="18">
        <f>S87*M87</f>
        <v/>
      </c>
      <c r="U87" s="18">
        <f>INDEX('3_PRA_SWES_L1_Input'!$H$4:$H$14,MATCH($C87,'3_PRA_SWES_L1_Input'!$A$4:$A$14,0))*K87*L87*M87</f>
        <v/>
      </c>
    </row>
    <row r="88">
      <c r="A88" s="8">
        <f>'1_GICS_Structure'!G88</f>
        <v/>
      </c>
      <c r="B88" s="8">
        <f>'1_GICS_Structure'!H88</f>
        <v/>
      </c>
      <c r="C88" s="8">
        <f>'1_GICS_Structure'!A88</f>
        <v/>
      </c>
      <c r="D88" s="8">
        <f>'1_GICS_Structure'!C88</f>
        <v/>
      </c>
      <c r="E88" s="8">
        <f>'1_GICS_Structure'!E88</f>
        <v/>
      </c>
      <c r="F88" s="8">
        <f>'1_GICS_Structure'!J88</f>
        <v/>
      </c>
      <c r="G88" s="12">
        <f>INDEX('2_Damodaran_Betas'!$F$3:$F$97,MATCH('1_GICS_Structure'!I88,'2_Damodaran_Betas'!$A$3:$A$97,0))</f>
        <v/>
      </c>
      <c r="H88" s="12">
        <f>SUMPRODUCT(($E$3:$E$165=E88)*$F$3:$F$165*$G$3:$G$165)/SUMPRODUCT(($E$3:$E$165=E88)*$F$3:$F$165)</f>
        <v/>
      </c>
      <c r="I88" s="12">
        <f>SUMPRODUCT(($D$3:$D$165=D88)*$F$3:$F$165*$G$3:$G$165)/SUMPRODUCT(($D$3:$D$165=D88)*$F$3:$F$165)</f>
        <v/>
      </c>
      <c r="J88" s="12">
        <f>SUMPRODUCT(($C$3:$C$165=C88)*$F$3:$F$165*$G$3:$G$165)/SUMPRODUCT(($C$3:$C$165=C88)*$F$3:$F$165)</f>
        <v/>
      </c>
      <c r="K88" s="17">
        <f>I88/J88</f>
        <v/>
      </c>
      <c r="L88" s="17">
        <f>H88/I88</f>
        <v/>
      </c>
      <c r="M88" s="17">
        <f>G88/H88</f>
        <v/>
      </c>
      <c r="N88" s="18">
        <f>INDEX('3_PRA_SWES_L1_Input'!$D$4:$D$14,MATCH($C88,'3_PRA_SWES_L1_Input'!$A$4:$A$14,0))*K88</f>
        <v/>
      </c>
      <c r="O88" s="18">
        <f>N88*L88</f>
        <v/>
      </c>
      <c r="P88" s="18">
        <f>O88*M88</f>
        <v/>
      </c>
      <c r="Q88" s="18">
        <f>INDEX('3_PRA_SWES_L1_Input'!$E$4:$E$14,MATCH($C88,'3_PRA_SWES_L1_Input'!$A$4:$A$14,0))*K88*L88*M88</f>
        <v/>
      </c>
      <c r="R88" s="18">
        <f>INDEX('3_PRA_SWES_L1_Input'!$G$4:$G$14,MATCH($C88,'3_PRA_SWES_L1_Input'!$A$4:$A$14,0))*K88</f>
        <v/>
      </c>
      <c r="S88" s="18">
        <f>R88*L88</f>
        <v/>
      </c>
      <c r="T88" s="18">
        <f>S88*M88</f>
        <v/>
      </c>
      <c r="U88" s="18">
        <f>INDEX('3_PRA_SWES_L1_Input'!$H$4:$H$14,MATCH($C88,'3_PRA_SWES_L1_Input'!$A$4:$A$14,0))*K88*L88*M88</f>
        <v/>
      </c>
    </row>
    <row r="89">
      <c r="A89" s="8">
        <f>'1_GICS_Structure'!G89</f>
        <v/>
      </c>
      <c r="B89" s="8">
        <f>'1_GICS_Structure'!H89</f>
        <v/>
      </c>
      <c r="C89" s="8">
        <f>'1_GICS_Structure'!A89</f>
        <v/>
      </c>
      <c r="D89" s="8">
        <f>'1_GICS_Structure'!C89</f>
        <v/>
      </c>
      <c r="E89" s="8">
        <f>'1_GICS_Structure'!E89</f>
        <v/>
      </c>
      <c r="F89" s="8">
        <f>'1_GICS_Structure'!J89</f>
        <v/>
      </c>
      <c r="G89" s="12">
        <f>INDEX('2_Damodaran_Betas'!$F$3:$F$97,MATCH('1_GICS_Structure'!I89,'2_Damodaran_Betas'!$A$3:$A$97,0))</f>
        <v/>
      </c>
      <c r="H89" s="12">
        <f>SUMPRODUCT(($E$3:$E$165=E89)*$F$3:$F$165*$G$3:$G$165)/SUMPRODUCT(($E$3:$E$165=E89)*$F$3:$F$165)</f>
        <v/>
      </c>
      <c r="I89" s="12">
        <f>SUMPRODUCT(($D$3:$D$165=D89)*$F$3:$F$165*$G$3:$G$165)/SUMPRODUCT(($D$3:$D$165=D89)*$F$3:$F$165)</f>
        <v/>
      </c>
      <c r="J89" s="12">
        <f>SUMPRODUCT(($C$3:$C$165=C89)*$F$3:$F$165*$G$3:$G$165)/SUMPRODUCT(($C$3:$C$165=C89)*$F$3:$F$165)</f>
        <v/>
      </c>
      <c r="K89" s="17">
        <f>I89/J89</f>
        <v/>
      </c>
      <c r="L89" s="17">
        <f>H89/I89</f>
        <v/>
      </c>
      <c r="M89" s="17">
        <f>G89/H89</f>
        <v/>
      </c>
      <c r="N89" s="18">
        <f>INDEX('3_PRA_SWES_L1_Input'!$D$4:$D$14,MATCH($C89,'3_PRA_SWES_L1_Input'!$A$4:$A$14,0))*K89</f>
        <v/>
      </c>
      <c r="O89" s="18">
        <f>N89*L89</f>
        <v/>
      </c>
      <c r="P89" s="18">
        <f>O89*M89</f>
        <v/>
      </c>
      <c r="Q89" s="18">
        <f>INDEX('3_PRA_SWES_L1_Input'!$E$4:$E$14,MATCH($C89,'3_PRA_SWES_L1_Input'!$A$4:$A$14,0))*K89*L89*M89</f>
        <v/>
      </c>
      <c r="R89" s="18">
        <f>INDEX('3_PRA_SWES_L1_Input'!$G$4:$G$14,MATCH($C89,'3_PRA_SWES_L1_Input'!$A$4:$A$14,0))*K89</f>
        <v/>
      </c>
      <c r="S89" s="18">
        <f>R89*L89</f>
        <v/>
      </c>
      <c r="T89" s="18">
        <f>S89*M89</f>
        <v/>
      </c>
      <c r="U89" s="18">
        <f>INDEX('3_PRA_SWES_L1_Input'!$H$4:$H$14,MATCH($C89,'3_PRA_SWES_L1_Input'!$A$4:$A$14,0))*K89*L89*M89</f>
        <v/>
      </c>
    </row>
    <row r="90">
      <c r="A90" s="8">
        <f>'1_GICS_Structure'!G90</f>
        <v/>
      </c>
      <c r="B90" s="8">
        <f>'1_GICS_Structure'!H90</f>
        <v/>
      </c>
      <c r="C90" s="8">
        <f>'1_GICS_Structure'!A90</f>
        <v/>
      </c>
      <c r="D90" s="8">
        <f>'1_GICS_Structure'!C90</f>
        <v/>
      </c>
      <c r="E90" s="8">
        <f>'1_GICS_Structure'!E90</f>
        <v/>
      </c>
      <c r="F90" s="8">
        <f>'1_GICS_Structure'!J90</f>
        <v/>
      </c>
      <c r="G90" s="12">
        <f>INDEX('2_Damodaran_Betas'!$F$3:$F$97,MATCH('1_GICS_Structure'!I90,'2_Damodaran_Betas'!$A$3:$A$97,0))</f>
        <v/>
      </c>
      <c r="H90" s="12">
        <f>SUMPRODUCT(($E$3:$E$165=E90)*$F$3:$F$165*$G$3:$G$165)/SUMPRODUCT(($E$3:$E$165=E90)*$F$3:$F$165)</f>
        <v/>
      </c>
      <c r="I90" s="12">
        <f>SUMPRODUCT(($D$3:$D$165=D90)*$F$3:$F$165*$G$3:$G$165)/SUMPRODUCT(($D$3:$D$165=D90)*$F$3:$F$165)</f>
        <v/>
      </c>
      <c r="J90" s="12">
        <f>SUMPRODUCT(($C$3:$C$165=C90)*$F$3:$F$165*$G$3:$G$165)/SUMPRODUCT(($C$3:$C$165=C90)*$F$3:$F$165)</f>
        <v/>
      </c>
      <c r="K90" s="17">
        <f>I90/J90</f>
        <v/>
      </c>
      <c r="L90" s="17">
        <f>H90/I90</f>
        <v/>
      </c>
      <c r="M90" s="17">
        <f>G90/H90</f>
        <v/>
      </c>
      <c r="N90" s="18">
        <f>INDEX('3_PRA_SWES_L1_Input'!$D$4:$D$14,MATCH($C90,'3_PRA_SWES_L1_Input'!$A$4:$A$14,0))*K90</f>
        <v/>
      </c>
      <c r="O90" s="18">
        <f>N90*L90</f>
        <v/>
      </c>
      <c r="P90" s="18">
        <f>O90*M90</f>
        <v/>
      </c>
      <c r="Q90" s="18">
        <f>INDEX('3_PRA_SWES_L1_Input'!$E$4:$E$14,MATCH($C90,'3_PRA_SWES_L1_Input'!$A$4:$A$14,0))*K90*L90*M90</f>
        <v/>
      </c>
      <c r="R90" s="18">
        <f>INDEX('3_PRA_SWES_L1_Input'!$G$4:$G$14,MATCH($C90,'3_PRA_SWES_L1_Input'!$A$4:$A$14,0))*K90</f>
        <v/>
      </c>
      <c r="S90" s="18">
        <f>R90*L90</f>
        <v/>
      </c>
      <c r="T90" s="18">
        <f>S90*M90</f>
        <v/>
      </c>
      <c r="U90" s="18">
        <f>INDEX('3_PRA_SWES_L1_Input'!$H$4:$H$14,MATCH($C90,'3_PRA_SWES_L1_Input'!$A$4:$A$14,0))*K90*L90*M90</f>
        <v/>
      </c>
    </row>
    <row r="91">
      <c r="A91" s="8">
        <f>'1_GICS_Structure'!G91</f>
        <v/>
      </c>
      <c r="B91" s="8">
        <f>'1_GICS_Structure'!H91</f>
        <v/>
      </c>
      <c r="C91" s="8">
        <f>'1_GICS_Structure'!A91</f>
        <v/>
      </c>
      <c r="D91" s="8">
        <f>'1_GICS_Structure'!C91</f>
        <v/>
      </c>
      <c r="E91" s="8">
        <f>'1_GICS_Structure'!E91</f>
        <v/>
      </c>
      <c r="F91" s="8">
        <f>'1_GICS_Structure'!J91</f>
        <v/>
      </c>
      <c r="G91" s="12">
        <f>INDEX('2_Damodaran_Betas'!$F$3:$F$97,MATCH('1_GICS_Structure'!I91,'2_Damodaran_Betas'!$A$3:$A$97,0))</f>
        <v/>
      </c>
      <c r="H91" s="12">
        <f>SUMPRODUCT(($E$3:$E$165=E91)*$F$3:$F$165*$G$3:$G$165)/SUMPRODUCT(($E$3:$E$165=E91)*$F$3:$F$165)</f>
        <v/>
      </c>
      <c r="I91" s="12">
        <f>SUMPRODUCT(($D$3:$D$165=D91)*$F$3:$F$165*$G$3:$G$165)/SUMPRODUCT(($D$3:$D$165=D91)*$F$3:$F$165)</f>
        <v/>
      </c>
      <c r="J91" s="12">
        <f>SUMPRODUCT(($C$3:$C$165=C91)*$F$3:$F$165*$G$3:$G$165)/SUMPRODUCT(($C$3:$C$165=C91)*$F$3:$F$165)</f>
        <v/>
      </c>
      <c r="K91" s="17">
        <f>I91/J91</f>
        <v/>
      </c>
      <c r="L91" s="17">
        <f>H91/I91</f>
        <v/>
      </c>
      <c r="M91" s="17">
        <f>G91/H91</f>
        <v/>
      </c>
      <c r="N91" s="18">
        <f>INDEX('3_PRA_SWES_L1_Input'!$D$4:$D$14,MATCH($C91,'3_PRA_SWES_L1_Input'!$A$4:$A$14,0))*K91</f>
        <v/>
      </c>
      <c r="O91" s="18">
        <f>N91*L91</f>
        <v/>
      </c>
      <c r="P91" s="18">
        <f>O91*M91</f>
        <v/>
      </c>
      <c r="Q91" s="18">
        <f>INDEX('3_PRA_SWES_L1_Input'!$E$4:$E$14,MATCH($C91,'3_PRA_SWES_L1_Input'!$A$4:$A$14,0))*K91*L91*M91</f>
        <v/>
      </c>
      <c r="R91" s="18">
        <f>INDEX('3_PRA_SWES_L1_Input'!$G$4:$G$14,MATCH($C91,'3_PRA_SWES_L1_Input'!$A$4:$A$14,0))*K91</f>
        <v/>
      </c>
      <c r="S91" s="18">
        <f>R91*L91</f>
        <v/>
      </c>
      <c r="T91" s="18">
        <f>S91*M91</f>
        <v/>
      </c>
      <c r="U91" s="18">
        <f>INDEX('3_PRA_SWES_L1_Input'!$H$4:$H$14,MATCH($C91,'3_PRA_SWES_L1_Input'!$A$4:$A$14,0))*K91*L91*M91</f>
        <v/>
      </c>
    </row>
    <row r="92">
      <c r="A92" s="8">
        <f>'1_GICS_Structure'!G92</f>
        <v/>
      </c>
      <c r="B92" s="8">
        <f>'1_GICS_Structure'!H92</f>
        <v/>
      </c>
      <c r="C92" s="8">
        <f>'1_GICS_Structure'!A92</f>
        <v/>
      </c>
      <c r="D92" s="8">
        <f>'1_GICS_Structure'!C92</f>
        <v/>
      </c>
      <c r="E92" s="8">
        <f>'1_GICS_Structure'!E92</f>
        <v/>
      </c>
      <c r="F92" s="8">
        <f>'1_GICS_Structure'!J92</f>
        <v/>
      </c>
      <c r="G92" s="12">
        <f>INDEX('2_Damodaran_Betas'!$F$3:$F$97,MATCH('1_GICS_Structure'!I92,'2_Damodaran_Betas'!$A$3:$A$97,0))</f>
        <v/>
      </c>
      <c r="H92" s="12">
        <f>SUMPRODUCT(($E$3:$E$165=E92)*$F$3:$F$165*$G$3:$G$165)/SUMPRODUCT(($E$3:$E$165=E92)*$F$3:$F$165)</f>
        <v/>
      </c>
      <c r="I92" s="12">
        <f>SUMPRODUCT(($D$3:$D$165=D92)*$F$3:$F$165*$G$3:$G$165)/SUMPRODUCT(($D$3:$D$165=D92)*$F$3:$F$165)</f>
        <v/>
      </c>
      <c r="J92" s="12">
        <f>SUMPRODUCT(($C$3:$C$165=C92)*$F$3:$F$165*$G$3:$G$165)/SUMPRODUCT(($C$3:$C$165=C92)*$F$3:$F$165)</f>
        <v/>
      </c>
      <c r="K92" s="17">
        <f>I92/J92</f>
        <v/>
      </c>
      <c r="L92" s="17">
        <f>H92/I92</f>
        <v/>
      </c>
      <c r="M92" s="17">
        <f>G92/H92</f>
        <v/>
      </c>
      <c r="N92" s="18">
        <f>INDEX('3_PRA_SWES_L1_Input'!$D$4:$D$14,MATCH($C92,'3_PRA_SWES_L1_Input'!$A$4:$A$14,0))*K92</f>
        <v/>
      </c>
      <c r="O92" s="18">
        <f>N92*L92</f>
        <v/>
      </c>
      <c r="P92" s="18">
        <f>O92*M92</f>
        <v/>
      </c>
      <c r="Q92" s="18">
        <f>INDEX('3_PRA_SWES_L1_Input'!$E$4:$E$14,MATCH($C92,'3_PRA_SWES_L1_Input'!$A$4:$A$14,0))*K92*L92*M92</f>
        <v/>
      </c>
      <c r="R92" s="18">
        <f>INDEX('3_PRA_SWES_L1_Input'!$G$4:$G$14,MATCH($C92,'3_PRA_SWES_L1_Input'!$A$4:$A$14,0))*K92</f>
        <v/>
      </c>
      <c r="S92" s="18">
        <f>R92*L92</f>
        <v/>
      </c>
      <c r="T92" s="18">
        <f>S92*M92</f>
        <v/>
      </c>
      <c r="U92" s="18">
        <f>INDEX('3_PRA_SWES_L1_Input'!$H$4:$H$14,MATCH($C92,'3_PRA_SWES_L1_Input'!$A$4:$A$14,0))*K92*L92*M92</f>
        <v/>
      </c>
    </row>
    <row r="93">
      <c r="A93" s="8">
        <f>'1_GICS_Structure'!G93</f>
        <v/>
      </c>
      <c r="B93" s="8">
        <f>'1_GICS_Structure'!H93</f>
        <v/>
      </c>
      <c r="C93" s="8">
        <f>'1_GICS_Structure'!A93</f>
        <v/>
      </c>
      <c r="D93" s="8">
        <f>'1_GICS_Structure'!C93</f>
        <v/>
      </c>
      <c r="E93" s="8">
        <f>'1_GICS_Structure'!E93</f>
        <v/>
      </c>
      <c r="F93" s="8">
        <f>'1_GICS_Structure'!J93</f>
        <v/>
      </c>
      <c r="G93" s="12">
        <f>INDEX('2_Damodaran_Betas'!$F$3:$F$97,MATCH('1_GICS_Structure'!I93,'2_Damodaran_Betas'!$A$3:$A$97,0))</f>
        <v/>
      </c>
      <c r="H93" s="12">
        <f>SUMPRODUCT(($E$3:$E$165=E93)*$F$3:$F$165*$G$3:$G$165)/SUMPRODUCT(($E$3:$E$165=E93)*$F$3:$F$165)</f>
        <v/>
      </c>
      <c r="I93" s="12">
        <f>SUMPRODUCT(($D$3:$D$165=D93)*$F$3:$F$165*$G$3:$G$165)/SUMPRODUCT(($D$3:$D$165=D93)*$F$3:$F$165)</f>
        <v/>
      </c>
      <c r="J93" s="12">
        <f>SUMPRODUCT(($C$3:$C$165=C93)*$F$3:$F$165*$G$3:$G$165)/SUMPRODUCT(($C$3:$C$165=C93)*$F$3:$F$165)</f>
        <v/>
      </c>
      <c r="K93" s="17">
        <f>I93/J93</f>
        <v/>
      </c>
      <c r="L93" s="17">
        <f>H93/I93</f>
        <v/>
      </c>
      <c r="M93" s="17">
        <f>G93/H93</f>
        <v/>
      </c>
      <c r="N93" s="18">
        <f>INDEX('3_PRA_SWES_L1_Input'!$D$4:$D$14,MATCH($C93,'3_PRA_SWES_L1_Input'!$A$4:$A$14,0))*K93</f>
        <v/>
      </c>
      <c r="O93" s="18">
        <f>N93*L93</f>
        <v/>
      </c>
      <c r="P93" s="18">
        <f>O93*M93</f>
        <v/>
      </c>
      <c r="Q93" s="18">
        <f>INDEX('3_PRA_SWES_L1_Input'!$E$4:$E$14,MATCH($C93,'3_PRA_SWES_L1_Input'!$A$4:$A$14,0))*K93*L93*M93</f>
        <v/>
      </c>
      <c r="R93" s="18">
        <f>INDEX('3_PRA_SWES_L1_Input'!$G$4:$G$14,MATCH($C93,'3_PRA_SWES_L1_Input'!$A$4:$A$14,0))*K93</f>
        <v/>
      </c>
      <c r="S93" s="18">
        <f>R93*L93</f>
        <v/>
      </c>
      <c r="T93" s="18">
        <f>S93*M93</f>
        <v/>
      </c>
      <c r="U93" s="18">
        <f>INDEX('3_PRA_SWES_L1_Input'!$H$4:$H$14,MATCH($C93,'3_PRA_SWES_L1_Input'!$A$4:$A$14,0))*K93*L93*M93</f>
        <v/>
      </c>
    </row>
    <row r="94">
      <c r="A94" s="8">
        <f>'1_GICS_Structure'!G94</f>
        <v/>
      </c>
      <c r="B94" s="8">
        <f>'1_GICS_Structure'!H94</f>
        <v/>
      </c>
      <c r="C94" s="8">
        <f>'1_GICS_Structure'!A94</f>
        <v/>
      </c>
      <c r="D94" s="8">
        <f>'1_GICS_Structure'!C94</f>
        <v/>
      </c>
      <c r="E94" s="8">
        <f>'1_GICS_Structure'!E94</f>
        <v/>
      </c>
      <c r="F94" s="8">
        <f>'1_GICS_Structure'!J94</f>
        <v/>
      </c>
      <c r="G94" s="12">
        <f>INDEX('2_Damodaran_Betas'!$F$3:$F$97,MATCH('1_GICS_Structure'!I94,'2_Damodaran_Betas'!$A$3:$A$97,0))</f>
        <v/>
      </c>
      <c r="H94" s="12">
        <f>SUMPRODUCT(($E$3:$E$165=E94)*$F$3:$F$165*$G$3:$G$165)/SUMPRODUCT(($E$3:$E$165=E94)*$F$3:$F$165)</f>
        <v/>
      </c>
      <c r="I94" s="12">
        <f>SUMPRODUCT(($D$3:$D$165=D94)*$F$3:$F$165*$G$3:$G$165)/SUMPRODUCT(($D$3:$D$165=D94)*$F$3:$F$165)</f>
        <v/>
      </c>
      <c r="J94" s="12">
        <f>SUMPRODUCT(($C$3:$C$165=C94)*$F$3:$F$165*$G$3:$G$165)/SUMPRODUCT(($C$3:$C$165=C94)*$F$3:$F$165)</f>
        <v/>
      </c>
      <c r="K94" s="17">
        <f>I94/J94</f>
        <v/>
      </c>
      <c r="L94" s="17">
        <f>H94/I94</f>
        <v/>
      </c>
      <c r="M94" s="17">
        <f>G94/H94</f>
        <v/>
      </c>
      <c r="N94" s="18">
        <f>INDEX('3_PRA_SWES_L1_Input'!$D$4:$D$14,MATCH($C94,'3_PRA_SWES_L1_Input'!$A$4:$A$14,0))*K94</f>
        <v/>
      </c>
      <c r="O94" s="18">
        <f>N94*L94</f>
        <v/>
      </c>
      <c r="P94" s="18">
        <f>O94*M94</f>
        <v/>
      </c>
      <c r="Q94" s="18">
        <f>INDEX('3_PRA_SWES_L1_Input'!$E$4:$E$14,MATCH($C94,'3_PRA_SWES_L1_Input'!$A$4:$A$14,0))*K94*L94*M94</f>
        <v/>
      </c>
      <c r="R94" s="18">
        <f>INDEX('3_PRA_SWES_L1_Input'!$G$4:$G$14,MATCH($C94,'3_PRA_SWES_L1_Input'!$A$4:$A$14,0))*K94</f>
        <v/>
      </c>
      <c r="S94" s="18">
        <f>R94*L94</f>
        <v/>
      </c>
      <c r="T94" s="18">
        <f>S94*M94</f>
        <v/>
      </c>
      <c r="U94" s="18">
        <f>INDEX('3_PRA_SWES_L1_Input'!$H$4:$H$14,MATCH($C94,'3_PRA_SWES_L1_Input'!$A$4:$A$14,0))*K94*L94*M94</f>
        <v/>
      </c>
    </row>
    <row r="95">
      <c r="A95" s="8">
        <f>'1_GICS_Structure'!G95</f>
        <v/>
      </c>
      <c r="B95" s="8">
        <f>'1_GICS_Structure'!H95</f>
        <v/>
      </c>
      <c r="C95" s="8">
        <f>'1_GICS_Structure'!A95</f>
        <v/>
      </c>
      <c r="D95" s="8">
        <f>'1_GICS_Structure'!C95</f>
        <v/>
      </c>
      <c r="E95" s="8">
        <f>'1_GICS_Structure'!E95</f>
        <v/>
      </c>
      <c r="F95" s="8">
        <f>'1_GICS_Structure'!J95</f>
        <v/>
      </c>
      <c r="G95" s="12">
        <f>INDEX('2_Damodaran_Betas'!$F$3:$F$97,MATCH('1_GICS_Structure'!I95,'2_Damodaran_Betas'!$A$3:$A$97,0))</f>
        <v/>
      </c>
      <c r="H95" s="12">
        <f>SUMPRODUCT(($E$3:$E$165=E95)*$F$3:$F$165*$G$3:$G$165)/SUMPRODUCT(($E$3:$E$165=E95)*$F$3:$F$165)</f>
        <v/>
      </c>
      <c r="I95" s="12">
        <f>SUMPRODUCT(($D$3:$D$165=D95)*$F$3:$F$165*$G$3:$G$165)/SUMPRODUCT(($D$3:$D$165=D95)*$F$3:$F$165)</f>
        <v/>
      </c>
      <c r="J95" s="12">
        <f>SUMPRODUCT(($C$3:$C$165=C95)*$F$3:$F$165*$G$3:$G$165)/SUMPRODUCT(($C$3:$C$165=C95)*$F$3:$F$165)</f>
        <v/>
      </c>
      <c r="K95" s="17">
        <f>I95/J95</f>
        <v/>
      </c>
      <c r="L95" s="17">
        <f>H95/I95</f>
        <v/>
      </c>
      <c r="M95" s="17">
        <f>G95/H95</f>
        <v/>
      </c>
      <c r="N95" s="18">
        <f>INDEX('3_PRA_SWES_L1_Input'!$D$4:$D$14,MATCH($C95,'3_PRA_SWES_L1_Input'!$A$4:$A$14,0))*K95</f>
        <v/>
      </c>
      <c r="O95" s="18">
        <f>N95*L95</f>
        <v/>
      </c>
      <c r="P95" s="18">
        <f>O95*M95</f>
        <v/>
      </c>
      <c r="Q95" s="18">
        <f>INDEX('3_PRA_SWES_L1_Input'!$E$4:$E$14,MATCH($C95,'3_PRA_SWES_L1_Input'!$A$4:$A$14,0))*K95*L95*M95</f>
        <v/>
      </c>
      <c r="R95" s="18">
        <f>INDEX('3_PRA_SWES_L1_Input'!$G$4:$G$14,MATCH($C95,'3_PRA_SWES_L1_Input'!$A$4:$A$14,0))*K95</f>
        <v/>
      </c>
      <c r="S95" s="18">
        <f>R95*L95</f>
        <v/>
      </c>
      <c r="T95" s="18">
        <f>S95*M95</f>
        <v/>
      </c>
      <c r="U95" s="18">
        <f>INDEX('3_PRA_SWES_L1_Input'!$H$4:$H$14,MATCH($C95,'3_PRA_SWES_L1_Input'!$A$4:$A$14,0))*K95*L95*M95</f>
        <v/>
      </c>
    </row>
    <row r="96">
      <c r="A96" s="8">
        <f>'1_GICS_Structure'!G96</f>
        <v/>
      </c>
      <c r="B96" s="8">
        <f>'1_GICS_Structure'!H96</f>
        <v/>
      </c>
      <c r="C96" s="8">
        <f>'1_GICS_Structure'!A96</f>
        <v/>
      </c>
      <c r="D96" s="8">
        <f>'1_GICS_Structure'!C96</f>
        <v/>
      </c>
      <c r="E96" s="8">
        <f>'1_GICS_Structure'!E96</f>
        <v/>
      </c>
      <c r="F96" s="8">
        <f>'1_GICS_Structure'!J96</f>
        <v/>
      </c>
      <c r="G96" s="12">
        <f>INDEX('2_Damodaran_Betas'!$F$3:$F$97,MATCH('1_GICS_Structure'!I96,'2_Damodaran_Betas'!$A$3:$A$97,0))</f>
        <v/>
      </c>
      <c r="H96" s="12">
        <f>SUMPRODUCT(($E$3:$E$165=E96)*$F$3:$F$165*$G$3:$G$165)/SUMPRODUCT(($E$3:$E$165=E96)*$F$3:$F$165)</f>
        <v/>
      </c>
      <c r="I96" s="12">
        <f>SUMPRODUCT(($D$3:$D$165=D96)*$F$3:$F$165*$G$3:$G$165)/SUMPRODUCT(($D$3:$D$165=D96)*$F$3:$F$165)</f>
        <v/>
      </c>
      <c r="J96" s="12">
        <f>SUMPRODUCT(($C$3:$C$165=C96)*$F$3:$F$165*$G$3:$G$165)/SUMPRODUCT(($C$3:$C$165=C96)*$F$3:$F$165)</f>
        <v/>
      </c>
      <c r="K96" s="17">
        <f>I96/J96</f>
        <v/>
      </c>
      <c r="L96" s="17">
        <f>H96/I96</f>
        <v/>
      </c>
      <c r="M96" s="17">
        <f>G96/H96</f>
        <v/>
      </c>
      <c r="N96" s="18">
        <f>INDEX('3_PRA_SWES_L1_Input'!$D$4:$D$14,MATCH($C96,'3_PRA_SWES_L1_Input'!$A$4:$A$14,0))*K96</f>
        <v/>
      </c>
      <c r="O96" s="18">
        <f>N96*L96</f>
        <v/>
      </c>
      <c r="P96" s="18">
        <f>O96*M96</f>
        <v/>
      </c>
      <c r="Q96" s="18">
        <f>INDEX('3_PRA_SWES_L1_Input'!$E$4:$E$14,MATCH($C96,'3_PRA_SWES_L1_Input'!$A$4:$A$14,0))*K96*L96*M96</f>
        <v/>
      </c>
      <c r="R96" s="18">
        <f>INDEX('3_PRA_SWES_L1_Input'!$G$4:$G$14,MATCH($C96,'3_PRA_SWES_L1_Input'!$A$4:$A$14,0))*K96</f>
        <v/>
      </c>
      <c r="S96" s="18">
        <f>R96*L96</f>
        <v/>
      </c>
      <c r="T96" s="18">
        <f>S96*M96</f>
        <v/>
      </c>
      <c r="U96" s="18">
        <f>INDEX('3_PRA_SWES_L1_Input'!$H$4:$H$14,MATCH($C96,'3_PRA_SWES_L1_Input'!$A$4:$A$14,0))*K96*L96*M96</f>
        <v/>
      </c>
    </row>
    <row r="97">
      <c r="A97" s="8">
        <f>'1_GICS_Structure'!G97</f>
        <v/>
      </c>
      <c r="B97" s="8">
        <f>'1_GICS_Structure'!H97</f>
        <v/>
      </c>
      <c r="C97" s="8">
        <f>'1_GICS_Structure'!A97</f>
        <v/>
      </c>
      <c r="D97" s="8">
        <f>'1_GICS_Structure'!C97</f>
        <v/>
      </c>
      <c r="E97" s="8">
        <f>'1_GICS_Structure'!E97</f>
        <v/>
      </c>
      <c r="F97" s="8">
        <f>'1_GICS_Structure'!J97</f>
        <v/>
      </c>
      <c r="G97" s="12">
        <f>INDEX('2_Damodaran_Betas'!$F$3:$F$97,MATCH('1_GICS_Structure'!I97,'2_Damodaran_Betas'!$A$3:$A$97,0))</f>
        <v/>
      </c>
      <c r="H97" s="12">
        <f>SUMPRODUCT(($E$3:$E$165=E97)*$F$3:$F$165*$G$3:$G$165)/SUMPRODUCT(($E$3:$E$165=E97)*$F$3:$F$165)</f>
        <v/>
      </c>
      <c r="I97" s="12">
        <f>SUMPRODUCT(($D$3:$D$165=D97)*$F$3:$F$165*$G$3:$G$165)/SUMPRODUCT(($D$3:$D$165=D97)*$F$3:$F$165)</f>
        <v/>
      </c>
      <c r="J97" s="12">
        <f>SUMPRODUCT(($C$3:$C$165=C97)*$F$3:$F$165*$G$3:$G$165)/SUMPRODUCT(($C$3:$C$165=C97)*$F$3:$F$165)</f>
        <v/>
      </c>
      <c r="K97" s="17">
        <f>I97/J97</f>
        <v/>
      </c>
      <c r="L97" s="17">
        <f>H97/I97</f>
        <v/>
      </c>
      <c r="M97" s="17">
        <f>G97/H97</f>
        <v/>
      </c>
      <c r="N97" s="18">
        <f>INDEX('3_PRA_SWES_L1_Input'!$D$4:$D$14,MATCH($C97,'3_PRA_SWES_L1_Input'!$A$4:$A$14,0))*K97</f>
        <v/>
      </c>
      <c r="O97" s="18">
        <f>N97*L97</f>
        <v/>
      </c>
      <c r="P97" s="18">
        <f>O97*M97</f>
        <v/>
      </c>
      <c r="Q97" s="18">
        <f>INDEX('3_PRA_SWES_L1_Input'!$E$4:$E$14,MATCH($C97,'3_PRA_SWES_L1_Input'!$A$4:$A$14,0))*K97*L97*M97</f>
        <v/>
      </c>
      <c r="R97" s="18">
        <f>INDEX('3_PRA_SWES_L1_Input'!$G$4:$G$14,MATCH($C97,'3_PRA_SWES_L1_Input'!$A$4:$A$14,0))*K97</f>
        <v/>
      </c>
      <c r="S97" s="18">
        <f>R97*L97</f>
        <v/>
      </c>
      <c r="T97" s="18">
        <f>S97*M97</f>
        <v/>
      </c>
      <c r="U97" s="18">
        <f>INDEX('3_PRA_SWES_L1_Input'!$H$4:$H$14,MATCH($C97,'3_PRA_SWES_L1_Input'!$A$4:$A$14,0))*K97*L97*M97</f>
        <v/>
      </c>
    </row>
    <row r="98">
      <c r="A98" s="8">
        <f>'1_GICS_Structure'!G98</f>
        <v/>
      </c>
      <c r="B98" s="8">
        <f>'1_GICS_Structure'!H98</f>
        <v/>
      </c>
      <c r="C98" s="8">
        <f>'1_GICS_Structure'!A98</f>
        <v/>
      </c>
      <c r="D98" s="8">
        <f>'1_GICS_Structure'!C98</f>
        <v/>
      </c>
      <c r="E98" s="8">
        <f>'1_GICS_Structure'!E98</f>
        <v/>
      </c>
      <c r="F98" s="8">
        <f>'1_GICS_Structure'!J98</f>
        <v/>
      </c>
      <c r="G98" s="12">
        <f>INDEX('2_Damodaran_Betas'!$F$3:$F$97,MATCH('1_GICS_Structure'!I98,'2_Damodaran_Betas'!$A$3:$A$97,0))</f>
        <v/>
      </c>
      <c r="H98" s="12">
        <f>SUMPRODUCT(($E$3:$E$165=E98)*$F$3:$F$165*$G$3:$G$165)/SUMPRODUCT(($E$3:$E$165=E98)*$F$3:$F$165)</f>
        <v/>
      </c>
      <c r="I98" s="12">
        <f>SUMPRODUCT(($D$3:$D$165=D98)*$F$3:$F$165*$G$3:$G$165)/SUMPRODUCT(($D$3:$D$165=D98)*$F$3:$F$165)</f>
        <v/>
      </c>
      <c r="J98" s="12">
        <f>SUMPRODUCT(($C$3:$C$165=C98)*$F$3:$F$165*$G$3:$G$165)/SUMPRODUCT(($C$3:$C$165=C98)*$F$3:$F$165)</f>
        <v/>
      </c>
      <c r="K98" s="17">
        <f>I98/J98</f>
        <v/>
      </c>
      <c r="L98" s="17">
        <f>H98/I98</f>
        <v/>
      </c>
      <c r="M98" s="17">
        <f>G98/H98</f>
        <v/>
      </c>
      <c r="N98" s="18">
        <f>INDEX('3_PRA_SWES_L1_Input'!$D$4:$D$14,MATCH($C98,'3_PRA_SWES_L1_Input'!$A$4:$A$14,0))*K98</f>
        <v/>
      </c>
      <c r="O98" s="18">
        <f>N98*L98</f>
        <v/>
      </c>
      <c r="P98" s="18">
        <f>O98*M98</f>
        <v/>
      </c>
      <c r="Q98" s="18">
        <f>INDEX('3_PRA_SWES_L1_Input'!$E$4:$E$14,MATCH($C98,'3_PRA_SWES_L1_Input'!$A$4:$A$14,0))*K98*L98*M98</f>
        <v/>
      </c>
      <c r="R98" s="18">
        <f>INDEX('3_PRA_SWES_L1_Input'!$G$4:$G$14,MATCH($C98,'3_PRA_SWES_L1_Input'!$A$4:$A$14,0))*K98</f>
        <v/>
      </c>
      <c r="S98" s="18">
        <f>R98*L98</f>
        <v/>
      </c>
      <c r="T98" s="18">
        <f>S98*M98</f>
        <v/>
      </c>
      <c r="U98" s="18">
        <f>INDEX('3_PRA_SWES_L1_Input'!$H$4:$H$14,MATCH($C98,'3_PRA_SWES_L1_Input'!$A$4:$A$14,0))*K98*L98*M98</f>
        <v/>
      </c>
    </row>
    <row r="99">
      <c r="A99" s="8">
        <f>'1_GICS_Structure'!G99</f>
        <v/>
      </c>
      <c r="B99" s="8">
        <f>'1_GICS_Structure'!H99</f>
        <v/>
      </c>
      <c r="C99" s="8">
        <f>'1_GICS_Structure'!A99</f>
        <v/>
      </c>
      <c r="D99" s="8">
        <f>'1_GICS_Structure'!C99</f>
        <v/>
      </c>
      <c r="E99" s="8">
        <f>'1_GICS_Structure'!E99</f>
        <v/>
      </c>
      <c r="F99" s="8">
        <f>'1_GICS_Structure'!J99</f>
        <v/>
      </c>
      <c r="G99" s="12">
        <f>INDEX('2_Damodaran_Betas'!$F$3:$F$97,MATCH('1_GICS_Structure'!I99,'2_Damodaran_Betas'!$A$3:$A$97,0))</f>
        <v/>
      </c>
      <c r="H99" s="12">
        <f>SUMPRODUCT(($E$3:$E$165=E99)*$F$3:$F$165*$G$3:$G$165)/SUMPRODUCT(($E$3:$E$165=E99)*$F$3:$F$165)</f>
        <v/>
      </c>
      <c r="I99" s="12">
        <f>SUMPRODUCT(($D$3:$D$165=D99)*$F$3:$F$165*$G$3:$G$165)/SUMPRODUCT(($D$3:$D$165=D99)*$F$3:$F$165)</f>
        <v/>
      </c>
      <c r="J99" s="12">
        <f>SUMPRODUCT(($C$3:$C$165=C99)*$F$3:$F$165*$G$3:$G$165)/SUMPRODUCT(($C$3:$C$165=C99)*$F$3:$F$165)</f>
        <v/>
      </c>
      <c r="K99" s="17">
        <f>I99/J99</f>
        <v/>
      </c>
      <c r="L99" s="17">
        <f>H99/I99</f>
        <v/>
      </c>
      <c r="M99" s="17">
        <f>G99/H99</f>
        <v/>
      </c>
      <c r="N99" s="18">
        <f>INDEX('3_PRA_SWES_L1_Input'!$D$4:$D$14,MATCH($C99,'3_PRA_SWES_L1_Input'!$A$4:$A$14,0))*K99</f>
        <v/>
      </c>
      <c r="O99" s="18">
        <f>N99*L99</f>
        <v/>
      </c>
      <c r="P99" s="18">
        <f>O99*M99</f>
        <v/>
      </c>
      <c r="Q99" s="18">
        <f>INDEX('3_PRA_SWES_L1_Input'!$E$4:$E$14,MATCH($C99,'3_PRA_SWES_L1_Input'!$A$4:$A$14,0))*K99*L99*M99</f>
        <v/>
      </c>
      <c r="R99" s="18">
        <f>INDEX('3_PRA_SWES_L1_Input'!$G$4:$G$14,MATCH($C99,'3_PRA_SWES_L1_Input'!$A$4:$A$14,0))*K99</f>
        <v/>
      </c>
      <c r="S99" s="18">
        <f>R99*L99</f>
        <v/>
      </c>
      <c r="T99" s="18">
        <f>S99*M99</f>
        <v/>
      </c>
      <c r="U99" s="18">
        <f>INDEX('3_PRA_SWES_L1_Input'!$H$4:$H$14,MATCH($C99,'3_PRA_SWES_L1_Input'!$A$4:$A$14,0))*K99*L99*M99</f>
        <v/>
      </c>
    </row>
    <row r="100">
      <c r="A100" s="8">
        <f>'1_GICS_Structure'!G100</f>
        <v/>
      </c>
      <c r="B100" s="8">
        <f>'1_GICS_Structure'!H100</f>
        <v/>
      </c>
      <c r="C100" s="8">
        <f>'1_GICS_Structure'!A100</f>
        <v/>
      </c>
      <c r="D100" s="8">
        <f>'1_GICS_Structure'!C100</f>
        <v/>
      </c>
      <c r="E100" s="8">
        <f>'1_GICS_Structure'!E100</f>
        <v/>
      </c>
      <c r="F100" s="8">
        <f>'1_GICS_Structure'!J100</f>
        <v/>
      </c>
      <c r="G100" s="12">
        <f>INDEX('2_Damodaran_Betas'!$F$3:$F$97,MATCH('1_GICS_Structure'!I100,'2_Damodaran_Betas'!$A$3:$A$97,0))</f>
        <v/>
      </c>
      <c r="H100" s="12">
        <f>SUMPRODUCT(($E$3:$E$165=E100)*$F$3:$F$165*$G$3:$G$165)/SUMPRODUCT(($E$3:$E$165=E100)*$F$3:$F$165)</f>
        <v/>
      </c>
      <c r="I100" s="12">
        <f>SUMPRODUCT(($D$3:$D$165=D100)*$F$3:$F$165*$G$3:$G$165)/SUMPRODUCT(($D$3:$D$165=D100)*$F$3:$F$165)</f>
        <v/>
      </c>
      <c r="J100" s="12">
        <f>SUMPRODUCT(($C$3:$C$165=C100)*$F$3:$F$165*$G$3:$G$165)/SUMPRODUCT(($C$3:$C$165=C100)*$F$3:$F$165)</f>
        <v/>
      </c>
      <c r="K100" s="17">
        <f>I100/J100</f>
        <v/>
      </c>
      <c r="L100" s="17">
        <f>H100/I100</f>
        <v/>
      </c>
      <c r="M100" s="17">
        <f>G100/H100</f>
        <v/>
      </c>
      <c r="N100" s="18">
        <f>INDEX('3_PRA_SWES_L1_Input'!$D$4:$D$14,MATCH($C100,'3_PRA_SWES_L1_Input'!$A$4:$A$14,0))*K100</f>
        <v/>
      </c>
      <c r="O100" s="18">
        <f>N100*L100</f>
        <v/>
      </c>
      <c r="P100" s="18">
        <f>O100*M100</f>
        <v/>
      </c>
      <c r="Q100" s="18">
        <f>INDEX('3_PRA_SWES_L1_Input'!$E$4:$E$14,MATCH($C100,'3_PRA_SWES_L1_Input'!$A$4:$A$14,0))*K100*L100*M100</f>
        <v/>
      </c>
      <c r="R100" s="18">
        <f>INDEX('3_PRA_SWES_L1_Input'!$G$4:$G$14,MATCH($C100,'3_PRA_SWES_L1_Input'!$A$4:$A$14,0))*K100</f>
        <v/>
      </c>
      <c r="S100" s="18">
        <f>R100*L100</f>
        <v/>
      </c>
      <c r="T100" s="18">
        <f>S100*M100</f>
        <v/>
      </c>
      <c r="U100" s="18">
        <f>INDEX('3_PRA_SWES_L1_Input'!$H$4:$H$14,MATCH($C100,'3_PRA_SWES_L1_Input'!$A$4:$A$14,0))*K100*L100*M100</f>
        <v/>
      </c>
    </row>
    <row r="101">
      <c r="A101" s="8">
        <f>'1_GICS_Structure'!G101</f>
        <v/>
      </c>
      <c r="B101" s="8">
        <f>'1_GICS_Structure'!H101</f>
        <v/>
      </c>
      <c r="C101" s="8">
        <f>'1_GICS_Structure'!A101</f>
        <v/>
      </c>
      <c r="D101" s="8">
        <f>'1_GICS_Structure'!C101</f>
        <v/>
      </c>
      <c r="E101" s="8">
        <f>'1_GICS_Structure'!E101</f>
        <v/>
      </c>
      <c r="F101" s="8">
        <f>'1_GICS_Structure'!J101</f>
        <v/>
      </c>
      <c r="G101" s="12">
        <f>INDEX('2_Damodaran_Betas'!$F$3:$F$97,MATCH('1_GICS_Structure'!I101,'2_Damodaran_Betas'!$A$3:$A$97,0))</f>
        <v/>
      </c>
      <c r="H101" s="12">
        <f>SUMPRODUCT(($E$3:$E$165=E101)*$F$3:$F$165*$G$3:$G$165)/SUMPRODUCT(($E$3:$E$165=E101)*$F$3:$F$165)</f>
        <v/>
      </c>
      <c r="I101" s="12">
        <f>SUMPRODUCT(($D$3:$D$165=D101)*$F$3:$F$165*$G$3:$G$165)/SUMPRODUCT(($D$3:$D$165=D101)*$F$3:$F$165)</f>
        <v/>
      </c>
      <c r="J101" s="12">
        <f>SUMPRODUCT(($C$3:$C$165=C101)*$F$3:$F$165*$G$3:$G$165)/SUMPRODUCT(($C$3:$C$165=C101)*$F$3:$F$165)</f>
        <v/>
      </c>
      <c r="K101" s="17">
        <f>I101/J101</f>
        <v/>
      </c>
      <c r="L101" s="17">
        <f>H101/I101</f>
        <v/>
      </c>
      <c r="M101" s="17">
        <f>G101/H101</f>
        <v/>
      </c>
      <c r="N101" s="18">
        <f>INDEX('3_PRA_SWES_L1_Input'!$D$4:$D$14,MATCH($C101,'3_PRA_SWES_L1_Input'!$A$4:$A$14,0))*K101</f>
        <v/>
      </c>
      <c r="O101" s="18">
        <f>N101*L101</f>
        <v/>
      </c>
      <c r="P101" s="18">
        <f>O101*M101</f>
        <v/>
      </c>
      <c r="Q101" s="18">
        <f>INDEX('3_PRA_SWES_L1_Input'!$E$4:$E$14,MATCH($C101,'3_PRA_SWES_L1_Input'!$A$4:$A$14,0))*K101*L101*M101</f>
        <v/>
      </c>
      <c r="R101" s="18">
        <f>INDEX('3_PRA_SWES_L1_Input'!$G$4:$G$14,MATCH($C101,'3_PRA_SWES_L1_Input'!$A$4:$A$14,0))*K101</f>
        <v/>
      </c>
      <c r="S101" s="18">
        <f>R101*L101</f>
        <v/>
      </c>
      <c r="T101" s="18">
        <f>S101*M101</f>
        <v/>
      </c>
      <c r="U101" s="18">
        <f>INDEX('3_PRA_SWES_L1_Input'!$H$4:$H$14,MATCH($C101,'3_PRA_SWES_L1_Input'!$A$4:$A$14,0))*K101*L101*M101</f>
        <v/>
      </c>
    </row>
    <row r="102">
      <c r="A102" s="8">
        <f>'1_GICS_Structure'!G102</f>
        <v/>
      </c>
      <c r="B102" s="8">
        <f>'1_GICS_Structure'!H102</f>
        <v/>
      </c>
      <c r="C102" s="8">
        <f>'1_GICS_Structure'!A102</f>
        <v/>
      </c>
      <c r="D102" s="8">
        <f>'1_GICS_Structure'!C102</f>
        <v/>
      </c>
      <c r="E102" s="8">
        <f>'1_GICS_Structure'!E102</f>
        <v/>
      </c>
      <c r="F102" s="8">
        <f>'1_GICS_Structure'!J102</f>
        <v/>
      </c>
      <c r="G102" s="12">
        <f>INDEX('2_Damodaran_Betas'!$F$3:$F$97,MATCH('1_GICS_Structure'!I102,'2_Damodaran_Betas'!$A$3:$A$97,0))</f>
        <v/>
      </c>
      <c r="H102" s="12">
        <f>SUMPRODUCT(($E$3:$E$165=E102)*$F$3:$F$165*$G$3:$G$165)/SUMPRODUCT(($E$3:$E$165=E102)*$F$3:$F$165)</f>
        <v/>
      </c>
      <c r="I102" s="12">
        <f>SUMPRODUCT(($D$3:$D$165=D102)*$F$3:$F$165*$G$3:$G$165)/SUMPRODUCT(($D$3:$D$165=D102)*$F$3:$F$165)</f>
        <v/>
      </c>
      <c r="J102" s="12">
        <f>SUMPRODUCT(($C$3:$C$165=C102)*$F$3:$F$165*$G$3:$G$165)/SUMPRODUCT(($C$3:$C$165=C102)*$F$3:$F$165)</f>
        <v/>
      </c>
      <c r="K102" s="17">
        <f>I102/J102</f>
        <v/>
      </c>
      <c r="L102" s="17">
        <f>H102/I102</f>
        <v/>
      </c>
      <c r="M102" s="17">
        <f>G102/H102</f>
        <v/>
      </c>
      <c r="N102" s="18">
        <f>INDEX('3_PRA_SWES_L1_Input'!$D$4:$D$14,MATCH($C102,'3_PRA_SWES_L1_Input'!$A$4:$A$14,0))*K102</f>
        <v/>
      </c>
      <c r="O102" s="18">
        <f>N102*L102</f>
        <v/>
      </c>
      <c r="P102" s="18">
        <f>O102*M102</f>
        <v/>
      </c>
      <c r="Q102" s="18">
        <f>INDEX('3_PRA_SWES_L1_Input'!$E$4:$E$14,MATCH($C102,'3_PRA_SWES_L1_Input'!$A$4:$A$14,0))*K102*L102*M102</f>
        <v/>
      </c>
      <c r="R102" s="18">
        <f>INDEX('3_PRA_SWES_L1_Input'!$G$4:$G$14,MATCH($C102,'3_PRA_SWES_L1_Input'!$A$4:$A$14,0))*K102</f>
        <v/>
      </c>
      <c r="S102" s="18">
        <f>R102*L102</f>
        <v/>
      </c>
      <c r="T102" s="18">
        <f>S102*M102</f>
        <v/>
      </c>
      <c r="U102" s="18">
        <f>INDEX('3_PRA_SWES_L1_Input'!$H$4:$H$14,MATCH($C102,'3_PRA_SWES_L1_Input'!$A$4:$A$14,0))*K102*L102*M102</f>
        <v/>
      </c>
    </row>
    <row r="103">
      <c r="A103" s="8">
        <f>'1_GICS_Structure'!G103</f>
        <v/>
      </c>
      <c r="B103" s="8">
        <f>'1_GICS_Structure'!H103</f>
        <v/>
      </c>
      <c r="C103" s="8">
        <f>'1_GICS_Structure'!A103</f>
        <v/>
      </c>
      <c r="D103" s="8">
        <f>'1_GICS_Structure'!C103</f>
        <v/>
      </c>
      <c r="E103" s="8">
        <f>'1_GICS_Structure'!E103</f>
        <v/>
      </c>
      <c r="F103" s="8">
        <f>'1_GICS_Structure'!J103</f>
        <v/>
      </c>
      <c r="G103" s="12">
        <f>INDEX('2_Damodaran_Betas'!$F$3:$F$97,MATCH('1_GICS_Structure'!I103,'2_Damodaran_Betas'!$A$3:$A$97,0))</f>
        <v/>
      </c>
      <c r="H103" s="12">
        <f>SUMPRODUCT(($E$3:$E$165=E103)*$F$3:$F$165*$G$3:$G$165)/SUMPRODUCT(($E$3:$E$165=E103)*$F$3:$F$165)</f>
        <v/>
      </c>
      <c r="I103" s="12">
        <f>SUMPRODUCT(($D$3:$D$165=D103)*$F$3:$F$165*$G$3:$G$165)/SUMPRODUCT(($D$3:$D$165=D103)*$F$3:$F$165)</f>
        <v/>
      </c>
      <c r="J103" s="12">
        <f>SUMPRODUCT(($C$3:$C$165=C103)*$F$3:$F$165*$G$3:$G$165)/SUMPRODUCT(($C$3:$C$165=C103)*$F$3:$F$165)</f>
        <v/>
      </c>
      <c r="K103" s="17">
        <f>I103/J103</f>
        <v/>
      </c>
      <c r="L103" s="17">
        <f>H103/I103</f>
        <v/>
      </c>
      <c r="M103" s="17">
        <f>G103/H103</f>
        <v/>
      </c>
      <c r="N103" s="18">
        <f>INDEX('3_PRA_SWES_L1_Input'!$D$4:$D$14,MATCH($C103,'3_PRA_SWES_L1_Input'!$A$4:$A$14,0))*K103</f>
        <v/>
      </c>
      <c r="O103" s="18">
        <f>N103*L103</f>
        <v/>
      </c>
      <c r="P103" s="18">
        <f>O103*M103</f>
        <v/>
      </c>
      <c r="Q103" s="18">
        <f>INDEX('3_PRA_SWES_L1_Input'!$E$4:$E$14,MATCH($C103,'3_PRA_SWES_L1_Input'!$A$4:$A$14,0))*K103*L103*M103</f>
        <v/>
      </c>
      <c r="R103" s="18">
        <f>INDEX('3_PRA_SWES_L1_Input'!$G$4:$G$14,MATCH($C103,'3_PRA_SWES_L1_Input'!$A$4:$A$14,0))*K103</f>
        <v/>
      </c>
      <c r="S103" s="18">
        <f>R103*L103</f>
        <v/>
      </c>
      <c r="T103" s="18">
        <f>S103*M103</f>
        <v/>
      </c>
      <c r="U103" s="18">
        <f>INDEX('3_PRA_SWES_L1_Input'!$H$4:$H$14,MATCH($C103,'3_PRA_SWES_L1_Input'!$A$4:$A$14,0))*K103*L103*M103</f>
        <v/>
      </c>
    </row>
    <row r="104">
      <c r="A104" s="8">
        <f>'1_GICS_Structure'!G104</f>
        <v/>
      </c>
      <c r="B104" s="8">
        <f>'1_GICS_Structure'!H104</f>
        <v/>
      </c>
      <c r="C104" s="8">
        <f>'1_GICS_Structure'!A104</f>
        <v/>
      </c>
      <c r="D104" s="8">
        <f>'1_GICS_Structure'!C104</f>
        <v/>
      </c>
      <c r="E104" s="8">
        <f>'1_GICS_Structure'!E104</f>
        <v/>
      </c>
      <c r="F104" s="8">
        <f>'1_GICS_Structure'!J104</f>
        <v/>
      </c>
      <c r="G104" s="12">
        <f>INDEX('2_Damodaran_Betas'!$F$3:$F$97,MATCH('1_GICS_Structure'!I104,'2_Damodaran_Betas'!$A$3:$A$97,0))</f>
        <v/>
      </c>
      <c r="H104" s="12">
        <f>SUMPRODUCT(($E$3:$E$165=E104)*$F$3:$F$165*$G$3:$G$165)/SUMPRODUCT(($E$3:$E$165=E104)*$F$3:$F$165)</f>
        <v/>
      </c>
      <c r="I104" s="12">
        <f>SUMPRODUCT(($D$3:$D$165=D104)*$F$3:$F$165*$G$3:$G$165)/SUMPRODUCT(($D$3:$D$165=D104)*$F$3:$F$165)</f>
        <v/>
      </c>
      <c r="J104" s="12">
        <f>SUMPRODUCT(($C$3:$C$165=C104)*$F$3:$F$165*$G$3:$G$165)/SUMPRODUCT(($C$3:$C$165=C104)*$F$3:$F$165)</f>
        <v/>
      </c>
      <c r="K104" s="17">
        <f>I104/J104</f>
        <v/>
      </c>
      <c r="L104" s="17">
        <f>H104/I104</f>
        <v/>
      </c>
      <c r="M104" s="17">
        <f>G104/H104</f>
        <v/>
      </c>
      <c r="N104" s="18">
        <f>INDEX('3_PRA_SWES_L1_Input'!$D$4:$D$14,MATCH($C104,'3_PRA_SWES_L1_Input'!$A$4:$A$14,0))*K104</f>
        <v/>
      </c>
      <c r="O104" s="18">
        <f>N104*L104</f>
        <v/>
      </c>
      <c r="P104" s="18">
        <f>O104*M104</f>
        <v/>
      </c>
      <c r="Q104" s="18">
        <f>INDEX('3_PRA_SWES_L1_Input'!$E$4:$E$14,MATCH($C104,'3_PRA_SWES_L1_Input'!$A$4:$A$14,0))*K104*L104*M104</f>
        <v/>
      </c>
      <c r="R104" s="18">
        <f>INDEX('3_PRA_SWES_L1_Input'!$G$4:$G$14,MATCH($C104,'3_PRA_SWES_L1_Input'!$A$4:$A$14,0))*K104</f>
        <v/>
      </c>
      <c r="S104" s="18">
        <f>R104*L104</f>
        <v/>
      </c>
      <c r="T104" s="18">
        <f>S104*M104</f>
        <v/>
      </c>
      <c r="U104" s="18">
        <f>INDEX('3_PRA_SWES_L1_Input'!$H$4:$H$14,MATCH($C104,'3_PRA_SWES_L1_Input'!$A$4:$A$14,0))*K104*L104*M104</f>
        <v/>
      </c>
    </row>
    <row r="105">
      <c r="A105" s="8">
        <f>'1_GICS_Structure'!G105</f>
        <v/>
      </c>
      <c r="B105" s="8">
        <f>'1_GICS_Structure'!H105</f>
        <v/>
      </c>
      <c r="C105" s="8">
        <f>'1_GICS_Structure'!A105</f>
        <v/>
      </c>
      <c r="D105" s="8">
        <f>'1_GICS_Structure'!C105</f>
        <v/>
      </c>
      <c r="E105" s="8">
        <f>'1_GICS_Structure'!E105</f>
        <v/>
      </c>
      <c r="F105" s="8">
        <f>'1_GICS_Structure'!J105</f>
        <v/>
      </c>
      <c r="G105" s="12">
        <f>INDEX('2_Damodaran_Betas'!$F$3:$F$97,MATCH('1_GICS_Structure'!I105,'2_Damodaran_Betas'!$A$3:$A$97,0))</f>
        <v/>
      </c>
      <c r="H105" s="12">
        <f>SUMPRODUCT(($E$3:$E$165=E105)*$F$3:$F$165*$G$3:$G$165)/SUMPRODUCT(($E$3:$E$165=E105)*$F$3:$F$165)</f>
        <v/>
      </c>
      <c r="I105" s="12">
        <f>SUMPRODUCT(($D$3:$D$165=D105)*$F$3:$F$165*$G$3:$G$165)/SUMPRODUCT(($D$3:$D$165=D105)*$F$3:$F$165)</f>
        <v/>
      </c>
      <c r="J105" s="12">
        <f>SUMPRODUCT(($C$3:$C$165=C105)*$F$3:$F$165*$G$3:$G$165)/SUMPRODUCT(($C$3:$C$165=C105)*$F$3:$F$165)</f>
        <v/>
      </c>
      <c r="K105" s="17">
        <f>I105/J105</f>
        <v/>
      </c>
      <c r="L105" s="17">
        <f>H105/I105</f>
        <v/>
      </c>
      <c r="M105" s="17">
        <f>G105/H105</f>
        <v/>
      </c>
      <c r="N105" s="18">
        <f>INDEX('3_PRA_SWES_L1_Input'!$D$4:$D$14,MATCH($C105,'3_PRA_SWES_L1_Input'!$A$4:$A$14,0))*K105</f>
        <v/>
      </c>
      <c r="O105" s="18">
        <f>N105*L105</f>
        <v/>
      </c>
      <c r="P105" s="18">
        <f>O105*M105</f>
        <v/>
      </c>
      <c r="Q105" s="18">
        <f>INDEX('3_PRA_SWES_L1_Input'!$E$4:$E$14,MATCH($C105,'3_PRA_SWES_L1_Input'!$A$4:$A$14,0))*K105*L105*M105</f>
        <v/>
      </c>
      <c r="R105" s="18">
        <f>INDEX('3_PRA_SWES_L1_Input'!$G$4:$G$14,MATCH($C105,'3_PRA_SWES_L1_Input'!$A$4:$A$14,0))*K105</f>
        <v/>
      </c>
      <c r="S105" s="18">
        <f>R105*L105</f>
        <v/>
      </c>
      <c r="T105" s="18">
        <f>S105*M105</f>
        <v/>
      </c>
      <c r="U105" s="18">
        <f>INDEX('3_PRA_SWES_L1_Input'!$H$4:$H$14,MATCH($C105,'3_PRA_SWES_L1_Input'!$A$4:$A$14,0))*K105*L105*M105</f>
        <v/>
      </c>
    </row>
    <row r="106">
      <c r="A106" s="8">
        <f>'1_GICS_Structure'!G106</f>
        <v/>
      </c>
      <c r="B106" s="8">
        <f>'1_GICS_Structure'!H106</f>
        <v/>
      </c>
      <c r="C106" s="8">
        <f>'1_GICS_Structure'!A106</f>
        <v/>
      </c>
      <c r="D106" s="8">
        <f>'1_GICS_Structure'!C106</f>
        <v/>
      </c>
      <c r="E106" s="8">
        <f>'1_GICS_Structure'!E106</f>
        <v/>
      </c>
      <c r="F106" s="8">
        <f>'1_GICS_Structure'!J106</f>
        <v/>
      </c>
      <c r="G106" s="12">
        <f>INDEX('2_Damodaran_Betas'!$F$3:$F$97,MATCH('1_GICS_Structure'!I106,'2_Damodaran_Betas'!$A$3:$A$97,0))</f>
        <v/>
      </c>
      <c r="H106" s="12">
        <f>SUMPRODUCT(($E$3:$E$165=E106)*$F$3:$F$165*$G$3:$G$165)/SUMPRODUCT(($E$3:$E$165=E106)*$F$3:$F$165)</f>
        <v/>
      </c>
      <c r="I106" s="12">
        <f>SUMPRODUCT(($D$3:$D$165=D106)*$F$3:$F$165*$G$3:$G$165)/SUMPRODUCT(($D$3:$D$165=D106)*$F$3:$F$165)</f>
        <v/>
      </c>
      <c r="J106" s="12">
        <f>SUMPRODUCT(($C$3:$C$165=C106)*$F$3:$F$165*$G$3:$G$165)/SUMPRODUCT(($C$3:$C$165=C106)*$F$3:$F$165)</f>
        <v/>
      </c>
      <c r="K106" s="17">
        <f>I106/J106</f>
        <v/>
      </c>
      <c r="L106" s="17">
        <f>H106/I106</f>
        <v/>
      </c>
      <c r="M106" s="17">
        <f>G106/H106</f>
        <v/>
      </c>
      <c r="N106" s="18">
        <f>INDEX('3_PRA_SWES_L1_Input'!$D$4:$D$14,MATCH($C106,'3_PRA_SWES_L1_Input'!$A$4:$A$14,0))*K106</f>
        <v/>
      </c>
      <c r="O106" s="18">
        <f>N106*L106</f>
        <v/>
      </c>
      <c r="P106" s="18">
        <f>O106*M106</f>
        <v/>
      </c>
      <c r="Q106" s="18">
        <f>INDEX('3_PRA_SWES_L1_Input'!$E$4:$E$14,MATCH($C106,'3_PRA_SWES_L1_Input'!$A$4:$A$14,0))*K106*L106*M106</f>
        <v/>
      </c>
      <c r="R106" s="18">
        <f>INDEX('3_PRA_SWES_L1_Input'!$G$4:$G$14,MATCH($C106,'3_PRA_SWES_L1_Input'!$A$4:$A$14,0))*K106</f>
        <v/>
      </c>
      <c r="S106" s="18">
        <f>R106*L106</f>
        <v/>
      </c>
      <c r="T106" s="18">
        <f>S106*M106</f>
        <v/>
      </c>
      <c r="U106" s="18">
        <f>INDEX('3_PRA_SWES_L1_Input'!$H$4:$H$14,MATCH($C106,'3_PRA_SWES_L1_Input'!$A$4:$A$14,0))*K106*L106*M106</f>
        <v/>
      </c>
    </row>
    <row r="107">
      <c r="A107" s="8">
        <f>'1_GICS_Structure'!G107</f>
        <v/>
      </c>
      <c r="B107" s="8">
        <f>'1_GICS_Structure'!H107</f>
        <v/>
      </c>
      <c r="C107" s="8">
        <f>'1_GICS_Structure'!A107</f>
        <v/>
      </c>
      <c r="D107" s="8">
        <f>'1_GICS_Structure'!C107</f>
        <v/>
      </c>
      <c r="E107" s="8">
        <f>'1_GICS_Structure'!E107</f>
        <v/>
      </c>
      <c r="F107" s="8">
        <f>'1_GICS_Structure'!J107</f>
        <v/>
      </c>
      <c r="G107" s="12">
        <f>INDEX('2_Damodaran_Betas'!$F$3:$F$97,MATCH('1_GICS_Structure'!I107,'2_Damodaran_Betas'!$A$3:$A$97,0))</f>
        <v/>
      </c>
      <c r="H107" s="12">
        <f>SUMPRODUCT(($E$3:$E$165=E107)*$F$3:$F$165*$G$3:$G$165)/SUMPRODUCT(($E$3:$E$165=E107)*$F$3:$F$165)</f>
        <v/>
      </c>
      <c r="I107" s="12">
        <f>SUMPRODUCT(($D$3:$D$165=D107)*$F$3:$F$165*$G$3:$G$165)/SUMPRODUCT(($D$3:$D$165=D107)*$F$3:$F$165)</f>
        <v/>
      </c>
      <c r="J107" s="12">
        <f>SUMPRODUCT(($C$3:$C$165=C107)*$F$3:$F$165*$G$3:$G$165)/SUMPRODUCT(($C$3:$C$165=C107)*$F$3:$F$165)</f>
        <v/>
      </c>
      <c r="K107" s="17">
        <f>I107/J107</f>
        <v/>
      </c>
      <c r="L107" s="17">
        <f>H107/I107</f>
        <v/>
      </c>
      <c r="M107" s="17">
        <f>G107/H107</f>
        <v/>
      </c>
      <c r="N107" s="18">
        <f>INDEX('3_PRA_SWES_L1_Input'!$D$4:$D$14,MATCH($C107,'3_PRA_SWES_L1_Input'!$A$4:$A$14,0))*K107</f>
        <v/>
      </c>
      <c r="O107" s="18">
        <f>N107*L107</f>
        <v/>
      </c>
      <c r="P107" s="18">
        <f>O107*M107</f>
        <v/>
      </c>
      <c r="Q107" s="18">
        <f>INDEX('3_PRA_SWES_L1_Input'!$E$4:$E$14,MATCH($C107,'3_PRA_SWES_L1_Input'!$A$4:$A$14,0))*K107*L107*M107</f>
        <v/>
      </c>
      <c r="R107" s="18">
        <f>INDEX('3_PRA_SWES_L1_Input'!$G$4:$G$14,MATCH($C107,'3_PRA_SWES_L1_Input'!$A$4:$A$14,0))*K107</f>
        <v/>
      </c>
      <c r="S107" s="18">
        <f>R107*L107</f>
        <v/>
      </c>
      <c r="T107" s="18">
        <f>S107*M107</f>
        <v/>
      </c>
      <c r="U107" s="18">
        <f>INDEX('3_PRA_SWES_L1_Input'!$H$4:$H$14,MATCH($C107,'3_PRA_SWES_L1_Input'!$A$4:$A$14,0))*K107*L107*M107</f>
        <v/>
      </c>
    </row>
    <row r="108">
      <c r="A108" s="8">
        <f>'1_GICS_Structure'!G108</f>
        <v/>
      </c>
      <c r="B108" s="8">
        <f>'1_GICS_Structure'!H108</f>
        <v/>
      </c>
      <c r="C108" s="8">
        <f>'1_GICS_Structure'!A108</f>
        <v/>
      </c>
      <c r="D108" s="8">
        <f>'1_GICS_Structure'!C108</f>
        <v/>
      </c>
      <c r="E108" s="8">
        <f>'1_GICS_Structure'!E108</f>
        <v/>
      </c>
      <c r="F108" s="8">
        <f>'1_GICS_Structure'!J108</f>
        <v/>
      </c>
      <c r="G108" s="12">
        <f>INDEX('2_Damodaran_Betas'!$F$3:$F$97,MATCH('1_GICS_Structure'!I108,'2_Damodaran_Betas'!$A$3:$A$97,0))</f>
        <v/>
      </c>
      <c r="H108" s="12">
        <f>SUMPRODUCT(($E$3:$E$165=E108)*$F$3:$F$165*$G$3:$G$165)/SUMPRODUCT(($E$3:$E$165=E108)*$F$3:$F$165)</f>
        <v/>
      </c>
      <c r="I108" s="12">
        <f>SUMPRODUCT(($D$3:$D$165=D108)*$F$3:$F$165*$G$3:$G$165)/SUMPRODUCT(($D$3:$D$165=D108)*$F$3:$F$165)</f>
        <v/>
      </c>
      <c r="J108" s="12">
        <f>SUMPRODUCT(($C$3:$C$165=C108)*$F$3:$F$165*$G$3:$G$165)/SUMPRODUCT(($C$3:$C$165=C108)*$F$3:$F$165)</f>
        <v/>
      </c>
      <c r="K108" s="17">
        <f>I108/J108</f>
        <v/>
      </c>
      <c r="L108" s="17">
        <f>H108/I108</f>
        <v/>
      </c>
      <c r="M108" s="17">
        <f>G108/H108</f>
        <v/>
      </c>
      <c r="N108" s="18">
        <f>INDEX('3_PRA_SWES_L1_Input'!$D$4:$D$14,MATCH($C108,'3_PRA_SWES_L1_Input'!$A$4:$A$14,0))*K108</f>
        <v/>
      </c>
      <c r="O108" s="18">
        <f>N108*L108</f>
        <v/>
      </c>
      <c r="P108" s="18">
        <f>O108*M108</f>
        <v/>
      </c>
      <c r="Q108" s="18">
        <f>INDEX('3_PRA_SWES_L1_Input'!$E$4:$E$14,MATCH($C108,'3_PRA_SWES_L1_Input'!$A$4:$A$14,0))*K108*L108*M108</f>
        <v/>
      </c>
      <c r="R108" s="18">
        <f>INDEX('3_PRA_SWES_L1_Input'!$G$4:$G$14,MATCH($C108,'3_PRA_SWES_L1_Input'!$A$4:$A$14,0))*K108</f>
        <v/>
      </c>
      <c r="S108" s="18">
        <f>R108*L108</f>
        <v/>
      </c>
      <c r="T108" s="18">
        <f>S108*M108</f>
        <v/>
      </c>
      <c r="U108" s="18">
        <f>INDEX('3_PRA_SWES_L1_Input'!$H$4:$H$14,MATCH($C108,'3_PRA_SWES_L1_Input'!$A$4:$A$14,0))*K108*L108*M108</f>
        <v/>
      </c>
    </row>
    <row r="109">
      <c r="A109" s="8">
        <f>'1_GICS_Structure'!G109</f>
        <v/>
      </c>
      <c r="B109" s="8">
        <f>'1_GICS_Structure'!H109</f>
        <v/>
      </c>
      <c r="C109" s="8">
        <f>'1_GICS_Structure'!A109</f>
        <v/>
      </c>
      <c r="D109" s="8">
        <f>'1_GICS_Structure'!C109</f>
        <v/>
      </c>
      <c r="E109" s="8">
        <f>'1_GICS_Structure'!E109</f>
        <v/>
      </c>
      <c r="F109" s="8">
        <f>'1_GICS_Structure'!J109</f>
        <v/>
      </c>
      <c r="G109" s="12">
        <f>INDEX('2_Damodaran_Betas'!$F$3:$F$97,MATCH('1_GICS_Structure'!I109,'2_Damodaran_Betas'!$A$3:$A$97,0))</f>
        <v/>
      </c>
      <c r="H109" s="12">
        <f>SUMPRODUCT(($E$3:$E$165=E109)*$F$3:$F$165*$G$3:$G$165)/SUMPRODUCT(($E$3:$E$165=E109)*$F$3:$F$165)</f>
        <v/>
      </c>
      <c r="I109" s="12">
        <f>SUMPRODUCT(($D$3:$D$165=D109)*$F$3:$F$165*$G$3:$G$165)/SUMPRODUCT(($D$3:$D$165=D109)*$F$3:$F$165)</f>
        <v/>
      </c>
      <c r="J109" s="12">
        <f>SUMPRODUCT(($C$3:$C$165=C109)*$F$3:$F$165*$G$3:$G$165)/SUMPRODUCT(($C$3:$C$165=C109)*$F$3:$F$165)</f>
        <v/>
      </c>
      <c r="K109" s="17">
        <f>I109/J109</f>
        <v/>
      </c>
      <c r="L109" s="17">
        <f>H109/I109</f>
        <v/>
      </c>
      <c r="M109" s="17">
        <f>G109/H109</f>
        <v/>
      </c>
      <c r="N109" s="18">
        <f>INDEX('3_PRA_SWES_L1_Input'!$D$4:$D$14,MATCH($C109,'3_PRA_SWES_L1_Input'!$A$4:$A$14,0))*K109</f>
        <v/>
      </c>
      <c r="O109" s="18">
        <f>N109*L109</f>
        <v/>
      </c>
      <c r="P109" s="18">
        <f>O109*M109</f>
        <v/>
      </c>
      <c r="Q109" s="18">
        <f>INDEX('3_PRA_SWES_L1_Input'!$E$4:$E$14,MATCH($C109,'3_PRA_SWES_L1_Input'!$A$4:$A$14,0))*K109*L109*M109</f>
        <v/>
      </c>
      <c r="R109" s="18">
        <f>INDEX('3_PRA_SWES_L1_Input'!$G$4:$G$14,MATCH($C109,'3_PRA_SWES_L1_Input'!$A$4:$A$14,0))*K109</f>
        <v/>
      </c>
      <c r="S109" s="18">
        <f>R109*L109</f>
        <v/>
      </c>
      <c r="T109" s="18">
        <f>S109*M109</f>
        <v/>
      </c>
      <c r="U109" s="18">
        <f>INDEX('3_PRA_SWES_L1_Input'!$H$4:$H$14,MATCH($C109,'3_PRA_SWES_L1_Input'!$A$4:$A$14,0))*K109*L109*M109</f>
        <v/>
      </c>
    </row>
    <row r="110">
      <c r="A110" s="8">
        <f>'1_GICS_Structure'!G110</f>
        <v/>
      </c>
      <c r="B110" s="8">
        <f>'1_GICS_Structure'!H110</f>
        <v/>
      </c>
      <c r="C110" s="8">
        <f>'1_GICS_Structure'!A110</f>
        <v/>
      </c>
      <c r="D110" s="8">
        <f>'1_GICS_Structure'!C110</f>
        <v/>
      </c>
      <c r="E110" s="8">
        <f>'1_GICS_Structure'!E110</f>
        <v/>
      </c>
      <c r="F110" s="8">
        <f>'1_GICS_Structure'!J110</f>
        <v/>
      </c>
      <c r="G110" s="12">
        <f>INDEX('2_Damodaran_Betas'!$F$3:$F$97,MATCH('1_GICS_Structure'!I110,'2_Damodaran_Betas'!$A$3:$A$97,0))</f>
        <v/>
      </c>
      <c r="H110" s="12">
        <f>SUMPRODUCT(($E$3:$E$165=E110)*$F$3:$F$165*$G$3:$G$165)/SUMPRODUCT(($E$3:$E$165=E110)*$F$3:$F$165)</f>
        <v/>
      </c>
      <c r="I110" s="12">
        <f>SUMPRODUCT(($D$3:$D$165=D110)*$F$3:$F$165*$G$3:$G$165)/SUMPRODUCT(($D$3:$D$165=D110)*$F$3:$F$165)</f>
        <v/>
      </c>
      <c r="J110" s="12">
        <f>SUMPRODUCT(($C$3:$C$165=C110)*$F$3:$F$165*$G$3:$G$165)/SUMPRODUCT(($C$3:$C$165=C110)*$F$3:$F$165)</f>
        <v/>
      </c>
      <c r="K110" s="17">
        <f>I110/J110</f>
        <v/>
      </c>
      <c r="L110" s="17">
        <f>H110/I110</f>
        <v/>
      </c>
      <c r="M110" s="17">
        <f>G110/H110</f>
        <v/>
      </c>
      <c r="N110" s="18">
        <f>INDEX('3_PRA_SWES_L1_Input'!$D$4:$D$14,MATCH($C110,'3_PRA_SWES_L1_Input'!$A$4:$A$14,0))*K110</f>
        <v/>
      </c>
      <c r="O110" s="18">
        <f>N110*L110</f>
        <v/>
      </c>
      <c r="P110" s="18">
        <f>O110*M110</f>
        <v/>
      </c>
      <c r="Q110" s="18">
        <f>INDEX('3_PRA_SWES_L1_Input'!$E$4:$E$14,MATCH($C110,'3_PRA_SWES_L1_Input'!$A$4:$A$14,0))*K110*L110*M110</f>
        <v/>
      </c>
      <c r="R110" s="18">
        <f>INDEX('3_PRA_SWES_L1_Input'!$G$4:$G$14,MATCH($C110,'3_PRA_SWES_L1_Input'!$A$4:$A$14,0))*K110</f>
        <v/>
      </c>
      <c r="S110" s="18">
        <f>R110*L110</f>
        <v/>
      </c>
      <c r="T110" s="18">
        <f>S110*M110</f>
        <v/>
      </c>
      <c r="U110" s="18">
        <f>INDEX('3_PRA_SWES_L1_Input'!$H$4:$H$14,MATCH($C110,'3_PRA_SWES_L1_Input'!$A$4:$A$14,0))*K110*L110*M110</f>
        <v/>
      </c>
    </row>
    <row r="111">
      <c r="A111" s="8">
        <f>'1_GICS_Structure'!G111</f>
        <v/>
      </c>
      <c r="B111" s="8">
        <f>'1_GICS_Structure'!H111</f>
        <v/>
      </c>
      <c r="C111" s="8">
        <f>'1_GICS_Structure'!A111</f>
        <v/>
      </c>
      <c r="D111" s="8">
        <f>'1_GICS_Structure'!C111</f>
        <v/>
      </c>
      <c r="E111" s="8">
        <f>'1_GICS_Structure'!E111</f>
        <v/>
      </c>
      <c r="F111" s="8">
        <f>'1_GICS_Structure'!J111</f>
        <v/>
      </c>
      <c r="G111" s="12">
        <f>INDEX('2_Damodaran_Betas'!$F$3:$F$97,MATCH('1_GICS_Structure'!I111,'2_Damodaran_Betas'!$A$3:$A$97,0))</f>
        <v/>
      </c>
      <c r="H111" s="12">
        <f>SUMPRODUCT(($E$3:$E$165=E111)*$F$3:$F$165*$G$3:$G$165)/SUMPRODUCT(($E$3:$E$165=E111)*$F$3:$F$165)</f>
        <v/>
      </c>
      <c r="I111" s="12">
        <f>SUMPRODUCT(($D$3:$D$165=D111)*$F$3:$F$165*$G$3:$G$165)/SUMPRODUCT(($D$3:$D$165=D111)*$F$3:$F$165)</f>
        <v/>
      </c>
      <c r="J111" s="12">
        <f>SUMPRODUCT(($C$3:$C$165=C111)*$F$3:$F$165*$G$3:$G$165)/SUMPRODUCT(($C$3:$C$165=C111)*$F$3:$F$165)</f>
        <v/>
      </c>
      <c r="K111" s="17">
        <f>I111/J111</f>
        <v/>
      </c>
      <c r="L111" s="17">
        <f>H111/I111</f>
        <v/>
      </c>
      <c r="M111" s="17">
        <f>G111/H111</f>
        <v/>
      </c>
      <c r="N111" s="18">
        <f>INDEX('3_PRA_SWES_L1_Input'!$D$4:$D$14,MATCH($C111,'3_PRA_SWES_L1_Input'!$A$4:$A$14,0))*K111</f>
        <v/>
      </c>
      <c r="O111" s="18">
        <f>N111*L111</f>
        <v/>
      </c>
      <c r="P111" s="18">
        <f>O111*M111</f>
        <v/>
      </c>
      <c r="Q111" s="18">
        <f>INDEX('3_PRA_SWES_L1_Input'!$E$4:$E$14,MATCH($C111,'3_PRA_SWES_L1_Input'!$A$4:$A$14,0))*K111*L111*M111</f>
        <v/>
      </c>
      <c r="R111" s="18">
        <f>INDEX('3_PRA_SWES_L1_Input'!$G$4:$G$14,MATCH($C111,'3_PRA_SWES_L1_Input'!$A$4:$A$14,0))*K111</f>
        <v/>
      </c>
      <c r="S111" s="18">
        <f>R111*L111</f>
        <v/>
      </c>
      <c r="T111" s="18">
        <f>S111*M111</f>
        <v/>
      </c>
      <c r="U111" s="18">
        <f>INDEX('3_PRA_SWES_L1_Input'!$H$4:$H$14,MATCH($C111,'3_PRA_SWES_L1_Input'!$A$4:$A$14,0))*K111*L111*M111</f>
        <v/>
      </c>
    </row>
    <row r="112">
      <c r="A112" s="8">
        <f>'1_GICS_Structure'!G112</f>
        <v/>
      </c>
      <c r="B112" s="8">
        <f>'1_GICS_Structure'!H112</f>
        <v/>
      </c>
      <c r="C112" s="8">
        <f>'1_GICS_Structure'!A112</f>
        <v/>
      </c>
      <c r="D112" s="8">
        <f>'1_GICS_Structure'!C112</f>
        <v/>
      </c>
      <c r="E112" s="8">
        <f>'1_GICS_Structure'!E112</f>
        <v/>
      </c>
      <c r="F112" s="8">
        <f>'1_GICS_Structure'!J112</f>
        <v/>
      </c>
      <c r="G112" s="12">
        <f>INDEX('2_Damodaran_Betas'!$F$3:$F$97,MATCH('1_GICS_Structure'!I112,'2_Damodaran_Betas'!$A$3:$A$97,0))</f>
        <v/>
      </c>
      <c r="H112" s="12">
        <f>SUMPRODUCT(($E$3:$E$165=E112)*$F$3:$F$165*$G$3:$G$165)/SUMPRODUCT(($E$3:$E$165=E112)*$F$3:$F$165)</f>
        <v/>
      </c>
      <c r="I112" s="12">
        <f>SUMPRODUCT(($D$3:$D$165=D112)*$F$3:$F$165*$G$3:$G$165)/SUMPRODUCT(($D$3:$D$165=D112)*$F$3:$F$165)</f>
        <v/>
      </c>
      <c r="J112" s="12">
        <f>SUMPRODUCT(($C$3:$C$165=C112)*$F$3:$F$165*$G$3:$G$165)/SUMPRODUCT(($C$3:$C$165=C112)*$F$3:$F$165)</f>
        <v/>
      </c>
      <c r="K112" s="17">
        <f>I112/J112</f>
        <v/>
      </c>
      <c r="L112" s="17">
        <f>H112/I112</f>
        <v/>
      </c>
      <c r="M112" s="17">
        <f>G112/H112</f>
        <v/>
      </c>
      <c r="N112" s="18">
        <f>INDEX('3_PRA_SWES_L1_Input'!$D$4:$D$14,MATCH($C112,'3_PRA_SWES_L1_Input'!$A$4:$A$14,0))*K112</f>
        <v/>
      </c>
      <c r="O112" s="18">
        <f>N112*L112</f>
        <v/>
      </c>
      <c r="P112" s="18">
        <f>O112*M112</f>
        <v/>
      </c>
      <c r="Q112" s="18">
        <f>INDEX('3_PRA_SWES_L1_Input'!$E$4:$E$14,MATCH($C112,'3_PRA_SWES_L1_Input'!$A$4:$A$14,0))*K112*L112*M112</f>
        <v/>
      </c>
      <c r="R112" s="18">
        <f>INDEX('3_PRA_SWES_L1_Input'!$G$4:$G$14,MATCH($C112,'3_PRA_SWES_L1_Input'!$A$4:$A$14,0))*K112</f>
        <v/>
      </c>
      <c r="S112" s="18">
        <f>R112*L112</f>
        <v/>
      </c>
      <c r="T112" s="18">
        <f>S112*M112</f>
        <v/>
      </c>
      <c r="U112" s="18">
        <f>INDEX('3_PRA_SWES_L1_Input'!$H$4:$H$14,MATCH($C112,'3_PRA_SWES_L1_Input'!$A$4:$A$14,0))*K112*L112*M112</f>
        <v/>
      </c>
    </row>
    <row r="113">
      <c r="A113" s="8">
        <f>'1_GICS_Structure'!G113</f>
        <v/>
      </c>
      <c r="B113" s="8">
        <f>'1_GICS_Structure'!H113</f>
        <v/>
      </c>
      <c r="C113" s="8">
        <f>'1_GICS_Structure'!A113</f>
        <v/>
      </c>
      <c r="D113" s="8">
        <f>'1_GICS_Structure'!C113</f>
        <v/>
      </c>
      <c r="E113" s="8">
        <f>'1_GICS_Structure'!E113</f>
        <v/>
      </c>
      <c r="F113" s="8">
        <f>'1_GICS_Structure'!J113</f>
        <v/>
      </c>
      <c r="G113" s="12">
        <f>INDEX('2_Damodaran_Betas'!$F$3:$F$97,MATCH('1_GICS_Structure'!I113,'2_Damodaran_Betas'!$A$3:$A$97,0))</f>
        <v/>
      </c>
      <c r="H113" s="12">
        <f>SUMPRODUCT(($E$3:$E$165=E113)*$F$3:$F$165*$G$3:$G$165)/SUMPRODUCT(($E$3:$E$165=E113)*$F$3:$F$165)</f>
        <v/>
      </c>
      <c r="I113" s="12">
        <f>SUMPRODUCT(($D$3:$D$165=D113)*$F$3:$F$165*$G$3:$G$165)/SUMPRODUCT(($D$3:$D$165=D113)*$F$3:$F$165)</f>
        <v/>
      </c>
      <c r="J113" s="12">
        <f>SUMPRODUCT(($C$3:$C$165=C113)*$F$3:$F$165*$G$3:$G$165)/SUMPRODUCT(($C$3:$C$165=C113)*$F$3:$F$165)</f>
        <v/>
      </c>
      <c r="K113" s="17">
        <f>I113/J113</f>
        <v/>
      </c>
      <c r="L113" s="17">
        <f>H113/I113</f>
        <v/>
      </c>
      <c r="M113" s="17">
        <f>G113/H113</f>
        <v/>
      </c>
      <c r="N113" s="18">
        <f>INDEX('3_PRA_SWES_L1_Input'!$D$4:$D$14,MATCH($C113,'3_PRA_SWES_L1_Input'!$A$4:$A$14,0))*K113</f>
        <v/>
      </c>
      <c r="O113" s="18">
        <f>N113*L113</f>
        <v/>
      </c>
      <c r="P113" s="18">
        <f>O113*M113</f>
        <v/>
      </c>
      <c r="Q113" s="18">
        <f>INDEX('3_PRA_SWES_L1_Input'!$E$4:$E$14,MATCH($C113,'3_PRA_SWES_L1_Input'!$A$4:$A$14,0))*K113*L113*M113</f>
        <v/>
      </c>
      <c r="R113" s="18">
        <f>INDEX('3_PRA_SWES_L1_Input'!$G$4:$G$14,MATCH($C113,'3_PRA_SWES_L1_Input'!$A$4:$A$14,0))*K113</f>
        <v/>
      </c>
      <c r="S113" s="18">
        <f>R113*L113</f>
        <v/>
      </c>
      <c r="T113" s="18">
        <f>S113*M113</f>
        <v/>
      </c>
      <c r="U113" s="18">
        <f>INDEX('3_PRA_SWES_L1_Input'!$H$4:$H$14,MATCH($C113,'3_PRA_SWES_L1_Input'!$A$4:$A$14,0))*K113*L113*M113</f>
        <v/>
      </c>
    </row>
    <row r="114">
      <c r="A114" s="8">
        <f>'1_GICS_Structure'!G114</f>
        <v/>
      </c>
      <c r="B114" s="8">
        <f>'1_GICS_Structure'!H114</f>
        <v/>
      </c>
      <c r="C114" s="8">
        <f>'1_GICS_Structure'!A114</f>
        <v/>
      </c>
      <c r="D114" s="8">
        <f>'1_GICS_Structure'!C114</f>
        <v/>
      </c>
      <c r="E114" s="8">
        <f>'1_GICS_Structure'!E114</f>
        <v/>
      </c>
      <c r="F114" s="8">
        <f>'1_GICS_Structure'!J114</f>
        <v/>
      </c>
      <c r="G114" s="12">
        <f>INDEX('2_Damodaran_Betas'!$F$3:$F$97,MATCH('1_GICS_Structure'!I114,'2_Damodaran_Betas'!$A$3:$A$97,0))</f>
        <v/>
      </c>
      <c r="H114" s="12">
        <f>SUMPRODUCT(($E$3:$E$165=E114)*$F$3:$F$165*$G$3:$G$165)/SUMPRODUCT(($E$3:$E$165=E114)*$F$3:$F$165)</f>
        <v/>
      </c>
      <c r="I114" s="12">
        <f>SUMPRODUCT(($D$3:$D$165=D114)*$F$3:$F$165*$G$3:$G$165)/SUMPRODUCT(($D$3:$D$165=D114)*$F$3:$F$165)</f>
        <v/>
      </c>
      <c r="J114" s="12">
        <f>SUMPRODUCT(($C$3:$C$165=C114)*$F$3:$F$165*$G$3:$G$165)/SUMPRODUCT(($C$3:$C$165=C114)*$F$3:$F$165)</f>
        <v/>
      </c>
      <c r="K114" s="17">
        <f>I114/J114</f>
        <v/>
      </c>
      <c r="L114" s="17">
        <f>H114/I114</f>
        <v/>
      </c>
      <c r="M114" s="17">
        <f>G114/H114</f>
        <v/>
      </c>
      <c r="N114" s="18">
        <f>INDEX('3_PRA_SWES_L1_Input'!$D$4:$D$14,MATCH($C114,'3_PRA_SWES_L1_Input'!$A$4:$A$14,0))*K114</f>
        <v/>
      </c>
      <c r="O114" s="18">
        <f>N114*L114</f>
        <v/>
      </c>
      <c r="P114" s="18">
        <f>O114*M114</f>
        <v/>
      </c>
      <c r="Q114" s="18">
        <f>INDEX('3_PRA_SWES_L1_Input'!$E$4:$E$14,MATCH($C114,'3_PRA_SWES_L1_Input'!$A$4:$A$14,0))*K114*L114*M114</f>
        <v/>
      </c>
      <c r="R114" s="18">
        <f>INDEX('3_PRA_SWES_L1_Input'!$G$4:$G$14,MATCH($C114,'3_PRA_SWES_L1_Input'!$A$4:$A$14,0))*K114</f>
        <v/>
      </c>
      <c r="S114" s="18">
        <f>R114*L114</f>
        <v/>
      </c>
      <c r="T114" s="18">
        <f>S114*M114</f>
        <v/>
      </c>
      <c r="U114" s="18">
        <f>INDEX('3_PRA_SWES_L1_Input'!$H$4:$H$14,MATCH($C114,'3_PRA_SWES_L1_Input'!$A$4:$A$14,0))*K114*L114*M114</f>
        <v/>
      </c>
    </row>
    <row r="115">
      <c r="A115" s="8">
        <f>'1_GICS_Structure'!G115</f>
        <v/>
      </c>
      <c r="B115" s="8">
        <f>'1_GICS_Structure'!H115</f>
        <v/>
      </c>
      <c r="C115" s="8">
        <f>'1_GICS_Structure'!A115</f>
        <v/>
      </c>
      <c r="D115" s="8">
        <f>'1_GICS_Structure'!C115</f>
        <v/>
      </c>
      <c r="E115" s="8">
        <f>'1_GICS_Structure'!E115</f>
        <v/>
      </c>
      <c r="F115" s="8">
        <f>'1_GICS_Structure'!J115</f>
        <v/>
      </c>
      <c r="G115" s="12">
        <f>INDEX('2_Damodaran_Betas'!$F$3:$F$97,MATCH('1_GICS_Structure'!I115,'2_Damodaran_Betas'!$A$3:$A$97,0))</f>
        <v/>
      </c>
      <c r="H115" s="12">
        <f>SUMPRODUCT(($E$3:$E$165=E115)*$F$3:$F$165*$G$3:$G$165)/SUMPRODUCT(($E$3:$E$165=E115)*$F$3:$F$165)</f>
        <v/>
      </c>
      <c r="I115" s="12">
        <f>SUMPRODUCT(($D$3:$D$165=D115)*$F$3:$F$165*$G$3:$G$165)/SUMPRODUCT(($D$3:$D$165=D115)*$F$3:$F$165)</f>
        <v/>
      </c>
      <c r="J115" s="12">
        <f>SUMPRODUCT(($C$3:$C$165=C115)*$F$3:$F$165*$G$3:$G$165)/SUMPRODUCT(($C$3:$C$165=C115)*$F$3:$F$165)</f>
        <v/>
      </c>
      <c r="K115" s="17">
        <f>I115/J115</f>
        <v/>
      </c>
      <c r="L115" s="17">
        <f>H115/I115</f>
        <v/>
      </c>
      <c r="M115" s="17">
        <f>G115/H115</f>
        <v/>
      </c>
      <c r="N115" s="18">
        <f>INDEX('3_PRA_SWES_L1_Input'!$D$4:$D$14,MATCH($C115,'3_PRA_SWES_L1_Input'!$A$4:$A$14,0))*K115</f>
        <v/>
      </c>
      <c r="O115" s="18">
        <f>N115*L115</f>
        <v/>
      </c>
      <c r="P115" s="18">
        <f>O115*M115</f>
        <v/>
      </c>
      <c r="Q115" s="18">
        <f>INDEX('3_PRA_SWES_L1_Input'!$E$4:$E$14,MATCH($C115,'3_PRA_SWES_L1_Input'!$A$4:$A$14,0))*K115*L115*M115</f>
        <v/>
      </c>
      <c r="R115" s="18">
        <f>INDEX('3_PRA_SWES_L1_Input'!$G$4:$G$14,MATCH($C115,'3_PRA_SWES_L1_Input'!$A$4:$A$14,0))*K115</f>
        <v/>
      </c>
      <c r="S115" s="18">
        <f>R115*L115</f>
        <v/>
      </c>
      <c r="T115" s="18">
        <f>S115*M115</f>
        <v/>
      </c>
      <c r="U115" s="18">
        <f>INDEX('3_PRA_SWES_L1_Input'!$H$4:$H$14,MATCH($C115,'3_PRA_SWES_L1_Input'!$A$4:$A$14,0))*K115*L115*M115</f>
        <v/>
      </c>
    </row>
    <row r="116">
      <c r="A116" s="8">
        <f>'1_GICS_Structure'!G116</f>
        <v/>
      </c>
      <c r="B116" s="8">
        <f>'1_GICS_Structure'!H116</f>
        <v/>
      </c>
      <c r="C116" s="8">
        <f>'1_GICS_Structure'!A116</f>
        <v/>
      </c>
      <c r="D116" s="8">
        <f>'1_GICS_Structure'!C116</f>
        <v/>
      </c>
      <c r="E116" s="8">
        <f>'1_GICS_Structure'!E116</f>
        <v/>
      </c>
      <c r="F116" s="8">
        <f>'1_GICS_Structure'!J116</f>
        <v/>
      </c>
      <c r="G116" s="12">
        <f>INDEX('2_Damodaran_Betas'!$F$3:$F$97,MATCH('1_GICS_Structure'!I116,'2_Damodaran_Betas'!$A$3:$A$97,0))</f>
        <v/>
      </c>
      <c r="H116" s="12">
        <f>SUMPRODUCT(($E$3:$E$165=E116)*$F$3:$F$165*$G$3:$G$165)/SUMPRODUCT(($E$3:$E$165=E116)*$F$3:$F$165)</f>
        <v/>
      </c>
      <c r="I116" s="12">
        <f>SUMPRODUCT(($D$3:$D$165=D116)*$F$3:$F$165*$G$3:$G$165)/SUMPRODUCT(($D$3:$D$165=D116)*$F$3:$F$165)</f>
        <v/>
      </c>
      <c r="J116" s="12">
        <f>SUMPRODUCT(($C$3:$C$165=C116)*$F$3:$F$165*$G$3:$G$165)/SUMPRODUCT(($C$3:$C$165=C116)*$F$3:$F$165)</f>
        <v/>
      </c>
      <c r="K116" s="17">
        <f>I116/J116</f>
        <v/>
      </c>
      <c r="L116" s="17">
        <f>H116/I116</f>
        <v/>
      </c>
      <c r="M116" s="17">
        <f>G116/H116</f>
        <v/>
      </c>
      <c r="N116" s="18">
        <f>INDEX('3_PRA_SWES_L1_Input'!$D$4:$D$14,MATCH($C116,'3_PRA_SWES_L1_Input'!$A$4:$A$14,0))*K116</f>
        <v/>
      </c>
      <c r="O116" s="18">
        <f>N116*L116</f>
        <v/>
      </c>
      <c r="P116" s="18">
        <f>O116*M116</f>
        <v/>
      </c>
      <c r="Q116" s="18">
        <f>INDEX('3_PRA_SWES_L1_Input'!$E$4:$E$14,MATCH($C116,'3_PRA_SWES_L1_Input'!$A$4:$A$14,0))*K116*L116*M116</f>
        <v/>
      </c>
      <c r="R116" s="18">
        <f>INDEX('3_PRA_SWES_L1_Input'!$G$4:$G$14,MATCH($C116,'3_PRA_SWES_L1_Input'!$A$4:$A$14,0))*K116</f>
        <v/>
      </c>
      <c r="S116" s="18">
        <f>R116*L116</f>
        <v/>
      </c>
      <c r="T116" s="18">
        <f>S116*M116</f>
        <v/>
      </c>
      <c r="U116" s="18">
        <f>INDEX('3_PRA_SWES_L1_Input'!$H$4:$H$14,MATCH($C116,'3_PRA_SWES_L1_Input'!$A$4:$A$14,0))*K116*L116*M116</f>
        <v/>
      </c>
    </row>
    <row r="117">
      <c r="A117" s="8">
        <f>'1_GICS_Structure'!G117</f>
        <v/>
      </c>
      <c r="B117" s="8">
        <f>'1_GICS_Structure'!H117</f>
        <v/>
      </c>
      <c r="C117" s="8">
        <f>'1_GICS_Structure'!A117</f>
        <v/>
      </c>
      <c r="D117" s="8">
        <f>'1_GICS_Structure'!C117</f>
        <v/>
      </c>
      <c r="E117" s="8">
        <f>'1_GICS_Structure'!E117</f>
        <v/>
      </c>
      <c r="F117" s="8">
        <f>'1_GICS_Structure'!J117</f>
        <v/>
      </c>
      <c r="G117" s="12">
        <f>INDEX('2_Damodaran_Betas'!$F$3:$F$97,MATCH('1_GICS_Structure'!I117,'2_Damodaran_Betas'!$A$3:$A$97,0))</f>
        <v/>
      </c>
      <c r="H117" s="12">
        <f>SUMPRODUCT(($E$3:$E$165=E117)*$F$3:$F$165*$G$3:$G$165)/SUMPRODUCT(($E$3:$E$165=E117)*$F$3:$F$165)</f>
        <v/>
      </c>
      <c r="I117" s="12">
        <f>SUMPRODUCT(($D$3:$D$165=D117)*$F$3:$F$165*$G$3:$G$165)/SUMPRODUCT(($D$3:$D$165=D117)*$F$3:$F$165)</f>
        <v/>
      </c>
      <c r="J117" s="12">
        <f>SUMPRODUCT(($C$3:$C$165=C117)*$F$3:$F$165*$G$3:$G$165)/SUMPRODUCT(($C$3:$C$165=C117)*$F$3:$F$165)</f>
        <v/>
      </c>
      <c r="K117" s="17">
        <f>I117/J117</f>
        <v/>
      </c>
      <c r="L117" s="17">
        <f>H117/I117</f>
        <v/>
      </c>
      <c r="M117" s="17">
        <f>G117/H117</f>
        <v/>
      </c>
      <c r="N117" s="18">
        <f>INDEX('3_PRA_SWES_L1_Input'!$D$4:$D$14,MATCH($C117,'3_PRA_SWES_L1_Input'!$A$4:$A$14,0))*K117</f>
        <v/>
      </c>
      <c r="O117" s="18">
        <f>N117*L117</f>
        <v/>
      </c>
      <c r="P117" s="18">
        <f>O117*M117</f>
        <v/>
      </c>
      <c r="Q117" s="18">
        <f>INDEX('3_PRA_SWES_L1_Input'!$E$4:$E$14,MATCH($C117,'3_PRA_SWES_L1_Input'!$A$4:$A$14,0))*K117*L117*M117</f>
        <v/>
      </c>
      <c r="R117" s="18">
        <f>INDEX('3_PRA_SWES_L1_Input'!$G$4:$G$14,MATCH($C117,'3_PRA_SWES_L1_Input'!$A$4:$A$14,0))*K117</f>
        <v/>
      </c>
      <c r="S117" s="18">
        <f>R117*L117</f>
        <v/>
      </c>
      <c r="T117" s="18">
        <f>S117*M117</f>
        <v/>
      </c>
      <c r="U117" s="18">
        <f>INDEX('3_PRA_SWES_L1_Input'!$H$4:$H$14,MATCH($C117,'3_PRA_SWES_L1_Input'!$A$4:$A$14,0))*K117*L117*M117</f>
        <v/>
      </c>
    </row>
    <row r="118">
      <c r="A118" s="8">
        <f>'1_GICS_Structure'!G118</f>
        <v/>
      </c>
      <c r="B118" s="8">
        <f>'1_GICS_Structure'!H118</f>
        <v/>
      </c>
      <c r="C118" s="8">
        <f>'1_GICS_Structure'!A118</f>
        <v/>
      </c>
      <c r="D118" s="8">
        <f>'1_GICS_Structure'!C118</f>
        <v/>
      </c>
      <c r="E118" s="8">
        <f>'1_GICS_Structure'!E118</f>
        <v/>
      </c>
      <c r="F118" s="8">
        <f>'1_GICS_Structure'!J118</f>
        <v/>
      </c>
      <c r="G118" s="12">
        <f>INDEX('2_Damodaran_Betas'!$F$3:$F$97,MATCH('1_GICS_Structure'!I118,'2_Damodaran_Betas'!$A$3:$A$97,0))</f>
        <v/>
      </c>
      <c r="H118" s="12">
        <f>SUMPRODUCT(($E$3:$E$165=E118)*$F$3:$F$165*$G$3:$G$165)/SUMPRODUCT(($E$3:$E$165=E118)*$F$3:$F$165)</f>
        <v/>
      </c>
      <c r="I118" s="12">
        <f>SUMPRODUCT(($D$3:$D$165=D118)*$F$3:$F$165*$G$3:$G$165)/SUMPRODUCT(($D$3:$D$165=D118)*$F$3:$F$165)</f>
        <v/>
      </c>
      <c r="J118" s="12">
        <f>SUMPRODUCT(($C$3:$C$165=C118)*$F$3:$F$165*$G$3:$G$165)/SUMPRODUCT(($C$3:$C$165=C118)*$F$3:$F$165)</f>
        <v/>
      </c>
      <c r="K118" s="17">
        <f>I118/J118</f>
        <v/>
      </c>
      <c r="L118" s="17">
        <f>H118/I118</f>
        <v/>
      </c>
      <c r="M118" s="17">
        <f>G118/H118</f>
        <v/>
      </c>
      <c r="N118" s="18">
        <f>INDEX('3_PRA_SWES_L1_Input'!$D$4:$D$14,MATCH($C118,'3_PRA_SWES_L1_Input'!$A$4:$A$14,0))*K118</f>
        <v/>
      </c>
      <c r="O118" s="18">
        <f>N118*L118</f>
        <v/>
      </c>
      <c r="P118" s="18">
        <f>O118*M118</f>
        <v/>
      </c>
      <c r="Q118" s="18">
        <f>INDEX('3_PRA_SWES_L1_Input'!$E$4:$E$14,MATCH($C118,'3_PRA_SWES_L1_Input'!$A$4:$A$14,0))*K118*L118*M118</f>
        <v/>
      </c>
      <c r="R118" s="18">
        <f>INDEX('3_PRA_SWES_L1_Input'!$G$4:$G$14,MATCH($C118,'3_PRA_SWES_L1_Input'!$A$4:$A$14,0))*K118</f>
        <v/>
      </c>
      <c r="S118" s="18">
        <f>R118*L118</f>
        <v/>
      </c>
      <c r="T118" s="18">
        <f>S118*M118</f>
        <v/>
      </c>
      <c r="U118" s="18">
        <f>INDEX('3_PRA_SWES_L1_Input'!$H$4:$H$14,MATCH($C118,'3_PRA_SWES_L1_Input'!$A$4:$A$14,0))*K118*L118*M118</f>
        <v/>
      </c>
    </row>
    <row r="119">
      <c r="A119" s="8">
        <f>'1_GICS_Structure'!G119</f>
        <v/>
      </c>
      <c r="B119" s="8">
        <f>'1_GICS_Structure'!H119</f>
        <v/>
      </c>
      <c r="C119" s="8">
        <f>'1_GICS_Structure'!A119</f>
        <v/>
      </c>
      <c r="D119" s="8">
        <f>'1_GICS_Structure'!C119</f>
        <v/>
      </c>
      <c r="E119" s="8">
        <f>'1_GICS_Structure'!E119</f>
        <v/>
      </c>
      <c r="F119" s="8">
        <f>'1_GICS_Structure'!J119</f>
        <v/>
      </c>
      <c r="G119" s="12">
        <f>INDEX('2_Damodaran_Betas'!$F$3:$F$97,MATCH('1_GICS_Structure'!I119,'2_Damodaran_Betas'!$A$3:$A$97,0))</f>
        <v/>
      </c>
      <c r="H119" s="12">
        <f>SUMPRODUCT(($E$3:$E$165=E119)*$F$3:$F$165*$G$3:$G$165)/SUMPRODUCT(($E$3:$E$165=E119)*$F$3:$F$165)</f>
        <v/>
      </c>
      <c r="I119" s="12">
        <f>SUMPRODUCT(($D$3:$D$165=D119)*$F$3:$F$165*$G$3:$G$165)/SUMPRODUCT(($D$3:$D$165=D119)*$F$3:$F$165)</f>
        <v/>
      </c>
      <c r="J119" s="12">
        <f>SUMPRODUCT(($C$3:$C$165=C119)*$F$3:$F$165*$G$3:$G$165)/SUMPRODUCT(($C$3:$C$165=C119)*$F$3:$F$165)</f>
        <v/>
      </c>
      <c r="K119" s="17">
        <f>I119/J119</f>
        <v/>
      </c>
      <c r="L119" s="17">
        <f>H119/I119</f>
        <v/>
      </c>
      <c r="M119" s="17">
        <f>G119/H119</f>
        <v/>
      </c>
      <c r="N119" s="18">
        <f>INDEX('3_PRA_SWES_L1_Input'!$D$4:$D$14,MATCH($C119,'3_PRA_SWES_L1_Input'!$A$4:$A$14,0))*K119</f>
        <v/>
      </c>
      <c r="O119" s="18">
        <f>N119*L119</f>
        <v/>
      </c>
      <c r="P119" s="18">
        <f>O119*M119</f>
        <v/>
      </c>
      <c r="Q119" s="18">
        <f>INDEX('3_PRA_SWES_L1_Input'!$E$4:$E$14,MATCH($C119,'3_PRA_SWES_L1_Input'!$A$4:$A$14,0))*K119*L119*M119</f>
        <v/>
      </c>
      <c r="R119" s="18">
        <f>INDEX('3_PRA_SWES_L1_Input'!$G$4:$G$14,MATCH($C119,'3_PRA_SWES_L1_Input'!$A$4:$A$14,0))*K119</f>
        <v/>
      </c>
      <c r="S119" s="18">
        <f>R119*L119</f>
        <v/>
      </c>
      <c r="T119" s="18">
        <f>S119*M119</f>
        <v/>
      </c>
      <c r="U119" s="18">
        <f>INDEX('3_PRA_SWES_L1_Input'!$H$4:$H$14,MATCH($C119,'3_PRA_SWES_L1_Input'!$A$4:$A$14,0))*K119*L119*M119</f>
        <v/>
      </c>
    </row>
    <row r="120">
      <c r="A120" s="8">
        <f>'1_GICS_Structure'!G120</f>
        <v/>
      </c>
      <c r="B120" s="8">
        <f>'1_GICS_Structure'!H120</f>
        <v/>
      </c>
      <c r="C120" s="8">
        <f>'1_GICS_Structure'!A120</f>
        <v/>
      </c>
      <c r="D120" s="8">
        <f>'1_GICS_Structure'!C120</f>
        <v/>
      </c>
      <c r="E120" s="8">
        <f>'1_GICS_Structure'!E120</f>
        <v/>
      </c>
      <c r="F120" s="8">
        <f>'1_GICS_Structure'!J120</f>
        <v/>
      </c>
      <c r="G120" s="12">
        <f>INDEX('2_Damodaran_Betas'!$F$3:$F$97,MATCH('1_GICS_Structure'!I120,'2_Damodaran_Betas'!$A$3:$A$97,0))</f>
        <v/>
      </c>
      <c r="H120" s="12">
        <f>SUMPRODUCT(($E$3:$E$165=E120)*$F$3:$F$165*$G$3:$G$165)/SUMPRODUCT(($E$3:$E$165=E120)*$F$3:$F$165)</f>
        <v/>
      </c>
      <c r="I120" s="12">
        <f>SUMPRODUCT(($D$3:$D$165=D120)*$F$3:$F$165*$G$3:$G$165)/SUMPRODUCT(($D$3:$D$165=D120)*$F$3:$F$165)</f>
        <v/>
      </c>
      <c r="J120" s="12">
        <f>SUMPRODUCT(($C$3:$C$165=C120)*$F$3:$F$165*$G$3:$G$165)/SUMPRODUCT(($C$3:$C$165=C120)*$F$3:$F$165)</f>
        <v/>
      </c>
      <c r="K120" s="17">
        <f>I120/J120</f>
        <v/>
      </c>
      <c r="L120" s="17">
        <f>H120/I120</f>
        <v/>
      </c>
      <c r="M120" s="17">
        <f>G120/H120</f>
        <v/>
      </c>
      <c r="N120" s="18">
        <f>INDEX('3_PRA_SWES_L1_Input'!$D$4:$D$14,MATCH($C120,'3_PRA_SWES_L1_Input'!$A$4:$A$14,0))*K120</f>
        <v/>
      </c>
      <c r="O120" s="18">
        <f>N120*L120</f>
        <v/>
      </c>
      <c r="P120" s="18">
        <f>O120*M120</f>
        <v/>
      </c>
      <c r="Q120" s="18">
        <f>INDEX('3_PRA_SWES_L1_Input'!$E$4:$E$14,MATCH($C120,'3_PRA_SWES_L1_Input'!$A$4:$A$14,0))*K120*L120*M120</f>
        <v/>
      </c>
      <c r="R120" s="18">
        <f>INDEX('3_PRA_SWES_L1_Input'!$G$4:$G$14,MATCH($C120,'3_PRA_SWES_L1_Input'!$A$4:$A$14,0))*K120</f>
        <v/>
      </c>
      <c r="S120" s="18">
        <f>R120*L120</f>
        <v/>
      </c>
      <c r="T120" s="18">
        <f>S120*M120</f>
        <v/>
      </c>
      <c r="U120" s="18">
        <f>INDEX('3_PRA_SWES_L1_Input'!$H$4:$H$14,MATCH($C120,'3_PRA_SWES_L1_Input'!$A$4:$A$14,0))*K120*L120*M120</f>
        <v/>
      </c>
    </row>
    <row r="121">
      <c r="A121" s="8">
        <f>'1_GICS_Structure'!G121</f>
        <v/>
      </c>
      <c r="B121" s="8">
        <f>'1_GICS_Structure'!H121</f>
        <v/>
      </c>
      <c r="C121" s="8">
        <f>'1_GICS_Structure'!A121</f>
        <v/>
      </c>
      <c r="D121" s="8">
        <f>'1_GICS_Structure'!C121</f>
        <v/>
      </c>
      <c r="E121" s="8">
        <f>'1_GICS_Structure'!E121</f>
        <v/>
      </c>
      <c r="F121" s="8">
        <f>'1_GICS_Structure'!J121</f>
        <v/>
      </c>
      <c r="G121" s="12">
        <f>INDEX('2_Damodaran_Betas'!$F$3:$F$97,MATCH('1_GICS_Structure'!I121,'2_Damodaran_Betas'!$A$3:$A$97,0))</f>
        <v/>
      </c>
      <c r="H121" s="12">
        <f>SUMPRODUCT(($E$3:$E$165=E121)*$F$3:$F$165*$G$3:$G$165)/SUMPRODUCT(($E$3:$E$165=E121)*$F$3:$F$165)</f>
        <v/>
      </c>
      <c r="I121" s="12">
        <f>SUMPRODUCT(($D$3:$D$165=D121)*$F$3:$F$165*$G$3:$G$165)/SUMPRODUCT(($D$3:$D$165=D121)*$F$3:$F$165)</f>
        <v/>
      </c>
      <c r="J121" s="12">
        <f>SUMPRODUCT(($C$3:$C$165=C121)*$F$3:$F$165*$G$3:$G$165)/SUMPRODUCT(($C$3:$C$165=C121)*$F$3:$F$165)</f>
        <v/>
      </c>
      <c r="K121" s="17">
        <f>I121/J121</f>
        <v/>
      </c>
      <c r="L121" s="17">
        <f>H121/I121</f>
        <v/>
      </c>
      <c r="M121" s="17">
        <f>G121/H121</f>
        <v/>
      </c>
      <c r="N121" s="18">
        <f>INDEX('3_PRA_SWES_L1_Input'!$D$4:$D$14,MATCH($C121,'3_PRA_SWES_L1_Input'!$A$4:$A$14,0))*K121</f>
        <v/>
      </c>
      <c r="O121" s="18">
        <f>N121*L121</f>
        <v/>
      </c>
      <c r="P121" s="18">
        <f>O121*M121</f>
        <v/>
      </c>
      <c r="Q121" s="18">
        <f>INDEX('3_PRA_SWES_L1_Input'!$E$4:$E$14,MATCH($C121,'3_PRA_SWES_L1_Input'!$A$4:$A$14,0))*K121*L121*M121</f>
        <v/>
      </c>
      <c r="R121" s="18">
        <f>INDEX('3_PRA_SWES_L1_Input'!$G$4:$G$14,MATCH($C121,'3_PRA_SWES_L1_Input'!$A$4:$A$14,0))*K121</f>
        <v/>
      </c>
      <c r="S121" s="18">
        <f>R121*L121</f>
        <v/>
      </c>
      <c r="T121" s="18">
        <f>S121*M121</f>
        <v/>
      </c>
      <c r="U121" s="18">
        <f>INDEX('3_PRA_SWES_L1_Input'!$H$4:$H$14,MATCH($C121,'3_PRA_SWES_L1_Input'!$A$4:$A$14,0))*K121*L121*M121</f>
        <v/>
      </c>
    </row>
    <row r="122">
      <c r="A122" s="8">
        <f>'1_GICS_Structure'!G122</f>
        <v/>
      </c>
      <c r="B122" s="8">
        <f>'1_GICS_Structure'!H122</f>
        <v/>
      </c>
      <c r="C122" s="8">
        <f>'1_GICS_Structure'!A122</f>
        <v/>
      </c>
      <c r="D122" s="8">
        <f>'1_GICS_Structure'!C122</f>
        <v/>
      </c>
      <c r="E122" s="8">
        <f>'1_GICS_Structure'!E122</f>
        <v/>
      </c>
      <c r="F122" s="8">
        <f>'1_GICS_Structure'!J122</f>
        <v/>
      </c>
      <c r="G122" s="12">
        <f>INDEX('2_Damodaran_Betas'!$F$3:$F$97,MATCH('1_GICS_Structure'!I122,'2_Damodaran_Betas'!$A$3:$A$97,0))</f>
        <v/>
      </c>
      <c r="H122" s="12">
        <f>SUMPRODUCT(($E$3:$E$165=E122)*$F$3:$F$165*$G$3:$G$165)/SUMPRODUCT(($E$3:$E$165=E122)*$F$3:$F$165)</f>
        <v/>
      </c>
      <c r="I122" s="12">
        <f>SUMPRODUCT(($D$3:$D$165=D122)*$F$3:$F$165*$G$3:$G$165)/SUMPRODUCT(($D$3:$D$165=D122)*$F$3:$F$165)</f>
        <v/>
      </c>
      <c r="J122" s="12">
        <f>SUMPRODUCT(($C$3:$C$165=C122)*$F$3:$F$165*$G$3:$G$165)/SUMPRODUCT(($C$3:$C$165=C122)*$F$3:$F$165)</f>
        <v/>
      </c>
      <c r="K122" s="17">
        <f>I122/J122</f>
        <v/>
      </c>
      <c r="L122" s="17">
        <f>H122/I122</f>
        <v/>
      </c>
      <c r="M122" s="17">
        <f>G122/H122</f>
        <v/>
      </c>
      <c r="N122" s="18">
        <f>INDEX('3_PRA_SWES_L1_Input'!$D$4:$D$14,MATCH($C122,'3_PRA_SWES_L1_Input'!$A$4:$A$14,0))*K122</f>
        <v/>
      </c>
      <c r="O122" s="18">
        <f>N122*L122</f>
        <v/>
      </c>
      <c r="P122" s="18">
        <f>O122*M122</f>
        <v/>
      </c>
      <c r="Q122" s="18">
        <f>INDEX('3_PRA_SWES_L1_Input'!$E$4:$E$14,MATCH($C122,'3_PRA_SWES_L1_Input'!$A$4:$A$14,0))*K122*L122*M122</f>
        <v/>
      </c>
      <c r="R122" s="18">
        <f>INDEX('3_PRA_SWES_L1_Input'!$G$4:$G$14,MATCH($C122,'3_PRA_SWES_L1_Input'!$A$4:$A$14,0))*K122</f>
        <v/>
      </c>
      <c r="S122" s="18">
        <f>R122*L122</f>
        <v/>
      </c>
      <c r="T122" s="18">
        <f>S122*M122</f>
        <v/>
      </c>
      <c r="U122" s="18">
        <f>INDEX('3_PRA_SWES_L1_Input'!$H$4:$H$14,MATCH($C122,'3_PRA_SWES_L1_Input'!$A$4:$A$14,0))*K122*L122*M122</f>
        <v/>
      </c>
    </row>
    <row r="123">
      <c r="A123" s="8">
        <f>'1_GICS_Structure'!G123</f>
        <v/>
      </c>
      <c r="B123" s="8">
        <f>'1_GICS_Structure'!H123</f>
        <v/>
      </c>
      <c r="C123" s="8">
        <f>'1_GICS_Structure'!A123</f>
        <v/>
      </c>
      <c r="D123" s="8">
        <f>'1_GICS_Structure'!C123</f>
        <v/>
      </c>
      <c r="E123" s="8">
        <f>'1_GICS_Structure'!E123</f>
        <v/>
      </c>
      <c r="F123" s="8">
        <f>'1_GICS_Structure'!J123</f>
        <v/>
      </c>
      <c r="G123" s="12">
        <f>INDEX('2_Damodaran_Betas'!$F$3:$F$97,MATCH('1_GICS_Structure'!I123,'2_Damodaran_Betas'!$A$3:$A$97,0))</f>
        <v/>
      </c>
      <c r="H123" s="12">
        <f>SUMPRODUCT(($E$3:$E$165=E123)*$F$3:$F$165*$G$3:$G$165)/SUMPRODUCT(($E$3:$E$165=E123)*$F$3:$F$165)</f>
        <v/>
      </c>
      <c r="I123" s="12">
        <f>SUMPRODUCT(($D$3:$D$165=D123)*$F$3:$F$165*$G$3:$G$165)/SUMPRODUCT(($D$3:$D$165=D123)*$F$3:$F$165)</f>
        <v/>
      </c>
      <c r="J123" s="12">
        <f>SUMPRODUCT(($C$3:$C$165=C123)*$F$3:$F$165*$G$3:$G$165)/SUMPRODUCT(($C$3:$C$165=C123)*$F$3:$F$165)</f>
        <v/>
      </c>
      <c r="K123" s="17">
        <f>I123/J123</f>
        <v/>
      </c>
      <c r="L123" s="17">
        <f>H123/I123</f>
        <v/>
      </c>
      <c r="M123" s="17">
        <f>G123/H123</f>
        <v/>
      </c>
      <c r="N123" s="18">
        <f>INDEX('3_PRA_SWES_L1_Input'!$D$4:$D$14,MATCH($C123,'3_PRA_SWES_L1_Input'!$A$4:$A$14,0))*K123</f>
        <v/>
      </c>
      <c r="O123" s="18">
        <f>N123*L123</f>
        <v/>
      </c>
      <c r="P123" s="18">
        <f>O123*M123</f>
        <v/>
      </c>
      <c r="Q123" s="18">
        <f>INDEX('3_PRA_SWES_L1_Input'!$E$4:$E$14,MATCH($C123,'3_PRA_SWES_L1_Input'!$A$4:$A$14,0))*K123*L123*M123</f>
        <v/>
      </c>
      <c r="R123" s="18">
        <f>INDEX('3_PRA_SWES_L1_Input'!$G$4:$G$14,MATCH($C123,'3_PRA_SWES_L1_Input'!$A$4:$A$14,0))*K123</f>
        <v/>
      </c>
      <c r="S123" s="18">
        <f>R123*L123</f>
        <v/>
      </c>
      <c r="T123" s="18">
        <f>S123*M123</f>
        <v/>
      </c>
      <c r="U123" s="18">
        <f>INDEX('3_PRA_SWES_L1_Input'!$H$4:$H$14,MATCH($C123,'3_PRA_SWES_L1_Input'!$A$4:$A$14,0))*K123*L123*M123</f>
        <v/>
      </c>
    </row>
    <row r="124">
      <c r="A124" s="8">
        <f>'1_GICS_Structure'!G124</f>
        <v/>
      </c>
      <c r="B124" s="8">
        <f>'1_GICS_Structure'!H124</f>
        <v/>
      </c>
      <c r="C124" s="8">
        <f>'1_GICS_Structure'!A124</f>
        <v/>
      </c>
      <c r="D124" s="8">
        <f>'1_GICS_Structure'!C124</f>
        <v/>
      </c>
      <c r="E124" s="8">
        <f>'1_GICS_Structure'!E124</f>
        <v/>
      </c>
      <c r="F124" s="8">
        <f>'1_GICS_Structure'!J124</f>
        <v/>
      </c>
      <c r="G124" s="12">
        <f>INDEX('2_Damodaran_Betas'!$F$3:$F$97,MATCH('1_GICS_Structure'!I124,'2_Damodaran_Betas'!$A$3:$A$97,0))</f>
        <v/>
      </c>
      <c r="H124" s="12">
        <f>SUMPRODUCT(($E$3:$E$165=E124)*$F$3:$F$165*$G$3:$G$165)/SUMPRODUCT(($E$3:$E$165=E124)*$F$3:$F$165)</f>
        <v/>
      </c>
      <c r="I124" s="12">
        <f>SUMPRODUCT(($D$3:$D$165=D124)*$F$3:$F$165*$G$3:$G$165)/SUMPRODUCT(($D$3:$D$165=D124)*$F$3:$F$165)</f>
        <v/>
      </c>
      <c r="J124" s="12">
        <f>SUMPRODUCT(($C$3:$C$165=C124)*$F$3:$F$165*$G$3:$G$165)/SUMPRODUCT(($C$3:$C$165=C124)*$F$3:$F$165)</f>
        <v/>
      </c>
      <c r="K124" s="17">
        <f>I124/J124</f>
        <v/>
      </c>
      <c r="L124" s="17">
        <f>H124/I124</f>
        <v/>
      </c>
      <c r="M124" s="17">
        <f>G124/H124</f>
        <v/>
      </c>
      <c r="N124" s="18">
        <f>INDEX('3_PRA_SWES_L1_Input'!$D$4:$D$14,MATCH($C124,'3_PRA_SWES_L1_Input'!$A$4:$A$14,0))*K124</f>
        <v/>
      </c>
      <c r="O124" s="18">
        <f>N124*L124</f>
        <v/>
      </c>
      <c r="P124" s="18">
        <f>O124*M124</f>
        <v/>
      </c>
      <c r="Q124" s="18">
        <f>INDEX('3_PRA_SWES_L1_Input'!$E$4:$E$14,MATCH($C124,'3_PRA_SWES_L1_Input'!$A$4:$A$14,0))*K124*L124*M124</f>
        <v/>
      </c>
      <c r="R124" s="18">
        <f>INDEX('3_PRA_SWES_L1_Input'!$G$4:$G$14,MATCH($C124,'3_PRA_SWES_L1_Input'!$A$4:$A$14,0))*K124</f>
        <v/>
      </c>
      <c r="S124" s="18">
        <f>R124*L124</f>
        <v/>
      </c>
      <c r="T124" s="18">
        <f>S124*M124</f>
        <v/>
      </c>
      <c r="U124" s="18">
        <f>INDEX('3_PRA_SWES_L1_Input'!$H$4:$H$14,MATCH($C124,'3_PRA_SWES_L1_Input'!$A$4:$A$14,0))*K124*L124*M124</f>
        <v/>
      </c>
    </row>
    <row r="125">
      <c r="A125" s="8">
        <f>'1_GICS_Structure'!G125</f>
        <v/>
      </c>
      <c r="B125" s="8">
        <f>'1_GICS_Structure'!H125</f>
        <v/>
      </c>
      <c r="C125" s="8">
        <f>'1_GICS_Structure'!A125</f>
        <v/>
      </c>
      <c r="D125" s="8">
        <f>'1_GICS_Structure'!C125</f>
        <v/>
      </c>
      <c r="E125" s="8">
        <f>'1_GICS_Structure'!E125</f>
        <v/>
      </c>
      <c r="F125" s="8">
        <f>'1_GICS_Structure'!J125</f>
        <v/>
      </c>
      <c r="G125" s="12">
        <f>INDEX('2_Damodaran_Betas'!$F$3:$F$97,MATCH('1_GICS_Structure'!I125,'2_Damodaran_Betas'!$A$3:$A$97,0))</f>
        <v/>
      </c>
      <c r="H125" s="12">
        <f>SUMPRODUCT(($E$3:$E$165=E125)*$F$3:$F$165*$G$3:$G$165)/SUMPRODUCT(($E$3:$E$165=E125)*$F$3:$F$165)</f>
        <v/>
      </c>
      <c r="I125" s="12">
        <f>SUMPRODUCT(($D$3:$D$165=D125)*$F$3:$F$165*$G$3:$G$165)/SUMPRODUCT(($D$3:$D$165=D125)*$F$3:$F$165)</f>
        <v/>
      </c>
      <c r="J125" s="12">
        <f>SUMPRODUCT(($C$3:$C$165=C125)*$F$3:$F$165*$G$3:$G$165)/SUMPRODUCT(($C$3:$C$165=C125)*$F$3:$F$165)</f>
        <v/>
      </c>
      <c r="K125" s="17">
        <f>I125/J125</f>
        <v/>
      </c>
      <c r="L125" s="17">
        <f>H125/I125</f>
        <v/>
      </c>
      <c r="M125" s="17">
        <f>G125/H125</f>
        <v/>
      </c>
      <c r="N125" s="18">
        <f>INDEX('3_PRA_SWES_L1_Input'!$D$4:$D$14,MATCH($C125,'3_PRA_SWES_L1_Input'!$A$4:$A$14,0))*K125</f>
        <v/>
      </c>
      <c r="O125" s="18">
        <f>N125*L125</f>
        <v/>
      </c>
      <c r="P125" s="18">
        <f>O125*M125</f>
        <v/>
      </c>
      <c r="Q125" s="18">
        <f>INDEX('3_PRA_SWES_L1_Input'!$E$4:$E$14,MATCH($C125,'3_PRA_SWES_L1_Input'!$A$4:$A$14,0))*K125*L125*M125</f>
        <v/>
      </c>
      <c r="R125" s="18">
        <f>INDEX('3_PRA_SWES_L1_Input'!$G$4:$G$14,MATCH($C125,'3_PRA_SWES_L1_Input'!$A$4:$A$14,0))*K125</f>
        <v/>
      </c>
      <c r="S125" s="18">
        <f>R125*L125</f>
        <v/>
      </c>
      <c r="T125" s="18">
        <f>S125*M125</f>
        <v/>
      </c>
      <c r="U125" s="18">
        <f>INDEX('3_PRA_SWES_L1_Input'!$H$4:$H$14,MATCH($C125,'3_PRA_SWES_L1_Input'!$A$4:$A$14,0))*K125*L125*M125</f>
        <v/>
      </c>
    </row>
    <row r="126">
      <c r="A126" s="8">
        <f>'1_GICS_Structure'!G126</f>
        <v/>
      </c>
      <c r="B126" s="8">
        <f>'1_GICS_Structure'!H126</f>
        <v/>
      </c>
      <c r="C126" s="8">
        <f>'1_GICS_Structure'!A126</f>
        <v/>
      </c>
      <c r="D126" s="8">
        <f>'1_GICS_Structure'!C126</f>
        <v/>
      </c>
      <c r="E126" s="8">
        <f>'1_GICS_Structure'!E126</f>
        <v/>
      </c>
      <c r="F126" s="8">
        <f>'1_GICS_Structure'!J126</f>
        <v/>
      </c>
      <c r="G126" s="12">
        <f>INDEX('2_Damodaran_Betas'!$F$3:$F$97,MATCH('1_GICS_Structure'!I126,'2_Damodaran_Betas'!$A$3:$A$97,0))</f>
        <v/>
      </c>
      <c r="H126" s="12">
        <f>SUMPRODUCT(($E$3:$E$165=E126)*$F$3:$F$165*$G$3:$G$165)/SUMPRODUCT(($E$3:$E$165=E126)*$F$3:$F$165)</f>
        <v/>
      </c>
      <c r="I126" s="12">
        <f>SUMPRODUCT(($D$3:$D$165=D126)*$F$3:$F$165*$G$3:$G$165)/SUMPRODUCT(($D$3:$D$165=D126)*$F$3:$F$165)</f>
        <v/>
      </c>
      <c r="J126" s="12">
        <f>SUMPRODUCT(($C$3:$C$165=C126)*$F$3:$F$165*$G$3:$G$165)/SUMPRODUCT(($C$3:$C$165=C126)*$F$3:$F$165)</f>
        <v/>
      </c>
      <c r="K126" s="17">
        <f>I126/J126</f>
        <v/>
      </c>
      <c r="L126" s="17">
        <f>H126/I126</f>
        <v/>
      </c>
      <c r="M126" s="17">
        <f>G126/H126</f>
        <v/>
      </c>
      <c r="N126" s="18">
        <f>INDEX('3_PRA_SWES_L1_Input'!$D$4:$D$14,MATCH($C126,'3_PRA_SWES_L1_Input'!$A$4:$A$14,0))*K126</f>
        <v/>
      </c>
      <c r="O126" s="18">
        <f>N126*L126</f>
        <v/>
      </c>
      <c r="P126" s="18">
        <f>O126*M126</f>
        <v/>
      </c>
      <c r="Q126" s="18">
        <f>INDEX('3_PRA_SWES_L1_Input'!$E$4:$E$14,MATCH($C126,'3_PRA_SWES_L1_Input'!$A$4:$A$14,0))*K126*L126*M126</f>
        <v/>
      </c>
      <c r="R126" s="18">
        <f>INDEX('3_PRA_SWES_L1_Input'!$G$4:$G$14,MATCH($C126,'3_PRA_SWES_L1_Input'!$A$4:$A$14,0))*K126</f>
        <v/>
      </c>
      <c r="S126" s="18">
        <f>R126*L126</f>
        <v/>
      </c>
      <c r="T126" s="18">
        <f>S126*M126</f>
        <v/>
      </c>
      <c r="U126" s="18">
        <f>INDEX('3_PRA_SWES_L1_Input'!$H$4:$H$14,MATCH($C126,'3_PRA_SWES_L1_Input'!$A$4:$A$14,0))*K126*L126*M126</f>
        <v/>
      </c>
    </row>
    <row r="127">
      <c r="A127" s="8">
        <f>'1_GICS_Structure'!G127</f>
        <v/>
      </c>
      <c r="B127" s="8">
        <f>'1_GICS_Structure'!H127</f>
        <v/>
      </c>
      <c r="C127" s="8">
        <f>'1_GICS_Structure'!A127</f>
        <v/>
      </c>
      <c r="D127" s="8">
        <f>'1_GICS_Structure'!C127</f>
        <v/>
      </c>
      <c r="E127" s="8">
        <f>'1_GICS_Structure'!E127</f>
        <v/>
      </c>
      <c r="F127" s="8">
        <f>'1_GICS_Structure'!J127</f>
        <v/>
      </c>
      <c r="G127" s="12">
        <f>INDEX('2_Damodaran_Betas'!$F$3:$F$97,MATCH('1_GICS_Structure'!I127,'2_Damodaran_Betas'!$A$3:$A$97,0))</f>
        <v/>
      </c>
      <c r="H127" s="12">
        <f>SUMPRODUCT(($E$3:$E$165=E127)*$F$3:$F$165*$G$3:$G$165)/SUMPRODUCT(($E$3:$E$165=E127)*$F$3:$F$165)</f>
        <v/>
      </c>
      <c r="I127" s="12">
        <f>SUMPRODUCT(($D$3:$D$165=D127)*$F$3:$F$165*$G$3:$G$165)/SUMPRODUCT(($D$3:$D$165=D127)*$F$3:$F$165)</f>
        <v/>
      </c>
      <c r="J127" s="12">
        <f>SUMPRODUCT(($C$3:$C$165=C127)*$F$3:$F$165*$G$3:$G$165)/SUMPRODUCT(($C$3:$C$165=C127)*$F$3:$F$165)</f>
        <v/>
      </c>
      <c r="K127" s="17">
        <f>I127/J127</f>
        <v/>
      </c>
      <c r="L127" s="17">
        <f>H127/I127</f>
        <v/>
      </c>
      <c r="M127" s="17">
        <f>G127/H127</f>
        <v/>
      </c>
      <c r="N127" s="18">
        <f>INDEX('3_PRA_SWES_L1_Input'!$D$4:$D$14,MATCH($C127,'3_PRA_SWES_L1_Input'!$A$4:$A$14,0))*K127</f>
        <v/>
      </c>
      <c r="O127" s="18">
        <f>N127*L127</f>
        <v/>
      </c>
      <c r="P127" s="18">
        <f>O127*M127</f>
        <v/>
      </c>
      <c r="Q127" s="18">
        <f>INDEX('3_PRA_SWES_L1_Input'!$E$4:$E$14,MATCH($C127,'3_PRA_SWES_L1_Input'!$A$4:$A$14,0))*K127*L127*M127</f>
        <v/>
      </c>
      <c r="R127" s="18">
        <f>INDEX('3_PRA_SWES_L1_Input'!$G$4:$G$14,MATCH($C127,'3_PRA_SWES_L1_Input'!$A$4:$A$14,0))*K127</f>
        <v/>
      </c>
      <c r="S127" s="18">
        <f>R127*L127</f>
        <v/>
      </c>
      <c r="T127" s="18">
        <f>S127*M127</f>
        <v/>
      </c>
      <c r="U127" s="18">
        <f>INDEX('3_PRA_SWES_L1_Input'!$H$4:$H$14,MATCH($C127,'3_PRA_SWES_L1_Input'!$A$4:$A$14,0))*K127*L127*M127</f>
        <v/>
      </c>
    </row>
    <row r="128">
      <c r="A128" s="8">
        <f>'1_GICS_Structure'!G128</f>
        <v/>
      </c>
      <c r="B128" s="8">
        <f>'1_GICS_Structure'!H128</f>
        <v/>
      </c>
      <c r="C128" s="8">
        <f>'1_GICS_Structure'!A128</f>
        <v/>
      </c>
      <c r="D128" s="8">
        <f>'1_GICS_Structure'!C128</f>
        <v/>
      </c>
      <c r="E128" s="8">
        <f>'1_GICS_Structure'!E128</f>
        <v/>
      </c>
      <c r="F128" s="8">
        <f>'1_GICS_Structure'!J128</f>
        <v/>
      </c>
      <c r="G128" s="12">
        <f>INDEX('2_Damodaran_Betas'!$F$3:$F$97,MATCH('1_GICS_Structure'!I128,'2_Damodaran_Betas'!$A$3:$A$97,0))</f>
        <v/>
      </c>
      <c r="H128" s="12">
        <f>SUMPRODUCT(($E$3:$E$165=E128)*$F$3:$F$165*$G$3:$G$165)/SUMPRODUCT(($E$3:$E$165=E128)*$F$3:$F$165)</f>
        <v/>
      </c>
      <c r="I128" s="12">
        <f>SUMPRODUCT(($D$3:$D$165=D128)*$F$3:$F$165*$G$3:$G$165)/SUMPRODUCT(($D$3:$D$165=D128)*$F$3:$F$165)</f>
        <v/>
      </c>
      <c r="J128" s="12">
        <f>SUMPRODUCT(($C$3:$C$165=C128)*$F$3:$F$165*$G$3:$G$165)/SUMPRODUCT(($C$3:$C$165=C128)*$F$3:$F$165)</f>
        <v/>
      </c>
      <c r="K128" s="17">
        <f>I128/J128</f>
        <v/>
      </c>
      <c r="L128" s="17">
        <f>H128/I128</f>
        <v/>
      </c>
      <c r="M128" s="17">
        <f>G128/H128</f>
        <v/>
      </c>
      <c r="N128" s="18">
        <f>INDEX('3_PRA_SWES_L1_Input'!$D$4:$D$14,MATCH($C128,'3_PRA_SWES_L1_Input'!$A$4:$A$14,0))*K128</f>
        <v/>
      </c>
      <c r="O128" s="18">
        <f>N128*L128</f>
        <v/>
      </c>
      <c r="P128" s="18">
        <f>O128*M128</f>
        <v/>
      </c>
      <c r="Q128" s="18">
        <f>INDEX('3_PRA_SWES_L1_Input'!$E$4:$E$14,MATCH($C128,'3_PRA_SWES_L1_Input'!$A$4:$A$14,0))*K128*L128*M128</f>
        <v/>
      </c>
      <c r="R128" s="18">
        <f>INDEX('3_PRA_SWES_L1_Input'!$G$4:$G$14,MATCH($C128,'3_PRA_SWES_L1_Input'!$A$4:$A$14,0))*K128</f>
        <v/>
      </c>
      <c r="S128" s="18">
        <f>R128*L128</f>
        <v/>
      </c>
      <c r="T128" s="18">
        <f>S128*M128</f>
        <v/>
      </c>
      <c r="U128" s="18">
        <f>INDEX('3_PRA_SWES_L1_Input'!$H$4:$H$14,MATCH($C128,'3_PRA_SWES_L1_Input'!$A$4:$A$14,0))*K128*L128*M128</f>
        <v/>
      </c>
    </row>
    <row r="129">
      <c r="A129" s="8">
        <f>'1_GICS_Structure'!G129</f>
        <v/>
      </c>
      <c r="B129" s="8">
        <f>'1_GICS_Structure'!H129</f>
        <v/>
      </c>
      <c r="C129" s="8">
        <f>'1_GICS_Structure'!A129</f>
        <v/>
      </c>
      <c r="D129" s="8">
        <f>'1_GICS_Structure'!C129</f>
        <v/>
      </c>
      <c r="E129" s="8">
        <f>'1_GICS_Structure'!E129</f>
        <v/>
      </c>
      <c r="F129" s="8">
        <f>'1_GICS_Structure'!J129</f>
        <v/>
      </c>
      <c r="G129" s="12">
        <f>INDEX('2_Damodaran_Betas'!$F$3:$F$97,MATCH('1_GICS_Structure'!I129,'2_Damodaran_Betas'!$A$3:$A$97,0))</f>
        <v/>
      </c>
      <c r="H129" s="12">
        <f>SUMPRODUCT(($E$3:$E$165=E129)*$F$3:$F$165*$G$3:$G$165)/SUMPRODUCT(($E$3:$E$165=E129)*$F$3:$F$165)</f>
        <v/>
      </c>
      <c r="I129" s="12">
        <f>SUMPRODUCT(($D$3:$D$165=D129)*$F$3:$F$165*$G$3:$G$165)/SUMPRODUCT(($D$3:$D$165=D129)*$F$3:$F$165)</f>
        <v/>
      </c>
      <c r="J129" s="12">
        <f>SUMPRODUCT(($C$3:$C$165=C129)*$F$3:$F$165*$G$3:$G$165)/SUMPRODUCT(($C$3:$C$165=C129)*$F$3:$F$165)</f>
        <v/>
      </c>
      <c r="K129" s="17">
        <f>I129/J129</f>
        <v/>
      </c>
      <c r="L129" s="17">
        <f>H129/I129</f>
        <v/>
      </c>
      <c r="M129" s="17">
        <f>G129/H129</f>
        <v/>
      </c>
      <c r="N129" s="18">
        <f>INDEX('3_PRA_SWES_L1_Input'!$D$4:$D$14,MATCH($C129,'3_PRA_SWES_L1_Input'!$A$4:$A$14,0))*K129</f>
        <v/>
      </c>
      <c r="O129" s="18">
        <f>N129*L129</f>
        <v/>
      </c>
      <c r="P129" s="18">
        <f>O129*M129</f>
        <v/>
      </c>
      <c r="Q129" s="18">
        <f>INDEX('3_PRA_SWES_L1_Input'!$E$4:$E$14,MATCH($C129,'3_PRA_SWES_L1_Input'!$A$4:$A$14,0))*K129*L129*M129</f>
        <v/>
      </c>
      <c r="R129" s="18">
        <f>INDEX('3_PRA_SWES_L1_Input'!$G$4:$G$14,MATCH($C129,'3_PRA_SWES_L1_Input'!$A$4:$A$14,0))*K129</f>
        <v/>
      </c>
      <c r="S129" s="18">
        <f>R129*L129</f>
        <v/>
      </c>
      <c r="T129" s="18">
        <f>S129*M129</f>
        <v/>
      </c>
      <c r="U129" s="18">
        <f>INDEX('3_PRA_SWES_L1_Input'!$H$4:$H$14,MATCH($C129,'3_PRA_SWES_L1_Input'!$A$4:$A$14,0))*K129*L129*M129</f>
        <v/>
      </c>
    </row>
    <row r="130">
      <c r="A130" s="8">
        <f>'1_GICS_Structure'!G130</f>
        <v/>
      </c>
      <c r="B130" s="8">
        <f>'1_GICS_Structure'!H130</f>
        <v/>
      </c>
      <c r="C130" s="8">
        <f>'1_GICS_Structure'!A130</f>
        <v/>
      </c>
      <c r="D130" s="8">
        <f>'1_GICS_Structure'!C130</f>
        <v/>
      </c>
      <c r="E130" s="8">
        <f>'1_GICS_Structure'!E130</f>
        <v/>
      </c>
      <c r="F130" s="8">
        <f>'1_GICS_Structure'!J130</f>
        <v/>
      </c>
      <c r="G130" s="12">
        <f>INDEX('2_Damodaran_Betas'!$F$3:$F$97,MATCH('1_GICS_Structure'!I130,'2_Damodaran_Betas'!$A$3:$A$97,0))</f>
        <v/>
      </c>
      <c r="H130" s="12">
        <f>SUMPRODUCT(($E$3:$E$165=E130)*$F$3:$F$165*$G$3:$G$165)/SUMPRODUCT(($E$3:$E$165=E130)*$F$3:$F$165)</f>
        <v/>
      </c>
      <c r="I130" s="12">
        <f>SUMPRODUCT(($D$3:$D$165=D130)*$F$3:$F$165*$G$3:$G$165)/SUMPRODUCT(($D$3:$D$165=D130)*$F$3:$F$165)</f>
        <v/>
      </c>
      <c r="J130" s="12">
        <f>SUMPRODUCT(($C$3:$C$165=C130)*$F$3:$F$165*$G$3:$G$165)/SUMPRODUCT(($C$3:$C$165=C130)*$F$3:$F$165)</f>
        <v/>
      </c>
      <c r="K130" s="17">
        <f>I130/J130</f>
        <v/>
      </c>
      <c r="L130" s="17">
        <f>H130/I130</f>
        <v/>
      </c>
      <c r="M130" s="17">
        <f>G130/H130</f>
        <v/>
      </c>
      <c r="N130" s="18">
        <f>INDEX('3_PRA_SWES_L1_Input'!$D$4:$D$14,MATCH($C130,'3_PRA_SWES_L1_Input'!$A$4:$A$14,0))*K130</f>
        <v/>
      </c>
      <c r="O130" s="18">
        <f>N130*L130</f>
        <v/>
      </c>
      <c r="P130" s="18">
        <f>O130*M130</f>
        <v/>
      </c>
      <c r="Q130" s="18">
        <f>INDEX('3_PRA_SWES_L1_Input'!$E$4:$E$14,MATCH($C130,'3_PRA_SWES_L1_Input'!$A$4:$A$14,0))*K130*L130*M130</f>
        <v/>
      </c>
      <c r="R130" s="18">
        <f>INDEX('3_PRA_SWES_L1_Input'!$G$4:$G$14,MATCH($C130,'3_PRA_SWES_L1_Input'!$A$4:$A$14,0))*K130</f>
        <v/>
      </c>
      <c r="S130" s="18">
        <f>R130*L130</f>
        <v/>
      </c>
      <c r="T130" s="18">
        <f>S130*M130</f>
        <v/>
      </c>
      <c r="U130" s="18">
        <f>INDEX('3_PRA_SWES_L1_Input'!$H$4:$H$14,MATCH($C130,'3_PRA_SWES_L1_Input'!$A$4:$A$14,0))*K130*L130*M130</f>
        <v/>
      </c>
    </row>
    <row r="131">
      <c r="A131" s="8">
        <f>'1_GICS_Structure'!G131</f>
        <v/>
      </c>
      <c r="B131" s="8">
        <f>'1_GICS_Structure'!H131</f>
        <v/>
      </c>
      <c r="C131" s="8">
        <f>'1_GICS_Structure'!A131</f>
        <v/>
      </c>
      <c r="D131" s="8">
        <f>'1_GICS_Structure'!C131</f>
        <v/>
      </c>
      <c r="E131" s="8">
        <f>'1_GICS_Structure'!E131</f>
        <v/>
      </c>
      <c r="F131" s="8">
        <f>'1_GICS_Structure'!J131</f>
        <v/>
      </c>
      <c r="G131" s="12">
        <f>INDEX('2_Damodaran_Betas'!$F$3:$F$97,MATCH('1_GICS_Structure'!I131,'2_Damodaran_Betas'!$A$3:$A$97,0))</f>
        <v/>
      </c>
      <c r="H131" s="12">
        <f>SUMPRODUCT(($E$3:$E$165=E131)*$F$3:$F$165*$G$3:$G$165)/SUMPRODUCT(($E$3:$E$165=E131)*$F$3:$F$165)</f>
        <v/>
      </c>
      <c r="I131" s="12">
        <f>SUMPRODUCT(($D$3:$D$165=D131)*$F$3:$F$165*$G$3:$G$165)/SUMPRODUCT(($D$3:$D$165=D131)*$F$3:$F$165)</f>
        <v/>
      </c>
      <c r="J131" s="12">
        <f>SUMPRODUCT(($C$3:$C$165=C131)*$F$3:$F$165*$G$3:$G$165)/SUMPRODUCT(($C$3:$C$165=C131)*$F$3:$F$165)</f>
        <v/>
      </c>
      <c r="K131" s="17">
        <f>I131/J131</f>
        <v/>
      </c>
      <c r="L131" s="17">
        <f>H131/I131</f>
        <v/>
      </c>
      <c r="M131" s="17">
        <f>G131/H131</f>
        <v/>
      </c>
      <c r="N131" s="18">
        <f>INDEX('3_PRA_SWES_L1_Input'!$D$4:$D$14,MATCH($C131,'3_PRA_SWES_L1_Input'!$A$4:$A$14,0))*K131</f>
        <v/>
      </c>
      <c r="O131" s="18">
        <f>N131*L131</f>
        <v/>
      </c>
      <c r="P131" s="18">
        <f>O131*M131</f>
        <v/>
      </c>
      <c r="Q131" s="18">
        <f>INDEX('3_PRA_SWES_L1_Input'!$E$4:$E$14,MATCH($C131,'3_PRA_SWES_L1_Input'!$A$4:$A$14,0))*K131*L131*M131</f>
        <v/>
      </c>
      <c r="R131" s="18">
        <f>INDEX('3_PRA_SWES_L1_Input'!$G$4:$G$14,MATCH($C131,'3_PRA_SWES_L1_Input'!$A$4:$A$14,0))*K131</f>
        <v/>
      </c>
      <c r="S131" s="18">
        <f>R131*L131</f>
        <v/>
      </c>
      <c r="T131" s="18">
        <f>S131*M131</f>
        <v/>
      </c>
      <c r="U131" s="18">
        <f>INDEX('3_PRA_SWES_L1_Input'!$H$4:$H$14,MATCH($C131,'3_PRA_SWES_L1_Input'!$A$4:$A$14,0))*K131*L131*M131</f>
        <v/>
      </c>
    </row>
    <row r="132">
      <c r="A132" s="8">
        <f>'1_GICS_Structure'!G132</f>
        <v/>
      </c>
      <c r="B132" s="8">
        <f>'1_GICS_Structure'!H132</f>
        <v/>
      </c>
      <c r="C132" s="8">
        <f>'1_GICS_Structure'!A132</f>
        <v/>
      </c>
      <c r="D132" s="8">
        <f>'1_GICS_Structure'!C132</f>
        <v/>
      </c>
      <c r="E132" s="8">
        <f>'1_GICS_Structure'!E132</f>
        <v/>
      </c>
      <c r="F132" s="8">
        <f>'1_GICS_Structure'!J132</f>
        <v/>
      </c>
      <c r="G132" s="12">
        <f>INDEX('2_Damodaran_Betas'!$F$3:$F$97,MATCH('1_GICS_Structure'!I132,'2_Damodaran_Betas'!$A$3:$A$97,0))</f>
        <v/>
      </c>
      <c r="H132" s="12">
        <f>SUMPRODUCT(($E$3:$E$165=E132)*$F$3:$F$165*$G$3:$G$165)/SUMPRODUCT(($E$3:$E$165=E132)*$F$3:$F$165)</f>
        <v/>
      </c>
      <c r="I132" s="12">
        <f>SUMPRODUCT(($D$3:$D$165=D132)*$F$3:$F$165*$G$3:$G$165)/SUMPRODUCT(($D$3:$D$165=D132)*$F$3:$F$165)</f>
        <v/>
      </c>
      <c r="J132" s="12">
        <f>SUMPRODUCT(($C$3:$C$165=C132)*$F$3:$F$165*$G$3:$G$165)/SUMPRODUCT(($C$3:$C$165=C132)*$F$3:$F$165)</f>
        <v/>
      </c>
      <c r="K132" s="17">
        <f>I132/J132</f>
        <v/>
      </c>
      <c r="L132" s="17">
        <f>H132/I132</f>
        <v/>
      </c>
      <c r="M132" s="17">
        <f>G132/H132</f>
        <v/>
      </c>
      <c r="N132" s="18">
        <f>INDEX('3_PRA_SWES_L1_Input'!$D$4:$D$14,MATCH($C132,'3_PRA_SWES_L1_Input'!$A$4:$A$14,0))*K132</f>
        <v/>
      </c>
      <c r="O132" s="18">
        <f>N132*L132</f>
        <v/>
      </c>
      <c r="P132" s="18">
        <f>O132*M132</f>
        <v/>
      </c>
      <c r="Q132" s="18">
        <f>INDEX('3_PRA_SWES_L1_Input'!$E$4:$E$14,MATCH($C132,'3_PRA_SWES_L1_Input'!$A$4:$A$14,0))*K132*L132*M132</f>
        <v/>
      </c>
      <c r="R132" s="18">
        <f>INDEX('3_PRA_SWES_L1_Input'!$G$4:$G$14,MATCH($C132,'3_PRA_SWES_L1_Input'!$A$4:$A$14,0))*K132</f>
        <v/>
      </c>
      <c r="S132" s="18">
        <f>R132*L132</f>
        <v/>
      </c>
      <c r="T132" s="18">
        <f>S132*M132</f>
        <v/>
      </c>
      <c r="U132" s="18">
        <f>INDEX('3_PRA_SWES_L1_Input'!$H$4:$H$14,MATCH($C132,'3_PRA_SWES_L1_Input'!$A$4:$A$14,0))*K132*L132*M132</f>
        <v/>
      </c>
    </row>
    <row r="133">
      <c r="A133" s="8">
        <f>'1_GICS_Structure'!G133</f>
        <v/>
      </c>
      <c r="B133" s="8">
        <f>'1_GICS_Structure'!H133</f>
        <v/>
      </c>
      <c r="C133" s="8">
        <f>'1_GICS_Structure'!A133</f>
        <v/>
      </c>
      <c r="D133" s="8">
        <f>'1_GICS_Structure'!C133</f>
        <v/>
      </c>
      <c r="E133" s="8">
        <f>'1_GICS_Structure'!E133</f>
        <v/>
      </c>
      <c r="F133" s="8">
        <f>'1_GICS_Structure'!J133</f>
        <v/>
      </c>
      <c r="G133" s="12">
        <f>INDEX('2_Damodaran_Betas'!$F$3:$F$97,MATCH('1_GICS_Structure'!I133,'2_Damodaran_Betas'!$A$3:$A$97,0))</f>
        <v/>
      </c>
      <c r="H133" s="12">
        <f>SUMPRODUCT(($E$3:$E$165=E133)*$F$3:$F$165*$G$3:$G$165)/SUMPRODUCT(($E$3:$E$165=E133)*$F$3:$F$165)</f>
        <v/>
      </c>
      <c r="I133" s="12">
        <f>SUMPRODUCT(($D$3:$D$165=D133)*$F$3:$F$165*$G$3:$G$165)/SUMPRODUCT(($D$3:$D$165=D133)*$F$3:$F$165)</f>
        <v/>
      </c>
      <c r="J133" s="12">
        <f>SUMPRODUCT(($C$3:$C$165=C133)*$F$3:$F$165*$G$3:$G$165)/SUMPRODUCT(($C$3:$C$165=C133)*$F$3:$F$165)</f>
        <v/>
      </c>
      <c r="K133" s="17">
        <f>I133/J133</f>
        <v/>
      </c>
      <c r="L133" s="17">
        <f>H133/I133</f>
        <v/>
      </c>
      <c r="M133" s="17">
        <f>G133/H133</f>
        <v/>
      </c>
      <c r="N133" s="18">
        <f>INDEX('3_PRA_SWES_L1_Input'!$D$4:$D$14,MATCH($C133,'3_PRA_SWES_L1_Input'!$A$4:$A$14,0))*K133</f>
        <v/>
      </c>
      <c r="O133" s="18">
        <f>N133*L133</f>
        <v/>
      </c>
      <c r="P133" s="18">
        <f>O133*M133</f>
        <v/>
      </c>
      <c r="Q133" s="18">
        <f>INDEX('3_PRA_SWES_L1_Input'!$E$4:$E$14,MATCH($C133,'3_PRA_SWES_L1_Input'!$A$4:$A$14,0))*K133*L133*M133</f>
        <v/>
      </c>
      <c r="R133" s="18">
        <f>INDEX('3_PRA_SWES_L1_Input'!$G$4:$G$14,MATCH($C133,'3_PRA_SWES_L1_Input'!$A$4:$A$14,0))*K133</f>
        <v/>
      </c>
      <c r="S133" s="18">
        <f>R133*L133</f>
        <v/>
      </c>
      <c r="T133" s="18">
        <f>S133*M133</f>
        <v/>
      </c>
      <c r="U133" s="18">
        <f>INDEX('3_PRA_SWES_L1_Input'!$H$4:$H$14,MATCH($C133,'3_PRA_SWES_L1_Input'!$A$4:$A$14,0))*K133*L133*M133</f>
        <v/>
      </c>
    </row>
    <row r="134">
      <c r="A134" s="8">
        <f>'1_GICS_Structure'!G134</f>
        <v/>
      </c>
      <c r="B134" s="8">
        <f>'1_GICS_Structure'!H134</f>
        <v/>
      </c>
      <c r="C134" s="8">
        <f>'1_GICS_Structure'!A134</f>
        <v/>
      </c>
      <c r="D134" s="8">
        <f>'1_GICS_Structure'!C134</f>
        <v/>
      </c>
      <c r="E134" s="8">
        <f>'1_GICS_Structure'!E134</f>
        <v/>
      </c>
      <c r="F134" s="8">
        <f>'1_GICS_Structure'!J134</f>
        <v/>
      </c>
      <c r="G134" s="12">
        <f>INDEX('2_Damodaran_Betas'!$F$3:$F$97,MATCH('1_GICS_Structure'!I134,'2_Damodaran_Betas'!$A$3:$A$97,0))</f>
        <v/>
      </c>
      <c r="H134" s="12">
        <f>SUMPRODUCT(($E$3:$E$165=E134)*$F$3:$F$165*$G$3:$G$165)/SUMPRODUCT(($E$3:$E$165=E134)*$F$3:$F$165)</f>
        <v/>
      </c>
      <c r="I134" s="12">
        <f>SUMPRODUCT(($D$3:$D$165=D134)*$F$3:$F$165*$G$3:$G$165)/SUMPRODUCT(($D$3:$D$165=D134)*$F$3:$F$165)</f>
        <v/>
      </c>
      <c r="J134" s="12">
        <f>SUMPRODUCT(($C$3:$C$165=C134)*$F$3:$F$165*$G$3:$G$165)/SUMPRODUCT(($C$3:$C$165=C134)*$F$3:$F$165)</f>
        <v/>
      </c>
      <c r="K134" s="17">
        <f>I134/J134</f>
        <v/>
      </c>
      <c r="L134" s="17">
        <f>H134/I134</f>
        <v/>
      </c>
      <c r="M134" s="17">
        <f>G134/H134</f>
        <v/>
      </c>
      <c r="N134" s="18">
        <f>INDEX('3_PRA_SWES_L1_Input'!$D$4:$D$14,MATCH($C134,'3_PRA_SWES_L1_Input'!$A$4:$A$14,0))*K134</f>
        <v/>
      </c>
      <c r="O134" s="18">
        <f>N134*L134</f>
        <v/>
      </c>
      <c r="P134" s="18">
        <f>O134*M134</f>
        <v/>
      </c>
      <c r="Q134" s="18">
        <f>INDEX('3_PRA_SWES_L1_Input'!$E$4:$E$14,MATCH($C134,'3_PRA_SWES_L1_Input'!$A$4:$A$14,0))*K134*L134*M134</f>
        <v/>
      </c>
      <c r="R134" s="18">
        <f>INDEX('3_PRA_SWES_L1_Input'!$G$4:$G$14,MATCH($C134,'3_PRA_SWES_L1_Input'!$A$4:$A$14,0))*K134</f>
        <v/>
      </c>
      <c r="S134" s="18">
        <f>R134*L134</f>
        <v/>
      </c>
      <c r="T134" s="18">
        <f>S134*M134</f>
        <v/>
      </c>
      <c r="U134" s="18">
        <f>INDEX('3_PRA_SWES_L1_Input'!$H$4:$H$14,MATCH($C134,'3_PRA_SWES_L1_Input'!$A$4:$A$14,0))*K134*L134*M134</f>
        <v/>
      </c>
    </row>
    <row r="135">
      <c r="A135" s="8">
        <f>'1_GICS_Structure'!G135</f>
        <v/>
      </c>
      <c r="B135" s="8">
        <f>'1_GICS_Structure'!H135</f>
        <v/>
      </c>
      <c r="C135" s="8">
        <f>'1_GICS_Structure'!A135</f>
        <v/>
      </c>
      <c r="D135" s="8">
        <f>'1_GICS_Structure'!C135</f>
        <v/>
      </c>
      <c r="E135" s="8">
        <f>'1_GICS_Structure'!E135</f>
        <v/>
      </c>
      <c r="F135" s="8">
        <f>'1_GICS_Structure'!J135</f>
        <v/>
      </c>
      <c r="G135" s="12">
        <f>INDEX('2_Damodaran_Betas'!$F$3:$F$97,MATCH('1_GICS_Structure'!I135,'2_Damodaran_Betas'!$A$3:$A$97,0))</f>
        <v/>
      </c>
      <c r="H135" s="12">
        <f>SUMPRODUCT(($E$3:$E$165=E135)*$F$3:$F$165*$G$3:$G$165)/SUMPRODUCT(($E$3:$E$165=E135)*$F$3:$F$165)</f>
        <v/>
      </c>
      <c r="I135" s="12">
        <f>SUMPRODUCT(($D$3:$D$165=D135)*$F$3:$F$165*$G$3:$G$165)/SUMPRODUCT(($D$3:$D$165=D135)*$F$3:$F$165)</f>
        <v/>
      </c>
      <c r="J135" s="12">
        <f>SUMPRODUCT(($C$3:$C$165=C135)*$F$3:$F$165*$G$3:$G$165)/SUMPRODUCT(($C$3:$C$165=C135)*$F$3:$F$165)</f>
        <v/>
      </c>
      <c r="K135" s="17">
        <f>I135/J135</f>
        <v/>
      </c>
      <c r="L135" s="17">
        <f>H135/I135</f>
        <v/>
      </c>
      <c r="M135" s="17">
        <f>G135/H135</f>
        <v/>
      </c>
      <c r="N135" s="18">
        <f>INDEX('3_PRA_SWES_L1_Input'!$D$4:$D$14,MATCH($C135,'3_PRA_SWES_L1_Input'!$A$4:$A$14,0))*K135</f>
        <v/>
      </c>
      <c r="O135" s="18">
        <f>N135*L135</f>
        <v/>
      </c>
      <c r="P135" s="18">
        <f>O135*M135</f>
        <v/>
      </c>
      <c r="Q135" s="18">
        <f>INDEX('3_PRA_SWES_L1_Input'!$E$4:$E$14,MATCH($C135,'3_PRA_SWES_L1_Input'!$A$4:$A$14,0))*K135*L135*M135</f>
        <v/>
      </c>
      <c r="R135" s="18">
        <f>INDEX('3_PRA_SWES_L1_Input'!$G$4:$G$14,MATCH($C135,'3_PRA_SWES_L1_Input'!$A$4:$A$14,0))*K135</f>
        <v/>
      </c>
      <c r="S135" s="18">
        <f>R135*L135</f>
        <v/>
      </c>
      <c r="T135" s="18">
        <f>S135*M135</f>
        <v/>
      </c>
      <c r="U135" s="18">
        <f>INDEX('3_PRA_SWES_L1_Input'!$H$4:$H$14,MATCH($C135,'3_PRA_SWES_L1_Input'!$A$4:$A$14,0))*K135*L135*M135</f>
        <v/>
      </c>
    </row>
    <row r="136">
      <c r="A136" s="8">
        <f>'1_GICS_Structure'!G136</f>
        <v/>
      </c>
      <c r="B136" s="8">
        <f>'1_GICS_Structure'!H136</f>
        <v/>
      </c>
      <c r="C136" s="8">
        <f>'1_GICS_Structure'!A136</f>
        <v/>
      </c>
      <c r="D136" s="8">
        <f>'1_GICS_Structure'!C136</f>
        <v/>
      </c>
      <c r="E136" s="8">
        <f>'1_GICS_Structure'!E136</f>
        <v/>
      </c>
      <c r="F136" s="8">
        <f>'1_GICS_Structure'!J136</f>
        <v/>
      </c>
      <c r="G136" s="12">
        <f>INDEX('2_Damodaran_Betas'!$F$3:$F$97,MATCH('1_GICS_Structure'!I136,'2_Damodaran_Betas'!$A$3:$A$97,0))</f>
        <v/>
      </c>
      <c r="H136" s="12">
        <f>SUMPRODUCT(($E$3:$E$165=E136)*$F$3:$F$165*$G$3:$G$165)/SUMPRODUCT(($E$3:$E$165=E136)*$F$3:$F$165)</f>
        <v/>
      </c>
      <c r="I136" s="12">
        <f>SUMPRODUCT(($D$3:$D$165=D136)*$F$3:$F$165*$G$3:$G$165)/SUMPRODUCT(($D$3:$D$165=D136)*$F$3:$F$165)</f>
        <v/>
      </c>
      <c r="J136" s="12">
        <f>SUMPRODUCT(($C$3:$C$165=C136)*$F$3:$F$165*$G$3:$G$165)/SUMPRODUCT(($C$3:$C$165=C136)*$F$3:$F$165)</f>
        <v/>
      </c>
      <c r="K136" s="17">
        <f>I136/J136</f>
        <v/>
      </c>
      <c r="L136" s="17">
        <f>H136/I136</f>
        <v/>
      </c>
      <c r="M136" s="17">
        <f>G136/H136</f>
        <v/>
      </c>
      <c r="N136" s="18">
        <f>INDEX('3_PRA_SWES_L1_Input'!$D$4:$D$14,MATCH($C136,'3_PRA_SWES_L1_Input'!$A$4:$A$14,0))*K136</f>
        <v/>
      </c>
      <c r="O136" s="18">
        <f>N136*L136</f>
        <v/>
      </c>
      <c r="P136" s="18">
        <f>O136*M136</f>
        <v/>
      </c>
      <c r="Q136" s="18">
        <f>INDEX('3_PRA_SWES_L1_Input'!$E$4:$E$14,MATCH($C136,'3_PRA_SWES_L1_Input'!$A$4:$A$14,0))*K136*L136*M136</f>
        <v/>
      </c>
      <c r="R136" s="18">
        <f>INDEX('3_PRA_SWES_L1_Input'!$G$4:$G$14,MATCH($C136,'3_PRA_SWES_L1_Input'!$A$4:$A$14,0))*K136</f>
        <v/>
      </c>
      <c r="S136" s="18">
        <f>R136*L136</f>
        <v/>
      </c>
      <c r="T136" s="18">
        <f>S136*M136</f>
        <v/>
      </c>
      <c r="U136" s="18">
        <f>INDEX('3_PRA_SWES_L1_Input'!$H$4:$H$14,MATCH($C136,'3_PRA_SWES_L1_Input'!$A$4:$A$14,0))*K136*L136*M136</f>
        <v/>
      </c>
    </row>
    <row r="137">
      <c r="A137" s="8">
        <f>'1_GICS_Structure'!G137</f>
        <v/>
      </c>
      <c r="B137" s="8">
        <f>'1_GICS_Structure'!H137</f>
        <v/>
      </c>
      <c r="C137" s="8">
        <f>'1_GICS_Structure'!A137</f>
        <v/>
      </c>
      <c r="D137" s="8">
        <f>'1_GICS_Structure'!C137</f>
        <v/>
      </c>
      <c r="E137" s="8">
        <f>'1_GICS_Structure'!E137</f>
        <v/>
      </c>
      <c r="F137" s="8">
        <f>'1_GICS_Structure'!J137</f>
        <v/>
      </c>
      <c r="G137" s="12">
        <f>INDEX('2_Damodaran_Betas'!$F$3:$F$97,MATCH('1_GICS_Structure'!I137,'2_Damodaran_Betas'!$A$3:$A$97,0))</f>
        <v/>
      </c>
      <c r="H137" s="12">
        <f>SUMPRODUCT(($E$3:$E$165=E137)*$F$3:$F$165*$G$3:$G$165)/SUMPRODUCT(($E$3:$E$165=E137)*$F$3:$F$165)</f>
        <v/>
      </c>
      <c r="I137" s="12">
        <f>SUMPRODUCT(($D$3:$D$165=D137)*$F$3:$F$165*$G$3:$G$165)/SUMPRODUCT(($D$3:$D$165=D137)*$F$3:$F$165)</f>
        <v/>
      </c>
      <c r="J137" s="12">
        <f>SUMPRODUCT(($C$3:$C$165=C137)*$F$3:$F$165*$G$3:$G$165)/SUMPRODUCT(($C$3:$C$165=C137)*$F$3:$F$165)</f>
        <v/>
      </c>
      <c r="K137" s="17">
        <f>I137/J137</f>
        <v/>
      </c>
      <c r="L137" s="17">
        <f>H137/I137</f>
        <v/>
      </c>
      <c r="M137" s="17">
        <f>G137/H137</f>
        <v/>
      </c>
      <c r="N137" s="18">
        <f>INDEX('3_PRA_SWES_L1_Input'!$D$4:$D$14,MATCH($C137,'3_PRA_SWES_L1_Input'!$A$4:$A$14,0))*K137</f>
        <v/>
      </c>
      <c r="O137" s="18">
        <f>N137*L137</f>
        <v/>
      </c>
      <c r="P137" s="18">
        <f>O137*M137</f>
        <v/>
      </c>
      <c r="Q137" s="18">
        <f>INDEX('3_PRA_SWES_L1_Input'!$E$4:$E$14,MATCH($C137,'3_PRA_SWES_L1_Input'!$A$4:$A$14,0))*K137*L137*M137</f>
        <v/>
      </c>
      <c r="R137" s="18">
        <f>INDEX('3_PRA_SWES_L1_Input'!$G$4:$G$14,MATCH($C137,'3_PRA_SWES_L1_Input'!$A$4:$A$14,0))*K137</f>
        <v/>
      </c>
      <c r="S137" s="18">
        <f>R137*L137</f>
        <v/>
      </c>
      <c r="T137" s="18">
        <f>S137*M137</f>
        <v/>
      </c>
      <c r="U137" s="18">
        <f>INDEX('3_PRA_SWES_L1_Input'!$H$4:$H$14,MATCH($C137,'3_PRA_SWES_L1_Input'!$A$4:$A$14,0))*K137*L137*M137</f>
        <v/>
      </c>
    </row>
    <row r="138">
      <c r="A138" s="8">
        <f>'1_GICS_Structure'!G138</f>
        <v/>
      </c>
      <c r="B138" s="8">
        <f>'1_GICS_Structure'!H138</f>
        <v/>
      </c>
      <c r="C138" s="8">
        <f>'1_GICS_Structure'!A138</f>
        <v/>
      </c>
      <c r="D138" s="8">
        <f>'1_GICS_Structure'!C138</f>
        <v/>
      </c>
      <c r="E138" s="8">
        <f>'1_GICS_Structure'!E138</f>
        <v/>
      </c>
      <c r="F138" s="8">
        <f>'1_GICS_Structure'!J138</f>
        <v/>
      </c>
      <c r="G138" s="12">
        <f>INDEX('2_Damodaran_Betas'!$F$3:$F$97,MATCH('1_GICS_Structure'!I138,'2_Damodaran_Betas'!$A$3:$A$97,0))</f>
        <v/>
      </c>
      <c r="H138" s="12">
        <f>SUMPRODUCT(($E$3:$E$165=E138)*$F$3:$F$165*$G$3:$G$165)/SUMPRODUCT(($E$3:$E$165=E138)*$F$3:$F$165)</f>
        <v/>
      </c>
      <c r="I138" s="12">
        <f>SUMPRODUCT(($D$3:$D$165=D138)*$F$3:$F$165*$G$3:$G$165)/SUMPRODUCT(($D$3:$D$165=D138)*$F$3:$F$165)</f>
        <v/>
      </c>
      <c r="J138" s="12">
        <f>SUMPRODUCT(($C$3:$C$165=C138)*$F$3:$F$165*$G$3:$G$165)/SUMPRODUCT(($C$3:$C$165=C138)*$F$3:$F$165)</f>
        <v/>
      </c>
      <c r="K138" s="17">
        <f>I138/J138</f>
        <v/>
      </c>
      <c r="L138" s="17">
        <f>H138/I138</f>
        <v/>
      </c>
      <c r="M138" s="17">
        <f>G138/H138</f>
        <v/>
      </c>
      <c r="N138" s="18">
        <f>INDEX('3_PRA_SWES_L1_Input'!$D$4:$D$14,MATCH($C138,'3_PRA_SWES_L1_Input'!$A$4:$A$14,0))*K138</f>
        <v/>
      </c>
      <c r="O138" s="18">
        <f>N138*L138</f>
        <v/>
      </c>
      <c r="P138" s="18">
        <f>O138*M138</f>
        <v/>
      </c>
      <c r="Q138" s="18">
        <f>INDEX('3_PRA_SWES_L1_Input'!$E$4:$E$14,MATCH($C138,'3_PRA_SWES_L1_Input'!$A$4:$A$14,0))*K138*L138*M138</f>
        <v/>
      </c>
      <c r="R138" s="18">
        <f>INDEX('3_PRA_SWES_L1_Input'!$G$4:$G$14,MATCH($C138,'3_PRA_SWES_L1_Input'!$A$4:$A$14,0))*K138</f>
        <v/>
      </c>
      <c r="S138" s="18">
        <f>R138*L138</f>
        <v/>
      </c>
      <c r="T138" s="18">
        <f>S138*M138</f>
        <v/>
      </c>
      <c r="U138" s="18">
        <f>INDEX('3_PRA_SWES_L1_Input'!$H$4:$H$14,MATCH($C138,'3_PRA_SWES_L1_Input'!$A$4:$A$14,0))*K138*L138*M138</f>
        <v/>
      </c>
    </row>
    <row r="139">
      <c r="A139" s="8">
        <f>'1_GICS_Structure'!G139</f>
        <v/>
      </c>
      <c r="B139" s="8">
        <f>'1_GICS_Structure'!H139</f>
        <v/>
      </c>
      <c r="C139" s="8">
        <f>'1_GICS_Structure'!A139</f>
        <v/>
      </c>
      <c r="D139" s="8">
        <f>'1_GICS_Structure'!C139</f>
        <v/>
      </c>
      <c r="E139" s="8">
        <f>'1_GICS_Structure'!E139</f>
        <v/>
      </c>
      <c r="F139" s="8">
        <f>'1_GICS_Structure'!J139</f>
        <v/>
      </c>
      <c r="G139" s="12">
        <f>INDEX('2_Damodaran_Betas'!$F$3:$F$97,MATCH('1_GICS_Structure'!I139,'2_Damodaran_Betas'!$A$3:$A$97,0))</f>
        <v/>
      </c>
      <c r="H139" s="12">
        <f>SUMPRODUCT(($E$3:$E$165=E139)*$F$3:$F$165*$G$3:$G$165)/SUMPRODUCT(($E$3:$E$165=E139)*$F$3:$F$165)</f>
        <v/>
      </c>
      <c r="I139" s="12">
        <f>SUMPRODUCT(($D$3:$D$165=D139)*$F$3:$F$165*$G$3:$G$165)/SUMPRODUCT(($D$3:$D$165=D139)*$F$3:$F$165)</f>
        <v/>
      </c>
      <c r="J139" s="12">
        <f>SUMPRODUCT(($C$3:$C$165=C139)*$F$3:$F$165*$G$3:$G$165)/SUMPRODUCT(($C$3:$C$165=C139)*$F$3:$F$165)</f>
        <v/>
      </c>
      <c r="K139" s="17">
        <f>I139/J139</f>
        <v/>
      </c>
      <c r="L139" s="17">
        <f>H139/I139</f>
        <v/>
      </c>
      <c r="M139" s="17">
        <f>G139/H139</f>
        <v/>
      </c>
      <c r="N139" s="18">
        <f>INDEX('3_PRA_SWES_L1_Input'!$D$4:$D$14,MATCH($C139,'3_PRA_SWES_L1_Input'!$A$4:$A$14,0))*K139</f>
        <v/>
      </c>
      <c r="O139" s="18">
        <f>N139*L139</f>
        <v/>
      </c>
      <c r="P139" s="18">
        <f>O139*M139</f>
        <v/>
      </c>
      <c r="Q139" s="18">
        <f>INDEX('3_PRA_SWES_L1_Input'!$E$4:$E$14,MATCH($C139,'3_PRA_SWES_L1_Input'!$A$4:$A$14,0))*K139*L139*M139</f>
        <v/>
      </c>
      <c r="R139" s="18">
        <f>INDEX('3_PRA_SWES_L1_Input'!$G$4:$G$14,MATCH($C139,'3_PRA_SWES_L1_Input'!$A$4:$A$14,0))*K139</f>
        <v/>
      </c>
      <c r="S139" s="18">
        <f>R139*L139</f>
        <v/>
      </c>
      <c r="T139" s="18">
        <f>S139*M139</f>
        <v/>
      </c>
      <c r="U139" s="18">
        <f>INDEX('3_PRA_SWES_L1_Input'!$H$4:$H$14,MATCH($C139,'3_PRA_SWES_L1_Input'!$A$4:$A$14,0))*K139*L139*M139</f>
        <v/>
      </c>
    </row>
    <row r="140">
      <c r="A140" s="8">
        <f>'1_GICS_Structure'!G140</f>
        <v/>
      </c>
      <c r="B140" s="8">
        <f>'1_GICS_Structure'!H140</f>
        <v/>
      </c>
      <c r="C140" s="8">
        <f>'1_GICS_Structure'!A140</f>
        <v/>
      </c>
      <c r="D140" s="8">
        <f>'1_GICS_Structure'!C140</f>
        <v/>
      </c>
      <c r="E140" s="8">
        <f>'1_GICS_Structure'!E140</f>
        <v/>
      </c>
      <c r="F140" s="8">
        <f>'1_GICS_Structure'!J140</f>
        <v/>
      </c>
      <c r="G140" s="12">
        <f>INDEX('2_Damodaran_Betas'!$F$3:$F$97,MATCH('1_GICS_Structure'!I140,'2_Damodaran_Betas'!$A$3:$A$97,0))</f>
        <v/>
      </c>
      <c r="H140" s="12">
        <f>SUMPRODUCT(($E$3:$E$165=E140)*$F$3:$F$165*$G$3:$G$165)/SUMPRODUCT(($E$3:$E$165=E140)*$F$3:$F$165)</f>
        <v/>
      </c>
      <c r="I140" s="12">
        <f>SUMPRODUCT(($D$3:$D$165=D140)*$F$3:$F$165*$G$3:$G$165)/SUMPRODUCT(($D$3:$D$165=D140)*$F$3:$F$165)</f>
        <v/>
      </c>
      <c r="J140" s="12">
        <f>SUMPRODUCT(($C$3:$C$165=C140)*$F$3:$F$165*$G$3:$G$165)/SUMPRODUCT(($C$3:$C$165=C140)*$F$3:$F$165)</f>
        <v/>
      </c>
      <c r="K140" s="17">
        <f>I140/J140</f>
        <v/>
      </c>
      <c r="L140" s="17">
        <f>H140/I140</f>
        <v/>
      </c>
      <c r="M140" s="17">
        <f>G140/H140</f>
        <v/>
      </c>
      <c r="N140" s="18">
        <f>INDEX('3_PRA_SWES_L1_Input'!$D$4:$D$14,MATCH($C140,'3_PRA_SWES_L1_Input'!$A$4:$A$14,0))*K140</f>
        <v/>
      </c>
      <c r="O140" s="18">
        <f>N140*L140</f>
        <v/>
      </c>
      <c r="P140" s="18">
        <f>O140*M140</f>
        <v/>
      </c>
      <c r="Q140" s="18">
        <f>INDEX('3_PRA_SWES_L1_Input'!$E$4:$E$14,MATCH($C140,'3_PRA_SWES_L1_Input'!$A$4:$A$14,0))*K140*L140*M140</f>
        <v/>
      </c>
      <c r="R140" s="18">
        <f>INDEX('3_PRA_SWES_L1_Input'!$G$4:$G$14,MATCH($C140,'3_PRA_SWES_L1_Input'!$A$4:$A$14,0))*K140</f>
        <v/>
      </c>
      <c r="S140" s="18">
        <f>R140*L140</f>
        <v/>
      </c>
      <c r="T140" s="18">
        <f>S140*M140</f>
        <v/>
      </c>
      <c r="U140" s="18">
        <f>INDEX('3_PRA_SWES_L1_Input'!$H$4:$H$14,MATCH($C140,'3_PRA_SWES_L1_Input'!$A$4:$A$14,0))*K140*L140*M140</f>
        <v/>
      </c>
    </row>
    <row r="141">
      <c r="A141" s="8">
        <f>'1_GICS_Structure'!G141</f>
        <v/>
      </c>
      <c r="B141" s="8">
        <f>'1_GICS_Structure'!H141</f>
        <v/>
      </c>
      <c r="C141" s="8">
        <f>'1_GICS_Structure'!A141</f>
        <v/>
      </c>
      <c r="D141" s="8">
        <f>'1_GICS_Structure'!C141</f>
        <v/>
      </c>
      <c r="E141" s="8">
        <f>'1_GICS_Structure'!E141</f>
        <v/>
      </c>
      <c r="F141" s="8">
        <f>'1_GICS_Structure'!J141</f>
        <v/>
      </c>
      <c r="G141" s="12">
        <f>INDEX('2_Damodaran_Betas'!$F$3:$F$97,MATCH('1_GICS_Structure'!I141,'2_Damodaran_Betas'!$A$3:$A$97,0))</f>
        <v/>
      </c>
      <c r="H141" s="12">
        <f>SUMPRODUCT(($E$3:$E$165=E141)*$F$3:$F$165*$G$3:$G$165)/SUMPRODUCT(($E$3:$E$165=E141)*$F$3:$F$165)</f>
        <v/>
      </c>
      <c r="I141" s="12">
        <f>SUMPRODUCT(($D$3:$D$165=D141)*$F$3:$F$165*$G$3:$G$165)/SUMPRODUCT(($D$3:$D$165=D141)*$F$3:$F$165)</f>
        <v/>
      </c>
      <c r="J141" s="12">
        <f>SUMPRODUCT(($C$3:$C$165=C141)*$F$3:$F$165*$G$3:$G$165)/SUMPRODUCT(($C$3:$C$165=C141)*$F$3:$F$165)</f>
        <v/>
      </c>
      <c r="K141" s="17">
        <f>I141/J141</f>
        <v/>
      </c>
      <c r="L141" s="17">
        <f>H141/I141</f>
        <v/>
      </c>
      <c r="M141" s="17">
        <f>G141/H141</f>
        <v/>
      </c>
      <c r="N141" s="18">
        <f>INDEX('3_PRA_SWES_L1_Input'!$D$4:$D$14,MATCH($C141,'3_PRA_SWES_L1_Input'!$A$4:$A$14,0))*K141</f>
        <v/>
      </c>
      <c r="O141" s="18">
        <f>N141*L141</f>
        <v/>
      </c>
      <c r="P141" s="18">
        <f>O141*M141</f>
        <v/>
      </c>
      <c r="Q141" s="18">
        <f>INDEX('3_PRA_SWES_L1_Input'!$E$4:$E$14,MATCH($C141,'3_PRA_SWES_L1_Input'!$A$4:$A$14,0))*K141*L141*M141</f>
        <v/>
      </c>
      <c r="R141" s="18">
        <f>INDEX('3_PRA_SWES_L1_Input'!$G$4:$G$14,MATCH($C141,'3_PRA_SWES_L1_Input'!$A$4:$A$14,0))*K141</f>
        <v/>
      </c>
      <c r="S141" s="18">
        <f>R141*L141</f>
        <v/>
      </c>
      <c r="T141" s="18">
        <f>S141*M141</f>
        <v/>
      </c>
      <c r="U141" s="18">
        <f>INDEX('3_PRA_SWES_L1_Input'!$H$4:$H$14,MATCH($C141,'3_PRA_SWES_L1_Input'!$A$4:$A$14,0))*K141*L141*M141</f>
        <v/>
      </c>
    </row>
    <row r="142">
      <c r="A142" s="8">
        <f>'1_GICS_Structure'!G142</f>
        <v/>
      </c>
      <c r="B142" s="8">
        <f>'1_GICS_Structure'!H142</f>
        <v/>
      </c>
      <c r="C142" s="8">
        <f>'1_GICS_Structure'!A142</f>
        <v/>
      </c>
      <c r="D142" s="8">
        <f>'1_GICS_Structure'!C142</f>
        <v/>
      </c>
      <c r="E142" s="8">
        <f>'1_GICS_Structure'!E142</f>
        <v/>
      </c>
      <c r="F142" s="8">
        <f>'1_GICS_Structure'!J142</f>
        <v/>
      </c>
      <c r="G142" s="12">
        <f>INDEX('2_Damodaran_Betas'!$F$3:$F$97,MATCH('1_GICS_Structure'!I142,'2_Damodaran_Betas'!$A$3:$A$97,0))</f>
        <v/>
      </c>
      <c r="H142" s="12">
        <f>SUMPRODUCT(($E$3:$E$165=E142)*$F$3:$F$165*$G$3:$G$165)/SUMPRODUCT(($E$3:$E$165=E142)*$F$3:$F$165)</f>
        <v/>
      </c>
      <c r="I142" s="12">
        <f>SUMPRODUCT(($D$3:$D$165=D142)*$F$3:$F$165*$G$3:$G$165)/SUMPRODUCT(($D$3:$D$165=D142)*$F$3:$F$165)</f>
        <v/>
      </c>
      <c r="J142" s="12">
        <f>SUMPRODUCT(($C$3:$C$165=C142)*$F$3:$F$165*$G$3:$G$165)/SUMPRODUCT(($C$3:$C$165=C142)*$F$3:$F$165)</f>
        <v/>
      </c>
      <c r="K142" s="17">
        <f>I142/J142</f>
        <v/>
      </c>
      <c r="L142" s="17">
        <f>H142/I142</f>
        <v/>
      </c>
      <c r="M142" s="17">
        <f>G142/H142</f>
        <v/>
      </c>
      <c r="N142" s="18">
        <f>INDEX('3_PRA_SWES_L1_Input'!$D$4:$D$14,MATCH($C142,'3_PRA_SWES_L1_Input'!$A$4:$A$14,0))*K142</f>
        <v/>
      </c>
      <c r="O142" s="18">
        <f>N142*L142</f>
        <v/>
      </c>
      <c r="P142" s="18">
        <f>O142*M142</f>
        <v/>
      </c>
      <c r="Q142" s="18">
        <f>INDEX('3_PRA_SWES_L1_Input'!$E$4:$E$14,MATCH($C142,'3_PRA_SWES_L1_Input'!$A$4:$A$14,0))*K142*L142*M142</f>
        <v/>
      </c>
      <c r="R142" s="18">
        <f>INDEX('3_PRA_SWES_L1_Input'!$G$4:$G$14,MATCH($C142,'3_PRA_SWES_L1_Input'!$A$4:$A$14,0))*K142</f>
        <v/>
      </c>
      <c r="S142" s="18">
        <f>R142*L142</f>
        <v/>
      </c>
      <c r="T142" s="18">
        <f>S142*M142</f>
        <v/>
      </c>
      <c r="U142" s="18">
        <f>INDEX('3_PRA_SWES_L1_Input'!$H$4:$H$14,MATCH($C142,'3_PRA_SWES_L1_Input'!$A$4:$A$14,0))*K142*L142*M142</f>
        <v/>
      </c>
    </row>
    <row r="143">
      <c r="A143" s="8">
        <f>'1_GICS_Structure'!G143</f>
        <v/>
      </c>
      <c r="B143" s="8">
        <f>'1_GICS_Structure'!H143</f>
        <v/>
      </c>
      <c r="C143" s="8">
        <f>'1_GICS_Structure'!A143</f>
        <v/>
      </c>
      <c r="D143" s="8">
        <f>'1_GICS_Structure'!C143</f>
        <v/>
      </c>
      <c r="E143" s="8">
        <f>'1_GICS_Structure'!E143</f>
        <v/>
      </c>
      <c r="F143" s="8">
        <f>'1_GICS_Structure'!J143</f>
        <v/>
      </c>
      <c r="G143" s="12">
        <f>INDEX('2_Damodaran_Betas'!$F$3:$F$97,MATCH('1_GICS_Structure'!I143,'2_Damodaran_Betas'!$A$3:$A$97,0))</f>
        <v/>
      </c>
      <c r="H143" s="12">
        <f>SUMPRODUCT(($E$3:$E$165=E143)*$F$3:$F$165*$G$3:$G$165)/SUMPRODUCT(($E$3:$E$165=E143)*$F$3:$F$165)</f>
        <v/>
      </c>
      <c r="I143" s="12">
        <f>SUMPRODUCT(($D$3:$D$165=D143)*$F$3:$F$165*$G$3:$G$165)/SUMPRODUCT(($D$3:$D$165=D143)*$F$3:$F$165)</f>
        <v/>
      </c>
      <c r="J143" s="12">
        <f>SUMPRODUCT(($C$3:$C$165=C143)*$F$3:$F$165*$G$3:$G$165)/SUMPRODUCT(($C$3:$C$165=C143)*$F$3:$F$165)</f>
        <v/>
      </c>
      <c r="K143" s="17">
        <f>I143/J143</f>
        <v/>
      </c>
      <c r="L143" s="17">
        <f>H143/I143</f>
        <v/>
      </c>
      <c r="M143" s="17">
        <f>G143/H143</f>
        <v/>
      </c>
      <c r="N143" s="18">
        <f>INDEX('3_PRA_SWES_L1_Input'!$D$4:$D$14,MATCH($C143,'3_PRA_SWES_L1_Input'!$A$4:$A$14,0))*K143</f>
        <v/>
      </c>
      <c r="O143" s="18">
        <f>N143*L143</f>
        <v/>
      </c>
      <c r="P143" s="18">
        <f>O143*M143</f>
        <v/>
      </c>
      <c r="Q143" s="18">
        <f>INDEX('3_PRA_SWES_L1_Input'!$E$4:$E$14,MATCH($C143,'3_PRA_SWES_L1_Input'!$A$4:$A$14,0))*K143*L143*M143</f>
        <v/>
      </c>
      <c r="R143" s="18">
        <f>INDEX('3_PRA_SWES_L1_Input'!$G$4:$G$14,MATCH($C143,'3_PRA_SWES_L1_Input'!$A$4:$A$14,0))*K143</f>
        <v/>
      </c>
      <c r="S143" s="18">
        <f>R143*L143</f>
        <v/>
      </c>
      <c r="T143" s="18">
        <f>S143*M143</f>
        <v/>
      </c>
      <c r="U143" s="18">
        <f>INDEX('3_PRA_SWES_L1_Input'!$H$4:$H$14,MATCH($C143,'3_PRA_SWES_L1_Input'!$A$4:$A$14,0))*K143*L143*M143</f>
        <v/>
      </c>
    </row>
    <row r="144">
      <c r="A144" s="8">
        <f>'1_GICS_Structure'!G144</f>
        <v/>
      </c>
      <c r="B144" s="8">
        <f>'1_GICS_Structure'!H144</f>
        <v/>
      </c>
      <c r="C144" s="8">
        <f>'1_GICS_Structure'!A144</f>
        <v/>
      </c>
      <c r="D144" s="8">
        <f>'1_GICS_Structure'!C144</f>
        <v/>
      </c>
      <c r="E144" s="8">
        <f>'1_GICS_Structure'!E144</f>
        <v/>
      </c>
      <c r="F144" s="8">
        <f>'1_GICS_Structure'!J144</f>
        <v/>
      </c>
      <c r="G144" s="12">
        <f>INDEX('2_Damodaran_Betas'!$F$3:$F$97,MATCH('1_GICS_Structure'!I144,'2_Damodaran_Betas'!$A$3:$A$97,0))</f>
        <v/>
      </c>
      <c r="H144" s="12">
        <f>SUMPRODUCT(($E$3:$E$165=E144)*$F$3:$F$165*$G$3:$G$165)/SUMPRODUCT(($E$3:$E$165=E144)*$F$3:$F$165)</f>
        <v/>
      </c>
      <c r="I144" s="12">
        <f>SUMPRODUCT(($D$3:$D$165=D144)*$F$3:$F$165*$G$3:$G$165)/SUMPRODUCT(($D$3:$D$165=D144)*$F$3:$F$165)</f>
        <v/>
      </c>
      <c r="J144" s="12">
        <f>SUMPRODUCT(($C$3:$C$165=C144)*$F$3:$F$165*$G$3:$G$165)/SUMPRODUCT(($C$3:$C$165=C144)*$F$3:$F$165)</f>
        <v/>
      </c>
      <c r="K144" s="17">
        <f>I144/J144</f>
        <v/>
      </c>
      <c r="L144" s="17">
        <f>H144/I144</f>
        <v/>
      </c>
      <c r="M144" s="17">
        <f>G144/H144</f>
        <v/>
      </c>
      <c r="N144" s="18">
        <f>INDEX('3_PRA_SWES_L1_Input'!$D$4:$D$14,MATCH($C144,'3_PRA_SWES_L1_Input'!$A$4:$A$14,0))*K144</f>
        <v/>
      </c>
      <c r="O144" s="18">
        <f>N144*L144</f>
        <v/>
      </c>
      <c r="P144" s="18">
        <f>O144*M144</f>
        <v/>
      </c>
      <c r="Q144" s="18">
        <f>INDEX('3_PRA_SWES_L1_Input'!$E$4:$E$14,MATCH($C144,'3_PRA_SWES_L1_Input'!$A$4:$A$14,0))*K144*L144*M144</f>
        <v/>
      </c>
      <c r="R144" s="18">
        <f>INDEX('3_PRA_SWES_L1_Input'!$G$4:$G$14,MATCH($C144,'3_PRA_SWES_L1_Input'!$A$4:$A$14,0))*K144</f>
        <v/>
      </c>
      <c r="S144" s="18">
        <f>R144*L144</f>
        <v/>
      </c>
      <c r="T144" s="18">
        <f>S144*M144</f>
        <v/>
      </c>
      <c r="U144" s="18">
        <f>INDEX('3_PRA_SWES_L1_Input'!$H$4:$H$14,MATCH($C144,'3_PRA_SWES_L1_Input'!$A$4:$A$14,0))*K144*L144*M144</f>
        <v/>
      </c>
    </row>
    <row r="145">
      <c r="A145" s="8">
        <f>'1_GICS_Structure'!G145</f>
        <v/>
      </c>
      <c r="B145" s="8">
        <f>'1_GICS_Structure'!H145</f>
        <v/>
      </c>
      <c r="C145" s="8">
        <f>'1_GICS_Structure'!A145</f>
        <v/>
      </c>
      <c r="D145" s="8">
        <f>'1_GICS_Structure'!C145</f>
        <v/>
      </c>
      <c r="E145" s="8">
        <f>'1_GICS_Structure'!E145</f>
        <v/>
      </c>
      <c r="F145" s="8">
        <f>'1_GICS_Structure'!J145</f>
        <v/>
      </c>
      <c r="G145" s="12">
        <f>INDEX('2_Damodaran_Betas'!$F$3:$F$97,MATCH('1_GICS_Structure'!I145,'2_Damodaran_Betas'!$A$3:$A$97,0))</f>
        <v/>
      </c>
      <c r="H145" s="12">
        <f>SUMPRODUCT(($E$3:$E$165=E145)*$F$3:$F$165*$G$3:$G$165)/SUMPRODUCT(($E$3:$E$165=E145)*$F$3:$F$165)</f>
        <v/>
      </c>
      <c r="I145" s="12">
        <f>SUMPRODUCT(($D$3:$D$165=D145)*$F$3:$F$165*$G$3:$G$165)/SUMPRODUCT(($D$3:$D$165=D145)*$F$3:$F$165)</f>
        <v/>
      </c>
      <c r="J145" s="12">
        <f>SUMPRODUCT(($C$3:$C$165=C145)*$F$3:$F$165*$G$3:$G$165)/SUMPRODUCT(($C$3:$C$165=C145)*$F$3:$F$165)</f>
        <v/>
      </c>
      <c r="K145" s="17">
        <f>I145/J145</f>
        <v/>
      </c>
      <c r="L145" s="17">
        <f>H145/I145</f>
        <v/>
      </c>
      <c r="M145" s="17">
        <f>G145/H145</f>
        <v/>
      </c>
      <c r="N145" s="18">
        <f>INDEX('3_PRA_SWES_L1_Input'!$D$4:$D$14,MATCH($C145,'3_PRA_SWES_L1_Input'!$A$4:$A$14,0))*K145</f>
        <v/>
      </c>
      <c r="O145" s="18">
        <f>N145*L145</f>
        <v/>
      </c>
      <c r="P145" s="18">
        <f>O145*M145</f>
        <v/>
      </c>
      <c r="Q145" s="18">
        <f>INDEX('3_PRA_SWES_L1_Input'!$E$4:$E$14,MATCH($C145,'3_PRA_SWES_L1_Input'!$A$4:$A$14,0))*K145*L145*M145</f>
        <v/>
      </c>
      <c r="R145" s="18">
        <f>INDEX('3_PRA_SWES_L1_Input'!$G$4:$G$14,MATCH($C145,'3_PRA_SWES_L1_Input'!$A$4:$A$14,0))*K145</f>
        <v/>
      </c>
      <c r="S145" s="18">
        <f>R145*L145</f>
        <v/>
      </c>
      <c r="T145" s="18">
        <f>S145*M145</f>
        <v/>
      </c>
      <c r="U145" s="18">
        <f>INDEX('3_PRA_SWES_L1_Input'!$H$4:$H$14,MATCH($C145,'3_PRA_SWES_L1_Input'!$A$4:$A$14,0))*K145*L145*M145</f>
        <v/>
      </c>
    </row>
    <row r="146">
      <c r="A146" s="8">
        <f>'1_GICS_Structure'!G146</f>
        <v/>
      </c>
      <c r="B146" s="8">
        <f>'1_GICS_Structure'!H146</f>
        <v/>
      </c>
      <c r="C146" s="8">
        <f>'1_GICS_Structure'!A146</f>
        <v/>
      </c>
      <c r="D146" s="8">
        <f>'1_GICS_Structure'!C146</f>
        <v/>
      </c>
      <c r="E146" s="8">
        <f>'1_GICS_Structure'!E146</f>
        <v/>
      </c>
      <c r="F146" s="8">
        <f>'1_GICS_Structure'!J146</f>
        <v/>
      </c>
      <c r="G146" s="12">
        <f>INDEX('2_Damodaran_Betas'!$F$3:$F$97,MATCH('1_GICS_Structure'!I146,'2_Damodaran_Betas'!$A$3:$A$97,0))</f>
        <v/>
      </c>
      <c r="H146" s="12">
        <f>SUMPRODUCT(($E$3:$E$165=E146)*$F$3:$F$165*$G$3:$G$165)/SUMPRODUCT(($E$3:$E$165=E146)*$F$3:$F$165)</f>
        <v/>
      </c>
      <c r="I146" s="12">
        <f>SUMPRODUCT(($D$3:$D$165=D146)*$F$3:$F$165*$G$3:$G$165)/SUMPRODUCT(($D$3:$D$165=D146)*$F$3:$F$165)</f>
        <v/>
      </c>
      <c r="J146" s="12">
        <f>SUMPRODUCT(($C$3:$C$165=C146)*$F$3:$F$165*$G$3:$G$165)/SUMPRODUCT(($C$3:$C$165=C146)*$F$3:$F$165)</f>
        <v/>
      </c>
      <c r="K146" s="17">
        <f>I146/J146</f>
        <v/>
      </c>
      <c r="L146" s="17">
        <f>H146/I146</f>
        <v/>
      </c>
      <c r="M146" s="17">
        <f>G146/H146</f>
        <v/>
      </c>
      <c r="N146" s="18">
        <f>INDEX('3_PRA_SWES_L1_Input'!$D$4:$D$14,MATCH($C146,'3_PRA_SWES_L1_Input'!$A$4:$A$14,0))*K146</f>
        <v/>
      </c>
      <c r="O146" s="18">
        <f>N146*L146</f>
        <v/>
      </c>
      <c r="P146" s="18">
        <f>O146*M146</f>
        <v/>
      </c>
      <c r="Q146" s="18">
        <f>INDEX('3_PRA_SWES_L1_Input'!$E$4:$E$14,MATCH($C146,'3_PRA_SWES_L1_Input'!$A$4:$A$14,0))*K146*L146*M146</f>
        <v/>
      </c>
      <c r="R146" s="18">
        <f>INDEX('3_PRA_SWES_L1_Input'!$G$4:$G$14,MATCH($C146,'3_PRA_SWES_L1_Input'!$A$4:$A$14,0))*K146</f>
        <v/>
      </c>
      <c r="S146" s="18">
        <f>R146*L146</f>
        <v/>
      </c>
      <c r="T146" s="18">
        <f>S146*M146</f>
        <v/>
      </c>
      <c r="U146" s="18">
        <f>INDEX('3_PRA_SWES_L1_Input'!$H$4:$H$14,MATCH($C146,'3_PRA_SWES_L1_Input'!$A$4:$A$14,0))*K146*L146*M146</f>
        <v/>
      </c>
    </row>
    <row r="147">
      <c r="A147" s="8">
        <f>'1_GICS_Structure'!G147</f>
        <v/>
      </c>
      <c r="B147" s="8">
        <f>'1_GICS_Structure'!H147</f>
        <v/>
      </c>
      <c r="C147" s="8">
        <f>'1_GICS_Structure'!A147</f>
        <v/>
      </c>
      <c r="D147" s="8">
        <f>'1_GICS_Structure'!C147</f>
        <v/>
      </c>
      <c r="E147" s="8">
        <f>'1_GICS_Structure'!E147</f>
        <v/>
      </c>
      <c r="F147" s="8">
        <f>'1_GICS_Structure'!J147</f>
        <v/>
      </c>
      <c r="G147" s="12">
        <f>INDEX('2_Damodaran_Betas'!$F$3:$F$97,MATCH('1_GICS_Structure'!I147,'2_Damodaran_Betas'!$A$3:$A$97,0))</f>
        <v/>
      </c>
      <c r="H147" s="12">
        <f>SUMPRODUCT(($E$3:$E$165=E147)*$F$3:$F$165*$G$3:$G$165)/SUMPRODUCT(($E$3:$E$165=E147)*$F$3:$F$165)</f>
        <v/>
      </c>
      <c r="I147" s="12">
        <f>SUMPRODUCT(($D$3:$D$165=D147)*$F$3:$F$165*$G$3:$G$165)/SUMPRODUCT(($D$3:$D$165=D147)*$F$3:$F$165)</f>
        <v/>
      </c>
      <c r="J147" s="12">
        <f>SUMPRODUCT(($C$3:$C$165=C147)*$F$3:$F$165*$G$3:$G$165)/SUMPRODUCT(($C$3:$C$165=C147)*$F$3:$F$165)</f>
        <v/>
      </c>
      <c r="K147" s="17">
        <f>I147/J147</f>
        <v/>
      </c>
      <c r="L147" s="17">
        <f>H147/I147</f>
        <v/>
      </c>
      <c r="M147" s="17">
        <f>G147/H147</f>
        <v/>
      </c>
      <c r="N147" s="18">
        <f>INDEX('3_PRA_SWES_L1_Input'!$D$4:$D$14,MATCH($C147,'3_PRA_SWES_L1_Input'!$A$4:$A$14,0))*K147</f>
        <v/>
      </c>
      <c r="O147" s="18">
        <f>N147*L147</f>
        <v/>
      </c>
      <c r="P147" s="18">
        <f>O147*M147</f>
        <v/>
      </c>
      <c r="Q147" s="18">
        <f>INDEX('3_PRA_SWES_L1_Input'!$E$4:$E$14,MATCH($C147,'3_PRA_SWES_L1_Input'!$A$4:$A$14,0))*K147*L147*M147</f>
        <v/>
      </c>
      <c r="R147" s="18">
        <f>INDEX('3_PRA_SWES_L1_Input'!$G$4:$G$14,MATCH($C147,'3_PRA_SWES_L1_Input'!$A$4:$A$14,0))*K147</f>
        <v/>
      </c>
      <c r="S147" s="18">
        <f>R147*L147</f>
        <v/>
      </c>
      <c r="T147" s="18">
        <f>S147*M147</f>
        <v/>
      </c>
      <c r="U147" s="18">
        <f>INDEX('3_PRA_SWES_L1_Input'!$H$4:$H$14,MATCH($C147,'3_PRA_SWES_L1_Input'!$A$4:$A$14,0))*K147*L147*M147</f>
        <v/>
      </c>
    </row>
    <row r="148">
      <c r="A148" s="8">
        <f>'1_GICS_Structure'!G148</f>
        <v/>
      </c>
      <c r="B148" s="8">
        <f>'1_GICS_Structure'!H148</f>
        <v/>
      </c>
      <c r="C148" s="8">
        <f>'1_GICS_Structure'!A148</f>
        <v/>
      </c>
      <c r="D148" s="8">
        <f>'1_GICS_Structure'!C148</f>
        <v/>
      </c>
      <c r="E148" s="8">
        <f>'1_GICS_Structure'!E148</f>
        <v/>
      </c>
      <c r="F148" s="8">
        <f>'1_GICS_Structure'!J148</f>
        <v/>
      </c>
      <c r="G148" s="12">
        <f>INDEX('2_Damodaran_Betas'!$F$3:$F$97,MATCH('1_GICS_Structure'!I148,'2_Damodaran_Betas'!$A$3:$A$97,0))</f>
        <v/>
      </c>
      <c r="H148" s="12">
        <f>SUMPRODUCT(($E$3:$E$165=E148)*$F$3:$F$165*$G$3:$G$165)/SUMPRODUCT(($E$3:$E$165=E148)*$F$3:$F$165)</f>
        <v/>
      </c>
      <c r="I148" s="12">
        <f>SUMPRODUCT(($D$3:$D$165=D148)*$F$3:$F$165*$G$3:$G$165)/SUMPRODUCT(($D$3:$D$165=D148)*$F$3:$F$165)</f>
        <v/>
      </c>
      <c r="J148" s="12">
        <f>SUMPRODUCT(($C$3:$C$165=C148)*$F$3:$F$165*$G$3:$G$165)/SUMPRODUCT(($C$3:$C$165=C148)*$F$3:$F$165)</f>
        <v/>
      </c>
      <c r="K148" s="17">
        <f>I148/J148</f>
        <v/>
      </c>
      <c r="L148" s="17">
        <f>H148/I148</f>
        <v/>
      </c>
      <c r="M148" s="17">
        <f>G148/H148</f>
        <v/>
      </c>
      <c r="N148" s="18">
        <f>INDEX('3_PRA_SWES_L1_Input'!$D$4:$D$14,MATCH($C148,'3_PRA_SWES_L1_Input'!$A$4:$A$14,0))*K148</f>
        <v/>
      </c>
      <c r="O148" s="18">
        <f>N148*L148</f>
        <v/>
      </c>
      <c r="P148" s="18">
        <f>O148*M148</f>
        <v/>
      </c>
      <c r="Q148" s="18">
        <f>INDEX('3_PRA_SWES_L1_Input'!$E$4:$E$14,MATCH($C148,'3_PRA_SWES_L1_Input'!$A$4:$A$14,0))*K148*L148*M148</f>
        <v/>
      </c>
      <c r="R148" s="18">
        <f>INDEX('3_PRA_SWES_L1_Input'!$G$4:$G$14,MATCH($C148,'3_PRA_SWES_L1_Input'!$A$4:$A$14,0))*K148</f>
        <v/>
      </c>
      <c r="S148" s="18">
        <f>R148*L148</f>
        <v/>
      </c>
      <c r="T148" s="18">
        <f>S148*M148</f>
        <v/>
      </c>
      <c r="U148" s="18">
        <f>INDEX('3_PRA_SWES_L1_Input'!$H$4:$H$14,MATCH($C148,'3_PRA_SWES_L1_Input'!$A$4:$A$14,0))*K148*L148*M148</f>
        <v/>
      </c>
    </row>
    <row r="149">
      <c r="A149" s="8">
        <f>'1_GICS_Structure'!G149</f>
        <v/>
      </c>
      <c r="B149" s="8">
        <f>'1_GICS_Structure'!H149</f>
        <v/>
      </c>
      <c r="C149" s="8">
        <f>'1_GICS_Structure'!A149</f>
        <v/>
      </c>
      <c r="D149" s="8">
        <f>'1_GICS_Structure'!C149</f>
        <v/>
      </c>
      <c r="E149" s="8">
        <f>'1_GICS_Structure'!E149</f>
        <v/>
      </c>
      <c r="F149" s="8">
        <f>'1_GICS_Structure'!J149</f>
        <v/>
      </c>
      <c r="G149" s="12">
        <f>INDEX('2_Damodaran_Betas'!$F$3:$F$97,MATCH('1_GICS_Structure'!I149,'2_Damodaran_Betas'!$A$3:$A$97,0))</f>
        <v/>
      </c>
      <c r="H149" s="12">
        <f>SUMPRODUCT(($E$3:$E$165=E149)*$F$3:$F$165*$G$3:$G$165)/SUMPRODUCT(($E$3:$E$165=E149)*$F$3:$F$165)</f>
        <v/>
      </c>
      <c r="I149" s="12">
        <f>SUMPRODUCT(($D$3:$D$165=D149)*$F$3:$F$165*$G$3:$G$165)/SUMPRODUCT(($D$3:$D$165=D149)*$F$3:$F$165)</f>
        <v/>
      </c>
      <c r="J149" s="12">
        <f>SUMPRODUCT(($C$3:$C$165=C149)*$F$3:$F$165*$G$3:$G$165)/SUMPRODUCT(($C$3:$C$165=C149)*$F$3:$F$165)</f>
        <v/>
      </c>
      <c r="K149" s="17">
        <f>I149/J149</f>
        <v/>
      </c>
      <c r="L149" s="17">
        <f>H149/I149</f>
        <v/>
      </c>
      <c r="M149" s="17">
        <f>G149/H149</f>
        <v/>
      </c>
      <c r="N149" s="18">
        <f>INDEX('3_PRA_SWES_L1_Input'!$D$4:$D$14,MATCH($C149,'3_PRA_SWES_L1_Input'!$A$4:$A$14,0))*K149</f>
        <v/>
      </c>
      <c r="O149" s="18">
        <f>N149*L149</f>
        <v/>
      </c>
      <c r="P149" s="18">
        <f>O149*M149</f>
        <v/>
      </c>
      <c r="Q149" s="18">
        <f>INDEX('3_PRA_SWES_L1_Input'!$E$4:$E$14,MATCH($C149,'3_PRA_SWES_L1_Input'!$A$4:$A$14,0))*K149*L149*M149</f>
        <v/>
      </c>
      <c r="R149" s="18">
        <f>INDEX('3_PRA_SWES_L1_Input'!$G$4:$G$14,MATCH($C149,'3_PRA_SWES_L1_Input'!$A$4:$A$14,0))*K149</f>
        <v/>
      </c>
      <c r="S149" s="18">
        <f>R149*L149</f>
        <v/>
      </c>
      <c r="T149" s="18">
        <f>S149*M149</f>
        <v/>
      </c>
      <c r="U149" s="18">
        <f>INDEX('3_PRA_SWES_L1_Input'!$H$4:$H$14,MATCH($C149,'3_PRA_SWES_L1_Input'!$A$4:$A$14,0))*K149*L149*M149</f>
        <v/>
      </c>
    </row>
    <row r="150">
      <c r="A150" s="8">
        <f>'1_GICS_Structure'!G150</f>
        <v/>
      </c>
      <c r="B150" s="8">
        <f>'1_GICS_Structure'!H150</f>
        <v/>
      </c>
      <c r="C150" s="8">
        <f>'1_GICS_Structure'!A150</f>
        <v/>
      </c>
      <c r="D150" s="8">
        <f>'1_GICS_Structure'!C150</f>
        <v/>
      </c>
      <c r="E150" s="8">
        <f>'1_GICS_Structure'!E150</f>
        <v/>
      </c>
      <c r="F150" s="8">
        <f>'1_GICS_Structure'!J150</f>
        <v/>
      </c>
      <c r="G150" s="12">
        <f>INDEX('2_Damodaran_Betas'!$F$3:$F$97,MATCH('1_GICS_Structure'!I150,'2_Damodaran_Betas'!$A$3:$A$97,0))</f>
        <v/>
      </c>
      <c r="H150" s="12">
        <f>SUMPRODUCT(($E$3:$E$165=E150)*$F$3:$F$165*$G$3:$G$165)/SUMPRODUCT(($E$3:$E$165=E150)*$F$3:$F$165)</f>
        <v/>
      </c>
      <c r="I150" s="12">
        <f>SUMPRODUCT(($D$3:$D$165=D150)*$F$3:$F$165*$G$3:$G$165)/SUMPRODUCT(($D$3:$D$165=D150)*$F$3:$F$165)</f>
        <v/>
      </c>
      <c r="J150" s="12">
        <f>SUMPRODUCT(($C$3:$C$165=C150)*$F$3:$F$165*$G$3:$G$165)/SUMPRODUCT(($C$3:$C$165=C150)*$F$3:$F$165)</f>
        <v/>
      </c>
      <c r="K150" s="17">
        <f>I150/J150</f>
        <v/>
      </c>
      <c r="L150" s="17">
        <f>H150/I150</f>
        <v/>
      </c>
      <c r="M150" s="17">
        <f>G150/H150</f>
        <v/>
      </c>
      <c r="N150" s="18">
        <f>INDEX('3_PRA_SWES_L1_Input'!$D$4:$D$14,MATCH($C150,'3_PRA_SWES_L1_Input'!$A$4:$A$14,0))*K150</f>
        <v/>
      </c>
      <c r="O150" s="18">
        <f>N150*L150</f>
        <v/>
      </c>
      <c r="P150" s="18">
        <f>O150*M150</f>
        <v/>
      </c>
      <c r="Q150" s="18">
        <f>INDEX('3_PRA_SWES_L1_Input'!$E$4:$E$14,MATCH($C150,'3_PRA_SWES_L1_Input'!$A$4:$A$14,0))*K150*L150*M150</f>
        <v/>
      </c>
      <c r="R150" s="18">
        <f>INDEX('3_PRA_SWES_L1_Input'!$G$4:$G$14,MATCH($C150,'3_PRA_SWES_L1_Input'!$A$4:$A$14,0))*K150</f>
        <v/>
      </c>
      <c r="S150" s="18">
        <f>R150*L150</f>
        <v/>
      </c>
      <c r="T150" s="18">
        <f>S150*M150</f>
        <v/>
      </c>
      <c r="U150" s="18">
        <f>INDEX('3_PRA_SWES_L1_Input'!$H$4:$H$14,MATCH($C150,'3_PRA_SWES_L1_Input'!$A$4:$A$14,0))*K150*L150*M150</f>
        <v/>
      </c>
    </row>
    <row r="151">
      <c r="A151" s="8">
        <f>'1_GICS_Structure'!G151</f>
        <v/>
      </c>
      <c r="B151" s="8">
        <f>'1_GICS_Structure'!H151</f>
        <v/>
      </c>
      <c r="C151" s="8">
        <f>'1_GICS_Structure'!A151</f>
        <v/>
      </c>
      <c r="D151" s="8">
        <f>'1_GICS_Structure'!C151</f>
        <v/>
      </c>
      <c r="E151" s="8">
        <f>'1_GICS_Structure'!E151</f>
        <v/>
      </c>
      <c r="F151" s="8">
        <f>'1_GICS_Structure'!J151</f>
        <v/>
      </c>
      <c r="G151" s="12">
        <f>INDEX('2_Damodaran_Betas'!$F$3:$F$97,MATCH('1_GICS_Structure'!I151,'2_Damodaran_Betas'!$A$3:$A$97,0))</f>
        <v/>
      </c>
      <c r="H151" s="12">
        <f>SUMPRODUCT(($E$3:$E$165=E151)*$F$3:$F$165*$G$3:$G$165)/SUMPRODUCT(($E$3:$E$165=E151)*$F$3:$F$165)</f>
        <v/>
      </c>
      <c r="I151" s="12">
        <f>SUMPRODUCT(($D$3:$D$165=D151)*$F$3:$F$165*$G$3:$G$165)/SUMPRODUCT(($D$3:$D$165=D151)*$F$3:$F$165)</f>
        <v/>
      </c>
      <c r="J151" s="12">
        <f>SUMPRODUCT(($C$3:$C$165=C151)*$F$3:$F$165*$G$3:$G$165)/SUMPRODUCT(($C$3:$C$165=C151)*$F$3:$F$165)</f>
        <v/>
      </c>
      <c r="K151" s="17">
        <f>I151/J151</f>
        <v/>
      </c>
      <c r="L151" s="17">
        <f>H151/I151</f>
        <v/>
      </c>
      <c r="M151" s="17">
        <f>G151/H151</f>
        <v/>
      </c>
      <c r="N151" s="18">
        <f>INDEX('3_PRA_SWES_L1_Input'!$D$4:$D$14,MATCH($C151,'3_PRA_SWES_L1_Input'!$A$4:$A$14,0))*K151</f>
        <v/>
      </c>
      <c r="O151" s="18">
        <f>N151*L151</f>
        <v/>
      </c>
      <c r="P151" s="18">
        <f>O151*M151</f>
        <v/>
      </c>
      <c r="Q151" s="18">
        <f>INDEX('3_PRA_SWES_L1_Input'!$E$4:$E$14,MATCH($C151,'3_PRA_SWES_L1_Input'!$A$4:$A$14,0))*K151*L151*M151</f>
        <v/>
      </c>
      <c r="R151" s="18">
        <f>INDEX('3_PRA_SWES_L1_Input'!$G$4:$G$14,MATCH($C151,'3_PRA_SWES_L1_Input'!$A$4:$A$14,0))*K151</f>
        <v/>
      </c>
      <c r="S151" s="18">
        <f>R151*L151</f>
        <v/>
      </c>
      <c r="T151" s="18">
        <f>S151*M151</f>
        <v/>
      </c>
      <c r="U151" s="18">
        <f>INDEX('3_PRA_SWES_L1_Input'!$H$4:$H$14,MATCH($C151,'3_PRA_SWES_L1_Input'!$A$4:$A$14,0))*K151*L151*M151</f>
        <v/>
      </c>
    </row>
    <row r="152">
      <c r="A152" s="8">
        <f>'1_GICS_Structure'!G152</f>
        <v/>
      </c>
      <c r="B152" s="8">
        <f>'1_GICS_Structure'!H152</f>
        <v/>
      </c>
      <c r="C152" s="8">
        <f>'1_GICS_Structure'!A152</f>
        <v/>
      </c>
      <c r="D152" s="8">
        <f>'1_GICS_Structure'!C152</f>
        <v/>
      </c>
      <c r="E152" s="8">
        <f>'1_GICS_Structure'!E152</f>
        <v/>
      </c>
      <c r="F152" s="8">
        <f>'1_GICS_Structure'!J152</f>
        <v/>
      </c>
      <c r="G152" s="12">
        <f>INDEX('2_Damodaran_Betas'!$F$3:$F$97,MATCH('1_GICS_Structure'!I152,'2_Damodaran_Betas'!$A$3:$A$97,0))</f>
        <v/>
      </c>
      <c r="H152" s="12">
        <f>SUMPRODUCT(($E$3:$E$165=E152)*$F$3:$F$165*$G$3:$G$165)/SUMPRODUCT(($E$3:$E$165=E152)*$F$3:$F$165)</f>
        <v/>
      </c>
      <c r="I152" s="12">
        <f>SUMPRODUCT(($D$3:$D$165=D152)*$F$3:$F$165*$G$3:$G$165)/SUMPRODUCT(($D$3:$D$165=D152)*$F$3:$F$165)</f>
        <v/>
      </c>
      <c r="J152" s="12">
        <f>SUMPRODUCT(($C$3:$C$165=C152)*$F$3:$F$165*$G$3:$G$165)/SUMPRODUCT(($C$3:$C$165=C152)*$F$3:$F$165)</f>
        <v/>
      </c>
      <c r="K152" s="17">
        <f>I152/J152</f>
        <v/>
      </c>
      <c r="L152" s="17">
        <f>H152/I152</f>
        <v/>
      </c>
      <c r="M152" s="17">
        <f>G152/H152</f>
        <v/>
      </c>
      <c r="N152" s="18">
        <f>INDEX('3_PRA_SWES_L1_Input'!$D$4:$D$14,MATCH($C152,'3_PRA_SWES_L1_Input'!$A$4:$A$14,0))*K152</f>
        <v/>
      </c>
      <c r="O152" s="18">
        <f>N152*L152</f>
        <v/>
      </c>
      <c r="P152" s="18">
        <f>O152*M152</f>
        <v/>
      </c>
      <c r="Q152" s="18">
        <f>INDEX('3_PRA_SWES_L1_Input'!$E$4:$E$14,MATCH($C152,'3_PRA_SWES_L1_Input'!$A$4:$A$14,0))*K152*L152*M152</f>
        <v/>
      </c>
      <c r="R152" s="18">
        <f>INDEX('3_PRA_SWES_L1_Input'!$G$4:$G$14,MATCH($C152,'3_PRA_SWES_L1_Input'!$A$4:$A$14,0))*K152</f>
        <v/>
      </c>
      <c r="S152" s="18">
        <f>R152*L152</f>
        <v/>
      </c>
      <c r="T152" s="18">
        <f>S152*M152</f>
        <v/>
      </c>
      <c r="U152" s="18">
        <f>INDEX('3_PRA_SWES_L1_Input'!$H$4:$H$14,MATCH($C152,'3_PRA_SWES_L1_Input'!$A$4:$A$14,0))*K152*L152*M152</f>
        <v/>
      </c>
    </row>
    <row r="153">
      <c r="A153" s="8">
        <f>'1_GICS_Structure'!G153</f>
        <v/>
      </c>
      <c r="B153" s="8">
        <f>'1_GICS_Structure'!H153</f>
        <v/>
      </c>
      <c r="C153" s="8">
        <f>'1_GICS_Structure'!A153</f>
        <v/>
      </c>
      <c r="D153" s="8">
        <f>'1_GICS_Structure'!C153</f>
        <v/>
      </c>
      <c r="E153" s="8">
        <f>'1_GICS_Structure'!E153</f>
        <v/>
      </c>
      <c r="F153" s="8">
        <f>'1_GICS_Structure'!J153</f>
        <v/>
      </c>
      <c r="G153" s="12">
        <f>INDEX('2_Damodaran_Betas'!$F$3:$F$97,MATCH('1_GICS_Structure'!I153,'2_Damodaran_Betas'!$A$3:$A$97,0))</f>
        <v/>
      </c>
      <c r="H153" s="12">
        <f>SUMPRODUCT(($E$3:$E$165=E153)*$F$3:$F$165*$G$3:$G$165)/SUMPRODUCT(($E$3:$E$165=E153)*$F$3:$F$165)</f>
        <v/>
      </c>
      <c r="I153" s="12">
        <f>SUMPRODUCT(($D$3:$D$165=D153)*$F$3:$F$165*$G$3:$G$165)/SUMPRODUCT(($D$3:$D$165=D153)*$F$3:$F$165)</f>
        <v/>
      </c>
      <c r="J153" s="12">
        <f>SUMPRODUCT(($C$3:$C$165=C153)*$F$3:$F$165*$G$3:$G$165)/SUMPRODUCT(($C$3:$C$165=C153)*$F$3:$F$165)</f>
        <v/>
      </c>
      <c r="K153" s="17">
        <f>I153/J153</f>
        <v/>
      </c>
      <c r="L153" s="17">
        <f>H153/I153</f>
        <v/>
      </c>
      <c r="M153" s="17">
        <f>G153/H153</f>
        <v/>
      </c>
      <c r="N153" s="18">
        <f>INDEX('3_PRA_SWES_L1_Input'!$D$4:$D$14,MATCH($C153,'3_PRA_SWES_L1_Input'!$A$4:$A$14,0))*K153</f>
        <v/>
      </c>
      <c r="O153" s="18">
        <f>N153*L153</f>
        <v/>
      </c>
      <c r="P153" s="18">
        <f>O153*M153</f>
        <v/>
      </c>
      <c r="Q153" s="18">
        <f>INDEX('3_PRA_SWES_L1_Input'!$E$4:$E$14,MATCH($C153,'3_PRA_SWES_L1_Input'!$A$4:$A$14,0))*K153*L153*M153</f>
        <v/>
      </c>
      <c r="R153" s="18">
        <f>INDEX('3_PRA_SWES_L1_Input'!$G$4:$G$14,MATCH($C153,'3_PRA_SWES_L1_Input'!$A$4:$A$14,0))*K153</f>
        <v/>
      </c>
      <c r="S153" s="18">
        <f>R153*L153</f>
        <v/>
      </c>
      <c r="T153" s="18">
        <f>S153*M153</f>
        <v/>
      </c>
      <c r="U153" s="18">
        <f>INDEX('3_PRA_SWES_L1_Input'!$H$4:$H$14,MATCH($C153,'3_PRA_SWES_L1_Input'!$A$4:$A$14,0))*K153*L153*M153</f>
        <v/>
      </c>
    </row>
    <row r="154">
      <c r="A154" s="8">
        <f>'1_GICS_Structure'!G154</f>
        <v/>
      </c>
      <c r="B154" s="8">
        <f>'1_GICS_Structure'!H154</f>
        <v/>
      </c>
      <c r="C154" s="8">
        <f>'1_GICS_Structure'!A154</f>
        <v/>
      </c>
      <c r="D154" s="8">
        <f>'1_GICS_Structure'!C154</f>
        <v/>
      </c>
      <c r="E154" s="8">
        <f>'1_GICS_Structure'!E154</f>
        <v/>
      </c>
      <c r="F154" s="8">
        <f>'1_GICS_Structure'!J154</f>
        <v/>
      </c>
      <c r="G154" s="12">
        <f>INDEX('2_Damodaran_Betas'!$F$3:$F$97,MATCH('1_GICS_Structure'!I154,'2_Damodaran_Betas'!$A$3:$A$97,0))</f>
        <v/>
      </c>
      <c r="H154" s="12">
        <f>SUMPRODUCT(($E$3:$E$165=E154)*$F$3:$F$165*$G$3:$G$165)/SUMPRODUCT(($E$3:$E$165=E154)*$F$3:$F$165)</f>
        <v/>
      </c>
      <c r="I154" s="12">
        <f>SUMPRODUCT(($D$3:$D$165=D154)*$F$3:$F$165*$G$3:$G$165)/SUMPRODUCT(($D$3:$D$165=D154)*$F$3:$F$165)</f>
        <v/>
      </c>
      <c r="J154" s="12">
        <f>SUMPRODUCT(($C$3:$C$165=C154)*$F$3:$F$165*$G$3:$G$165)/SUMPRODUCT(($C$3:$C$165=C154)*$F$3:$F$165)</f>
        <v/>
      </c>
      <c r="K154" s="17">
        <f>I154/J154</f>
        <v/>
      </c>
      <c r="L154" s="17">
        <f>H154/I154</f>
        <v/>
      </c>
      <c r="M154" s="17">
        <f>G154/H154</f>
        <v/>
      </c>
      <c r="N154" s="18">
        <f>INDEX('3_PRA_SWES_L1_Input'!$D$4:$D$14,MATCH($C154,'3_PRA_SWES_L1_Input'!$A$4:$A$14,0))*K154</f>
        <v/>
      </c>
      <c r="O154" s="18">
        <f>N154*L154</f>
        <v/>
      </c>
      <c r="P154" s="18">
        <f>O154*M154</f>
        <v/>
      </c>
      <c r="Q154" s="18">
        <f>INDEX('3_PRA_SWES_L1_Input'!$E$4:$E$14,MATCH($C154,'3_PRA_SWES_L1_Input'!$A$4:$A$14,0))*K154*L154*M154</f>
        <v/>
      </c>
      <c r="R154" s="18">
        <f>INDEX('3_PRA_SWES_L1_Input'!$G$4:$G$14,MATCH($C154,'3_PRA_SWES_L1_Input'!$A$4:$A$14,0))*K154</f>
        <v/>
      </c>
      <c r="S154" s="18">
        <f>R154*L154</f>
        <v/>
      </c>
      <c r="T154" s="18">
        <f>S154*M154</f>
        <v/>
      </c>
      <c r="U154" s="18">
        <f>INDEX('3_PRA_SWES_L1_Input'!$H$4:$H$14,MATCH($C154,'3_PRA_SWES_L1_Input'!$A$4:$A$14,0))*K154*L154*M154</f>
        <v/>
      </c>
    </row>
    <row r="155">
      <c r="A155" s="8">
        <f>'1_GICS_Structure'!G155</f>
        <v/>
      </c>
      <c r="B155" s="8">
        <f>'1_GICS_Structure'!H155</f>
        <v/>
      </c>
      <c r="C155" s="8">
        <f>'1_GICS_Structure'!A155</f>
        <v/>
      </c>
      <c r="D155" s="8">
        <f>'1_GICS_Structure'!C155</f>
        <v/>
      </c>
      <c r="E155" s="8">
        <f>'1_GICS_Structure'!E155</f>
        <v/>
      </c>
      <c r="F155" s="8">
        <f>'1_GICS_Structure'!J155</f>
        <v/>
      </c>
      <c r="G155" s="12">
        <f>INDEX('2_Damodaran_Betas'!$F$3:$F$97,MATCH('1_GICS_Structure'!I155,'2_Damodaran_Betas'!$A$3:$A$97,0))</f>
        <v/>
      </c>
      <c r="H155" s="12">
        <f>SUMPRODUCT(($E$3:$E$165=E155)*$F$3:$F$165*$G$3:$G$165)/SUMPRODUCT(($E$3:$E$165=E155)*$F$3:$F$165)</f>
        <v/>
      </c>
      <c r="I155" s="12">
        <f>SUMPRODUCT(($D$3:$D$165=D155)*$F$3:$F$165*$G$3:$G$165)/SUMPRODUCT(($D$3:$D$165=D155)*$F$3:$F$165)</f>
        <v/>
      </c>
      <c r="J155" s="12">
        <f>SUMPRODUCT(($C$3:$C$165=C155)*$F$3:$F$165*$G$3:$G$165)/SUMPRODUCT(($C$3:$C$165=C155)*$F$3:$F$165)</f>
        <v/>
      </c>
      <c r="K155" s="17">
        <f>I155/J155</f>
        <v/>
      </c>
      <c r="L155" s="17">
        <f>H155/I155</f>
        <v/>
      </c>
      <c r="M155" s="17">
        <f>G155/H155</f>
        <v/>
      </c>
      <c r="N155" s="18">
        <f>INDEX('3_PRA_SWES_L1_Input'!$D$4:$D$14,MATCH($C155,'3_PRA_SWES_L1_Input'!$A$4:$A$14,0))*K155</f>
        <v/>
      </c>
      <c r="O155" s="18">
        <f>N155*L155</f>
        <v/>
      </c>
      <c r="P155" s="18">
        <f>O155*M155</f>
        <v/>
      </c>
      <c r="Q155" s="18">
        <f>INDEX('3_PRA_SWES_L1_Input'!$E$4:$E$14,MATCH($C155,'3_PRA_SWES_L1_Input'!$A$4:$A$14,0))*K155*L155*M155</f>
        <v/>
      </c>
      <c r="R155" s="18">
        <f>INDEX('3_PRA_SWES_L1_Input'!$G$4:$G$14,MATCH($C155,'3_PRA_SWES_L1_Input'!$A$4:$A$14,0))*K155</f>
        <v/>
      </c>
      <c r="S155" s="18">
        <f>R155*L155</f>
        <v/>
      </c>
      <c r="T155" s="18">
        <f>S155*M155</f>
        <v/>
      </c>
      <c r="U155" s="18">
        <f>INDEX('3_PRA_SWES_L1_Input'!$H$4:$H$14,MATCH($C155,'3_PRA_SWES_L1_Input'!$A$4:$A$14,0))*K155*L155*M155</f>
        <v/>
      </c>
    </row>
    <row r="156">
      <c r="A156" s="8">
        <f>'1_GICS_Structure'!G156</f>
        <v/>
      </c>
      <c r="B156" s="8">
        <f>'1_GICS_Structure'!H156</f>
        <v/>
      </c>
      <c r="C156" s="8">
        <f>'1_GICS_Structure'!A156</f>
        <v/>
      </c>
      <c r="D156" s="8">
        <f>'1_GICS_Structure'!C156</f>
        <v/>
      </c>
      <c r="E156" s="8">
        <f>'1_GICS_Structure'!E156</f>
        <v/>
      </c>
      <c r="F156" s="8">
        <f>'1_GICS_Structure'!J156</f>
        <v/>
      </c>
      <c r="G156" s="12">
        <f>INDEX('2_Damodaran_Betas'!$F$3:$F$97,MATCH('1_GICS_Structure'!I156,'2_Damodaran_Betas'!$A$3:$A$97,0))</f>
        <v/>
      </c>
      <c r="H156" s="12">
        <f>SUMPRODUCT(($E$3:$E$165=E156)*$F$3:$F$165*$G$3:$G$165)/SUMPRODUCT(($E$3:$E$165=E156)*$F$3:$F$165)</f>
        <v/>
      </c>
      <c r="I156" s="12">
        <f>SUMPRODUCT(($D$3:$D$165=D156)*$F$3:$F$165*$G$3:$G$165)/SUMPRODUCT(($D$3:$D$165=D156)*$F$3:$F$165)</f>
        <v/>
      </c>
      <c r="J156" s="12">
        <f>SUMPRODUCT(($C$3:$C$165=C156)*$F$3:$F$165*$G$3:$G$165)/SUMPRODUCT(($C$3:$C$165=C156)*$F$3:$F$165)</f>
        <v/>
      </c>
      <c r="K156" s="17">
        <f>I156/J156</f>
        <v/>
      </c>
      <c r="L156" s="17">
        <f>H156/I156</f>
        <v/>
      </c>
      <c r="M156" s="17">
        <f>G156/H156</f>
        <v/>
      </c>
      <c r="N156" s="18">
        <f>INDEX('3_PRA_SWES_L1_Input'!$D$4:$D$14,MATCH($C156,'3_PRA_SWES_L1_Input'!$A$4:$A$14,0))*K156</f>
        <v/>
      </c>
      <c r="O156" s="18">
        <f>N156*L156</f>
        <v/>
      </c>
      <c r="P156" s="18">
        <f>O156*M156</f>
        <v/>
      </c>
      <c r="Q156" s="18">
        <f>INDEX('3_PRA_SWES_L1_Input'!$E$4:$E$14,MATCH($C156,'3_PRA_SWES_L1_Input'!$A$4:$A$14,0))*K156*L156*M156</f>
        <v/>
      </c>
      <c r="R156" s="18">
        <f>INDEX('3_PRA_SWES_L1_Input'!$G$4:$G$14,MATCH($C156,'3_PRA_SWES_L1_Input'!$A$4:$A$14,0))*K156</f>
        <v/>
      </c>
      <c r="S156" s="18">
        <f>R156*L156</f>
        <v/>
      </c>
      <c r="T156" s="18">
        <f>S156*M156</f>
        <v/>
      </c>
      <c r="U156" s="18">
        <f>INDEX('3_PRA_SWES_L1_Input'!$H$4:$H$14,MATCH($C156,'3_PRA_SWES_L1_Input'!$A$4:$A$14,0))*K156*L156*M156</f>
        <v/>
      </c>
    </row>
    <row r="157">
      <c r="A157" s="8">
        <f>'1_GICS_Structure'!G157</f>
        <v/>
      </c>
      <c r="B157" s="8">
        <f>'1_GICS_Structure'!H157</f>
        <v/>
      </c>
      <c r="C157" s="8">
        <f>'1_GICS_Structure'!A157</f>
        <v/>
      </c>
      <c r="D157" s="8">
        <f>'1_GICS_Structure'!C157</f>
        <v/>
      </c>
      <c r="E157" s="8">
        <f>'1_GICS_Structure'!E157</f>
        <v/>
      </c>
      <c r="F157" s="8">
        <f>'1_GICS_Structure'!J157</f>
        <v/>
      </c>
      <c r="G157" s="12">
        <f>INDEX('2_Damodaran_Betas'!$F$3:$F$97,MATCH('1_GICS_Structure'!I157,'2_Damodaran_Betas'!$A$3:$A$97,0))</f>
        <v/>
      </c>
      <c r="H157" s="12">
        <f>SUMPRODUCT(($E$3:$E$165=E157)*$F$3:$F$165*$G$3:$G$165)/SUMPRODUCT(($E$3:$E$165=E157)*$F$3:$F$165)</f>
        <v/>
      </c>
      <c r="I157" s="12">
        <f>SUMPRODUCT(($D$3:$D$165=D157)*$F$3:$F$165*$G$3:$G$165)/SUMPRODUCT(($D$3:$D$165=D157)*$F$3:$F$165)</f>
        <v/>
      </c>
      <c r="J157" s="12">
        <f>SUMPRODUCT(($C$3:$C$165=C157)*$F$3:$F$165*$G$3:$G$165)/SUMPRODUCT(($C$3:$C$165=C157)*$F$3:$F$165)</f>
        <v/>
      </c>
      <c r="K157" s="17">
        <f>I157/J157</f>
        <v/>
      </c>
      <c r="L157" s="17">
        <f>H157/I157</f>
        <v/>
      </c>
      <c r="M157" s="17">
        <f>G157/H157</f>
        <v/>
      </c>
      <c r="N157" s="18">
        <f>INDEX('3_PRA_SWES_L1_Input'!$D$4:$D$14,MATCH($C157,'3_PRA_SWES_L1_Input'!$A$4:$A$14,0))*K157</f>
        <v/>
      </c>
      <c r="O157" s="18">
        <f>N157*L157</f>
        <v/>
      </c>
      <c r="P157" s="18">
        <f>O157*M157</f>
        <v/>
      </c>
      <c r="Q157" s="18">
        <f>INDEX('3_PRA_SWES_L1_Input'!$E$4:$E$14,MATCH($C157,'3_PRA_SWES_L1_Input'!$A$4:$A$14,0))*K157*L157*M157</f>
        <v/>
      </c>
      <c r="R157" s="18">
        <f>INDEX('3_PRA_SWES_L1_Input'!$G$4:$G$14,MATCH($C157,'3_PRA_SWES_L1_Input'!$A$4:$A$14,0))*K157</f>
        <v/>
      </c>
      <c r="S157" s="18">
        <f>R157*L157</f>
        <v/>
      </c>
      <c r="T157" s="18">
        <f>S157*M157</f>
        <v/>
      </c>
      <c r="U157" s="18">
        <f>INDEX('3_PRA_SWES_L1_Input'!$H$4:$H$14,MATCH($C157,'3_PRA_SWES_L1_Input'!$A$4:$A$14,0))*K157*L157*M157</f>
        <v/>
      </c>
    </row>
    <row r="158">
      <c r="A158" s="8">
        <f>'1_GICS_Structure'!G158</f>
        <v/>
      </c>
      <c r="B158" s="8">
        <f>'1_GICS_Structure'!H158</f>
        <v/>
      </c>
      <c r="C158" s="8">
        <f>'1_GICS_Structure'!A158</f>
        <v/>
      </c>
      <c r="D158" s="8">
        <f>'1_GICS_Structure'!C158</f>
        <v/>
      </c>
      <c r="E158" s="8">
        <f>'1_GICS_Structure'!E158</f>
        <v/>
      </c>
      <c r="F158" s="8">
        <f>'1_GICS_Structure'!J158</f>
        <v/>
      </c>
      <c r="G158" s="12">
        <f>INDEX('2_Damodaran_Betas'!$F$3:$F$97,MATCH('1_GICS_Structure'!I158,'2_Damodaran_Betas'!$A$3:$A$97,0))</f>
        <v/>
      </c>
      <c r="H158" s="12">
        <f>SUMPRODUCT(($E$3:$E$165=E158)*$F$3:$F$165*$G$3:$G$165)/SUMPRODUCT(($E$3:$E$165=E158)*$F$3:$F$165)</f>
        <v/>
      </c>
      <c r="I158" s="12">
        <f>SUMPRODUCT(($D$3:$D$165=D158)*$F$3:$F$165*$G$3:$G$165)/SUMPRODUCT(($D$3:$D$165=D158)*$F$3:$F$165)</f>
        <v/>
      </c>
      <c r="J158" s="12">
        <f>SUMPRODUCT(($C$3:$C$165=C158)*$F$3:$F$165*$G$3:$G$165)/SUMPRODUCT(($C$3:$C$165=C158)*$F$3:$F$165)</f>
        <v/>
      </c>
      <c r="K158" s="17">
        <f>I158/J158</f>
        <v/>
      </c>
      <c r="L158" s="17">
        <f>H158/I158</f>
        <v/>
      </c>
      <c r="M158" s="17">
        <f>G158/H158</f>
        <v/>
      </c>
      <c r="N158" s="18">
        <f>INDEX('3_PRA_SWES_L1_Input'!$D$4:$D$14,MATCH($C158,'3_PRA_SWES_L1_Input'!$A$4:$A$14,0))*K158</f>
        <v/>
      </c>
      <c r="O158" s="18">
        <f>N158*L158</f>
        <v/>
      </c>
      <c r="P158" s="18">
        <f>O158*M158</f>
        <v/>
      </c>
      <c r="Q158" s="18">
        <f>INDEX('3_PRA_SWES_L1_Input'!$E$4:$E$14,MATCH($C158,'3_PRA_SWES_L1_Input'!$A$4:$A$14,0))*K158*L158*M158</f>
        <v/>
      </c>
      <c r="R158" s="18">
        <f>INDEX('3_PRA_SWES_L1_Input'!$G$4:$G$14,MATCH($C158,'3_PRA_SWES_L1_Input'!$A$4:$A$14,0))*K158</f>
        <v/>
      </c>
      <c r="S158" s="18">
        <f>R158*L158</f>
        <v/>
      </c>
      <c r="T158" s="18">
        <f>S158*M158</f>
        <v/>
      </c>
      <c r="U158" s="18">
        <f>INDEX('3_PRA_SWES_L1_Input'!$H$4:$H$14,MATCH($C158,'3_PRA_SWES_L1_Input'!$A$4:$A$14,0))*K158*L158*M158</f>
        <v/>
      </c>
    </row>
    <row r="159">
      <c r="A159" s="8">
        <f>'1_GICS_Structure'!G159</f>
        <v/>
      </c>
      <c r="B159" s="8">
        <f>'1_GICS_Structure'!H159</f>
        <v/>
      </c>
      <c r="C159" s="8">
        <f>'1_GICS_Structure'!A159</f>
        <v/>
      </c>
      <c r="D159" s="8">
        <f>'1_GICS_Structure'!C159</f>
        <v/>
      </c>
      <c r="E159" s="8">
        <f>'1_GICS_Structure'!E159</f>
        <v/>
      </c>
      <c r="F159" s="8">
        <f>'1_GICS_Structure'!J159</f>
        <v/>
      </c>
      <c r="G159" s="12">
        <f>INDEX('2_Damodaran_Betas'!$F$3:$F$97,MATCH('1_GICS_Structure'!I159,'2_Damodaran_Betas'!$A$3:$A$97,0))</f>
        <v/>
      </c>
      <c r="H159" s="12">
        <f>SUMPRODUCT(($E$3:$E$165=E159)*$F$3:$F$165*$G$3:$G$165)/SUMPRODUCT(($E$3:$E$165=E159)*$F$3:$F$165)</f>
        <v/>
      </c>
      <c r="I159" s="12">
        <f>SUMPRODUCT(($D$3:$D$165=D159)*$F$3:$F$165*$G$3:$G$165)/SUMPRODUCT(($D$3:$D$165=D159)*$F$3:$F$165)</f>
        <v/>
      </c>
      <c r="J159" s="12">
        <f>SUMPRODUCT(($C$3:$C$165=C159)*$F$3:$F$165*$G$3:$G$165)/SUMPRODUCT(($C$3:$C$165=C159)*$F$3:$F$165)</f>
        <v/>
      </c>
      <c r="K159" s="17">
        <f>I159/J159</f>
        <v/>
      </c>
      <c r="L159" s="17">
        <f>H159/I159</f>
        <v/>
      </c>
      <c r="M159" s="17">
        <f>G159/H159</f>
        <v/>
      </c>
      <c r="N159" s="18">
        <f>INDEX('3_PRA_SWES_L1_Input'!$D$4:$D$14,MATCH($C159,'3_PRA_SWES_L1_Input'!$A$4:$A$14,0))*K159</f>
        <v/>
      </c>
      <c r="O159" s="18">
        <f>N159*L159</f>
        <v/>
      </c>
      <c r="P159" s="18">
        <f>O159*M159</f>
        <v/>
      </c>
      <c r="Q159" s="18">
        <f>INDEX('3_PRA_SWES_L1_Input'!$E$4:$E$14,MATCH($C159,'3_PRA_SWES_L1_Input'!$A$4:$A$14,0))*K159*L159*M159</f>
        <v/>
      </c>
      <c r="R159" s="18">
        <f>INDEX('3_PRA_SWES_L1_Input'!$G$4:$G$14,MATCH($C159,'3_PRA_SWES_L1_Input'!$A$4:$A$14,0))*K159</f>
        <v/>
      </c>
      <c r="S159" s="18">
        <f>R159*L159</f>
        <v/>
      </c>
      <c r="T159" s="18">
        <f>S159*M159</f>
        <v/>
      </c>
      <c r="U159" s="18">
        <f>INDEX('3_PRA_SWES_L1_Input'!$H$4:$H$14,MATCH($C159,'3_PRA_SWES_L1_Input'!$A$4:$A$14,0))*K159*L159*M159</f>
        <v/>
      </c>
    </row>
    <row r="160">
      <c r="A160" s="8">
        <f>'1_GICS_Structure'!G160</f>
        <v/>
      </c>
      <c r="B160" s="8">
        <f>'1_GICS_Structure'!H160</f>
        <v/>
      </c>
      <c r="C160" s="8">
        <f>'1_GICS_Structure'!A160</f>
        <v/>
      </c>
      <c r="D160" s="8">
        <f>'1_GICS_Structure'!C160</f>
        <v/>
      </c>
      <c r="E160" s="8">
        <f>'1_GICS_Structure'!E160</f>
        <v/>
      </c>
      <c r="F160" s="8">
        <f>'1_GICS_Structure'!J160</f>
        <v/>
      </c>
      <c r="G160" s="12">
        <f>INDEX('2_Damodaran_Betas'!$F$3:$F$97,MATCH('1_GICS_Structure'!I160,'2_Damodaran_Betas'!$A$3:$A$97,0))</f>
        <v/>
      </c>
      <c r="H160" s="12">
        <f>SUMPRODUCT(($E$3:$E$165=E160)*$F$3:$F$165*$G$3:$G$165)/SUMPRODUCT(($E$3:$E$165=E160)*$F$3:$F$165)</f>
        <v/>
      </c>
      <c r="I160" s="12">
        <f>SUMPRODUCT(($D$3:$D$165=D160)*$F$3:$F$165*$G$3:$G$165)/SUMPRODUCT(($D$3:$D$165=D160)*$F$3:$F$165)</f>
        <v/>
      </c>
      <c r="J160" s="12">
        <f>SUMPRODUCT(($C$3:$C$165=C160)*$F$3:$F$165*$G$3:$G$165)/SUMPRODUCT(($C$3:$C$165=C160)*$F$3:$F$165)</f>
        <v/>
      </c>
      <c r="K160" s="17">
        <f>I160/J160</f>
        <v/>
      </c>
      <c r="L160" s="17">
        <f>H160/I160</f>
        <v/>
      </c>
      <c r="M160" s="17">
        <f>G160/H160</f>
        <v/>
      </c>
      <c r="N160" s="18">
        <f>INDEX('3_PRA_SWES_L1_Input'!$D$4:$D$14,MATCH($C160,'3_PRA_SWES_L1_Input'!$A$4:$A$14,0))*K160</f>
        <v/>
      </c>
      <c r="O160" s="18">
        <f>N160*L160</f>
        <v/>
      </c>
      <c r="P160" s="18">
        <f>O160*M160</f>
        <v/>
      </c>
      <c r="Q160" s="18">
        <f>INDEX('3_PRA_SWES_L1_Input'!$E$4:$E$14,MATCH($C160,'3_PRA_SWES_L1_Input'!$A$4:$A$14,0))*K160*L160*M160</f>
        <v/>
      </c>
      <c r="R160" s="18">
        <f>INDEX('3_PRA_SWES_L1_Input'!$G$4:$G$14,MATCH($C160,'3_PRA_SWES_L1_Input'!$A$4:$A$14,0))*K160</f>
        <v/>
      </c>
      <c r="S160" s="18">
        <f>R160*L160</f>
        <v/>
      </c>
      <c r="T160" s="18">
        <f>S160*M160</f>
        <v/>
      </c>
      <c r="U160" s="18">
        <f>INDEX('3_PRA_SWES_L1_Input'!$H$4:$H$14,MATCH($C160,'3_PRA_SWES_L1_Input'!$A$4:$A$14,0))*K160*L160*M160</f>
        <v/>
      </c>
    </row>
    <row r="161">
      <c r="A161" s="8">
        <f>'1_GICS_Structure'!G161</f>
        <v/>
      </c>
      <c r="B161" s="8">
        <f>'1_GICS_Structure'!H161</f>
        <v/>
      </c>
      <c r="C161" s="8">
        <f>'1_GICS_Structure'!A161</f>
        <v/>
      </c>
      <c r="D161" s="8">
        <f>'1_GICS_Structure'!C161</f>
        <v/>
      </c>
      <c r="E161" s="8">
        <f>'1_GICS_Structure'!E161</f>
        <v/>
      </c>
      <c r="F161" s="8">
        <f>'1_GICS_Structure'!J161</f>
        <v/>
      </c>
      <c r="G161" s="12">
        <f>INDEX('2_Damodaran_Betas'!$F$3:$F$97,MATCH('1_GICS_Structure'!I161,'2_Damodaran_Betas'!$A$3:$A$97,0))</f>
        <v/>
      </c>
      <c r="H161" s="12">
        <f>SUMPRODUCT(($E$3:$E$165=E161)*$F$3:$F$165*$G$3:$G$165)/SUMPRODUCT(($E$3:$E$165=E161)*$F$3:$F$165)</f>
        <v/>
      </c>
      <c r="I161" s="12">
        <f>SUMPRODUCT(($D$3:$D$165=D161)*$F$3:$F$165*$G$3:$G$165)/SUMPRODUCT(($D$3:$D$165=D161)*$F$3:$F$165)</f>
        <v/>
      </c>
      <c r="J161" s="12">
        <f>SUMPRODUCT(($C$3:$C$165=C161)*$F$3:$F$165*$G$3:$G$165)/SUMPRODUCT(($C$3:$C$165=C161)*$F$3:$F$165)</f>
        <v/>
      </c>
      <c r="K161" s="17">
        <f>I161/J161</f>
        <v/>
      </c>
      <c r="L161" s="17">
        <f>H161/I161</f>
        <v/>
      </c>
      <c r="M161" s="17">
        <f>G161/H161</f>
        <v/>
      </c>
      <c r="N161" s="18">
        <f>INDEX('3_PRA_SWES_L1_Input'!$D$4:$D$14,MATCH($C161,'3_PRA_SWES_L1_Input'!$A$4:$A$14,0))*K161</f>
        <v/>
      </c>
      <c r="O161" s="18">
        <f>N161*L161</f>
        <v/>
      </c>
      <c r="P161" s="18">
        <f>O161*M161</f>
        <v/>
      </c>
      <c r="Q161" s="18">
        <f>INDEX('3_PRA_SWES_L1_Input'!$E$4:$E$14,MATCH($C161,'3_PRA_SWES_L1_Input'!$A$4:$A$14,0))*K161*L161*M161</f>
        <v/>
      </c>
      <c r="R161" s="18">
        <f>INDEX('3_PRA_SWES_L1_Input'!$G$4:$G$14,MATCH($C161,'3_PRA_SWES_L1_Input'!$A$4:$A$14,0))*K161</f>
        <v/>
      </c>
      <c r="S161" s="18">
        <f>R161*L161</f>
        <v/>
      </c>
      <c r="T161" s="18">
        <f>S161*M161</f>
        <v/>
      </c>
      <c r="U161" s="18">
        <f>INDEX('3_PRA_SWES_L1_Input'!$H$4:$H$14,MATCH($C161,'3_PRA_SWES_L1_Input'!$A$4:$A$14,0))*K161*L161*M161</f>
        <v/>
      </c>
    </row>
    <row r="162">
      <c r="A162" s="8">
        <f>'1_GICS_Structure'!G162</f>
        <v/>
      </c>
      <c r="B162" s="8">
        <f>'1_GICS_Structure'!H162</f>
        <v/>
      </c>
      <c r="C162" s="8">
        <f>'1_GICS_Structure'!A162</f>
        <v/>
      </c>
      <c r="D162" s="8">
        <f>'1_GICS_Structure'!C162</f>
        <v/>
      </c>
      <c r="E162" s="8">
        <f>'1_GICS_Structure'!E162</f>
        <v/>
      </c>
      <c r="F162" s="8">
        <f>'1_GICS_Structure'!J162</f>
        <v/>
      </c>
      <c r="G162" s="12">
        <f>INDEX('2_Damodaran_Betas'!$F$3:$F$97,MATCH('1_GICS_Structure'!I162,'2_Damodaran_Betas'!$A$3:$A$97,0))</f>
        <v/>
      </c>
      <c r="H162" s="12">
        <f>SUMPRODUCT(($E$3:$E$165=E162)*$F$3:$F$165*$G$3:$G$165)/SUMPRODUCT(($E$3:$E$165=E162)*$F$3:$F$165)</f>
        <v/>
      </c>
      <c r="I162" s="12">
        <f>SUMPRODUCT(($D$3:$D$165=D162)*$F$3:$F$165*$G$3:$G$165)/SUMPRODUCT(($D$3:$D$165=D162)*$F$3:$F$165)</f>
        <v/>
      </c>
      <c r="J162" s="12">
        <f>SUMPRODUCT(($C$3:$C$165=C162)*$F$3:$F$165*$G$3:$G$165)/SUMPRODUCT(($C$3:$C$165=C162)*$F$3:$F$165)</f>
        <v/>
      </c>
      <c r="K162" s="17">
        <f>I162/J162</f>
        <v/>
      </c>
      <c r="L162" s="17">
        <f>H162/I162</f>
        <v/>
      </c>
      <c r="M162" s="17">
        <f>G162/H162</f>
        <v/>
      </c>
      <c r="N162" s="18">
        <f>INDEX('3_PRA_SWES_L1_Input'!$D$4:$D$14,MATCH($C162,'3_PRA_SWES_L1_Input'!$A$4:$A$14,0))*K162</f>
        <v/>
      </c>
      <c r="O162" s="18">
        <f>N162*L162</f>
        <v/>
      </c>
      <c r="P162" s="18">
        <f>O162*M162</f>
        <v/>
      </c>
      <c r="Q162" s="18">
        <f>INDEX('3_PRA_SWES_L1_Input'!$E$4:$E$14,MATCH($C162,'3_PRA_SWES_L1_Input'!$A$4:$A$14,0))*K162*L162*M162</f>
        <v/>
      </c>
      <c r="R162" s="18">
        <f>INDEX('3_PRA_SWES_L1_Input'!$G$4:$G$14,MATCH($C162,'3_PRA_SWES_L1_Input'!$A$4:$A$14,0))*K162</f>
        <v/>
      </c>
      <c r="S162" s="18">
        <f>R162*L162</f>
        <v/>
      </c>
      <c r="T162" s="18">
        <f>S162*M162</f>
        <v/>
      </c>
      <c r="U162" s="18">
        <f>INDEX('3_PRA_SWES_L1_Input'!$H$4:$H$14,MATCH($C162,'3_PRA_SWES_L1_Input'!$A$4:$A$14,0))*K162*L162*M162</f>
        <v/>
      </c>
    </row>
    <row r="163">
      <c r="A163" s="8">
        <f>'1_GICS_Structure'!G163</f>
        <v/>
      </c>
      <c r="B163" s="8">
        <f>'1_GICS_Structure'!H163</f>
        <v/>
      </c>
      <c r="C163" s="8">
        <f>'1_GICS_Structure'!A163</f>
        <v/>
      </c>
      <c r="D163" s="8">
        <f>'1_GICS_Structure'!C163</f>
        <v/>
      </c>
      <c r="E163" s="8">
        <f>'1_GICS_Structure'!E163</f>
        <v/>
      </c>
      <c r="F163" s="8">
        <f>'1_GICS_Structure'!J163</f>
        <v/>
      </c>
      <c r="G163" s="12">
        <f>INDEX('2_Damodaran_Betas'!$F$3:$F$97,MATCH('1_GICS_Structure'!I163,'2_Damodaran_Betas'!$A$3:$A$97,0))</f>
        <v/>
      </c>
      <c r="H163" s="12">
        <f>SUMPRODUCT(($E$3:$E$165=E163)*$F$3:$F$165*$G$3:$G$165)/SUMPRODUCT(($E$3:$E$165=E163)*$F$3:$F$165)</f>
        <v/>
      </c>
      <c r="I163" s="12">
        <f>SUMPRODUCT(($D$3:$D$165=D163)*$F$3:$F$165*$G$3:$G$165)/SUMPRODUCT(($D$3:$D$165=D163)*$F$3:$F$165)</f>
        <v/>
      </c>
      <c r="J163" s="12">
        <f>SUMPRODUCT(($C$3:$C$165=C163)*$F$3:$F$165*$G$3:$G$165)/SUMPRODUCT(($C$3:$C$165=C163)*$F$3:$F$165)</f>
        <v/>
      </c>
      <c r="K163" s="17">
        <f>I163/J163</f>
        <v/>
      </c>
      <c r="L163" s="17">
        <f>H163/I163</f>
        <v/>
      </c>
      <c r="M163" s="17">
        <f>G163/H163</f>
        <v/>
      </c>
      <c r="N163" s="18">
        <f>INDEX('3_PRA_SWES_L1_Input'!$D$4:$D$14,MATCH($C163,'3_PRA_SWES_L1_Input'!$A$4:$A$14,0))*K163</f>
        <v/>
      </c>
      <c r="O163" s="18">
        <f>N163*L163</f>
        <v/>
      </c>
      <c r="P163" s="18">
        <f>O163*M163</f>
        <v/>
      </c>
      <c r="Q163" s="18">
        <f>INDEX('3_PRA_SWES_L1_Input'!$E$4:$E$14,MATCH($C163,'3_PRA_SWES_L1_Input'!$A$4:$A$14,0))*K163*L163*M163</f>
        <v/>
      </c>
      <c r="R163" s="18">
        <f>INDEX('3_PRA_SWES_L1_Input'!$G$4:$G$14,MATCH($C163,'3_PRA_SWES_L1_Input'!$A$4:$A$14,0))*K163</f>
        <v/>
      </c>
      <c r="S163" s="18">
        <f>R163*L163</f>
        <v/>
      </c>
      <c r="T163" s="18">
        <f>S163*M163</f>
        <v/>
      </c>
      <c r="U163" s="18">
        <f>INDEX('3_PRA_SWES_L1_Input'!$H$4:$H$14,MATCH($C163,'3_PRA_SWES_L1_Input'!$A$4:$A$14,0))*K163*L163*M163</f>
        <v/>
      </c>
    </row>
    <row r="164">
      <c r="A164" s="8">
        <f>'1_GICS_Structure'!G164</f>
        <v/>
      </c>
      <c r="B164" s="8">
        <f>'1_GICS_Structure'!H164</f>
        <v/>
      </c>
      <c r="C164" s="8">
        <f>'1_GICS_Structure'!A164</f>
        <v/>
      </c>
      <c r="D164" s="8">
        <f>'1_GICS_Structure'!C164</f>
        <v/>
      </c>
      <c r="E164" s="8">
        <f>'1_GICS_Structure'!E164</f>
        <v/>
      </c>
      <c r="F164" s="8">
        <f>'1_GICS_Structure'!J164</f>
        <v/>
      </c>
      <c r="G164" s="12">
        <f>INDEX('2_Damodaran_Betas'!$F$3:$F$97,MATCH('1_GICS_Structure'!I164,'2_Damodaran_Betas'!$A$3:$A$97,0))</f>
        <v/>
      </c>
      <c r="H164" s="12">
        <f>SUMPRODUCT(($E$3:$E$165=E164)*$F$3:$F$165*$G$3:$G$165)/SUMPRODUCT(($E$3:$E$165=E164)*$F$3:$F$165)</f>
        <v/>
      </c>
      <c r="I164" s="12">
        <f>SUMPRODUCT(($D$3:$D$165=D164)*$F$3:$F$165*$G$3:$G$165)/SUMPRODUCT(($D$3:$D$165=D164)*$F$3:$F$165)</f>
        <v/>
      </c>
      <c r="J164" s="12">
        <f>SUMPRODUCT(($C$3:$C$165=C164)*$F$3:$F$165*$G$3:$G$165)/SUMPRODUCT(($C$3:$C$165=C164)*$F$3:$F$165)</f>
        <v/>
      </c>
      <c r="K164" s="17">
        <f>I164/J164</f>
        <v/>
      </c>
      <c r="L164" s="17">
        <f>H164/I164</f>
        <v/>
      </c>
      <c r="M164" s="17">
        <f>G164/H164</f>
        <v/>
      </c>
      <c r="N164" s="18">
        <f>INDEX('3_PRA_SWES_L1_Input'!$D$4:$D$14,MATCH($C164,'3_PRA_SWES_L1_Input'!$A$4:$A$14,0))*K164</f>
        <v/>
      </c>
      <c r="O164" s="18">
        <f>N164*L164</f>
        <v/>
      </c>
      <c r="P164" s="18">
        <f>O164*M164</f>
        <v/>
      </c>
      <c r="Q164" s="18">
        <f>INDEX('3_PRA_SWES_L1_Input'!$E$4:$E$14,MATCH($C164,'3_PRA_SWES_L1_Input'!$A$4:$A$14,0))*K164*L164*M164</f>
        <v/>
      </c>
      <c r="R164" s="18">
        <f>INDEX('3_PRA_SWES_L1_Input'!$G$4:$G$14,MATCH($C164,'3_PRA_SWES_L1_Input'!$A$4:$A$14,0))*K164</f>
        <v/>
      </c>
      <c r="S164" s="18">
        <f>R164*L164</f>
        <v/>
      </c>
      <c r="T164" s="18">
        <f>S164*M164</f>
        <v/>
      </c>
      <c r="U164" s="18">
        <f>INDEX('3_PRA_SWES_L1_Input'!$H$4:$H$14,MATCH($C164,'3_PRA_SWES_L1_Input'!$A$4:$A$14,0))*K164*L164*M164</f>
        <v/>
      </c>
    </row>
    <row r="165">
      <c r="A165" s="8">
        <f>'1_GICS_Structure'!G165</f>
        <v/>
      </c>
      <c r="B165" s="8">
        <f>'1_GICS_Structure'!H165</f>
        <v/>
      </c>
      <c r="C165" s="8">
        <f>'1_GICS_Structure'!A165</f>
        <v/>
      </c>
      <c r="D165" s="8">
        <f>'1_GICS_Structure'!C165</f>
        <v/>
      </c>
      <c r="E165" s="8">
        <f>'1_GICS_Structure'!E165</f>
        <v/>
      </c>
      <c r="F165" s="8">
        <f>'1_GICS_Structure'!J165</f>
        <v/>
      </c>
      <c r="G165" s="12">
        <f>INDEX('2_Damodaran_Betas'!$F$3:$F$97,MATCH('1_GICS_Structure'!I165,'2_Damodaran_Betas'!$A$3:$A$97,0))</f>
        <v/>
      </c>
      <c r="H165" s="12">
        <f>SUMPRODUCT(($E$3:$E$165=E165)*$F$3:$F$165*$G$3:$G$165)/SUMPRODUCT(($E$3:$E$165=E165)*$F$3:$F$165)</f>
        <v/>
      </c>
      <c r="I165" s="12">
        <f>SUMPRODUCT(($D$3:$D$165=D165)*$F$3:$F$165*$G$3:$G$165)/SUMPRODUCT(($D$3:$D$165=D165)*$F$3:$F$165)</f>
        <v/>
      </c>
      <c r="J165" s="12">
        <f>SUMPRODUCT(($C$3:$C$165=C165)*$F$3:$F$165*$G$3:$G$165)/SUMPRODUCT(($C$3:$C$165=C165)*$F$3:$F$165)</f>
        <v/>
      </c>
      <c r="K165" s="17">
        <f>I165/J165</f>
        <v/>
      </c>
      <c r="L165" s="17">
        <f>H165/I165</f>
        <v/>
      </c>
      <c r="M165" s="17">
        <f>G165/H165</f>
        <v/>
      </c>
      <c r="N165" s="18">
        <f>INDEX('3_PRA_SWES_L1_Input'!$D$4:$D$14,MATCH($C165,'3_PRA_SWES_L1_Input'!$A$4:$A$14,0))*K165</f>
        <v/>
      </c>
      <c r="O165" s="18">
        <f>N165*L165</f>
        <v/>
      </c>
      <c r="P165" s="18">
        <f>O165*M165</f>
        <v/>
      </c>
      <c r="Q165" s="18">
        <f>INDEX('3_PRA_SWES_L1_Input'!$E$4:$E$14,MATCH($C165,'3_PRA_SWES_L1_Input'!$A$4:$A$14,0))*K165*L165*M165</f>
        <v/>
      </c>
      <c r="R165" s="18">
        <f>INDEX('3_PRA_SWES_L1_Input'!$G$4:$G$14,MATCH($C165,'3_PRA_SWES_L1_Input'!$A$4:$A$14,0))*K165</f>
        <v/>
      </c>
      <c r="S165" s="18">
        <f>R165*L165</f>
        <v/>
      </c>
      <c r="T165" s="18">
        <f>S165*M165</f>
        <v/>
      </c>
      <c r="U165" s="18">
        <f>INDEX('3_PRA_SWES_L1_Input'!$H$4:$H$14,MATCH($C165,'3_PRA_SWES_L1_Input'!$A$4:$A$14,0))*K165*L165*M165</f>
        <v/>
      </c>
    </row>
  </sheetData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26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 ht="40" customHeight="1">
      <c r="A1" s="6" t="inlineStr">
        <is>
          <t>STEP 5 — For every sector: weighted-average of the 163 cascaded Level-4 shocks (using the Weight column from sheet 1), compared back to the Level-1 input. Variance should read 0.00% everywhere, by construction (the cascade telescopes exactly). If any row shows a non-zero variance, a formula upstream has been overtyped — investigate before trusting the output.</t>
        </is>
      </c>
    </row>
    <row r="3" ht="30" customHeight="1">
      <c r="A3" s="7" t="inlineStr">
        <is>
          <t>Sector Code</t>
        </is>
      </c>
      <c r="B3" s="7" t="inlineStr">
        <is>
          <t>GICS Sector</t>
        </is>
      </c>
      <c r="C3" s="7" t="inlineStr">
        <is>
          <t>L1 Input
US Rev %</t>
        </is>
      </c>
      <c r="D3" s="7" t="inlineStr">
        <is>
          <t>Weighted-avg
L4 US Rev %</t>
        </is>
      </c>
      <c r="E3" s="7" t="inlineStr">
        <is>
          <t>Variance</t>
        </is>
      </c>
      <c r="F3" s="7" t="inlineStr">
        <is>
          <t>L1 Input
US EV/EBITDA %</t>
        </is>
      </c>
      <c r="G3" s="7" t="inlineStr">
        <is>
          <t>Weighted-avg
L4 US EV/EBITDA %</t>
        </is>
      </c>
      <c r="H3" s="7" t="inlineStr">
        <is>
          <t>Variance</t>
        </is>
      </c>
    </row>
    <row r="4">
      <c r="A4" s="8" t="n">
        <v>10</v>
      </c>
      <c r="B4" s="8" t="inlineStr">
        <is>
          <t>Energy</t>
        </is>
      </c>
      <c r="C4" s="19">
        <f>'3_PRA_SWES_L1_Input'!D4</f>
        <v/>
      </c>
      <c r="D4" s="20">
        <f>SUMPRODUCT(('4_Cascade_Engine'!$C$3:$C$165=A4)*'4_Cascade_Engine'!$F$3:$F$165*'4_Cascade_Engine'!$P$3:$P$165)/SUMPRODUCT(('4_Cascade_Engine'!$C$3:$C$165=A4)*'4_Cascade_Engine'!$F$3:$F$165)</f>
        <v/>
      </c>
      <c r="E4" s="21">
        <f>D4-C4</f>
        <v/>
      </c>
      <c r="F4" s="19">
        <f>'3_PRA_SWES_L1_Input'!E4</f>
        <v/>
      </c>
      <c r="G4" s="20">
        <f>SUMPRODUCT(('4_Cascade_Engine'!$C$3:$C$165=A4)*'4_Cascade_Engine'!$F$3:$F$165*'4_Cascade_Engine'!$Q$3:$Q$165)/SUMPRODUCT(('4_Cascade_Engine'!$C$3:$C$165=A4)*'4_Cascade_Engine'!$F$3:$F$165)</f>
        <v/>
      </c>
      <c r="H4" s="21">
        <f>G4-F4</f>
        <v/>
      </c>
    </row>
    <row r="5">
      <c r="A5" s="8" t="n">
        <v>15</v>
      </c>
      <c r="B5" s="8" t="inlineStr">
        <is>
          <t>Materials</t>
        </is>
      </c>
      <c r="C5" s="19">
        <f>'3_PRA_SWES_L1_Input'!D5</f>
        <v/>
      </c>
      <c r="D5" s="20">
        <f>SUMPRODUCT(('4_Cascade_Engine'!$C$3:$C$165=A5)*'4_Cascade_Engine'!$F$3:$F$165*'4_Cascade_Engine'!$P$3:$P$165)/SUMPRODUCT(('4_Cascade_Engine'!$C$3:$C$165=A5)*'4_Cascade_Engine'!$F$3:$F$165)</f>
        <v/>
      </c>
      <c r="E5" s="21">
        <f>D5-C5</f>
        <v/>
      </c>
      <c r="F5" s="19">
        <f>'3_PRA_SWES_L1_Input'!E5</f>
        <v/>
      </c>
      <c r="G5" s="20">
        <f>SUMPRODUCT(('4_Cascade_Engine'!$C$3:$C$165=A5)*'4_Cascade_Engine'!$F$3:$F$165*'4_Cascade_Engine'!$Q$3:$Q$165)/SUMPRODUCT(('4_Cascade_Engine'!$C$3:$C$165=A5)*'4_Cascade_Engine'!$F$3:$F$165)</f>
        <v/>
      </c>
      <c r="H5" s="21">
        <f>G5-F5</f>
        <v/>
      </c>
    </row>
    <row r="6">
      <c r="A6" s="8" t="n">
        <v>20</v>
      </c>
      <c r="B6" s="8" t="inlineStr">
        <is>
          <t>Industrials</t>
        </is>
      </c>
      <c r="C6" s="19">
        <f>'3_PRA_SWES_L1_Input'!D6</f>
        <v/>
      </c>
      <c r="D6" s="20">
        <f>SUMPRODUCT(('4_Cascade_Engine'!$C$3:$C$165=A6)*'4_Cascade_Engine'!$F$3:$F$165*'4_Cascade_Engine'!$P$3:$P$165)/SUMPRODUCT(('4_Cascade_Engine'!$C$3:$C$165=A6)*'4_Cascade_Engine'!$F$3:$F$165)</f>
        <v/>
      </c>
      <c r="E6" s="21">
        <f>D6-C6</f>
        <v/>
      </c>
      <c r="F6" s="19">
        <f>'3_PRA_SWES_L1_Input'!E6</f>
        <v/>
      </c>
      <c r="G6" s="20">
        <f>SUMPRODUCT(('4_Cascade_Engine'!$C$3:$C$165=A6)*'4_Cascade_Engine'!$F$3:$F$165*'4_Cascade_Engine'!$Q$3:$Q$165)/SUMPRODUCT(('4_Cascade_Engine'!$C$3:$C$165=A6)*'4_Cascade_Engine'!$F$3:$F$165)</f>
        <v/>
      </c>
      <c r="H6" s="21">
        <f>G6-F6</f>
        <v/>
      </c>
    </row>
    <row r="7">
      <c r="A7" s="8" t="n">
        <v>25</v>
      </c>
      <c r="B7" s="8" t="inlineStr">
        <is>
          <t>Consumer Discretionary</t>
        </is>
      </c>
      <c r="C7" s="19">
        <f>'3_PRA_SWES_L1_Input'!D7</f>
        <v/>
      </c>
      <c r="D7" s="20">
        <f>SUMPRODUCT(('4_Cascade_Engine'!$C$3:$C$165=A7)*'4_Cascade_Engine'!$F$3:$F$165*'4_Cascade_Engine'!$P$3:$P$165)/SUMPRODUCT(('4_Cascade_Engine'!$C$3:$C$165=A7)*'4_Cascade_Engine'!$F$3:$F$165)</f>
        <v/>
      </c>
      <c r="E7" s="21">
        <f>D7-C7</f>
        <v/>
      </c>
      <c r="F7" s="19">
        <f>'3_PRA_SWES_L1_Input'!E7</f>
        <v/>
      </c>
      <c r="G7" s="20">
        <f>SUMPRODUCT(('4_Cascade_Engine'!$C$3:$C$165=A7)*'4_Cascade_Engine'!$F$3:$F$165*'4_Cascade_Engine'!$Q$3:$Q$165)/SUMPRODUCT(('4_Cascade_Engine'!$C$3:$C$165=A7)*'4_Cascade_Engine'!$F$3:$F$165)</f>
        <v/>
      </c>
      <c r="H7" s="21">
        <f>G7-F7</f>
        <v/>
      </c>
    </row>
    <row r="8">
      <c r="A8" s="8" t="n">
        <v>30</v>
      </c>
      <c r="B8" s="8" t="inlineStr">
        <is>
          <t>Consumer Staples</t>
        </is>
      </c>
      <c r="C8" s="19">
        <f>'3_PRA_SWES_L1_Input'!D8</f>
        <v/>
      </c>
      <c r="D8" s="20">
        <f>SUMPRODUCT(('4_Cascade_Engine'!$C$3:$C$165=A8)*'4_Cascade_Engine'!$F$3:$F$165*'4_Cascade_Engine'!$P$3:$P$165)/SUMPRODUCT(('4_Cascade_Engine'!$C$3:$C$165=A8)*'4_Cascade_Engine'!$F$3:$F$165)</f>
        <v/>
      </c>
      <c r="E8" s="21">
        <f>D8-C8</f>
        <v/>
      </c>
      <c r="F8" s="19">
        <f>'3_PRA_SWES_L1_Input'!E8</f>
        <v/>
      </c>
      <c r="G8" s="20">
        <f>SUMPRODUCT(('4_Cascade_Engine'!$C$3:$C$165=A8)*'4_Cascade_Engine'!$F$3:$F$165*'4_Cascade_Engine'!$Q$3:$Q$165)/SUMPRODUCT(('4_Cascade_Engine'!$C$3:$C$165=A8)*'4_Cascade_Engine'!$F$3:$F$165)</f>
        <v/>
      </c>
      <c r="H8" s="21">
        <f>G8-F8</f>
        <v/>
      </c>
    </row>
    <row r="9">
      <c r="A9" s="8" t="n">
        <v>35</v>
      </c>
      <c r="B9" s="8" t="inlineStr">
        <is>
          <t>Health Care</t>
        </is>
      </c>
      <c r="C9" s="19">
        <f>'3_PRA_SWES_L1_Input'!D9</f>
        <v/>
      </c>
      <c r="D9" s="20">
        <f>SUMPRODUCT(('4_Cascade_Engine'!$C$3:$C$165=A9)*'4_Cascade_Engine'!$F$3:$F$165*'4_Cascade_Engine'!$P$3:$P$165)/SUMPRODUCT(('4_Cascade_Engine'!$C$3:$C$165=A9)*'4_Cascade_Engine'!$F$3:$F$165)</f>
        <v/>
      </c>
      <c r="E9" s="21">
        <f>D9-C9</f>
        <v/>
      </c>
      <c r="F9" s="19">
        <f>'3_PRA_SWES_L1_Input'!E9</f>
        <v/>
      </c>
      <c r="G9" s="20">
        <f>SUMPRODUCT(('4_Cascade_Engine'!$C$3:$C$165=A9)*'4_Cascade_Engine'!$F$3:$F$165*'4_Cascade_Engine'!$Q$3:$Q$165)/SUMPRODUCT(('4_Cascade_Engine'!$C$3:$C$165=A9)*'4_Cascade_Engine'!$F$3:$F$165)</f>
        <v/>
      </c>
      <c r="H9" s="21">
        <f>G9-F9</f>
        <v/>
      </c>
    </row>
    <row r="10">
      <c r="A10" s="8" t="n">
        <v>40</v>
      </c>
      <c r="B10" s="8" t="inlineStr">
        <is>
          <t>Financials</t>
        </is>
      </c>
      <c r="C10" s="19">
        <f>'3_PRA_SWES_L1_Input'!D10</f>
        <v/>
      </c>
      <c r="D10" s="20">
        <f>SUMPRODUCT(('4_Cascade_Engine'!$C$3:$C$165=A10)*'4_Cascade_Engine'!$F$3:$F$165*'4_Cascade_Engine'!$P$3:$P$165)/SUMPRODUCT(('4_Cascade_Engine'!$C$3:$C$165=A10)*'4_Cascade_Engine'!$F$3:$F$165)</f>
        <v/>
      </c>
      <c r="E10" s="21">
        <f>D10-C10</f>
        <v/>
      </c>
      <c r="F10" s="19">
        <f>'3_PRA_SWES_L1_Input'!E10</f>
        <v/>
      </c>
      <c r="G10" s="20">
        <f>SUMPRODUCT(('4_Cascade_Engine'!$C$3:$C$165=A10)*'4_Cascade_Engine'!$F$3:$F$165*'4_Cascade_Engine'!$Q$3:$Q$165)/SUMPRODUCT(('4_Cascade_Engine'!$C$3:$C$165=A10)*'4_Cascade_Engine'!$F$3:$F$165)</f>
        <v/>
      </c>
      <c r="H10" s="21">
        <f>G10-F10</f>
        <v/>
      </c>
    </row>
    <row r="11">
      <c r="A11" s="8" t="n">
        <v>45</v>
      </c>
      <c r="B11" s="8" t="inlineStr">
        <is>
          <t>Information Technology</t>
        </is>
      </c>
      <c r="C11" s="19">
        <f>'3_PRA_SWES_L1_Input'!D11</f>
        <v/>
      </c>
      <c r="D11" s="20">
        <f>SUMPRODUCT(('4_Cascade_Engine'!$C$3:$C$165=A11)*'4_Cascade_Engine'!$F$3:$F$165*'4_Cascade_Engine'!$P$3:$P$165)/SUMPRODUCT(('4_Cascade_Engine'!$C$3:$C$165=A11)*'4_Cascade_Engine'!$F$3:$F$165)</f>
        <v/>
      </c>
      <c r="E11" s="21">
        <f>D11-C11</f>
        <v/>
      </c>
      <c r="F11" s="19">
        <f>'3_PRA_SWES_L1_Input'!E11</f>
        <v/>
      </c>
      <c r="G11" s="20">
        <f>SUMPRODUCT(('4_Cascade_Engine'!$C$3:$C$165=A11)*'4_Cascade_Engine'!$F$3:$F$165*'4_Cascade_Engine'!$Q$3:$Q$165)/SUMPRODUCT(('4_Cascade_Engine'!$C$3:$C$165=A11)*'4_Cascade_Engine'!$F$3:$F$165)</f>
        <v/>
      </c>
      <c r="H11" s="21">
        <f>G11-F11</f>
        <v/>
      </c>
    </row>
    <row r="12">
      <c r="A12" s="8" t="n">
        <v>50</v>
      </c>
      <c r="B12" s="8" t="inlineStr">
        <is>
          <t>Communication Services</t>
        </is>
      </c>
      <c r="C12" s="19">
        <f>'3_PRA_SWES_L1_Input'!D12</f>
        <v/>
      </c>
      <c r="D12" s="20">
        <f>SUMPRODUCT(('4_Cascade_Engine'!$C$3:$C$165=A12)*'4_Cascade_Engine'!$F$3:$F$165*'4_Cascade_Engine'!$P$3:$P$165)/SUMPRODUCT(('4_Cascade_Engine'!$C$3:$C$165=A12)*'4_Cascade_Engine'!$F$3:$F$165)</f>
        <v/>
      </c>
      <c r="E12" s="21">
        <f>D12-C12</f>
        <v/>
      </c>
      <c r="F12" s="19">
        <f>'3_PRA_SWES_L1_Input'!E12</f>
        <v/>
      </c>
      <c r="G12" s="20">
        <f>SUMPRODUCT(('4_Cascade_Engine'!$C$3:$C$165=A12)*'4_Cascade_Engine'!$F$3:$F$165*'4_Cascade_Engine'!$Q$3:$Q$165)/SUMPRODUCT(('4_Cascade_Engine'!$C$3:$C$165=A12)*'4_Cascade_Engine'!$F$3:$F$165)</f>
        <v/>
      </c>
      <c r="H12" s="21">
        <f>G12-F12</f>
        <v/>
      </c>
    </row>
    <row r="13">
      <c r="A13" s="8" t="n">
        <v>55</v>
      </c>
      <c r="B13" s="8" t="inlineStr">
        <is>
          <t>Utilities</t>
        </is>
      </c>
      <c r="C13" s="19">
        <f>'3_PRA_SWES_L1_Input'!D13</f>
        <v/>
      </c>
      <c r="D13" s="20">
        <f>SUMPRODUCT(('4_Cascade_Engine'!$C$3:$C$165=A13)*'4_Cascade_Engine'!$F$3:$F$165*'4_Cascade_Engine'!$P$3:$P$165)/SUMPRODUCT(('4_Cascade_Engine'!$C$3:$C$165=A13)*'4_Cascade_Engine'!$F$3:$F$165)</f>
        <v/>
      </c>
      <c r="E13" s="21">
        <f>D13-C13</f>
        <v/>
      </c>
      <c r="F13" s="19">
        <f>'3_PRA_SWES_L1_Input'!E13</f>
        <v/>
      </c>
      <c r="G13" s="20">
        <f>SUMPRODUCT(('4_Cascade_Engine'!$C$3:$C$165=A13)*'4_Cascade_Engine'!$F$3:$F$165*'4_Cascade_Engine'!$Q$3:$Q$165)/SUMPRODUCT(('4_Cascade_Engine'!$C$3:$C$165=A13)*'4_Cascade_Engine'!$F$3:$F$165)</f>
        <v/>
      </c>
      <c r="H13" s="21">
        <f>G13-F13</f>
        <v/>
      </c>
    </row>
    <row r="14">
      <c r="A14" s="8" t="n">
        <v>60</v>
      </c>
      <c r="B14" s="8" t="inlineStr">
        <is>
          <t>Real Estate</t>
        </is>
      </c>
      <c r="C14" s="19">
        <f>'3_PRA_SWES_L1_Input'!D14</f>
        <v/>
      </c>
      <c r="D14" s="20">
        <f>SUMPRODUCT(('4_Cascade_Engine'!$C$3:$C$165=A14)*'4_Cascade_Engine'!$F$3:$F$165*'4_Cascade_Engine'!$P$3:$P$165)/SUMPRODUCT(('4_Cascade_Engine'!$C$3:$C$165=A14)*'4_Cascade_Engine'!$F$3:$F$165)</f>
        <v/>
      </c>
      <c r="E14" s="21">
        <f>D14-C14</f>
        <v/>
      </c>
      <c r="F14" s="19">
        <f>'3_PRA_SWES_L1_Input'!E14</f>
        <v/>
      </c>
      <c r="G14" s="20">
        <f>SUMPRODUCT(('4_Cascade_Engine'!$C$3:$C$165=A14)*'4_Cascade_Engine'!$F$3:$F$165*'4_Cascade_Engine'!$Q$3:$Q$165)/SUMPRODUCT(('4_Cascade_Engine'!$C$3:$C$165=A14)*'4_Cascade_Engine'!$F$3:$F$165)</f>
        <v/>
      </c>
      <c r="H14" s="21">
        <f>G14-F14</f>
        <v/>
      </c>
    </row>
    <row r="16">
      <c r="A16" s="6" t="inlineStr">
        <is>
          <t>(UK/EU reconciliation is identical mechanics — US shown here for space; add columns I-L mirroring C-F referencing sheet 3 cols G/H and sheet 4 cols T/U if you want it side by side.)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26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6" t="inlineStr">
        <is>
          <t>STEP 6 — Clean output. VLOOKUP your loan tape's GICS Sub-Industry code against column A to pull its Level-4 revenue and EV/EBITDA multiple shock. This sheet is a live mirror of 4_Cascade_Engine columns P, Q, T, U — nothing to edit here.</t>
        </is>
      </c>
    </row>
    <row r="2" ht="30" customHeight="1">
      <c r="A2" s="7" t="inlineStr">
        <is>
          <t>Sub-Ind Code</t>
        </is>
      </c>
      <c r="B2" s="7" t="inlineStr">
        <is>
          <t>Sub-Industry</t>
        </is>
      </c>
      <c r="C2" s="7" t="inlineStr">
        <is>
          <t>Sector</t>
        </is>
      </c>
      <c r="D2" s="7" t="inlineStr">
        <is>
          <t>US Revenue
Shock L4</t>
        </is>
      </c>
      <c r="E2" s="7" t="inlineStr">
        <is>
          <t>US EV/EBITDA
Shock L4</t>
        </is>
      </c>
      <c r="F2" s="7" t="inlineStr">
        <is>
          <t>UK Revenue
Shock L4</t>
        </is>
      </c>
      <c r="G2" s="7" t="inlineStr">
        <is>
          <t>UK EV/EBITDA
Shock L4</t>
        </is>
      </c>
    </row>
    <row r="3">
      <c r="A3" s="8">
        <f>'4_Cascade_Engine'!A3</f>
        <v/>
      </c>
      <c r="B3" s="8">
        <f>'4_Cascade_Engine'!B3</f>
        <v/>
      </c>
      <c r="C3" s="8">
        <f>'1_GICS_Structure'!B3</f>
        <v/>
      </c>
      <c r="D3" s="18">
        <f>'4_Cascade_Engine'!P3</f>
        <v/>
      </c>
      <c r="E3" s="18">
        <f>'4_Cascade_Engine'!Q3</f>
        <v/>
      </c>
      <c r="F3" s="18">
        <f>'4_Cascade_Engine'!T3</f>
        <v/>
      </c>
      <c r="G3" s="18">
        <f>'4_Cascade_Engine'!U3</f>
        <v/>
      </c>
    </row>
    <row r="4">
      <c r="A4" s="8">
        <f>'4_Cascade_Engine'!A4</f>
        <v/>
      </c>
      <c r="B4" s="8">
        <f>'4_Cascade_Engine'!B4</f>
        <v/>
      </c>
      <c r="C4" s="8">
        <f>'1_GICS_Structure'!B4</f>
        <v/>
      </c>
      <c r="D4" s="18">
        <f>'4_Cascade_Engine'!P4</f>
        <v/>
      </c>
      <c r="E4" s="18">
        <f>'4_Cascade_Engine'!Q4</f>
        <v/>
      </c>
      <c r="F4" s="18">
        <f>'4_Cascade_Engine'!T4</f>
        <v/>
      </c>
      <c r="G4" s="18">
        <f>'4_Cascade_Engine'!U4</f>
        <v/>
      </c>
    </row>
    <row r="5">
      <c r="A5" s="8">
        <f>'4_Cascade_Engine'!A5</f>
        <v/>
      </c>
      <c r="B5" s="8">
        <f>'4_Cascade_Engine'!B5</f>
        <v/>
      </c>
      <c r="C5" s="8">
        <f>'1_GICS_Structure'!B5</f>
        <v/>
      </c>
      <c r="D5" s="18">
        <f>'4_Cascade_Engine'!P5</f>
        <v/>
      </c>
      <c r="E5" s="18">
        <f>'4_Cascade_Engine'!Q5</f>
        <v/>
      </c>
      <c r="F5" s="18">
        <f>'4_Cascade_Engine'!T5</f>
        <v/>
      </c>
      <c r="G5" s="18">
        <f>'4_Cascade_Engine'!U5</f>
        <v/>
      </c>
    </row>
    <row r="6">
      <c r="A6" s="8">
        <f>'4_Cascade_Engine'!A6</f>
        <v/>
      </c>
      <c r="B6" s="8">
        <f>'4_Cascade_Engine'!B6</f>
        <v/>
      </c>
      <c r="C6" s="8">
        <f>'1_GICS_Structure'!B6</f>
        <v/>
      </c>
      <c r="D6" s="18">
        <f>'4_Cascade_Engine'!P6</f>
        <v/>
      </c>
      <c r="E6" s="18">
        <f>'4_Cascade_Engine'!Q6</f>
        <v/>
      </c>
      <c r="F6" s="18">
        <f>'4_Cascade_Engine'!T6</f>
        <v/>
      </c>
      <c r="G6" s="18">
        <f>'4_Cascade_Engine'!U6</f>
        <v/>
      </c>
    </row>
    <row r="7">
      <c r="A7" s="8">
        <f>'4_Cascade_Engine'!A7</f>
        <v/>
      </c>
      <c r="B7" s="8">
        <f>'4_Cascade_Engine'!B7</f>
        <v/>
      </c>
      <c r="C7" s="8">
        <f>'1_GICS_Structure'!B7</f>
        <v/>
      </c>
      <c r="D7" s="18">
        <f>'4_Cascade_Engine'!P7</f>
        <v/>
      </c>
      <c r="E7" s="18">
        <f>'4_Cascade_Engine'!Q7</f>
        <v/>
      </c>
      <c r="F7" s="18">
        <f>'4_Cascade_Engine'!T7</f>
        <v/>
      </c>
      <c r="G7" s="18">
        <f>'4_Cascade_Engine'!U7</f>
        <v/>
      </c>
    </row>
    <row r="8">
      <c r="A8" s="8">
        <f>'4_Cascade_Engine'!A8</f>
        <v/>
      </c>
      <c r="B8" s="8">
        <f>'4_Cascade_Engine'!B8</f>
        <v/>
      </c>
      <c r="C8" s="8">
        <f>'1_GICS_Structure'!B8</f>
        <v/>
      </c>
      <c r="D8" s="18">
        <f>'4_Cascade_Engine'!P8</f>
        <v/>
      </c>
      <c r="E8" s="18">
        <f>'4_Cascade_Engine'!Q8</f>
        <v/>
      </c>
      <c r="F8" s="18">
        <f>'4_Cascade_Engine'!T8</f>
        <v/>
      </c>
      <c r="G8" s="18">
        <f>'4_Cascade_Engine'!U8</f>
        <v/>
      </c>
    </row>
    <row r="9">
      <c r="A9" s="8">
        <f>'4_Cascade_Engine'!A9</f>
        <v/>
      </c>
      <c r="B9" s="8">
        <f>'4_Cascade_Engine'!B9</f>
        <v/>
      </c>
      <c r="C9" s="8">
        <f>'1_GICS_Structure'!B9</f>
        <v/>
      </c>
      <c r="D9" s="18">
        <f>'4_Cascade_Engine'!P9</f>
        <v/>
      </c>
      <c r="E9" s="18">
        <f>'4_Cascade_Engine'!Q9</f>
        <v/>
      </c>
      <c r="F9" s="18">
        <f>'4_Cascade_Engine'!T9</f>
        <v/>
      </c>
      <c r="G9" s="18">
        <f>'4_Cascade_Engine'!U9</f>
        <v/>
      </c>
    </row>
    <row r="10">
      <c r="A10" s="8">
        <f>'4_Cascade_Engine'!A10</f>
        <v/>
      </c>
      <c r="B10" s="8">
        <f>'4_Cascade_Engine'!B10</f>
        <v/>
      </c>
      <c r="C10" s="8">
        <f>'1_GICS_Structure'!B10</f>
        <v/>
      </c>
      <c r="D10" s="18">
        <f>'4_Cascade_Engine'!P10</f>
        <v/>
      </c>
      <c r="E10" s="18">
        <f>'4_Cascade_Engine'!Q10</f>
        <v/>
      </c>
      <c r="F10" s="18">
        <f>'4_Cascade_Engine'!T10</f>
        <v/>
      </c>
      <c r="G10" s="18">
        <f>'4_Cascade_Engine'!U10</f>
        <v/>
      </c>
    </row>
    <row r="11">
      <c r="A11" s="8">
        <f>'4_Cascade_Engine'!A11</f>
        <v/>
      </c>
      <c r="B11" s="8">
        <f>'4_Cascade_Engine'!B11</f>
        <v/>
      </c>
      <c r="C11" s="8">
        <f>'1_GICS_Structure'!B11</f>
        <v/>
      </c>
      <c r="D11" s="18">
        <f>'4_Cascade_Engine'!P11</f>
        <v/>
      </c>
      <c r="E11" s="18">
        <f>'4_Cascade_Engine'!Q11</f>
        <v/>
      </c>
      <c r="F11" s="18">
        <f>'4_Cascade_Engine'!T11</f>
        <v/>
      </c>
      <c r="G11" s="18">
        <f>'4_Cascade_Engine'!U11</f>
        <v/>
      </c>
    </row>
    <row r="12">
      <c r="A12" s="8">
        <f>'4_Cascade_Engine'!A12</f>
        <v/>
      </c>
      <c r="B12" s="8">
        <f>'4_Cascade_Engine'!B12</f>
        <v/>
      </c>
      <c r="C12" s="8">
        <f>'1_GICS_Structure'!B12</f>
        <v/>
      </c>
      <c r="D12" s="18">
        <f>'4_Cascade_Engine'!P12</f>
        <v/>
      </c>
      <c r="E12" s="18">
        <f>'4_Cascade_Engine'!Q12</f>
        <v/>
      </c>
      <c r="F12" s="18">
        <f>'4_Cascade_Engine'!T12</f>
        <v/>
      </c>
      <c r="G12" s="18">
        <f>'4_Cascade_Engine'!U12</f>
        <v/>
      </c>
    </row>
    <row r="13">
      <c r="A13" s="8">
        <f>'4_Cascade_Engine'!A13</f>
        <v/>
      </c>
      <c r="B13" s="8">
        <f>'4_Cascade_Engine'!B13</f>
        <v/>
      </c>
      <c r="C13" s="8">
        <f>'1_GICS_Structure'!B13</f>
        <v/>
      </c>
      <c r="D13" s="18">
        <f>'4_Cascade_Engine'!P13</f>
        <v/>
      </c>
      <c r="E13" s="18">
        <f>'4_Cascade_Engine'!Q13</f>
        <v/>
      </c>
      <c r="F13" s="18">
        <f>'4_Cascade_Engine'!T13</f>
        <v/>
      </c>
      <c r="G13" s="18">
        <f>'4_Cascade_Engine'!U13</f>
        <v/>
      </c>
    </row>
    <row r="14">
      <c r="A14" s="8">
        <f>'4_Cascade_Engine'!A14</f>
        <v/>
      </c>
      <c r="B14" s="8">
        <f>'4_Cascade_Engine'!B14</f>
        <v/>
      </c>
      <c r="C14" s="8">
        <f>'1_GICS_Structure'!B14</f>
        <v/>
      </c>
      <c r="D14" s="18">
        <f>'4_Cascade_Engine'!P14</f>
        <v/>
      </c>
      <c r="E14" s="18">
        <f>'4_Cascade_Engine'!Q14</f>
        <v/>
      </c>
      <c r="F14" s="18">
        <f>'4_Cascade_Engine'!T14</f>
        <v/>
      </c>
      <c r="G14" s="18">
        <f>'4_Cascade_Engine'!U14</f>
        <v/>
      </c>
    </row>
    <row r="15">
      <c r="A15" s="8">
        <f>'4_Cascade_Engine'!A15</f>
        <v/>
      </c>
      <c r="B15" s="8">
        <f>'4_Cascade_Engine'!B15</f>
        <v/>
      </c>
      <c r="C15" s="8">
        <f>'1_GICS_Structure'!B15</f>
        <v/>
      </c>
      <c r="D15" s="18">
        <f>'4_Cascade_Engine'!P15</f>
        <v/>
      </c>
      <c r="E15" s="18">
        <f>'4_Cascade_Engine'!Q15</f>
        <v/>
      </c>
      <c r="F15" s="18">
        <f>'4_Cascade_Engine'!T15</f>
        <v/>
      </c>
      <c r="G15" s="18">
        <f>'4_Cascade_Engine'!U15</f>
        <v/>
      </c>
    </row>
    <row r="16">
      <c r="A16" s="8">
        <f>'4_Cascade_Engine'!A16</f>
        <v/>
      </c>
      <c r="B16" s="8">
        <f>'4_Cascade_Engine'!B16</f>
        <v/>
      </c>
      <c r="C16" s="8">
        <f>'1_GICS_Structure'!B16</f>
        <v/>
      </c>
      <c r="D16" s="18">
        <f>'4_Cascade_Engine'!P16</f>
        <v/>
      </c>
      <c r="E16" s="18">
        <f>'4_Cascade_Engine'!Q16</f>
        <v/>
      </c>
      <c r="F16" s="18">
        <f>'4_Cascade_Engine'!T16</f>
        <v/>
      </c>
      <c r="G16" s="18">
        <f>'4_Cascade_Engine'!U16</f>
        <v/>
      </c>
    </row>
    <row r="17">
      <c r="A17" s="8">
        <f>'4_Cascade_Engine'!A17</f>
        <v/>
      </c>
      <c r="B17" s="8">
        <f>'4_Cascade_Engine'!B17</f>
        <v/>
      </c>
      <c r="C17" s="8">
        <f>'1_GICS_Structure'!B17</f>
        <v/>
      </c>
      <c r="D17" s="18">
        <f>'4_Cascade_Engine'!P17</f>
        <v/>
      </c>
      <c r="E17" s="18">
        <f>'4_Cascade_Engine'!Q17</f>
        <v/>
      </c>
      <c r="F17" s="18">
        <f>'4_Cascade_Engine'!T17</f>
        <v/>
      </c>
      <c r="G17" s="18">
        <f>'4_Cascade_Engine'!U17</f>
        <v/>
      </c>
    </row>
    <row r="18">
      <c r="A18" s="8">
        <f>'4_Cascade_Engine'!A18</f>
        <v/>
      </c>
      <c r="B18" s="8">
        <f>'4_Cascade_Engine'!B18</f>
        <v/>
      </c>
      <c r="C18" s="8">
        <f>'1_GICS_Structure'!B18</f>
        <v/>
      </c>
      <c r="D18" s="18">
        <f>'4_Cascade_Engine'!P18</f>
        <v/>
      </c>
      <c r="E18" s="18">
        <f>'4_Cascade_Engine'!Q18</f>
        <v/>
      </c>
      <c r="F18" s="18">
        <f>'4_Cascade_Engine'!T18</f>
        <v/>
      </c>
      <c r="G18" s="18">
        <f>'4_Cascade_Engine'!U18</f>
        <v/>
      </c>
    </row>
    <row r="19">
      <c r="A19" s="8">
        <f>'4_Cascade_Engine'!A19</f>
        <v/>
      </c>
      <c r="B19" s="8">
        <f>'4_Cascade_Engine'!B19</f>
        <v/>
      </c>
      <c r="C19" s="8">
        <f>'1_GICS_Structure'!B19</f>
        <v/>
      </c>
      <c r="D19" s="18">
        <f>'4_Cascade_Engine'!P19</f>
        <v/>
      </c>
      <c r="E19" s="18">
        <f>'4_Cascade_Engine'!Q19</f>
        <v/>
      </c>
      <c r="F19" s="18">
        <f>'4_Cascade_Engine'!T19</f>
        <v/>
      </c>
      <c r="G19" s="18">
        <f>'4_Cascade_Engine'!U19</f>
        <v/>
      </c>
    </row>
    <row r="20">
      <c r="A20" s="8">
        <f>'4_Cascade_Engine'!A20</f>
        <v/>
      </c>
      <c r="B20" s="8">
        <f>'4_Cascade_Engine'!B20</f>
        <v/>
      </c>
      <c r="C20" s="8">
        <f>'1_GICS_Structure'!B20</f>
        <v/>
      </c>
      <c r="D20" s="18">
        <f>'4_Cascade_Engine'!P20</f>
        <v/>
      </c>
      <c r="E20" s="18">
        <f>'4_Cascade_Engine'!Q20</f>
        <v/>
      </c>
      <c r="F20" s="18">
        <f>'4_Cascade_Engine'!T20</f>
        <v/>
      </c>
      <c r="G20" s="18">
        <f>'4_Cascade_Engine'!U20</f>
        <v/>
      </c>
    </row>
    <row r="21">
      <c r="A21" s="8">
        <f>'4_Cascade_Engine'!A21</f>
        <v/>
      </c>
      <c r="B21" s="8">
        <f>'4_Cascade_Engine'!B21</f>
        <v/>
      </c>
      <c r="C21" s="8">
        <f>'1_GICS_Structure'!B21</f>
        <v/>
      </c>
      <c r="D21" s="18">
        <f>'4_Cascade_Engine'!P21</f>
        <v/>
      </c>
      <c r="E21" s="18">
        <f>'4_Cascade_Engine'!Q21</f>
        <v/>
      </c>
      <c r="F21" s="18">
        <f>'4_Cascade_Engine'!T21</f>
        <v/>
      </c>
      <c r="G21" s="18">
        <f>'4_Cascade_Engine'!U21</f>
        <v/>
      </c>
    </row>
    <row r="22">
      <c r="A22" s="8">
        <f>'4_Cascade_Engine'!A22</f>
        <v/>
      </c>
      <c r="B22" s="8">
        <f>'4_Cascade_Engine'!B22</f>
        <v/>
      </c>
      <c r="C22" s="8">
        <f>'1_GICS_Structure'!B22</f>
        <v/>
      </c>
      <c r="D22" s="18">
        <f>'4_Cascade_Engine'!P22</f>
        <v/>
      </c>
      <c r="E22" s="18">
        <f>'4_Cascade_Engine'!Q22</f>
        <v/>
      </c>
      <c r="F22" s="18">
        <f>'4_Cascade_Engine'!T22</f>
        <v/>
      </c>
      <c r="G22" s="18">
        <f>'4_Cascade_Engine'!U22</f>
        <v/>
      </c>
    </row>
    <row r="23">
      <c r="A23" s="8">
        <f>'4_Cascade_Engine'!A23</f>
        <v/>
      </c>
      <c r="B23" s="8">
        <f>'4_Cascade_Engine'!B23</f>
        <v/>
      </c>
      <c r="C23" s="8">
        <f>'1_GICS_Structure'!B23</f>
        <v/>
      </c>
      <c r="D23" s="18">
        <f>'4_Cascade_Engine'!P23</f>
        <v/>
      </c>
      <c r="E23" s="18">
        <f>'4_Cascade_Engine'!Q23</f>
        <v/>
      </c>
      <c r="F23" s="18">
        <f>'4_Cascade_Engine'!T23</f>
        <v/>
      </c>
      <c r="G23" s="18">
        <f>'4_Cascade_Engine'!U23</f>
        <v/>
      </c>
    </row>
    <row r="24">
      <c r="A24" s="8">
        <f>'4_Cascade_Engine'!A24</f>
        <v/>
      </c>
      <c r="B24" s="8">
        <f>'4_Cascade_Engine'!B24</f>
        <v/>
      </c>
      <c r="C24" s="8">
        <f>'1_GICS_Structure'!B24</f>
        <v/>
      </c>
      <c r="D24" s="18">
        <f>'4_Cascade_Engine'!P24</f>
        <v/>
      </c>
      <c r="E24" s="18">
        <f>'4_Cascade_Engine'!Q24</f>
        <v/>
      </c>
      <c r="F24" s="18">
        <f>'4_Cascade_Engine'!T24</f>
        <v/>
      </c>
      <c r="G24" s="18">
        <f>'4_Cascade_Engine'!U24</f>
        <v/>
      </c>
    </row>
    <row r="25">
      <c r="A25" s="8">
        <f>'4_Cascade_Engine'!A25</f>
        <v/>
      </c>
      <c r="B25" s="8">
        <f>'4_Cascade_Engine'!B25</f>
        <v/>
      </c>
      <c r="C25" s="8">
        <f>'1_GICS_Structure'!B25</f>
        <v/>
      </c>
      <c r="D25" s="18">
        <f>'4_Cascade_Engine'!P25</f>
        <v/>
      </c>
      <c r="E25" s="18">
        <f>'4_Cascade_Engine'!Q25</f>
        <v/>
      </c>
      <c r="F25" s="18">
        <f>'4_Cascade_Engine'!T25</f>
        <v/>
      </c>
      <c r="G25" s="18">
        <f>'4_Cascade_Engine'!U25</f>
        <v/>
      </c>
    </row>
    <row r="26">
      <c r="A26" s="8">
        <f>'4_Cascade_Engine'!A26</f>
        <v/>
      </c>
      <c r="B26" s="8">
        <f>'4_Cascade_Engine'!B26</f>
        <v/>
      </c>
      <c r="C26" s="8">
        <f>'1_GICS_Structure'!B26</f>
        <v/>
      </c>
      <c r="D26" s="18">
        <f>'4_Cascade_Engine'!P26</f>
        <v/>
      </c>
      <c r="E26" s="18">
        <f>'4_Cascade_Engine'!Q26</f>
        <v/>
      </c>
      <c r="F26" s="18">
        <f>'4_Cascade_Engine'!T26</f>
        <v/>
      </c>
      <c r="G26" s="18">
        <f>'4_Cascade_Engine'!U26</f>
        <v/>
      </c>
    </row>
    <row r="27">
      <c r="A27" s="8">
        <f>'4_Cascade_Engine'!A27</f>
        <v/>
      </c>
      <c r="B27" s="8">
        <f>'4_Cascade_Engine'!B27</f>
        <v/>
      </c>
      <c r="C27" s="8">
        <f>'1_GICS_Structure'!B27</f>
        <v/>
      </c>
      <c r="D27" s="18">
        <f>'4_Cascade_Engine'!P27</f>
        <v/>
      </c>
      <c r="E27" s="18">
        <f>'4_Cascade_Engine'!Q27</f>
        <v/>
      </c>
      <c r="F27" s="18">
        <f>'4_Cascade_Engine'!T27</f>
        <v/>
      </c>
      <c r="G27" s="18">
        <f>'4_Cascade_Engine'!U27</f>
        <v/>
      </c>
    </row>
    <row r="28">
      <c r="A28" s="8">
        <f>'4_Cascade_Engine'!A28</f>
        <v/>
      </c>
      <c r="B28" s="8">
        <f>'4_Cascade_Engine'!B28</f>
        <v/>
      </c>
      <c r="C28" s="8">
        <f>'1_GICS_Structure'!B28</f>
        <v/>
      </c>
      <c r="D28" s="18">
        <f>'4_Cascade_Engine'!P28</f>
        <v/>
      </c>
      <c r="E28" s="18">
        <f>'4_Cascade_Engine'!Q28</f>
        <v/>
      </c>
      <c r="F28" s="18">
        <f>'4_Cascade_Engine'!T28</f>
        <v/>
      </c>
      <c r="G28" s="18">
        <f>'4_Cascade_Engine'!U28</f>
        <v/>
      </c>
    </row>
    <row r="29">
      <c r="A29" s="8">
        <f>'4_Cascade_Engine'!A29</f>
        <v/>
      </c>
      <c r="B29" s="8">
        <f>'4_Cascade_Engine'!B29</f>
        <v/>
      </c>
      <c r="C29" s="8">
        <f>'1_GICS_Structure'!B29</f>
        <v/>
      </c>
      <c r="D29" s="18">
        <f>'4_Cascade_Engine'!P29</f>
        <v/>
      </c>
      <c r="E29" s="18">
        <f>'4_Cascade_Engine'!Q29</f>
        <v/>
      </c>
      <c r="F29" s="18">
        <f>'4_Cascade_Engine'!T29</f>
        <v/>
      </c>
      <c r="G29" s="18">
        <f>'4_Cascade_Engine'!U29</f>
        <v/>
      </c>
    </row>
    <row r="30">
      <c r="A30" s="8">
        <f>'4_Cascade_Engine'!A30</f>
        <v/>
      </c>
      <c r="B30" s="8">
        <f>'4_Cascade_Engine'!B30</f>
        <v/>
      </c>
      <c r="C30" s="8">
        <f>'1_GICS_Structure'!B30</f>
        <v/>
      </c>
      <c r="D30" s="18">
        <f>'4_Cascade_Engine'!P30</f>
        <v/>
      </c>
      <c r="E30" s="18">
        <f>'4_Cascade_Engine'!Q30</f>
        <v/>
      </c>
      <c r="F30" s="18">
        <f>'4_Cascade_Engine'!T30</f>
        <v/>
      </c>
      <c r="G30" s="18">
        <f>'4_Cascade_Engine'!U30</f>
        <v/>
      </c>
    </row>
    <row r="31">
      <c r="A31" s="8">
        <f>'4_Cascade_Engine'!A31</f>
        <v/>
      </c>
      <c r="B31" s="8">
        <f>'4_Cascade_Engine'!B31</f>
        <v/>
      </c>
      <c r="C31" s="8">
        <f>'1_GICS_Structure'!B31</f>
        <v/>
      </c>
      <c r="D31" s="18">
        <f>'4_Cascade_Engine'!P31</f>
        <v/>
      </c>
      <c r="E31" s="18">
        <f>'4_Cascade_Engine'!Q31</f>
        <v/>
      </c>
      <c r="F31" s="18">
        <f>'4_Cascade_Engine'!T31</f>
        <v/>
      </c>
      <c r="G31" s="18">
        <f>'4_Cascade_Engine'!U31</f>
        <v/>
      </c>
    </row>
    <row r="32">
      <c r="A32" s="8">
        <f>'4_Cascade_Engine'!A32</f>
        <v/>
      </c>
      <c r="B32" s="8">
        <f>'4_Cascade_Engine'!B32</f>
        <v/>
      </c>
      <c r="C32" s="8">
        <f>'1_GICS_Structure'!B32</f>
        <v/>
      </c>
      <c r="D32" s="18">
        <f>'4_Cascade_Engine'!P32</f>
        <v/>
      </c>
      <c r="E32" s="18">
        <f>'4_Cascade_Engine'!Q32</f>
        <v/>
      </c>
      <c r="F32" s="18">
        <f>'4_Cascade_Engine'!T32</f>
        <v/>
      </c>
      <c r="G32" s="18">
        <f>'4_Cascade_Engine'!U32</f>
        <v/>
      </c>
    </row>
    <row r="33">
      <c r="A33" s="8">
        <f>'4_Cascade_Engine'!A33</f>
        <v/>
      </c>
      <c r="B33" s="8">
        <f>'4_Cascade_Engine'!B33</f>
        <v/>
      </c>
      <c r="C33" s="8">
        <f>'1_GICS_Structure'!B33</f>
        <v/>
      </c>
      <c r="D33" s="18">
        <f>'4_Cascade_Engine'!P33</f>
        <v/>
      </c>
      <c r="E33" s="18">
        <f>'4_Cascade_Engine'!Q33</f>
        <v/>
      </c>
      <c r="F33" s="18">
        <f>'4_Cascade_Engine'!T33</f>
        <v/>
      </c>
      <c r="G33" s="18">
        <f>'4_Cascade_Engine'!U33</f>
        <v/>
      </c>
    </row>
    <row r="34">
      <c r="A34" s="8">
        <f>'4_Cascade_Engine'!A34</f>
        <v/>
      </c>
      <c r="B34" s="8">
        <f>'4_Cascade_Engine'!B34</f>
        <v/>
      </c>
      <c r="C34" s="8">
        <f>'1_GICS_Structure'!B34</f>
        <v/>
      </c>
      <c r="D34" s="18">
        <f>'4_Cascade_Engine'!P34</f>
        <v/>
      </c>
      <c r="E34" s="18">
        <f>'4_Cascade_Engine'!Q34</f>
        <v/>
      </c>
      <c r="F34" s="18">
        <f>'4_Cascade_Engine'!T34</f>
        <v/>
      </c>
      <c r="G34" s="18">
        <f>'4_Cascade_Engine'!U34</f>
        <v/>
      </c>
    </row>
    <row r="35">
      <c r="A35" s="8">
        <f>'4_Cascade_Engine'!A35</f>
        <v/>
      </c>
      <c r="B35" s="8">
        <f>'4_Cascade_Engine'!B35</f>
        <v/>
      </c>
      <c r="C35" s="8">
        <f>'1_GICS_Structure'!B35</f>
        <v/>
      </c>
      <c r="D35" s="18">
        <f>'4_Cascade_Engine'!P35</f>
        <v/>
      </c>
      <c r="E35" s="18">
        <f>'4_Cascade_Engine'!Q35</f>
        <v/>
      </c>
      <c r="F35" s="18">
        <f>'4_Cascade_Engine'!T35</f>
        <v/>
      </c>
      <c r="G35" s="18">
        <f>'4_Cascade_Engine'!U35</f>
        <v/>
      </c>
    </row>
    <row r="36">
      <c r="A36" s="8">
        <f>'4_Cascade_Engine'!A36</f>
        <v/>
      </c>
      <c r="B36" s="8">
        <f>'4_Cascade_Engine'!B36</f>
        <v/>
      </c>
      <c r="C36" s="8">
        <f>'1_GICS_Structure'!B36</f>
        <v/>
      </c>
      <c r="D36" s="18">
        <f>'4_Cascade_Engine'!P36</f>
        <v/>
      </c>
      <c r="E36" s="18">
        <f>'4_Cascade_Engine'!Q36</f>
        <v/>
      </c>
      <c r="F36" s="18">
        <f>'4_Cascade_Engine'!T36</f>
        <v/>
      </c>
      <c r="G36" s="18">
        <f>'4_Cascade_Engine'!U36</f>
        <v/>
      </c>
    </row>
    <row r="37">
      <c r="A37" s="8">
        <f>'4_Cascade_Engine'!A37</f>
        <v/>
      </c>
      <c r="B37" s="8">
        <f>'4_Cascade_Engine'!B37</f>
        <v/>
      </c>
      <c r="C37" s="8">
        <f>'1_GICS_Structure'!B37</f>
        <v/>
      </c>
      <c r="D37" s="18">
        <f>'4_Cascade_Engine'!P37</f>
        <v/>
      </c>
      <c r="E37" s="18">
        <f>'4_Cascade_Engine'!Q37</f>
        <v/>
      </c>
      <c r="F37" s="18">
        <f>'4_Cascade_Engine'!T37</f>
        <v/>
      </c>
      <c r="G37" s="18">
        <f>'4_Cascade_Engine'!U37</f>
        <v/>
      </c>
    </row>
    <row r="38">
      <c r="A38" s="8">
        <f>'4_Cascade_Engine'!A38</f>
        <v/>
      </c>
      <c r="B38" s="8">
        <f>'4_Cascade_Engine'!B38</f>
        <v/>
      </c>
      <c r="C38" s="8">
        <f>'1_GICS_Structure'!B38</f>
        <v/>
      </c>
      <c r="D38" s="18">
        <f>'4_Cascade_Engine'!P38</f>
        <v/>
      </c>
      <c r="E38" s="18">
        <f>'4_Cascade_Engine'!Q38</f>
        <v/>
      </c>
      <c r="F38" s="18">
        <f>'4_Cascade_Engine'!T38</f>
        <v/>
      </c>
      <c r="G38" s="18">
        <f>'4_Cascade_Engine'!U38</f>
        <v/>
      </c>
    </row>
    <row r="39">
      <c r="A39" s="8">
        <f>'4_Cascade_Engine'!A39</f>
        <v/>
      </c>
      <c r="B39" s="8">
        <f>'4_Cascade_Engine'!B39</f>
        <v/>
      </c>
      <c r="C39" s="8">
        <f>'1_GICS_Structure'!B39</f>
        <v/>
      </c>
      <c r="D39" s="18">
        <f>'4_Cascade_Engine'!P39</f>
        <v/>
      </c>
      <c r="E39" s="18">
        <f>'4_Cascade_Engine'!Q39</f>
        <v/>
      </c>
      <c r="F39" s="18">
        <f>'4_Cascade_Engine'!T39</f>
        <v/>
      </c>
      <c r="G39" s="18">
        <f>'4_Cascade_Engine'!U39</f>
        <v/>
      </c>
    </row>
    <row r="40">
      <c r="A40" s="8">
        <f>'4_Cascade_Engine'!A40</f>
        <v/>
      </c>
      <c r="B40" s="8">
        <f>'4_Cascade_Engine'!B40</f>
        <v/>
      </c>
      <c r="C40" s="8">
        <f>'1_GICS_Structure'!B40</f>
        <v/>
      </c>
      <c r="D40" s="18">
        <f>'4_Cascade_Engine'!P40</f>
        <v/>
      </c>
      <c r="E40" s="18">
        <f>'4_Cascade_Engine'!Q40</f>
        <v/>
      </c>
      <c r="F40" s="18">
        <f>'4_Cascade_Engine'!T40</f>
        <v/>
      </c>
      <c r="G40" s="18">
        <f>'4_Cascade_Engine'!U40</f>
        <v/>
      </c>
    </row>
    <row r="41">
      <c r="A41" s="8">
        <f>'4_Cascade_Engine'!A41</f>
        <v/>
      </c>
      <c r="B41" s="8">
        <f>'4_Cascade_Engine'!B41</f>
        <v/>
      </c>
      <c r="C41" s="8">
        <f>'1_GICS_Structure'!B41</f>
        <v/>
      </c>
      <c r="D41" s="18">
        <f>'4_Cascade_Engine'!P41</f>
        <v/>
      </c>
      <c r="E41" s="18">
        <f>'4_Cascade_Engine'!Q41</f>
        <v/>
      </c>
      <c r="F41" s="18">
        <f>'4_Cascade_Engine'!T41</f>
        <v/>
      </c>
      <c r="G41" s="18">
        <f>'4_Cascade_Engine'!U41</f>
        <v/>
      </c>
    </row>
    <row r="42">
      <c r="A42" s="8">
        <f>'4_Cascade_Engine'!A42</f>
        <v/>
      </c>
      <c r="B42" s="8">
        <f>'4_Cascade_Engine'!B42</f>
        <v/>
      </c>
      <c r="C42" s="8">
        <f>'1_GICS_Structure'!B42</f>
        <v/>
      </c>
      <c r="D42" s="18">
        <f>'4_Cascade_Engine'!P42</f>
        <v/>
      </c>
      <c r="E42" s="18">
        <f>'4_Cascade_Engine'!Q42</f>
        <v/>
      </c>
      <c r="F42" s="18">
        <f>'4_Cascade_Engine'!T42</f>
        <v/>
      </c>
      <c r="G42" s="18">
        <f>'4_Cascade_Engine'!U42</f>
        <v/>
      </c>
    </row>
    <row r="43">
      <c r="A43" s="8">
        <f>'4_Cascade_Engine'!A43</f>
        <v/>
      </c>
      <c r="B43" s="8">
        <f>'4_Cascade_Engine'!B43</f>
        <v/>
      </c>
      <c r="C43" s="8">
        <f>'1_GICS_Structure'!B43</f>
        <v/>
      </c>
      <c r="D43" s="18">
        <f>'4_Cascade_Engine'!P43</f>
        <v/>
      </c>
      <c r="E43" s="18">
        <f>'4_Cascade_Engine'!Q43</f>
        <v/>
      </c>
      <c r="F43" s="18">
        <f>'4_Cascade_Engine'!T43</f>
        <v/>
      </c>
      <c r="G43" s="18">
        <f>'4_Cascade_Engine'!U43</f>
        <v/>
      </c>
    </row>
    <row r="44">
      <c r="A44" s="8">
        <f>'4_Cascade_Engine'!A44</f>
        <v/>
      </c>
      <c r="B44" s="8">
        <f>'4_Cascade_Engine'!B44</f>
        <v/>
      </c>
      <c r="C44" s="8">
        <f>'1_GICS_Structure'!B44</f>
        <v/>
      </c>
      <c r="D44" s="18">
        <f>'4_Cascade_Engine'!P44</f>
        <v/>
      </c>
      <c r="E44" s="18">
        <f>'4_Cascade_Engine'!Q44</f>
        <v/>
      </c>
      <c r="F44" s="18">
        <f>'4_Cascade_Engine'!T44</f>
        <v/>
      </c>
      <c r="G44" s="18">
        <f>'4_Cascade_Engine'!U44</f>
        <v/>
      </c>
    </row>
    <row r="45">
      <c r="A45" s="8">
        <f>'4_Cascade_Engine'!A45</f>
        <v/>
      </c>
      <c r="B45" s="8">
        <f>'4_Cascade_Engine'!B45</f>
        <v/>
      </c>
      <c r="C45" s="8">
        <f>'1_GICS_Structure'!B45</f>
        <v/>
      </c>
      <c r="D45" s="18">
        <f>'4_Cascade_Engine'!P45</f>
        <v/>
      </c>
      <c r="E45" s="18">
        <f>'4_Cascade_Engine'!Q45</f>
        <v/>
      </c>
      <c r="F45" s="18">
        <f>'4_Cascade_Engine'!T45</f>
        <v/>
      </c>
      <c r="G45" s="18">
        <f>'4_Cascade_Engine'!U45</f>
        <v/>
      </c>
    </row>
    <row r="46">
      <c r="A46" s="8">
        <f>'4_Cascade_Engine'!A46</f>
        <v/>
      </c>
      <c r="B46" s="8">
        <f>'4_Cascade_Engine'!B46</f>
        <v/>
      </c>
      <c r="C46" s="8">
        <f>'1_GICS_Structure'!B46</f>
        <v/>
      </c>
      <c r="D46" s="18">
        <f>'4_Cascade_Engine'!P46</f>
        <v/>
      </c>
      <c r="E46" s="18">
        <f>'4_Cascade_Engine'!Q46</f>
        <v/>
      </c>
      <c r="F46" s="18">
        <f>'4_Cascade_Engine'!T46</f>
        <v/>
      </c>
      <c r="G46" s="18">
        <f>'4_Cascade_Engine'!U46</f>
        <v/>
      </c>
    </row>
    <row r="47">
      <c r="A47" s="8">
        <f>'4_Cascade_Engine'!A47</f>
        <v/>
      </c>
      <c r="B47" s="8">
        <f>'4_Cascade_Engine'!B47</f>
        <v/>
      </c>
      <c r="C47" s="8">
        <f>'1_GICS_Structure'!B47</f>
        <v/>
      </c>
      <c r="D47" s="18">
        <f>'4_Cascade_Engine'!P47</f>
        <v/>
      </c>
      <c r="E47" s="18">
        <f>'4_Cascade_Engine'!Q47</f>
        <v/>
      </c>
      <c r="F47" s="18">
        <f>'4_Cascade_Engine'!T47</f>
        <v/>
      </c>
      <c r="G47" s="18">
        <f>'4_Cascade_Engine'!U47</f>
        <v/>
      </c>
    </row>
    <row r="48">
      <c r="A48" s="8">
        <f>'4_Cascade_Engine'!A48</f>
        <v/>
      </c>
      <c r="B48" s="8">
        <f>'4_Cascade_Engine'!B48</f>
        <v/>
      </c>
      <c r="C48" s="8">
        <f>'1_GICS_Structure'!B48</f>
        <v/>
      </c>
      <c r="D48" s="18">
        <f>'4_Cascade_Engine'!P48</f>
        <v/>
      </c>
      <c r="E48" s="18">
        <f>'4_Cascade_Engine'!Q48</f>
        <v/>
      </c>
      <c r="F48" s="18">
        <f>'4_Cascade_Engine'!T48</f>
        <v/>
      </c>
      <c r="G48" s="18">
        <f>'4_Cascade_Engine'!U48</f>
        <v/>
      </c>
    </row>
    <row r="49">
      <c r="A49" s="8">
        <f>'4_Cascade_Engine'!A49</f>
        <v/>
      </c>
      <c r="B49" s="8">
        <f>'4_Cascade_Engine'!B49</f>
        <v/>
      </c>
      <c r="C49" s="8">
        <f>'1_GICS_Structure'!B49</f>
        <v/>
      </c>
      <c r="D49" s="18">
        <f>'4_Cascade_Engine'!P49</f>
        <v/>
      </c>
      <c r="E49" s="18">
        <f>'4_Cascade_Engine'!Q49</f>
        <v/>
      </c>
      <c r="F49" s="18">
        <f>'4_Cascade_Engine'!T49</f>
        <v/>
      </c>
      <c r="G49" s="18">
        <f>'4_Cascade_Engine'!U49</f>
        <v/>
      </c>
    </row>
    <row r="50">
      <c r="A50" s="8">
        <f>'4_Cascade_Engine'!A50</f>
        <v/>
      </c>
      <c r="B50" s="8">
        <f>'4_Cascade_Engine'!B50</f>
        <v/>
      </c>
      <c r="C50" s="8">
        <f>'1_GICS_Structure'!B50</f>
        <v/>
      </c>
      <c r="D50" s="18">
        <f>'4_Cascade_Engine'!P50</f>
        <v/>
      </c>
      <c r="E50" s="18">
        <f>'4_Cascade_Engine'!Q50</f>
        <v/>
      </c>
      <c r="F50" s="18">
        <f>'4_Cascade_Engine'!T50</f>
        <v/>
      </c>
      <c r="G50" s="18">
        <f>'4_Cascade_Engine'!U50</f>
        <v/>
      </c>
    </row>
    <row r="51">
      <c r="A51" s="8">
        <f>'4_Cascade_Engine'!A51</f>
        <v/>
      </c>
      <c r="B51" s="8">
        <f>'4_Cascade_Engine'!B51</f>
        <v/>
      </c>
      <c r="C51" s="8">
        <f>'1_GICS_Structure'!B51</f>
        <v/>
      </c>
      <c r="D51" s="18">
        <f>'4_Cascade_Engine'!P51</f>
        <v/>
      </c>
      <c r="E51" s="18">
        <f>'4_Cascade_Engine'!Q51</f>
        <v/>
      </c>
      <c r="F51" s="18">
        <f>'4_Cascade_Engine'!T51</f>
        <v/>
      </c>
      <c r="G51" s="18">
        <f>'4_Cascade_Engine'!U51</f>
        <v/>
      </c>
    </row>
    <row r="52">
      <c r="A52" s="8">
        <f>'4_Cascade_Engine'!A52</f>
        <v/>
      </c>
      <c r="B52" s="8">
        <f>'4_Cascade_Engine'!B52</f>
        <v/>
      </c>
      <c r="C52" s="8">
        <f>'1_GICS_Structure'!B52</f>
        <v/>
      </c>
      <c r="D52" s="18">
        <f>'4_Cascade_Engine'!P52</f>
        <v/>
      </c>
      <c r="E52" s="18">
        <f>'4_Cascade_Engine'!Q52</f>
        <v/>
      </c>
      <c r="F52" s="18">
        <f>'4_Cascade_Engine'!T52</f>
        <v/>
      </c>
      <c r="G52" s="18">
        <f>'4_Cascade_Engine'!U52</f>
        <v/>
      </c>
    </row>
    <row r="53">
      <c r="A53" s="8">
        <f>'4_Cascade_Engine'!A53</f>
        <v/>
      </c>
      <c r="B53" s="8">
        <f>'4_Cascade_Engine'!B53</f>
        <v/>
      </c>
      <c r="C53" s="8">
        <f>'1_GICS_Structure'!B53</f>
        <v/>
      </c>
      <c r="D53" s="18">
        <f>'4_Cascade_Engine'!P53</f>
        <v/>
      </c>
      <c r="E53" s="18">
        <f>'4_Cascade_Engine'!Q53</f>
        <v/>
      </c>
      <c r="F53" s="18">
        <f>'4_Cascade_Engine'!T53</f>
        <v/>
      </c>
      <c r="G53" s="18">
        <f>'4_Cascade_Engine'!U53</f>
        <v/>
      </c>
    </row>
    <row r="54">
      <c r="A54" s="8">
        <f>'4_Cascade_Engine'!A54</f>
        <v/>
      </c>
      <c r="B54" s="8">
        <f>'4_Cascade_Engine'!B54</f>
        <v/>
      </c>
      <c r="C54" s="8">
        <f>'1_GICS_Structure'!B54</f>
        <v/>
      </c>
      <c r="D54" s="18">
        <f>'4_Cascade_Engine'!P54</f>
        <v/>
      </c>
      <c r="E54" s="18">
        <f>'4_Cascade_Engine'!Q54</f>
        <v/>
      </c>
      <c r="F54" s="18">
        <f>'4_Cascade_Engine'!T54</f>
        <v/>
      </c>
      <c r="G54" s="18">
        <f>'4_Cascade_Engine'!U54</f>
        <v/>
      </c>
    </row>
    <row r="55">
      <c r="A55" s="8">
        <f>'4_Cascade_Engine'!A55</f>
        <v/>
      </c>
      <c r="B55" s="8">
        <f>'4_Cascade_Engine'!B55</f>
        <v/>
      </c>
      <c r="C55" s="8">
        <f>'1_GICS_Structure'!B55</f>
        <v/>
      </c>
      <c r="D55" s="18">
        <f>'4_Cascade_Engine'!P55</f>
        <v/>
      </c>
      <c r="E55" s="18">
        <f>'4_Cascade_Engine'!Q55</f>
        <v/>
      </c>
      <c r="F55" s="18">
        <f>'4_Cascade_Engine'!T55</f>
        <v/>
      </c>
      <c r="G55" s="18">
        <f>'4_Cascade_Engine'!U55</f>
        <v/>
      </c>
    </row>
    <row r="56">
      <c r="A56" s="8">
        <f>'4_Cascade_Engine'!A56</f>
        <v/>
      </c>
      <c r="B56" s="8">
        <f>'4_Cascade_Engine'!B56</f>
        <v/>
      </c>
      <c r="C56" s="8">
        <f>'1_GICS_Structure'!B56</f>
        <v/>
      </c>
      <c r="D56" s="18">
        <f>'4_Cascade_Engine'!P56</f>
        <v/>
      </c>
      <c r="E56" s="18">
        <f>'4_Cascade_Engine'!Q56</f>
        <v/>
      </c>
      <c r="F56" s="18">
        <f>'4_Cascade_Engine'!T56</f>
        <v/>
      </c>
      <c r="G56" s="18">
        <f>'4_Cascade_Engine'!U56</f>
        <v/>
      </c>
    </row>
    <row r="57">
      <c r="A57" s="8">
        <f>'4_Cascade_Engine'!A57</f>
        <v/>
      </c>
      <c r="B57" s="8">
        <f>'4_Cascade_Engine'!B57</f>
        <v/>
      </c>
      <c r="C57" s="8">
        <f>'1_GICS_Structure'!B57</f>
        <v/>
      </c>
      <c r="D57" s="18">
        <f>'4_Cascade_Engine'!P57</f>
        <v/>
      </c>
      <c r="E57" s="18">
        <f>'4_Cascade_Engine'!Q57</f>
        <v/>
      </c>
      <c r="F57" s="18">
        <f>'4_Cascade_Engine'!T57</f>
        <v/>
      </c>
      <c r="G57" s="18">
        <f>'4_Cascade_Engine'!U57</f>
        <v/>
      </c>
    </row>
    <row r="58">
      <c r="A58" s="8">
        <f>'4_Cascade_Engine'!A58</f>
        <v/>
      </c>
      <c r="B58" s="8">
        <f>'4_Cascade_Engine'!B58</f>
        <v/>
      </c>
      <c r="C58" s="8">
        <f>'1_GICS_Structure'!B58</f>
        <v/>
      </c>
      <c r="D58" s="18">
        <f>'4_Cascade_Engine'!P58</f>
        <v/>
      </c>
      <c r="E58" s="18">
        <f>'4_Cascade_Engine'!Q58</f>
        <v/>
      </c>
      <c r="F58" s="18">
        <f>'4_Cascade_Engine'!T58</f>
        <v/>
      </c>
      <c r="G58" s="18">
        <f>'4_Cascade_Engine'!U58</f>
        <v/>
      </c>
    </row>
    <row r="59">
      <c r="A59" s="8">
        <f>'4_Cascade_Engine'!A59</f>
        <v/>
      </c>
      <c r="B59" s="8">
        <f>'4_Cascade_Engine'!B59</f>
        <v/>
      </c>
      <c r="C59" s="8">
        <f>'1_GICS_Structure'!B59</f>
        <v/>
      </c>
      <c r="D59" s="18">
        <f>'4_Cascade_Engine'!P59</f>
        <v/>
      </c>
      <c r="E59" s="18">
        <f>'4_Cascade_Engine'!Q59</f>
        <v/>
      </c>
      <c r="F59" s="18">
        <f>'4_Cascade_Engine'!T59</f>
        <v/>
      </c>
      <c r="G59" s="18">
        <f>'4_Cascade_Engine'!U59</f>
        <v/>
      </c>
    </row>
    <row r="60">
      <c r="A60" s="8">
        <f>'4_Cascade_Engine'!A60</f>
        <v/>
      </c>
      <c r="B60" s="8">
        <f>'4_Cascade_Engine'!B60</f>
        <v/>
      </c>
      <c r="C60" s="8">
        <f>'1_GICS_Structure'!B60</f>
        <v/>
      </c>
      <c r="D60" s="18">
        <f>'4_Cascade_Engine'!P60</f>
        <v/>
      </c>
      <c r="E60" s="18">
        <f>'4_Cascade_Engine'!Q60</f>
        <v/>
      </c>
      <c r="F60" s="18">
        <f>'4_Cascade_Engine'!T60</f>
        <v/>
      </c>
      <c r="G60" s="18">
        <f>'4_Cascade_Engine'!U60</f>
        <v/>
      </c>
    </row>
    <row r="61">
      <c r="A61" s="8">
        <f>'4_Cascade_Engine'!A61</f>
        <v/>
      </c>
      <c r="B61" s="8">
        <f>'4_Cascade_Engine'!B61</f>
        <v/>
      </c>
      <c r="C61" s="8">
        <f>'1_GICS_Structure'!B61</f>
        <v/>
      </c>
      <c r="D61" s="18">
        <f>'4_Cascade_Engine'!P61</f>
        <v/>
      </c>
      <c r="E61" s="18">
        <f>'4_Cascade_Engine'!Q61</f>
        <v/>
      </c>
      <c r="F61" s="18">
        <f>'4_Cascade_Engine'!T61</f>
        <v/>
      </c>
      <c r="G61" s="18">
        <f>'4_Cascade_Engine'!U61</f>
        <v/>
      </c>
    </row>
    <row r="62">
      <c r="A62" s="8">
        <f>'4_Cascade_Engine'!A62</f>
        <v/>
      </c>
      <c r="B62" s="8">
        <f>'4_Cascade_Engine'!B62</f>
        <v/>
      </c>
      <c r="C62" s="8">
        <f>'1_GICS_Structure'!B62</f>
        <v/>
      </c>
      <c r="D62" s="18">
        <f>'4_Cascade_Engine'!P62</f>
        <v/>
      </c>
      <c r="E62" s="18">
        <f>'4_Cascade_Engine'!Q62</f>
        <v/>
      </c>
      <c r="F62" s="18">
        <f>'4_Cascade_Engine'!T62</f>
        <v/>
      </c>
      <c r="G62" s="18">
        <f>'4_Cascade_Engine'!U62</f>
        <v/>
      </c>
    </row>
    <row r="63">
      <c r="A63" s="8">
        <f>'4_Cascade_Engine'!A63</f>
        <v/>
      </c>
      <c r="B63" s="8">
        <f>'4_Cascade_Engine'!B63</f>
        <v/>
      </c>
      <c r="C63" s="8">
        <f>'1_GICS_Structure'!B63</f>
        <v/>
      </c>
      <c r="D63" s="18">
        <f>'4_Cascade_Engine'!P63</f>
        <v/>
      </c>
      <c r="E63" s="18">
        <f>'4_Cascade_Engine'!Q63</f>
        <v/>
      </c>
      <c r="F63" s="18">
        <f>'4_Cascade_Engine'!T63</f>
        <v/>
      </c>
      <c r="G63" s="18">
        <f>'4_Cascade_Engine'!U63</f>
        <v/>
      </c>
    </row>
    <row r="64">
      <c r="A64" s="8">
        <f>'4_Cascade_Engine'!A64</f>
        <v/>
      </c>
      <c r="B64" s="8">
        <f>'4_Cascade_Engine'!B64</f>
        <v/>
      </c>
      <c r="C64" s="8">
        <f>'1_GICS_Structure'!B64</f>
        <v/>
      </c>
      <c r="D64" s="18">
        <f>'4_Cascade_Engine'!P64</f>
        <v/>
      </c>
      <c r="E64" s="18">
        <f>'4_Cascade_Engine'!Q64</f>
        <v/>
      </c>
      <c r="F64" s="18">
        <f>'4_Cascade_Engine'!T64</f>
        <v/>
      </c>
      <c r="G64" s="18">
        <f>'4_Cascade_Engine'!U64</f>
        <v/>
      </c>
    </row>
    <row r="65">
      <c r="A65" s="8">
        <f>'4_Cascade_Engine'!A65</f>
        <v/>
      </c>
      <c r="B65" s="8">
        <f>'4_Cascade_Engine'!B65</f>
        <v/>
      </c>
      <c r="C65" s="8">
        <f>'1_GICS_Structure'!B65</f>
        <v/>
      </c>
      <c r="D65" s="18">
        <f>'4_Cascade_Engine'!P65</f>
        <v/>
      </c>
      <c r="E65" s="18">
        <f>'4_Cascade_Engine'!Q65</f>
        <v/>
      </c>
      <c r="F65" s="18">
        <f>'4_Cascade_Engine'!T65</f>
        <v/>
      </c>
      <c r="G65" s="18">
        <f>'4_Cascade_Engine'!U65</f>
        <v/>
      </c>
    </row>
    <row r="66">
      <c r="A66" s="8">
        <f>'4_Cascade_Engine'!A66</f>
        <v/>
      </c>
      <c r="B66" s="8">
        <f>'4_Cascade_Engine'!B66</f>
        <v/>
      </c>
      <c r="C66" s="8">
        <f>'1_GICS_Structure'!B66</f>
        <v/>
      </c>
      <c r="D66" s="18">
        <f>'4_Cascade_Engine'!P66</f>
        <v/>
      </c>
      <c r="E66" s="18">
        <f>'4_Cascade_Engine'!Q66</f>
        <v/>
      </c>
      <c r="F66" s="18">
        <f>'4_Cascade_Engine'!T66</f>
        <v/>
      </c>
      <c r="G66" s="18">
        <f>'4_Cascade_Engine'!U66</f>
        <v/>
      </c>
    </row>
    <row r="67">
      <c r="A67" s="8">
        <f>'4_Cascade_Engine'!A67</f>
        <v/>
      </c>
      <c r="B67" s="8">
        <f>'4_Cascade_Engine'!B67</f>
        <v/>
      </c>
      <c r="C67" s="8">
        <f>'1_GICS_Structure'!B67</f>
        <v/>
      </c>
      <c r="D67" s="18">
        <f>'4_Cascade_Engine'!P67</f>
        <v/>
      </c>
      <c r="E67" s="18">
        <f>'4_Cascade_Engine'!Q67</f>
        <v/>
      </c>
      <c r="F67" s="18">
        <f>'4_Cascade_Engine'!T67</f>
        <v/>
      </c>
      <c r="G67" s="18">
        <f>'4_Cascade_Engine'!U67</f>
        <v/>
      </c>
    </row>
    <row r="68">
      <c r="A68" s="8">
        <f>'4_Cascade_Engine'!A68</f>
        <v/>
      </c>
      <c r="B68" s="8">
        <f>'4_Cascade_Engine'!B68</f>
        <v/>
      </c>
      <c r="C68" s="8">
        <f>'1_GICS_Structure'!B68</f>
        <v/>
      </c>
      <c r="D68" s="18">
        <f>'4_Cascade_Engine'!P68</f>
        <v/>
      </c>
      <c r="E68" s="18">
        <f>'4_Cascade_Engine'!Q68</f>
        <v/>
      </c>
      <c r="F68" s="18">
        <f>'4_Cascade_Engine'!T68</f>
        <v/>
      </c>
      <c r="G68" s="18">
        <f>'4_Cascade_Engine'!U68</f>
        <v/>
      </c>
    </row>
    <row r="69">
      <c r="A69" s="8">
        <f>'4_Cascade_Engine'!A69</f>
        <v/>
      </c>
      <c r="B69" s="8">
        <f>'4_Cascade_Engine'!B69</f>
        <v/>
      </c>
      <c r="C69" s="8">
        <f>'1_GICS_Structure'!B69</f>
        <v/>
      </c>
      <c r="D69" s="18">
        <f>'4_Cascade_Engine'!P69</f>
        <v/>
      </c>
      <c r="E69" s="18">
        <f>'4_Cascade_Engine'!Q69</f>
        <v/>
      </c>
      <c r="F69" s="18">
        <f>'4_Cascade_Engine'!T69</f>
        <v/>
      </c>
      <c r="G69" s="18">
        <f>'4_Cascade_Engine'!U69</f>
        <v/>
      </c>
    </row>
    <row r="70">
      <c r="A70" s="8">
        <f>'4_Cascade_Engine'!A70</f>
        <v/>
      </c>
      <c r="B70" s="8">
        <f>'4_Cascade_Engine'!B70</f>
        <v/>
      </c>
      <c r="C70" s="8">
        <f>'1_GICS_Structure'!B70</f>
        <v/>
      </c>
      <c r="D70" s="18">
        <f>'4_Cascade_Engine'!P70</f>
        <v/>
      </c>
      <c r="E70" s="18">
        <f>'4_Cascade_Engine'!Q70</f>
        <v/>
      </c>
      <c r="F70" s="18">
        <f>'4_Cascade_Engine'!T70</f>
        <v/>
      </c>
      <c r="G70" s="18">
        <f>'4_Cascade_Engine'!U70</f>
        <v/>
      </c>
    </row>
    <row r="71">
      <c r="A71" s="8">
        <f>'4_Cascade_Engine'!A71</f>
        <v/>
      </c>
      <c r="B71" s="8">
        <f>'4_Cascade_Engine'!B71</f>
        <v/>
      </c>
      <c r="C71" s="8">
        <f>'1_GICS_Structure'!B71</f>
        <v/>
      </c>
      <c r="D71" s="18">
        <f>'4_Cascade_Engine'!P71</f>
        <v/>
      </c>
      <c r="E71" s="18">
        <f>'4_Cascade_Engine'!Q71</f>
        <v/>
      </c>
      <c r="F71" s="18">
        <f>'4_Cascade_Engine'!T71</f>
        <v/>
      </c>
      <c r="G71" s="18">
        <f>'4_Cascade_Engine'!U71</f>
        <v/>
      </c>
    </row>
    <row r="72">
      <c r="A72" s="8">
        <f>'4_Cascade_Engine'!A72</f>
        <v/>
      </c>
      <c r="B72" s="8">
        <f>'4_Cascade_Engine'!B72</f>
        <v/>
      </c>
      <c r="C72" s="8">
        <f>'1_GICS_Structure'!B72</f>
        <v/>
      </c>
      <c r="D72" s="18">
        <f>'4_Cascade_Engine'!P72</f>
        <v/>
      </c>
      <c r="E72" s="18">
        <f>'4_Cascade_Engine'!Q72</f>
        <v/>
      </c>
      <c r="F72" s="18">
        <f>'4_Cascade_Engine'!T72</f>
        <v/>
      </c>
      <c r="G72" s="18">
        <f>'4_Cascade_Engine'!U72</f>
        <v/>
      </c>
    </row>
    <row r="73">
      <c r="A73" s="8">
        <f>'4_Cascade_Engine'!A73</f>
        <v/>
      </c>
      <c r="B73" s="8">
        <f>'4_Cascade_Engine'!B73</f>
        <v/>
      </c>
      <c r="C73" s="8">
        <f>'1_GICS_Structure'!B73</f>
        <v/>
      </c>
      <c r="D73" s="18">
        <f>'4_Cascade_Engine'!P73</f>
        <v/>
      </c>
      <c r="E73" s="18">
        <f>'4_Cascade_Engine'!Q73</f>
        <v/>
      </c>
      <c r="F73" s="18">
        <f>'4_Cascade_Engine'!T73</f>
        <v/>
      </c>
      <c r="G73" s="18">
        <f>'4_Cascade_Engine'!U73</f>
        <v/>
      </c>
    </row>
    <row r="74">
      <c r="A74" s="8">
        <f>'4_Cascade_Engine'!A74</f>
        <v/>
      </c>
      <c r="B74" s="8">
        <f>'4_Cascade_Engine'!B74</f>
        <v/>
      </c>
      <c r="C74" s="8">
        <f>'1_GICS_Structure'!B74</f>
        <v/>
      </c>
      <c r="D74" s="18">
        <f>'4_Cascade_Engine'!P74</f>
        <v/>
      </c>
      <c r="E74" s="18">
        <f>'4_Cascade_Engine'!Q74</f>
        <v/>
      </c>
      <c r="F74" s="18">
        <f>'4_Cascade_Engine'!T74</f>
        <v/>
      </c>
      <c r="G74" s="18">
        <f>'4_Cascade_Engine'!U74</f>
        <v/>
      </c>
    </row>
    <row r="75">
      <c r="A75" s="8">
        <f>'4_Cascade_Engine'!A75</f>
        <v/>
      </c>
      <c r="B75" s="8">
        <f>'4_Cascade_Engine'!B75</f>
        <v/>
      </c>
      <c r="C75" s="8">
        <f>'1_GICS_Structure'!B75</f>
        <v/>
      </c>
      <c r="D75" s="18">
        <f>'4_Cascade_Engine'!P75</f>
        <v/>
      </c>
      <c r="E75" s="18">
        <f>'4_Cascade_Engine'!Q75</f>
        <v/>
      </c>
      <c r="F75" s="18">
        <f>'4_Cascade_Engine'!T75</f>
        <v/>
      </c>
      <c r="G75" s="18">
        <f>'4_Cascade_Engine'!U75</f>
        <v/>
      </c>
    </row>
    <row r="76">
      <c r="A76" s="8">
        <f>'4_Cascade_Engine'!A76</f>
        <v/>
      </c>
      <c r="B76" s="8">
        <f>'4_Cascade_Engine'!B76</f>
        <v/>
      </c>
      <c r="C76" s="8">
        <f>'1_GICS_Structure'!B76</f>
        <v/>
      </c>
      <c r="D76" s="18">
        <f>'4_Cascade_Engine'!P76</f>
        <v/>
      </c>
      <c r="E76" s="18">
        <f>'4_Cascade_Engine'!Q76</f>
        <v/>
      </c>
      <c r="F76" s="18">
        <f>'4_Cascade_Engine'!T76</f>
        <v/>
      </c>
      <c r="G76" s="18">
        <f>'4_Cascade_Engine'!U76</f>
        <v/>
      </c>
    </row>
    <row r="77">
      <c r="A77" s="8">
        <f>'4_Cascade_Engine'!A77</f>
        <v/>
      </c>
      <c r="B77" s="8">
        <f>'4_Cascade_Engine'!B77</f>
        <v/>
      </c>
      <c r="C77" s="8">
        <f>'1_GICS_Structure'!B77</f>
        <v/>
      </c>
      <c r="D77" s="18">
        <f>'4_Cascade_Engine'!P77</f>
        <v/>
      </c>
      <c r="E77" s="18">
        <f>'4_Cascade_Engine'!Q77</f>
        <v/>
      </c>
      <c r="F77" s="18">
        <f>'4_Cascade_Engine'!T77</f>
        <v/>
      </c>
      <c r="G77" s="18">
        <f>'4_Cascade_Engine'!U77</f>
        <v/>
      </c>
    </row>
    <row r="78">
      <c r="A78" s="8">
        <f>'4_Cascade_Engine'!A78</f>
        <v/>
      </c>
      <c r="B78" s="8">
        <f>'4_Cascade_Engine'!B78</f>
        <v/>
      </c>
      <c r="C78" s="8">
        <f>'1_GICS_Structure'!B78</f>
        <v/>
      </c>
      <c r="D78" s="18">
        <f>'4_Cascade_Engine'!P78</f>
        <v/>
      </c>
      <c r="E78" s="18">
        <f>'4_Cascade_Engine'!Q78</f>
        <v/>
      </c>
      <c r="F78" s="18">
        <f>'4_Cascade_Engine'!T78</f>
        <v/>
      </c>
      <c r="G78" s="18">
        <f>'4_Cascade_Engine'!U78</f>
        <v/>
      </c>
    </row>
    <row r="79">
      <c r="A79" s="8">
        <f>'4_Cascade_Engine'!A79</f>
        <v/>
      </c>
      <c r="B79" s="8">
        <f>'4_Cascade_Engine'!B79</f>
        <v/>
      </c>
      <c r="C79" s="8">
        <f>'1_GICS_Structure'!B79</f>
        <v/>
      </c>
      <c r="D79" s="18">
        <f>'4_Cascade_Engine'!P79</f>
        <v/>
      </c>
      <c r="E79" s="18">
        <f>'4_Cascade_Engine'!Q79</f>
        <v/>
      </c>
      <c r="F79" s="18">
        <f>'4_Cascade_Engine'!T79</f>
        <v/>
      </c>
      <c r="G79" s="18">
        <f>'4_Cascade_Engine'!U79</f>
        <v/>
      </c>
    </row>
    <row r="80">
      <c r="A80" s="8">
        <f>'4_Cascade_Engine'!A80</f>
        <v/>
      </c>
      <c r="B80" s="8">
        <f>'4_Cascade_Engine'!B80</f>
        <v/>
      </c>
      <c r="C80" s="8">
        <f>'1_GICS_Structure'!B80</f>
        <v/>
      </c>
      <c r="D80" s="18">
        <f>'4_Cascade_Engine'!P80</f>
        <v/>
      </c>
      <c r="E80" s="18">
        <f>'4_Cascade_Engine'!Q80</f>
        <v/>
      </c>
      <c r="F80" s="18">
        <f>'4_Cascade_Engine'!T80</f>
        <v/>
      </c>
      <c r="G80" s="18">
        <f>'4_Cascade_Engine'!U80</f>
        <v/>
      </c>
    </row>
    <row r="81">
      <c r="A81" s="8">
        <f>'4_Cascade_Engine'!A81</f>
        <v/>
      </c>
      <c r="B81" s="8">
        <f>'4_Cascade_Engine'!B81</f>
        <v/>
      </c>
      <c r="C81" s="8">
        <f>'1_GICS_Structure'!B81</f>
        <v/>
      </c>
      <c r="D81" s="18">
        <f>'4_Cascade_Engine'!P81</f>
        <v/>
      </c>
      <c r="E81" s="18">
        <f>'4_Cascade_Engine'!Q81</f>
        <v/>
      </c>
      <c r="F81" s="18">
        <f>'4_Cascade_Engine'!T81</f>
        <v/>
      </c>
      <c r="G81" s="18">
        <f>'4_Cascade_Engine'!U81</f>
        <v/>
      </c>
    </row>
    <row r="82">
      <c r="A82" s="8">
        <f>'4_Cascade_Engine'!A82</f>
        <v/>
      </c>
      <c r="B82" s="8">
        <f>'4_Cascade_Engine'!B82</f>
        <v/>
      </c>
      <c r="C82" s="8">
        <f>'1_GICS_Structure'!B82</f>
        <v/>
      </c>
      <c r="D82" s="18">
        <f>'4_Cascade_Engine'!P82</f>
        <v/>
      </c>
      <c r="E82" s="18">
        <f>'4_Cascade_Engine'!Q82</f>
        <v/>
      </c>
      <c r="F82" s="18">
        <f>'4_Cascade_Engine'!T82</f>
        <v/>
      </c>
      <c r="G82" s="18">
        <f>'4_Cascade_Engine'!U82</f>
        <v/>
      </c>
    </row>
    <row r="83">
      <c r="A83" s="8">
        <f>'4_Cascade_Engine'!A83</f>
        <v/>
      </c>
      <c r="B83" s="8">
        <f>'4_Cascade_Engine'!B83</f>
        <v/>
      </c>
      <c r="C83" s="8">
        <f>'1_GICS_Structure'!B83</f>
        <v/>
      </c>
      <c r="D83" s="18">
        <f>'4_Cascade_Engine'!P83</f>
        <v/>
      </c>
      <c r="E83" s="18">
        <f>'4_Cascade_Engine'!Q83</f>
        <v/>
      </c>
      <c r="F83" s="18">
        <f>'4_Cascade_Engine'!T83</f>
        <v/>
      </c>
      <c r="G83" s="18">
        <f>'4_Cascade_Engine'!U83</f>
        <v/>
      </c>
    </row>
    <row r="84">
      <c r="A84" s="8">
        <f>'4_Cascade_Engine'!A84</f>
        <v/>
      </c>
      <c r="B84" s="8">
        <f>'4_Cascade_Engine'!B84</f>
        <v/>
      </c>
      <c r="C84" s="8">
        <f>'1_GICS_Structure'!B84</f>
        <v/>
      </c>
      <c r="D84" s="18">
        <f>'4_Cascade_Engine'!P84</f>
        <v/>
      </c>
      <c r="E84" s="18">
        <f>'4_Cascade_Engine'!Q84</f>
        <v/>
      </c>
      <c r="F84" s="18">
        <f>'4_Cascade_Engine'!T84</f>
        <v/>
      </c>
      <c r="G84" s="18">
        <f>'4_Cascade_Engine'!U84</f>
        <v/>
      </c>
    </row>
    <row r="85">
      <c r="A85" s="8">
        <f>'4_Cascade_Engine'!A85</f>
        <v/>
      </c>
      <c r="B85" s="8">
        <f>'4_Cascade_Engine'!B85</f>
        <v/>
      </c>
      <c r="C85" s="8">
        <f>'1_GICS_Structure'!B85</f>
        <v/>
      </c>
      <c r="D85" s="18">
        <f>'4_Cascade_Engine'!P85</f>
        <v/>
      </c>
      <c r="E85" s="18">
        <f>'4_Cascade_Engine'!Q85</f>
        <v/>
      </c>
      <c r="F85" s="18">
        <f>'4_Cascade_Engine'!T85</f>
        <v/>
      </c>
      <c r="G85" s="18">
        <f>'4_Cascade_Engine'!U85</f>
        <v/>
      </c>
    </row>
    <row r="86">
      <c r="A86" s="8">
        <f>'4_Cascade_Engine'!A86</f>
        <v/>
      </c>
      <c r="B86" s="8">
        <f>'4_Cascade_Engine'!B86</f>
        <v/>
      </c>
      <c r="C86" s="8">
        <f>'1_GICS_Structure'!B86</f>
        <v/>
      </c>
      <c r="D86" s="18">
        <f>'4_Cascade_Engine'!P86</f>
        <v/>
      </c>
      <c r="E86" s="18">
        <f>'4_Cascade_Engine'!Q86</f>
        <v/>
      </c>
      <c r="F86" s="18">
        <f>'4_Cascade_Engine'!T86</f>
        <v/>
      </c>
      <c r="G86" s="18">
        <f>'4_Cascade_Engine'!U86</f>
        <v/>
      </c>
    </row>
    <row r="87">
      <c r="A87" s="8">
        <f>'4_Cascade_Engine'!A87</f>
        <v/>
      </c>
      <c r="B87" s="8">
        <f>'4_Cascade_Engine'!B87</f>
        <v/>
      </c>
      <c r="C87" s="8">
        <f>'1_GICS_Structure'!B87</f>
        <v/>
      </c>
      <c r="D87" s="18">
        <f>'4_Cascade_Engine'!P87</f>
        <v/>
      </c>
      <c r="E87" s="18">
        <f>'4_Cascade_Engine'!Q87</f>
        <v/>
      </c>
      <c r="F87" s="18">
        <f>'4_Cascade_Engine'!T87</f>
        <v/>
      </c>
      <c r="G87" s="18">
        <f>'4_Cascade_Engine'!U87</f>
        <v/>
      </c>
    </row>
    <row r="88">
      <c r="A88" s="8">
        <f>'4_Cascade_Engine'!A88</f>
        <v/>
      </c>
      <c r="B88" s="8">
        <f>'4_Cascade_Engine'!B88</f>
        <v/>
      </c>
      <c r="C88" s="8">
        <f>'1_GICS_Structure'!B88</f>
        <v/>
      </c>
      <c r="D88" s="18">
        <f>'4_Cascade_Engine'!P88</f>
        <v/>
      </c>
      <c r="E88" s="18">
        <f>'4_Cascade_Engine'!Q88</f>
        <v/>
      </c>
      <c r="F88" s="18">
        <f>'4_Cascade_Engine'!T88</f>
        <v/>
      </c>
      <c r="G88" s="18">
        <f>'4_Cascade_Engine'!U88</f>
        <v/>
      </c>
    </row>
    <row r="89">
      <c r="A89" s="8">
        <f>'4_Cascade_Engine'!A89</f>
        <v/>
      </c>
      <c r="B89" s="8">
        <f>'4_Cascade_Engine'!B89</f>
        <v/>
      </c>
      <c r="C89" s="8">
        <f>'1_GICS_Structure'!B89</f>
        <v/>
      </c>
      <c r="D89" s="18">
        <f>'4_Cascade_Engine'!P89</f>
        <v/>
      </c>
      <c r="E89" s="18">
        <f>'4_Cascade_Engine'!Q89</f>
        <v/>
      </c>
      <c r="F89" s="18">
        <f>'4_Cascade_Engine'!T89</f>
        <v/>
      </c>
      <c r="G89" s="18">
        <f>'4_Cascade_Engine'!U89</f>
        <v/>
      </c>
    </row>
    <row r="90">
      <c r="A90" s="8">
        <f>'4_Cascade_Engine'!A90</f>
        <v/>
      </c>
      <c r="B90" s="8">
        <f>'4_Cascade_Engine'!B90</f>
        <v/>
      </c>
      <c r="C90" s="8">
        <f>'1_GICS_Structure'!B90</f>
        <v/>
      </c>
      <c r="D90" s="18">
        <f>'4_Cascade_Engine'!P90</f>
        <v/>
      </c>
      <c r="E90" s="18">
        <f>'4_Cascade_Engine'!Q90</f>
        <v/>
      </c>
      <c r="F90" s="18">
        <f>'4_Cascade_Engine'!T90</f>
        <v/>
      </c>
      <c r="G90" s="18">
        <f>'4_Cascade_Engine'!U90</f>
        <v/>
      </c>
    </row>
    <row r="91">
      <c r="A91" s="8">
        <f>'4_Cascade_Engine'!A91</f>
        <v/>
      </c>
      <c r="B91" s="8">
        <f>'4_Cascade_Engine'!B91</f>
        <v/>
      </c>
      <c r="C91" s="8">
        <f>'1_GICS_Structure'!B91</f>
        <v/>
      </c>
      <c r="D91" s="18">
        <f>'4_Cascade_Engine'!P91</f>
        <v/>
      </c>
      <c r="E91" s="18">
        <f>'4_Cascade_Engine'!Q91</f>
        <v/>
      </c>
      <c r="F91" s="18">
        <f>'4_Cascade_Engine'!T91</f>
        <v/>
      </c>
      <c r="G91" s="18">
        <f>'4_Cascade_Engine'!U91</f>
        <v/>
      </c>
    </row>
    <row r="92">
      <c r="A92" s="8">
        <f>'4_Cascade_Engine'!A92</f>
        <v/>
      </c>
      <c r="B92" s="8">
        <f>'4_Cascade_Engine'!B92</f>
        <v/>
      </c>
      <c r="C92" s="8">
        <f>'1_GICS_Structure'!B92</f>
        <v/>
      </c>
      <c r="D92" s="18">
        <f>'4_Cascade_Engine'!P92</f>
        <v/>
      </c>
      <c r="E92" s="18">
        <f>'4_Cascade_Engine'!Q92</f>
        <v/>
      </c>
      <c r="F92" s="18">
        <f>'4_Cascade_Engine'!T92</f>
        <v/>
      </c>
      <c r="G92" s="18">
        <f>'4_Cascade_Engine'!U92</f>
        <v/>
      </c>
    </row>
    <row r="93">
      <c r="A93" s="8">
        <f>'4_Cascade_Engine'!A93</f>
        <v/>
      </c>
      <c r="B93" s="8">
        <f>'4_Cascade_Engine'!B93</f>
        <v/>
      </c>
      <c r="C93" s="8">
        <f>'1_GICS_Structure'!B93</f>
        <v/>
      </c>
      <c r="D93" s="18">
        <f>'4_Cascade_Engine'!P93</f>
        <v/>
      </c>
      <c r="E93" s="18">
        <f>'4_Cascade_Engine'!Q93</f>
        <v/>
      </c>
      <c r="F93" s="18">
        <f>'4_Cascade_Engine'!T93</f>
        <v/>
      </c>
      <c r="G93" s="18">
        <f>'4_Cascade_Engine'!U93</f>
        <v/>
      </c>
    </row>
    <row r="94">
      <c r="A94" s="8">
        <f>'4_Cascade_Engine'!A94</f>
        <v/>
      </c>
      <c r="B94" s="8">
        <f>'4_Cascade_Engine'!B94</f>
        <v/>
      </c>
      <c r="C94" s="8">
        <f>'1_GICS_Structure'!B94</f>
        <v/>
      </c>
      <c r="D94" s="18">
        <f>'4_Cascade_Engine'!P94</f>
        <v/>
      </c>
      <c r="E94" s="18">
        <f>'4_Cascade_Engine'!Q94</f>
        <v/>
      </c>
      <c r="F94" s="18">
        <f>'4_Cascade_Engine'!T94</f>
        <v/>
      </c>
      <c r="G94" s="18">
        <f>'4_Cascade_Engine'!U94</f>
        <v/>
      </c>
    </row>
    <row r="95">
      <c r="A95" s="8">
        <f>'4_Cascade_Engine'!A95</f>
        <v/>
      </c>
      <c r="B95" s="8">
        <f>'4_Cascade_Engine'!B95</f>
        <v/>
      </c>
      <c r="C95" s="8">
        <f>'1_GICS_Structure'!B95</f>
        <v/>
      </c>
      <c r="D95" s="18">
        <f>'4_Cascade_Engine'!P95</f>
        <v/>
      </c>
      <c r="E95" s="18">
        <f>'4_Cascade_Engine'!Q95</f>
        <v/>
      </c>
      <c r="F95" s="18">
        <f>'4_Cascade_Engine'!T95</f>
        <v/>
      </c>
      <c r="G95" s="18">
        <f>'4_Cascade_Engine'!U95</f>
        <v/>
      </c>
    </row>
    <row r="96">
      <c r="A96" s="8">
        <f>'4_Cascade_Engine'!A96</f>
        <v/>
      </c>
      <c r="B96" s="8">
        <f>'4_Cascade_Engine'!B96</f>
        <v/>
      </c>
      <c r="C96" s="8">
        <f>'1_GICS_Structure'!B96</f>
        <v/>
      </c>
      <c r="D96" s="18">
        <f>'4_Cascade_Engine'!P96</f>
        <v/>
      </c>
      <c r="E96" s="18">
        <f>'4_Cascade_Engine'!Q96</f>
        <v/>
      </c>
      <c r="F96" s="18">
        <f>'4_Cascade_Engine'!T96</f>
        <v/>
      </c>
      <c r="G96" s="18">
        <f>'4_Cascade_Engine'!U96</f>
        <v/>
      </c>
    </row>
    <row r="97">
      <c r="A97" s="8">
        <f>'4_Cascade_Engine'!A97</f>
        <v/>
      </c>
      <c r="B97" s="8">
        <f>'4_Cascade_Engine'!B97</f>
        <v/>
      </c>
      <c r="C97" s="8">
        <f>'1_GICS_Structure'!B97</f>
        <v/>
      </c>
      <c r="D97" s="18">
        <f>'4_Cascade_Engine'!P97</f>
        <v/>
      </c>
      <c r="E97" s="18">
        <f>'4_Cascade_Engine'!Q97</f>
        <v/>
      </c>
      <c r="F97" s="18">
        <f>'4_Cascade_Engine'!T97</f>
        <v/>
      </c>
      <c r="G97" s="18">
        <f>'4_Cascade_Engine'!U97</f>
        <v/>
      </c>
    </row>
    <row r="98">
      <c r="A98" s="8">
        <f>'4_Cascade_Engine'!A98</f>
        <v/>
      </c>
      <c r="B98" s="8">
        <f>'4_Cascade_Engine'!B98</f>
        <v/>
      </c>
      <c r="C98" s="8">
        <f>'1_GICS_Structure'!B98</f>
        <v/>
      </c>
      <c r="D98" s="18">
        <f>'4_Cascade_Engine'!P98</f>
        <v/>
      </c>
      <c r="E98" s="18">
        <f>'4_Cascade_Engine'!Q98</f>
        <v/>
      </c>
      <c r="F98" s="18">
        <f>'4_Cascade_Engine'!T98</f>
        <v/>
      </c>
      <c r="G98" s="18">
        <f>'4_Cascade_Engine'!U98</f>
        <v/>
      </c>
    </row>
    <row r="99">
      <c r="A99" s="8">
        <f>'4_Cascade_Engine'!A99</f>
        <v/>
      </c>
      <c r="B99" s="8">
        <f>'4_Cascade_Engine'!B99</f>
        <v/>
      </c>
      <c r="C99" s="8">
        <f>'1_GICS_Structure'!B99</f>
        <v/>
      </c>
      <c r="D99" s="18">
        <f>'4_Cascade_Engine'!P99</f>
        <v/>
      </c>
      <c r="E99" s="18">
        <f>'4_Cascade_Engine'!Q99</f>
        <v/>
      </c>
      <c r="F99" s="18">
        <f>'4_Cascade_Engine'!T99</f>
        <v/>
      </c>
      <c r="G99" s="18">
        <f>'4_Cascade_Engine'!U99</f>
        <v/>
      </c>
    </row>
    <row r="100">
      <c r="A100" s="8">
        <f>'4_Cascade_Engine'!A100</f>
        <v/>
      </c>
      <c r="B100" s="8">
        <f>'4_Cascade_Engine'!B100</f>
        <v/>
      </c>
      <c r="C100" s="8">
        <f>'1_GICS_Structure'!B100</f>
        <v/>
      </c>
      <c r="D100" s="18">
        <f>'4_Cascade_Engine'!P100</f>
        <v/>
      </c>
      <c r="E100" s="18">
        <f>'4_Cascade_Engine'!Q100</f>
        <v/>
      </c>
      <c r="F100" s="18">
        <f>'4_Cascade_Engine'!T100</f>
        <v/>
      </c>
      <c r="G100" s="18">
        <f>'4_Cascade_Engine'!U100</f>
        <v/>
      </c>
    </row>
    <row r="101">
      <c r="A101" s="8">
        <f>'4_Cascade_Engine'!A101</f>
        <v/>
      </c>
      <c r="B101" s="8">
        <f>'4_Cascade_Engine'!B101</f>
        <v/>
      </c>
      <c r="C101" s="8">
        <f>'1_GICS_Structure'!B101</f>
        <v/>
      </c>
      <c r="D101" s="18">
        <f>'4_Cascade_Engine'!P101</f>
        <v/>
      </c>
      <c r="E101" s="18">
        <f>'4_Cascade_Engine'!Q101</f>
        <v/>
      </c>
      <c r="F101" s="18">
        <f>'4_Cascade_Engine'!T101</f>
        <v/>
      </c>
      <c r="G101" s="18">
        <f>'4_Cascade_Engine'!U101</f>
        <v/>
      </c>
    </row>
    <row r="102">
      <c r="A102" s="8">
        <f>'4_Cascade_Engine'!A102</f>
        <v/>
      </c>
      <c r="B102" s="8">
        <f>'4_Cascade_Engine'!B102</f>
        <v/>
      </c>
      <c r="C102" s="8">
        <f>'1_GICS_Structure'!B102</f>
        <v/>
      </c>
      <c r="D102" s="18">
        <f>'4_Cascade_Engine'!P102</f>
        <v/>
      </c>
      <c r="E102" s="18">
        <f>'4_Cascade_Engine'!Q102</f>
        <v/>
      </c>
      <c r="F102" s="18">
        <f>'4_Cascade_Engine'!T102</f>
        <v/>
      </c>
      <c r="G102" s="18">
        <f>'4_Cascade_Engine'!U102</f>
        <v/>
      </c>
    </row>
    <row r="103">
      <c r="A103" s="8">
        <f>'4_Cascade_Engine'!A103</f>
        <v/>
      </c>
      <c r="B103" s="8">
        <f>'4_Cascade_Engine'!B103</f>
        <v/>
      </c>
      <c r="C103" s="8">
        <f>'1_GICS_Structure'!B103</f>
        <v/>
      </c>
      <c r="D103" s="18">
        <f>'4_Cascade_Engine'!P103</f>
        <v/>
      </c>
      <c r="E103" s="18">
        <f>'4_Cascade_Engine'!Q103</f>
        <v/>
      </c>
      <c r="F103" s="18">
        <f>'4_Cascade_Engine'!T103</f>
        <v/>
      </c>
      <c r="G103" s="18">
        <f>'4_Cascade_Engine'!U103</f>
        <v/>
      </c>
    </row>
    <row r="104">
      <c r="A104" s="8">
        <f>'4_Cascade_Engine'!A104</f>
        <v/>
      </c>
      <c r="B104" s="8">
        <f>'4_Cascade_Engine'!B104</f>
        <v/>
      </c>
      <c r="C104" s="8">
        <f>'1_GICS_Structure'!B104</f>
        <v/>
      </c>
      <c r="D104" s="18">
        <f>'4_Cascade_Engine'!P104</f>
        <v/>
      </c>
      <c r="E104" s="18">
        <f>'4_Cascade_Engine'!Q104</f>
        <v/>
      </c>
      <c r="F104" s="18">
        <f>'4_Cascade_Engine'!T104</f>
        <v/>
      </c>
      <c r="G104" s="18">
        <f>'4_Cascade_Engine'!U104</f>
        <v/>
      </c>
    </row>
    <row r="105">
      <c r="A105" s="8">
        <f>'4_Cascade_Engine'!A105</f>
        <v/>
      </c>
      <c r="B105" s="8">
        <f>'4_Cascade_Engine'!B105</f>
        <v/>
      </c>
      <c r="C105" s="8">
        <f>'1_GICS_Structure'!B105</f>
        <v/>
      </c>
      <c r="D105" s="18">
        <f>'4_Cascade_Engine'!P105</f>
        <v/>
      </c>
      <c r="E105" s="18">
        <f>'4_Cascade_Engine'!Q105</f>
        <v/>
      </c>
      <c r="F105" s="18">
        <f>'4_Cascade_Engine'!T105</f>
        <v/>
      </c>
      <c r="G105" s="18">
        <f>'4_Cascade_Engine'!U105</f>
        <v/>
      </c>
    </row>
    <row r="106">
      <c r="A106" s="8">
        <f>'4_Cascade_Engine'!A106</f>
        <v/>
      </c>
      <c r="B106" s="8">
        <f>'4_Cascade_Engine'!B106</f>
        <v/>
      </c>
      <c r="C106" s="8">
        <f>'1_GICS_Structure'!B106</f>
        <v/>
      </c>
      <c r="D106" s="18">
        <f>'4_Cascade_Engine'!P106</f>
        <v/>
      </c>
      <c r="E106" s="18">
        <f>'4_Cascade_Engine'!Q106</f>
        <v/>
      </c>
      <c r="F106" s="18">
        <f>'4_Cascade_Engine'!T106</f>
        <v/>
      </c>
      <c r="G106" s="18">
        <f>'4_Cascade_Engine'!U106</f>
        <v/>
      </c>
    </row>
    <row r="107">
      <c r="A107" s="8">
        <f>'4_Cascade_Engine'!A107</f>
        <v/>
      </c>
      <c r="B107" s="8">
        <f>'4_Cascade_Engine'!B107</f>
        <v/>
      </c>
      <c r="C107" s="8">
        <f>'1_GICS_Structure'!B107</f>
        <v/>
      </c>
      <c r="D107" s="18">
        <f>'4_Cascade_Engine'!P107</f>
        <v/>
      </c>
      <c r="E107" s="18">
        <f>'4_Cascade_Engine'!Q107</f>
        <v/>
      </c>
      <c r="F107" s="18">
        <f>'4_Cascade_Engine'!T107</f>
        <v/>
      </c>
      <c r="G107" s="18">
        <f>'4_Cascade_Engine'!U107</f>
        <v/>
      </c>
    </row>
    <row r="108">
      <c r="A108" s="8">
        <f>'4_Cascade_Engine'!A108</f>
        <v/>
      </c>
      <c r="B108" s="8">
        <f>'4_Cascade_Engine'!B108</f>
        <v/>
      </c>
      <c r="C108" s="8">
        <f>'1_GICS_Structure'!B108</f>
        <v/>
      </c>
      <c r="D108" s="18">
        <f>'4_Cascade_Engine'!P108</f>
        <v/>
      </c>
      <c r="E108" s="18">
        <f>'4_Cascade_Engine'!Q108</f>
        <v/>
      </c>
      <c r="F108" s="18">
        <f>'4_Cascade_Engine'!T108</f>
        <v/>
      </c>
      <c r="G108" s="18">
        <f>'4_Cascade_Engine'!U108</f>
        <v/>
      </c>
    </row>
    <row r="109">
      <c r="A109" s="8">
        <f>'4_Cascade_Engine'!A109</f>
        <v/>
      </c>
      <c r="B109" s="8">
        <f>'4_Cascade_Engine'!B109</f>
        <v/>
      </c>
      <c r="C109" s="8">
        <f>'1_GICS_Structure'!B109</f>
        <v/>
      </c>
      <c r="D109" s="18">
        <f>'4_Cascade_Engine'!P109</f>
        <v/>
      </c>
      <c r="E109" s="18">
        <f>'4_Cascade_Engine'!Q109</f>
        <v/>
      </c>
      <c r="F109" s="18">
        <f>'4_Cascade_Engine'!T109</f>
        <v/>
      </c>
      <c r="G109" s="18">
        <f>'4_Cascade_Engine'!U109</f>
        <v/>
      </c>
    </row>
    <row r="110">
      <c r="A110" s="8">
        <f>'4_Cascade_Engine'!A110</f>
        <v/>
      </c>
      <c r="B110" s="8">
        <f>'4_Cascade_Engine'!B110</f>
        <v/>
      </c>
      <c r="C110" s="8">
        <f>'1_GICS_Structure'!B110</f>
        <v/>
      </c>
      <c r="D110" s="18">
        <f>'4_Cascade_Engine'!P110</f>
        <v/>
      </c>
      <c r="E110" s="18">
        <f>'4_Cascade_Engine'!Q110</f>
        <v/>
      </c>
      <c r="F110" s="18">
        <f>'4_Cascade_Engine'!T110</f>
        <v/>
      </c>
      <c r="G110" s="18">
        <f>'4_Cascade_Engine'!U110</f>
        <v/>
      </c>
    </row>
    <row r="111">
      <c r="A111" s="8">
        <f>'4_Cascade_Engine'!A111</f>
        <v/>
      </c>
      <c r="B111" s="8">
        <f>'4_Cascade_Engine'!B111</f>
        <v/>
      </c>
      <c r="C111" s="8">
        <f>'1_GICS_Structure'!B111</f>
        <v/>
      </c>
      <c r="D111" s="18">
        <f>'4_Cascade_Engine'!P111</f>
        <v/>
      </c>
      <c r="E111" s="18">
        <f>'4_Cascade_Engine'!Q111</f>
        <v/>
      </c>
      <c r="F111" s="18">
        <f>'4_Cascade_Engine'!T111</f>
        <v/>
      </c>
      <c r="G111" s="18">
        <f>'4_Cascade_Engine'!U111</f>
        <v/>
      </c>
    </row>
    <row r="112">
      <c r="A112" s="8">
        <f>'4_Cascade_Engine'!A112</f>
        <v/>
      </c>
      <c r="B112" s="8">
        <f>'4_Cascade_Engine'!B112</f>
        <v/>
      </c>
      <c r="C112" s="8">
        <f>'1_GICS_Structure'!B112</f>
        <v/>
      </c>
      <c r="D112" s="18">
        <f>'4_Cascade_Engine'!P112</f>
        <v/>
      </c>
      <c r="E112" s="18">
        <f>'4_Cascade_Engine'!Q112</f>
        <v/>
      </c>
      <c r="F112" s="18">
        <f>'4_Cascade_Engine'!T112</f>
        <v/>
      </c>
      <c r="G112" s="18">
        <f>'4_Cascade_Engine'!U112</f>
        <v/>
      </c>
    </row>
    <row r="113">
      <c r="A113" s="8">
        <f>'4_Cascade_Engine'!A113</f>
        <v/>
      </c>
      <c r="B113" s="8">
        <f>'4_Cascade_Engine'!B113</f>
        <v/>
      </c>
      <c r="C113" s="8">
        <f>'1_GICS_Structure'!B113</f>
        <v/>
      </c>
      <c r="D113" s="18">
        <f>'4_Cascade_Engine'!P113</f>
        <v/>
      </c>
      <c r="E113" s="18">
        <f>'4_Cascade_Engine'!Q113</f>
        <v/>
      </c>
      <c r="F113" s="18">
        <f>'4_Cascade_Engine'!T113</f>
        <v/>
      </c>
      <c r="G113" s="18">
        <f>'4_Cascade_Engine'!U113</f>
        <v/>
      </c>
    </row>
    <row r="114">
      <c r="A114" s="8">
        <f>'4_Cascade_Engine'!A114</f>
        <v/>
      </c>
      <c r="B114" s="8">
        <f>'4_Cascade_Engine'!B114</f>
        <v/>
      </c>
      <c r="C114" s="8">
        <f>'1_GICS_Structure'!B114</f>
        <v/>
      </c>
      <c r="D114" s="18">
        <f>'4_Cascade_Engine'!P114</f>
        <v/>
      </c>
      <c r="E114" s="18">
        <f>'4_Cascade_Engine'!Q114</f>
        <v/>
      </c>
      <c r="F114" s="18">
        <f>'4_Cascade_Engine'!T114</f>
        <v/>
      </c>
      <c r="G114" s="18">
        <f>'4_Cascade_Engine'!U114</f>
        <v/>
      </c>
    </row>
    <row r="115">
      <c r="A115" s="8">
        <f>'4_Cascade_Engine'!A115</f>
        <v/>
      </c>
      <c r="B115" s="8">
        <f>'4_Cascade_Engine'!B115</f>
        <v/>
      </c>
      <c r="C115" s="8">
        <f>'1_GICS_Structure'!B115</f>
        <v/>
      </c>
      <c r="D115" s="18">
        <f>'4_Cascade_Engine'!P115</f>
        <v/>
      </c>
      <c r="E115" s="18">
        <f>'4_Cascade_Engine'!Q115</f>
        <v/>
      </c>
      <c r="F115" s="18">
        <f>'4_Cascade_Engine'!T115</f>
        <v/>
      </c>
      <c r="G115" s="18">
        <f>'4_Cascade_Engine'!U115</f>
        <v/>
      </c>
    </row>
    <row r="116">
      <c r="A116" s="8">
        <f>'4_Cascade_Engine'!A116</f>
        <v/>
      </c>
      <c r="B116" s="8">
        <f>'4_Cascade_Engine'!B116</f>
        <v/>
      </c>
      <c r="C116" s="8">
        <f>'1_GICS_Structure'!B116</f>
        <v/>
      </c>
      <c r="D116" s="18">
        <f>'4_Cascade_Engine'!P116</f>
        <v/>
      </c>
      <c r="E116" s="18">
        <f>'4_Cascade_Engine'!Q116</f>
        <v/>
      </c>
      <c r="F116" s="18">
        <f>'4_Cascade_Engine'!T116</f>
        <v/>
      </c>
      <c r="G116" s="18">
        <f>'4_Cascade_Engine'!U116</f>
        <v/>
      </c>
    </row>
    <row r="117">
      <c r="A117" s="8">
        <f>'4_Cascade_Engine'!A117</f>
        <v/>
      </c>
      <c r="B117" s="8">
        <f>'4_Cascade_Engine'!B117</f>
        <v/>
      </c>
      <c r="C117" s="8">
        <f>'1_GICS_Structure'!B117</f>
        <v/>
      </c>
      <c r="D117" s="18">
        <f>'4_Cascade_Engine'!P117</f>
        <v/>
      </c>
      <c r="E117" s="18">
        <f>'4_Cascade_Engine'!Q117</f>
        <v/>
      </c>
      <c r="F117" s="18">
        <f>'4_Cascade_Engine'!T117</f>
        <v/>
      </c>
      <c r="G117" s="18">
        <f>'4_Cascade_Engine'!U117</f>
        <v/>
      </c>
    </row>
    <row r="118">
      <c r="A118" s="8">
        <f>'4_Cascade_Engine'!A118</f>
        <v/>
      </c>
      <c r="B118" s="8">
        <f>'4_Cascade_Engine'!B118</f>
        <v/>
      </c>
      <c r="C118" s="8">
        <f>'1_GICS_Structure'!B118</f>
        <v/>
      </c>
      <c r="D118" s="18">
        <f>'4_Cascade_Engine'!P118</f>
        <v/>
      </c>
      <c r="E118" s="18">
        <f>'4_Cascade_Engine'!Q118</f>
        <v/>
      </c>
      <c r="F118" s="18">
        <f>'4_Cascade_Engine'!T118</f>
        <v/>
      </c>
      <c r="G118" s="18">
        <f>'4_Cascade_Engine'!U118</f>
        <v/>
      </c>
    </row>
    <row r="119">
      <c r="A119" s="8">
        <f>'4_Cascade_Engine'!A119</f>
        <v/>
      </c>
      <c r="B119" s="8">
        <f>'4_Cascade_Engine'!B119</f>
        <v/>
      </c>
      <c r="C119" s="8">
        <f>'1_GICS_Structure'!B119</f>
        <v/>
      </c>
      <c r="D119" s="18">
        <f>'4_Cascade_Engine'!P119</f>
        <v/>
      </c>
      <c r="E119" s="18">
        <f>'4_Cascade_Engine'!Q119</f>
        <v/>
      </c>
      <c r="F119" s="18">
        <f>'4_Cascade_Engine'!T119</f>
        <v/>
      </c>
      <c r="G119" s="18">
        <f>'4_Cascade_Engine'!U119</f>
        <v/>
      </c>
    </row>
    <row r="120">
      <c r="A120" s="8">
        <f>'4_Cascade_Engine'!A120</f>
        <v/>
      </c>
      <c r="B120" s="8">
        <f>'4_Cascade_Engine'!B120</f>
        <v/>
      </c>
      <c r="C120" s="8">
        <f>'1_GICS_Structure'!B120</f>
        <v/>
      </c>
      <c r="D120" s="18">
        <f>'4_Cascade_Engine'!P120</f>
        <v/>
      </c>
      <c r="E120" s="18">
        <f>'4_Cascade_Engine'!Q120</f>
        <v/>
      </c>
      <c r="F120" s="18">
        <f>'4_Cascade_Engine'!T120</f>
        <v/>
      </c>
      <c r="G120" s="18">
        <f>'4_Cascade_Engine'!U120</f>
        <v/>
      </c>
    </row>
    <row r="121">
      <c r="A121" s="8">
        <f>'4_Cascade_Engine'!A121</f>
        <v/>
      </c>
      <c r="B121" s="8">
        <f>'4_Cascade_Engine'!B121</f>
        <v/>
      </c>
      <c r="C121" s="8">
        <f>'1_GICS_Structure'!B121</f>
        <v/>
      </c>
      <c r="D121" s="18">
        <f>'4_Cascade_Engine'!P121</f>
        <v/>
      </c>
      <c r="E121" s="18">
        <f>'4_Cascade_Engine'!Q121</f>
        <v/>
      </c>
      <c r="F121" s="18">
        <f>'4_Cascade_Engine'!T121</f>
        <v/>
      </c>
      <c r="G121" s="18">
        <f>'4_Cascade_Engine'!U121</f>
        <v/>
      </c>
    </row>
    <row r="122">
      <c r="A122" s="8">
        <f>'4_Cascade_Engine'!A122</f>
        <v/>
      </c>
      <c r="B122" s="8">
        <f>'4_Cascade_Engine'!B122</f>
        <v/>
      </c>
      <c r="C122" s="8">
        <f>'1_GICS_Structure'!B122</f>
        <v/>
      </c>
      <c r="D122" s="18">
        <f>'4_Cascade_Engine'!P122</f>
        <v/>
      </c>
      <c r="E122" s="18">
        <f>'4_Cascade_Engine'!Q122</f>
        <v/>
      </c>
      <c r="F122" s="18">
        <f>'4_Cascade_Engine'!T122</f>
        <v/>
      </c>
      <c r="G122" s="18">
        <f>'4_Cascade_Engine'!U122</f>
        <v/>
      </c>
    </row>
    <row r="123">
      <c r="A123" s="8">
        <f>'4_Cascade_Engine'!A123</f>
        <v/>
      </c>
      <c r="B123" s="8">
        <f>'4_Cascade_Engine'!B123</f>
        <v/>
      </c>
      <c r="C123" s="8">
        <f>'1_GICS_Structure'!B123</f>
        <v/>
      </c>
      <c r="D123" s="18">
        <f>'4_Cascade_Engine'!P123</f>
        <v/>
      </c>
      <c r="E123" s="18">
        <f>'4_Cascade_Engine'!Q123</f>
        <v/>
      </c>
      <c r="F123" s="18">
        <f>'4_Cascade_Engine'!T123</f>
        <v/>
      </c>
      <c r="G123" s="18">
        <f>'4_Cascade_Engine'!U123</f>
        <v/>
      </c>
    </row>
    <row r="124">
      <c r="A124" s="8">
        <f>'4_Cascade_Engine'!A124</f>
        <v/>
      </c>
      <c r="B124" s="8">
        <f>'4_Cascade_Engine'!B124</f>
        <v/>
      </c>
      <c r="C124" s="8">
        <f>'1_GICS_Structure'!B124</f>
        <v/>
      </c>
      <c r="D124" s="18">
        <f>'4_Cascade_Engine'!P124</f>
        <v/>
      </c>
      <c r="E124" s="18">
        <f>'4_Cascade_Engine'!Q124</f>
        <v/>
      </c>
      <c r="F124" s="18">
        <f>'4_Cascade_Engine'!T124</f>
        <v/>
      </c>
      <c r="G124" s="18">
        <f>'4_Cascade_Engine'!U124</f>
        <v/>
      </c>
    </row>
    <row r="125">
      <c r="A125" s="8">
        <f>'4_Cascade_Engine'!A125</f>
        <v/>
      </c>
      <c r="B125" s="8">
        <f>'4_Cascade_Engine'!B125</f>
        <v/>
      </c>
      <c r="C125" s="8">
        <f>'1_GICS_Structure'!B125</f>
        <v/>
      </c>
      <c r="D125" s="18">
        <f>'4_Cascade_Engine'!P125</f>
        <v/>
      </c>
      <c r="E125" s="18">
        <f>'4_Cascade_Engine'!Q125</f>
        <v/>
      </c>
      <c r="F125" s="18">
        <f>'4_Cascade_Engine'!T125</f>
        <v/>
      </c>
      <c r="G125" s="18">
        <f>'4_Cascade_Engine'!U125</f>
        <v/>
      </c>
    </row>
    <row r="126">
      <c r="A126" s="8">
        <f>'4_Cascade_Engine'!A126</f>
        <v/>
      </c>
      <c r="B126" s="8">
        <f>'4_Cascade_Engine'!B126</f>
        <v/>
      </c>
      <c r="C126" s="8">
        <f>'1_GICS_Structure'!B126</f>
        <v/>
      </c>
      <c r="D126" s="18">
        <f>'4_Cascade_Engine'!P126</f>
        <v/>
      </c>
      <c r="E126" s="18">
        <f>'4_Cascade_Engine'!Q126</f>
        <v/>
      </c>
      <c r="F126" s="18">
        <f>'4_Cascade_Engine'!T126</f>
        <v/>
      </c>
      <c r="G126" s="18">
        <f>'4_Cascade_Engine'!U126</f>
        <v/>
      </c>
    </row>
    <row r="127">
      <c r="A127" s="8">
        <f>'4_Cascade_Engine'!A127</f>
        <v/>
      </c>
      <c r="B127" s="8">
        <f>'4_Cascade_Engine'!B127</f>
        <v/>
      </c>
      <c r="C127" s="8">
        <f>'1_GICS_Structure'!B127</f>
        <v/>
      </c>
      <c r="D127" s="18">
        <f>'4_Cascade_Engine'!P127</f>
        <v/>
      </c>
      <c r="E127" s="18">
        <f>'4_Cascade_Engine'!Q127</f>
        <v/>
      </c>
      <c r="F127" s="18">
        <f>'4_Cascade_Engine'!T127</f>
        <v/>
      </c>
      <c r="G127" s="18">
        <f>'4_Cascade_Engine'!U127</f>
        <v/>
      </c>
    </row>
    <row r="128">
      <c r="A128" s="8">
        <f>'4_Cascade_Engine'!A128</f>
        <v/>
      </c>
      <c r="B128" s="8">
        <f>'4_Cascade_Engine'!B128</f>
        <v/>
      </c>
      <c r="C128" s="8">
        <f>'1_GICS_Structure'!B128</f>
        <v/>
      </c>
      <c r="D128" s="18">
        <f>'4_Cascade_Engine'!P128</f>
        <v/>
      </c>
      <c r="E128" s="18">
        <f>'4_Cascade_Engine'!Q128</f>
        <v/>
      </c>
      <c r="F128" s="18">
        <f>'4_Cascade_Engine'!T128</f>
        <v/>
      </c>
      <c r="G128" s="18">
        <f>'4_Cascade_Engine'!U128</f>
        <v/>
      </c>
    </row>
    <row r="129">
      <c r="A129" s="8">
        <f>'4_Cascade_Engine'!A129</f>
        <v/>
      </c>
      <c r="B129" s="8">
        <f>'4_Cascade_Engine'!B129</f>
        <v/>
      </c>
      <c r="C129" s="8">
        <f>'1_GICS_Structure'!B129</f>
        <v/>
      </c>
      <c r="D129" s="18">
        <f>'4_Cascade_Engine'!P129</f>
        <v/>
      </c>
      <c r="E129" s="18">
        <f>'4_Cascade_Engine'!Q129</f>
        <v/>
      </c>
      <c r="F129" s="18">
        <f>'4_Cascade_Engine'!T129</f>
        <v/>
      </c>
      <c r="G129" s="18">
        <f>'4_Cascade_Engine'!U129</f>
        <v/>
      </c>
    </row>
    <row r="130">
      <c r="A130" s="8">
        <f>'4_Cascade_Engine'!A130</f>
        <v/>
      </c>
      <c r="B130" s="8">
        <f>'4_Cascade_Engine'!B130</f>
        <v/>
      </c>
      <c r="C130" s="8">
        <f>'1_GICS_Structure'!B130</f>
        <v/>
      </c>
      <c r="D130" s="18">
        <f>'4_Cascade_Engine'!P130</f>
        <v/>
      </c>
      <c r="E130" s="18">
        <f>'4_Cascade_Engine'!Q130</f>
        <v/>
      </c>
      <c r="F130" s="18">
        <f>'4_Cascade_Engine'!T130</f>
        <v/>
      </c>
      <c r="G130" s="18">
        <f>'4_Cascade_Engine'!U130</f>
        <v/>
      </c>
    </row>
    <row r="131">
      <c r="A131" s="8">
        <f>'4_Cascade_Engine'!A131</f>
        <v/>
      </c>
      <c r="B131" s="8">
        <f>'4_Cascade_Engine'!B131</f>
        <v/>
      </c>
      <c r="C131" s="8">
        <f>'1_GICS_Structure'!B131</f>
        <v/>
      </c>
      <c r="D131" s="18">
        <f>'4_Cascade_Engine'!P131</f>
        <v/>
      </c>
      <c r="E131" s="18">
        <f>'4_Cascade_Engine'!Q131</f>
        <v/>
      </c>
      <c r="F131" s="18">
        <f>'4_Cascade_Engine'!T131</f>
        <v/>
      </c>
      <c r="G131" s="18">
        <f>'4_Cascade_Engine'!U131</f>
        <v/>
      </c>
    </row>
    <row r="132">
      <c r="A132" s="8">
        <f>'4_Cascade_Engine'!A132</f>
        <v/>
      </c>
      <c r="B132" s="8">
        <f>'4_Cascade_Engine'!B132</f>
        <v/>
      </c>
      <c r="C132" s="8">
        <f>'1_GICS_Structure'!B132</f>
        <v/>
      </c>
      <c r="D132" s="18">
        <f>'4_Cascade_Engine'!P132</f>
        <v/>
      </c>
      <c r="E132" s="18">
        <f>'4_Cascade_Engine'!Q132</f>
        <v/>
      </c>
      <c r="F132" s="18">
        <f>'4_Cascade_Engine'!T132</f>
        <v/>
      </c>
      <c r="G132" s="18">
        <f>'4_Cascade_Engine'!U132</f>
        <v/>
      </c>
    </row>
    <row r="133">
      <c r="A133" s="8">
        <f>'4_Cascade_Engine'!A133</f>
        <v/>
      </c>
      <c r="B133" s="8">
        <f>'4_Cascade_Engine'!B133</f>
        <v/>
      </c>
      <c r="C133" s="8">
        <f>'1_GICS_Structure'!B133</f>
        <v/>
      </c>
      <c r="D133" s="18">
        <f>'4_Cascade_Engine'!P133</f>
        <v/>
      </c>
      <c r="E133" s="18">
        <f>'4_Cascade_Engine'!Q133</f>
        <v/>
      </c>
      <c r="F133" s="18">
        <f>'4_Cascade_Engine'!T133</f>
        <v/>
      </c>
      <c r="G133" s="18">
        <f>'4_Cascade_Engine'!U133</f>
        <v/>
      </c>
    </row>
    <row r="134">
      <c r="A134" s="8">
        <f>'4_Cascade_Engine'!A134</f>
        <v/>
      </c>
      <c r="B134" s="8">
        <f>'4_Cascade_Engine'!B134</f>
        <v/>
      </c>
      <c r="C134" s="8">
        <f>'1_GICS_Structure'!B134</f>
        <v/>
      </c>
      <c r="D134" s="18">
        <f>'4_Cascade_Engine'!P134</f>
        <v/>
      </c>
      <c r="E134" s="18">
        <f>'4_Cascade_Engine'!Q134</f>
        <v/>
      </c>
      <c r="F134" s="18">
        <f>'4_Cascade_Engine'!T134</f>
        <v/>
      </c>
      <c r="G134" s="18">
        <f>'4_Cascade_Engine'!U134</f>
        <v/>
      </c>
    </row>
    <row r="135">
      <c r="A135" s="8">
        <f>'4_Cascade_Engine'!A135</f>
        <v/>
      </c>
      <c r="B135" s="8">
        <f>'4_Cascade_Engine'!B135</f>
        <v/>
      </c>
      <c r="C135" s="8">
        <f>'1_GICS_Structure'!B135</f>
        <v/>
      </c>
      <c r="D135" s="18">
        <f>'4_Cascade_Engine'!P135</f>
        <v/>
      </c>
      <c r="E135" s="18">
        <f>'4_Cascade_Engine'!Q135</f>
        <v/>
      </c>
      <c r="F135" s="18">
        <f>'4_Cascade_Engine'!T135</f>
        <v/>
      </c>
      <c r="G135" s="18">
        <f>'4_Cascade_Engine'!U135</f>
        <v/>
      </c>
    </row>
    <row r="136">
      <c r="A136" s="8">
        <f>'4_Cascade_Engine'!A136</f>
        <v/>
      </c>
      <c r="B136" s="8">
        <f>'4_Cascade_Engine'!B136</f>
        <v/>
      </c>
      <c r="C136" s="8">
        <f>'1_GICS_Structure'!B136</f>
        <v/>
      </c>
      <c r="D136" s="18">
        <f>'4_Cascade_Engine'!P136</f>
        <v/>
      </c>
      <c r="E136" s="18">
        <f>'4_Cascade_Engine'!Q136</f>
        <v/>
      </c>
      <c r="F136" s="18">
        <f>'4_Cascade_Engine'!T136</f>
        <v/>
      </c>
      <c r="G136" s="18">
        <f>'4_Cascade_Engine'!U136</f>
        <v/>
      </c>
    </row>
    <row r="137">
      <c r="A137" s="8">
        <f>'4_Cascade_Engine'!A137</f>
        <v/>
      </c>
      <c r="B137" s="8">
        <f>'4_Cascade_Engine'!B137</f>
        <v/>
      </c>
      <c r="C137" s="8">
        <f>'1_GICS_Structure'!B137</f>
        <v/>
      </c>
      <c r="D137" s="18">
        <f>'4_Cascade_Engine'!P137</f>
        <v/>
      </c>
      <c r="E137" s="18">
        <f>'4_Cascade_Engine'!Q137</f>
        <v/>
      </c>
      <c r="F137" s="18">
        <f>'4_Cascade_Engine'!T137</f>
        <v/>
      </c>
      <c r="G137" s="18">
        <f>'4_Cascade_Engine'!U137</f>
        <v/>
      </c>
    </row>
    <row r="138">
      <c r="A138" s="8">
        <f>'4_Cascade_Engine'!A138</f>
        <v/>
      </c>
      <c r="B138" s="8">
        <f>'4_Cascade_Engine'!B138</f>
        <v/>
      </c>
      <c r="C138" s="8">
        <f>'1_GICS_Structure'!B138</f>
        <v/>
      </c>
      <c r="D138" s="18">
        <f>'4_Cascade_Engine'!P138</f>
        <v/>
      </c>
      <c r="E138" s="18">
        <f>'4_Cascade_Engine'!Q138</f>
        <v/>
      </c>
      <c r="F138" s="18">
        <f>'4_Cascade_Engine'!T138</f>
        <v/>
      </c>
      <c r="G138" s="18">
        <f>'4_Cascade_Engine'!U138</f>
        <v/>
      </c>
    </row>
    <row r="139">
      <c r="A139" s="8">
        <f>'4_Cascade_Engine'!A139</f>
        <v/>
      </c>
      <c r="B139" s="8">
        <f>'4_Cascade_Engine'!B139</f>
        <v/>
      </c>
      <c r="C139" s="8">
        <f>'1_GICS_Structure'!B139</f>
        <v/>
      </c>
      <c r="D139" s="18">
        <f>'4_Cascade_Engine'!P139</f>
        <v/>
      </c>
      <c r="E139" s="18">
        <f>'4_Cascade_Engine'!Q139</f>
        <v/>
      </c>
      <c r="F139" s="18">
        <f>'4_Cascade_Engine'!T139</f>
        <v/>
      </c>
      <c r="G139" s="18">
        <f>'4_Cascade_Engine'!U139</f>
        <v/>
      </c>
    </row>
    <row r="140">
      <c r="A140" s="8">
        <f>'4_Cascade_Engine'!A140</f>
        <v/>
      </c>
      <c r="B140" s="8">
        <f>'4_Cascade_Engine'!B140</f>
        <v/>
      </c>
      <c r="C140" s="8">
        <f>'1_GICS_Structure'!B140</f>
        <v/>
      </c>
      <c r="D140" s="18">
        <f>'4_Cascade_Engine'!P140</f>
        <v/>
      </c>
      <c r="E140" s="18">
        <f>'4_Cascade_Engine'!Q140</f>
        <v/>
      </c>
      <c r="F140" s="18">
        <f>'4_Cascade_Engine'!T140</f>
        <v/>
      </c>
      <c r="G140" s="18">
        <f>'4_Cascade_Engine'!U140</f>
        <v/>
      </c>
    </row>
    <row r="141">
      <c r="A141" s="8">
        <f>'4_Cascade_Engine'!A141</f>
        <v/>
      </c>
      <c r="B141" s="8">
        <f>'4_Cascade_Engine'!B141</f>
        <v/>
      </c>
      <c r="C141" s="8">
        <f>'1_GICS_Structure'!B141</f>
        <v/>
      </c>
      <c r="D141" s="18">
        <f>'4_Cascade_Engine'!P141</f>
        <v/>
      </c>
      <c r="E141" s="18">
        <f>'4_Cascade_Engine'!Q141</f>
        <v/>
      </c>
      <c r="F141" s="18">
        <f>'4_Cascade_Engine'!T141</f>
        <v/>
      </c>
      <c r="G141" s="18">
        <f>'4_Cascade_Engine'!U141</f>
        <v/>
      </c>
    </row>
    <row r="142">
      <c r="A142" s="8">
        <f>'4_Cascade_Engine'!A142</f>
        <v/>
      </c>
      <c r="B142" s="8">
        <f>'4_Cascade_Engine'!B142</f>
        <v/>
      </c>
      <c r="C142" s="8">
        <f>'1_GICS_Structure'!B142</f>
        <v/>
      </c>
      <c r="D142" s="18">
        <f>'4_Cascade_Engine'!P142</f>
        <v/>
      </c>
      <c r="E142" s="18">
        <f>'4_Cascade_Engine'!Q142</f>
        <v/>
      </c>
      <c r="F142" s="18">
        <f>'4_Cascade_Engine'!T142</f>
        <v/>
      </c>
      <c r="G142" s="18">
        <f>'4_Cascade_Engine'!U142</f>
        <v/>
      </c>
    </row>
    <row r="143">
      <c r="A143" s="8">
        <f>'4_Cascade_Engine'!A143</f>
        <v/>
      </c>
      <c r="B143" s="8">
        <f>'4_Cascade_Engine'!B143</f>
        <v/>
      </c>
      <c r="C143" s="8">
        <f>'1_GICS_Structure'!B143</f>
        <v/>
      </c>
      <c r="D143" s="18">
        <f>'4_Cascade_Engine'!P143</f>
        <v/>
      </c>
      <c r="E143" s="18">
        <f>'4_Cascade_Engine'!Q143</f>
        <v/>
      </c>
      <c r="F143" s="18">
        <f>'4_Cascade_Engine'!T143</f>
        <v/>
      </c>
      <c r="G143" s="18">
        <f>'4_Cascade_Engine'!U143</f>
        <v/>
      </c>
    </row>
    <row r="144">
      <c r="A144" s="8">
        <f>'4_Cascade_Engine'!A144</f>
        <v/>
      </c>
      <c r="B144" s="8">
        <f>'4_Cascade_Engine'!B144</f>
        <v/>
      </c>
      <c r="C144" s="8">
        <f>'1_GICS_Structure'!B144</f>
        <v/>
      </c>
      <c r="D144" s="18">
        <f>'4_Cascade_Engine'!P144</f>
        <v/>
      </c>
      <c r="E144" s="18">
        <f>'4_Cascade_Engine'!Q144</f>
        <v/>
      </c>
      <c r="F144" s="18">
        <f>'4_Cascade_Engine'!T144</f>
        <v/>
      </c>
      <c r="G144" s="18">
        <f>'4_Cascade_Engine'!U144</f>
        <v/>
      </c>
    </row>
    <row r="145">
      <c r="A145" s="8">
        <f>'4_Cascade_Engine'!A145</f>
        <v/>
      </c>
      <c r="B145" s="8">
        <f>'4_Cascade_Engine'!B145</f>
        <v/>
      </c>
      <c r="C145" s="8">
        <f>'1_GICS_Structure'!B145</f>
        <v/>
      </c>
      <c r="D145" s="18">
        <f>'4_Cascade_Engine'!P145</f>
        <v/>
      </c>
      <c r="E145" s="18">
        <f>'4_Cascade_Engine'!Q145</f>
        <v/>
      </c>
      <c r="F145" s="18">
        <f>'4_Cascade_Engine'!T145</f>
        <v/>
      </c>
      <c r="G145" s="18">
        <f>'4_Cascade_Engine'!U145</f>
        <v/>
      </c>
    </row>
    <row r="146">
      <c r="A146" s="8">
        <f>'4_Cascade_Engine'!A146</f>
        <v/>
      </c>
      <c r="B146" s="8">
        <f>'4_Cascade_Engine'!B146</f>
        <v/>
      </c>
      <c r="C146" s="8">
        <f>'1_GICS_Structure'!B146</f>
        <v/>
      </c>
      <c r="D146" s="18">
        <f>'4_Cascade_Engine'!P146</f>
        <v/>
      </c>
      <c r="E146" s="18">
        <f>'4_Cascade_Engine'!Q146</f>
        <v/>
      </c>
      <c r="F146" s="18">
        <f>'4_Cascade_Engine'!T146</f>
        <v/>
      </c>
      <c r="G146" s="18">
        <f>'4_Cascade_Engine'!U146</f>
        <v/>
      </c>
    </row>
    <row r="147">
      <c r="A147" s="8">
        <f>'4_Cascade_Engine'!A147</f>
        <v/>
      </c>
      <c r="B147" s="8">
        <f>'4_Cascade_Engine'!B147</f>
        <v/>
      </c>
      <c r="C147" s="8">
        <f>'1_GICS_Structure'!B147</f>
        <v/>
      </c>
      <c r="D147" s="18">
        <f>'4_Cascade_Engine'!P147</f>
        <v/>
      </c>
      <c r="E147" s="18">
        <f>'4_Cascade_Engine'!Q147</f>
        <v/>
      </c>
      <c r="F147" s="18">
        <f>'4_Cascade_Engine'!T147</f>
        <v/>
      </c>
      <c r="G147" s="18">
        <f>'4_Cascade_Engine'!U147</f>
        <v/>
      </c>
    </row>
    <row r="148">
      <c r="A148" s="8">
        <f>'4_Cascade_Engine'!A148</f>
        <v/>
      </c>
      <c r="B148" s="8">
        <f>'4_Cascade_Engine'!B148</f>
        <v/>
      </c>
      <c r="C148" s="8">
        <f>'1_GICS_Structure'!B148</f>
        <v/>
      </c>
      <c r="D148" s="18">
        <f>'4_Cascade_Engine'!P148</f>
        <v/>
      </c>
      <c r="E148" s="18">
        <f>'4_Cascade_Engine'!Q148</f>
        <v/>
      </c>
      <c r="F148" s="18">
        <f>'4_Cascade_Engine'!T148</f>
        <v/>
      </c>
      <c r="G148" s="18">
        <f>'4_Cascade_Engine'!U148</f>
        <v/>
      </c>
    </row>
    <row r="149">
      <c r="A149" s="8">
        <f>'4_Cascade_Engine'!A149</f>
        <v/>
      </c>
      <c r="B149" s="8">
        <f>'4_Cascade_Engine'!B149</f>
        <v/>
      </c>
      <c r="C149" s="8">
        <f>'1_GICS_Structure'!B149</f>
        <v/>
      </c>
      <c r="D149" s="18">
        <f>'4_Cascade_Engine'!P149</f>
        <v/>
      </c>
      <c r="E149" s="18">
        <f>'4_Cascade_Engine'!Q149</f>
        <v/>
      </c>
      <c r="F149" s="18">
        <f>'4_Cascade_Engine'!T149</f>
        <v/>
      </c>
      <c r="G149" s="18">
        <f>'4_Cascade_Engine'!U149</f>
        <v/>
      </c>
    </row>
    <row r="150">
      <c r="A150" s="8">
        <f>'4_Cascade_Engine'!A150</f>
        <v/>
      </c>
      <c r="B150" s="8">
        <f>'4_Cascade_Engine'!B150</f>
        <v/>
      </c>
      <c r="C150" s="8">
        <f>'1_GICS_Structure'!B150</f>
        <v/>
      </c>
      <c r="D150" s="18">
        <f>'4_Cascade_Engine'!P150</f>
        <v/>
      </c>
      <c r="E150" s="18">
        <f>'4_Cascade_Engine'!Q150</f>
        <v/>
      </c>
      <c r="F150" s="18">
        <f>'4_Cascade_Engine'!T150</f>
        <v/>
      </c>
      <c r="G150" s="18">
        <f>'4_Cascade_Engine'!U150</f>
        <v/>
      </c>
    </row>
    <row r="151">
      <c r="A151" s="8">
        <f>'4_Cascade_Engine'!A151</f>
        <v/>
      </c>
      <c r="B151" s="8">
        <f>'4_Cascade_Engine'!B151</f>
        <v/>
      </c>
      <c r="C151" s="8">
        <f>'1_GICS_Structure'!B151</f>
        <v/>
      </c>
      <c r="D151" s="18">
        <f>'4_Cascade_Engine'!P151</f>
        <v/>
      </c>
      <c r="E151" s="18">
        <f>'4_Cascade_Engine'!Q151</f>
        <v/>
      </c>
      <c r="F151" s="18">
        <f>'4_Cascade_Engine'!T151</f>
        <v/>
      </c>
      <c r="G151" s="18">
        <f>'4_Cascade_Engine'!U151</f>
        <v/>
      </c>
    </row>
    <row r="152">
      <c r="A152" s="8">
        <f>'4_Cascade_Engine'!A152</f>
        <v/>
      </c>
      <c r="B152" s="8">
        <f>'4_Cascade_Engine'!B152</f>
        <v/>
      </c>
      <c r="C152" s="8">
        <f>'1_GICS_Structure'!B152</f>
        <v/>
      </c>
      <c r="D152" s="18">
        <f>'4_Cascade_Engine'!P152</f>
        <v/>
      </c>
      <c r="E152" s="18">
        <f>'4_Cascade_Engine'!Q152</f>
        <v/>
      </c>
      <c r="F152" s="18">
        <f>'4_Cascade_Engine'!T152</f>
        <v/>
      </c>
      <c r="G152" s="18">
        <f>'4_Cascade_Engine'!U152</f>
        <v/>
      </c>
    </row>
    <row r="153">
      <c r="A153" s="8">
        <f>'4_Cascade_Engine'!A153</f>
        <v/>
      </c>
      <c r="B153" s="8">
        <f>'4_Cascade_Engine'!B153</f>
        <v/>
      </c>
      <c r="C153" s="8">
        <f>'1_GICS_Structure'!B153</f>
        <v/>
      </c>
      <c r="D153" s="18">
        <f>'4_Cascade_Engine'!P153</f>
        <v/>
      </c>
      <c r="E153" s="18">
        <f>'4_Cascade_Engine'!Q153</f>
        <v/>
      </c>
      <c r="F153" s="18">
        <f>'4_Cascade_Engine'!T153</f>
        <v/>
      </c>
      <c r="G153" s="18">
        <f>'4_Cascade_Engine'!U153</f>
        <v/>
      </c>
    </row>
    <row r="154">
      <c r="A154" s="8">
        <f>'4_Cascade_Engine'!A154</f>
        <v/>
      </c>
      <c r="B154" s="8">
        <f>'4_Cascade_Engine'!B154</f>
        <v/>
      </c>
      <c r="C154" s="8">
        <f>'1_GICS_Structure'!B154</f>
        <v/>
      </c>
      <c r="D154" s="18">
        <f>'4_Cascade_Engine'!P154</f>
        <v/>
      </c>
      <c r="E154" s="18">
        <f>'4_Cascade_Engine'!Q154</f>
        <v/>
      </c>
      <c r="F154" s="18">
        <f>'4_Cascade_Engine'!T154</f>
        <v/>
      </c>
      <c r="G154" s="18">
        <f>'4_Cascade_Engine'!U154</f>
        <v/>
      </c>
    </row>
    <row r="155">
      <c r="A155" s="8">
        <f>'4_Cascade_Engine'!A155</f>
        <v/>
      </c>
      <c r="B155" s="8">
        <f>'4_Cascade_Engine'!B155</f>
        <v/>
      </c>
      <c r="C155" s="8">
        <f>'1_GICS_Structure'!B155</f>
        <v/>
      </c>
      <c r="D155" s="18">
        <f>'4_Cascade_Engine'!P155</f>
        <v/>
      </c>
      <c r="E155" s="18">
        <f>'4_Cascade_Engine'!Q155</f>
        <v/>
      </c>
      <c r="F155" s="18">
        <f>'4_Cascade_Engine'!T155</f>
        <v/>
      </c>
      <c r="G155" s="18">
        <f>'4_Cascade_Engine'!U155</f>
        <v/>
      </c>
    </row>
    <row r="156">
      <c r="A156" s="8">
        <f>'4_Cascade_Engine'!A156</f>
        <v/>
      </c>
      <c r="B156" s="8">
        <f>'4_Cascade_Engine'!B156</f>
        <v/>
      </c>
      <c r="C156" s="8">
        <f>'1_GICS_Structure'!B156</f>
        <v/>
      </c>
      <c r="D156" s="18">
        <f>'4_Cascade_Engine'!P156</f>
        <v/>
      </c>
      <c r="E156" s="18">
        <f>'4_Cascade_Engine'!Q156</f>
        <v/>
      </c>
      <c r="F156" s="18">
        <f>'4_Cascade_Engine'!T156</f>
        <v/>
      </c>
      <c r="G156" s="18">
        <f>'4_Cascade_Engine'!U156</f>
        <v/>
      </c>
    </row>
    <row r="157">
      <c r="A157" s="8">
        <f>'4_Cascade_Engine'!A157</f>
        <v/>
      </c>
      <c r="B157" s="8">
        <f>'4_Cascade_Engine'!B157</f>
        <v/>
      </c>
      <c r="C157" s="8">
        <f>'1_GICS_Structure'!B157</f>
        <v/>
      </c>
      <c r="D157" s="18">
        <f>'4_Cascade_Engine'!P157</f>
        <v/>
      </c>
      <c r="E157" s="18">
        <f>'4_Cascade_Engine'!Q157</f>
        <v/>
      </c>
      <c r="F157" s="18">
        <f>'4_Cascade_Engine'!T157</f>
        <v/>
      </c>
      <c r="G157" s="18">
        <f>'4_Cascade_Engine'!U157</f>
        <v/>
      </c>
    </row>
    <row r="158">
      <c r="A158" s="8">
        <f>'4_Cascade_Engine'!A158</f>
        <v/>
      </c>
      <c r="B158" s="8">
        <f>'4_Cascade_Engine'!B158</f>
        <v/>
      </c>
      <c r="C158" s="8">
        <f>'1_GICS_Structure'!B158</f>
        <v/>
      </c>
      <c r="D158" s="18">
        <f>'4_Cascade_Engine'!P158</f>
        <v/>
      </c>
      <c r="E158" s="18">
        <f>'4_Cascade_Engine'!Q158</f>
        <v/>
      </c>
      <c r="F158" s="18">
        <f>'4_Cascade_Engine'!T158</f>
        <v/>
      </c>
      <c r="G158" s="18">
        <f>'4_Cascade_Engine'!U158</f>
        <v/>
      </c>
    </row>
    <row r="159">
      <c r="A159" s="8">
        <f>'4_Cascade_Engine'!A159</f>
        <v/>
      </c>
      <c r="B159" s="8">
        <f>'4_Cascade_Engine'!B159</f>
        <v/>
      </c>
      <c r="C159" s="8">
        <f>'1_GICS_Structure'!B159</f>
        <v/>
      </c>
      <c r="D159" s="18">
        <f>'4_Cascade_Engine'!P159</f>
        <v/>
      </c>
      <c r="E159" s="18">
        <f>'4_Cascade_Engine'!Q159</f>
        <v/>
      </c>
      <c r="F159" s="18">
        <f>'4_Cascade_Engine'!T159</f>
        <v/>
      </c>
      <c r="G159" s="18">
        <f>'4_Cascade_Engine'!U159</f>
        <v/>
      </c>
    </row>
    <row r="160">
      <c r="A160" s="8">
        <f>'4_Cascade_Engine'!A160</f>
        <v/>
      </c>
      <c r="B160" s="8">
        <f>'4_Cascade_Engine'!B160</f>
        <v/>
      </c>
      <c r="C160" s="8">
        <f>'1_GICS_Structure'!B160</f>
        <v/>
      </c>
      <c r="D160" s="18">
        <f>'4_Cascade_Engine'!P160</f>
        <v/>
      </c>
      <c r="E160" s="18">
        <f>'4_Cascade_Engine'!Q160</f>
        <v/>
      </c>
      <c r="F160" s="18">
        <f>'4_Cascade_Engine'!T160</f>
        <v/>
      </c>
      <c r="G160" s="18">
        <f>'4_Cascade_Engine'!U160</f>
        <v/>
      </c>
    </row>
    <row r="161">
      <c r="A161" s="8">
        <f>'4_Cascade_Engine'!A161</f>
        <v/>
      </c>
      <c r="B161" s="8">
        <f>'4_Cascade_Engine'!B161</f>
        <v/>
      </c>
      <c r="C161" s="8">
        <f>'1_GICS_Structure'!B161</f>
        <v/>
      </c>
      <c r="D161" s="18">
        <f>'4_Cascade_Engine'!P161</f>
        <v/>
      </c>
      <c r="E161" s="18">
        <f>'4_Cascade_Engine'!Q161</f>
        <v/>
      </c>
      <c r="F161" s="18">
        <f>'4_Cascade_Engine'!T161</f>
        <v/>
      </c>
      <c r="G161" s="18">
        <f>'4_Cascade_Engine'!U161</f>
        <v/>
      </c>
    </row>
    <row r="162">
      <c r="A162" s="8">
        <f>'4_Cascade_Engine'!A162</f>
        <v/>
      </c>
      <c r="B162" s="8">
        <f>'4_Cascade_Engine'!B162</f>
        <v/>
      </c>
      <c r="C162" s="8">
        <f>'1_GICS_Structure'!B162</f>
        <v/>
      </c>
      <c r="D162" s="18">
        <f>'4_Cascade_Engine'!P162</f>
        <v/>
      </c>
      <c r="E162" s="18">
        <f>'4_Cascade_Engine'!Q162</f>
        <v/>
      </c>
      <c r="F162" s="18">
        <f>'4_Cascade_Engine'!T162</f>
        <v/>
      </c>
      <c r="G162" s="18">
        <f>'4_Cascade_Engine'!U162</f>
        <v/>
      </c>
    </row>
    <row r="163">
      <c r="A163" s="8">
        <f>'4_Cascade_Engine'!A163</f>
        <v/>
      </c>
      <c r="B163" s="8">
        <f>'4_Cascade_Engine'!B163</f>
        <v/>
      </c>
      <c r="C163" s="8">
        <f>'1_GICS_Structure'!B163</f>
        <v/>
      </c>
      <c r="D163" s="18">
        <f>'4_Cascade_Engine'!P163</f>
        <v/>
      </c>
      <c r="E163" s="18">
        <f>'4_Cascade_Engine'!Q163</f>
        <v/>
      </c>
      <c r="F163" s="18">
        <f>'4_Cascade_Engine'!T163</f>
        <v/>
      </c>
      <c r="G163" s="18">
        <f>'4_Cascade_Engine'!U163</f>
        <v/>
      </c>
    </row>
    <row r="164">
      <c r="A164" s="8">
        <f>'4_Cascade_Engine'!A164</f>
        <v/>
      </c>
      <c r="B164" s="8">
        <f>'4_Cascade_Engine'!B164</f>
        <v/>
      </c>
      <c r="C164" s="8">
        <f>'1_GICS_Structure'!B164</f>
        <v/>
      </c>
      <c r="D164" s="18">
        <f>'4_Cascade_Engine'!P164</f>
        <v/>
      </c>
      <c r="E164" s="18">
        <f>'4_Cascade_Engine'!Q164</f>
        <v/>
      </c>
      <c r="F164" s="18">
        <f>'4_Cascade_Engine'!T164</f>
        <v/>
      </c>
      <c r="G164" s="18">
        <f>'4_Cascade_Engine'!U164</f>
        <v/>
      </c>
    </row>
    <row r="165">
      <c r="A165" s="8">
        <f>'4_Cascade_Engine'!A165</f>
        <v/>
      </c>
      <c r="B165" s="8">
        <f>'4_Cascade_Engine'!B165</f>
        <v/>
      </c>
      <c r="C165" s="8">
        <f>'1_GICS_Structure'!B165</f>
        <v/>
      </c>
      <c r="D165" s="18">
        <f>'4_Cascade_Engine'!P165</f>
        <v/>
      </c>
      <c r="E165" s="18">
        <f>'4_Cascade_Engine'!Q165</f>
        <v/>
      </c>
      <c r="F165" s="18">
        <f>'4_Cascade_Engine'!T165</f>
        <v/>
      </c>
      <c r="G165" s="18">
        <f>'4_Cascade_Engine'!U165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2026-08-06T10:07:08Z</dcterms:created>
  <dcterms:modified xmlns:dcterms="http://purl.org/dc/terms/" xmlns:xsi="http://www.w3.org/2001/XMLSchema-instance" xsi:type="dcterms:W3CDTF">2026-08-06T10:18:43Z</dcterms:modified>
</cp:coreProperties>
</file>