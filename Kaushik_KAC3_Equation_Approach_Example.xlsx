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kaushik/Desktop/Claude/"/>
    </mc:Choice>
  </mc:AlternateContent>
  <xr:revisionPtr revIDLastSave="0" documentId="13_ncr:1_{9E1238BA-D091-374C-A56E-6B1095036713}" xr6:coauthVersionLast="47" xr6:coauthVersionMax="47" xr10:uidLastSave="{00000000-0000-0000-0000-000000000000}"/>
  <bookViews>
    <workbookView xWindow="0" yWindow="600" windowWidth="28800" windowHeight="17400" activeTab="7" xr2:uid="{00000000-000D-0000-FFFF-FFFF00000000}"/>
  </bookViews>
  <sheets>
    <sheet name="ReadMe" sheetId="1" r:id="rId1"/>
    <sheet name="Exposures" sheetId="2" r:id="rId2"/>
    <sheet name="Returns" sheetId="3" r:id="rId3"/>
    <sheet name="SSE_Derivation" sheetId="4" r:id="rId4"/>
    <sheet name="Elimination_Solve" sheetId="5" r:id="rId5"/>
    <sheet name="Residuals_Specific" sheetId="6" r:id="rId6"/>
    <sheet name="FactorCovariance" sheetId="7" r:id="rId7"/>
    <sheet name="PortfolioRisk" sheetId="8" r:id="rId8"/>
    <sheet name="PureFactorPortfoli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3" l="1"/>
  <c r="J2" i="3"/>
  <c r="I2" i="3"/>
  <c r="I17" i="7"/>
  <c r="C13" i="8"/>
  <c r="B13" i="8"/>
  <c r="A13" i="8"/>
  <c r="N24" i="5" a="1"/>
  <c r="P24" i="5" s="1"/>
  <c r="N24" i="5"/>
  <c r="M24" i="5"/>
  <c r="L24" i="5"/>
  <c r="K24" i="5"/>
  <c r="D24" i="5"/>
  <c r="C24" i="5"/>
  <c r="B24" i="5"/>
  <c r="N23" i="5" a="1"/>
  <c r="O23" i="5" s="1"/>
  <c r="N23" i="5"/>
  <c r="M23" i="5"/>
  <c r="L23" i="5"/>
  <c r="K23" i="5"/>
  <c r="D23" i="5"/>
  <c r="C23" i="5"/>
  <c r="B23" i="5"/>
  <c r="N22" i="5" a="1"/>
  <c r="M22" i="5"/>
  <c r="L22" i="5"/>
  <c r="K22" i="5"/>
  <c r="D22" i="5"/>
  <c r="C22" i="5"/>
  <c r="B22" i="5"/>
  <c r="N21" i="5" a="1"/>
  <c r="M21" i="5"/>
  <c r="L21" i="5"/>
  <c r="K21" i="5"/>
  <c r="D21" i="5"/>
  <c r="C21" i="5"/>
  <c r="B21" i="5"/>
  <c r="N20" i="5" a="1"/>
  <c r="N20" i="5" s="1"/>
  <c r="M20" i="5"/>
  <c r="L20" i="5"/>
  <c r="K20" i="5"/>
  <c r="D20" i="5"/>
  <c r="C20" i="5"/>
  <c r="B20" i="5"/>
  <c r="N19" i="5" a="1"/>
  <c r="N19" i="5" s="1"/>
  <c r="M19" i="5"/>
  <c r="L19" i="5"/>
  <c r="K19" i="5"/>
  <c r="D19" i="5"/>
  <c r="C19" i="5"/>
  <c r="B19" i="5"/>
  <c r="N18" i="5" a="1"/>
  <c r="P18" i="5" s="1"/>
  <c r="M18" i="5"/>
  <c r="L18" i="5"/>
  <c r="K18" i="5"/>
  <c r="D18" i="5"/>
  <c r="C18" i="5"/>
  <c r="B18" i="5"/>
  <c r="N17" i="5" a="1"/>
  <c r="P17" i="5" s="1"/>
  <c r="M17" i="5"/>
  <c r="L17" i="5"/>
  <c r="K17" i="5"/>
  <c r="D17" i="5"/>
  <c r="C17" i="5"/>
  <c r="B17" i="5"/>
  <c r="P16" i="5"/>
  <c r="O16" i="5"/>
  <c r="N16" i="5" a="1"/>
  <c r="N16" i="5" s="1"/>
  <c r="M16" i="5"/>
  <c r="L16" i="5"/>
  <c r="K16" i="5"/>
  <c r="D16" i="5"/>
  <c r="C16" i="5"/>
  <c r="B16" i="5"/>
  <c r="P15" i="5"/>
  <c r="N15" i="5" a="1"/>
  <c r="O15" i="5" s="1"/>
  <c r="M15" i="5"/>
  <c r="L15" i="5"/>
  <c r="K15" i="5"/>
  <c r="D15" i="5"/>
  <c r="C15" i="5"/>
  <c r="B15" i="5"/>
  <c r="C35" i="4"/>
  <c r="B35" i="4"/>
  <c r="A35" i="4"/>
  <c r="F31" i="4"/>
  <c r="F6" i="5" s="1"/>
  <c r="E31" i="4"/>
  <c r="E6" i="5" s="1"/>
  <c r="D31" i="4"/>
  <c r="D6" i="5" s="1"/>
  <c r="C31" i="4"/>
  <c r="C6" i="5" s="1"/>
  <c r="B31" i="4"/>
  <c r="B6" i="5" s="1"/>
  <c r="A31" i="4"/>
  <c r="A6" i="5" s="1"/>
  <c r="A10" i="4"/>
  <c r="A9" i="4"/>
  <c r="A8" i="4"/>
  <c r="A7" i="4"/>
  <c r="A6" i="4"/>
  <c r="E9" i="2"/>
  <c r="D9" i="2"/>
  <c r="C9" i="2"/>
  <c r="O19" i="5" l="1"/>
  <c r="P23" i="5"/>
  <c r="O24" i="5"/>
  <c r="N15" i="5"/>
  <c r="P19" i="5"/>
  <c r="O20" i="5"/>
  <c r="A39" i="4"/>
  <c r="P20" i="5"/>
  <c r="N18" i="5"/>
  <c r="N21" i="5"/>
  <c r="P21" i="5"/>
  <c r="A38" i="4"/>
  <c r="P22" i="5"/>
  <c r="O22" i="5"/>
  <c r="A40" i="4"/>
  <c r="O21" i="5"/>
  <c r="N22" i="5"/>
  <c r="A10" i="5"/>
  <c r="B10" i="5"/>
  <c r="F17" i="5" s="1"/>
  <c r="N17" i="5"/>
  <c r="O17" i="5"/>
  <c r="O18" i="5"/>
  <c r="E19" i="5" l="1"/>
  <c r="E23" i="5"/>
  <c r="E20" i="5"/>
  <c r="E24" i="5"/>
  <c r="D10" i="5"/>
  <c r="E15" i="5"/>
  <c r="E16" i="5"/>
  <c r="E21" i="5"/>
  <c r="F21" i="5"/>
  <c r="E22" i="5"/>
  <c r="F19" i="5"/>
  <c r="F18" i="5"/>
  <c r="F22" i="5"/>
  <c r="E10" i="5"/>
  <c r="G10" i="5" s="1"/>
  <c r="F15" i="5"/>
  <c r="G15" i="5" s="1"/>
  <c r="F23" i="5"/>
  <c r="F24" i="5"/>
  <c r="C10" i="5"/>
  <c r="F16" i="5"/>
  <c r="E17" i="5"/>
  <c r="F20" i="5"/>
  <c r="E18" i="5"/>
  <c r="F10" i="5"/>
  <c r="H10" i="5" s="1"/>
  <c r="C8" i="9" s="1"/>
  <c r="B8" i="9" l="1"/>
  <c r="A8" i="9"/>
  <c r="G20" i="5"/>
  <c r="H20" i="5" s="1"/>
  <c r="C25" i="9" s="1"/>
  <c r="G18" i="5"/>
  <c r="H18" i="5" s="1"/>
  <c r="C23" i="9" s="1"/>
  <c r="G16" i="5"/>
  <c r="H16" i="5" s="1"/>
  <c r="C21" i="9" s="1"/>
  <c r="I20" i="5"/>
  <c r="J20" i="5" s="1"/>
  <c r="I22" i="5"/>
  <c r="J22" i="5" s="1"/>
  <c r="H15" i="5"/>
  <c r="I15" i="5" s="1"/>
  <c r="G22" i="5"/>
  <c r="H22" i="5" s="1"/>
  <c r="C27" i="9" s="1"/>
  <c r="G19" i="5"/>
  <c r="H19" i="5" s="1"/>
  <c r="C24" i="9" s="1"/>
  <c r="G24" i="5"/>
  <c r="H24" i="5" s="1"/>
  <c r="C29" i="9" s="1"/>
  <c r="G21" i="5"/>
  <c r="H21" i="5" s="1"/>
  <c r="C26" i="9" s="1"/>
  <c r="G23" i="5"/>
  <c r="H23" i="5" s="1"/>
  <c r="C28" i="9" s="1"/>
  <c r="I21" i="5"/>
  <c r="J21" i="5" s="1"/>
  <c r="G17" i="5"/>
  <c r="H17" i="5" s="1"/>
  <c r="C22" i="9" s="1"/>
  <c r="I24" i="5" l="1"/>
  <c r="J24" i="5" s="1"/>
  <c r="E15" i="6"/>
  <c r="E28" i="6" s="1"/>
  <c r="B15" i="6"/>
  <c r="B28" i="6" s="1"/>
  <c r="D15" i="6"/>
  <c r="D28" i="6" s="1"/>
  <c r="Q24" i="5"/>
  <c r="C15" i="6"/>
  <c r="C28" i="6" s="1"/>
  <c r="F15" i="6"/>
  <c r="F28" i="6" s="1"/>
  <c r="I17" i="5"/>
  <c r="J17" i="5" s="1"/>
  <c r="D12" i="6"/>
  <c r="D25" i="6" s="1"/>
  <c r="C12" i="6"/>
  <c r="C25" i="6" s="1"/>
  <c r="B12" i="6"/>
  <c r="B25" i="6" s="1"/>
  <c r="Q21" i="5"/>
  <c r="F12" i="6"/>
  <c r="F25" i="6" s="1"/>
  <c r="E12" i="6"/>
  <c r="E25" i="6" s="1"/>
  <c r="B12" i="9"/>
  <c r="B16" i="9"/>
  <c r="B15" i="9"/>
  <c r="B14" i="9"/>
  <c r="B13" i="9"/>
  <c r="E13" i="6"/>
  <c r="E26" i="6" s="1"/>
  <c r="D13" i="6"/>
  <c r="D26" i="6" s="1"/>
  <c r="F13" i="6"/>
  <c r="F26" i="6" s="1"/>
  <c r="Q22" i="5"/>
  <c r="C13" i="6"/>
  <c r="C26" i="6" s="1"/>
  <c r="B13" i="6"/>
  <c r="B26" i="6" s="1"/>
  <c r="F11" i="6"/>
  <c r="F24" i="6" s="1"/>
  <c r="E11" i="6"/>
  <c r="E24" i="6" s="1"/>
  <c r="D11" i="6"/>
  <c r="D24" i="6" s="1"/>
  <c r="Q20" i="5"/>
  <c r="C11" i="6"/>
  <c r="C24" i="6" s="1"/>
  <c r="B11" i="6"/>
  <c r="B24" i="6" s="1"/>
  <c r="J15" i="5"/>
  <c r="I18" i="5"/>
  <c r="J18" i="5" s="1"/>
  <c r="C20" i="9"/>
  <c r="D9" i="7"/>
  <c r="D14" i="7"/>
  <c r="I23" i="5"/>
  <c r="J23" i="5" s="1"/>
  <c r="I19" i="5"/>
  <c r="J19" i="5" s="1"/>
  <c r="I16" i="5"/>
  <c r="J16" i="5" s="1"/>
  <c r="E7" i="6" l="1"/>
  <c r="E20" i="6" s="1"/>
  <c r="B7" i="6"/>
  <c r="B20" i="6" s="1"/>
  <c r="D7" i="6"/>
  <c r="D20" i="6" s="1"/>
  <c r="Q16" i="5"/>
  <c r="C7" i="6"/>
  <c r="C20" i="6" s="1"/>
  <c r="F7" i="6"/>
  <c r="F20" i="6" s="1"/>
  <c r="F10" i="6"/>
  <c r="F23" i="6" s="1"/>
  <c r="D10" i="6"/>
  <c r="D23" i="6" s="1"/>
  <c r="C10" i="6"/>
  <c r="C23" i="6" s="1"/>
  <c r="E10" i="6"/>
  <c r="E23" i="6" s="1"/>
  <c r="B10" i="6"/>
  <c r="B23" i="6" s="1"/>
  <c r="Q19" i="5"/>
  <c r="D13" i="7"/>
  <c r="Q17" i="5"/>
  <c r="F8" i="6"/>
  <c r="F21" i="6" s="1"/>
  <c r="E8" i="6"/>
  <c r="E21" i="6" s="1"/>
  <c r="D8" i="6"/>
  <c r="D21" i="6" s="1"/>
  <c r="C8" i="6"/>
  <c r="C21" i="6" s="1"/>
  <c r="B8" i="6"/>
  <c r="B21" i="6" s="1"/>
  <c r="B9" i="7"/>
  <c r="B32" i="9"/>
  <c r="C18" i="7"/>
  <c r="C12" i="7"/>
  <c r="D7" i="7"/>
  <c r="B6" i="6"/>
  <c r="B19" i="6" s="1"/>
  <c r="B12" i="7"/>
  <c r="C7" i="7"/>
  <c r="B7" i="7"/>
  <c r="Q15" i="5"/>
  <c r="F6" i="6"/>
  <c r="F19" i="6" s="1"/>
  <c r="E6" i="6"/>
  <c r="E19" i="6" s="1"/>
  <c r="D12" i="7"/>
  <c r="D6" i="6"/>
  <c r="D19" i="6" s="1"/>
  <c r="C6" i="6"/>
  <c r="C19" i="6" s="1"/>
  <c r="C13" i="7"/>
  <c r="B14" i="6"/>
  <c r="B27" i="6" s="1"/>
  <c r="Q23" i="5"/>
  <c r="F14" i="6"/>
  <c r="F27" i="6" s="1"/>
  <c r="E14" i="6"/>
  <c r="E27" i="6" s="1"/>
  <c r="D14" i="6"/>
  <c r="D27" i="6" s="1"/>
  <c r="C14" i="6"/>
  <c r="C27" i="6" s="1"/>
  <c r="C9" i="7"/>
  <c r="B14" i="7"/>
  <c r="C14" i="7"/>
  <c r="B13" i="7"/>
  <c r="C9" i="6"/>
  <c r="C22" i="6" s="1"/>
  <c r="B9" i="6"/>
  <c r="B22" i="6" s="1"/>
  <c r="F9" i="6"/>
  <c r="F22" i="6" s="1"/>
  <c r="E9" i="6"/>
  <c r="E22" i="6" s="1"/>
  <c r="Q18" i="5"/>
  <c r="D9" i="6"/>
  <c r="D22" i="6" s="1"/>
  <c r="B29" i="9"/>
  <c r="D29" i="9" s="1"/>
  <c r="B21" i="9"/>
  <c r="D21" i="9" s="1"/>
  <c r="B26" i="9"/>
  <c r="D26" i="9" s="1"/>
  <c r="B23" i="9"/>
  <c r="D23" i="9" s="1"/>
  <c r="B28" i="9"/>
  <c r="D28" i="9" s="1"/>
  <c r="B20" i="9"/>
  <c r="D20" i="9" s="1"/>
  <c r="B25" i="9"/>
  <c r="D25" i="9" s="1"/>
  <c r="B22" i="9"/>
  <c r="D22" i="9" s="1"/>
  <c r="B27" i="9"/>
  <c r="D27" i="9" s="1"/>
  <c r="B24" i="9"/>
  <c r="D24" i="9" s="1"/>
  <c r="B8" i="7"/>
  <c r="C8" i="7"/>
  <c r="B18" i="7" s="1"/>
  <c r="D8" i="7"/>
  <c r="E32" i="6" l="1"/>
  <c r="E33" i="6" s="1"/>
  <c r="B35" i="9"/>
  <c r="A18" i="7"/>
  <c r="A17" i="8"/>
  <c r="C32" i="6"/>
  <c r="C33" i="6" s="1"/>
  <c r="F32" i="6"/>
  <c r="F33" i="6" s="1"/>
  <c r="D32" i="6"/>
  <c r="D33" i="6" s="1"/>
  <c r="B32" i="6"/>
  <c r="A20" i="8" l="1"/>
  <c r="B33" i="6"/>
  <c r="B33" i="9"/>
  <c r="B34" i="9" s="1"/>
  <c r="B36" i="9" s="1"/>
  <c r="C36" i="9" s="1"/>
  <c r="B23" i="8" l="1"/>
  <c r="B25" i="8" l="1"/>
  <c r="B24" i="8"/>
  <c r="B26" i="8"/>
  <c r="B27" i="8"/>
</calcChain>
</file>

<file path=xl/sharedStrings.xml><?xml version="1.0" encoding="utf-8"?>
<sst xmlns="http://schemas.openxmlformats.org/spreadsheetml/2006/main" count="237" uniqueCount="189">
  <si>
    <t>Kaushik's KAC3 Model -- The Equation Approach (5-Stock Example)</t>
  </si>
  <si>
    <t>PURPOSE</t>
  </si>
  <si>
    <t>This workbook uses the EXACT SAME 5-stock, 10-week dataset as the Feynman-style PDF</t>
  </si>
  <si>
    <t>(Kaushik_KAC3_Model_Explained_Simply.pdf) -- same exposures, same true (hidden) factor</t>
  </si>
  <si>
    <t>returns, same simulated noise, same stock returns -- but solves the cross-sectional</t>
  </si>
  <si>
    <t>regression a completely different way.</t>
  </si>
  <si>
    <t>THE MATRIX APPROACH (used in the main KAC3 workbook)</t>
  </si>
  <si>
    <t>f_hat = (X'X)^-1 X' r  -- computed in one shot with MMULT and MINVERSE. Fast, but it</t>
  </si>
  <si>
    <t>hides exactly HOW the estimate is derived inside two matrix black boxes.</t>
  </si>
  <si>
    <t>THE EQUATION APPROACH (this workbook)</t>
  </si>
  <si>
    <t>1. Write the regression as 5 literal equations (one per stock): r_i = f1.X_i1 + f2.X_i2</t>
  </si>
  <si>
    <t xml:space="preserve">   + f3.X_i3 + e_i, with f1 (Market), f2 (Value), f3 (Momentum) as UNKNOWNS.</t>
  </si>
  <si>
    <t>2. Define the Sum of Squared Errors:  SSE = sum over i of e_i^2.</t>
  </si>
  <si>
    <t>3. Differentiate SSE with respect to each unknown (df1, df2, df3) and set each</t>
  </si>
  <si>
    <t xml:space="preserve">   derivative to zero -- this is exactly what OLS means: choose f1,f2,f3 to minimize SSE.</t>
  </si>
  <si>
    <t>4. The three zero-derivative conditions ARE the three 'Normal Equations' -- three linear</t>
  </si>
  <si>
    <t xml:space="preserve">   equations in three unknowns, with coefficients built from SUMPRODUCT (term-by-term</t>
  </si>
  <si>
    <t xml:space="preserve">   sums), never MMULT.</t>
  </si>
  <si>
    <t>5. Solve those three equations by Gaussian elimination -- multiply, subtract, back-</t>
  </si>
  <si>
    <t xml:space="preserve">   substitute -- exactly as you would on paper. No MINVERSE anywhere.</t>
  </si>
  <si>
    <t>6. Even the 'pure factor portfolio' weights (Section on the PureFactorPortfolio tab) are</t>
  </si>
  <si>
    <t xml:space="preserve">   derived by unwinding the elimination arithmetic back in terms of the original stock</t>
  </si>
  <si>
    <t xml:space="preserve">   returns -- not by the matrix formula X(X'X)^-1.</t>
  </si>
  <si>
    <t>Every number in this workbook has been cross-checked against the matrix approach and</t>
  </si>
  <si>
    <t>matches to floating-point precision (see the 'Match?' columns) -- the two methods are</t>
  </si>
  <si>
    <t>mathematically identical, this workbook just makes every algebraic step visible.</t>
  </si>
  <si>
    <t>TABS (in order)</t>
  </si>
  <si>
    <t>1. Exposures            The 5-stock x 3-factor exposure table (Market/Value/Momentum).</t>
  </si>
  <si>
    <t>2. Returns               10 weeks of stock returns, plus the hidden 'true' factor returns</t>
  </si>
  <si>
    <t xml:space="preserve">                         used to simulate them (for later comparison only).</t>
  </si>
  <si>
    <t>3. SSE_Derivation        The textbook derivation, worked in full for Week 1: the 5</t>
  </si>
  <si>
    <t xml:space="preserve">                         equations, SSE, the 3 partial derivatives, the Normal Equations.</t>
  </si>
  <si>
    <t>4. Elimination_Solve     The Normal Equation coefficients (fixed, from Exposures only),</t>
  </si>
  <si>
    <t xml:space="preserve">                         the elimination constants, and all 10 weeks solved for f1,f2,f3.</t>
  </si>
  <si>
    <t>5. Residuals_Specific    Fitted returns, residuals, and specific variance per stock.</t>
  </si>
  <si>
    <t>6. FactorCovariance      Covariance &amp; correlation of the 10 weeks of estimated factors.</t>
  </si>
  <si>
    <t>7. PortfolioRisk         A 40/35/25 (B/C/D) portfolio's risk, factor variance expanded</t>
  </si>
  <si>
    <t xml:space="preserve">                         term-by-term (not MMULT).</t>
  </si>
  <si>
    <t>8. PureFactorPortfolio   The Momentum pure-factor-portfolio weights, derived purely from</t>
  </si>
  <si>
    <t xml:space="preserve">                         elimination constants, plus the finite-sample double-counting demo.</t>
  </si>
  <si>
    <t>COLOR KEY</t>
  </si>
  <si>
    <t>Blue text  = hardcoded input (raw data)</t>
  </si>
  <si>
    <t>Black text = live formula, linked back to inputs</t>
  </si>
  <si>
    <t>Exposures (X) -- identical to the PDF's 5-stock example</t>
  </si>
  <si>
    <t>Stock</t>
  </si>
  <si>
    <t>Character</t>
  </si>
  <si>
    <t>Market (X1)</t>
  </si>
  <si>
    <t>Value (X2)</t>
  </si>
  <si>
    <t>Momentum (X3)</t>
  </si>
  <si>
    <t>Stock A</t>
  </si>
  <si>
    <t>Big Steady Co.</t>
  </si>
  <si>
    <t>Stock B</t>
  </si>
  <si>
    <t>Cheap Value Co.</t>
  </si>
  <si>
    <t>Stock C</t>
  </si>
  <si>
    <t>Hot Momentum Co.</t>
  </si>
  <si>
    <t>Stock D</t>
  </si>
  <si>
    <t>Unloved Co.</t>
  </si>
  <si>
    <t>Stock E</t>
  </si>
  <si>
    <t>Middling Co.</t>
  </si>
  <si>
    <t>Check: column sums (Value &amp; Momentum should be 0 -- style-neutral market)</t>
  </si>
  <si>
    <t>10 Weeks of Stock Returns (weekly %)</t>
  </si>
  <si>
    <t>Week</t>
  </si>
  <si>
    <t>True Market</t>
  </si>
  <si>
    <t>True Value</t>
  </si>
  <si>
    <t>True Momentum</t>
  </si>
  <si>
    <t>Columns I:K are the HIDDEN true factor returns used to simulate the data above -- the model never sees these; they're shown only so we can check how well our elimination-based estimate recovers them (SSE_Derivation / Elimination_Solve tabs).</t>
  </si>
  <si>
    <t>The Equation Approach, Worked in Full for Week 1</t>
  </si>
  <si>
    <t>Step 1: Write the regression as 5 literal equations (one per stock)</t>
  </si>
  <si>
    <t>Each stock's return is the (unknown) factor returns times that stock's own exposures, plus a leftover error term:</t>
  </si>
  <si>
    <t>Step 2: Define the Sum of Squared Errors (SSE)</t>
  </si>
  <si>
    <t>SSE(f1,f2,f3)  =  e_A^2 + e_B^2 + e_C^2 + e_D^2 + e_E^2</t>
  </si>
  <si>
    <t xml:space="preserve">             =  sum over all 5 stocks of  ( r_i  -  f1.X_i1  -  f2.X_i2  -  f3.X_i3 )^2</t>
  </si>
  <si>
    <t>Step 3: Differentiate SSE with respect to each unknown, set to zero</t>
  </si>
  <si>
    <t>Minimizing SSE means its slope with respect to each unknown must be flat (zero) at the minimum -- exactly like finding the bottom of a valley by looking for where the ground stops sloping. Differentiating the squared-error sum (chain rule) gives:</t>
  </si>
  <si>
    <t>dSSE/df1  =  -2 x sum[ X_i1 x (r_i - f1.X_i1 - f2.X_i2 - f3.X_i3) ]  =  0</t>
  </si>
  <si>
    <t>dSSE/df2  =  -2 x sum[ X_i2 x (r_i - f1.X_i1 - f2.X_i2 - f3.X_i3) ]  =  0</t>
  </si>
  <si>
    <t>dSSE/df3  =  -2 x sum[ X_i3 x (r_i - f1.X_i1 - f2.X_i2 - f3.X_i3) ]  =  0</t>
  </si>
  <si>
    <t>Step 4: Expand -- these ARE the three Normal Equations</t>
  </si>
  <si>
    <t>Dropping the -2 (it doesn't affect where the equation is zero) and expanding the multiplication term by term gives three plain linear equations in f1, f2, f3:</t>
  </si>
  <si>
    <t>f1.sum(X_i1^2)      + f2.sum(X_i1.X_i2) + f3.sum(X_i1.X_i3)  =  sum(X_i1.r_i)     [Eq. 1]</t>
  </si>
  <si>
    <t>f1.sum(X_i2.X_i1) + f2.sum(X_i2^2)      + f3.sum(X_i2.X_i3)  =  sum(X_i2.r_i)     [Eq. 2]</t>
  </si>
  <si>
    <t>f1.sum(X_i3.X_i1) + f2.sum(X_i3.X_i2) + f3.sum(X_i3^2)      =  sum(X_i3.r_i)     [Eq. 3]</t>
  </si>
  <si>
    <t>Step 5: Compute the real numbers -- coefficients (from Exposures only, never change)</t>
  </si>
  <si>
    <t>These six sums only involve the exposures (X), never the returns -- so they're computed ONCE and reused for every single week. Built with SUMPRODUCT, i.e. multiply term-by-term and add up -- never a matrix function.</t>
  </si>
  <si>
    <t>a11 = sum(X_i1^2)</t>
  </si>
  <si>
    <t>a12 = sum(X_i1.X_i2)</t>
  </si>
  <si>
    <t>a13 = sum(X_i1.X_i3)</t>
  </si>
  <si>
    <t>a22 = sum(X_i2^2)</t>
  </si>
  <si>
    <t>a23 = sum(X_i2.X_i3)</t>
  </si>
  <si>
    <t>a33 = sum(X_i3^2)</t>
  </si>
  <si>
    <t>Step 6: Compute the real numbers -- right-hand sides for Week 1 (these DO depend on returns)</t>
  </si>
  <si>
    <t>b1 = sum(X_i1.r_i)</t>
  </si>
  <si>
    <t>b2 = sum(X_i2.r_i)</t>
  </si>
  <si>
    <t>b3 = sum(X_i3.r_i)</t>
  </si>
  <si>
    <t>So, plugging real numbers into the three Normal Equations for Week 1:</t>
  </si>
  <si>
    <t>Notice a12 and a13 are exactly zero -- a direct consequence of Value and Momentum exposures summing to zero across the universe (Exposures tab check row). That means Equation 1 is ALREADY just '5.f1 = b1', i.e. f1 = b1/5 -- the plain average return. See this fall straight out of Gaussian elimination on the Elimination_Solve tab.</t>
  </si>
  <si>
    <t>Solving the Normal Equations by Gaussian Elimination (all 10 weeks)</t>
  </si>
  <si>
    <t>Fixed Normal-Equation Coefficients (same reference as SSE_Derivation, computed once)</t>
  </si>
  <si>
    <t>a11</t>
  </si>
  <si>
    <t>a12</t>
  </si>
  <si>
    <t>a13</t>
  </si>
  <si>
    <t>a22</t>
  </si>
  <si>
    <t>a23</t>
  </si>
  <si>
    <t>a33</t>
  </si>
  <si>
    <t>Elimination Constants (derived once from the coefficients above)</t>
  </si>
  <si>
    <t>m21=a12/a11</t>
  </si>
  <si>
    <t>m31=a13/a11</t>
  </si>
  <si>
    <t>a22'=a22-m21.a12</t>
  </si>
  <si>
    <t>a23'=a23-m21.a13</t>
  </si>
  <si>
    <t>p2=a23-m31.a12</t>
  </si>
  <si>
    <t>p3=a33-m31.a13</t>
  </si>
  <si>
    <t>m32=p2/a22'</t>
  </si>
  <si>
    <t>q3=p3-m32.a23'</t>
  </si>
  <si>
    <t>These 8 numbers (m21, m31, a22', a23', p2, p3, m32, q3) are FIXED -- they depend only on the exposures, never on the returns. Every week below reuses the exact same 8 numbers, applying them only to that week's own b1, b2, b3.</t>
  </si>
  <si>
    <t>Per-Week Elimination (b's change every week; a's and elimination constants are fixed)</t>
  </si>
  <si>
    <t>b1</t>
  </si>
  <si>
    <t>b2</t>
  </si>
  <si>
    <t>b3</t>
  </si>
  <si>
    <t>b2'=b2-m21.b1</t>
  </si>
  <si>
    <t>c3=b3-m31.b1</t>
  </si>
  <si>
    <t>d3=c3-m32.b2'</t>
  </si>
  <si>
    <t>f3=d3/q3</t>
  </si>
  <si>
    <t>f2=(b2'-a23'.f3)/a22'</t>
  </si>
  <si>
    <t>f1=(b1-a12.f2-a13.f3)/a11</t>
  </si>
  <si>
    <t>True Mkt</t>
  </si>
  <si>
    <t>True Val</t>
  </si>
  <si>
    <t>True Mom</t>
  </si>
  <si>
    <t>Matrix f1 (check)</t>
  </si>
  <si>
    <t>Matrix f2 (check)</t>
  </si>
  <si>
    <t>Matrix f3 (check)</t>
  </si>
  <si>
    <t>Match?</t>
  </si>
  <si>
    <t>Columns N:P use MMULT/MINVERSE purely as an independent cross-check that the elimination method (columns H:J) gives the identical answer -- they are NOT part of the equation-based derivation itself.</t>
  </si>
  <si>
    <t>Fitted Returns, Residuals, and Specific Variance</t>
  </si>
  <si>
    <t>Fitted return_i,t = f1_t.X_i1 + f2_t.X_i2 + f3_t.X_i3  (plain arithmetic, no matrix)</t>
  </si>
  <si>
    <t>Fitted A</t>
  </si>
  <si>
    <t>Fitted B</t>
  </si>
  <si>
    <t>Fitted C</t>
  </si>
  <si>
    <t>Fitted D</t>
  </si>
  <si>
    <t>Fitted E</t>
  </si>
  <si>
    <t>Residual_i,t = actual - fitted</t>
  </si>
  <si>
    <t>Resid A</t>
  </si>
  <si>
    <t>Resid B</t>
  </si>
  <si>
    <t>Resid C</t>
  </si>
  <si>
    <t>Resid D</t>
  </si>
  <si>
    <t>Resid E</t>
  </si>
  <si>
    <t>Specific variance &amp; volatility per stock (VAR.S / SQRT over the 10 weekly residuals)</t>
  </si>
  <si>
    <t>A</t>
  </si>
  <si>
    <t>B</t>
  </si>
  <si>
    <t>C</t>
  </si>
  <si>
    <t>D</t>
  </si>
  <si>
    <t>E</t>
  </si>
  <si>
    <t>Specific variance (%^2)</t>
  </si>
  <si>
    <t>Specific volatility (%)</t>
  </si>
  <si>
    <t>Covariance &amp; Correlation of the 10 Weeks of Estimated Factor Returns</t>
  </si>
  <si>
    <t>Factor return columns used: Elimination_Solve!H (Momentum), I (Value), J (Market)</t>
  </si>
  <si>
    <t>Covariance</t>
  </si>
  <si>
    <t>Market</t>
  </si>
  <si>
    <t>Value</t>
  </si>
  <si>
    <t>Momentum</t>
  </si>
  <si>
    <t>Correlation</t>
  </si>
  <si>
    <t>Weekly Volatility (sqrt of the diagonal above)</t>
  </si>
  <si>
    <t>Portfolio Risk: 40% B / 35% C / 25% D (0% A, 0% E)</t>
  </si>
  <si>
    <t>Weight</t>
  </si>
  <si>
    <t>Portfolio exposure (weighted sum of held stocks' exposures -- plain SUMPRODUCT)</t>
  </si>
  <si>
    <t>Factor variance -- the quadratic form w'Fw EXPANDED term by term (not MMULT)</t>
  </si>
  <si>
    <t>Var(factor) = Xm^2.Fmm + Xv^2.Fvv + Xo^2.Foo + 2.Xm.Xv.Fmv + 2.Xm.Xo.Fmo + 2.Xv.Xo.Fvo</t>
  </si>
  <si>
    <t>Specific variance = sum(weight_i^2 x specific_var_i)</t>
  </si>
  <si>
    <t>Total variance, volatility, and risk split</t>
  </si>
  <si>
    <t>Total weekly variance</t>
  </si>
  <si>
    <t>Weekly volatility</t>
  </si>
  <si>
    <t>Annualized volatility (x52)</t>
  </si>
  <si>
    <t>Factor risk % of total</t>
  </si>
  <si>
    <t>Specific risk % of total</t>
  </si>
  <si>
    <t>The Pure Momentum Portfolio, Derived by Unwinding the Elimination</t>
  </si>
  <si>
    <t>f3 (Momentum) = [b1.(m32.m21 - m31) - m32.b2 + b3] / q3, and each b_k is itself just sum(X_ik . r_i). Substituting that in and collecting the coefficient on each stock's own return r_i gives the 'pure Momentum portfolio weight' for that stock -- no separate matrix formula needed, it falls straight out of the elimination algebra.</t>
  </si>
  <si>
    <t>Unwound coefficients (fixed, from the elimination constants only)</t>
  </si>
  <si>
    <t>coef1 = (m32.m21-m31)/q3</t>
  </si>
  <si>
    <t>coef2 = -m32/q3</t>
  </si>
  <si>
    <t>coef3 = 1/q3</t>
  </si>
  <si>
    <t>Pure Momentum weight per stock: w_i = coef1.X_i1 + coef2.X_i2 + coef3.X_i3</t>
  </si>
  <si>
    <t>Proof this is exactly right: SUMPRODUCT(weights, week-t returns) should equal f3 for every week</t>
  </si>
  <si>
    <t>Weights x Returns</t>
  </si>
  <si>
    <t>f3 from Elimination_Solve</t>
  </si>
  <si>
    <t>Finite-Sample Double-Counting Demo (this pure Momentum portfolio)</t>
  </si>
  <si>
    <t>F_hat(Momentum,Momentum) -- variance of this portfolio's own return series (=FactorCovariance)</t>
  </si>
  <si>
    <t>Naive specific-risk add-on = sum(weight_i^2 x specific_var_i)</t>
  </si>
  <si>
    <t>Naive total variance = F_hat + naive add-on</t>
  </si>
  <si>
    <t>True total variance (same as F_hat -- it's the identical return series)</t>
  </si>
  <si>
    <t>Overstatement (absolute /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</si>
</sst>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1F4E78"/>
      <name val="Calibri"/>
      <family val="2"/>
    </font>
    <font>
      <sz val="9.5"/>
      <name val="Calibri"/>
      <family val="2"/>
    </font>
    <font>
      <b/>
      <sz val="9"/>
      <color rgb="FFFFFFFF"/>
      <name val="Calibri"/>
      <family val="2"/>
    </font>
    <font>
      <sz val="11"/>
      <color rgb="FF0000CC"/>
      <name val="Calibri"/>
      <family val="2"/>
    </font>
    <font>
      <i/>
      <sz val="9"/>
      <color rgb="FF666666"/>
      <name val="Calibri"/>
      <family val="2"/>
    </font>
    <font>
      <sz val="9.5"/>
      <name val="Consolas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2" fontId="5" fillId="0" borderId="0" xfId="0" applyNumberFormat="1" applyFont="1"/>
    <xf numFmtId="0" fontId="6" fillId="0" borderId="0" xfId="0" applyFont="1"/>
    <xf numFmtId="2" fontId="0" fillId="0" borderId="0" xfId="0" applyNumberFormat="1"/>
    <xf numFmtId="164" fontId="5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/>
    <xf numFmtId="165" fontId="0" fillId="0" borderId="0" xfId="0" applyNumberFormat="1"/>
    <xf numFmtId="165" fontId="6" fillId="0" borderId="0" xfId="0" applyNumberFormat="1" applyFont="1"/>
    <xf numFmtId="0" fontId="8" fillId="0" borderId="0" xfId="0" applyFont="1"/>
    <xf numFmtId="166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opLeftCell="A18" workbookViewId="0"/>
  </sheetViews>
  <sheetFormatPr baseColWidth="10" defaultColWidth="8.83203125" defaultRowHeight="15" x14ac:dyDescent="0.2"/>
  <cols>
    <col min="1" max="1" width="100" customWidth="1"/>
  </cols>
  <sheetData>
    <row r="1" spans="1:8" ht="19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ht="16" x14ac:dyDescent="0.2">
      <c r="A3" s="3" t="s">
        <v>1</v>
      </c>
    </row>
    <row r="4" spans="1:8" x14ac:dyDescent="0.2">
      <c r="A4" s="4" t="s">
        <v>2</v>
      </c>
    </row>
    <row r="5" spans="1:8" x14ac:dyDescent="0.2">
      <c r="A5" s="4" t="s">
        <v>3</v>
      </c>
    </row>
    <row r="6" spans="1:8" x14ac:dyDescent="0.2">
      <c r="A6" s="4" t="s">
        <v>4</v>
      </c>
    </row>
    <row r="7" spans="1:8" x14ac:dyDescent="0.2">
      <c r="A7" s="4" t="s">
        <v>5</v>
      </c>
    </row>
    <row r="8" spans="1:8" x14ac:dyDescent="0.2">
      <c r="A8" s="4"/>
    </row>
    <row r="9" spans="1:8" ht="16" x14ac:dyDescent="0.2">
      <c r="A9" s="3" t="s">
        <v>6</v>
      </c>
    </row>
    <row r="10" spans="1:8" x14ac:dyDescent="0.2">
      <c r="A10" s="4" t="s">
        <v>7</v>
      </c>
    </row>
    <row r="11" spans="1:8" x14ac:dyDescent="0.2">
      <c r="A11" s="4" t="s">
        <v>8</v>
      </c>
    </row>
    <row r="12" spans="1:8" x14ac:dyDescent="0.2">
      <c r="A12" s="4"/>
    </row>
    <row r="13" spans="1:8" ht="16" x14ac:dyDescent="0.2">
      <c r="A13" s="3" t="s">
        <v>9</v>
      </c>
    </row>
    <row r="14" spans="1:8" x14ac:dyDescent="0.2">
      <c r="A14" s="4" t="s">
        <v>10</v>
      </c>
    </row>
    <row r="15" spans="1:8" x14ac:dyDescent="0.2">
      <c r="A15" s="4" t="s">
        <v>11</v>
      </c>
    </row>
    <row r="16" spans="1:8" x14ac:dyDescent="0.2">
      <c r="A16" s="4" t="s">
        <v>12</v>
      </c>
    </row>
    <row r="17" spans="1:1" x14ac:dyDescent="0.2">
      <c r="A17" s="4" t="s">
        <v>13</v>
      </c>
    </row>
    <row r="18" spans="1:1" x14ac:dyDescent="0.2">
      <c r="A18" s="4" t="s">
        <v>14</v>
      </c>
    </row>
    <row r="19" spans="1:1" x14ac:dyDescent="0.2">
      <c r="A19" s="4" t="s">
        <v>15</v>
      </c>
    </row>
    <row r="20" spans="1:1" x14ac:dyDescent="0.2">
      <c r="A20" s="4" t="s">
        <v>16</v>
      </c>
    </row>
    <row r="21" spans="1:1" x14ac:dyDescent="0.2">
      <c r="A21" s="4" t="s">
        <v>17</v>
      </c>
    </row>
    <row r="22" spans="1:1" x14ac:dyDescent="0.2">
      <c r="A22" s="4" t="s">
        <v>18</v>
      </c>
    </row>
    <row r="23" spans="1:1" x14ac:dyDescent="0.2">
      <c r="A23" s="4" t="s">
        <v>19</v>
      </c>
    </row>
    <row r="24" spans="1:1" x14ac:dyDescent="0.2">
      <c r="A24" s="4" t="s">
        <v>20</v>
      </c>
    </row>
    <row r="25" spans="1:1" x14ac:dyDescent="0.2">
      <c r="A25" s="4" t="s">
        <v>21</v>
      </c>
    </row>
    <row r="26" spans="1:1" x14ac:dyDescent="0.2">
      <c r="A26" s="4" t="s">
        <v>22</v>
      </c>
    </row>
    <row r="27" spans="1:1" x14ac:dyDescent="0.2">
      <c r="A27" s="4"/>
    </row>
    <row r="28" spans="1:1" x14ac:dyDescent="0.2">
      <c r="A28" s="4" t="s">
        <v>23</v>
      </c>
    </row>
    <row r="29" spans="1:1" x14ac:dyDescent="0.2">
      <c r="A29" s="4" t="s">
        <v>24</v>
      </c>
    </row>
    <row r="30" spans="1:1" x14ac:dyDescent="0.2">
      <c r="A30" s="4" t="s">
        <v>25</v>
      </c>
    </row>
    <row r="31" spans="1:1" x14ac:dyDescent="0.2">
      <c r="A31" s="4"/>
    </row>
    <row r="32" spans="1:1" ht="16" x14ac:dyDescent="0.2">
      <c r="A32" s="3" t="s">
        <v>26</v>
      </c>
    </row>
    <row r="33" spans="1:1" x14ac:dyDescent="0.2">
      <c r="A33" s="4" t="s">
        <v>27</v>
      </c>
    </row>
    <row r="34" spans="1:1" x14ac:dyDescent="0.2">
      <c r="A34" s="4" t="s">
        <v>28</v>
      </c>
    </row>
    <row r="35" spans="1:1" x14ac:dyDescent="0.2">
      <c r="A35" s="4" t="s">
        <v>29</v>
      </c>
    </row>
    <row r="36" spans="1:1" x14ac:dyDescent="0.2">
      <c r="A36" s="4" t="s">
        <v>30</v>
      </c>
    </row>
    <row r="37" spans="1:1" x14ac:dyDescent="0.2">
      <c r="A37" s="4" t="s">
        <v>31</v>
      </c>
    </row>
    <row r="38" spans="1:1" x14ac:dyDescent="0.2">
      <c r="A38" s="4" t="s">
        <v>32</v>
      </c>
    </row>
    <row r="39" spans="1:1" x14ac:dyDescent="0.2">
      <c r="A39" s="4" t="s">
        <v>33</v>
      </c>
    </row>
    <row r="40" spans="1:1" x14ac:dyDescent="0.2">
      <c r="A40" s="4" t="s">
        <v>34</v>
      </c>
    </row>
    <row r="41" spans="1:1" x14ac:dyDescent="0.2">
      <c r="A41" s="4" t="s">
        <v>35</v>
      </c>
    </row>
    <row r="42" spans="1:1" x14ac:dyDescent="0.2">
      <c r="A42" s="4" t="s">
        <v>36</v>
      </c>
    </row>
    <row r="43" spans="1:1" x14ac:dyDescent="0.2">
      <c r="A43" s="4" t="s">
        <v>37</v>
      </c>
    </row>
    <row r="44" spans="1:1" x14ac:dyDescent="0.2">
      <c r="A44" s="4" t="s">
        <v>38</v>
      </c>
    </row>
    <row r="45" spans="1:1" x14ac:dyDescent="0.2">
      <c r="A45" s="4" t="s">
        <v>39</v>
      </c>
    </row>
    <row r="46" spans="1:1" x14ac:dyDescent="0.2">
      <c r="A46" s="4"/>
    </row>
    <row r="47" spans="1:1" ht="16" x14ac:dyDescent="0.2">
      <c r="A47" s="3" t="s">
        <v>40</v>
      </c>
    </row>
    <row r="48" spans="1:1" x14ac:dyDescent="0.2">
      <c r="A48" s="4" t="s">
        <v>41</v>
      </c>
    </row>
    <row r="49" spans="1:1" x14ac:dyDescent="0.2">
      <c r="A49" s="4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="158"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4" width="10" customWidth="1"/>
    <col min="5" max="5" width="12" customWidth="1"/>
  </cols>
  <sheetData>
    <row r="1" spans="1:5" ht="19" x14ac:dyDescent="0.25">
      <c r="A1" s="1" t="s">
        <v>43</v>
      </c>
      <c r="B1" s="2"/>
      <c r="C1" s="2"/>
      <c r="D1" s="2"/>
      <c r="E1" s="2"/>
    </row>
    <row r="3" spans="1:5" x14ac:dyDescent="0.2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</row>
    <row r="4" spans="1:5" x14ac:dyDescent="0.2">
      <c r="A4" t="s">
        <v>49</v>
      </c>
      <c r="B4" t="s">
        <v>50</v>
      </c>
      <c r="C4" s="6">
        <v>1</v>
      </c>
      <c r="D4" s="6">
        <v>-0.8</v>
      </c>
      <c r="E4" s="6">
        <v>0.9</v>
      </c>
    </row>
    <row r="5" spans="1:5" x14ac:dyDescent="0.2">
      <c r="A5" t="s">
        <v>51</v>
      </c>
      <c r="B5" t="s">
        <v>52</v>
      </c>
      <c r="C5" s="6">
        <v>1</v>
      </c>
      <c r="D5" s="6">
        <v>1.5</v>
      </c>
      <c r="E5" s="6">
        <v>-0.6</v>
      </c>
    </row>
    <row r="6" spans="1:5" x14ac:dyDescent="0.2">
      <c r="A6" t="s">
        <v>53</v>
      </c>
      <c r="B6" t="s">
        <v>54</v>
      </c>
      <c r="C6" s="6">
        <v>1</v>
      </c>
      <c r="D6" s="6">
        <v>0.3</v>
      </c>
      <c r="E6" s="6">
        <v>1.2</v>
      </c>
    </row>
    <row r="7" spans="1:5" x14ac:dyDescent="0.2">
      <c r="A7" t="s">
        <v>55</v>
      </c>
      <c r="B7" t="s">
        <v>56</v>
      </c>
      <c r="C7" s="6">
        <v>1</v>
      </c>
      <c r="D7" s="6">
        <v>-0.5</v>
      </c>
      <c r="E7" s="6">
        <v>-0.9</v>
      </c>
    </row>
    <row r="8" spans="1:5" x14ac:dyDescent="0.2">
      <c r="A8" t="s">
        <v>57</v>
      </c>
      <c r="B8" t="s">
        <v>58</v>
      </c>
      <c r="C8" s="6">
        <v>1</v>
      </c>
      <c r="D8" s="6">
        <v>-0.5</v>
      </c>
      <c r="E8" s="6">
        <v>-0.6</v>
      </c>
    </row>
    <row r="9" spans="1:5" x14ac:dyDescent="0.2">
      <c r="B9" s="7" t="s">
        <v>59</v>
      </c>
      <c r="C9" s="8">
        <f>SUM(C4:C8)</f>
        <v>5</v>
      </c>
      <c r="D9" s="8">
        <f>SUM(D4:D8)</f>
        <v>0</v>
      </c>
      <c r="E9" s="8">
        <f>SUM(E4:E8)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showGridLines="0" zoomScale="119" workbookViewId="0">
      <selection activeCell="I2" sqref="I2:K2"/>
    </sheetView>
  </sheetViews>
  <sheetFormatPr baseColWidth="10" defaultColWidth="8.83203125" defaultRowHeight="15" x14ac:dyDescent="0.2"/>
  <cols>
    <col min="1" max="1" width="8" customWidth="1"/>
    <col min="2" max="6" width="10" customWidth="1"/>
    <col min="8" max="8" width="4" customWidth="1"/>
    <col min="9" max="11" width="12" customWidth="1"/>
  </cols>
  <sheetData>
    <row r="1" spans="1:11" ht="19" x14ac:dyDescent="0.25">
      <c r="A1" s="1" t="s">
        <v>60</v>
      </c>
      <c r="B1" s="2"/>
      <c r="C1" s="2"/>
      <c r="D1" s="2"/>
      <c r="E1" s="2"/>
      <c r="F1" s="2"/>
    </row>
    <row r="2" spans="1:11" x14ac:dyDescent="0.2">
      <c r="I2" s="18">
        <f>_xlfn.STDEV.S(I4:I13)</f>
        <v>1.3068921418210804</v>
      </c>
      <c r="J2" s="18">
        <f>_xlfn.STDEV.S(J4:J13)</f>
        <v>0.36180349084781316</v>
      </c>
      <c r="K2" s="18">
        <f>_xlfn.STDEV.S(K4:K13)</f>
        <v>0.45889713905137441</v>
      </c>
    </row>
    <row r="3" spans="1:11" x14ac:dyDescent="0.2">
      <c r="A3" s="5" t="s">
        <v>61</v>
      </c>
      <c r="B3" s="5" t="s">
        <v>49</v>
      </c>
      <c r="C3" s="5" t="s">
        <v>51</v>
      </c>
      <c r="D3" s="5" t="s">
        <v>53</v>
      </c>
      <c r="E3" s="5" t="s">
        <v>55</v>
      </c>
      <c r="F3" s="5" t="s">
        <v>57</v>
      </c>
      <c r="I3" s="5" t="s">
        <v>62</v>
      </c>
      <c r="J3" s="5" t="s">
        <v>63</v>
      </c>
      <c r="K3" s="5" t="s">
        <v>64</v>
      </c>
    </row>
    <row r="4" spans="1:11" x14ac:dyDescent="0.2">
      <c r="A4">
        <v>1</v>
      </c>
      <c r="B4" s="9">
        <v>1.3125676203937151</v>
      </c>
      <c r="C4" s="9">
        <v>1.190395815835819</v>
      </c>
      <c r="D4" s="9">
        <v>1.513019108917946E-2</v>
      </c>
      <c r="E4" s="9">
        <v>-9.2540135730005635E-2</v>
      </c>
      <c r="F4" s="9">
        <v>0.96507600598751919</v>
      </c>
      <c r="I4" s="10">
        <v>0.72660391165620386</v>
      </c>
      <c r="J4" s="10">
        <v>0.43969898743141428</v>
      </c>
      <c r="K4" s="10">
        <v>-0.14788989083620849</v>
      </c>
    </row>
    <row r="5" spans="1:11" x14ac:dyDescent="0.2">
      <c r="A5">
        <v>2</v>
      </c>
      <c r="B5" s="9">
        <v>-1.3928776485186649</v>
      </c>
      <c r="C5" s="9">
        <v>-0.32555083620950298</v>
      </c>
      <c r="D5" s="9">
        <v>-2.7852047411014209</v>
      </c>
      <c r="E5" s="9">
        <v>-1.602189554745209</v>
      </c>
      <c r="F5" s="9">
        <v>-0.63322387858521811</v>
      </c>
      <c r="I5" s="10">
        <v>-1.155977748736694</v>
      </c>
      <c r="J5" s="10">
        <v>0.38889596771447421</v>
      </c>
      <c r="K5" s="10">
        <v>-0.54474363552315308</v>
      </c>
    </row>
    <row r="6" spans="1:11" x14ac:dyDescent="0.2">
      <c r="A6">
        <v>3</v>
      </c>
      <c r="B6" s="9">
        <v>2.5760762445515759</v>
      </c>
      <c r="C6" s="9">
        <v>1.1935428425500541</v>
      </c>
      <c r="D6" s="9">
        <v>1.6690133444149891</v>
      </c>
      <c r="E6" s="9">
        <v>0.66283942665348194</v>
      </c>
      <c r="F6" s="9">
        <v>0.81731564265963841</v>
      </c>
      <c r="I6" s="10">
        <v>1.3506316741290401</v>
      </c>
      <c r="J6" s="10">
        <v>3.3015348780608023E-2</v>
      </c>
      <c r="K6" s="10">
        <v>0.9780330709392242</v>
      </c>
    </row>
    <row r="7" spans="1:11" x14ac:dyDescent="0.2">
      <c r="A7">
        <v>4</v>
      </c>
      <c r="B7" s="9">
        <v>1.1639771914354551</v>
      </c>
      <c r="C7" s="9">
        <v>3.1463958041304818</v>
      </c>
      <c r="D7" s="9">
        <v>1.928202694613941</v>
      </c>
      <c r="E7" s="9">
        <v>2.0572637350599341</v>
      </c>
      <c r="F7" s="9">
        <v>1.449701894292051</v>
      </c>
      <c r="I7" s="10">
        <v>1.6167906029476991</v>
      </c>
      <c r="J7" s="10">
        <v>0.56362060348401644</v>
      </c>
      <c r="K7" s="10">
        <v>-0.1236235856550417</v>
      </c>
    </row>
    <row r="8" spans="1:11" x14ac:dyDescent="0.2">
      <c r="A8">
        <v>5</v>
      </c>
      <c r="B8" s="9">
        <v>-2.7822893336286341</v>
      </c>
      <c r="C8" s="9">
        <v>-1.433318144701067</v>
      </c>
      <c r="D8" s="9">
        <v>-4.6668201378665133</v>
      </c>
      <c r="E8" s="9">
        <v>-2.5276346624425159</v>
      </c>
      <c r="F8" s="9">
        <v>-2.6249528376157669</v>
      </c>
      <c r="I8" s="10">
        <v>-2.4314492641153711</v>
      </c>
      <c r="J8" s="10">
        <v>0.2337546711260228</v>
      </c>
      <c r="K8" s="10">
        <v>-0.34266225773048581</v>
      </c>
    </row>
    <row r="9" spans="1:11" x14ac:dyDescent="0.2">
      <c r="A9">
        <v>6</v>
      </c>
      <c r="B9" s="9">
        <v>-1.7523094049271459</v>
      </c>
      <c r="C9" s="9">
        <v>-2.191096128394002</v>
      </c>
      <c r="D9" s="9">
        <v>-4.6569682903716769E-2</v>
      </c>
      <c r="E9" s="9">
        <v>-1.833940041658829</v>
      </c>
      <c r="F9" s="9">
        <v>-0.55823707689719715</v>
      </c>
      <c r="I9" s="10">
        <v>-1.5230513096072451</v>
      </c>
      <c r="J9" s="10">
        <v>-0.42964623144161912</v>
      </c>
      <c r="K9" s="10">
        <v>-0.28170684039058369</v>
      </c>
    </row>
    <row r="10" spans="1:11" x14ac:dyDescent="0.2">
      <c r="A10">
        <v>7</v>
      </c>
      <c r="B10" s="9">
        <v>-0.12669602140829131</v>
      </c>
      <c r="C10" s="9">
        <v>0.26561172244042369</v>
      </c>
      <c r="D10" s="9">
        <v>1.256884984814296</v>
      </c>
      <c r="E10" s="9">
        <v>0.53112635303851397</v>
      </c>
      <c r="F10" s="9">
        <v>0.5580164072236804</v>
      </c>
      <c r="I10" s="10">
        <v>0.4789765644341995</v>
      </c>
      <c r="J10" s="10">
        <v>0.18437539204124939</v>
      </c>
      <c r="K10" s="10">
        <v>0.42584734844267902</v>
      </c>
    </row>
    <row r="11" spans="1:11" x14ac:dyDescent="0.2">
      <c r="A11">
        <v>8</v>
      </c>
      <c r="B11" s="9">
        <v>0.9006067549926835</v>
      </c>
      <c r="C11" s="9">
        <v>-1.281422281371428</v>
      </c>
      <c r="D11" s="9">
        <v>-0.53680304807978696</v>
      </c>
      <c r="E11" s="9">
        <v>0.60603958771553668</v>
      </c>
      <c r="F11" s="9">
        <v>-0.19321472489749189</v>
      </c>
      <c r="I11" s="10">
        <v>-0.14273962928101511</v>
      </c>
      <c r="J11" s="10">
        <v>-0.47944130041449939</v>
      </c>
      <c r="K11" s="10">
        <v>0.29235525149126268</v>
      </c>
    </row>
    <row r="12" spans="1:11" x14ac:dyDescent="0.2">
      <c r="A12">
        <v>9</v>
      </c>
      <c r="B12" s="9">
        <v>-0.4155774223487626</v>
      </c>
      <c r="C12" s="9">
        <v>-5.609659789406074E-2</v>
      </c>
      <c r="D12" s="9">
        <v>-0.39081873997985939</v>
      </c>
      <c r="E12" s="9">
        <v>0.20714299346645351</v>
      </c>
      <c r="F12" s="9">
        <v>-5.5790407756557747E-2</v>
      </c>
      <c r="I12" s="10">
        <v>0.27647837949399567</v>
      </c>
      <c r="J12" s="10">
        <v>0.43922515065363632</v>
      </c>
      <c r="K12" s="10">
        <v>0.33018608927679072</v>
      </c>
    </row>
    <row r="13" spans="1:11" x14ac:dyDescent="0.2">
      <c r="A13">
        <v>10</v>
      </c>
      <c r="B13" s="9">
        <v>-0.2188573350089511</v>
      </c>
      <c r="C13" s="9">
        <v>-1.4375768657220589</v>
      </c>
      <c r="D13" s="9">
        <v>-0.28206062396365389</v>
      </c>
      <c r="E13" s="9">
        <v>-0.62893978845152121</v>
      </c>
      <c r="F13" s="9">
        <v>-1.274182026132376</v>
      </c>
      <c r="I13" s="10">
        <v>-0.89426149860301196</v>
      </c>
      <c r="J13" s="10">
        <v>-2.4962955493126451E-2</v>
      </c>
      <c r="K13" s="10">
        <v>0.3446568024063062</v>
      </c>
    </row>
    <row r="15" spans="1:11" ht="30" customHeight="1" x14ac:dyDescent="0.2">
      <c r="I15" s="11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showGridLines="0" topLeftCell="A8" zoomScale="109" workbookViewId="0">
      <selection activeCell="C17" sqref="C17"/>
    </sheetView>
  </sheetViews>
  <sheetFormatPr baseColWidth="10" defaultColWidth="8.83203125" defaultRowHeight="15" x14ac:dyDescent="0.2"/>
  <cols>
    <col min="1" max="1" width="100" customWidth="1"/>
  </cols>
  <sheetData>
    <row r="1" spans="1:14" ht="19" x14ac:dyDescent="0.25">
      <c r="A1" s="1" t="s">
        <v>66</v>
      </c>
      <c r="B1" s="2"/>
      <c r="C1" s="2"/>
      <c r="D1" s="2"/>
      <c r="E1" s="2"/>
      <c r="F1" s="2"/>
      <c r="G1" s="2"/>
      <c r="H1" s="2"/>
    </row>
    <row r="4" spans="1:14" ht="16" x14ac:dyDescent="0.2">
      <c r="A4" s="3" t="s">
        <v>67</v>
      </c>
    </row>
    <row r="5" spans="1:14" x14ac:dyDescent="0.2">
      <c r="A5" s="12" t="s">
        <v>68</v>
      </c>
    </row>
    <row r="6" spans="1:14" x14ac:dyDescent="0.2">
      <c r="A6" s="13" t="str">
        <f>"r_A  =  f1 x "&amp;Exposures!C4&amp;"  +  f2 x "&amp;Exposures!D4&amp;"  +  f3 x "&amp;Exposures!E4&amp;"  +  e_A     [actual r_A,week1 = "&amp;TEXT(Returns!B4,"0.000")&amp;"]"</f>
        <v>r_A  =  f1 x 1  +  f2 x -0.8  +  f3 x 0.9  +  e_A     [actual r_A,week1 = 1.313]</v>
      </c>
    </row>
    <row r="7" spans="1:14" x14ac:dyDescent="0.2">
      <c r="A7" s="13" t="str">
        <f>"r_B  =  f1 x "&amp;Exposures!C5&amp;"  +  f2 x "&amp;Exposures!D5&amp;"  +  f3 x "&amp;Exposures!E5&amp;"  +  e_B     [actual r_B,week1 = "&amp;TEXT(Returns!C4,"0.000")&amp;"]"</f>
        <v>r_B  =  f1 x 1  +  f2 x 1.5  +  f3 x -0.6  +  e_B     [actual r_B,week1 = 1.190]</v>
      </c>
      <c r="B7">
        <v>1</v>
      </c>
      <c r="C7">
        <v>-0.8</v>
      </c>
      <c r="D7">
        <v>0.9</v>
      </c>
      <c r="I7" t="s">
        <v>61</v>
      </c>
      <c r="J7" t="s">
        <v>49</v>
      </c>
      <c r="K7" t="s">
        <v>51</v>
      </c>
      <c r="L7" t="s">
        <v>53</v>
      </c>
      <c r="M7" t="s">
        <v>55</v>
      </c>
      <c r="N7" t="s">
        <v>57</v>
      </c>
    </row>
    <row r="8" spans="1:14" x14ac:dyDescent="0.2">
      <c r="A8" s="13" t="str">
        <f>"r_C  =  f1 x "&amp;Exposures!C6&amp;"  +  f2 x "&amp;Exposures!D6&amp;"  +  f3 x "&amp;Exposures!E6&amp;"  +  e_C     [actual r_C,week1 = "&amp;TEXT(Returns!D4,"0.000")&amp;"]"</f>
        <v>r_C  =  f1 x 1  +  f2 x 0.3  +  f3 x 1.2  +  e_C     [actual r_C,week1 = 0.015]</v>
      </c>
      <c r="B8">
        <v>1</v>
      </c>
      <c r="C8">
        <v>1.5</v>
      </c>
      <c r="D8">
        <v>-0.6</v>
      </c>
      <c r="I8">
        <v>1</v>
      </c>
      <c r="J8">
        <v>1.3125676203937151</v>
      </c>
      <c r="K8">
        <v>1.190395815835819</v>
      </c>
      <c r="L8">
        <v>1.513019108917946E-2</v>
      </c>
      <c r="M8">
        <v>-9.2540135730005635E-2</v>
      </c>
      <c r="N8">
        <v>0.96507600598751919</v>
      </c>
    </row>
    <row r="9" spans="1:14" x14ac:dyDescent="0.2">
      <c r="A9" s="13" t="str">
        <f>"r_D  =  f1 x "&amp;Exposures!C7&amp;"  +  f2 x "&amp;Exposures!D7&amp;"  +  f3 x "&amp;Exposures!E7&amp;"  +  e_D     [actual r_D,week1 = "&amp;TEXT(Returns!E4,"0.000")&amp;"]"</f>
        <v>r_D  =  f1 x 1  +  f2 x -0.5  +  f3 x -0.9  +  e_D     [actual r_D,week1 = -0.093]</v>
      </c>
      <c r="B9">
        <v>1</v>
      </c>
      <c r="C9">
        <v>0.3</v>
      </c>
      <c r="D9">
        <v>1.2</v>
      </c>
      <c r="I9">
        <v>2</v>
      </c>
      <c r="J9">
        <v>-1.3928776485186649</v>
      </c>
      <c r="K9">
        <v>-0.32555083620950298</v>
      </c>
      <c r="L9">
        <v>-2.7852047411014209</v>
      </c>
      <c r="M9">
        <v>-1.602189554745209</v>
      </c>
      <c r="N9">
        <v>-0.63322387858521811</v>
      </c>
    </row>
    <row r="10" spans="1:14" x14ac:dyDescent="0.2">
      <c r="A10" s="13" t="str">
        <f>"r_E  =  f1 x "&amp;Exposures!C8&amp;"  +  f2 x "&amp;Exposures!D8&amp;"  +  f3 x "&amp;Exposures!E8&amp;"  +  e_E     [actual r_E,week1 = "&amp;TEXT(Returns!F4,"0.000")&amp;"]"</f>
        <v>r_E  =  f1 x 1  +  f2 x -0.5  +  f3 x -0.6  +  e_E     [actual r_E,week1 = 0.965]</v>
      </c>
      <c r="B10">
        <v>1</v>
      </c>
      <c r="C10">
        <v>-0.5</v>
      </c>
      <c r="D10">
        <v>-0.9</v>
      </c>
      <c r="I10">
        <v>3</v>
      </c>
      <c r="J10">
        <v>2.5760762445515759</v>
      </c>
      <c r="K10">
        <v>1.1935428425500541</v>
      </c>
      <c r="L10">
        <v>1.6690133444149891</v>
      </c>
      <c r="M10">
        <v>0.66283942665348194</v>
      </c>
      <c r="N10">
        <v>0.81731564265963841</v>
      </c>
    </row>
    <row r="11" spans="1:14" x14ac:dyDescent="0.2">
      <c r="B11">
        <v>1</v>
      </c>
      <c r="C11">
        <v>-0.5</v>
      </c>
      <c r="D11">
        <v>-0.6</v>
      </c>
      <c r="I11">
        <v>4</v>
      </c>
      <c r="J11">
        <v>1.1639771914354551</v>
      </c>
      <c r="K11">
        <v>3.1463958041304818</v>
      </c>
      <c r="L11">
        <v>1.928202694613941</v>
      </c>
      <c r="M11">
        <v>2.0572637350599341</v>
      </c>
      <c r="N11">
        <v>1.449701894292051</v>
      </c>
    </row>
    <row r="12" spans="1:14" ht="16" x14ac:dyDescent="0.2">
      <c r="A12" s="3" t="s">
        <v>69</v>
      </c>
      <c r="I12">
        <v>5</v>
      </c>
      <c r="J12">
        <v>-2.7822893336286341</v>
      </c>
      <c r="K12">
        <v>-1.433318144701067</v>
      </c>
      <c r="L12">
        <v>-4.6668201378665133</v>
      </c>
      <c r="M12">
        <v>-2.5276346624425159</v>
      </c>
      <c r="N12">
        <v>-2.6249528376157669</v>
      </c>
    </row>
    <row r="13" spans="1:14" x14ac:dyDescent="0.2">
      <c r="A13" s="13" t="s">
        <v>70</v>
      </c>
      <c r="I13">
        <v>6</v>
      </c>
      <c r="J13">
        <v>-1.7523094049271459</v>
      </c>
      <c r="K13">
        <v>-2.191096128394002</v>
      </c>
      <c r="L13">
        <v>-4.6569682903716769E-2</v>
      </c>
      <c r="M13">
        <v>-1.833940041658829</v>
      </c>
      <c r="N13">
        <v>-0.55823707689719715</v>
      </c>
    </row>
    <row r="14" spans="1:14" x14ac:dyDescent="0.2">
      <c r="A14" s="13" t="s">
        <v>71</v>
      </c>
      <c r="I14">
        <v>7</v>
      </c>
      <c r="J14">
        <v>-0.12669602140829131</v>
      </c>
      <c r="K14">
        <v>0.26561172244042369</v>
      </c>
      <c r="L14">
        <v>1.256884984814296</v>
      </c>
      <c r="M14">
        <v>0.53112635303851397</v>
      </c>
      <c r="N14">
        <v>0.5580164072236804</v>
      </c>
    </row>
    <row r="15" spans="1:14" x14ac:dyDescent="0.2">
      <c r="I15">
        <v>8</v>
      </c>
      <c r="J15">
        <v>0.9006067549926835</v>
      </c>
      <c r="K15">
        <v>-1.281422281371428</v>
      </c>
      <c r="L15">
        <v>-0.53680304807978696</v>
      </c>
      <c r="M15">
        <v>0.60603958771553668</v>
      </c>
      <c r="N15">
        <v>-0.19321472489749189</v>
      </c>
    </row>
    <row r="16" spans="1:14" ht="16" x14ac:dyDescent="0.2">
      <c r="A16" s="3" t="s">
        <v>72</v>
      </c>
      <c r="I16">
        <v>9</v>
      </c>
      <c r="J16">
        <v>-0.4155774223487626</v>
      </c>
      <c r="K16">
        <v>-5.609659789406074E-2</v>
      </c>
      <c r="L16">
        <v>-0.39081873997985939</v>
      </c>
      <c r="M16">
        <v>0.20714299346645351</v>
      </c>
      <c r="N16">
        <v>-5.5790407756557747E-2</v>
      </c>
    </row>
    <row r="17" spans="1:14" ht="28" customHeight="1" x14ac:dyDescent="0.2">
      <c r="A17" s="12" t="s">
        <v>73</v>
      </c>
      <c r="I17">
        <v>10</v>
      </c>
      <c r="J17">
        <v>-0.2188573350089511</v>
      </c>
      <c r="K17">
        <v>-1.4375768657220589</v>
      </c>
      <c r="L17">
        <v>-0.28206062396365389</v>
      </c>
      <c r="M17">
        <v>-0.62893978845152121</v>
      </c>
      <c r="N17">
        <v>-1.274182026132376</v>
      </c>
    </row>
    <row r="18" spans="1:14" x14ac:dyDescent="0.2">
      <c r="A18" s="13" t="s">
        <v>74</v>
      </c>
    </row>
    <row r="19" spans="1:14" x14ac:dyDescent="0.2">
      <c r="A19" s="13" t="s">
        <v>75</v>
      </c>
    </row>
    <row r="20" spans="1:14" x14ac:dyDescent="0.2">
      <c r="A20" s="13" t="s">
        <v>76</v>
      </c>
    </row>
    <row r="22" spans="1:14" ht="16" x14ac:dyDescent="0.2">
      <c r="A22" s="3" t="s">
        <v>77</v>
      </c>
    </row>
    <row r="23" spans="1:14" ht="30" x14ac:dyDescent="0.2">
      <c r="A23" s="12" t="s">
        <v>78</v>
      </c>
    </row>
    <row r="24" spans="1:14" x14ac:dyDescent="0.2">
      <c r="A24" s="13" t="s">
        <v>79</v>
      </c>
    </row>
    <row r="25" spans="1:14" x14ac:dyDescent="0.2">
      <c r="A25" s="13" t="s">
        <v>80</v>
      </c>
    </row>
    <row r="26" spans="1:14" x14ac:dyDescent="0.2">
      <c r="A26" s="13" t="s">
        <v>81</v>
      </c>
    </row>
    <row r="28" spans="1:14" ht="16" x14ac:dyDescent="0.2">
      <c r="A28" s="3" t="s">
        <v>82</v>
      </c>
    </row>
    <row r="29" spans="1:14" ht="28" customHeight="1" x14ac:dyDescent="0.2">
      <c r="A29" s="12" t="s">
        <v>83</v>
      </c>
    </row>
    <row r="30" spans="1:14" x14ac:dyDescent="0.2">
      <c r="A30" s="5" t="s">
        <v>84</v>
      </c>
      <c r="B30" s="5" t="s">
        <v>85</v>
      </c>
      <c r="C30" s="5" t="s">
        <v>86</v>
      </c>
      <c r="D30" s="5" t="s">
        <v>87</v>
      </c>
      <c r="E30" s="5" t="s">
        <v>88</v>
      </c>
      <c r="F30" s="5" t="s">
        <v>89</v>
      </c>
    </row>
    <row r="31" spans="1:14" x14ac:dyDescent="0.2">
      <c r="A31" s="14">
        <f>SUMPRODUCT(Exposures!C4:C8,Exposures!C4:C8)</f>
        <v>5</v>
      </c>
      <c r="B31" s="14">
        <f>SUMPRODUCT(Exposures!C4:C8,Exposures!D4:D8)</f>
        <v>0</v>
      </c>
      <c r="C31" s="14">
        <f>SUMPRODUCT(Exposures!C4:C8,Exposures!E4:E8)</f>
        <v>0</v>
      </c>
      <c r="D31" s="14">
        <f>SUMPRODUCT(Exposures!D4:D8,Exposures!D4:D8)</f>
        <v>3.48</v>
      </c>
      <c r="E31" s="14">
        <f>SUMPRODUCT(Exposures!D4:D8,Exposures!E4:E8)</f>
        <v>-0.51000000000000023</v>
      </c>
      <c r="F31" s="14">
        <f>SUMPRODUCT(Exposures!E4:E8,Exposures!E4:E8)</f>
        <v>3.78</v>
      </c>
    </row>
    <row r="33" spans="1:3" ht="16" x14ac:dyDescent="0.2">
      <c r="A33" s="3" t="s">
        <v>90</v>
      </c>
    </row>
    <row r="34" spans="1:3" x14ac:dyDescent="0.2">
      <c r="A34" s="5" t="s">
        <v>91</v>
      </c>
      <c r="B34" s="5" t="s">
        <v>92</v>
      </c>
      <c r="C34" s="5" t="s">
        <v>93</v>
      </c>
    </row>
    <row r="35" spans="1:3" x14ac:dyDescent="0.2">
      <c r="A35" s="14">
        <f>Exposures!C4*Returns!B4+Exposures!C5*Returns!C4+Exposures!C6*Returns!D4+Exposures!C7*Returns!E4+Exposures!C8*Returns!F4</f>
        <v>3.3906294975762274</v>
      </c>
      <c r="B35" s="14">
        <f>Exposures!D4*Returns!B4+Exposures!D5*Returns!C4+Exposures!D6*Returns!D4+Exposures!D7*Returns!E4+Exposures!D8*Returns!F4</f>
        <v>0.30381074963675347</v>
      </c>
      <c r="C35" s="14">
        <f>Exposures!E4*Returns!B4+Exposures!E5*Returns!C4+Exposures!E6*Returns!D4+Exposures!E7*Returns!E4+Exposures!E8*Returns!F4</f>
        <v>-1.0529883275638752E-2</v>
      </c>
    </row>
    <row r="37" spans="1:3" ht="16" x14ac:dyDescent="0.2">
      <c r="A37" s="3" t="s">
        <v>94</v>
      </c>
    </row>
    <row r="38" spans="1:3" x14ac:dyDescent="0.2">
      <c r="A38" s="13" t="str">
        <f>TEXT(A31,"0.00")&amp;" f1 + "&amp;TEXT(B31,"0.00")&amp;" f2 + "&amp;TEXT(C31,"0.00")&amp;" f3  =  "&amp;TEXT(A35,"0.00")</f>
        <v>5.00 f1 + 0.00 f2 + 0.00 f3  =  3.39</v>
      </c>
    </row>
    <row r="39" spans="1:3" x14ac:dyDescent="0.2">
      <c r="A39" s="13" t="str">
        <f>TEXT(B31,"0.00")&amp;" f1 + "&amp;TEXT(D31,"0.00")&amp;" f2 + "&amp;TEXT(E31,"0.00")&amp;" f3  =  "&amp;TEXT(B35,"0.00")</f>
        <v>0.00 f1 + 3.48 f2 + -0.51 f3  =  0.30</v>
      </c>
    </row>
    <row r="40" spans="1:3" x14ac:dyDescent="0.2">
      <c r="A40" s="13" t="str">
        <f>TEXT(C31,"0.00")&amp;" f1 + "&amp;TEXT(E31,"0.00")&amp;" f2 + "&amp;TEXT(F31,"0.00")&amp;" f3  =  "&amp;TEXT(C35,"0.00")</f>
        <v>0.00 f1 + -0.51 f2 + 3.78 f3  =  -0.01</v>
      </c>
    </row>
    <row r="42" spans="1:3" ht="40" customHeight="1" x14ac:dyDescent="0.2">
      <c r="A42" s="11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"/>
  <sheetViews>
    <sheetView showGridLines="0" topLeftCell="C4" zoomScale="140" workbookViewId="0">
      <selection activeCell="N14" sqref="N14:P24"/>
    </sheetView>
  </sheetViews>
  <sheetFormatPr baseColWidth="10" defaultColWidth="8.83203125" defaultRowHeight="15" x14ac:dyDescent="0.2"/>
  <cols>
    <col min="1" max="1" width="10" customWidth="1"/>
    <col min="2" max="16" width="11" customWidth="1"/>
  </cols>
  <sheetData>
    <row r="1" spans="1:17" ht="19" x14ac:dyDescent="0.25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</row>
    <row r="4" spans="1:17" ht="16" x14ac:dyDescent="0.2">
      <c r="A4" s="3" t="s">
        <v>97</v>
      </c>
    </row>
    <row r="5" spans="1:17" x14ac:dyDescent="0.2">
      <c r="A5" s="5" t="s">
        <v>98</v>
      </c>
      <c r="B5" s="5" t="s">
        <v>99</v>
      </c>
      <c r="C5" s="5" t="s">
        <v>100</v>
      </c>
      <c r="D5" s="5" t="s">
        <v>101</v>
      </c>
      <c r="E5" s="5" t="s">
        <v>102</v>
      </c>
      <c r="F5" s="5" t="s">
        <v>103</v>
      </c>
    </row>
    <row r="6" spans="1:17" x14ac:dyDescent="0.2">
      <c r="A6" s="14">
        <f>SSE_Derivation!A31</f>
        <v>5</v>
      </c>
      <c r="B6" s="14">
        <f>SSE_Derivation!B31</f>
        <v>0</v>
      </c>
      <c r="C6" s="14">
        <f>SSE_Derivation!C31</f>
        <v>0</v>
      </c>
      <c r="D6" s="14">
        <f>SSE_Derivation!D31</f>
        <v>3.48</v>
      </c>
      <c r="E6" s="14">
        <f>SSE_Derivation!E31</f>
        <v>-0.51000000000000023</v>
      </c>
      <c r="F6" s="14">
        <f>SSE_Derivation!F31</f>
        <v>3.78</v>
      </c>
    </row>
    <row r="8" spans="1:17" ht="16" x14ac:dyDescent="0.2">
      <c r="A8" s="3" t="s">
        <v>104</v>
      </c>
    </row>
    <row r="9" spans="1:17" x14ac:dyDescent="0.2">
      <c r="A9" s="5" t="s">
        <v>105</v>
      </c>
      <c r="B9" s="5" t="s">
        <v>106</v>
      </c>
      <c r="C9" s="5" t="s">
        <v>107</v>
      </c>
      <c r="D9" s="5" t="s">
        <v>108</v>
      </c>
      <c r="E9" s="5" t="s">
        <v>109</v>
      </c>
      <c r="F9" s="5" t="s">
        <v>110</v>
      </c>
      <c r="G9" s="5" t="s">
        <v>111</v>
      </c>
      <c r="H9" s="5" t="s">
        <v>112</v>
      </c>
    </row>
    <row r="10" spans="1:17" x14ac:dyDescent="0.2">
      <c r="A10" s="14">
        <f>B6/A6</f>
        <v>0</v>
      </c>
      <c r="B10" s="14">
        <f>C6/A6</f>
        <v>0</v>
      </c>
      <c r="C10" s="14">
        <f>D6-A10*B6</f>
        <v>3.48</v>
      </c>
      <c r="D10" s="14">
        <f>E6-A10*C6</f>
        <v>-0.51000000000000023</v>
      </c>
      <c r="E10" s="14">
        <f>E6-B10*B6</f>
        <v>-0.51000000000000023</v>
      </c>
      <c r="F10" s="14">
        <f>F6-B10*C6</f>
        <v>3.78</v>
      </c>
      <c r="G10" s="14">
        <f>E10/C10</f>
        <v>-0.14655172413793111</v>
      </c>
      <c r="H10" s="14">
        <f>F10-G10*D10</f>
        <v>3.7052586206896549</v>
      </c>
    </row>
    <row r="12" spans="1:17" ht="28" customHeight="1" x14ac:dyDescent="0.2">
      <c r="A12" s="11" t="s">
        <v>113</v>
      </c>
    </row>
    <row r="13" spans="1:17" ht="16" x14ac:dyDescent="0.2">
      <c r="A13" s="3" t="s">
        <v>114</v>
      </c>
    </row>
    <row r="14" spans="1:17" x14ac:dyDescent="0.2">
      <c r="A14" s="5" t="s">
        <v>61</v>
      </c>
      <c r="B14" s="5" t="s">
        <v>115</v>
      </c>
      <c r="C14" s="5" t="s">
        <v>116</v>
      </c>
      <c r="D14" s="5" t="s">
        <v>117</v>
      </c>
      <c r="E14" s="5" t="s">
        <v>118</v>
      </c>
      <c r="F14" s="5" t="s">
        <v>119</v>
      </c>
      <c r="G14" s="5" t="s">
        <v>120</v>
      </c>
      <c r="H14" s="5" t="s">
        <v>121</v>
      </c>
      <c r="I14" s="5" t="s">
        <v>122</v>
      </c>
      <c r="J14" s="5" t="s">
        <v>123</v>
      </c>
      <c r="K14" s="5" t="s">
        <v>124</v>
      </c>
      <c r="L14" s="5" t="s">
        <v>125</v>
      </c>
      <c r="M14" s="5" t="s">
        <v>126</v>
      </c>
      <c r="N14" s="5" t="s">
        <v>127</v>
      </c>
      <c r="O14" s="5" t="s">
        <v>128</v>
      </c>
      <c r="P14" s="5" t="s">
        <v>129</v>
      </c>
      <c r="Q14" s="5" t="s">
        <v>130</v>
      </c>
    </row>
    <row r="15" spans="1:17" x14ac:dyDescent="0.2">
      <c r="A15">
        <v>1</v>
      </c>
      <c r="B15" s="14">
        <f>Exposures!C4*Returns!B4+Exposures!C5*Returns!C4+Exposures!C6*Returns!D4+Exposures!C7*Returns!E4+Exposures!C8*Returns!F4</f>
        <v>3.3906294975762274</v>
      </c>
      <c r="C15" s="14">
        <f>Exposures!D4*Returns!B4+Exposures!D5*Returns!C4+Exposures!D6*Returns!D4+Exposures!D7*Returns!E4+Exposures!D8*Returns!F4</f>
        <v>0.30381074963675347</v>
      </c>
      <c r="D15" s="14">
        <f>Exposures!E4*Returns!B4+Exposures!E5*Returns!C4+Exposures!E6*Returns!D4+Exposures!E7*Returns!E4+Exposures!E8*Returns!F4</f>
        <v>-1.0529883275638752E-2</v>
      </c>
      <c r="E15" s="14">
        <f t="shared" ref="E15:E24" si="0">C15-$A$10*B15</f>
        <v>0.30381074963675347</v>
      </c>
      <c r="F15" s="14">
        <f t="shared" ref="F15:F24" si="1">D15-$B$10*B15</f>
        <v>-1.0529883275638752E-2</v>
      </c>
      <c r="G15" s="14">
        <f t="shared" ref="G15:G24" si="2">F15-$G$10*E15</f>
        <v>3.3994105895264796E-2</v>
      </c>
      <c r="H15" s="14">
        <f t="shared" ref="H15:H24" si="3">G15/$H$10</f>
        <v>9.1745568596605861E-3</v>
      </c>
      <c r="I15" s="14">
        <f t="shared" ref="I15:I24" si="4">(E15-$D$10*H15)/$C$10</f>
        <v>8.8646486676775965E-2</v>
      </c>
      <c r="J15" s="14">
        <f t="shared" ref="J15:J24" si="5">(B15-$B$6*I15-$C$6*H15)/$A$6</f>
        <v>0.67812589951524549</v>
      </c>
      <c r="K15" s="15">
        <f>Returns!I4</f>
        <v>0.72660391165620386</v>
      </c>
      <c r="L15" s="15">
        <f>Returns!J4</f>
        <v>0.43969898743141428</v>
      </c>
      <c r="M15" s="15">
        <f>Returns!K4</f>
        <v>-0.14788989083620849</v>
      </c>
      <c r="N15" s="14">
        <f t="array" ref="N15:P15">MMULT(Returns!B4:F4,MMULT(Exposures!C4:E8,MINVERSE(MMULT(TRANSPOSE(Exposures!C4:E8),Exposures!C4:E8))))</f>
        <v>0.67812589951524538</v>
      </c>
      <c r="O15">
        <v>8.8646486676775937E-2</v>
      </c>
      <c r="P15">
        <v>9.1745568596605376E-3</v>
      </c>
      <c r="Q15" t="str">
        <f t="shared" ref="Q15:Q24" si="6">IF(AND(ROUND(J15-N15,6)=0,ROUND(I15-O15,6)=0,ROUND(H15-P15,6)=0),"MATCH","check")</f>
        <v>MATCH</v>
      </c>
    </row>
    <row r="16" spans="1:17" x14ac:dyDescent="0.2">
      <c r="A16">
        <v>2</v>
      </c>
      <c r="B16" s="14">
        <f>Exposures!C4*Returns!B5+Exposures!C5*Returns!C5+Exposures!C6*Returns!D5+Exposures!C7*Returns!E5+Exposures!C8*Returns!F5</f>
        <v>-6.7390466591600156</v>
      </c>
      <c r="C16" s="14">
        <f>Exposures!D4*Returns!B5+Exposures!D5*Returns!C5+Exposures!D6*Returns!D5+Exposures!D7*Returns!E5+Exposures!D8*Returns!F5</f>
        <v>0.90812115883546474</v>
      </c>
      <c r="D16" s="14">
        <f>Exposures!E4*Returns!B5+Exposures!E5*Returns!C5+Exposures!E6*Returns!D5+Exposures!E7*Returns!E5+Exposures!E8*Returns!F5</f>
        <v>-2.5786001448409825</v>
      </c>
      <c r="E16" s="14">
        <f t="shared" si="0"/>
        <v>0.90812115883546474</v>
      </c>
      <c r="F16" s="14">
        <f t="shared" si="1"/>
        <v>-2.5786001448409825</v>
      </c>
      <c r="G16" s="14">
        <f t="shared" si="2"/>
        <v>-2.4455134232875091</v>
      </c>
      <c r="H16" s="14">
        <f t="shared" si="3"/>
        <v>-0.66001153323875916</v>
      </c>
      <c r="I16" s="14">
        <f t="shared" si="4"/>
        <v>0.16422852784014294</v>
      </c>
      <c r="J16" s="14">
        <f t="shared" si="5"/>
        <v>-1.347809331832003</v>
      </c>
      <c r="K16" s="15">
        <f>Returns!I5</f>
        <v>-1.155977748736694</v>
      </c>
      <c r="L16" s="15">
        <f>Returns!J5</f>
        <v>0.38889596771447421</v>
      </c>
      <c r="M16" s="15">
        <f>Returns!K5</f>
        <v>-0.54474363552315308</v>
      </c>
      <c r="N16" s="14">
        <f t="array" ref="N16:P16">MMULT(Returns!B5:F5,MMULT(Exposures!C4:E8,MINVERSE(MMULT(TRANSPOSE(Exposures!C4:E8),Exposures!C4:E8))))</f>
        <v>-1.3478093318320032</v>
      </c>
      <c r="O16">
        <v>0.16422852784014291</v>
      </c>
      <c r="P16">
        <v>-0.66001153323875927</v>
      </c>
      <c r="Q16" t="str">
        <f t="shared" si="6"/>
        <v>MATCH</v>
      </c>
    </row>
    <row r="17" spans="1:17" x14ac:dyDescent="0.2">
      <c r="A17">
        <v>3</v>
      </c>
      <c r="B17" s="14">
        <f>Exposures!C4*Returns!B6+Exposures!C5*Returns!C6+Exposures!C6*Returns!D6+Exposures!C7*Returns!E6+Exposures!C8*Returns!F6</f>
        <v>6.9187875008297395</v>
      </c>
      <c r="C17" s="14">
        <f>Exposures!D4*Returns!B6+Exposures!D5*Returns!C6+Exposures!D6*Returns!D6+Exposures!D7*Returns!E6+Exposures!D8*Returns!F6</f>
        <v>-0.50992026314824335</v>
      </c>
      <c r="D17" s="14">
        <f>Exposures!E4*Returns!B6+Exposures!E5*Returns!C6+Exposures!E6*Returns!D6+Exposures!E7*Returns!E6+Exposures!E8*Returns!F6</f>
        <v>2.5182140582804555</v>
      </c>
      <c r="E17" s="14">
        <f t="shared" si="0"/>
        <v>-0.50992026314824335</v>
      </c>
      <c r="F17" s="14">
        <f t="shared" si="1"/>
        <v>2.5182140582804555</v>
      </c>
      <c r="G17" s="14">
        <f t="shared" si="2"/>
        <v>2.4434843645432127</v>
      </c>
      <c r="H17" s="14">
        <f t="shared" si="3"/>
        <v>0.65946391728208442</v>
      </c>
      <c r="I17" s="14">
        <f t="shared" si="4"/>
        <v>-4.9883237165051768E-2</v>
      </c>
      <c r="J17" s="14">
        <f t="shared" si="5"/>
        <v>1.3837575001659479</v>
      </c>
      <c r="K17" s="15">
        <f>Returns!I6</f>
        <v>1.3506316741290401</v>
      </c>
      <c r="L17" s="15">
        <f>Returns!J6</f>
        <v>3.3015348780608023E-2</v>
      </c>
      <c r="M17" s="15">
        <f>Returns!K6</f>
        <v>0.9780330709392242</v>
      </c>
      <c r="N17" s="14">
        <f t="array" ref="N17:P17">MMULT(Returns!B6:F6,MMULT(Exposures!C4:E8,MINVERSE(MMULT(TRANSPOSE(Exposures!C4:E8),Exposures!C4:E8))))</f>
        <v>1.3837575001659479</v>
      </c>
      <c r="O17">
        <v>-4.9883237165051664E-2</v>
      </c>
      <c r="P17">
        <v>0.65946391728208453</v>
      </c>
      <c r="Q17" t="str">
        <f t="shared" si="6"/>
        <v>MATCH</v>
      </c>
    </row>
    <row r="18" spans="1:17" x14ac:dyDescent="0.2">
      <c r="A18">
        <v>4</v>
      </c>
      <c r="B18" s="14">
        <f>Exposures!C4*Returns!B7+Exposures!C5*Returns!C7+Exposures!C6*Returns!D7+Exposures!C7*Returns!E7+Exposures!C8*Returns!F7</f>
        <v>9.7455413195318634</v>
      </c>
      <c r="C18" s="14">
        <f>Exposures!D4*Returns!B7+Exposures!D5*Returns!C7+Exposures!D6*Returns!D7+Exposures!D7*Returns!E7+Exposures!D8*Returns!F7</f>
        <v>2.6133899467555484</v>
      </c>
      <c r="D18" s="14">
        <f>Exposures!E4*Returns!B7+Exposures!E5*Returns!C7+Exposures!E6*Returns!D7+Exposures!E7*Returns!E7+Exposures!E8*Returns!F7</f>
        <v>-1.2477732747788219</v>
      </c>
      <c r="E18" s="14">
        <f t="shared" si="0"/>
        <v>2.6133899467555484</v>
      </c>
      <c r="F18" s="14">
        <f t="shared" si="1"/>
        <v>-1.2477732747788219</v>
      </c>
      <c r="G18" s="14">
        <f t="shared" si="2"/>
        <v>-0.86477647223706033</v>
      </c>
      <c r="H18" s="14">
        <f t="shared" si="3"/>
        <v>-0.23339166324538518</v>
      </c>
      <c r="I18" s="14">
        <f t="shared" si="4"/>
        <v>0.71677017198287407</v>
      </c>
      <c r="J18" s="14">
        <f t="shared" si="5"/>
        <v>1.9491082639063726</v>
      </c>
      <c r="K18" s="15">
        <f>Returns!I7</f>
        <v>1.6167906029476991</v>
      </c>
      <c r="L18" s="15">
        <f>Returns!J7</f>
        <v>0.56362060348401644</v>
      </c>
      <c r="M18" s="15">
        <f>Returns!K7</f>
        <v>-0.1236235856550417</v>
      </c>
      <c r="N18" s="14">
        <f t="array" ref="N18:P18">MMULT(Returns!B7:F7,MMULT(Exposures!C4:E8,MINVERSE(MMULT(TRANSPOSE(Exposures!C4:E8),Exposures!C4:E8))))</f>
        <v>1.9491082639063728</v>
      </c>
      <c r="O18">
        <v>0.71677017198287429</v>
      </c>
      <c r="P18">
        <v>-0.23339166324538513</v>
      </c>
      <c r="Q18" t="str">
        <f t="shared" si="6"/>
        <v>MATCH</v>
      </c>
    </row>
    <row r="19" spans="1:17" x14ac:dyDescent="0.2">
      <c r="A19">
        <v>5</v>
      </c>
      <c r="B19" s="14">
        <f>Exposures!C4*Returns!B8+Exposures!C5*Returns!C8+Exposures!C6*Returns!D8+Exposures!C7*Returns!E8+Exposures!C8*Returns!F8</f>
        <v>-14.035015116254497</v>
      </c>
      <c r="C19" s="14">
        <f>Exposures!D4*Returns!B8+Exposures!D5*Returns!C8+Exposures!D6*Returns!D8+Exposures!D7*Returns!E8+Exposures!D8*Returns!F8</f>
        <v>1.2521019585204942</v>
      </c>
      <c r="D19" s="14">
        <f>Exposures!E4*Returns!B8+Exposures!E5*Returns!C8+Exposures!E6*Returns!D8+Exposures!E7*Returns!E8+Exposures!E8*Returns!F8</f>
        <v>-3.394410780117223</v>
      </c>
      <c r="E19" s="14">
        <f t="shared" si="0"/>
        <v>1.2521019585204942</v>
      </c>
      <c r="F19" s="14">
        <f t="shared" si="1"/>
        <v>-3.394410780117223</v>
      </c>
      <c r="G19" s="14">
        <f t="shared" si="2"/>
        <v>-3.2109130792995644</v>
      </c>
      <c r="H19" s="14">
        <f t="shared" si="3"/>
        <v>-0.86658271608094151</v>
      </c>
      <c r="I19" s="14">
        <f t="shared" si="4"/>
        <v>0.2328002222181649</v>
      </c>
      <c r="J19" s="14">
        <f t="shared" si="5"/>
        <v>-2.8070030232508993</v>
      </c>
      <c r="K19" s="15">
        <f>Returns!I8</f>
        <v>-2.4314492641153711</v>
      </c>
      <c r="L19" s="15">
        <f>Returns!J8</f>
        <v>0.2337546711260228</v>
      </c>
      <c r="M19" s="15">
        <f>Returns!K8</f>
        <v>-0.34266225773048581</v>
      </c>
      <c r="N19" s="14">
        <f t="array" ref="N19:P19">MMULT(Returns!B8:F8,MMULT(Exposures!C4:E8,MINVERSE(MMULT(TRANSPOSE(Exposures!C4:E8),Exposures!C4:E8))))</f>
        <v>-2.8070030232508998</v>
      </c>
      <c r="O19">
        <v>0.23280022221816504</v>
      </c>
      <c r="P19">
        <v>-0.86658271608094128</v>
      </c>
      <c r="Q19" t="str">
        <f t="shared" si="6"/>
        <v>MATCH</v>
      </c>
    </row>
    <row r="20" spans="1:17" x14ac:dyDescent="0.2">
      <c r="A20">
        <v>6</v>
      </c>
      <c r="B20" s="14">
        <f>Exposures!C4*Returns!B9+Exposures!C5*Returns!C9+Exposures!C6*Returns!D9+Exposures!C7*Returns!E9+Exposures!C8*Returns!F9</f>
        <v>-6.3821523347808915</v>
      </c>
      <c r="C20" s="14">
        <f>Exposures!D4*Returns!B9+Exposures!D5*Returns!C9+Exposures!D6*Returns!D9+Exposures!D7*Returns!E9+Exposures!D8*Returns!F9</f>
        <v>-0.70267901424238821</v>
      </c>
      <c r="D20" s="14">
        <f>Exposures!E4*Returns!B9+Exposures!E5*Returns!C9+Exposures!E6*Returns!D9+Exposures!E7*Returns!E9+Exposures!E8*Returns!F9</f>
        <v>1.6671838767487741</v>
      </c>
      <c r="E20" s="14">
        <f t="shared" si="0"/>
        <v>-0.70267901424238821</v>
      </c>
      <c r="F20" s="14">
        <f t="shared" si="1"/>
        <v>1.6671838767487741</v>
      </c>
      <c r="G20" s="14">
        <f t="shared" si="2"/>
        <v>1.5642050556960103</v>
      </c>
      <c r="H20" s="14">
        <f t="shared" si="3"/>
        <v>0.42215813140861591</v>
      </c>
      <c r="I20" s="14">
        <f t="shared" si="4"/>
        <v>-0.14005125494942355</v>
      </c>
      <c r="J20" s="14">
        <f t="shared" si="5"/>
        <v>-1.2764304669561783</v>
      </c>
      <c r="K20" s="15">
        <f>Returns!I9</f>
        <v>-1.5230513096072451</v>
      </c>
      <c r="L20" s="15">
        <f>Returns!J9</f>
        <v>-0.42964623144161912</v>
      </c>
      <c r="M20" s="15">
        <f>Returns!K9</f>
        <v>-0.28170684039058369</v>
      </c>
      <c r="N20" s="14">
        <f t="array" ref="N20:P20">MMULT(Returns!B9:F9,MMULT(Exposures!C4:E8,MINVERSE(MMULT(TRANSPOSE(Exposures!C4:E8),Exposures!C4:E8))))</f>
        <v>-1.2764304669561781</v>
      </c>
      <c r="O20">
        <v>-0.14005125494942361</v>
      </c>
      <c r="P20">
        <v>0.42215813140861591</v>
      </c>
      <c r="Q20" t="str">
        <f t="shared" si="6"/>
        <v>MATCH</v>
      </c>
    </row>
    <row r="21" spans="1:17" x14ac:dyDescent="0.2">
      <c r="A21">
        <v>7</v>
      </c>
      <c r="B21" s="14">
        <f>Exposures!C4*Returns!B10+Exposures!C5*Returns!C10+Exposures!C6*Returns!D10+Exposures!C7*Returns!E10+Exposures!C8*Returns!F10</f>
        <v>2.4849434461086228</v>
      </c>
      <c r="C21" s="14">
        <f>Exposures!D4*Returns!B10+Exposures!D5*Returns!C10+Exposures!D6*Returns!D10+Exposures!D7*Returns!E10+Exposures!D8*Returns!F10</f>
        <v>0.33226851610046015</v>
      </c>
      <c r="D21" s="14">
        <f>Exposures!E4*Returns!B10+Exposures!E5*Returns!C10+Exposures!E6*Returns!D10+Exposures!E7*Returns!E10+Exposures!E8*Returns!F10</f>
        <v>0.42204496697656801</v>
      </c>
      <c r="E21" s="14">
        <f t="shared" si="0"/>
        <v>0.33226851610046015</v>
      </c>
      <c r="F21" s="14">
        <f t="shared" si="1"/>
        <v>0.42204496697656801</v>
      </c>
      <c r="G21" s="14">
        <f t="shared" si="2"/>
        <v>0.47073949088784239</v>
      </c>
      <c r="H21" s="14">
        <f t="shared" si="3"/>
        <v>0.12704632498776139</v>
      </c>
      <c r="I21" s="14">
        <f t="shared" si="4"/>
        <v>0.11409831662190187</v>
      </c>
      <c r="J21" s="14">
        <f t="shared" si="5"/>
        <v>0.49698868922172457</v>
      </c>
      <c r="K21" s="15">
        <f>Returns!I10</f>
        <v>0.4789765644341995</v>
      </c>
      <c r="L21" s="15">
        <f>Returns!J10</f>
        <v>0.18437539204124939</v>
      </c>
      <c r="M21" s="15">
        <f>Returns!K10</f>
        <v>0.42584734844267902</v>
      </c>
      <c r="N21" s="14">
        <f t="array" ref="N21:P21">MMULT(Returns!B10:F10,MMULT(Exposures!C4:E8,MINVERSE(MMULT(TRANSPOSE(Exposures!C4:E8),Exposures!C4:E8))))</f>
        <v>0.49698868922172457</v>
      </c>
      <c r="O21">
        <v>0.11409831662190191</v>
      </c>
      <c r="P21">
        <v>0.12704632498776139</v>
      </c>
      <c r="Q21" t="str">
        <f t="shared" si="6"/>
        <v>MATCH</v>
      </c>
    </row>
    <row r="22" spans="1:17" x14ac:dyDescent="0.2">
      <c r="A22">
        <v>8</v>
      </c>
      <c r="B22" s="14">
        <f>Exposures!C4*Returns!B11+Exposures!C5*Returns!C11+Exposures!C6*Returns!D11+Exposures!C7*Returns!E11+Exposures!C8*Returns!F11</f>
        <v>-0.5047937116404867</v>
      </c>
      <c r="C22" s="14">
        <f>Exposures!D4*Returns!B11+Exposures!D5*Returns!C11+Exposures!D6*Returns!D11+Exposures!D7*Returns!E11+Exposures!D8*Returns!F11</f>
        <v>-3.0100721718842474</v>
      </c>
      <c r="D22" s="14">
        <f>Exposures!E4*Returns!B11+Exposures!E5*Returns!C11+Exposures!E6*Returns!D11+Exposures!E7*Returns!E11+Exposures!E8*Returns!F11</f>
        <v>0.50572899661503989</v>
      </c>
      <c r="E22" s="14">
        <f t="shared" si="0"/>
        <v>-3.0100721718842474</v>
      </c>
      <c r="F22" s="14">
        <f t="shared" si="1"/>
        <v>0.50572899661503989</v>
      </c>
      <c r="G22" s="14">
        <f t="shared" si="2"/>
        <v>6.4597730045796553E-2</v>
      </c>
      <c r="H22" s="14">
        <f t="shared" si="3"/>
        <v>1.7434067809758733E-2</v>
      </c>
      <c r="I22" s="14">
        <f t="shared" si="4"/>
        <v>-0.86240827508657203</v>
      </c>
      <c r="J22" s="14">
        <f t="shared" si="5"/>
        <v>-0.10095874232809735</v>
      </c>
      <c r="K22" s="15">
        <f>Returns!I11</f>
        <v>-0.14273962928101511</v>
      </c>
      <c r="L22" s="15">
        <f>Returns!J11</f>
        <v>-0.47944130041449939</v>
      </c>
      <c r="M22" s="15">
        <f>Returns!K11</f>
        <v>0.29235525149126268</v>
      </c>
      <c r="N22" s="14">
        <f t="array" ref="N22:P22">MMULT(Returns!B11:F11,MMULT(Exposures!C4:E8,MINVERSE(MMULT(TRANSPOSE(Exposures!C4:E8),Exposures!C4:E8))))</f>
        <v>-0.10095874232809732</v>
      </c>
      <c r="O22">
        <v>-0.86240827508657214</v>
      </c>
      <c r="P22">
        <v>1.7434067809758674E-2</v>
      </c>
      <c r="Q22" t="str">
        <f t="shared" si="6"/>
        <v>MATCH</v>
      </c>
    </row>
    <row r="23" spans="1:17" x14ac:dyDescent="0.2">
      <c r="A23">
        <v>9</v>
      </c>
      <c r="B23" s="14">
        <f>Exposures!C4*Returns!B12+Exposures!C5*Returns!C12+Exposures!C6*Returns!D12+Exposures!C7*Returns!E12+Exposures!C8*Returns!F12</f>
        <v>-0.71114017451278699</v>
      </c>
      <c r="C23" s="14">
        <f>Exposures!D4*Returns!B12+Exposures!D5*Returns!C12+Exposures!D6*Returns!D12+Exposures!D7*Returns!E12+Exposures!D8*Returns!F12</f>
        <v>5.5395126189013308E-2</v>
      </c>
      <c r="D23" s="14">
        <f>Exposures!E4*Returns!B12+Exposures!E5*Returns!C12+Exposures!E6*Returns!D12+Exposures!E7*Returns!E12+Exposures!E8*Returns!F12</f>
        <v>-0.96229865881915466</v>
      </c>
      <c r="E23" s="14">
        <f t="shared" si="0"/>
        <v>5.5395126189013308E-2</v>
      </c>
      <c r="F23" s="14">
        <f t="shared" si="1"/>
        <v>-0.96229865881915466</v>
      </c>
      <c r="G23" s="14">
        <f t="shared" si="2"/>
        <v>-0.95418040756731648</v>
      </c>
      <c r="H23" s="14">
        <f t="shared" si="3"/>
        <v>-0.25752059579304509</v>
      </c>
      <c r="I23" s="14">
        <f t="shared" si="4"/>
        <v>-2.1821947605011421E-2</v>
      </c>
      <c r="J23" s="14">
        <f t="shared" si="5"/>
        <v>-0.14222803490255739</v>
      </c>
      <c r="K23" s="15">
        <f>Returns!I12</f>
        <v>0.27647837949399567</v>
      </c>
      <c r="L23" s="15">
        <f>Returns!J12</f>
        <v>0.43922515065363632</v>
      </c>
      <c r="M23" s="15">
        <f>Returns!K12</f>
        <v>0.33018608927679072</v>
      </c>
      <c r="N23" s="14">
        <f t="array" ref="N23:P23">MMULT(Returns!B12:F12,MMULT(Exposures!C4:E8,MINVERSE(MMULT(TRANSPOSE(Exposures!C4:E8),Exposures!C4:E8))))</f>
        <v>-0.14222803490255739</v>
      </c>
      <c r="O23">
        <v>-2.1821947605011424E-2</v>
      </c>
      <c r="P23">
        <v>-0.25752059579304509</v>
      </c>
      <c r="Q23" t="str">
        <f t="shared" si="6"/>
        <v>MATCH</v>
      </c>
    </row>
    <row r="24" spans="1:17" x14ac:dyDescent="0.2">
      <c r="A24">
        <v>10</v>
      </c>
      <c r="B24" s="14">
        <f>Exposures!C4*Returns!B13+Exposures!C5*Returns!C13+Exposures!C6*Returns!D13+Exposures!C7*Returns!E13+Exposures!C8*Returns!F13</f>
        <v>-3.8416166392785609</v>
      </c>
      <c r="C24" s="14">
        <f>Exposures!D4*Returns!B13+Exposures!D5*Returns!C13+Exposures!D6*Returns!D13+Exposures!D7*Returns!E13+Exposures!D8*Returns!F13</f>
        <v>-1.1143367104730746</v>
      </c>
      <c r="D24" s="14">
        <f>Exposures!E4*Returns!B13+Exposures!E5*Returns!C13+Exposures!E6*Returns!D13+Exposures!E7*Returns!E13+Exposures!E8*Returns!F13</f>
        <v>1.6576567944545892</v>
      </c>
      <c r="E24" s="14">
        <f t="shared" si="0"/>
        <v>-1.1143367104730746</v>
      </c>
      <c r="F24" s="14">
        <f t="shared" si="1"/>
        <v>1.6576567944545892</v>
      </c>
      <c r="G24" s="14">
        <f t="shared" si="2"/>
        <v>1.4943488282645696</v>
      </c>
      <c r="H24" s="14">
        <f t="shared" si="3"/>
        <v>0.40330486512340358</v>
      </c>
      <c r="I24" s="14">
        <f t="shared" si="4"/>
        <v>-0.26110667507475249</v>
      </c>
      <c r="J24" s="14">
        <f t="shared" si="5"/>
        <v>-0.76832332785571222</v>
      </c>
      <c r="K24" s="15">
        <f>Returns!I13</f>
        <v>-0.89426149860301196</v>
      </c>
      <c r="L24" s="15">
        <f>Returns!J13</f>
        <v>-2.4962955493126451E-2</v>
      </c>
      <c r="M24" s="15">
        <f>Returns!K13</f>
        <v>0.3446568024063062</v>
      </c>
      <c r="N24" s="14">
        <f t="array" ref="N24:P24">MMULT(Returns!B13:F13,MMULT(Exposures!C4:E8,MINVERSE(MMULT(TRANSPOSE(Exposures!C4:E8),Exposures!C4:E8))))</f>
        <v>-0.76832332785571222</v>
      </c>
      <c r="O24">
        <v>-0.26110667507475271</v>
      </c>
      <c r="P24">
        <v>0.40330486512340358</v>
      </c>
      <c r="Q24" t="str">
        <f t="shared" si="6"/>
        <v>MATCH</v>
      </c>
    </row>
    <row r="26" spans="1:17" ht="28" customHeight="1" x14ac:dyDescent="0.2">
      <c r="A26" s="11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showGridLines="0" workbookViewId="0">
      <selection activeCell="F32" sqref="F32"/>
    </sheetView>
  </sheetViews>
  <sheetFormatPr baseColWidth="10" defaultColWidth="8.83203125" defaultRowHeight="15" x14ac:dyDescent="0.2"/>
  <cols>
    <col min="1" max="1" width="8" customWidth="1"/>
    <col min="2" max="7" width="11" customWidth="1"/>
  </cols>
  <sheetData>
    <row r="1" spans="1:7" ht="19" x14ac:dyDescent="0.25">
      <c r="A1" s="1" t="s">
        <v>132</v>
      </c>
      <c r="B1" s="2"/>
      <c r="C1" s="2"/>
      <c r="D1" s="2"/>
      <c r="E1" s="2"/>
      <c r="F1" s="2"/>
      <c r="G1" s="2"/>
    </row>
    <row r="4" spans="1:7" ht="16" x14ac:dyDescent="0.2">
      <c r="A4" s="3" t="s">
        <v>133</v>
      </c>
    </row>
    <row r="5" spans="1:7" x14ac:dyDescent="0.2">
      <c r="A5" s="5" t="s">
        <v>61</v>
      </c>
      <c r="B5" s="5" t="s">
        <v>134</v>
      </c>
      <c r="C5" s="5" t="s">
        <v>135</v>
      </c>
      <c r="D5" s="5" t="s">
        <v>136</v>
      </c>
      <c r="E5" s="5" t="s">
        <v>137</v>
      </c>
      <c r="F5" s="5" t="s">
        <v>138</v>
      </c>
    </row>
    <row r="6" spans="1:7" x14ac:dyDescent="0.2">
      <c r="A6">
        <v>1</v>
      </c>
      <c r="B6" s="14">
        <f>Elimination_Solve!J15*Exposures!C4+Elimination_Solve!I15*Exposures!D4+Elimination_Solve!H15*Exposures!E4</f>
        <v>0.61546581134751921</v>
      </c>
      <c r="C6" s="14">
        <f>Elimination_Solve!J15*Exposures!C5+Elimination_Solve!I15*Exposures!D5+Elimination_Solve!H15*Exposures!E5</f>
        <v>0.80559089541461315</v>
      </c>
      <c r="D6" s="14">
        <f>Elimination_Solve!J15*Exposures!C6+Elimination_Solve!I15*Exposures!D6+Elimination_Solve!H15*Exposures!E6</f>
        <v>0.71572931374987092</v>
      </c>
      <c r="E6" s="14">
        <f>Elimination_Solve!J15*Exposures!C7+Elimination_Solve!I15*Exposures!D7+Elimination_Solve!H15*Exposures!E7</f>
        <v>0.625545555003163</v>
      </c>
      <c r="F6" s="14">
        <f>Elimination_Solve!J15*Exposures!C8+Elimination_Solve!I15*Exposures!D8+Elimination_Solve!H15*Exposures!E8</f>
        <v>0.62829792206106116</v>
      </c>
    </row>
    <row r="7" spans="1:7" x14ac:dyDescent="0.2">
      <c r="A7">
        <v>2</v>
      </c>
      <c r="B7" s="14">
        <f>Elimination_Solve!J16*Exposures!C4+Elimination_Solve!I16*Exposures!D4+Elimination_Solve!H16*Exposures!E4</f>
        <v>-2.0732025340190008</v>
      </c>
      <c r="C7" s="14">
        <f>Elimination_Solve!J16*Exposures!C5+Elimination_Solve!I16*Exposures!D5+Elimination_Solve!H16*Exposures!E5</f>
        <v>-0.70545962012853325</v>
      </c>
      <c r="D7" s="14">
        <f>Elimination_Solve!J16*Exposures!C6+Elimination_Solve!I16*Exposures!D6+Elimination_Solve!H16*Exposures!E6</f>
        <v>-2.090554613366471</v>
      </c>
      <c r="E7" s="14">
        <f>Elimination_Solve!J16*Exposures!C7+Elimination_Solve!I16*Exposures!D7+Elimination_Solve!H16*Exposures!E7</f>
        <v>-0.83591321583719114</v>
      </c>
      <c r="F7" s="14">
        <f>Elimination_Solve!J16*Exposures!C8+Elimination_Solve!I16*Exposures!D8+Elimination_Solve!H16*Exposures!E8</f>
        <v>-1.033916675808819</v>
      </c>
    </row>
    <row r="8" spans="1:7" x14ac:dyDescent="0.2">
      <c r="A8">
        <v>3</v>
      </c>
      <c r="B8" s="14">
        <f>Elimination_Solve!J17*Exposures!C4+Elimination_Solve!I17*Exposures!D4+Elimination_Solve!H17*Exposures!E4</f>
        <v>2.0171816154518654</v>
      </c>
      <c r="C8" s="14">
        <f>Elimination_Solve!J17*Exposures!C5+Elimination_Solve!I17*Exposures!D5+Elimination_Solve!H17*Exposures!E5</f>
        <v>0.91325429404911951</v>
      </c>
      <c r="D8" s="14">
        <f>Elimination_Solve!J17*Exposures!C6+Elimination_Solve!I17*Exposures!D6+Elimination_Solve!H17*Exposures!E6</f>
        <v>2.1601492297549338</v>
      </c>
      <c r="E8" s="14">
        <f>Elimination_Solve!J17*Exposures!C7+Elimination_Solve!I17*Exposures!D7+Elimination_Solve!H17*Exposures!E7</f>
        <v>0.81518159319459782</v>
      </c>
      <c r="F8" s="14">
        <f>Elimination_Solve!J17*Exposures!C8+Elimination_Solve!I17*Exposures!D8+Elimination_Solve!H17*Exposures!E8</f>
        <v>1.0130207683792232</v>
      </c>
    </row>
    <row r="9" spans="1:7" x14ac:dyDescent="0.2">
      <c r="A9">
        <v>4</v>
      </c>
      <c r="B9" s="14">
        <f>Elimination_Solve!J18*Exposures!C4+Elimination_Solve!I18*Exposures!D4+Elimination_Solve!H18*Exposures!E4</f>
        <v>1.1656396293992268</v>
      </c>
      <c r="C9" s="14">
        <f>Elimination_Solve!J18*Exposures!C5+Elimination_Solve!I18*Exposures!D5+Elimination_Solve!H18*Exposures!E5</f>
        <v>3.164298519827915</v>
      </c>
      <c r="D9" s="14">
        <f>Elimination_Solve!J18*Exposures!C6+Elimination_Solve!I18*Exposures!D6+Elimination_Solve!H18*Exposures!E6</f>
        <v>1.8840693196067728</v>
      </c>
      <c r="E9" s="14">
        <f>Elimination_Solve!J18*Exposures!C7+Elimination_Solve!I18*Exposures!D7+Elimination_Solve!H18*Exposures!E7</f>
        <v>1.8007756748357822</v>
      </c>
      <c r="F9" s="14">
        <f>Elimination_Solve!J18*Exposures!C8+Elimination_Solve!I18*Exposures!D8+Elimination_Solve!H18*Exposures!E8</f>
        <v>1.7307581758621666</v>
      </c>
    </row>
    <row r="10" spans="1:7" x14ac:dyDescent="0.2">
      <c r="A10">
        <v>5</v>
      </c>
      <c r="B10" s="14">
        <f>Elimination_Solve!J19*Exposures!C4+Elimination_Solve!I19*Exposures!D4+Elimination_Solve!H19*Exposures!E4</f>
        <v>-3.7731676454982788</v>
      </c>
      <c r="C10" s="14">
        <f>Elimination_Solve!J19*Exposures!C5+Elimination_Solve!I19*Exposures!D5+Elimination_Solve!H19*Exposures!E5</f>
        <v>-1.9378530602750872</v>
      </c>
      <c r="D10" s="14">
        <f>Elimination_Solve!J19*Exposures!C6+Elimination_Solve!I19*Exposures!D6+Elimination_Solve!H19*Exposures!E6</f>
        <v>-3.7770622158825797</v>
      </c>
      <c r="E10" s="14">
        <f>Elimination_Solve!J19*Exposures!C7+Elimination_Solve!I19*Exposures!D7+Elimination_Solve!H19*Exposures!E7</f>
        <v>-2.1434786898871345</v>
      </c>
      <c r="F10" s="14">
        <f>Elimination_Solve!J19*Exposures!C8+Elimination_Solve!I19*Exposures!D8+Elimination_Solve!H19*Exposures!E8</f>
        <v>-2.4034535047114169</v>
      </c>
    </row>
    <row r="11" spans="1:7" x14ac:dyDescent="0.2">
      <c r="A11">
        <v>6</v>
      </c>
      <c r="B11" s="14">
        <f>Elimination_Solve!J20*Exposures!C4+Elimination_Solve!I20*Exposures!D4+Elimination_Solve!H20*Exposures!E4</f>
        <v>-0.78444714472888522</v>
      </c>
      <c r="C11" s="14">
        <f>Elimination_Solve!J20*Exposures!C5+Elimination_Solve!I20*Exposures!D5+Elimination_Solve!H20*Exposures!E5</f>
        <v>-1.739802228225483</v>
      </c>
      <c r="D11" s="14">
        <f>Elimination_Solve!J20*Exposures!C6+Elimination_Solve!I20*Exposures!D6+Elimination_Solve!H20*Exposures!E6</f>
        <v>-0.81185608575066626</v>
      </c>
      <c r="E11" s="14">
        <f>Elimination_Solve!J20*Exposures!C7+Elimination_Solve!I20*Exposures!D7+Elimination_Solve!H20*Exposures!E7</f>
        <v>-1.586347157749221</v>
      </c>
      <c r="F11" s="14">
        <f>Elimination_Solve!J20*Exposures!C8+Elimination_Solve!I20*Exposures!D8+Elimination_Solve!H20*Exposures!E8</f>
        <v>-1.459699718326636</v>
      </c>
    </row>
    <row r="12" spans="1:7" x14ac:dyDescent="0.2">
      <c r="A12">
        <v>7</v>
      </c>
      <c r="B12" s="14">
        <f>Elimination_Solve!J21*Exposures!C4+Elimination_Solve!I21*Exposures!D4+Elimination_Solve!H21*Exposures!E4</f>
        <v>0.52005172841318836</v>
      </c>
      <c r="C12" s="14">
        <f>Elimination_Solve!J21*Exposures!C5+Elimination_Solve!I21*Exposures!D5+Elimination_Solve!H21*Exposures!E5</f>
        <v>0.59190836916192047</v>
      </c>
      <c r="D12" s="14">
        <f>Elimination_Solve!J21*Exposures!C6+Elimination_Solve!I21*Exposures!D6+Elimination_Solve!H21*Exposures!E6</f>
        <v>0.68367377419360875</v>
      </c>
      <c r="E12" s="14">
        <f>Elimination_Solve!J21*Exposures!C7+Elimination_Solve!I21*Exposures!D7+Elimination_Solve!H21*Exposures!E7</f>
        <v>0.32559783842178841</v>
      </c>
      <c r="F12" s="14">
        <f>Elimination_Solve!J21*Exposures!C8+Elimination_Solve!I21*Exposures!D8+Elimination_Solve!H21*Exposures!E8</f>
        <v>0.36371173591811679</v>
      </c>
    </row>
    <row r="13" spans="1:7" x14ac:dyDescent="0.2">
      <c r="A13">
        <v>8</v>
      </c>
      <c r="B13" s="14">
        <f>Elimination_Solve!J22*Exposures!C4+Elimination_Solve!I22*Exposures!D4+Elimination_Solve!H22*Exposures!E4</f>
        <v>0.60465853876994324</v>
      </c>
      <c r="C13" s="14">
        <f>Elimination_Solve!J22*Exposures!C5+Elimination_Solve!I22*Exposures!D5+Elimination_Solve!H22*Exposures!E5</f>
        <v>-1.4050315956438106</v>
      </c>
      <c r="D13" s="14">
        <f>Elimination_Solve!J22*Exposures!C6+Elimination_Solve!I22*Exposures!D6+Elimination_Solve!H22*Exposures!E6</f>
        <v>-0.33876034348235845</v>
      </c>
      <c r="E13" s="14">
        <f>Elimination_Solve!J22*Exposures!C7+Elimination_Solve!I22*Exposures!D7+Elimination_Solve!H22*Exposures!E7</f>
        <v>0.31455473418640584</v>
      </c>
      <c r="F13" s="14">
        <f>Elimination_Solve!J22*Exposures!C8+Elimination_Solve!I22*Exposures!D8+Elimination_Solve!H22*Exposures!E8</f>
        <v>0.31978495452933348</v>
      </c>
    </row>
    <row r="14" spans="1:7" x14ac:dyDescent="0.2">
      <c r="A14">
        <v>9</v>
      </c>
      <c r="B14" s="14">
        <f>Elimination_Solve!J23*Exposures!C4+Elimination_Solve!I23*Exposures!D4+Elimination_Solve!H23*Exposures!E4</f>
        <v>-0.35653901303228885</v>
      </c>
      <c r="C14" s="14">
        <f>Elimination_Solve!J23*Exposures!C5+Elimination_Solve!I23*Exposures!D5+Elimination_Solve!H23*Exposures!E5</f>
        <v>-2.0448598834247461E-2</v>
      </c>
      <c r="D14" s="14">
        <f>Elimination_Solve!J23*Exposures!C6+Elimination_Solve!I23*Exposures!D6+Elimination_Solve!H23*Exposures!E6</f>
        <v>-0.45779933413571494</v>
      </c>
      <c r="E14" s="14">
        <f>Elimination_Solve!J23*Exposures!C7+Elimination_Solve!I23*Exposures!D7+Elimination_Solve!H23*Exposures!E7</f>
        <v>0.1004514751136889</v>
      </c>
      <c r="F14" s="14">
        <f>Elimination_Solve!J23*Exposures!C8+Elimination_Solve!I23*Exposures!D8+Elimination_Solve!H23*Exposures!E8</f>
        <v>2.3195296375775387E-2</v>
      </c>
    </row>
    <row r="15" spans="1:7" x14ac:dyDescent="0.2">
      <c r="A15">
        <v>10</v>
      </c>
      <c r="B15" s="14">
        <f>Elimination_Solve!J24*Exposures!C4+Elimination_Solve!I24*Exposures!D4+Elimination_Solve!H24*Exposures!E4</f>
        <v>-0.19646360918484701</v>
      </c>
      <c r="C15" s="14">
        <f>Elimination_Solve!J24*Exposures!C5+Elimination_Solve!I24*Exposures!D5+Elimination_Solve!H24*Exposures!E5</f>
        <v>-1.4019662595418831</v>
      </c>
      <c r="D15" s="14">
        <f>Elimination_Solve!J24*Exposures!C6+Elimination_Solve!I24*Exposures!D6+Elimination_Solve!H24*Exposures!E6</f>
        <v>-0.36268949223005376</v>
      </c>
      <c r="E15" s="14">
        <f>Elimination_Solve!J24*Exposures!C7+Elimination_Solve!I24*Exposures!D7+Elimination_Solve!H24*Exposures!E7</f>
        <v>-1.0007443689293993</v>
      </c>
      <c r="F15" s="14">
        <f>Elimination_Solve!J24*Exposures!C8+Elimination_Solve!I24*Exposures!D8+Elimination_Solve!H24*Exposures!E8</f>
        <v>-0.87975290939237816</v>
      </c>
    </row>
    <row r="17" spans="1:6" ht="16" x14ac:dyDescent="0.2">
      <c r="A17" s="3" t="s">
        <v>139</v>
      </c>
    </row>
    <row r="18" spans="1:6" x14ac:dyDescent="0.2">
      <c r="A18" s="5" t="s">
        <v>61</v>
      </c>
      <c r="B18" s="5" t="s">
        <v>140</v>
      </c>
      <c r="C18" s="5" t="s">
        <v>141</v>
      </c>
      <c r="D18" s="5" t="s">
        <v>142</v>
      </c>
      <c r="E18" s="5" t="s">
        <v>143</v>
      </c>
      <c r="F18" s="5" t="s">
        <v>144</v>
      </c>
    </row>
    <row r="19" spans="1:6" x14ac:dyDescent="0.2">
      <c r="A19">
        <v>1</v>
      </c>
      <c r="B19" s="14">
        <f>Returns!B4-B6</f>
        <v>0.6971018090461959</v>
      </c>
      <c r="C19" s="14">
        <f>Returns!C4-C6</f>
        <v>0.38480492042120584</v>
      </c>
      <c r="D19" s="14">
        <f>Returns!D4-D6</f>
        <v>-0.70059912266069146</v>
      </c>
      <c r="E19" s="14">
        <f>Returns!E4-E6</f>
        <v>-0.71808569073316864</v>
      </c>
      <c r="F19" s="14">
        <f>Returns!F4-F6</f>
        <v>0.33677808392645803</v>
      </c>
    </row>
    <row r="20" spans="1:6" x14ac:dyDescent="0.2">
      <c r="A20">
        <v>2</v>
      </c>
      <c r="B20" s="14">
        <f>Returns!B5-B7</f>
        <v>0.68032488550033587</v>
      </c>
      <c r="C20" s="14">
        <f>Returns!C5-C7</f>
        <v>0.37990878391903027</v>
      </c>
      <c r="D20" s="14">
        <f>Returns!D5-D7</f>
        <v>-0.69465012773494994</v>
      </c>
      <c r="E20" s="14">
        <f>Returns!E5-E7</f>
        <v>-0.76627633890801783</v>
      </c>
      <c r="F20" s="14">
        <f>Returns!F5-F7</f>
        <v>0.40069279722360085</v>
      </c>
    </row>
    <row r="21" spans="1:6" x14ac:dyDescent="0.2">
      <c r="A21">
        <v>3</v>
      </c>
      <c r="B21" s="14">
        <f>Returns!B6-B8</f>
        <v>0.55889462909971055</v>
      </c>
      <c r="C21" s="14">
        <f>Returns!C6-C8</f>
        <v>0.28028854850093454</v>
      </c>
      <c r="D21" s="14">
        <f>Returns!D6-D8</f>
        <v>-0.49113588533994479</v>
      </c>
      <c r="E21" s="14">
        <f>Returns!E6-E8</f>
        <v>-0.15234216654111588</v>
      </c>
      <c r="F21" s="14">
        <f>Returns!F6-F8</f>
        <v>-0.19570512571958476</v>
      </c>
    </row>
    <row r="22" spans="1:6" x14ac:dyDescent="0.2">
      <c r="A22">
        <v>4</v>
      </c>
      <c r="B22" s="14">
        <f>Returns!B7-B9</f>
        <v>-1.6624379637717457E-3</v>
      </c>
      <c r="C22" s="14">
        <f>Returns!C7-C9</f>
        <v>-1.790271569743318E-2</v>
      </c>
      <c r="D22" s="14">
        <f>Returns!D7-D9</f>
        <v>4.4133375007168185E-2</v>
      </c>
      <c r="E22" s="14">
        <f>Returns!E7-E9</f>
        <v>0.25648806022415194</v>
      </c>
      <c r="F22" s="14">
        <f>Returns!F7-F9</f>
        <v>-0.28105628157011564</v>
      </c>
    </row>
    <row r="23" spans="1:6" x14ac:dyDescent="0.2">
      <c r="A23">
        <v>5</v>
      </c>
      <c r="B23" s="14">
        <f>Returns!B8-B10</f>
        <v>0.9908783118696447</v>
      </c>
      <c r="C23" s="14">
        <f>Returns!C8-C10</f>
        <v>0.50453491557402019</v>
      </c>
      <c r="D23" s="14">
        <f>Returns!D8-D10</f>
        <v>-0.88975792198393355</v>
      </c>
      <c r="E23" s="14">
        <f>Returns!E8-E10</f>
        <v>-0.38415597255538136</v>
      </c>
      <c r="F23" s="14">
        <f>Returns!F8-F10</f>
        <v>-0.22149933290434998</v>
      </c>
    </row>
    <row r="24" spans="1:6" x14ac:dyDescent="0.2">
      <c r="A24">
        <v>6</v>
      </c>
      <c r="B24" s="14">
        <f>Returns!B9-B11</f>
        <v>-0.96786226019826072</v>
      </c>
      <c r="C24" s="14">
        <f>Returns!C9-C11</f>
        <v>-0.451293900168519</v>
      </c>
      <c r="D24" s="14">
        <f>Returns!D9-D11</f>
        <v>0.76528640284694949</v>
      </c>
      <c r="E24" s="14">
        <f>Returns!E9-E11</f>
        <v>-0.24759288390960799</v>
      </c>
      <c r="F24" s="14">
        <f>Returns!F9-F11</f>
        <v>0.90146264142943888</v>
      </c>
    </row>
    <row r="25" spans="1:6" x14ac:dyDescent="0.2">
      <c r="A25">
        <v>7</v>
      </c>
      <c r="B25" s="14">
        <f>Returns!B10-B12</f>
        <v>-0.64674774982147964</v>
      </c>
      <c r="C25" s="14">
        <f>Returns!C10-C12</f>
        <v>-0.32629664672149677</v>
      </c>
      <c r="D25" s="14">
        <f>Returns!D10-D12</f>
        <v>0.57321121062068725</v>
      </c>
      <c r="E25" s="14">
        <f>Returns!E10-E12</f>
        <v>0.20552851461672555</v>
      </c>
      <c r="F25" s="14">
        <f>Returns!F10-F12</f>
        <v>0.19430467130556361</v>
      </c>
    </row>
    <row r="26" spans="1:6" x14ac:dyDescent="0.2">
      <c r="A26">
        <v>8</v>
      </c>
      <c r="B26" s="14">
        <f>Returns!B11-B13</f>
        <v>0.29594821622274026</v>
      </c>
      <c r="C26" s="14">
        <f>Returns!C11-C13</f>
        <v>0.12360931427238264</v>
      </c>
      <c r="D26" s="14">
        <f>Returns!D11-D13</f>
        <v>-0.19804270459742851</v>
      </c>
      <c r="E26" s="14">
        <f>Returns!E11-E13</f>
        <v>0.29148485352913084</v>
      </c>
      <c r="F26" s="14">
        <f>Returns!F11-F13</f>
        <v>-0.51299967942682534</v>
      </c>
    </row>
    <row r="27" spans="1:6" x14ac:dyDescent="0.2">
      <c r="A27">
        <v>9</v>
      </c>
      <c r="B27" s="14">
        <f>Returns!B12-B14</f>
        <v>-5.903840931647375E-2</v>
      </c>
      <c r="C27" s="14">
        <f>Returns!C12-C14</f>
        <v>-3.5647999059813279E-2</v>
      </c>
      <c r="D27" s="14">
        <f>Returns!D12-D14</f>
        <v>6.6980594155855555E-2</v>
      </c>
      <c r="E27" s="14">
        <f>Returns!E12-E14</f>
        <v>0.10669151835276461</v>
      </c>
      <c r="F27" s="14">
        <f>Returns!F12-F14</f>
        <v>-7.8985704132333134E-2</v>
      </c>
    </row>
    <row r="28" spans="1:6" x14ac:dyDescent="0.2">
      <c r="A28">
        <v>10</v>
      </c>
      <c r="B28" s="14">
        <f>Returns!B13-B15</f>
        <v>-2.2393725824104094E-2</v>
      </c>
      <c r="C28" s="14">
        <f>Returns!C13-C15</f>
        <v>-3.5610606180175752E-2</v>
      </c>
      <c r="D28" s="14">
        <f>Returns!D13-D15</f>
        <v>8.0628868266399867E-2</v>
      </c>
      <c r="E28" s="14">
        <f>Returns!E13-E15</f>
        <v>0.37180458047787812</v>
      </c>
      <c r="F28" s="14">
        <f>Returns!F13-F15</f>
        <v>-0.39442911673999781</v>
      </c>
    </row>
    <row r="30" spans="1:6" ht="16" x14ac:dyDescent="0.2">
      <c r="A30" s="3" t="s">
        <v>145</v>
      </c>
    </row>
    <row r="31" spans="1:6" x14ac:dyDescent="0.2">
      <c r="A31" s="5" t="s">
        <v>44</v>
      </c>
      <c r="B31" s="5" t="s">
        <v>146</v>
      </c>
      <c r="C31" s="5" t="s">
        <v>147</v>
      </c>
      <c r="D31" s="5" t="s">
        <v>148</v>
      </c>
      <c r="E31" s="5" t="s">
        <v>149</v>
      </c>
      <c r="F31" s="5" t="s">
        <v>150</v>
      </c>
    </row>
    <row r="32" spans="1:6" x14ac:dyDescent="0.2">
      <c r="A32" t="s">
        <v>151</v>
      </c>
      <c r="B32" s="14">
        <f>_xlfn.VAR.S(B19:B28)</f>
        <v>0.38410148117022952</v>
      </c>
      <c r="C32" s="14">
        <f>_xlfn.VAR.S(C19:C28)</f>
        <v>9.8752198416715009E-2</v>
      </c>
      <c r="D32" s="14">
        <f>_xlfn.VAR.S(D19:D28)</f>
        <v>0.30712824382095794</v>
      </c>
      <c r="E32" s="14">
        <f>_xlfn.VAR.S(E19:E28)</f>
        <v>0.17445576729444034</v>
      </c>
      <c r="F32" s="14">
        <f>_xlfn.VAR.S(F19:F28)</f>
        <v>0.19038812493707941</v>
      </c>
    </row>
    <row r="33" spans="1:6" x14ac:dyDescent="0.2">
      <c r="A33" t="s">
        <v>152</v>
      </c>
      <c r="B33" s="8">
        <f>SQRT(B32)</f>
        <v>0.61975921225120123</v>
      </c>
      <c r="C33" s="8">
        <f>SQRT(C32)</f>
        <v>0.31424862516280799</v>
      </c>
      <c r="D33" s="8">
        <f>SQRT(D32)</f>
        <v>0.5541915226895463</v>
      </c>
      <c r="E33" s="8">
        <f>SQRT(E32)</f>
        <v>0.41767902424522152</v>
      </c>
      <c r="F33" s="8">
        <f>SQRT(F32)</f>
        <v>0.43633487705783891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showGridLines="0" workbookViewId="0">
      <selection activeCell="B7" sqref="B7"/>
    </sheetView>
  </sheetViews>
  <sheetFormatPr baseColWidth="10" defaultColWidth="8.83203125" defaultRowHeight="15" x14ac:dyDescent="0.2"/>
  <cols>
    <col min="1" max="1" width="14" customWidth="1"/>
    <col min="2" max="4" width="12" customWidth="1"/>
  </cols>
  <sheetData>
    <row r="1" spans="1:11" ht="19" x14ac:dyDescent="0.25">
      <c r="A1" s="1" t="s">
        <v>153</v>
      </c>
      <c r="B1" s="2"/>
      <c r="C1" s="2"/>
      <c r="D1" s="2"/>
    </row>
    <row r="3" spans="1:11" x14ac:dyDescent="0.2">
      <c r="I3" s="5" t="s">
        <v>127</v>
      </c>
      <c r="J3" s="5" t="s">
        <v>128</v>
      </c>
      <c r="K3" s="5" t="s">
        <v>129</v>
      </c>
    </row>
    <row r="4" spans="1:11" x14ac:dyDescent="0.2">
      <c r="A4" s="7" t="s">
        <v>154</v>
      </c>
      <c r="I4" s="14">
        <v>0.67810000000000004</v>
      </c>
      <c r="J4">
        <v>8.8646486999999996E-2</v>
      </c>
      <c r="K4">
        <v>9.1745569999999999E-3</v>
      </c>
    </row>
    <row r="5" spans="1:11" x14ac:dyDescent="0.2">
      <c r="I5" s="14">
        <v>-1.3478000000000001</v>
      </c>
      <c r="J5">
        <v>0.16422852800000001</v>
      </c>
      <c r="K5">
        <v>-0.66001153300000004</v>
      </c>
    </row>
    <row r="6" spans="1:11" x14ac:dyDescent="0.2">
      <c r="A6" s="5" t="s">
        <v>155</v>
      </c>
      <c r="B6" s="5" t="s">
        <v>156</v>
      </c>
      <c r="C6" s="5" t="s">
        <v>157</v>
      </c>
      <c r="D6" s="5" t="s">
        <v>158</v>
      </c>
      <c r="I6" s="14">
        <v>1.3837999999999999</v>
      </c>
      <c r="J6">
        <v>-4.9883236999999997E-2</v>
      </c>
      <c r="K6">
        <v>0.65946391699999996</v>
      </c>
    </row>
    <row r="7" spans="1:11" x14ac:dyDescent="0.2">
      <c r="A7" s="16" t="s">
        <v>156</v>
      </c>
      <c r="B7" s="14">
        <f>_xlfn.COVARIANCE.S(Elimination_Solve!J15:J24,Elimination_Solve!J15:J24)</f>
        <v>1.9991331963608667</v>
      </c>
      <c r="C7" s="14">
        <f>_xlfn.COVARIANCE.S(Elimination_Solve!J15:J24,Elimination_Solve!I15:I24)</f>
        <v>0.11510708355606908</v>
      </c>
      <c r="D7" s="14">
        <f>_xlfn.COVARIANCE.S(Elimination_Solve!J15:J24,Elimination_Solve!H15:H24)</f>
        <v>0.32909931216849314</v>
      </c>
      <c r="I7" s="14">
        <v>1.9491000000000001</v>
      </c>
      <c r="J7">
        <v>0.71677017200000004</v>
      </c>
      <c r="K7">
        <v>-0.233391663</v>
      </c>
    </row>
    <row r="8" spans="1:11" x14ac:dyDescent="0.2">
      <c r="A8" s="16" t="s">
        <v>157</v>
      </c>
      <c r="B8" s="14">
        <f>_xlfn.COVARIANCE.S(Elimination_Solve!I15:I24,Elimination_Solve!J15:J24)</f>
        <v>0.11510708355606908</v>
      </c>
      <c r="C8" s="14">
        <f>_xlfn.COVARIANCE.S(Elimination_Solve!I15:I24,Elimination_Solve!I15:I24)</f>
        <v>0.16114128918294848</v>
      </c>
      <c r="D8" s="14">
        <f>_xlfn.COVARIANCE.S(Elimination_Solve!I15:I24,Elimination_Solve!H15:H24)</f>
        <v>-7.4395930456382237E-2</v>
      </c>
      <c r="I8" s="14">
        <v>-2.8069999999999999</v>
      </c>
      <c r="J8">
        <v>0.232800222</v>
      </c>
      <c r="K8">
        <v>-0.86658271600000003</v>
      </c>
    </row>
    <row r="9" spans="1:11" x14ac:dyDescent="0.2">
      <c r="A9" s="16" t="s">
        <v>158</v>
      </c>
      <c r="B9" s="14">
        <f>_xlfn.COVARIANCE.S(Elimination_Solve!H15:H24,Elimination_Solve!J15:J24)</f>
        <v>0.32909931216849314</v>
      </c>
      <c r="C9" s="14">
        <f>_xlfn.COVARIANCE.S(Elimination_Solve!H15:H24,Elimination_Solve!I15:I24)</f>
        <v>-7.4395930456382237E-2</v>
      </c>
      <c r="D9" s="14">
        <f>_xlfn.COVARIANCE.S(Elimination_Solve!H15:H24,Elimination_Solve!H15:H24)</f>
        <v>0.23170053479430053</v>
      </c>
      <c r="I9" s="14">
        <v>-1.2764</v>
      </c>
      <c r="J9">
        <v>-0.14005125500000001</v>
      </c>
      <c r="K9">
        <v>0.42215813099999999</v>
      </c>
    </row>
    <row r="10" spans="1:11" x14ac:dyDescent="0.2">
      <c r="I10" s="14">
        <v>0.497</v>
      </c>
      <c r="J10">
        <v>0.114098317</v>
      </c>
      <c r="K10">
        <v>0.12704632499999999</v>
      </c>
    </row>
    <row r="11" spans="1:11" x14ac:dyDescent="0.2">
      <c r="A11" s="5" t="s">
        <v>159</v>
      </c>
      <c r="B11" s="5" t="s">
        <v>156</v>
      </c>
      <c r="C11" s="5" t="s">
        <v>157</v>
      </c>
      <c r="D11" s="5" t="s">
        <v>158</v>
      </c>
      <c r="I11" s="14">
        <v>-0.10100000000000001</v>
      </c>
      <c r="J11">
        <v>-0.86240827499999995</v>
      </c>
      <c r="K11">
        <v>1.7434068E-2</v>
      </c>
    </row>
    <row r="12" spans="1:11" x14ac:dyDescent="0.2">
      <c r="A12" s="16" t="s">
        <v>156</v>
      </c>
      <c r="B12" s="8">
        <f>CORREL(Elimination_Solve!J15:J24,Elimination_Solve!J15:J24)</f>
        <v>1.0000000000000002</v>
      </c>
      <c r="C12" s="8">
        <f>CORREL(Elimination_Solve!J15:J24,Elimination_Solve!I15:I24)</f>
        <v>0.20280458444345162</v>
      </c>
      <c r="D12" s="8">
        <f>CORREL(Elimination_Solve!J15:J24,Elimination_Solve!H15:H24)</f>
        <v>0.48355133994588229</v>
      </c>
      <c r="I12" s="14">
        <v>-0.14219999999999999</v>
      </c>
      <c r="J12">
        <v>-2.1821948000000001E-2</v>
      </c>
      <c r="K12">
        <v>-0.25752059599999999</v>
      </c>
    </row>
    <row r="13" spans="1:11" x14ac:dyDescent="0.2">
      <c r="A13" s="16" t="s">
        <v>157</v>
      </c>
      <c r="B13" s="8">
        <f>CORREL(Elimination_Solve!I15:I24,Elimination_Solve!J15:J24)</f>
        <v>0.20280458444345162</v>
      </c>
      <c r="C13" s="8">
        <f>CORREL(Elimination_Solve!I15:I24,Elimination_Solve!I15:I24)</f>
        <v>1</v>
      </c>
      <c r="D13" s="8">
        <f>CORREL(Elimination_Solve!I15:I24,Elimination_Solve!H15:H24)</f>
        <v>-0.38501907365449495</v>
      </c>
      <c r="I13" s="14">
        <v>-0.76829999999999998</v>
      </c>
      <c r="J13">
        <v>-0.26110667500000001</v>
      </c>
      <c r="K13">
        <v>0.40330486500000001</v>
      </c>
    </row>
    <row r="14" spans="1:11" x14ac:dyDescent="0.2">
      <c r="A14" s="16" t="s">
        <v>158</v>
      </c>
      <c r="B14" s="8">
        <f>CORREL(Elimination_Solve!H15:H24,Elimination_Solve!J15:J24)</f>
        <v>0.48355133994588229</v>
      </c>
      <c r="C14" s="8">
        <f>CORREL(Elimination_Solve!H15:H24,Elimination_Solve!I15:I24)</f>
        <v>-0.38501907365449495</v>
      </c>
      <c r="D14" s="8">
        <f>CORREL(Elimination_Solve!H15:H24,Elimination_Solve!H15:H24)</f>
        <v>1.0000000000000002</v>
      </c>
    </row>
    <row r="16" spans="1:11" ht="16" x14ac:dyDescent="0.2">
      <c r="A16" s="3" t="s">
        <v>160</v>
      </c>
    </row>
    <row r="17" spans="1:9" x14ac:dyDescent="0.2">
      <c r="A17" s="5" t="s">
        <v>156</v>
      </c>
      <c r="B17" s="5" t="s">
        <v>157</v>
      </c>
      <c r="C17" s="5" t="s">
        <v>158</v>
      </c>
      <c r="I17">
        <f>_xlfn.COVARIANCE.S(I4:I13,J4:J13)</f>
        <v>0.11510907644299115</v>
      </c>
    </row>
    <row r="18" spans="1:9" x14ac:dyDescent="0.2">
      <c r="A18" s="8">
        <f>SQRT(B7)</f>
        <v>1.4139070677950749</v>
      </c>
      <c r="B18" s="8">
        <f>SQRT(C8)</f>
        <v>0.40142407648638673</v>
      </c>
      <c r="C18" s="8">
        <f>SQRT(D9)</f>
        <v>0.48135281737442914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"/>
  <sheetViews>
    <sheetView showGridLines="0" tabSelected="1" workbookViewId="0">
      <selection activeCell="B26" sqref="B26"/>
    </sheetView>
  </sheetViews>
  <sheetFormatPr baseColWidth="10" defaultColWidth="8.83203125" defaultRowHeight="15" x14ac:dyDescent="0.2"/>
  <cols>
    <col min="1" max="1" width="26" customWidth="1"/>
    <col min="2" max="4" width="14" customWidth="1"/>
  </cols>
  <sheetData>
    <row r="1" spans="1:4" ht="19" x14ac:dyDescent="0.25">
      <c r="A1" s="1" t="s">
        <v>161</v>
      </c>
      <c r="B1" s="2"/>
      <c r="C1" s="2"/>
      <c r="D1" s="2"/>
    </row>
    <row r="4" spans="1:4" x14ac:dyDescent="0.2">
      <c r="A4" s="5" t="s">
        <v>44</v>
      </c>
      <c r="B4" s="5" t="s">
        <v>162</v>
      </c>
    </row>
    <row r="5" spans="1:4" x14ac:dyDescent="0.2">
      <c r="A5" t="s">
        <v>49</v>
      </c>
      <c r="B5" s="6">
        <v>0</v>
      </c>
    </row>
    <row r="6" spans="1:4" x14ac:dyDescent="0.2">
      <c r="A6" t="s">
        <v>51</v>
      </c>
      <c r="B6" s="6">
        <v>0.4</v>
      </c>
    </row>
    <row r="7" spans="1:4" x14ac:dyDescent="0.2">
      <c r="A7" t="s">
        <v>53</v>
      </c>
      <c r="B7" s="6">
        <v>0.35</v>
      </c>
    </row>
    <row r="8" spans="1:4" x14ac:dyDescent="0.2">
      <c r="A8" t="s">
        <v>55</v>
      </c>
      <c r="B8" s="6">
        <v>0.25</v>
      </c>
    </row>
    <row r="9" spans="1:4" x14ac:dyDescent="0.2">
      <c r="A9" t="s">
        <v>57</v>
      </c>
      <c r="B9" s="6">
        <v>0</v>
      </c>
    </row>
    <row r="11" spans="1:4" ht="16" x14ac:dyDescent="0.2">
      <c r="A11" s="3" t="s">
        <v>163</v>
      </c>
    </row>
    <row r="12" spans="1:4" x14ac:dyDescent="0.2">
      <c r="A12" s="5" t="s">
        <v>156</v>
      </c>
      <c r="B12" s="5" t="s">
        <v>157</v>
      </c>
      <c r="C12" s="5" t="s">
        <v>158</v>
      </c>
    </row>
    <row r="13" spans="1:4" x14ac:dyDescent="0.2">
      <c r="A13" s="8">
        <f>SUMPRODUCT(B5:B9,Exposures!C4:C8)</f>
        <v>1</v>
      </c>
      <c r="B13" s="8">
        <f>SUMPRODUCT(B5:B9,Exposures!D4:D8)</f>
        <v>0.58000000000000007</v>
      </c>
      <c r="C13" s="8">
        <f>SUMPRODUCT(B5:B9,Exposures!E4:E8)</f>
        <v>-4.5000000000000012E-2</v>
      </c>
    </row>
    <row r="15" spans="1:4" ht="16" x14ac:dyDescent="0.2">
      <c r="A15" s="3" t="s">
        <v>164</v>
      </c>
    </row>
    <row r="16" spans="1:4" x14ac:dyDescent="0.2">
      <c r="A16" s="13" t="s">
        <v>165</v>
      </c>
    </row>
    <row r="17" spans="1:2" x14ac:dyDescent="0.2">
      <c r="A17" s="14">
        <f>A13^2*FactorCovariance!B7+B13^2*FactorCovariance!C8+C13^2*FactorCovariance!D9+2*A13*B13*FactorCovariance!C7+2*A13*C13*FactorCovariance!D7+2*B13*C13*FactorCovariance!D8</f>
        <v>2.1615990660246678</v>
      </c>
    </row>
    <row r="19" spans="1:2" ht="16" x14ac:dyDescent="0.2">
      <c r="A19" s="3" t="s">
        <v>166</v>
      </c>
    </row>
    <row r="20" spans="1:2" x14ac:dyDescent="0.2">
      <c r="A20" s="14">
        <f>B5^2*Residuals_Specific!B32+B6^2*Residuals_Specific!C32+B7^2*Residuals_Specific!D32+B8^2*Residuals_Specific!E32+B9^2*Residuals_Specific!F32</f>
        <v>6.4327047070644267E-2</v>
      </c>
    </row>
    <row r="22" spans="1:2" ht="16" x14ac:dyDescent="0.2">
      <c r="A22" s="3" t="s">
        <v>167</v>
      </c>
    </row>
    <row r="23" spans="1:2" x14ac:dyDescent="0.2">
      <c r="A23" t="s">
        <v>168</v>
      </c>
      <c r="B23" s="14">
        <f>A17+A20</f>
        <v>2.2259261130953121</v>
      </c>
    </row>
    <row r="24" spans="1:2" x14ac:dyDescent="0.2">
      <c r="A24" t="s">
        <v>169</v>
      </c>
      <c r="B24" s="8">
        <f>SQRT(B23)</f>
        <v>1.4919537905361921</v>
      </c>
    </row>
    <row r="25" spans="1:2" x14ac:dyDescent="0.2">
      <c r="A25" t="s">
        <v>170</v>
      </c>
      <c r="B25" s="8">
        <f>SQRT(B23*52)</f>
        <v>10.758631784802203</v>
      </c>
    </row>
    <row r="26" spans="1:2" x14ac:dyDescent="0.2">
      <c r="A26" t="s">
        <v>171</v>
      </c>
      <c r="B26" s="17">
        <f>A17/B23</f>
        <v>0.97110099625849988</v>
      </c>
    </row>
    <row r="27" spans="1:2" x14ac:dyDescent="0.2">
      <c r="A27" t="s">
        <v>172</v>
      </c>
      <c r="B27" s="17">
        <f>A20/B23</f>
        <v>2.8899003741500132E-2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6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5" width="14" customWidth="1"/>
  </cols>
  <sheetData>
    <row r="1" spans="1:5" ht="19" x14ac:dyDescent="0.25">
      <c r="A1" s="1" t="s">
        <v>173</v>
      </c>
      <c r="B1" s="2"/>
      <c r="C1" s="2"/>
      <c r="D1" s="2"/>
      <c r="E1" s="2"/>
    </row>
    <row r="4" spans="1:5" ht="40" customHeight="1" x14ac:dyDescent="0.2">
      <c r="A4" s="12" t="s">
        <v>174</v>
      </c>
    </row>
    <row r="6" spans="1:5" ht="16" x14ac:dyDescent="0.2">
      <c r="A6" s="3" t="s">
        <v>175</v>
      </c>
    </row>
    <row r="7" spans="1:5" x14ac:dyDescent="0.2">
      <c r="A7" s="5" t="s">
        <v>176</v>
      </c>
      <c r="B7" s="5" t="s">
        <v>177</v>
      </c>
      <c r="C7" s="5" t="s">
        <v>178</v>
      </c>
    </row>
    <row r="8" spans="1:5" x14ac:dyDescent="0.2">
      <c r="A8" s="14">
        <f>(Elimination_Solve!G10*Elimination_Solve!A10-Elimination_Solve!B10)/Elimination_Solve!H10</f>
        <v>0</v>
      </c>
      <c r="B8" s="14">
        <f>-Elimination_Solve!G10/Elimination_Solve!H10</f>
        <v>3.9552360345268864E-2</v>
      </c>
      <c r="C8" s="14">
        <f>1/Elimination_Solve!H10</f>
        <v>0.26988669412065797</v>
      </c>
    </row>
    <row r="10" spans="1:5" ht="16" x14ac:dyDescent="0.2">
      <c r="A10" s="3" t="s">
        <v>179</v>
      </c>
    </row>
    <row r="11" spans="1:5" x14ac:dyDescent="0.2">
      <c r="A11" s="5" t="s">
        <v>44</v>
      </c>
      <c r="B11" s="5" t="s">
        <v>162</v>
      </c>
    </row>
    <row r="12" spans="1:5" x14ac:dyDescent="0.2">
      <c r="A12" t="s">
        <v>49</v>
      </c>
      <c r="B12" s="14">
        <f>$A$8*Exposures!C4+$B$8*Exposures!D4+$C$8*Exposures!E4</f>
        <v>0.21125613643237709</v>
      </c>
    </row>
    <row r="13" spans="1:5" x14ac:dyDescent="0.2">
      <c r="A13" t="s">
        <v>51</v>
      </c>
      <c r="B13" s="14">
        <f>$A$8*Exposures!C5+$B$8*Exposures!D5+$C$8*Exposures!E5</f>
        <v>-0.10260347595449149</v>
      </c>
    </row>
    <row r="14" spans="1:5" x14ac:dyDescent="0.2">
      <c r="A14" t="s">
        <v>53</v>
      </c>
      <c r="B14" s="14">
        <f>$A$8*Exposures!C6+$B$8*Exposures!D6+$C$8*Exposures!E6</f>
        <v>0.33572974104837022</v>
      </c>
    </row>
    <row r="15" spans="1:5" x14ac:dyDescent="0.2">
      <c r="A15" t="s">
        <v>55</v>
      </c>
      <c r="B15" s="14">
        <f>$A$8*Exposures!C7+$B$8*Exposures!D7+$C$8*Exposures!E7</f>
        <v>-0.26267420488122661</v>
      </c>
    </row>
    <row r="16" spans="1:5" x14ac:dyDescent="0.2">
      <c r="A16" t="s">
        <v>57</v>
      </c>
      <c r="B16" s="14">
        <f>$A$8*Exposures!C8+$B$8*Exposures!D8+$C$8*Exposures!E8</f>
        <v>-0.18170819664502921</v>
      </c>
    </row>
    <row r="18" spans="1:4" ht="39" x14ac:dyDescent="0.2">
      <c r="A18" s="11" t="s">
        <v>180</v>
      </c>
    </row>
    <row r="19" spans="1:4" x14ac:dyDescent="0.2">
      <c r="A19" s="5" t="s">
        <v>61</v>
      </c>
      <c r="B19" s="5" t="s">
        <v>181</v>
      </c>
      <c r="C19" s="5" t="s">
        <v>182</v>
      </c>
      <c r="D19" s="5" t="s">
        <v>130</v>
      </c>
    </row>
    <row r="20" spans="1:4" x14ac:dyDescent="0.2">
      <c r="A20">
        <v>1</v>
      </c>
      <c r="B20" s="14">
        <f>$B$12*Returns!B4+$B$13*Returns!C4+$B$14*Returns!D4+$B$15*Returns!E4+$B$16*Returns!F4</f>
        <v>9.1745568596605376E-3</v>
      </c>
      <c r="C20" s="14">
        <f>Elimination_Solve!H15</f>
        <v>9.1745568596605861E-3</v>
      </c>
      <c r="D20" t="str">
        <f t="shared" ref="D20:D29" si="0">IF(ROUND(B20-C20,6)=0,"MATCH","check")</f>
        <v>MATCH</v>
      </c>
    </row>
    <row r="21" spans="1:4" x14ac:dyDescent="0.2">
      <c r="A21">
        <v>2</v>
      </c>
      <c r="B21" s="14">
        <f>$B$12*Returns!B5+$B$13*Returns!C5+$B$14*Returns!D5+$B$15*Returns!E5+$B$16*Returns!F5</f>
        <v>-0.66001153323875927</v>
      </c>
      <c r="C21" s="14">
        <f>Elimination_Solve!H16</f>
        <v>-0.66001153323875916</v>
      </c>
      <c r="D21" t="str">
        <f t="shared" si="0"/>
        <v>MATCH</v>
      </c>
    </row>
    <row r="22" spans="1:4" x14ac:dyDescent="0.2">
      <c r="A22">
        <v>3</v>
      </c>
      <c r="B22" s="14">
        <f>$B$12*Returns!B6+$B$13*Returns!C6+$B$14*Returns!D6+$B$15*Returns!E6+$B$16*Returns!F6</f>
        <v>0.65946391728208453</v>
      </c>
      <c r="C22" s="14">
        <f>Elimination_Solve!H17</f>
        <v>0.65946391728208442</v>
      </c>
      <c r="D22" t="str">
        <f t="shared" si="0"/>
        <v>MATCH</v>
      </c>
    </row>
    <row r="23" spans="1:4" x14ac:dyDescent="0.2">
      <c r="A23">
        <v>4</v>
      </c>
      <c r="B23" s="14">
        <f>$B$12*Returns!B7+$B$13*Returns!C7+$B$14*Returns!D7+$B$15*Returns!E7+$B$16*Returns!F7</f>
        <v>-0.23339166324538513</v>
      </c>
      <c r="C23" s="14">
        <f>Elimination_Solve!H18</f>
        <v>-0.23339166324538518</v>
      </c>
      <c r="D23" t="str">
        <f t="shared" si="0"/>
        <v>MATCH</v>
      </c>
    </row>
    <row r="24" spans="1:4" x14ac:dyDescent="0.2">
      <c r="A24">
        <v>5</v>
      </c>
      <c r="B24" s="14">
        <f>$B$12*Returns!B8+$B$13*Returns!C8+$B$14*Returns!D8+$B$15*Returns!E8+$B$16*Returns!F8</f>
        <v>-0.86658271608094128</v>
      </c>
      <c r="C24" s="14">
        <f>Elimination_Solve!H19</f>
        <v>-0.86658271608094151</v>
      </c>
      <c r="D24" t="str">
        <f t="shared" si="0"/>
        <v>MATCH</v>
      </c>
    </row>
    <row r="25" spans="1:4" x14ac:dyDescent="0.2">
      <c r="A25">
        <v>6</v>
      </c>
      <c r="B25" s="14">
        <f>$B$12*Returns!B9+$B$13*Returns!C9+$B$14*Returns!D9+$B$15*Returns!E9+$B$16*Returns!F9</f>
        <v>0.42215813140861591</v>
      </c>
      <c r="C25" s="14">
        <f>Elimination_Solve!H20</f>
        <v>0.42215813140861591</v>
      </c>
      <c r="D25" t="str">
        <f t="shared" si="0"/>
        <v>MATCH</v>
      </c>
    </row>
    <row r="26" spans="1:4" x14ac:dyDescent="0.2">
      <c r="A26">
        <v>7</v>
      </c>
      <c r="B26" s="14">
        <f>$B$12*Returns!B10+$B$13*Returns!C10+$B$14*Returns!D10+$B$15*Returns!E10+$B$16*Returns!F10</f>
        <v>0.12704632498776139</v>
      </c>
      <c r="C26" s="14">
        <f>Elimination_Solve!H21</f>
        <v>0.12704632498776139</v>
      </c>
      <c r="D26" t="str">
        <f t="shared" si="0"/>
        <v>MATCH</v>
      </c>
    </row>
    <row r="27" spans="1:4" x14ac:dyDescent="0.2">
      <c r="A27">
        <v>8</v>
      </c>
      <c r="B27" s="14">
        <f>$B$12*Returns!B11+$B$13*Returns!C11+$B$14*Returns!D11+$B$15*Returns!E11+$B$16*Returns!F11</f>
        <v>1.7434067809758674E-2</v>
      </c>
      <c r="C27" s="14">
        <f>Elimination_Solve!H22</f>
        <v>1.7434067809758733E-2</v>
      </c>
      <c r="D27" t="str">
        <f t="shared" si="0"/>
        <v>MATCH</v>
      </c>
    </row>
    <row r="28" spans="1:4" x14ac:dyDescent="0.2">
      <c r="A28">
        <v>9</v>
      </c>
      <c r="B28" s="14">
        <f>$B$12*Returns!B12+$B$13*Returns!C12+$B$14*Returns!D12+$B$15*Returns!E12+$B$16*Returns!F12</f>
        <v>-0.25752059579304509</v>
      </c>
      <c r="C28" s="14">
        <f>Elimination_Solve!H23</f>
        <v>-0.25752059579304509</v>
      </c>
      <c r="D28" t="str">
        <f t="shared" si="0"/>
        <v>MATCH</v>
      </c>
    </row>
    <row r="29" spans="1:4" x14ac:dyDescent="0.2">
      <c r="A29">
        <v>10</v>
      </c>
      <c r="B29" s="14">
        <f>$B$12*Returns!B13+$B$13*Returns!C13+$B$14*Returns!D13+$B$15*Returns!E13+$B$16*Returns!F13</f>
        <v>0.40330486512340358</v>
      </c>
      <c r="C29" s="14">
        <f>Elimination_Solve!H24</f>
        <v>0.40330486512340358</v>
      </c>
      <c r="D29" t="str">
        <f t="shared" si="0"/>
        <v>MATCH</v>
      </c>
    </row>
    <row r="31" spans="1:4" ht="16" x14ac:dyDescent="0.2">
      <c r="A31" s="3" t="s">
        <v>183</v>
      </c>
    </row>
    <row r="32" spans="1:4" x14ac:dyDescent="0.2">
      <c r="A32" t="s">
        <v>184</v>
      </c>
      <c r="B32" s="14">
        <f>FactorCovariance!D9</f>
        <v>0.23170053479430053</v>
      </c>
    </row>
    <row r="33" spans="1:3" x14ac:dyDescent="0.2">
      <c r="A33" t="s">
        <v>185</v>
      </c>
      <c r="B33" s="14">
        <f>B12^2*Residuals_Specific!B32+B13^2*Residuals_Specific!C32+B14^2*Residuals_Specific!D32+B15^2*Residuals_Specific!E32+B16^2*Residuals_Specific!F32</f>
        <v>7.1122793016715424E-2</v>
      </c>
    </row>
    <row r="34" spans="1:3" x14ac:dyDescent="0.2">
      <c r="A34" t="s">
        <v>186</v>
      </c>
      <c r="B34" s="14">
        <f>B32+B33</f>
        <v>0.30282332781101595</v>
      </c>
    </row>
    <row r="35" spans="1:3" x14ac:dyDescent="0.2">
      <c r="A35" t="s">
        <v>187</v>
      </c>
      <c r="B35" s="14">
        <f>B32</f>
        <v>0.23170053479430053</v>
      </c>
    </row>
    <row r="36" spans="1:3" x14ac:dyDescent="0.2">
      <c r="A36" t="s">
        <v>188</v>
      </c>
      <c r="B36" s="14">
        <f>B34-B35</f>
        <v>7.1122793016715424E-2</v>
      </c>
      <c r="C36" s="17">
        <f>B36/B35</f>
        <v>0.30695998643186961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Exposures</vt:lpstr>
      <vt:lpstr>Returns</vt:lpstr>
      <vt:lpstr>SSE_Derivation</vt:lpstr>
      <vt:lpstr>Elimination_Solve</vt:lpstr>
      <vt:lpstr>Residuals_Specific</vt:lpstr>
      <vt:lpstr>FactorCovariance</vt:lpstr>
      <vt:lpstr>PortfolioRisk</vt:lpstr>
      <vt:lpstr>PureFactorPortfolio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2026-07-25T04:35:22Z</dcterms:created>
  <dcterms:modified xsi:type="dcterms:W3CDTF">2026-07-25T09:12:01Z</dcterms:modified>
</cp:coreProperties>
</file>